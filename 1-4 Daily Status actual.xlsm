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3150" yWindow="195" windowWidth="15600" windowHeight="8055" tabRatio="863"/>
  </bookViews>
  <sheets>
    <sheet name="Print STATUS" sheetId="52" r:id="rId1"/>
    <sheet name="STATUS" sheetId="22" r:id="rId2"/>
    <sheet name="Armament" sheetId="54" r:id="rId3"/>
    <sheet name="Temp Flow Chart" sheetId="53" r:id="rId4"/>
    <sheet name="READ_DAILY" sheetId="48" state="hidden" r:id="rId5"/>
    <sheet name="For BDE" sheetId="43" r:id="rId6"/>
    <sheet name="Module1" sheetId="15" state="veryHidden" r:id="rId7"/>
    <sheet name="Module2" sheetId="16" state="veryHidden" r:id="rId8"/>
    <sheet name="Module4" sheetId="17" state="veryHidden" r:id="rId9"/>
    <sheet name="Module3" sheetId="18" state="veryHidden" r:id="rId10"/>
    <sheet name="Module5" sheetId="19" state="veryHidden" r:id="rId11"/>
    <sheet name="V_GEN-READINESS" sheetId="49" state="hidden" r:id="rId12"/>
    <sheet name="H PIVOT" sheetId="31" state="hidden" r:id="rId13"/>
    <sheet name="HOUR PIVOT" sheetId="36" state="hidden" r:id="rId14"/>
    <sheet name="HOUR SQL (ENDITEM)" sheetId="46" state="hidden" r:id="rId15"/>
    <sheet name="D PIVOT" sheetId="32" state="hidden" r:id="rId16"/>
    <sheet name="TBO SQL (V_GEN_TBO)" sheetId="51" r:id="rId17"/>
    <sheet name="TBO DROP" sheetId="35" r:id="rId18"/>
    <sheet name="Rounds" sheetId="56" r:id="rId19"/>
    <sheet name="STATUS SQL (EIAFT)" sheetId="45" r:id="rId20"/>
    <sheet name="FLOW" sheetId="21" state="hidden" r:id="rId21"/>
    <sheet name="MIG SQL (MIG_LOG)" sheetId="47" state="hidden" r:id="rId22"/>
    <sheet name="INSP SQL (SCH_INSP)" sheetId="50" state="hidden" r:id="rId23"/>
  </sheets>
  <externalReferences>
    <externalReference r:id="rId24"/>
    <externalReference r:id="rId25"/>
    <externalReference r:id="rId26"/>
  </externalReferences>
  <definedNames>
    <definedName name="_10.2.1.2._1_4AHB_MIG_LOG" localSheetId="21" hidden="1">'MIG SQL (MIG_LOG)'!$A$1:$G$4</definedName>
    <definedName name="_10.2.1.2_1_4AHB_EIACFT" localSheetId="19" hidden="1">'STATUS SQL (EIAFT)'!$A$1:$AU$4</definedName>
    <definedName name="_10.2.1.2_1_4AHB_ENDITEM" localSheetId="14" hidden="1">'HOUR SQL (ENDITEM)'!$A$1:$R$5</definedName>
    <definedName name="_10.2.1.2_1_4AHB_READ_DAILY" localSheetId="4" hidden="1">READ_DAILY!$A$1:$R$85</definedName>
    <definedName name="_10.2.1.2_1_4AHB_SCH_INSP" localSheetId="22" hidden="1">'INSP SQL (SCH_INSP)'!$A$1:$L$349</definedName>
    <definedName name="_10.2.1.2_1_4AHB_v_gen_READINESS" localSheetId="11" hidden="1">'V_GEN-READINESS'!$A$1:$AV$4</definedName>
    <definedName name="_10.2.1.2_1_4AHB_v_gen_TBO" localSheetId="16" hidden="1">'TBO SQL (V_GEN_TBO)'!$B$1:$N$702</definedName>
    <definedName name="ColumnB">'[1]BNSTATUS 3'!$A$67:$B$88</definedName>
    <definedName name="_xlnm.Criteria" localSheetId="0">#REF!</definedName>
    <definedName name="_xlnm.Criteria" localSheetId="1">#REF!</definedName>
    <definedName name="_xlnm.Criteria">#REF!</definedName>
    <definedName name="_xlnm.Database" localSheetId="0">'[1]BNSTATUS (2)'!#REF!</definedName>
    <definedName name="_xlnm.Database" localSheetId="1">'[1]BNSTATUS (2)'!#REF!</definedName>
    <definedName name="_xlnm.Database">'[1]BNSTATUS (2)'!#REF!</definedName>
    <definedName name="HTML_CodePage" hidden="1">1252</definedName>
    <definedName name="HTML_Control" localSheetId="0" hidden="1">{"'BNSTATUS '!$A$1:$V$57"}</definedName>
    <definedName name="HTML_Control" localSheetId="1" hidden="1">{"'BNSTATUS '!$A$1:$V$57"}</definedName>
    <definedName name="HTML_Control" hidden="1">{"'BNSTATUS '!$A$1:$V$57"}</definedName>
    <definedName name="HTML_Description" hidden="1">""</definedName>
    <definedName name="HTML_Email" hidden="1">""</definedName>
    <definedName name="HTML_Header" hidden="1">"BNSTATUS"</definedName>
    <definedName name="HTML_LastUpdate" hidden="1">"2/23/98"</definedName>
    <definedName name="HTML_LineAfter" hidden="1">FALSE</definedName>
    <definedName name="HTML_LineBefore" hidden="1">FALSE</definedName>
    <definedName name="HTML_Name" hidden="1">"USER1"</definedName>
    <definedName name="HTML_OBDlg2" hidden="1">TRUE</definedName>
    <definedName name="HTML_OBDlg4" hidden="1">TRUE</definedName>
    <definedName name="HTML_OS" hidden="1">0</definedName>
    <definedName name="HTML_PathFile" hidden="1">"C:\WINDOWS\TEMP\11PCDAILY.htm"</definedName>
    <definedName name="HTML_Title" hidden="1">"11PCDAILY"</definedName>
    <definedName name="NEWBOOK" localSheetId="0" hidden="1">{"'BNSTATUS '!$A$1:$V$57"}</definedName>
    <definedName name="NEWBOOK" localSheetId="1" hidden="1">{"'BNSTATUS '!$A$1:$V$57"}</definedName>
    <definedName name="NEWBOOK" hidden="1">{"'BNSTATUS '!$A$1:$V$57"}</definedName>
    <definedName name="NEWBOOK1" localSheetId="0" hidden="1">{#N/A,#N/A,TRUE,"TGTHRS";#N/A,#N/A,TRUE,"BNSTATUS";#N/A,#N/A,TRUE,"Phase Worksheet"}</definedName>
    <definedName name="NEWBOOK1" localSheetId="1" hidden="1">{#N/A,#N/A,TRUE,"TGTHRS";#N/A,#N/A,TRUE,"BNSTATUS";#N/A,#N/A,TRUE,"Phase Worksheet"}</definedName>
    <definedName name="NEWBOOK1" hidden="1">{#N/A,#N/A,TRUE,"TGTHRS";#N/A,#N/A,TRUE,"BNSTATUS";#N/A,#N/A,TRUE,"Phase Worksheet"}</definedName>
    <definedName name="NEWBOOK2" localSheetId="0" hidden="1">{#N/A,#N/A,TRUE,"TGTHRS";#N/A,#N/A,TRUE,"BNSTATUS";#N/A,#N/A,TRUE,"Phase Worksheet"}</definedName>
    <definedName name="NEWBOOK2" localSheetId="1" hidden="1">{#N/A,#N/A,TRUE,"TGTHRS";#N/A,#N/A,TRUE,"BNSTATUS";#N/A,#N/A,TRUE,"Phase Worksheet"}</definedName>
    <definedName name="NEWBOOK2" hidden="1">{#N/A,#N/A,TRUE,"TGTHRS";#N/A,#N/A,TRUE,"BNSTATUS";#N/A,#N/A,TRUE,"Phase Worksheet"}</definedName>
    <definedName name="NONE" localSheetId="0" hidden="1">{"'BNSTATUS '!$A$1:$V$57"}</definedName>
    <definedName name="NONE" localSheetId="1" hidden="1">{"'BNSTATUS '!$A$1:$V$57"}</definedName>
    <definedName name="NONE" hidden="1">{"'BNSTATUS '!$A$1:$V$57"}</definedName>
    <definedName name="NONEA" localSheetId="0" hidden="1">{#N/A,#N/A,TRUE,"TGTHRS";#N/A,#N/A,TRUE,"BNSTATUS";#N/A,#N/A,TRUE,"Phase Worksheet"}</definedName>
    <definedName name="NONEA" localSheetId="1" hidden="1">{#N/A,#N/A,TRUE,"TGTHRS";#N/A,#N/A,TRUE,"BNSTATUS";#N/A,#N/A,TRUE,"Phase Worksheet"}</definedName>
    <definedName name="NONEA" hidden="1">{#N/A,#N/A,TRUE,"TGTHRS";#N/A,#N/A,TRUE,"BNSTATUS";#N/A,#N/A,TRUE,"Phase Worksheet"}</definedName>
    <definedName name="_xlnm.Print_Area" localSheetId="0">'Print STATUS'!$A$1:$V$102</definedName>
    <definedName name="_xlnm.Print_Area" localSheetId="1">STATUS!$A$1:$V$102</definedName>
    <definedName name="PROJECTION2" localSheetId="0">'[2]B1352-1'!#REF!</definedName>
    <definedName name="PROJECTION2" localSheetId="1">'[2]B1352-1'!#REF!</definedName>
    <definedName name="PROJECTION2">'[2]B1352-1'!#REF!</definedName>
    <definedName name="sheet" localSheetId="0">#REF!</definedName>
    <definedName name="sheet" localSheetId="1">#REF!</definedName>
    <definedName name="sheet">#REF!</definedName>
    <definedName name="sort01" localSheetId="0">[3]!sort01</definedName>
    <definedName name="sort01" localSheetId="1">[3]!sort01</definedName>
    <definedName name="sort01">[3]!sort01</definedName>
    <definedName name="Test" localSheetId="0" hidden="1">{"'BNSTATUS '!$A$1:$V$57"}</definedName>
    <definedName name="Test" localSheetId="1" hidden="1">{"'BNSTATUS '!$A$1:$V$57"}</definedName>
    <definedName name="Test" hidden="1">{"'BNSTATUS '!$A$1:$V$57"}</definedName>
    <definedName name="wrn.Daily._.Status._.Report." localSheetId="0" hidden="1">{#N/A,#N/A,TRUE,"TGTHRS";#N/A,#N/A,TRUE,"BNSTATUS";#N/A,#N/A,TRUE,"Phase Worksheet"}</definedName>
    <definedName name="wrn.Daily._.Status._.Report." localSheetId="1" hidden="1">{#N/A,#N/A,TRUE,"TGTHRS";#N/A,#N/A,TRUE,"BNSTATUS";#N/A,#N/A,TRUE,"Phase Worksheet"}</definedName>
    <definedName name="wrn.Daily._.Status._.Report." hidden="1">{#N/A,#N/A,TRUE,"TGTHRS";#N/A,#N/A,TRUE,"BNSTATUS";#N/A,#N/A,TRUE,"Phase Worksheet"}</definedName>
  </definedNames>
  <calcPr calcId="125725"/>
  <customWorkbookViews>
    <customWorkbookView name="ULLS-A Computer - Personal View" guid="{B3BDD6C2-344E-4921-B5A4-FCDCB19FE1AE}" mergeInterval="0" personalView="1" maximized="1" windowWidth="796" windowHeight="464" tabRatio="815" activeSheetId="2"/>
    <customWorkbookView name="mahaneyn - Personal View" guid="{7D305032-89AC-11D4-9D5D-0050DA567BAF}" autoUpdate="1" mergeInterval="15" personalView="1" maximized="1" windowWidth="1396" windowHeight="914" tabRatio="799" activeSheetId="1"/>
    <customWorkbookView name="D CO. 1-1AVN PC - Personal View" guid="{51D1C582-D2DC-11D2-AB78-0060089D4E65}" mergeInterval="0" personalView="1" maximized="1" xWindow="416" yWindow="23" windowWidth="374" windowHeight="437" tabRatio="673" activeSheetId="2"/>
    <customWorkbookView name="Daily Status (BNSTATUS )" guid="{BCDDBD2D-88BD-11D1-85B2-00600842B984}" includePrintSettings="0" includeHiddenRowCol="0" maximized="1" windowWidth="640" windowHeight="394" tabRatio="747" activeSheetId="1" showStatusbar="0" showComments="commIndAndComment"/>
    <customWorkbookView name="USER1 - Personal View" guid="{F4CA6060-D3B5-11D1-85B2-00600842B984}" autoUpdate="1" mergeInterval="5" personalView="1" maximized="1" windowWidth="796" windowHeight="463" activeSheetId="4" showStatusbar="0" showComments="commIndAndComment"/>
    <customWorkbookView name="MAHANEY - Personal View" guid="{FC3CF2C0-D245-11D2-8738-00105A9B50BE}" autoUpdate="1" mergeInterval="5" personalView="1" maximized="1" windowWidth="1020" windowHeight="606" tabRatio="673" activeSheetId="1"/>
    <customWorkbookView name="COLON - Personal View" guid="{CF583A11-F27B-11D2-8742-00105A9B50BE}" mergeInterval="0" personalView="1" maximized="1" windowWidth="636" windowHeight="318" tabRatio="673" activeSheetId="10"/>
    <customWorkbookView name="SGT Nielsen - Personal View" guid="{A3CD8E73-8A16-11D4-9D5D-0050DA567BAF}" autoUpdate="1" mergeInterval="15" personalView="1" maximized="1" windowWidth="1396" windowHeight="914" tabRatio="799" activeSheetId="13"/>
    <customWorkbookView name="pettyj - Personal View" guid="{7D1F30F6-2F2F-4AA2-9694-326C5B6D195D}" mergeInterval="0" personalView="1" maximized="1" windowWidth="1020" windowHeight="660" tabRatio="799" activeSheetId="14"/>
    <customWorkbookView name="shrockr - Personal View" guid="{18EB9D92-89DC-11D4-B14E-0050DA2F5B39}" autoUpdate="1" mergeInterval="15" personalView="1" maximized="1" windowWidth="1020" windowHeight="632" tabRatio="799" activeSheetId="1"/>
    <customWorkbookView name="nielsenm - Personal View" guid="{909C01A5-8A10-11D4-9D5D-0050DA567BAF}" mergeInterval="0" personalView="1" maximized="1" windowWidth="1020" windowHeight="632" tabRatio="815" activeSheetId="1"/>
    <customWorkbookView name="reyesa - Personal View" guid="{2AC8C493-9AC7-11D5-A5DC-0050DA56A2D1}" mergeInterval="0" personalView="1" maximized="1" windowWidth="1020" windowHeight="632" tabRatio="815" activeSheetId="1"/>
    <customWorkbookView name="edwardsSW - Personal View" guid="{C4CC22EF-6DEF-4702-BAC8-B1E40F95E6F3}" mergeInterval="0" personalView="1" maximized="1" windowWidth="1020" windowHeight="632" tabRatio="835" activeSheetId="1"/>
    <customWorkbookView name="bryantja - Personal View" guid="{5F745976-9895-46AE-ADBA-1A500907B573}" mergeInterval="0" personalView="1" maximized="1" windowWidth="1020" windowHeight="632" tabRatio="835" activeSheetId="1"/>
    <customWorkbookView name="martin.calkins - Personal View" guid="{969CE5C1-0200-445B-8530-D8443B893068}" mergeInterval="0" personalView="1" maximized="1" windowWidth="1276" windowHeight="654" tabRatio="889" activeSheetId="2"/>
  </customWorkbookViews>
  <pivotCaches>
    <pivotCache cacheId="18" r:id="rId27"/>
    <pivotCache cacheId="21" r:id="rId28"/>
    <pivotCache cacheId="24" r:id="rId29"/>
  </pivotCaches>
</workbook>
</file>

<file path=xl/calcChain.xml><?xml version="1.0" encoding="utf-8"?>
<calcChain xmlns="http://schemas.openxmlformats.org/spreadsheetml/2006/main">
  <c r="C389" i="51"/>
  <c r="C390"/>
  <c r="C391"/>
  <c r="C392"/>
  <c r="C393"/>
  <c r="C394"/>
  <c r="C395"/>
  <c r="C396"/>
  <c r="C397"/>
  <c r="C63"/>
  <c r="C126"/>
  <c r="C178"/>
  <c r="C398"/>
  <c r="C335"/>
  <c r="C337"/>
  <c r="C308"/>
  <c r="C2"/>
  <c r="C294"/>
  <c r="C309"/>
  <c r="C244"/>
  <c r="C301"/>
  <c r="C284"/>
  <c r="C338"/>
  <c r="C189"/>
  <c r="C312"/>
  <c r="C399"/>
  <c r="C400"/>
  <c r="C401"/>
  <c r="C402"/>
  <c r="C403"/>
  <c r="C404"/>
  <c r="C405"/>
  <c r="C406"/>
  <c r="C407"/>
  <c r="C23"/>
  <c r="C87"/>
  <c r="C57"/>
  <c r="C408"/>
  <c r="C409"/>
  <c r="C410"/>
  <c r="C411"/>
  <c r="C224"/>
  <c r="C225"/>
  <c r="C226"/>
  <c r="C227"/>
  <c r="C228"/>
  <c r="C229"/>
  <c r="C161"/>
  <c r="C162"/>
  <c r="C163"/>
  <c r="C164"/>
  <c r="C192"/>
  <c r="C193"/>
  <c r="C412"/>
  <c r="C413"/>
  <c r="C20"/>
  <c r="C10"/>
  <c r="C21"/>
  <c r="C11"/>
  <c r="C33"/>
  <c r="C34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83"/>
  <c r="C146"/>
  <c r="C119"/>
  <c r="C182"/>
  <c r="C26"/>
  <c r="C125"/>
  <c r="C93"/>
  <c r="C243"/>
  <c r="C246"/>
  <c r="C236"/>
  <c r="C251"/>
  <c r="C252"/>
  <c r="C253"/>
  <c r="C241"/>
  <c r="C372"/>
  <c r="C373"/>
  <c r="C371"/>
  <c r="C374"/>
  <c r="C375"/>
  <c r="C376"/>
  <c r="C349"/>
  <c r="C355"/>
  <c r="C356"/>
  <c r="C357"/>
  <c r="C358"/>
  <c r="C350"/>
  <c r="C359"/>
  <c r="C360"/>
  <c r="C354"/>
  <c r="C361"/>
  <c r="C362"/>
  <c r="C363"/>
  <c r="C364"/>
  <c r="C365"/>
  <c r="C366"/>
  <c r="C367"/>
  <c r="C368"/>
  <c r="C369"/>
  <c r="C456"/>
  <c r="C457"/>
  <c r="C458"/>
  <c r="C459"/>
  <c r="C460"/>
  <c r="C461"/>
  <c r="C462"/>
  <c r="C463"/>
  <c r="C75"/>
  <c r="C115"/>
  <c r="C464"/>
  <c r="C281"/>
  <c r="C282"/>
  <c r="C314"/>
  <c r="C302"/>
  <c r="C303"/>
  <c r="C315"/>
  <c r="C465"/>
  <c r="C466"/>
  <c r="C467"/>
  <c r="C468"/>
  <c r="C469"/>
  <c r="C470"/>
  <c r="C157"/>
  <c r="C136"/>
  <c r="C187"/>
  <c r="C316"/>
  <c r="C317"/>
  <c r="C351"/>
  <c r="C352"/>
  <c r="C340"/>
  <c r="C341"/>
  <c r="C290"/>
  <c r="C318"/>
  <c r="C346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347"/>
  <c r="C344"/>
  <c r="C279"/>
  <c r="C288"/>
  <c r="C264"/>
  <c r="C381"/>
  <c r="C370"/>
  <c r="C377"/>
  <c r="C353"/>
  <c r="C345"/>
  <c r="C384"/>
  <c r="C100"/>
  <c r="C47"/>
  <c r="C140"/>
  <c r="C101"/>
  <c r="C48"/>
  <c r="C141"/>
  <c r="C102"/>
  <c r="C49"/>
  <c r="C142"/>
  <c r="C103"/>
  <c r="C50"/>
  <c r="C143"/>
  <c r="C323"/>
  <c r="C242"/>
  <c r="C334"/>
  <c r="C385"/>
  <c r="C383"/>
  <c r="C379"/>
  <c r="C151"/>
  <c r="C169"/>
  <c r="C174"/>
  <c r="C386"/>
  <c r="C382"/>
  <c r="C387"/>
  <c r="C289"/>
  <c r="C329"/>
  <c r="C265"/>
  <c r="C489"/>
  <c r="C490"/>
  <c r="C491"/>
  <c r="C177"/>
  <c r="C138"/>
  <c r="C215"/>
  <c r="C492"/>
  <c r="C493"/>
  <c r="C494"/>
  <c r="C80"/>
  <c r="C52"/>
  <c r="C118"/>
  <c r="C152"/>
  <c r="C120"/>
  <c r="C71"/>
  <c r="C495"/>
  <c r="C496"/>
  <c r="C497"/>
  <c r="C498"/>
  <c r="C499"/>
  <c r="C500"/>
  <c r="C501"/>
  <c r="C502"/>
  <c r="C503"/>
  <c r="C504"/>
  <c r="C505"/>
  <c r="C506"/>
  <c r="C507"/>
  <c r="C508"/>
  <c r="C509"/>
  <c r="C190"/>
  <c r="C137"/>
  <c r="C183"/>
  <c r="C113"/>
  <c r="C133"/>
  <c r="C216"/>
  <c r="C510"/>
  <c r="C511"/>
  <c r="C512"/>
  <c r="C513"/>
  <c r="C514"/>
  <c r="C515"/>
  <c r="C206"/>
  <c r="C175"/>
  <c r="C211"/>
  <c r="C516"/>
  <c r="C517"/>
  <c r="C518"/>
  <c r="C519"/>
  <c r="C520"/>
  <c r="C521"/>
  <c r="C522"/>
  <c r="C523"/>
  <c r="C524"/>
  <c r="C525"/>
  <c r="C526"/>
  <c r="C527"/>
  <c r="C528"/>
  <c r="C529"/>
  <c r="C530"/>
  <c r="C191"/>
  <c r="C139"/>
  <c r="C204"/>
  <c r="C531"/>
  <c r="C532"/>
  <c r="C533"/>
  <c r="C534"/>
  <c r="C535"/>
  <c r="C536"/>
  <c r="C537"/>
  <c r="C538"/>
  <c r="C539"/>
  <c r="C540"/>
  <c r="C541"/>
  <c r="C542"/>
  <c r="C378"/>
  <c r="C388"/>
  <c r="C380"/>
  <c r="C543"/>
  <c r="C544"/>
  <c r="C545"/>
  <c r="C104"/>
  <c r="C159"/>
  <c r="C127"/>
  <c r="C14"/>
  <c r="C29"/>
  <c r="C95"/>
  <c r="C156"/>
  <c r="C223"/>
  <c r="C220"/>
  <c r="C15"/>
  <c r="C16"/>
  <c r="C167"/>
  <c r="C254"/>
  <c r="C168"/>
  <c r="C263"/>
  <c r="C203"/>
  <c r="C247"/>
  <c r="C274"/>
  <c r="C275"/>
  <c r="C276"/>
  <c r="C277"/>
  <c r="C336"/>
  <c r="C342"/>
  <c r="C332"/>
  <c r="C210"/>
  <c r="C172"/>
  <c r="C160"/>
  <c r="C333"/>
  <c r="C343"/>
  <c r="C330"/>
  <c r="C546"/>
  <c r="C547"/>
  <c r="C548"/>
  <c r="C40"/>
  <c r="C41"/>
  <c r="C88"/>
  <c r="C54"/>
  <c r="C30"/>
  <c r="C58"/>
  <c r="C74"/>
  <c r="C31"/>
  <c r="C105"/>
  <c r="C99"/>
  <c r="C6"/>
  <c r="C7"/>
  <c r="C106"/>
  <c r="C107"/>
  <c r="C108"/>
  <c r="C109"/>
  <c r="C110"/>
  <c r="C111"/>
  <c r="C42"/>
  <c r="C43"/>
  <c r="C121"/>
  <c r="C85"/>
  <c r="C60"/>
  <c r="C44"/>
  <c r="C292"/>
  <c r="C286"/>
  <c r="C295"/>
  <c r="C322"/>
  <c r="C280"/>
  <c r="C293"/>
  <c r="C285"/>
  <c r="C321"/>
  <c r="C324"/>
  <c r="C320"/>
  <c r="C327"/>
  <c r="C331"/>
  <c r="C53"/>
  <c r="C64"/>
  <c r="C76"/>
  <c r="C77"/>
  <c r="C78"/>
  <c r="C79"/>
  <c r="C22"/>
  <c r="C65"/>
  <c r="C66"/>
  <c r="C67"/>
  <c r="C68"/>
  <c r="C39"/>
  <c r="C69"/>
  <c r="C70"/>
  <c r="C32"/>
  <c r="C56"/>
  <c r="C55"/>
  <c r="C51"/>
  <c r="C9"/>
  <c r="C91"/>
  <c r="C81"/>
  <c r="C27"/>
  <c r="C28"/>
  <c r="C549"/>
  <c r="C550"/>
  <c r="C551"/>
  <c r="C552"/>
  <c r="C553"/>
  <c r="C554"/>
  <c r="C555"/>
  <c r="C556"/>
  <c r="C557"/>
  <c r="C558"/>
  <c r="C559"/>
  <c r="C560"/>
  <c r="C17"/>
  <c r="C86"/>
  <c r="C96"/>
  <c r="C561"/>
  <c r="C562"/>
  <c r="C563"/>
  <c r="C564"/>
  <c r="C565"/>
  <c r="C566"/>
  <c r="C567"/>
  <c r="C568"/>
  <c r="C569"/>
  <c r="C570"/>
  <c r="C571"/>
  <c r="C572"/>
  <c r="C147"/>
  <c r="C117"/>
  <c r="C114"/>
  <c r="C144"/>
  <c r="C171"/>
  <c r="C5"/>
  <c r="C38"/>
  <c r="C179"/>
  <c r="C158"/>
  <c r="C92"/>
  <c r="C199"/>
  <c r="C149"/>
  <c r="C194"/>
  <c r="C148"/>
  <c r="C170"/>
  <c r="C97"/>
  <c r="C166"/>
  <c r="C154"/>
  <c r="C18"/>
  <c r="C145"/>
  <c r="C165"/>
  <c r="C200"/>
  <c r="C201"/>
  <c r="C202"/>
  <c r="C573"/>
  <c r="C574"/>
  <c r="C575"/>
  <c r="C195"/>
  <c r="C184"/>
  <c r="C185"/>
  <c r="C186"/>
  <c r="C212"/>
  <c r="C155"/>
  <c r="C188"/>
  <c r="C221"/>
  <c r="C235"/>
  <c r="C245"/>
  <c r="C249"/>
  <c r="C248"/>
  <c r="C576"/>
  <c r="C577"/>
  <c r="C578"/>
  <c r="C579"/>
  <c r="C580"/>
  <c r="C581"/>
  <c r="C122"/>
  <c r="C134"/>
  <c r="C128"/>
  <c r="C339"/>
  <c r="C300"/>
  <c r="C311"/>
  <c r="C325"/>
  <c r="C348"/>
  <c r="C319"/>
  <c r="C582"/>
  <c r="C583"/>
  <c r="C584"/>
  <c r="C112"/>
  <c r="C222"/>
  <c r="C135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173"/>
  <c r="C278"/>
  <c r="C205"/>
  <c r="C59"/>
  <c r="C19"/>
  <c r="C213"/>
  <c r="C630"/>
  <c r="C631"/>
  <c r="C632"/>
  <c r="C8"/>
  <c r="C24"/>
  <c r="C180"/>
  <c r="C3"/>
  <c r="C4"/>
  <c r="C25"/>
  <c r="C633"/>
  <c r="C634"/>
  <c r="C635"/>
  <c r="C61"/>
  <c r="C45"/>
  <c r="C36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283"/>
  <c r="C678"/>
  <c r="C679"/>
  <c r="C680"/>
  <c r="C681"/>
  <c r="C682"/>
  <c r="C683"/>
  <c r="C217"/>
  <c r="C250"/>
  <c r="C310"/>
  <c r="C684"/>
  <c r="C685"/>
  <c r="C686"/>
  <c r="C153"/>
  <c r="C176"/>
  <c r="C150"/>
  <c r="C116"/>
  <c r="C129"/>
  <c r="C130"/>
  <c r="C131"/>
  <c r="C132"/>
  <c r="C12"/>
  <c r="C94"/>
  <c r="C98"/>
  <c r="C82"/>
  <c r="C84"/>
  <c r="C123"/>
  <c r="C124"/>
  <c r="C62"/>
  <c r="C46"/>
  <c r="C37"/>
  <c r="C687"/>
  <c r="C688"/>
  <c r="C689"/>
  <c r="C72"/>
  <c r="C89"/>
  <c r="C13"/>
  <c r="C35"/>
  <c r="C73"/>
  <c r="C90"/>
  <c r="C690"/>
  <c r="C691"/>
  <c r="C692"/>
  <c r="C693"/>
  <c r="C694"/>
  <c r="C695"/>
  <c r="C696"/>
  <c r="C697"/>
  <c r="C698"/>
  <c r="C699"/>
  <c r="C700"/>
  <c r="C287"/>
  <c r="C207"/>
  <c r="C208"/>
  <c r="C296"/>
  <c r="C297"/>
  <c r="C298"/>
  <c r="C299"/>
  <c r="C291"/>
  <c r="C304"/>
  <c r="C305"/>
  <c r="C306"/>
  <c r="C307"/>
  <c r="C266"/>
  <c r="C267"/>
  <c r="C268"/>
  <c r="C269"/>
  <c r="C270"/>
  <c r="C271"/>
  <c r="C272"/>
  <c r="C273"/>
  <c r="C255"/>
  <c r="C256"/>
  <c r="C257"/>
  <c r="C258"/>
  <c r="C259"/>
  <c r="C260"/>
  <c r="C261"/>
  <c r="C262"/>
  <c r="C701"/>
  <c r="C328"/>
  <c r="C326"/>
  <c r="C313"/>
  <c r="C181"/>
  <c r="C196"/>
  <c r="C197"/>
  <c r="C198"/>
  <c r="C219"/>
  <c r="C209"/>
  <c r="C237"/>
  <c r="C238"/>
  <c r="C214"/>
  <c r="C239"/>
  <c r="C218"/>
  <c r="C230"/>
  <c r="C231"/>
  <c r="C240"/>
  <c r="C232"/>
  <c r="C233"/>
  <c r="C234"/>
  <c r="C702"/>
  <c r="E389"/>
  <c r="E390"/>
  <c r="E391"/>
  <c r="E392"/>
  <c r="E393"/>
  <c r="E394"/>
  <c r="E395"/>
  <c r="E396"/>
  <c r="E397"/>
  <c r="E63"/>
  <c r="E126"/>
  <c r="E178"/>
  <c r="E398"/>
  <c r="E335"/>
  <c r="E337"/>
  <c r="E308"/>
  <c r="E2"/>
  <c r="E294"/>
  <c r="E309"/>
  <c r="E244"/>
  <c r="E301"/>
  <c r="E284"/>
  <c r="E338"/>
  <c r="E189"/>
  <c r="E312"/>
  <c r="E399"/>
  <c r="E400"/>
  <c r="E401"/>
  <c r="E402"/>
  <c r="E403"/>
  <c r="E404"/>
  <c r="E405"/>
  <c r="E406"/>
  <c r="E407"/>
  <c r="E23"/>
  <c r="E87"/>
  <c r="E57"/>
  <c r="E408"/>
  <c r="E409"/>
  <c r="E410"/>
  <c r="E411"/>
  <c r="E224"/>
  <c r="E225"/>
  <c r="E226"/>
  <c r="E227"/>
  <c r="E228"/>
  <c r="E229"/>
  <c r="E161"/>
  <c r="E162"/>
  <c r="E163"/>
  <c r="E164"/>
  <c r="E192"/>
  <c r="E193"/>
  <c r="E412"/>
  <c r="E413"/>
  <c r="E20"/>
  <c r="E10"/>
  <c r="E21"/>
  <c r="E11"/>
  <c r="E33"/>
  <c r="E34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83"/>
  <c r="E146"/>
  <c r="E119"/>
  <c r="E182"/>
  <c r="E26"/>
  <c r="E125"/>
  <c r="E93"/>
  <c r="E243"/>
  <c r="E246"/>
  <c r="E236"/>
  <c r="E251"/>
  <c r="E252"/>
  <c r="E253"/>
  <c r="E241"/>
  <c r="E372"/>
  <c r="E373"/>
  <c r="E371"/>
  <c r="E374"/>
  <c r="E375"/>
  <c r="E376"/>
  <c r="E349"/>
  <c r="E355"/>
  <c r="E356"/>
  <c r="E357"/>
  <c r="E358"/>
  <c r="E350"/>
  <c r="E359"/>
  <c r="E360"/>
  <c r="E354"/>
  <c r="E361"/>
  <c r="E362"/>
  <c r="E363"/>
  <c r="E364"/>
  <c r="E365"/>
  <c r="E366"/>
  <c r="E367"/>
  <c r="E368"/>
  <c r="E369"/>
  <c r="E456"/>
  <c r="E457"/>
  <c r="E458"/>
  <c r="E459"/>
  <c r="E460"/>
  <c r="E461"/>
  <c r="E462"/>
  <c r="E463"/>
  <c r="E75"/>
  <c r="E115"/>
  <c r="E464"/>
  <c r="E281"/>
  <c r="E282"/>
  <c r="E314"/>
  <c r="E302"/>
  <c r="E303"/>
  <c r="E315"/>
  <c r="E465"/>
  <c r="E466"/>
  <c r="E467"/>
  <c r="E468"/>
  <c r="E469"/>
  <c r="E470"/>
  <c r="E157"/>
  <c r="E136"/>
  <c r="E187"/>
  <c r="E316"/>
  <c r="E317"/>
  <c r="E351"/>
  <c r="E352"/>
  <c r="E340"/>
  <c r="E341"/>
  <c r="E290"/>
  <c r="E318"/>
  <c r="E346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347"/>
  <c r="E344"/>
  <c r="E279"/>
  <c r="E288"/>
  <c r="E264"/>
  <c r="E381"/>
  <c r="E370"/>
  <c r="E377"/>
  <c r="E353"/>
  <c r="E345"/>
  <c r="E384"/>
  <c r="E100"/>
  <c r="E47"/>
  <c r="E140"/>
  <c r="E101"/>
  <c r="E48"/>
  <c r="E141"/>
  <c r="E102"/>
  <c r="E49"/>
  <c r="E142"/>
  <c r="E103"/>
  <c r="E50"/>
  <c r="E143"/>
  <c r="E323"/>
  <c r="E242"/>
  <c r="E334"/>
  <c r="E385"/>
  <c r="E383"/>
  <c r="E379"/>
  <c r="E151"/>
  <c r="E169"/>
  <c r="E174"/>
  <c r="E386"/>
  <c r="E382"/>
  <c r="E387"/>
  <c r="E289"/>
  <c r="E329"/>
  <c r="E265"/>
  <c r="E489"/>
  <c r="E490"/>
  <c r="E491"/>
  <c r="E177"/>
  <c r="E138"/>
  <c r="E215"/>
  <c r="E492"/>
  <c r="E493"/>
  <c r="E494"/>
  <c r="E80"/>
  <c r="E52"/>
  <c r="E118"/>
  <c r="E152"/>
  <c r="E120"/>
  <c r="E71"/>
  <c r="E495"/>
  <c r="E496"/>
  <c r="E497"/>
  <c r="E498"/>
  <c r="E499"/>
  <c r="E500"/>
  <c r="E501"/>
  <c r="E502"/>
  <c r="E503"/>
  <c r="E504"/>
  <c r="E505"/>
  <c r="E506"/>
  <c r="E507"/>
  <c r="E508"/>
  <c r="E509"/>
  <c r="E190"/>
  <c r="E137"/>
  <c r="E183"/>
  <c r="E113"/>
  <c r="E133"/>
  <c r="E216"/>
  <c r="E510"/>
  <c r="E511"/>
  <c r="E512"/>
  <c r="E513"/>
  <c r="E514"/>
  <c r="E515"/>
  <c r="E206"/>
  <c r="E175"/>
  <c r="E211"/>
  <c r="E516"/>
  <c r="E517"/>
  <c r="E518"/>
  <c r="E519"/>
  <c r="E520"/>
  <c r="E521"/>
  <c r="E522"/>
  <c r="E523"/>
  <c r="E524"/>
  <c r="E525"/>
  <c r="E526"/>
  <c r="E527"/>
  <c r="E528"/>
  <c r="E529"/>
  <c r="E530"/>
  <c r="E191"/>
  <c r="E139"/>
  <c r="E204"/>
  <c r="E531"/>
  <c r="E532"/>
  <c r="E533"/>
  <c r="E534"/>
  <c r="E535"/>
  <c r="E536"/>
  <c r="E537"/>
  <c r="E538"/>
  <c r="E539"/>
  <c r="E540"/>
  <c r="E541"/>
  <c r="E542"/>
  <c r="E378"/>
  <c r="E388"/>
  <c r="E380"/>
  <c r="E543"/>
  <c r="E544"/>
  <c r="E545"/>
  <c r="E104"/>
  <c r="E159"/>
  <c r="E127"/>
  <c r="E14"/>
  <c r="E29"/>
  <c r="E95"/>
  <c r="E156"/>
  <c r="E223"/>
  <c r="E220"/>
  <c r="E15"/>
  <c r="E16"/>
  <c r="E167"/>
  <c r="E254"/>
  <c r="E168"/>
  <c r="E263"/>
  <c r="E203"/>
  <c r="E247"/>
  <c r="E274"/>
  <c r="E275"/>
  <c r="E276"/>
  <c r="E277"/>
  <c r="E336"/>
  <c r="E342"/>
  <c r="E332"/>
  <c r="E210"/>
  <c r="E172"/>
  <c r="E160"/>
  <c r="E333"/>
  <c r="E343"/>
  <c r="E330"/>
  <c r="E546"/>
  <c r="E547"/>
  <c r="E548"/>
  <c r="E40"/>
  <c r="E41"/>
  <c r="E88"/>
  <c r="E54"/>
  <c r="E30"/>
  <c r="E58"/>
  <c r="E74"/>
  <c r="E31"/>
  <c r="E105"/>
  <c r="E99"/>
  <c r="E6"/>
  <c r="E7"/>
  <c r="E106"/>
  <c r="E107"/>
  <c r="E108"/>
  <c r="E109"/>
  <c r="E110"/>
  <c r="E111"/>
  <c r="E42"/>
  <c r="E43"/>
  <c r="E121"/>
  <c r="E85"/>
  <c r="E60"/>
  <c r="E44"/>
  <c r="E292"/>
  <c r="E286"/>
  <c r="E295"/>
  <c r="E322"/>
  <c r="E280"/>
  <c r="E293"/>
  <c r="E285"/>
  <c r="E321"/>
  <c r="E324"/>
  <c r="E320"/>
  <c r="E327"/>
  <c r="E331"/>
  <c r="E53"/>
  <c r="E64"/>
  <c r="E76"/>
  <c r="E77"/>
  <c r="E78"/>
  <c r="E79"/>
  <c r="E22"/>
  <c r="E65"/>
  <c r="E66"/>
  <c r="E67"/>
  <c r="E68"/>
  <c r="E39"/>
  <c r="E69"/>
  <c r="E70"/>
  <c r="E32"/>
  <c r="E56"/>
  <c r="E55"/>
  <c r="E51"/>
  <c r="E9"/>
  <c r="E91"/>
  <c r="E81"/>
  <c r="E27"/>
  <c r="E28"/>
  <c r="E549"/>
  <c r="E550"/>
  <c r="E551"/>
  <c r="E552"/>
  <c r="E553"/>
  <c r="E554"/>
  <c r="E555"/>
  <c r="E556"/>
  <c r="E557"/>
  <c r="E558"/>
  <c r="E559"/>
  <c r="E560"/>
  <c r="E17"/>
  <c r="E86"/>
  <c r="E96"/>
  <c r="E561"/>
  <c r="E562"/>
  <c r="E563"/>
  <c r="E564"/>
  <c r="E565"/>
  <c r="E566"/>
  <c r="E567"/>
  <c r="E568"/>
  <c r="E569"/>
  <c r="E570"/>
  <c r="E571"/>
  <c r="E572"/>
  <c r="E147"/>
  <c r="E117"/>
  <c r="E114"/>
  <c r="E144"/>
  <c r="E171"/>
  <c r="E5"/>
  <c r="E38"/>
  <c r="E179"/>
  <c r="E158"/>
  <c r="E92"/>
  <c r="E199"/>
  <c r="E149"/>
  <c r="E194"/>
  <c r="E148"/>
  <c r="E170"/>
  <c r="E97"/>
  <c r="E166"/>
  <c r="E154"/>
  <c r="E18"/>
  <c r="E145"/>
  <c r="E165"/>
  <c r="E200"/>
  <c r="E201"/>
  <c r="E202"/>
  <c r="E573"/>
  <c r="E574"/>
  <c r="E575"/>
  <c r="E195"/>
  <c r="E184"/>
  <c r="E185"/>
  <c r="E186"/>
  <c r="E212"/>
  <c r="E155"/>
  <c r="E188"/>
  <c r="E221"/>
  <c r="E235"/>
  <c r="E245"/>
  <c r="E249"/>
  <c r="E248"/>
  <c r="E576"/>
  <c r="E577"/>
  <c r="E578"/>
  <c r="E579"/>
  <c r="E580"/>
  <c r="E581"/>
  <c r="E122"/>
  <c r="E134"/>
  <c r="E128"/>
  <c r="E339"/>
  <c r="E300"/>
  <c r="E311"/>
  <c r="E325"/>
  <c r="E348"/>
  <c r="E319"/>
  <c r="E582"/>
  <c r="E583"/>
  <c r="E584"/>
  <c r="E112"/>
  <c r="E222"/>
  <c r="E135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173"/>
  <c r="E278"/>
  <c r="E205"/>
  <c r="E59"/>
  <c r="E19"/>
  <c r="E213"/>
  <c r="E630"/>
  <c r="E631"/>
  <c r="E632"/>
  <c r="E8"/>
  <c r="E24"/>
  <c r="E180"/>
  <c r="E3"/>
  <c r="E4"/>
  <c r="E25"/>
  <c r="E633"/>
  <c r="E634"/>
  <c r="E635"/>
  <c r="E61"/>
  <c r="E45"/>
  <c r="E36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283"/>
  <c r="E678"/>
  <c r="E679"/>
  <c r="E680"/>
  <c r="E681"/>
  <c r="E682"/>
  <c r="E683"/>
  <c r="E217"/>
  <c r="E250"/>
  <c r="E310"/>
  <c r="E684"/>
  <c r="E685"/>
  <c r="E686"/>
  <c r="E153"/>
  <c r="E176"/>
  <c r="E150"/>
  <c r="E116"/>
  <c r="E129"/>
  <c r="E130"/>
  <c r="E131"/>
  <c r="E132"/>
  <c r="E12"/>
  <c r="E94"/>
  <c r="E98"/>
  <c r="E82"/>
  <c r="E84"/>
  <c r="E123"/>
  <c r="E124"/>
  <c r="E62"/>
  <c r="E46"/>
  <c r="E37"/>
  <c r="E687"/>
  <c r="E688"/>
  <c r="E689"/>
  <c r="E72"/>
  <c r="E89"/>
  <c r="E13"/>
  <c r="E35"/>
  <c r="E73"/>
  <c r="E90"/>
  <c r="E690"/>
  <c r="E691"/>
  <c r="E692"/>
  <c r="E693"/>
  <c r="E694"/>
  <c r="E695"/>
  <c r="E696"/>
  <c r="E697"/>
  <c r="E698"/>
  <c r="E699"/>
  <c r="E700"/>
  <c r="E287"/>
  <c r="E207"/>
  <c r="E208"/>
  <c r="E296"/>
  <c r="E297"/>
  <c r="E298"/>
  <c r="E299"/>
  <c r="E291"/>
  <c r="E304"/>
  <c r="E305"/>
  <c r="E306"/>
  <c r="E307"/>
  <c r="E266"/>
  <c r="E267"/>
  <c r="E268"/>
  <c r="E269"/>
  <c r="E270"/>
  <c r="E271"/>
  <c r="E272"/>
  <c r="E273"/>
  <c r="E255"/>
  <c r="E256"/>
  <c r="E257"/>
  <c r="E258"/>
  <c r="E259"/>
  <c r="E260"/>
  <c r="E261"/>
  <c r="E262"/>
  <c r="E701"/>
  <c r="E328"/>
  <c r="E326"/>
  <c r="E313"/>
  <c r="E181"/>
  <c r="E196"/>
  <c r="E197"/>
  <c r="E198"/>
  <c r="E219"/>
  <c r="E209"/>
  <c r="E237"/>
  <c r="E238"/>
  <c r="E214"/>
  <c r="E239"/>
  <c r="E218"/>
  <c r="E230"/>
  <c r="E231"/>
  <c r="E240"/>
  <c r="E232"/>
  <c r="E233"/>
  <c r="E234"/>
  <c r="E702"/>
  <c r="G389"/>
  <c r="G390"/>
  <c r="G391"/>
  <c r="G392"/>
  <c r="G393"/>
  <c r="G394"/>
  <c r="G395"/>
  <c r="G396"/>
  <c r="G397"/>
  <c r="G63"/>
  <c r="G126"/>
  <c r="G178"/>
  <c r="G398"/>
  <c r="G335"/>
  <c r="G337"/>
  <c r="G308"/>
  <c r="G2"/>
  <c r="G294"/>
  <c r="G309"/>
  <c r="G244"/>
  <c r="G301"/>
  <c r="G284"/>
  <c r="G338"/>
  <c r="G189"/>
  <c r="G312"/>
  <c r="G399"/>
  <c r="G400"/>
  <c r="G401"/>
  <c r="G402"/>
  <c r="G403"/>
  <c r="G404"/>
  <c r="G405"/>
  <c r="G406"/>
  <c r="G407"/>
  <c r="G23"/>
  <c r="G87"/>
  <c r="G57"/>
  <c r="G408"/>
  <c r="G409"/>
  <c r="G410"/>
  <c r="G411"/>
  <c r="G224"/>
  <c r="G225"/>
  <c r="G226"/>
  <c r="G227"/>
  <c r="G228"/>
  <c r="G229"/>
  <c r="G161"/>
  <c r="G162"/>
  <c r="G163"/>
  <c r="G164"/>
  <c r="G192"/>
  <c r="G193"/>
  <c r="G412"/>
  <c r="G413"/>
  <c r="G20"/>
  <c r="G10"/>
  <c r="G21"/>
  <c r="G11"/>
  <c r="G33"/>
  <c r="G34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83"/>
  <c r="G146"/>
  <c r="G119"/>
  <c r="G182"/>
  <c r="G26"/>
  <c r="G125"/>
  <c r="G93"/>
  <c r="G243"/>
  <c r="G246"/>
  <c r="G236"/>
  <c r="G251"/>
  <c r="G252"/>
  <c r="G253"/>
  <c r="G241"/>
  <c r="G372"/>
  <c r="G373"/>
  <c r="G371"/>
  <c r="G374"/>
  <c r="G375"/>
  <c r="G376"/>
  <c r="G349"/>
  <c r="G355"/>
  <c r="G356"/>
  <c r="G357"/>
  <c r="G358"/>
  <c r="G350"/>
  <c r="G359"/>
  <c r="G360"/>
  <c r="G354"/>
  <c r="G361"/>
  <c r="G362"/>
  <c r="G363"/>
  <c r="G364"/>
  <c r="G365"/>
  <c r="G366"/>
  <c r="G367"/>
  <c r="G368"/>
  <c r="G369"/>
  <c r="G456"/>
  <c r="G457"/>
  <c r="G458"/>
  <c r="G459"/>
  <c r="G460"/>
  <c r="G461"/>
  <c r="G462"/>
  <c r="G463"/>
  <c r="G75"/>
  <c r="G115"/>
  <c r="G464"/>
  <c r="G281"/>
  <c r="G282"/>
  <c r="G314"/>
  <c r="G302"/>
  <c r="G303"/>
  <c r="G315"/>
  <c r="G465"/>
  <c r="G466"/>
  <c r="G467"/>
  <c r="G468"/>
  <c r="G469"/>
  <c r="G470"/>
  <c r="G157"/>
  <c r="G136"/>
  <c r="G187"/>
  <c r="G316"/>
  <c r="G317"/>
  <c r="G351"/>
  <c r="G352"/>
  <c r="G340"/>
  <c r="G341"/>
  <c r="G290"/>
  <c r="G318"/>
  <c r="G346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347"/>
  <c r="G344"/>
  <c r="G279"/>
  <c r="G288"/>
  <c r="G264"/>
  <c r="G381"/>
  <c r="G370"/>
  <c r="G377"/>
  <c r="G353"/>
  <c r="G345"/>
  <c r="G384"/>
  <c r="G100"/>
  <c r="G47"/>
  <c r="G140"/>
  <c r="G101"/>
  <c r="G48"/>
  <c r="G141"/>
  <c r="G102"/>
  <c r="G49"/>
  <c r="G142"/>
  <c r="G103"/>
  <c r="G50"/>
  <c r="G143"/>
  <c r="G323"/>
  <c r="G242"/>
  <c r="G334"/>
  <c r="G385"/>
  <c r="G383"/>
  <c r="G379"/>
  <c r="G151"/>
  <c r="G169"/>
  <c r="G174"/>
  <c r="G386"/>
  <c r="G382"/>
  <c r="G387"/>
  <c r="G289"/>
  <c r="G329"/>
  <c r="G265"/>
  <c r="G489"/>
  <c r="G490"/>
  <c r="G491"/>
  <c r="G177"/>
  <c r="G138"/>
  <c r="G215"/>
  <c r="G492"/>
  <c r="G493"/>
  <c r="G494"/>
  <c r="G80"/>
  <c r="G52"/>
  <c r="G118"/>
  <c r="G152"/>
  <c r="G120"/>
  <c r="G71"/>
  <c r="G495"/>
  <c r="G496"/>
  <c r="G497"/>
  <c r="G498"/>
  <c r="G499"/>
  <c r="G500"/>
  <c r="G501"/>
  <c r="G502"/>
  <c r="G503"/>
  <c r="G504"/>
  <c r="G505"/>
  <c r="G506"/>
  <c r="G507"/>
  <c r="G508"/>
  <c r="G509"/>
  <c r="G190"/>
  <c r="G137"/>
  <c r="G183"/>
  <c r="G113"/>
  <c r="G133"/>
  <c r="G216"/>
  <c r="G510"/>
  <c r="G511"/>
  <c r="G512"/>
  <c r="G513"/>
  <c r="G514"/>
  <c r="G515"/>
  <c r="G206"/>
  <c r="G175"/>
  <c r="G211"/>
  <c r="G516"/>
  <c r="G517"/>
  <c r="G518"/>
  <c r="G519"/>
  <c r="G520"/>
  <c r="G521"/>
  <c r="G522"/>
  <c r="G523"/>
  <c r="G524"/>
  <c r="G525"/>
  <c r="G526"/>
  <c r="G527"/>
  <c r="G528"/>
  <c r="G529"/>
  <c r="G530"/>
  <c r="G191"/>
  <c r="G139"/>
  <c r="G204"/>
  <c r="G531"/>
  <c r="G532"/>
  <c r="G533"/>
  <c r="G534"/>
  <c r="G535"/>
  <c r="G536"/>
  <c r="G537"/>
  <c r="G538"/>
  <c r="G539"/>
  <c r="G540"/>
  <c r="G541"/>
  <c r="G542"/>
  <c r="G378"/>
  <c r="G388"/>
  <c r="G380"/>
  <c r="G543"/>
  <c r="G544"/>
  <c r="G545"/>
  <c r="G104"/>
  <c r="G159"/>
  <c r="G127"/>
  <c r="G14"/>
  <c r="G29"/>
  <c r="G95"/>
  <c r="G156"/>
  <c r="G223"/>
  <c r="G220"/>
  <c r="G15"/>
  <c r="G16"/>
  <c r="G167"/>
  <c r="G254"/>
  <c r="G168"/>
  <c r="G263"/>
  <c r="G203"/>
  <c r="G247"/>
  <c r="G274"/>
  <c r="G275"/>
  <c r="G276"/>
  <c r="G277"/>
  <c r="G336"/>
  <c r="G342"/>
  <c r="G332"/>
  <c r="G210"/>
  <c r="G172"/>
  <c r="G160"/>
  <c r="G333"/>
  <c r="G343"/>
  <c r="G330"/>
  <c r="G546"/>
  <c r="G547"/>
  <c r="G548"/>
  <c r="G40"/>
  <c r="G41"/>
  <c r="G88"/>
  <c r="G54"/>
  <c r="G30"/>
  <c r="G58"/>
  <c r="G74"/>
  <c r="G31"/>
  <c r="G105"/>
  <c r="G99"/>
  <c r="G6"/>
  <c r="G7"/>
  <c r="G106"/>
  <c r="G107"/>
  <c r="G108"/>
  <c r="G109"/>
  <c r="G110"/>
  <c r="G111"/>
  <c r="G42"/>
  <c r="G43"/>
  <c r="G121"/>
  <c r="G85"/>
  <c r="G60"/>
  <c r="G44"/>
  <c r="G292"/>
  <c r="G286"/>
  <c r="G295"/>
  <c r="G322"/>
  <c r="G280"/>
  <c r="G293"/>
  <c r="G285"/>
  <c r="G321"/>
  <c r="G324"/>
  <c r="G320"/>
  <c r="G327"/>
  <c r="G331"/>
  <c r="G53"/>
  <c r="G64"/>
  <c r="G76"/>
  <c r="G77"/>
  <c r="G78"/>
  <c r="G79"/>
  <c r="G22"/>
  <c r="G65"/>
  <c r="G66"/>
  <c r="G67"/>
  <c r="G68"/>
  <c r="G39"/>
  <c r="G69"/>
  <c r="G70"/>
  <c r="G32"/>
  <c r="G56"/>
  <c r="G55"/>
  <c r="G51"/>
  <c r="G9"/>
  <c r="G91"/>
  <c r="G81"/>
  <c r="G27"/>
  <c r="G28"/>
  <c r="G549"/>
  <c r="G550"/>
  <c r="G551"/>
  <c r="G552"/>
  <c r="G553"/>
  <c r="G554"/>
  <c r="G555"/>
  <c r="G556"/>
  <c r="G557"/>
  <c r="G558"/>
  <c r="G559"/>
  <c r="G560"/>
  <c r="G17"/>
  <c r="G86"/>
  <c r="G96"/>
  <c r="G561"/>
  <c r="G562"/>
  <c r="G563"/>
  <c r="G564"/>
  <c r="G565"/>
  <c r="G566"/>
  <c r="G567"/>
  <c r="G568"/>
  <c r="G569"/>
  <c r="G570"/>
  <c r="G571"/>
  <c r="G572"/>
  <c r="G147"/>
  <c r="G117"/>
  <c r="G114"/>
  <c r="G144"/>
  <c r="G171"/>
  <c r="G5"/>
  <c r="G38"/>
  <c r="G179"/>
  <c r="G158"/>
  <c r="G92"/>
  <c r="G199"/>
  <c r="G149"/>
  <c r="G194"/>
  <c r="G148"/>
  <c r="G170"/>
  <c r="G97"/>
  <c r="G166"/>
  <c r="G154"/>
  <c r="G18"/>
  <c r="G145"/>
  <c r="G165"/>
  <c r="G200"/>
  <c r="G201"/>
  <c r="G202"/>
  <c r="G573"/>
  <c r="G574"/>
  <c r="G575"/>
  <c r="G195"/>
  <c r="G184"/>
  <c r="G185"/>
  <c r="G186"/>
  <c r="G212"/>
  <c r="G155"/>
  <c r="G188"/>
  <c r="G221"/>
  <c r="G235"/>
  <c r="G245"/>
  <c r="G249"/>
  <c r="G248"/>
  <c r="G576"/>
  <c r="G577"/>
  <c r="G578"/>
  <c r="G579"/>
  <c r="G580"/>
  <c r="G581"/>
  <c r="G122"/>
  <c r="G134"/>
  <c r="G128"/>
  <c r="G339"/>
  <c r="G300"/>
  <c r="G311"/>
  <c r="G325"/>
  <c r="G348"/>
  <c r="G319"/>
  <c r="G582"/>
  <c r="G583"/>
  <c r="G584"/>
  <c r="G112"/>
  <c r="G222"/>
  <c r="G135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173"/>
  <c r="G278"/>
  <c r="G205"/>
  <c r="G59"/>
  <c r="G19"/>
  <c r="G213"/>
  <c r="G630"/>
  <c r="G631"/>
  <c r="G632"/>
  <c r="G8"/>
  <c r="G24"/>
  <c r="G180"/>
  <c r="G3"/>
  <c r="G4"/>
  <c r="G25"/>
  <c r="G633"/>
  <c r="G634"/>
  <c r="G635"/>
  <c r="G61"/>
  <c r="G45"/>
  <c r="G36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283"/>
  <c r="G678"/>
  <c r="G679"/>
  <c r="G680"/>
  <c r="G681"/>
  <c r="G682"/>
  <c r="G683"/>
  <c r="G217"/>
  <c r="G250"/>
  <c r="G310"/>
  <c r="G684"/>
  <c r="G685"/>
  <c r="G686"/>
  <c r="G153"/>
  <c r="G176"/>
  <c r="G150"/>
  <c r="G116"/>
  <c r="G129"/>
  <c r="G130"/>
  <c r="G131"/>
  <c r="G132"/>
  <c r="G12"/>
  <c r="G94"/>
  <c r="G98"/>
  <c r="G82"/>
  <c r="G84"/>
  <c r="G123"/>
  <c r="G124"/>
  <c r="G62"/>
  <c r="G46"/>
  <c r="G37"/>
  <c r="G687"/>
  <c r="G688"/>
  <c r="G689"/>
  <c r="G72"/>
  <c r="G89"/>
  <c r="G13"/>
  <c r="G35"/>
  <c r="G73"/>
  <c r="G90"/>
  <c r="G690"/>
  <c r="G691"/>
  <c r="G692"/>
  <c r="G693"/>
  <c r="G694"/>
  <c r="G695"/>
  <c r="G696"/>
  <c r="G697"/>
  <c r="G698"/>
  <c r="G699"/>
  <c r="G700"/>
  <c r="G287"/>
  <c r="G207"/>
  <c r="G208"/>
  <c r="G296"/>
  <c r="G297"/>
  <c r="G298"/>
  <c r="G299"/>
  <c r="G291"/>
  <c r="G304"/>
  <c r="G305"/>
  <c r="G306"/>
  <c r="G307"/>
  <c r="G266"/>
  <c r="G267"/>
  <c r="G268"/>
  <c r="G269"/>
  <c r="G270"/>
  <c r="G271"/>
  <c r="G272"/>
  <c r="G273"/>
  <c r="G255"/>
  <c r="G256"/>
  <c r="G257"/>
  <c r="G258"/>
  <c r="G259"/>
  <c r="G260"/>
  <c r="G261"/>
  <c r="G262"/>
  <c r="G701"/>
  <c r="G328"/>
  <c r="G326"/>
  <c r="G313"/>
  <c r="G181"/>
  <c r="G196"/>
  <c r="G197"/>
  <c r="G198"/>
  <c r="G219"/>
  <c r="G209"/>
  <c r="G237"/>
  <c r="G238"/>
  <c r="G214"/>
  <c r="G239"/>
  <c r="G218"/>
  <c r="G230"/>
  <c r="G231"/>
  <c r="G240"/>
  <c r="G232"/>
  <c r="G233"/>
  <c r="G234"/>
  <c r="G702"/>
  <c r="I389"/>
  <c r="I390"/>
  <c r="I391"/>
  <c r="I392"/>
  <c r="I393"/>
  <c r="I394"/>
  <c r="I395"/>
  <c r="I396"/>
  <c r="I397"/>
  <c r="I63"/>
  <c r="I126"/>
  <c r="I178"/>
  <c r="I398"/>
  <c r="I335"/>
  <c r="I337"/>
  <c r="I308"/>
  <c r="I2"/>
  <c r="I294"/>
  <c r="I309"/>
  <c r="I244"/>
  <c r="I301"/>
  <c r="I284"/>
  <c r="I338"/>
  <c r="I189"/>
  <c r="I312"/>
  <c r="I399"/>
  <c r="I400"/>
  <c r="I401"/>
  <c r="I402"/>
  <c r="I403"/>
  <c r="I404"/>
  <c r="I405"/>
  <c r="I406"/>
  <c r="I407"/>
  <c r="I23"/>
  <c r="I87"/>
  <c r="I57"/>
  <c r="I408"/>
  <c r="I409"/>
  <c r="I410"/>
  <c r="I411"/>
  <c r="I224"/>
  <c r="I225"/>
  <c r="I226"/>
  <c r="I227"/>
  <c r="I228"/>
  <c r="I229"/>
  <c r="I161"/>
  <c r="I162"/>
  <c r="I163"/>
  <c r="I164"/>
  <c r="I192"/>
  <c r="I193"/>
  <c r="I412"/>
  <c r="I413"/>
  <c r="I20"/>
  <c r="I10"/>
  <c r="I21"/>
  <c r="I11"/>
  <c r="I33"/>
  <c r="I34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83"/>
  <c r="I146"/>
  <c r="I119"/>
  <c r="I182"/>
  <c r="I26"/>
  <c r="I125"/>
  <c r="I93"/>
  <c r="I243"/>
  <c r="I246"/>
  <c r="I236"/>
  <c r="I251"/>
  <c r="I252"/>
  <c r="I253"/>
  <c r="I241"/>
  <c r="I372"/>
  <c r="I373"/>
  <c r="I371"/>
  <c r="I374"/>
  <c r="I375"/>
  <c r="I376"/>
  <c r="I349"/>
  <c r="I355"/>
  <c r="I356"/>
  <c r="I357"/>
  <c r="I358"/>
  <c r="I350"/>
  <c r="I359"/>
  <c r="I360"/>
  <c r="I354"/>
  <c r="I361"/>
  <c r="I362"/>
  <c r="I363"/>
  <c r="I364"/>
  <c r="I365"/>
  <c r="I366"/>
  <c r="I367"/>
  <c r="I368"/>
  <c r="I369"/>
  <c r="I456"/>
  <c r="I457"/>
  <c r="I458"/>
  <c r="I459"/>
  <c r="I460"/>
  <c r="I461"/>
  <c r="I462"/>
  <c r="I463"/>
  <c r="I75"/>
  <c r="I115"/>
  <c r="I464"/>
  <c r="I281"/>
  <c r="I282"/>
  <c r="I314"/>
  <c r="I302"/>
  <c r="I303"/>
  <c r="I315"/>
  <c r="I465"/>
  <c r="I466"/>
  <c r="I467"/>
  <c r="I468"/>
  <c r="I469"/>
  <c r="I470"/>
  <c r="I157"/>
  <c r="I136"/>
  <c r="I187"/>
  <c r="I316"/>
  <c r="I317"/>
  <c r="I351"/>
  <c r="I352"/>
  <c r="I340"/>
  <c r="I341"/>
  <c r="I290"/>
  <c r="I318"/>
  <c r="I346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347"/>
  <c r="I344"/>
  <c r="I279"/>
  <c r="I288"/>
  <c r="I264"/>
  <c r="I381"/>
  <c r="I370"/>
  <c r="I377"/>
  <c r="I353"/>
  <c r="I345"/>
  <c r="I384"/>
  <c r="I100"/>
  <c r="I47"/>
  <c r="I140"/>
  <c r="I101"/>
  <c r="I48"/>
  <c r="I141"/>
  <c r="I102"/>
  <c r="I49"/>
  <c r="I142"/>
  <c r="I103"/>
  <c r="I50"/>
  <c r="I143"/>
  <c r="I323"/>
  <c r="I242"/>
  <c r="I334"/>
  <c r="I385"/>
  <c r="I383"/>
  <c r="I379"/>
  <c r="I151"/>
  <c r="I169"/>
  <c r="I174"/>
  <c r="I386"/>
  <c r="I382"/>
  <c r="I387"/>
  <c r="I289"/>
  <c r="I329"/>
  <c r="I265"/>
  <c r="I489"/>
  <c r="I490"/>
  <c r="I491"/>
  <c r="I177"/>
  <c r="I138"/>
  <c r="I215"/>
  <c r="I492"/>
  <c r="I493"/>
  <c r="I494"/>
  <c r="I80"/>
  <c r="I52"/>
  <c r="I118"/>
  <c r="I152"/>
  <c r="I120"/>
  <c r="I71"/>
  <c r="I495"/>
  <c r="I496"/>
  <c r="I497"/>
  <c r="I498"/>
  <c r="I499"/>
  <c r="I500"/>
  <c r="I501"/>
  <c r="I502"/>
  <c r="I503"/>
  <c r="I504"/>
  <c r="I505"/>
  <c r="I506"/>
  <c r="I507"/>
  <c r="I508"/>
  <c r="I509"/>
  <c r="I190"/>
  <c r="I137"/>
  <c r="I183"/>
  <c r="I113"/>
  <c r="I133"/>
  <c r="I216"/>
  <c r="I510"/>
  <c r="I511"/>
  <c r="I512"/>
  <c r="I513"/>
  <c r="I514"/>
  <c r="I515"/>
  <c r="I206"/>
  <c r="I175"/>
  <c r="I211"/>
  <c r="I516"/>
  <c r="I517"/>
  <c r="I518"/>
  <c r="I519"/>
  <c r="I520"/>
  <c r="I521"/>
  <c r="I522"/>
  <c r="I523"/>
  <c r="I524"/>
  <c r="I525"/>
  <c r="I526"/>
  <c r="I527"/>
  <c r="I528"/>
  <c r="I529"/>
  <c r="I530"/>
  <c r="I191"/>
  <c r="I139"/>
  <c r="I204"/>
  <c r="I531"/>
  <c r="I532"/>
  <c r="I533"/>
  <c r="I534"/>
  <c r="I535"/>
  <c r="I536"/>
  <c r="I537"/>
  <c r="I538"/>
  <c r="I539"/>
  <c r="I540"/>
  <c r="I541"/>
  <c r="I542"/>
  <c r="I378"/>
  <c r="I388"/>
  <c r="I380"/>
  <c r="I543"/>
  <c r="I544"/>
  <c r="I545"/>
  <c r="I104"/>
  <c r="I159"/>
  <c r="I127"/>
  <c r="I14"/>
  <c r="I29"/>
  <c r="I95"/>
  <c r="I156"/>
  <c r="I223"/>
  <c r="I220"/>
  <c r="I15"/>
  <c r="I16"/>
  <c r="I167"/>
  <c r="I254"/>
  <c r="I168"/>
  <c r="I263"/>
  <c r="I203"/>
  <c r="I247"/>
  <c r="I274"/>
  <c r="I275"/>
  <c r="I276"/>
  <c r="I277"/>
  <c r="I336"/>
  <c r="I342"/>
  <c r="I332"/>
  <c r="I210"/>
  <c r="I172"/>
  <c r="I160"/>
  <c r="I333"/>
  <c r="I343"/>
  <c r="I330"/>
  <c r="I546"/>
  <c r="I547"/>
  <c r="I548"/>
  <c r="I40"/>
  <c r="I41"/>
  <c r="I88"/>
  <c r="I54"/>
  <c r="I30"/>
  <c r="I58"/>
  <c r="I74"/>
  <c r="I31"/>
  <c r="I105"/>
  <c r="I99"/>
  <c r="I6"/>
  <c r="I7"/>
  <c r="I106"/>
  <c r="I107"/>
  <c r="I108"/>
  <c r="I109"/>
  <c r="I110"/>
  <c r="I111"/>
  <c r="I42"/>
  <c r="I43"/>
  <c r="I121"/>
  <c r="I85"/>
  <c r="I60"/>
  <c r="I44"/>
  <c r="I292"/>
  <c r="I286"/>
  <c r="I295"/>
  <c r="I322"/>
  <c r="I280"/>
  <c r="I293"/>
  <c r="I285"/>
  <c r="I321"/>
  <c r="I324"/>
  <c r="I320"/>
  <c r="I327"/>
  <c r="I331"/>
  <c r="I53"/>
  <c r="I64"/>
  <c r="I76"/>
  <c r="I77"/>
  <c r="I78"/>
  <c r="I79"/>
  <c r="I22"/>
  <c r="I65"/>
  <c r="I66"/>
  <c r="I67"/>
  <c r="I68"/>
  <c r="I39"/>
  <c r="I69"/>
  <c r="I70"/>
  <c r="I32"/>
  <c r="I56"/>
  <c r="I55"/>
  <c r="I51"/>
  <c r="I9"/>
  <c r="I91"/>
  <c r="I81"/>
  <c r="I27"/>
  <c r="I28"/>
  <c r="I549"/>
  <c r="I550"/>
  <c r="I551"/>
  <c r="I552"/>
  <c r="I553"/>
  <c r="I554"/>
  <c r="I555"/>
  <c r="I556"/>
  <c r="I557"/>
  <c r="I558"/>
  <c r="I559"/>
  <c r="I560"/>
  <c r="I17"/>
  <c r="I86"/>
  <c r="I96"/>
  <c r="I561"/>
  <c r="I562"/>
  <c r="I563"/>
  <c r="I564"/>
  <c r="I565"/>
  <c r="I566"/>
  <c r="I567"/>
  <c r="I568"/>
  <c r="I569"/>
  <c r="I570"/>
  <c r="I571"/>
  <c r="I572"/>
  <c r="I147"/>
  <c r="I117"/>
  <c r="I114"/>
  <c r="I144"/>
  <c r="I171"/>
  <c r="I5"/>
  <c r="I38"/>
  <c r="I179"/>
  <c r="I158"/>
  <c r="I92"/>
  <c r="I199"/>
  <c r="I149"/>
  <c r="I194"/>
  <c r="I148"/>
  <c r="I170"/>
  <c r="I97"/>
  <c r="I166"/>
  <c r="I154"/>
  <c r="I18"/>
  <c r="I145"/>
  <c r="I165"/>
  <c r="I200"/>
  <c r="I201"/>
  <c r="I202"/>
  <c r="I573"/>
  <c r="I574"/>
  <c r="I575"/>
  <c r="I195"/>
  <c r="I184"/>
  <c r="I185"/>
  <c r="I186"/>
  <c r="I212"/>
  <c r="I155"/>
  <c r="I188"/>
  <c r="I221"/>
  <c r="I235"/>
  <c r="I245"/>
  <c r="I249"/>
  <c r="I248"/>
  <c r="I576"/>
  <c r="I577"/>
  <c r="I578"/>
  <c r="I579"/>
  <c r="I580"/>
  <c r="I581"/>
  <c r="I122"/>
  <c r="I134"/>
  <c r="I128"/>
  <c r="I339"/>
  <c r="I300"/>
  <c r="I311"/>
  <c r="I325"/>
  <c r="I348"/>
  <c r="I319"/>
  <c r="I582"/>
  <c r="I583"/>
  <c r="I584"/>
  <c r="I112"/>
  <c r="I222"/>
  <c r="I135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173"/>
  <c r="I278"/>
  <c r="I205"/>
  <c r="I59"/>
  <c r="I19"/>
  <c r="I213"/>
  <c r="I630"/>
  <c r="I631"/>
  <c r="I632"/>
  <c r="I8"/>
  <c r="I24"/>
  <c r="I180"/>
  <c r="I3"/>
  <c r="I4"/>
  <c r="I25"/>
  <c r="I633"/>
  <c r="I634"/>
  <c r="I635"/>
  <c r="I61"/>
  <c r="I45"/>
  <c r="I36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283"/>
  <c r="I678"/>
  <c r="I679"/>
  <c r="I680"/>
  <c r="I681"/>
  <c r="I682"/>
  <c r="I683"/>
  <c r="I217"/>
  <c r="I250"/>
  <c r="I310"/>
  <c r="I684"/>
  <c r="I685"/>
  <c r="I686"/>
  <c r="I153"/>
  <c r="I176"/>
  <c r="I150"/>
  <c r="I116"/>
  <c r="I129"/>
  <c r="I130"/>
  <c r="I131"/>
  <c r="I132"/>
  <c r="I12"/>
  <c r="I94"/>
  <c r="I98"/>
  <c r="I82"/>
  <c r="I84"/>
  <c r="I123"/>
  <c r="I124"/>
  <c r="I62"/>
  <c r="I46"/>
  <c r="I37"/>
  <c r="I687"/>
  <c r="I688"/>
  <c r="I689"/>
  <c r="I72"/>
  <c r="I89"/>
  <c r="I13"/>
  <c r="I35"/>
  <c r="I73"/>
  <c r="I90"/>
  <c r="I690"/>
  <c r="I691"/>
  <c r="I692"/>
  <c r="I693"/>
  <c r="I694"/>
  <c r="I695"/>
  <c r="I696"/>
  <c r="I697"/>
  <c r="I698"/>
  <c r="I699"/>
  <c r="I700"/>
  <c r="I287"/>
  <c r="I207"/>
  <c r="I208"/>
  <c r="I296"/>
  <c r="I297"/>
  <c r="I298"/>
  <c r="I299"/>
  <c r="I291"/>
  <c r="I304"/>
  <c r="I305"/>
  <c r="I306"/>
  <c r="I307"/>
  <c r="I266"/>
  <c r="I267"/>
  <c r="I268"/>
  <c r="I269"/>
  <c r="I270"/>
  <c r="I271"/>
  <c r="I272"/>
  <c r="I273"/>
  <c r="I255"/>
  <c r="I256"/>
  <c r="I257"/>
  <c r="I258"/>
  <c r="I259"/>
  <c r="I260"/>
  <c r="I261"/>
  <c r="I262"/>
  <c r="I701"/>
  <c r="I328"/>
  <c r="I326"/>
  <c r="I313"/>
  <c r="I181"/>
  <c r="I196"/>
  <c r="I197"/>
  <c r="I198"/>
  <c r="I219"/>
  <c r="I209"/>
  <c r="I237"/>
  <c r="I238"/>
  <c r="I214"/>
  <c r="I239"/>
  <c r="I218"/>
  <c r="I230"/>
  <c r="I231"/>
  <c r="I240"/>
  <c r="I232"/>
  <c r="I233"/>
  <c r="I234"/>
  <c r="I702"/>
  <c r="K389"/>
  <c r="K390"/>
  <c r="K391"/>
  <c r="K392"/>
  <c r="K393"/>
  <c r="K394"/>
  <c r="K395"/>
  <c r="K396"/>
  <c r="K397"/>
  <c r="K63"/>
  <c r="K126"/>
  <c r="K178"/>
  <c r="K398"/>
  <c r="K335"/>
  <c r="K337"/>
  <c r="K308"/>
  <c r="K2"/>
  <c r="K294"/>
  <c r="K309"/>
  <c r="K244"/>
  <c r="K301"/>
  <c r="K284"/>
  <c r="K338"/>
  <c r="K189"/>
  <c r="K312"/>
  <c r="K399"/>
  <c r="K400"/>
  <c r="K401"/>
  <c r="K402"/>
  <c r="K403"/>
  <c r="K404"/>
  <c r="K405"/>
  <c r="K406"/>
  <c r="K407"/>
  <c r="K23"/>
  <c r="K87"/>
  <c r="K57"/>
  <c r="K408"/>
  <c r="K409"/>
  <c r="K410"/>
  <c r="K411"/>
  <c r="K224"/>
  <c r="K225"/>
  <c r="K226"/>
  <c r="K227"/>
  <c r="K228"/>
  <c r="K229"/>
  <c r="K161"/>
  <c r="K162"/>
  <c r="K163"/>
  <c r="K164"/>
  <c r="K192"/>
  <c r="K193"/>
  <c r="K412"/>
  <c r="K413"/>
  <c r="K20"/>
  <c r="K10"/>
  <c r="K21"/>
  <c r="K11"/>
  <c r="K33"/>
  <c r="K34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83"/>
  <c r="K146"/>
  <c r="K119"/>
  <c r="K182"/>
  <c r="K26"/>
  <c r="K125"/>
  <c r="K93"/>
  <c r="K243"/>
  <c r="K246"/>
  <c r="K236"/>
  <c r="K251"/>
  <c r="K252"/>
  <c r="K253"/>
  <c r="K241"/>
  <c r="K372"/>
  <c r="K373"/>
  <c r="K371"/>
  <c r="K374"/>
  <c r="K375"/>
  <c r="K376"/>
  <c r="K349"/>
  <c r="K355"/>
  <c r="K356"/>
  <c r="K357"/>
  <c r="K358"/>
  <c r="K350"/>
  <c r="K359"/>
  <c r="K360"/>
  <c r="K354"/>
  <c r="K361"/>
  <c r="K362"/>
  <c r="K363"/>
  <c r="K364"/>
  <c r="K365"/>
  <c r="K366"/>
  <c r="K367"/>
  <c r="K368"/>
  <c r="K369"/>
  <c r="K456"/>
  <c r="K457"/>
  <c r="K458"/>
  <c r="K459"/>
  <c r="K460"/>
  <c r="K461"/>
  <c r="K462"/>
  <c r="K463"/>
  <c r="K75"/>
  <c r="K115"/>
  <c r="K464"/>
  <c r="K281"/>
  <c r="K282"/>
  <c r="K314"/>
  <c r="K302"/>
  <c r="K303"/>
  <c r="K315"/>
  <c r="K465"/>
  <c r="K466"/>
  <c r="K467"/>
  <c r="K468"/>
  <c r="K469"/>
  <c r="K470"/>
  <c r="K157"/>
  <c r="K136"/>
  <c r="K187"/>
  <c r="K316"/>
  <c r="K317"/>
  <c r="K351"/>
  <c r="K352"/>
  <c r="K340"/>
  <c r="K341"/>
  <c r="K290"/>
  <c r="K318"/>
  <c r="K346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347"/>
  <c r="K344"/>
  <c r="K279"/>
  <c r="K288"/>
  <c r="K264"/>
  <c r="K381"/>
  <c r="K370"/>
  <c r="K377"/>
  <c r="K353"/>
  <c r="K345"/>
  <c r="K384"/>
  <c r="K100"/>
  <c r="K47"/>
  <c r="K140"/>
  <c r="K101"/>
  <c r="K48"/>
  <c r="K141"/>
  <c r="K102"/>
  <c r="K49"/>
  <c r="K142"/>
  <c r="K103"/>
  <c r="K50"/>
  <c r="K143"/>
  <c r="K323"/>
  <c r="K242"/>
  <c r="K334"/>
  <c r="K385"/>
  <c r="K383"/>
  <c r="K379"/>
  <c r="K151"/>
  <c r="K169"/>
  <c r="K174"/>
  <c r="K386"/>
  <c r="K382"/>
  <c r="K387"/>
  <c r="K289"/>
  <c r="K329"/>
  <c r="K265"/>
  <c r="K489"/>
  <c r="K490"/>
  <c r="K491"/>
  <c r="K177"/>
  <c r="K138"/>
  <c r="K215"/>
  <c r="K492"/>
  <c r="K493"/>
  <c r="K494"/>
  <c r="K80"/>
  <c r="K52"/>
  <c r="K118"/>
  <c r="K152"/>
  <c r="K120"/>
  <c r="K71"/>
  <c r="K495"/>
  <c r="K496"/>
  <c r="K497"/>
  <c r="K498"/>
  <c r="K499"/>
  <c r="K500"/>
  <c r="K501"/>
  <c r="K502"/>
  <c r="K503"/>
  <c r="K504"/>
  <c r="K505"/>
  <c r="K506"/>
  <c r="K507"/>
  <c r="K508"/>
  <c r="K509"/>
  <c r="K190"/>
  <c r="K137"/>
  <c r="K183"/>
  <c r="K113"/>
  <c r="K133"/>
  <c r="K216"/>
  <c r="K510"/>
  <c r="K511"/>
  <c r="K512"/>
  <c r="K513"/>
  <c r="K514"/>
  <c r="K515"/>
  <c r="K206"/>
  <c r="K175"/>
  <c r="K211"/>
  <c r="K516"/>
  <c r="K517"/>
  <c r="K518"/>
  <c r="K519"/>
  <c r="K520"/>
  <c r="K521"/>
  <c r="K522"/>
  <c r="K523"/>
  <c r="K524"/>
  <c r="K525"/>
  <c r="K526"/>
  <c r="K527"/>
  <c r="K528"/>
  <c r="K529"/>
  <c r="K530"/>
  <c r="K191"/>
  <c r="K139"/>
  <c r="K204"/>
  <c r="K531"/>
  <c r="K532"/>
  <c r="K533"/>
  <c r="K534"/>
  <c r="K535"/>
  <c r="K536"/>
  <c r="K537"/>
  <c r="K538"/>
  <c r="K539"/>
  <c r="K540"/>
  <c r="K541"/>
  <c r="K542"/>
  <c r="K378"/>
  <c r="K388"/>
  <c r="K380"/>
  <c r="K543"/>
  <c r="K544"/>
  <c r="K545"/>
  <c r="K104"/>
  <c r="K159"/>
  <c r="K127"/>
  <c r="K14"/>
  <c r="K29"/>
  <c r="K95"/>
  <c r="K156"/>
  <c r="K223"/>
  <c r="K220"/>
  <c r="K15"/>
  <c r="K16"/>
  <c r="K167"/>
  <c r="K254"/>
  <c r="K168"/>
  <c r="K263"/>
  <c r="K203"/>
  <c r="K247"/>
  <c r="K274"/>
  <c r="K275"/>
  <c r="K276"/>
  <c r="K277"/>
  <c r="K336"/>
  <c r="K342"/>
  <c r="K332"/>
  <c r="K210"/>
  <c r="K172"/>
  <c r="K160"/>
  <c r="K333"/>
  <c r="K343"/>
  <c r="K330"/>
  <c r="K546"/>
  <c r="K547"/>
  <c r="K548"/>
  <c r="K40"/>
  <c r="K41"/>
  <c r="K88"/>
  <c r="K54"/>
  <c r="K30"/>
  <c r="K58"/>
  <c r="K74"/>
  <c r="K31"/>
  <c r="K105"/>
  <c r="K99"/>
  <c r="K6"/>
  <c r="K7"/>
  <c r="K106"/>
  <c r="K107"/>
  <c r="K108"/>
  <c r="K109"/>
  <c r="K110"/>
  <c r="K111"/>
  <c r="K42"/>
  <c r="K43"/>
  <c r="K121"/>
  <c r="K85"/>
  <c r="K60"/>
  <c r="K44"/>
  <c r="K292"/>
  <c r="K286"/>
  <c r="K295"/>
  <c r="K322"/>
  <c r="K280"/>
  <c r="K293"/>
  <c r="K285"/>
  <c r="K321"/>
  <c r="K324"/>
  <c r="K320"/>
  <c r="K327"/>
  <c r="K331"/>
  <c r="K53"/>
  <c r="K64"/>
  <c r="K76"/>
  <c r="K77"/>
  <c r="K78"/>
  <c r="K79"/>
  <c r="K22"/>
  <c r="K65"/>
  <c r="K66"/>
  <c r="K67"/>
  <c r="K68"/>
  <c r="K39"/>
  <c r="K69"/>
  <c r="K70"/>
  <c r="K32"/>
  <c r="K56"/>
  <c r="K55"/>
  <c r="K51"/>
  <c r="K9"/>
  <c r="K91"/>
  <c r="K81"/>
  <c r="K27"/>
  <c r="K28"/>
  <c r="K549"/>
  <c r="K550"/>
  <c r="K551"/>
  <c r="K552"/>
  <c r="K553"/>
  <c r="K554"/>
  <c r="K555"/>
  <c r="K556"/>
  <c r="K557"/>
  <c r="K558"/>
  <c r="K559"/>
  <c r="K560"/>
  <c r="K17"/>
  <c r="K86"/>
  <c r="K96"/>
  <c r="K561"/>
  <c r="K562"/>
  <c r="K563"/>
  <c r="K564"/>
  <c r="K565"/>
  <c r="K566"/>
  <c r="K567"/>
  <c r="K568"/>
  <c r="K569"/>
  <c r="K570"/>
  <c r="K571"/>
  <c r="K572"/>
  <c r="K147"/>
  <c r="K117"/>
  <c r="K114"/>
  <c r="K144"/>
  <c r="K171"/>
  <c r="K5"/>
  <c r="K38"/>
  <c r="K179"/>
  <c r="K158"/>
  <c r="K92"/>
  <c r="K199"/>
  <c r="K149"/>
  <c r="K194"/>
  <c r="K148"/>
  <c r="K170"/>
  <c r="K97"/>
  <c r="K166"/>
  <c r="K154"/>
  <c r="K18"/>
  <c r="K145"/>
  <c r="K165"/>
  <c r="K200"/>
  <c r="K201"/>
  <c r="K202"/>
  <c r="K573"/>
  <c r="K574"/>
  <c r="K575"/>
  <c r="K195"/>
  <c r="K184"/>
  <c r="K185"/>
  <c r="K186"/>
  <c r="K212"/>
  <c r="K155"/>
  <c r="K188"/>
  <c r="K221"/>
  <c r="K235"/>
  <c r="K245"/>
  <c r="K249"/>
  <c r="K248"/>
  <c r="K576"/>
  <c r="K577"/>
  <c r="K578"/>
  <c r="K579"/>
  <c r="K580"/>
  <c r="K581"/>
  <c r="K122"/>
  <c r="K134"/>
  <c r="K128"/>
  <c r="K339"/>
  <c r="K300"/>
  <c r="K311"/>
  <c r="K325"/>
  <c r="K348"/>
  <c r="K319"/>
  <c r="K582"/>
  <c r="K583"/>
  <c r="K584"/>
  <c r="K112"/>
  <c r="K222"/>
  <c r="K135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173"/>
  <c r="K278"/>
  <c r="K205"/>
  <c r="K59"/>
  <c r="K19"/>
  <c r="K213"/>
  <c r="K630"/>
  <c r="K631"/>
  <c r="K632"/>
  <c r="K8"/>
  <c r="K24"/>
  <c r="K180"/>
  <c r="K3"/>
  <c r="K4"/>
  <c r="K25"/>
  <c r="K633"/>
  <c r="K634"/>
  <c r="K635"/>
  <c r="K61"/>
  <c r="K45"/>
  <c r="K36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283"/>
  <c r="K678"/>
  <c r="K679"/>
  <c r="K680"/>
  <c r="K681"/>
  <c r="K682"/>
  <c r="K683"/>
  <c r="K217"/>
  <c r="K250"/>
  <c r="K310"/>
  <c r="K684"/>
  <c r="K685"/>
  <c r="K686"/>
  <c r="K153"/>
  <c r="K176"/>
  <c r="K150"/>
  <c r="K116"/>
  <c r="K129"/>
  <c r="K130"/>
  <c r="K131"/>
  <c r="K132"/>
  <c r="K12"/>
  <c r="K94"/>
  <c r="K98"/>
  <c r="K82"/>
  <c r="K84"/>
  <c r="K123"/>
  <c r="K124"/>
  <c r="K62"/>
  <c r="K46"/>
  <c r="K37"/>
  <c r="K687"/>
  <c r="K688"/>
  <c r="K689"/>
  <c r="K72"/>
  <c r="K89"/>
  <c r="K13"/>
  <c r="K35"/>
  <c r="K73"/>
  <c r="K90"/>
  <c r="K690"/>
  <c r="K691"/>
  <c r="K692"/>
  <c r="K693"/>
  <c r="K694"/>
  <c r="K695"/>
  <c r="K696"/>
  <c r="K697"/>
  <c r="K698"/>
  <c r="K699"/>
  <c r="K700"/>
  <c r="K287"/>
  <c r="K207"/>
  <c r="K208"/>
  <c r="K296"/>
  <c r="K297"/>
  <c r="K298"/>
  <c r="K299"/>
  <c r="K291"/>
  <c r="K304"/>
  <c r="K305"/>
  <c r="K306"/>
  <c r="K307"/>
  <c r="K266"/>
  <c r="K267"/>
  <c r="K268"/>
  <c r="K269"/>
  <c r="K270"/>
  <c r="K271"/>
  <c r="K272"/>
  <c r="K273"/>
  <c r="K255"/>
  <c r="K256"/>
  <c r="K257"/>
  <c r="K258"/>
  <c r="K259"/>
  <c r="K260"/>
  <c r="K261"/>
  <c r="K262"/>
  <c r="K701"/>
  <c r="K328"/>
  <c r="K326"/>
  <c r="K313"/>
  <c r="K181"/>
  <c r="K196"/>
  <c r="K197"/>
  <c r="K198"/>
  <c r="K219"/>
  <c r="K209"/>
  <c r="K237"/>
  <c r="K238"/>
  <c r="K214"/>
  <c r="K239"/>
  <c r="K218"/>
  <c r="K230"/>
  <c r="K231"/>
  <c r="K240"/>
  <c r="K232"/>
  <c r="K233"/>
  <c r="K234"/>
  <c r="K702"/>
  <c r="O2" i="48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Q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H25" i="54" l="1"/>
  <c r="H22"/>
  <c r="H19"/>
  <c r="H16"/>
  <c r="H13"/>
  <c r="H10"/>
  <c r="H7"/>
  <c r="H4"/>
  <c r="G25"/>
  <c r="G22"/>
  <c r="G19"/>
  <c r="G16"/>
  <c r="G13"/>
  <c r="G10"/>
  <c r="G7"/>
  <c r="G4"/>
  <c r="F16"/>
  <c r="F10"/>
  <c r="F19"/>
  <c r="F7"/>
  <c r="F22"/>
  <c r="F25"/>
  <c r="F13"/>
  <c r="D27" l="1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C25"/>
  <c r="C22"/>
  <c r="C19"/>
  <c r="C16"/>
  <c r="C13"/>
  <c r="C10"/>
  <c r="C7"/>
  <c r="C4"/>
  <c r="A27"/>
  <c r="A25"/>
  <c r="A24"/>
  <c r="A22"/>
  <c r="A21"/>
  <c r="A19"/>
  <c r="A18"/>
  <c r="A16"/>
  <c r="A15"/>
  <c r="A13"/>
  <c r="A12"/>
  <c r="A10"/>
  <c r="A9"/>
  <c r="A7"/>
  <c r="A6"/>
  <c r="A4"/>
  <c r="K16"/>
  <c r="AS5"/>
  <c r="L25"/>
  <c r="I19"/>
  <c r="N19"/>
  <c r="J13"/>
  <c r="AR4"/>
  <c r="K7"/>
  <c r="AS2"/>
  <c r="L22"/>
  <c r="J4"/>
  <c r="J16"/>
  <c r="AR5"/>
  <c r="K25"/>
  <c r="AS8"/>
  <c r="L19"/>
  <c r="I13"/>
  <c r="N13"/>
  <c r="J7"/>
  <c r="AR2"/>
  <c r="K22"/>
  <c r="AS7"/>
  <c r="L10"/>
  <c r="I4"/>
  <c r="N4"/>
  <c r="I16"/>
  <c r="N16"/>
  <c r="J25"/>
  <c r="AR8"/>
  <c r="K19"/>
  <c r="AS6"/>
  <c r="L13"/>
  <c r="I7"/>
  <c r="N7"/>
  <c r="J22"/>
  <c r="AR7"/>
  <c r="K10"/>
  <c r="AS3"/>
  <c r="L4"/>
  <c r="F4"/>
  <c r="L16"/>
  <c r="I25"/>
  <c r="N25"/>
  <c r="J19"/>
  <c r="AR6"/>
  <c r="K13"/>
  <c r="AS4"/>
  <c r="L7"/>
  <c r="I22"/>
  <c r="N22"/>
  <c r="J10"/>
  <c r="AR3"/>
  <c r="K4"/>
  <c r="AS1"/>
  <c r="I10"/>
  <c r="N10"/>
  <c r="AR1"/>
  <c r="P4" l="1"/>
  <c r="O4"/>
  <c r="P10"/>
  <c r="O10"/>
  <c r="P25"/>
  <c r="P22"/>
  <c r="O25"/>
  <c r="O22"/>
  <c r="P7"/>
  <c r="O7"/>
  <c r="P13"/>
  <c r="O13"/>
  <c r="P19"/>
  <c r="O19"/>
  <c r="P16"/>
  <c r="O16"/>
  <c r="D7" i="53"/>
  <c r="C5"/>
  <c r="D5" s="1"/>
  <c r="C4"/>
  <c r="C3"/>
  <c r="D3" s="1"/>
  <c r="C2"/>
  <c r="D1"/>
  <c r="B27" i="52" l="1"/>
  <c r="B25"/>
  <c r="V25" s="1"/>
  <c r="H102"/>
  <c r="G102"/>
  <c r="F102"/>
  <c r="B102"/>
  <c r="A102"/>
  <c r="H101"/>
  <c r="G101"/>
  <c r="F101"/>
  <c r="B101"/>
  <c r="A101"/>
  <c r="H100"/>
  <c r="G100"/>
  <c r="F100"/>
  <c r="B100"/>
  <c r="A100"/>
  <c r="H99"/>
  <c r="G99"/>
  <c r="F99"/>
  <c r="B99"/>
  <c r="A99"/>
  <c r="H98"/>
  <c r="G98"/>
  <c r="F98"/>
  <c r="B98"/>
  <c r="A98"/>
  <c r="H97"/>
  <c r="G97"/>
  <c r="F97"/>
  <c r="B97"/>
  <c r="A97"/>
  <c r="H96"/>
  <c r="G96"/>
  <c r="F96"/>
  <c r="B96"/>
  <c r="A96"/>
  <c r="N95"/>
  <c r="H95"/>
  <c r="G95"/>
  <c r="F95"/>
  <c r="B95"/>
  <c r="A95"/>
  <c r="H94"/>
  <c r="G94"/>
  <c r="F94"/>
  <c r="B94"/>
  <c r="A94"/>
  <c r="H93"/>
  <c r="G93"/>
  <c r="F93"/>
  <c r="B93"/>
  <c r="A93"/>
  <c r="H92"/>
  <c r="G92"/>
  <c r="F92"/>
  <c r="B92"/>
  <c r="A92"/>
  <c r="H91"/>
  <c r="G91"/>
  <c r="F91"/>
  <c r="B91"/>
  <c r="A91"/>
  <c r="H90"/>
  <c r="G90"/>
  <c r="F90"/>
  <c r="B90"/>
  <c r="A90"/>
  <c r="H89"/>
  <c r="G89"/>
  <c r="F89"/>
  <c r="B89"/>
  <c r="A89"/>
  <c r="H88"/>
  <c r="G88"/>
  <c r="F88"/>
  <c r="B88"/>
  <c r="A88"/>
  <c r="H87"/>
  <c r="G87"/>
  <c r="F87"/>
  <c r="B87"/>
  <c r="A87"/>
  <c r="H86"/>
  <c r="G86"/>
  <c r="F86"/>
  <c r="B86"/>
  <c r="A86"/>
  <c r="H85"/>
  <c r="G85"/>
  <c r="F85"/>
  <c r="B85"/>
  <c r="A85"/>
  <c r="H84"/>
  <c r="G84"/>
  <c r="F84"/>
  <c r="B84"/>
  <c r="A84"/>
  <c r="H83"/>
  <c r="G83"/>
  <c r="F83"/>
  <c r="B83"/>
  <c r="A83"/>
  <c r="B24"/>
  <c r="B22"/>
  <c r="V22" s="1"/>
  <c r="B21"/>
  <c r="B19"/>
  <c r="V19" s="1"/>
  <c r="B18"/>
  <c r="B16"/>
  <c r="V16" s="1"/>
  <c r="B15"/>
  <c r="B13"/>
  <c r="V13" s="1"/>
  <c r="B12"/>
  <c r="B10"/>
  <c r="V10" s="1"/>
  <c r="B9"/>
  <c r="E22"/>
  <c r="E19"/>
  <c r="E16"/>
  <c r="E13"/>
  <c r="E10"/>
  <c r="E7"/>
  <c r="E25"/>
  <c r="F22"/>
  <c r="F19"/>
  <c r="F16"/>
  <c r="F13"/>
  <c r="F10"/>
  <c r="F7"/>
  <c r="F25"/>
  <c r="B7" l="1"/>
  <c r="C3"/>
  <c r="C2"/>
  <c r="V26" s="1"/>
  <c r="B16" i="22"/>
  <c r="J25" i="52"/>
  <c r="G7"/>
  <c r="H10"/>
  <c r="G13"/>
  <c r="H16"/>
  <c r="G19"/>
  <c r="G22"/>
  <c r="F38" i="22"/>
  <c r="E38"/>
  <c r="E78"/>
  <c r="F35"/>
  <c r="F47"/>
  <c r="E47"/>
  <c r="F69"/>
  <c r="H25" i="52"/>
  <c r="I7"/>
  <c r="I10"/>
  <c r="I13"/>
  <c r="I16"/>
  <c r="H19"/>
  <c r="H22"/>
  <c r="F50" i="22"/>
  <c r="E50"/>
  <c r="F41"/>
  <c r="F57"/>
  <c r="F60"/>
  <c r="E60"/>
  <c r="E66"/>
  <c r="E44"/>
  <c r="I25" i="52"/>
  <c r="H7"/>
  <c r="G10"/>
  <c r="H13"/>
  <c r="G16"/>
  <c r="I19"/>
  <c r="I22"/>
  <c r="F63" i="22"/>
  <c r="E63"/>
  <c r="F66"/>
  <c r="E41"/>
  <c r="F72"/>
  <c r="E72"/>
  <c r="F53"/>
  <c r="E69"/>
  <c r="G25" i="52"/>
  <c r="J7"/>
  <c r="J10"/>
  <c r="J13"/>
  <c r="J16"/>
  <c r="J19"/>
  <c r="J22"/>
  <c r="F75" i="22"/>
  <c r="E75"/>
  <c r="F78"/>
  <c r="E53"/>
  <c r="E57"/>
  <c r="F32"/>
  <c r="E35"/>
  <c r="F44"/>
  <c r="V7" i="52" l="1"/>
  <c r="V8" s="1"/>
  <c r="V23"/>
  <c r="V20"/>
  <c r="V17"/>
  <c r="V14"/>
  <c r="V11"/>
  <c r="O55653" i="48"/>
  <c r="Q55653"/>
  <c r="P55653"/>
  <c r="B80" i="22"/>
  <c r="B77"/>
  <c r="B74"/>
  <c r="B71"/>
  <c r="B68"/>
  <c r="B65"/>
  <c r="B62"/>
  <c r="B59"/>
  <c r="B55"/>
  <c r="B52"/>
  <c r="B49"/>
  <c r="B46"/>
  <c r="B43"/>
  <c r="B40"/>
  <c r="B37"/>
  <c r="B34"/>
  <c r="B78"/>
  <c r="B75"/>
  <c r="B72"/>
  <c r="B69"/>
  <c r="B66"/>
  <c r="B63"/>
  <c r="B60"/>
  <c r="B57"/>
  <c r="B53"/>
  <c r="B50"/>
  <c r="B47"/>
  <c r="B44"/>
  <c r="B41"/>
  <c r="B38"/>
  <c r="B35"/>
  <c r="B32"/>
  <c r="J69"/>
  <c r="J60"/>
  <c r="H53"/>
  <c r="I63"/>
  <c r="G69"/>
  <c r="G66"/>
  <c r="G72"/>
  <c r="G78"/>
  <c r="G75"/>
  <c r="G47"/>
  <c r="H41"/>
  <c r="H50"/>
  <c r="I66"/>
  <c r="H72"/>
  <c r="J78"/>
  <c r="I44"/>
  <c r="J47"/>
  <c r="J41"/>
  <c r="I50"/>
  <c r="I69"/>
  <c r="H69"/>
  <c r="G60"/>
  <c r="I53"/>
  <c r="H63"/>
  <c r="H35"/>
  <c r="J57"/>
  <c r="H38"/>
  <c r="J44"/>
  <c r="I60"/>
  <c r="G53"/>
  <c r="I75"/>
  <c r="J35"/>
  <c r="I57"/>
  <c r="I38"/>
  <c r="E32"/>
  <c r="G44"/>
  <c r="H47"/>
  <c r="G41"/>
  <c r="G50"/>
  <c r="H66"/>
  <c r="J72"/>
  <c r="H78"/>
  <c r="H75"/>
  <c r="I47"/>
  <c r="I41"/>
  <c r="J63"/>
  <c r="J66"/>
  <c r="I72"/>
  <c r="I78"/>
  <c r="J75"/>
  <c r="J50"/>
  <c r="G35"/>
  <c r="G57"/>
  <c r="G38"/>
  <c r="H44"/>
  <c r="H60"/>
  <c r="J53"/>
  <c r="G63"/>
  <c r="I35"/>
  <c r="H57"/>
  <c r="J38"/>
  <c r="I98" i="52" l="1"/>
  <c r="I101" i="22"/>
  <c r="I101" i="52"/>
  <c r="I98" i="22"/>
  <c r="J32"/>
  <c r="H32"/>
  <c r="I32"/>
  <c r="G32"/>
  <c r="B30" l="1"/>
  <c r="B27" i="54" s="1"/>
  <c r="B27" i="22"/>
  <c r="B24" i="54" s="1"/>
  <c r="B24" i="22"/>
  <c r="B21" i="54" s="1"/>
  <c r="B28" i="22"/>
  <c r="B25"/>
  <c r="B22"/>
  <c r="B19"/>
  <c r="V19" s="1"/>
  <c r="B21"/>
  <c r="B18" i="54" s="1"/>
  <c r="B18" i="22"/>
  <c r="B15" i="54" s="1"/>
  <c r="B13" i="22"/>
  <c r="B10"/>
  <c r="B7"/>
  <c r="B15"/>
  <c r="B12" i="54" s="1"/>
  <c r="B12" i="22"/>
  <c r="B9" i="54" s="1"/>
  <c r="F7" i="22"/>
  <c r="E7"/>
  <c r="E25"/>
  <c r="F19"/>
  <c r="E16"/>
  <c r="F13"/>
  <c r="F10"/>
  <c r="F16"/>
  <c r="E22"/>
  <c r="F22"/>
  <c r="E10"/>
  <c r="E13"/>
  <c r="F25"/>
  <c r="F28"/>
  <c r="E28"/>
  <c r="E19"/>
  <c r="V10" l="1"/>
  <c r="B7" i="54"/>
  <c r="V7" i="22"/>
  <c r="B4" i="54"/>
  <c r="V13" i="22"/>
  <c r="B10" i="54"/>
  <c r="E10"/>
  <c r="E16"/>
  <c r="E7"/>
  <c r="E25"/>
  <c r="E22"/>
  <c r="E4"/>
  <c r="E13"/>
  <c r="E19"/>
  <c r="I95" i="22"/>
  <c r="B9"/>
  <c r="B6" i="54" s="1"/>
  <c r="H13" i="22"/>
  <c r="J28"/>
  <c r="J10"/>
  <c r="H10"/>
  <c r="G28"/>
  <c r="H7"/>
  <c r="J7"/>
  <c r="M22" i="54"/>
  <c r="G22" i="22"/>
  <c r="G16"/>
  <c r="G10"/>
  <c r="G25"/>
  <c r="H16"/>
  <c r="H25"/>
  <c r="M7" i="54"/>
  <c r="M10"/>
  <c r="J19" i="22"/>
  <c r="H19"/>
  <c r="J25"/>
  <c r="G13"/>
  <c r="J22"/>
  <c r="J13"/>
  <c r="M19" i="54"/>
  <c r="H28" i="22"/>
  <c r="J16"/>
  <c r="H22"/>
  <c r="G19"/>
  <c r="M25" i="54"/>
  <c r="M13"/>
  <c r="M16"/>
  <c r="M4"/>
  <c r="B2" i="53" l="1"/>
  <c r="D2" s="1"/>
  <c r="B4"/>
  <c r="D4" s="1"/>
  <c r="B6"/>
  <c r="D6" s="1"/>
  <c r="P95" i="22"/>
  <c r="J10" i="43"/>
  <c r="J12"/>
  <c r="J11"/>
  <c r="J9"/>
  <c r="J8"/>
  <c r="J7"/>
  <c r="J6"/>
  <c r="J5"/>
  <c r="H12"/>
  <c r="C12"/>
  <c r="C11"/>
  <c r="C10"/>
  <c r="C9"/>
  <c r="C7"/>
  <c r="C6"/>
  <c r="C8"/>
  <c r="C5"/>
  <c r="H35"/>
  <c r="H34"/>
  <c r="L33"/>
  <c r="H33"/>
  <c r="M32"/>
  <c r="H32"/>
  <c r="M31"/>
  <c r="H31"/>
  <c r="M30"/>
  <c r="H30"/>
  <c r="E30"/>
  <c r="M35" s="1"/>
  <c r="M36" s="1"/>
  <c r="M29"/>
  <c r="H29"/>
  <c r="M28"/>
  <c r="M33" s="1"/>
  <c r="H28"/>
  <c r="H21"/>
  <c r="H20"/>
  <c r="L19"/>
  <c r="H19"/>
  <c r="M18"/>
  <c r="H18"/>
  <c r="M17"/>
  <c r="H17"/>
  <c r="M16"/>
  <c r="H16"/>
  <c r="E16"/>
  <c r="M21" s="1"/>
  <c r="M22" s="1"/>
  <c r="M15"/>
  <c r="H15"/>
  <c r="M14"/>
  <c r="M19" s="1"/>
  <c r="H14"/>
  <c r="L10"/>
  <c r="M9"/>
  <c r="M8"/>
  <c r="M7"/>
  <c r="M6"/>
  <c r="M5"/>
  <c r="M10" s="1"/>
  <c r="K1"/>
  <c r="D5" l="1"/>
  <c r="D7"/>
  <c r="I41" i="21"/>
  <c r="H41"/>
  <c r="B102" i="22"/>
  <c r="B101"/>
  <c r="B100"/>
  <c r="B99"/>
  <c r="B98"/>
  <c r="B97"/>
  <c r="B96"/>
  <c r="B95"/>
  <c r="B94"/>
  <c r="B93"/>
  <c r="H102"/>
  <c r="C2"/>
  <c r="C3"/>
  <c r="F5" i="43" l="1"/>
  <c r="G7" i="22"/>
  <c r="I7"/>
  <c r="G5" i="43" l="1"/>
  <c r="V8" i="22"/>
  <c r="H5" i="43" s="1"/>
  <c r="E5"/>
  <c r="F6"/>
  <c r="D6"/>
  <c r="F7"/>
  <c r="I10" i="22"/>
  <c r="V11" l="1"/>
  <c r="H6" i="43" s="1"/>
  <c r="G6"/>
  <c r="E6"/>
  <c r="V14" i="22"/>
  <c r="H7" i="43" s="1"/>
  <c r="V16" i="22"/>
  <c r="I13"/>
  <c r="G7" i="43" l="1"/>
  <c r="E7"/>
  <c r="F8"/>
  <c r="D8"/>
  <c r="I16" i="22"/>
  <c r="V17" l="1"/>
  <c r="H8" i="43" s="1"/>
  <c r="G8"/>
  <c r="E8"/>
  <c r="F9"/>
  <c r="D9"/>
  <c r="V22" i="22"/>
  <c r="I19"/>
  <c r="G9" i="43" l="1"/>
  <c r="V20" i="22"/>
  <c r="H9" i="43" s="1"/>
  <c r="E9"/>
  <c r="F10"/>
  <c r="D10"/>
  <c r="V25" i="22"/>
  <c r="I22"/>
  <c r="G10" i="43" l="1"/>
  <c r="V23" i="22"/>
  <c r="H10" i="43" s="1"/>
  <c r="E10"/>
  <c r="F11"/>
  <c r="D11"/>
  <c r="V28" i="22"/>
  <c r="I25"/>
  <c r="V26" l="1"/>
  <c r="H11" i="43" s="1"/>
  <c r="G11"/>
  <c r="E11"/>
  <c r="F12"/>
  <c r="D12"/>
  <c r="I28" i="22"/>
  <c r="V32" l="1"/>
  <c r="V33" s="1"/>
  <c r="G12" i="43"/>
  <c r="V29" i="22"/>
  <c r="E12" i="43"/>
  <c r="M12" s="1"/>
  <c r="M13" s="1"/>
  <c r="V35" i="22"/>
  <c r="V36" l="1"/>
  <c r="V38"/>
  <c r="V39" l="1"/>
  <c r="V41" l="1"/>
  <c r="V42" s="1"/>
  <c r="V44"/>
  <c r="V45" l="1"/>
  <c r="V47" l="1"/>
  <c r="V48" s="1"/>
  <c r="V50"/>
  <c r="V51" l="1"/>
  <c r="V53" l="1"/>
  <c r="V54" s="1"/>
  <c r="V57"/>
  <c r="V58" l="1"/>
  <c r="V60" l="1"/>
  <c r="V61" s="1"/>
  <c r="V63"/>
  <c r="V64" l="1"/>
  <c r="V66" l="1"/>
  <c r="V67" s="1"/>
  <c r="V69"/>
  <c r="V70" l="1"/>
  <c r="V72" l="1"/>
  <c r="V73" s="1"/>
  <c r="V75"/>
  <c r="V76" l="1"/>
  <c r="V78"/>
  <c r="J95" l="1"/>
  <c r="J96" s="1"/>
  <c r="V79"/>
  <c r="A83"/>
  <c r="B83"/>
  <c r="F83"/>
  <c r="G83"/>
  <c r="H83"/>
  <c r="A84"/>
  <c r="B84"/>
  <c r="F84"/>
  <c r="G84"/>
  <c r="H84"/>
  <c r="A85"/>
  <c r="B85"/>
  <c r="F85"/>
  <c r="G85"/>
  <c r="H85"/>
  <c r="A86"/>
  <c r="B86"/>
  <c r="F86"/>
  <c r="G86"/>
  <c r="H86"/>
  <c r="A87"/>
  <c r="B87"/>
  <c r="F87"/>
  <c r="G87"/>
  <c r="H87"/>
  <c r="A88"/>
  <c r="B88"/>
  <c r="F88"/>
  <c r="G88"/>
  <c r="H88"/>
  <c r="A89"/>
  <c r="B89"/>
  <c r="F89"/>
  <c r="G89"/>
  <c r="H89"/>
  <c r="A90"/>
  <c r="B90"/>
  <c r="F90"/>
  <c r="G90"/>
  <c r="H90"/>
  <c r="A91"/>
  <c r="B91"/>
  <c r="F91"/>
  <c r="G91"/>
  <c r="H91"/>
  <c r="A92"/>
  <c r="B92"/>
  <c r="F92"/>
  <c r="G92"/>
  <c r="H92"/>
  <c r="A93"/>
  <c r="F93"/>
  <c r="G93"/>
  <c r="H93"/>
  <c r="A94"/>
  <c r="F94"/>
  <c r="G94"/>
  <c r="H94"/>
  <c r="A95"/>
  <c r="F95"/>
  <c r="G95"/>
  <c r="H95"/>
  <c r="I96"/>
  <c r="K95"/>
  <c r="K96" s="1"/>
  <c r="L95"/>
  <c r="L96" s="1"/>
  <c r="M95"/>
  <c r="M96" s="1"/>
  <c r="N95"/>
  <c r="A96"/>
  <c r="F96"/>
  <c r="G96"/>
  <c r="H96"/>
  <c r="A97"/>
  <c r="F97"/>
  <c r="G97"/>
  <c r="H97"/>
  <c r="A98"/>
  <c r="F98"/>
  <c r="G98"/>
  <c r="H98"/>
  <c r="A99"/>
  <c r="F99"/>
  <c r="G99"/>
  <c r="H99"/>
  <c r="A100"/>
  <c r="F100"/>
  <c r="G100"/>
  <c r="H100"/>
  <c r="A101"/>
  <c r="F101"/>
  <c r="G101"/>
  <c r="H101"/>
  <c r="A102"/>
  <c r="F102"/>
  <c r="G102"/>
  <c r="D32" i="21"/>
  <c r="C32"/>
  <c r="D33"/>
  <c r="C33"/>
  <c r="B33"/>
  <c r="L51"/>
  <c r="O95" i="22" l="1"/>
  <c r="E32" i="21"/>
  <c r="B32"/>
  <c r="I45"/>
  <c r="H45"/>
  <c r="G45"/>
  <c r="G41"/>
  <c r="P32"/>
  <c r="O32"/>
  <c r="N32"/>
  <c r="B25" l="1"/>
  <c r="B19"/>
  <c r="B4"/>
  <c r="B22"/>
  <c r="B13"/>
  <c r="B16"/>
  <c r="B10"/>
  <c r="B18"/>
  <c r="B24"/>
  <c r="B3"/>
  <c r="B21"/>
  <c r="B12"/>
  <c r="B9"/>
  <c r="B15"/>
  <c r="B5"/>
  <c r="B11"/>
  <c r="B26"/>
  <c r="B20"/>
  <c r="B14"/>
  <c r="B8"/>
  <c r="B23"/>
  <c r="B17"/>
  <c r="O17" l="1"/>
  <c r="O18"/>
  <c r="O16"/>
  <c r="C11" l="1"/>
  <c r="D11" s="1"/>
  <c r="C8"/>
  <c r="D8" s="1"/>
  <c r="C7"/>
  <c r="D7" s="1"/>
  <c r="C3"/>
  <c r="C6"/>
  <c r="D6" s="1"/>
  <c r="C12"/>
  <c r="D12" s="1"/>
  <c r="C15"/>
  <c r="D15" s="1"/>
  <c r="C16"/>
  <c r="D16" s="1"/>
  <c r="C9"/>
  <c r="D9" s="1"/>
  <c r="C5"/>
  <c r="D5" s="1"/>
  <c r="C19"/>
  <c r="D19" s="1"/>
  <c r="C22"/>
  <c r="D22" s="1"/>
  <c r="C10"/>
  <c r="D10" s="1"/>
  <c r="C20"/>
  <c r="D20" s="1"/>
  <c r="C25"/>
  <c r="D25" s="1"/>
  <c r="C4"/>
  <c r="C13"/>
  <c r="D13" s="1"/>
  <c r="C18"/>
  <c r="D18" s="1"/>
  <c r="C24"/>
  <c r="D24" s="1"/>
  <c r="C21"/>
  <c r="D21" s="1"/>
  <c r="C26"/>
  <c r="D26" s="1"/>
  <c r="C14"/>
  <c r="D14" s="1"/>
  <c r="C23"/>
  <c r="D23" s="1"/>
  <c r="C17"/>
  <c r="D17" s="1"/>
  <c r="K28" l="1"/>
  <c r="I28"/>
  <c r="G4"/>
  <c r="G5" l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8" l="1"/>
</calcChain>
</file>

<file path=xl/comments1.xml><?xml version="1.0" encoding="utf-8"?>
<comments xmlns="http://schemas.openxmlformats.org/spreadsheetml/2006/main">
  <authors>
    <author>PM LIS User</author>
  </authors>
  <commentList>
    <comment ref="F4" authorId="0">
      <text>
        <r>
          <rPr>
            <b/>
            <sz val="24"/>
            <color indexed="81"/>
            <rFont val="Tahoma"/>
            <family val="2"/>
          </rPr>
          <t>Reference
A261</t>
        </r>
      </text>
    </comment>
    <comment ref="G4" authorId="0">
      <text>
        <r>
          <rPr>
            <b/>
            <sz val="24"/>
            <color indexed="81"/>
            <rFont val="Tahoma"/>
            <family val="2"/>
          </rPr>
          <t>Reference
A041
A130
A135
A145</t>
        </r>
      </text>
    </comment>
    <comment ref="H4" authorId="0">
      <text>
        <r>
          <rPr>
            <b/>
            <sz val="24"/>
            <color indexed="81"/>
            <rFont val="Tahoma"/>
            <family val="2"/>
          </rPr>
          <t>Reference
A195
A198
A200</t>
        </r>
      </text>
    </comment>
    <comment ref="I4" authorId="0">
      <text>
        <r>
          <rPr>
            <b/>
            <sz val="24"/>
            <color indexed="81"/>
            <rFont val="Tahoma"/>
            <family val="2"/>
          </rPr>
          <t>Reference
A231
A234
A223
A261
A270
A275
A290
A295
A300
A465
A757</t>
        </r>
      </text>
    </comment>
    <comment ref="J4" authorId="0">
      <text>
        <r>
          <rPr>
            <b/>
            <sz val="24"/>
            <color indexed="81"/>
            <rFont val="Tahoma"/>
            <family val="2"/>
          </rPr>
          <t>Reference
A226
A230
A400
A755</t>
        </r>
      </text>
    </comment>
  </commentList>
</comments>
</file>

<file path=xl/comments2.xml><?xml version="1.0" encoding="utf-8"?>
<comments xmlns="http://schemas.openxmlformats.org/spreadsheetml/2006/main">
  <authors>
    <author>PM LIS User</author>
  </authors>
  <commentList>
    <comment ref="F4" authorId="0">
      <text>
        <r>
          <rPr>
            <b/>
            <sz val="24"/>
            <color indexed="81"/>
            <rFont val="Tahoma"/>
            <family val="2"/>
          </rPr>
          <t>Reference
A261</t>
        </r>
      </text>
    </comment>
    <comment ref="G4" authorId="0">
      <text>
        <r>
          <rPr>
            <b/>
            <sz val="24"/>
            <color indexed="81"/>
            <rFont val="Tahoma"/>
            <family val="2"/>
          </rPr>
          <t>Reference
A041
A130
A135
A145</t>
        </r>
      </text>
    </comment>
    <comment ref="H4" authorId="0">
      <text>
        <r>
          <rPr>
            <b/>
            <sz val="24"/>
            <color indexed="81"/>
            <rFont val="Tahoma"/>
            <family val="2"/>
          </rPr>
          <t>Reference
A195
A198
A200</t>
        </r>
      </text>
    </comment>
    <comment ref="I4" authorId="0">
      <text>
        <r>
          <rPr>
            <b/>
            <sz val="24"/>
            <color indexed="81"/>
            <rFont val="Tahoma"/>
            <family val="2"/>
          </rPr>
          <t>Reference
A231
A234
A223
A261
A270
A275
A290
A295
A300
A465
A757</t>
        </r>
      </text>
    </comment>
    <comment ref="J4" authorId="0">
      <text>
        <r>
          <rPr>
            <b/>
            <sz val="24"/>
            <color indexed="81"/>
            <rFont val="Tahoma"/>
            <family val="2"/>
          </rPr>
          <t>Reference
A226
A230
A400
A755</t>
        </r>
      </text>
    </comment>
  </commentList>
</comments>
</file>

<file path=xl/comments3.xml><?xml version="1.0" encoding="utf-8"?>
<comments xmlns="http://schemas.openxmlformats.org/spreadsheetml/2006/main">
  <authors>
    <author>AGM</author>
    <author>PM LIS User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W401</t>
        </r>
      </text>
    </comment>
    <comment ref="J1" authorId="1">
      <text>
        <r>
          <rPr>
            <b/>
            <sz val="24"/>
            <color indexed="81"/>
            <rFont val="Tahoma"/>
            <family val="2"/>
          </rPr>
          <t>W250</t>
        </r>
      </text>
    </comment>
    <comment ref="K1" authorId="1">
      <text>
        <r>
          <rPr>
            <b/>
            <sz val="24"/>
            <color indexed="81"/>
            <rFont val="Tahoma"/>
            <family val="2"/>
          </rPr>
          <t>A102</t>
        </r>
      </text>
    </comment>
    <comment ref="L1" authorId="1">
      <text>
        <r>
          <rPr>
            <b/>
            <sz val="24"/>
            <color indexed="81"/>
            <rFont val="Tahoma"/>
            <family val="2"/>
          </rPr>
          <t>W406
W407</t>
        </r>
      </text>
    </comment>
    <comment ref="M1" authorId="1">
      <text>
        <r>
          <rPr>
            <b/>
            <sz val="24"/>
            <color indexed="81"/>
            <rFont val="Tahoma"/>
            <family val="2"/>
          </rPr>
          <t>W211</t>
        </r>
      </text>
    </comment>
    <comment ref="N1" authorId="0">
      <text>
        <r>
          <rPr>
            <b/>
            <sz val="24"/>
            <color indexed="81"/>
            <rFont val="Tahoma"/>
            <family val="2"/>
          </rPr>
          <t>W405</t>
        </r>
      </text>
    </comment>
    <comment ref="O1" authorId="0">
      <text>
        <r>
          <rPr>
            <b/>
            <sz val="24"/>
            <color indexed="81"/>
            <rFont val="Tahoma"/>
            <family val="2"/>
          </rPr>
          <t>W415</t>
        </r>
      </text>
    </comment>
    <comment ref="P1" authorId="1">
      <text>
        <r>
          <rPr>
            <b/>
            <sz val="24"/>
            <color indexed="81"/>
            <rFont val="Tahoma"/>
            <family val="2"/>
          </rPr>
          <t>A533</t>
        </r>
      </text>
    </comment>
    <comment ref="Q1" authorId="1">
      <text>
        <r>
          <rPr>
            <b/>
            <sz val="24"/>
            <color indexed="81"/>
            <rFont val="Tahoma"/>
            <family val="2"/>
          </rPr>
          <t>Reference
A195
A198
A200</t>
        </r>
      </text>
    </comment>
    <comment ref="R1" authorId="1">
      <text>
        <r>
          <rPr>
            <b/>
            <sz val="24"/>
            <color indexed="81"/>
            <rFont val="Tahoma"/>
            <family val="2"/>
          </rPr>
          <t>Reference
A231
A234
A223
A261
A270
A275
A290
A295
A300
A465
A757</t>
        </r>
      </text>
    </comment>
    <comment ref="S1" authorId="1">
      <text>
        <r>
          <rPr>
            <b/>
            <sz val="24"/>
            <color indexed="81"/>
            <rFont val="Tahoma"/>
            <family val="2"/>
          </rPr>
          <t>Reference
A226
A230
A400
A755</t>
        </r>
      </text>
    </comment>
  </commentList>
</comments>
</file>

<file path=xl/connections.xml><?xml version="1.0" encoding="utf-8"?>
<connections xmlns="http://schemas.openxmlformats.org/spreadsheetml/2006/main">
  <connection id="1" odcFile="C:\Users\Administrator\Documents\My Data Sources\10.2.1.2 1-4AHB EIACFT.odc" keepAlive="1" name="10.2.1.2 1-4AHB EIACFT1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02;Use Encryption for Data=False;Tag with column collation when possible=False" command="&quot;1-4AHB&quot;.&quot;dbo&quot;.&quot;EIACFT&quot;" commandType="3"/>
  </connection>
  <connection id="2" odcFile="C:\Users\Administrator\Documents\My Data Sources\10.2.1.2 1-4AHB ENDITEM.odc" keepAlive="1" name="10.2.1.2 1-4AHB ENDITEM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02;Use Encryption for Data=False;Tag with column collation when possible=False" command="&quot;1-4AHB&quot;.&quot;dbo&quot;.&quot;ENDITEM&quot;" commandType="3"/>
  </connection>
  <connection id="3" odcFile="C:\Users\Administrator\Documents\My Data Sources\10.2.1.2 1-4AHB READ_DAILY.odc" keepAlive="1" name="10.2.1.2 1-4AHB READ_DAILY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02;Use Encryption for Data=False;Tag with column collation when possible=False" command="&quot;1-4AHB&quot;.&quot;dbo&quot;.&quot;READ_DAILY&quot;" commandType="3"/>
  </connection>
  <connection id="4" odcFile="C:\Users\Administrator\Documents\My Data Sources\10.2.1.2 1-4AHB SCH_INSP.odc" keepAlive="1" name="10.2.1.2 1-4AHB SCH_INSP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02;Use Encryption for Data=False;Tag with column collation when possible=False" command="&quot;1-4AHB&quot;.&quot;dbo&quot;.&quot;SCH_INSP&quot;" commandType="3"/>
  </connection>
  <connection id="5" odcFile="C:\Users\Administrator\Documents\My Data Sources\10.2.1.2 1-4AHB v_gen_READINESS.odc" keepAlive="1" name="10.2.1.2 1-4AHB v_gen_READINESS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02;Use Encryption for Data=False;Tag with column collation when possible=False" command="&quot;1-4AHB&quot;.&quot;dbo&quot;.&quot;v_gen_READINESS&quot;" commandType="3"/>
  </connection>
  <connection id="6" odcFile="C:\Users\Administrator\Documents\My Data Sources\10.2.1.2 1-4AHB v_gen_TBO.odc" keepAlive="1" name="10.2.1.2 1-4AHB v_gen_TBO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02;Use Encryption for Data=False;Tag with column collation when possible=False" command="&quot;1-4AHB&quot;.&quot;dbo&quot;.&quot;v_gen_TBO&quot;" commandType="3"/>
  </connection>
  <connection id="7" odcFile="C:\Users\Administrator\Documents\My Data Sources\10.2.1.2. 1-4AHB MIG_LOG.odc" keepAlive="1" name="10.2.1.2. 1-4AHB MIG_LOG" type="5" refreshedVersion="3" background="1" saveData="1">
    <dbPr connection="Provider=SQLOLEDB.1;Integrated Security=SSPI;Persist Security Info=True;Initial Catalog=1-4AHB;Data Source=10.2.1.2.;Use Procedure for Prepare=1;Auto Translate=True;Packet Size=4096;Workstation ID=1-4AHBWS02;Use Encryption for Data=False;Tag with column collation when possible=False" command="&quot;1-4AHB&quot;.&quot;dbo&quot;.&quot;MIG_LOG&quot;" commandType="3"/>
  </connection>
</connections>
</file>

<file path=xl/sharedStrings.xml><?xml version="1.0" encoding="utf-8"?>
<sst xmlns="http://schemas.openxmlformats.org/spreadsheetml/2006/main" count="8432" uniqueCount="1202">
  <si>
    <t>PMCM</t>
  </si>
  <si>
    <t>PMCS</t>
  </si>
  <si>
    <t>NMCS</t>
  </si>
  <si>
    <t>NMCM</t>
  </si>
  <si>
    <t>FMC</t>
  </si>
  <si>
    <t>N</t>
  </si>
  <si>
    <t>Date</t>
  </si>
  <si>
    <t>TBO</t>
  </si>
  <si>
    <t>Julian</t>
  </si>
  <si>
    <t>Tail</t>
  </si>
  <si>
    <t>Hours</t>
  </si>
  <si>
    <t>OR</t>
  </si>
  <si>
    <t>R</t>
  </si>
  <si>
    <t>M</t>
  </si>
  <si>
    <t>EI_MODEL</t>
  </si>
  <si>
    <t>SYS_CODE</t>
  </si>
  <si>
    <t>INSP_NO</t>
  </si>
  <si>
    <t>FRQ_TYPE</t>
  </si>
  <si>
    <t>EI_ID</t>
  </si>
  <si>
    <t>INSP_DATE</t>
  </si>
  <si>
    <t>INSP_VAL</t>
  </si>
  <si>
    <t>DATE_TIME_STAMP</t>
  </si>
  <si>
    <t>PID_STAMP</t>
  </si>
  <si>
    <t>DEL_FLAG</t>
  </si>
  <si>
    <t>UPDATE_FLAG</t>
  </si>
  <si>
    <t>AH-64D</t>
  </si>
  <si>
    <t>A</t>
  </si>
  <si>
    <t>D</t>
  </si>
  <si>
    <t>H</t>
  </si>
  <si>
    <t>E</t>
  </si>
  <si>
    <t>W</t>
  </si>
  <si>
    <t>Row Labels</t>
  </si>
  <si>
    <t>Grand Total</t>
  </si>
  <si>
    <t>Column Labels</t>
  </si>
  <si>
    <t>Max of INSP_VAL</t>
  </si>
  <si>
    <t>EI_SN</t>
  </si>
  <si>
    <t>CYCLE_NUM_DUE</t>
  </si>
  <si>
    <t>MAX_CYCLES</t>
  </si>
  <si>
    <t>X</t>
  </si>
  <si>
    <t>UIC_OWN</t>
  </si>
  <si>
    <t>EI_TYPE</t>
  </si>
  <si>
    <t>MISSION_MODEL</t>
  </si>
  <si>
    <t>INDEPENDENT</t>
  </si>
  <si>
    <t>START_RNDS</t>
  </si>
  <si>
    <t>CURR_RNDS</t>
  </si>
  <si>
    <t>EI_MODE</t>
  </si>
  <si>
    <t>PHASE_DUE</t>
  </si>
  <si>
    <t>PHASE_NO</t>
  </si>
  <si>
    <t>CYCLE_DUE_HRS</t>
  </si>
  <si>
    <t>CYCLE_START_DATE</t>
  </si>
  <si>
    <t>ITERATION</t>
  </si>
  <si>
    <t>HRS_PER_CYCLE</t>
  </si>
  <si>
    <t>FRONT_TOL</t>
  </si>
  <si>
    <t>BACK_TOL</t>
  </si>
  <si>
    <t>HSF</t>
  </si>
  <si>
    <t>LAND_CYCLES</t>
  </si>
  <si>
    <t>LANDINGS</t>
  </si>
  <si>
    <t>LANDINGS_AUTO</t>
  </si>
  <si>
    <t>APU_HOURS</t>
  </si>
  <si>
    <t>APU_HR_METER</t>
  </si>
  <si>
    <t>APU_STARTS</t>
  </si>
  <si>
    <t>APU_DATE_RD</t>
  </si>
  <si>
    <t>APU_PID</t>
  </si>
  <si>
    <t>CRCHIEF_PID</t>
  </si>
  <si>
    <t>SUPRVSR_PID</t>
  </si>
  <si>
    <t>DATE10HR14DAY</t>
  </si>
  <si>
    <t>HRS10HR14DAY</t>
  </si>
  <si>
    <t>PMD_DATE</t>
  </si>
  <si>
    <t>PMD_HOURS</t>
  </si>
  <si>
    <t>PMD_PID</t>
  </si>
  <si>
    <t>LASTMIGDATE</t>
  </si>
  <si>
    <t>LASTMIGTIME</t>
  </si>
  <si>
    <t>RIN</t>
  </si>
  <si>
    <t>STATUS_E</t>
  </si>
  <si>
    <t>STATUS_W</t>
  </si>
  <si>
    <t>STATUS_O</t>
  </si>
  <si>
    <t>PHASE_INT</t>
  </si>
  <si>
    <t>-</t>
  </si>
  <si>
    <t>COMGEN</t>
  </si>
  <si>
    <t>TEMP_XFR</t>
  </si>
  <si>
    <t>UIC_TEMP_XFR</t>
  </si>
  <si>
    <t>UIC_TEMP</t>
  </si>
  <si>
    <t>EI_ID_ATTCHD</t>
  </si>
  <si>
    <t>EI_BEG_AGE</t>
  </si>
  <si>
    <t>EI_START_AGE</t>
  </si>
  <si>
    <t>STATUS</t>
  </si>
  <si>
    <t>LAST_DATE_USE</t>
  </si>
  <si>
    <t>LAST_FP</t>
  </si>
  <si>
    <t>REMARKS</t>
  </si>
  <si>
    <t>PURGE_MPS</t>
  </si>
  <si>
    <t>EID</t>
  </si>
  <si>
    <t>Faults</t>
  </si>
  <si>
    <t>Max of INSP_DATE</t>
  </si>
  <si>
    <t>TAG_ID</t>
  </si>
  <si>
    <t>MIG_SEQ_NO</t>
  </si>
  <si>
    <t>MIG_FAILED</t>
  </si>
  <si>
    <t>People / Plan / Parts</t>
  </si>
  <si>
    <t>NDI</t>
  </si>
  <si>
    <t>PART_NOMEN</t>
  </si>
  <si>
    <t>NSN</t>
  </si>
  <si>
    <t>REALDUE</t>
  </si>
  <si>
    <t>COMP_RMVD</t>
  </si>
  <si>
    <t>ENG MOUNT SPT FWD INBD</t>
  </si>
  <si>
    <t>1560012642085</t>
  </si>
  <si>
    <t>COND</t>
  </si>
  <si>
    <t>WING ASSY LH</t>
  </si>
  <si>
    <t>NSN PENDING</t>
  </si>
  <si>
    <t>WING ASSY RH</t>
  </si>
  <si>
    <t>MAST, M/R SUPPORT</t>
  </si>
  <si>
    <t>1615011661963</t>
  </si>
  <si>
    <t>BASE ASSY MAST SUPPORT</t>
  </si>
  <si>
    <t>1615011556581</t>
  </si>
  <si>
    <t>BASE ASSY, MAST SUPPORT</t>
  </si>
  <si>
    <t>STRUT FWD CENTER LH</t>
  </si>
  <si>
    <t>1615011643791</t>
  </si>
  <si>
    <t>STRUT FWD CENTER RH</t>
  </si>
  <si>
    <t>1615011643790</t>
  </si>
  <si>
    <t>STRUT AFT CENTER LH</t>
  </si>
  <si>
    <t>1615011639508</t>
  </si>
  <si>
    <t>STRUT AFT CENTER RH</t>
  </si>
  <si>
    <t>1615011639507</t>
  </si>
  <si>
    <t>REACTION BAR</t>
  </si>
  <si>
    <t>5340014389284</t>
  </si>
  <si>
    <t>1615014543810</t>
  </si>
  <si>
    <t>FRAME FS 176</t>
  </si>
  <si>
    <t>16857</t>
  </si>
  <si>
    <t>FRAME FS 230</t>
  </si>
  <si>
    <t>11819</t>
  </si>
  <si>
    <t>STABILATOR ASSY</t>
  </si>
  <si>
    <t>1560014663661</t>
  </si>
  <si>
    <t>STABILATOR FITTING (ACFT)</t>
  </si>
  <si>
    <t>1560015921214</t>
  </si>
  <si>
    <t>18070</t>
  </si>
  <si>
    <t>SPAR BOX ASSY VERT STAB</t>
  </si>
  <si>
    <t>1560014656856</t>
  </si>
  <si>
    <t>1560014710947</t>
  </si>
  <si>
    <t>1560014712791</t>
  </si>
  <si>
    <t>1560014712793</t>
  </si>
  <si>
    <t>1560014712797</t>
  </si>
  <si>
    <t>FRAME FS 547</t>
  </si>
  <si>
    <t>16904</t>
  </si>
  <si>
    <t>1620011474775</t>
  </si>
  <si>
    <t>1620014659232</t>
  </si>
  <si>
    <t>TAIL SHOCK STRUT ASSY</t>
  </si>
  <si>
    <t>1620011532281</t>
  </si>
  <si>
    <t>MAIN ROTOR HEAD ASSY</t>
  </si>
  <si>
    <t>1615015120889</t>
  </si>
  <si>
    <t>HUB SUB ASSY</t>
  </si>
  <si>
    <t>1615013234381</t>
  </si>
  <si>
    <t>M/R HUB RETENTION NUT</t>
  </si>
  <si>
    <t>5310013501346</t>
  </si>
  <si>
    <t>STRETCHED STRAP</t>
  </si>
  <si>
    <t>1615015017715</t>
  </si>
  <si>
    <t>BOLT STRAP ASSY ATTACH</t>
  </si>
  <si>
    <t>PITCH HOUSING</t>
  </si>
  <si>
    <t>1615015075295</t>
  </si>
  <si>
    <t>LEAD LAG LINK ASSY</t>
  </si>
  <si>
    <t>3040013521531</t>
  </si>
  <si>
    <t>10444</t>
  </si>
  <si>
    <t>10340</t>
  </si>
  <si>
    <t>FEATHERING BEARING</t>
  </si>
  <si>
    <t>1615012493982</t>
  </si>
  <si>
    <t>FEATHERING BEARING STUD</t>
  </si>
  <si>
    <t>5307011634676</t>
  </si>
  <si>
    <t>PLATE, UPPER</t>
  </si>
  <si>
    <t>1615011643847</t>
  </si>
  <si>
    <t>PLATE, LOWER</t>
  </si>
  <si>
    <t>1615011643848</t>
  </si>
  <si>
    <t>LOWER SHOE ASSY</t>
  </si>
  <si>
    <t>1615012459826</t>
  </si>
  <si>
    <t>LOWER SHOE ASSEMBLY</t>
  </si>
  <si>
    <t>TRUNNION, DAMPER</t>
  </si>
  <si>
    <t>1615011705243</t>
  </si>
  <si>
    <t>BEARING, UPPER</t>
  </si>
  <si>
    <t>3110012154794</t>
  </si>
  <si>
    <t>BEARING, LOWER</t>
  </si>
  <si>
    <t>3110011797335</t>
  </si>
  <si>
    <t>LEAD LAG DAMPER</t>
  </si>
  <si>
    <t>1615012198658</t>
  </si>
  <si>
    <t>ROD END (DAMPER)</t>
  </si>
  <si>
    <t>3120011705299</t>
  </si>
  <si>
    <t>MAIN ROTOR BLADE</t>
  </si>
  <si>
    <t>1615013305098</t>
  </si>
  <si>
    <t>1615013320702</t>
  </si>
  <si>
    <t>5711</t>
  </si>
  <si>
    <t>6787</t>
  </si>
  <si>
    <t>MAIN ROTOR BLADE ASSEMBLY</t>
  </si>
  <si>
    <t>SWEPT TIP CAP</t>
  </si>
  <si>
    <t>1560011705256</t>
  </si>
  <si>
    <t>M/R BLADE ATTACH PIN</t>
  </si>
  <si>
    <t>1615011643917</t>
  </si>
  <si>
    <t>9547</t>
  </si>
  <si>
    <t>7057</t>
  </si>
  <si>
    <t>MAIN ROTOR BLADE ATTACH PIN</t>
  </si>
  <si>
    <t>8516</t>
  </si>
  <si>
    <t>M/R SWASHPLATE ASSY</t>
  </si>
  <si>
    <t>1615013257002</t>
  </si>
  <si>
    <t>NON ROTATING SWASHPLATE</t>
  </si>
  <si>
    <t>1615012244848</t>
  </si>
  <si>
    <t>M/R ROTATING SWASHPLATE</t>
  </si>
  <si>
    <t>1615013257003</t>
  </si>
  <si>
    <t>M/R SWASHPLATE BALL BRN</t>
  </si>
  <si>
    <t>3110013363525</t>
  </si>
  <si>
    <t>RETAINER UPPER SWSH PLT</t>
  </si>
  <si>
    <t>3110013344856</t>
  </si>
  <si>
    <t>4508</t>
  </si>
  <si>
    <t>ARM ASSY, FLIGHT CONTROL</t>
  </si>
  <si>
    <t>1680011656775</t>
  </si>
  <si>
    <t>ARM ASSY, FLT CONTROL</t>
  </si>
  <si>
    <t>M/R PITCH LINK ASSY</t>
  </si>
  <si>
    <t>1615012575795</t>
  </si>
  <si>
    <t>PITCH ROD END (UPPER)</t>
  </si>
  <si>
    <t>1615012575796</t>
  </si>
  <si>
    <t>1615012575794</t>
  </si>
  <si>
    <t>PITCH ROD END (LOWER)</t>
  </si>
  <si>
    <t>TAIL ROTOR HEAD ASSY</t>
  </si>
  <si>
    <t>1615013070156</t>
  </si>
  <si>
    <t>TAIL ROTOR FORK ASSY</t>
  </si>
  <si>
    <t>1615012212932</t>
  </si>
  <si>
    <t>1615015089558</t>
  </si>
  <si>
    <t>TAIL ROTOR HUB ASSY</t>
  </si>
  <si>
    <t>1615011547068</t>
  </si>
  <si>
    <t>TAIL ROTOR STRAP ASSY</t>
  </si>
  <si>
    <t>1615011724974</t>
  </si>
  <si>
    <t>TAIL ROTOR BLADE ASSY</t>
  </si>
  <si>
    <t>BOLT</t>
  </si>
  <si>
    <t>5306011775717</t>
  </si>
  <si>
    <t>T/R SWASHPLATE ASSY</t>
  </si>
  <si>
    <t>1615015084118</t>
  </si>
  <si>
    <t>BEARING, T/R SWASHPLATE</t>
  </si>
  <si>
    <t>3110013192168</t>
  </si>
  <si>
    <t>MAIN TRANSMISSION ASSY</t>
  </si>
  <si>
    <t>1615015209742</t>
  </si>
  <si>
    <t>6211</t>
  </si>
  <si>
    <t>1615015209744</t>
  </si>
  <si>
    <t>HOUSING ASSY</t>
  </si>
  <si>
    <t>1615014615083</t>
  </si>
  <si>
    <t>DRIVE COVER</t>
  </si>
  <si>
    <t>3040011556576</t>
  </si>
  <si>
    <t>CARRIER ASSEMBLY</t>
  </si>
  <si>
    <t>7230</t>
  </si>
  <si>
    <t>INTERMEDIATE COVER</t>
  </si>
  <si>
    <t>1615012154786</t>
  </si>
  <si>
    <t>5834</t>
  </si>
  <si>
    <t>INPUT FLANGE</t>
  </si>
  <si>
    <t>1615011706959</t>
  </si>
  <si>
    <t>MAIN ROTOR DRIVE PLATE</t>
  </si>
  <si>
    <t>3010014393739</t>
  </si>
  <si>
    <t>ACC MOD CLUTCH</t>
  </si>
  <si>
    <t>1615015217009</t>
  </si>
  <si>
    <t>ACC MOD CLUTCH, PRIMARY</t>
  </si>
  <si>
    <t>ACC MOD CLUTCH, SECONDARY</t>
  </si>
  <si>
    <t>INPUT PINION</t>
  </si>
  <si>
    <t>1615011634573</t>
  </si>
  <si>
    <t>HELICAL GEAR</t>
  </si>
  <si>
    <t>3040011550885</t>
  </si>
  <si>
    <t>GEARSHAFT, SPUR</t>
  </si>
  <si>
    <t>3040011611212</t>
  </si>
  <si>
    <t>3020011669138</t>
  </si>
  <si>
    <t>GEAR SPUR</t>
  </si>
  <si>
    <t>SUN GEAR</t>
  </si>
  <si>
    <t>3020011643971</t>
  </si>
  <si>
    <t>GEARSHAFT ASSY</t>
  </si>
  <si>
    <t>3040011657022</t>
  </si>
  <si>
    <t>3020013765667</t>
  </si>
  <si>
    <t>PLANETARY GEAR</t>
  </si>
  <si>
    <t>3020012198668</t>
  </si>
  <si>
    <t>NOSE GEARBOX ASSEMBLY L/H</t>
  </si>
  <si>
    <t>3010014940683</t>
  </si>
  <si>
    <t>NOSE GEARBOX ASSEMBLY R/H</t>
  </si>
  <si>
    <t>3010014940685</t>
  </si>
  <si>
    <t>7159</t>
  </si>
  <si>
    <t>NOSE GEARBOX ASSY LH</t>
  </si>
  <si>
    <t>3010015197677</t>
  </si>
  <si>
    <t>LUBE PUMP</t>
  </si>
  <si>
    <t>1650014623669</t>
  </si>
  <si>
    <t>QUILL SHAFT ASSEMBLY</t>
  </si>
  <si>
    <t>1615011656852</t>
  </si>
  <si>
    <t>COVER ASSY</t>
  </si>
  <si>
    <t>5340013742947</t>
  </si>
  <si>
    <t>5340015166817</t>
  </si>
  <si>
    <t>GEARSHAFT</t>
  </si>
  <si>
    <t>3040011657021</t>
  </si>
  <si>
    <t>INPUT GEAR</t>
  </si>
  <si>
    <t>3040012689954</t>
  </si>
  <si>
    <t>2840013741946</t>
  </si>
  <si>
    <t>2840015164024</t>
  </si>
  <si>
    <t>INTERMEDIATE GEARBOX ASSEMBLY</t>
  </si>
  <si>
    <t>1680014787102</t>
  </si>
  <si>
    <t>8301</t>
  </si>
  <si>
    <t>1680015301625</t>
  </si>
  <si>
    <t>DRIVE FLANGE</t>
  </si>
  <si>
    <t>3040011710506</t>
  </si>
  <si>
    <t>1615011650999</t>
  </si>
  <si>
    <t>1615015391865</t>
  </si>
  <si>
    <t>3020012744360</t>
  </si>
  <si>
    <t>OUTPUT GEAR</t>
  </si>
  <si>
    <t>3020012880839</t>
  </si>
  <si>
    <t>1650015333883</t>
  </si>
  <si>
    <t>TAIL ROTOR GEARBOX ASSEMBLY</t>
  </si>
  <si>
    <t>1615012547793</t>
  </si>
  <si>
    <t>3020013758143</t>
  </si>
  <si>
    <t>COVER</t>
  </si>
  <si>
    <t>1615011556590</t>
  </si>
  <si>
    <t>T/R STATIC SUPPORT</t>
  </si>
  <si>
    <t>1560013795639</t>
  </si>
  <si>
    <t>COLLAR</t>
  </si>
  <si>
    <t>1615011779994</t>
  </si>
  <si>
    <t>TR GEARBOX HOUSING ASSY</t>
  </si>
  <si>
    <t>1615014338510</t>
  </si>
  <si>
    <t>SHAFT SHOULDERED</t>
  </si>
  <si>
    <t>3040011728192</t>
  </si>
  <si>
    <t>QUILL SHAFT</t>
  </si>
  <si>
    <t>1615011717705</t>
  </si>
  <si>
    <t>3020011725138</t>
  </si>
  <si>
    <t>3020012703015</t>
  </si>
  <si>
    <t>SHAFT APU</t>
  </si>
  <si>
    <t>3040011547122</t>
  </si>
  <si>
    <t>3130013338491</t>
  </si>
  <si>
    <t>HANGER BEARING FWD / CBM VMEP</t>
  </si>
  <si>
    <t>3130015377237</t>
  </si>
  <si>
    <t>HANGER BEARING AFT</t>
  </si>
  <si>
    <t>3130013338490</t>
  </si>
  <si>
    <t>HANGER BEARING AFT / CBM VMEP</t>
  </si>
  <si>
    <t>3130015375778</t>
  </si>
  <si>
    <t>HYDRAULIC PUMP</t>
  </si>
  <si>
    <t>4320011580893</t>
  </si>
  <si>
    <t>MANIFOLD, HYDRAULIC UTILI</t>
  </si>
  <si>
    <t>4730013261804</t>
  </si>
  <si>
    <t>ENGINE STARTER</t>
  </si>
  <si>
    <t>2995014132163</t>
  </si>
  <si>
    <t>6115014955122</t>
  </si>
  <si>
    <t>GENERATOR</t>
  </si>
  <si>
    <t>PUMP, SUBMERGED</t>
  </si>
  <si>
    <t>2915011598522</t>
  </si>
  <si>
    <t>VALVE ASSY, CROSSFEED</t>
  </si>
  <si>
    <t>4810014426929</t>
  </si>
  <si>
    <t>NITROGEN INERTING UNIT</t>
  </si>
  <si>
    <t>1560011659449</t>
  </si>
  <si>
    <t>TAIL ROTOR ACTUATOR</t>
  </si>
  <si>
    <t>1650014940083</t>
  </si>
  <si>
    <t>ROD END BEARING</t>
  </si>
  <si>
    <t>5340012700706</t>
  </si>
  <si>
    <t>T/R DIRECTIONAL BELLCRANK</t>
  </si>
  <si>
    <t>1560012639849</t>
  </si>
  <si>
    <t>ACTUATOR</t>
  </si>
  <si>
    <t>1650012737610</t>
  </si>
  <si>
    <t>COLL. MAIN ROTOR ACTUATOR</t>
  </si>
  <si>
    <t>1650014770559</t>
  </si>
  <si>
    <t>ACTUATOR SUPPORT</t>
  </si>
  <si>
    <t>5113</t>
  </si>
  <si>
    <t>1680012629471</t>
  </si>
  <si>
    <t>1680013750815</t>
  </si>
  <si>
    <t>1650014940084</t>
  </si>
  <si>
    <t>1680012639844</t>
  </si>
  <si>
    <t>8417</t>
  </si>
  <si>
    <t>1680011719071</t>
  </si>
  <si>
    <t>1680012639843</t>
  </si>
  <si>
    <t>LATERAL LINK</t>
  </si>
  <si>
    <t>1615012629482</t>
  </si>
  <si>
    <t>1615012242257</t>
  </si>
  <si>
    <t>BOLT, LATERAL BELLCRANK</t>
  </si>
  <si>
    <t>5306011728682</t>
  </si>
  <si>
    <t>FWD LONGITUDE BELLCRANK</t>
  </si>
  <si>
    <t>1680012242263</t>
  </si>
  <si>
    <t>BOLT, SELF LCKNG, RTR CTN</t>
  </si>
  <si>
    <t>5306011639567</t>
  </si>
  <si>
    <t>BOLT, FWD LONG BELLCRANK SPT</t>
  </si>
  <si>
    <t>LONG TORQUE LINK ASSY</t>
  </si>
  <si>
    <t>3040012242260</t>
  </si>
  <si>
    <t>BOLT, TORQUE LINK SUPPORT</t>
  </si>
  <si>
    <t>5306011639568</t>
  </si>
  <si>
    <t>LONGITUDINAL LINK</t>
  </si>
  <si>
    <t>3040014328239</t>
  </si>
  <si>
    <t>AFT LONGITUDE BELLCRANK</t>
  </si>
  <si>
    <t>BOLT, AFT LONG BELLCRANK</t>
  </si>
  <si>
    <t>5306011637072</t>
  </si>
  <si>
    <t>COLLECTIVE BELLCRANK</t>
  </si>
  <si>
    <t>1680012242262</t>
  </si>
  <si>
    <t>1560012242262</t>
  </si>
  <si>
    <t>STABILATOR ACTUATOR</t>
  </si>
  <si>
    <t>1680012697284</t>
  </si>
  <si>
    <t>BEARING, SUPPORT MIXER</t>
  </si>
  <si>
    <t>3130012575797</t>
  </si>
  <si>
    <t>5306013097057</t>
  </si>
  <si>
    <t>14069</t>
  </si>
  <si>
    <t>AUXILIARY POWER UNIT</t>
  </si>
  <si>
    <t>APU CLUTCH</t>
  </si>
  <si>
    <t>3010015158483</t>
  </si>
  <si>
    <t>INERTIAL NAVIGATION (EGI)</t>
  </si>
  <si>
    <t>6605014210076</t>
  </si>
  <si>
    <t>IMPROVED DATA MODEM</t>
  </si>
  <si>
    <t>5895014265318</t>
  </si>
  <si>
    <t>WING PYLON ACTUATOR</t>
  </si>
  <si>
    <t>1650012637856</t>
  </si>
  <si>
    <t>DRIVE PLATE COVER</t>
  </si>
  <si>
    <t>5340014294980</t>
  </si>
  <si>
    <t>Nomenclature</t>
  </si>
  <si>
    <t>NIIN</t>
  </si>
  <si>
    <t>Due</t>
  </si>
  <si>
    <t>PN</t>
  </si>
  <si>
    <t>NO_OVHLS</t>
  </si>
  <si>
    <t>7-311670131-3</t>
  </si>
  <si>
    <t>CC</t>
  </si>
  <si>
    <t>7-311160020</t>
  </si>
  <si>
    <t>RC</t>
  </si>
  <si>
    <t>7-311160020-5</t>
  </si>
  <si>
    <t>7-311160030-7</t>
  </si>
  <si>
    <t>7-311160055-1</t>
  </si>
  <si>
    <t>7-311160055-2</t>
  </si>
  <si>
    <t>7-311160085-1</t>
  </si>
  <si>
    <t>7-311160085-2</t>
  </si>
  <si>
    <t>7-511310325-1</t>
  </si>
  <si>
    <t>7-311113118-3</t>
  </si>
  <si>
    <t>7-311113123-3</t>
  </si>
  <si>
    <t>7-311123600-603</t>
  </si>
  <si>
    <t>7-511123645-1</t>
  </si>
  <si>
    <t>7-311114201</t>
  </si>
  <si>
    <t>7-311122601-601</t>
  </si>
  <si>
    <t>7-311114253-1</t>
  </si>
  <si>
    <t>7-311114253-3</t>
  </si>
  <si>
    <t>7-311114253-5</t>
  </si>
  <si>
    <t>7-311114253-7</t>
  </si>
  <si>
    <t>7-311114250-1</t>
  </si>
  <si>
    <t>1168100-505</t>
  </si>
  <si>
    <t>1168100-507</t>
  </si>
  <si>
    <t>1168600-505</t>
  </si>
  <si>
    <t>1</t>
  </si>
  <si>
    <t>0</t>
  </si>
  <si>
    <t>7-311411003-625</t>
  </si>
  <si>
    <t>3</t>
  </si>
  <si>
    <t>2</t>
  </si>
  <si>
    <t>7-311411015-7</t>
  </si>
  <si>
    <t>7-311411102-5</t>
  </si>
  <si>
    <t>7-511411146-3</t>
  </si>
  <si>
    <t>HS4924-14D48</t>
  </si>
  <si>
    <t>7-311411215-19</t>
  </si>
  <si>
    <t>7-311411155-11</t>
  </si>
  <si>
    <t>7-311411193-15</t>
  </si>
  <si>
    <t>7-311411045-3</t>
  </si>
  <si>
    <t>7-311411096-3</t>
  </si>
  <si>
    <t>7-311411080-7</t>
  </si>
  <si>
    <t>7-311411088-9</t>
  </si>
  <si>
    <t>7-311411187</t>
  </si>
  <si>
    <t>7-311411202-5</t>
  </si>
  <si>
    <t>7-114110011</t>
  </si>
  <si>
    <t>7-311411110</t>
  </si>
  <si>
    <t>7-211411186-5</t>
  </si>
  <si>
    <t>7-311412000-3A</t>
  </si>
  <si>
    <t>7-311412000-5</t>
  </si>
  <si>
    <t>7-311412000-5P</t>
  </si>
  <si>
    <t>7-311412035-3</t>
  </si>
  <si>
    <t>7-211411185-3</t>
  </si>
  <si>
    <t>SL54005-102</t>
  </si>
  <si>
    <t>7-311511101-23</t>
  </si>
  <si>
    <t>7-311511107-11</t>
  </si>
  <si>
    <t>7-311511102-9</t>
  </si>
  <si>
    <t>7-311511103-5</t>
  </si>
  <si>
    <t>7-211511104-11</t>
  </si>
  <si>
    <t>7-311511161</t>
  </si>
  <si>
    <t>7-311511135-5</t>
  </si>
  <si>
    <t>7-311511135-7</t>
  </si>
  <si>
    <t>7-311511137-23</t>
  </si>
  <si>
    <t>7-311511137-25</t>
  </si>
  <si>
    <t>7-311511137-31</t>
  </si>
  <si>
    <t>7-311511137-33</t>
  </si>
  <si>
    <t>7-311421036-11</t>
  </si>
  <si>
    <t>7-211421008-11</t>
  </si>
  <si>
    <t>7-211421008-15</t>
  </si>
  <si>
    <t>7-211421037-3</t>
  </si>
  <si>
    <t>7-211421037-7</t>
  </si>
  <si>
    <t>7-211421035-7</t>
  </si>
  <si>
    <t>7-311422050-7S</t>
  </si>
  <si>
    <t>HS4243-9-63</t>
  </si>
  <si>
    <t>7-511527038-103</t>
  </si>
  <si>
    <t>6</t>
  </si>
  <si>
    <t>7-311527069-3</t>
  </si>
  <si>
    <t>7-311310001-51</t>
  </si>
  <si>
    <t>7-311310001-53</t>
  </si>
  <si>
    <t>7-311310011-9</t>
  </si>
  <si>
    <t>7-311310013-5</t>
  </si>
  <si>
    <t>7-311310005</t>
  </si>
  <si>
    <t>7-311310015-5</t>
  </si>
  <si>
    <t>7-311310059</t>
  </si>
  <si>
    <t>7-511310298-1</t>
  </si>
  <si>
    <t>7-113100109-3</t>
  </si>
  <si>
    <t>7-211310021</t>
  </si>
  <si>
    <t>7-211310039</t>
  </si>
  <si>
    <t>7-211310039-5</t>
  </si>
  <si>
    <t>7-211350021-3</t>
  </si>
  <si>
    <t>7-311310025</t>
  </si>
  <si>
    <t>7-311310033</t>
  </si>
  <si>
    <t>7-211310027-3</t>
  </si>
  <si>
    <t>7-211310035-3</t>
  </si>
  <si>
    <t>7-113100029-3</t>
  </si>
  <si>
    <t>7-113100031-3</t>
  </si>
  <si>
    <t>7-311320001-15</t>
  </si>
  <si>
    <t>7-311320001-16</t>
  </si>
  <si>
    <t>7-311320001-17</t>
  </si>
  <si>
    <t>7-211320101-7</t>
  </si>
  <si>
    <t>7-211320101-8</t>
  </si>
  <si>
    <t>7-211320093</t>
  </si>
  <si>
    <t>7-211320093-5</t>
  </si>
  <si>
    <t>7-311320013-5</t>
  </si>
  <si>
    <t>7-311320013-7</t>
  </si>
  <si>
    <t>7-311320092</t>
  </si>
  <si>
    <t>7-211320021-9</t>
  </si>
  <si>
    <t>7-311320011-5</t>
  </si>
  <si>
    <t>7-311320011-7</t>
  </si>
  <si>
    <t>7-311330001-7</t>
  </si>
  <si>
    <t>7-311330001-9</t>
  </si>
  <si>
    <t>7-311330025</t>
  </si>
  <si>
    <t>7-311330026</t>
  </si>
  <si>
    <t>7-311330132-5</t>
  </si>
  <si>
    <t>7-211330023-5</t>
  </si>
  <si>
    <t>7-211330021</t>
  </si>
  <si>
    <t>7-211330021-5</t>
  </si>
  <si>
    <t>7-311330011</t>
  </si>
  <si>
    <t>7-311330011-5</t>
  </si>
  <si>
    <t>7-311340001-5</t>
  </si>
  <si>
    <t>7-311340001-7</t>
  </si>
  <si>
    <t>7-211340023-3</t>
  </si>
  <si>
    <t>7-211340023-5</t>
  </si>
  <si>
    <t>7-311340012</t>
  </si>
  <si>
    <t>7-311340012-5</t>
  </si>
  <si>
    <t>7-311340027-3</t>
  </si>
  <si>
    <t>7-311340181-3</t>
  </si>
  <si>
    <t>7-311340011-9</t>
  </si>
  <si>
    <t>7-311340092</t>
  </si>
  <si>
    <t>7-311340091</t>
  </si>
  <si>
    <t>7-211340021</t>
  </si>
  <si>
    <t>7-211340021-5</t>
  </si>
  <si>
    <t>19E205-3A</t>
  </si>
  <si>
    <t>7-211350009</t>
  </si>
  <si>
    <t>7-311350008-3</t>
  </si>
  <si>
    <t>7-311350100-1</t>
  </si>
  <si>
    <t>19E203-5ACL96</t>
  </si>
  <si>
    <t>7-211350007-5</t>
  </si>
  <si>
    <t>7-311810022-3</t>
  </si>
  <si>
    <t>63159-01</t>
  </si>
  <si>
    <t>7-211810013-7</t>
  </si>
  <si>
    <t>7-516320000-1</t>
  </si>
  <si>
    <t>7-511B11025-7</t>
  </si>
  <si>
    <t>7-211642052-9</t>
  </si>
  <si>
    <t>7-311642045-3</t>
  </si>
  <si>
    <t>3261029-0101</t>
  </si>
  <si>
    <t>7-311642401</t>
  </si>
  <si>
    <t>289400-1027</t>
  </si>
  <si>
    <t>7-311820014-21</t>
  </si>
  <si>
    <t>289332-5</t>
  </si>
  <si>
    <t>7-311525063-17</t>
  </si>
  <si>
    <t>289300-1031</t>
  </si>
  <si>
    <t>7-311820011-21</t>
  </si>
  <si>
    <t>7-311511176-5</t>
  </si>
  <si>
    <t>7-311511176-7</t>
  </si>
  <si>
    <t>7-311820012-27</t>
  </si>
  <si>
    <t>7-311511175-11</t>
  </si>
  <si>
    <t>7-311511175-17</t>
  </si>
  <si>
    <t>7-311511139</t>
  </si>
  <si>
    <t>7-311511139-9</t>
  </si>
  <si>
    <t>7-311511182-11</t>
  </si>
  <si>
    <t>7-311511182-17</t>
  </si>
  <si>
    <t>7-311511182-5</t>
  </si>
  <si>
    <t>7-211511134</t>
  </si>
  <si>
    <t>7-211511134-3</t>
  </si>
  <si>
    <t>7-311511127-7</t>
  </si>
  <si>
    <t>7-211511133</t>
  </si>
  <si>
    <t>7-211511133-3</t>
  </si>
  <si>
    <t>7-311511181-39</t>
  </si>
  <si>
    <t>7-311511181-43</t>
  </si>
  <si>
    <t>7-211511211</t>
  </si>
  <si>
    <t>7-211511211-3</t>
  </si>
  <si>
    <t>7-311511130-15</t>
  </si>
  <si>
    <t>7-311511125-13</t>
  </si>
  <si>
    <t>7-311511125-17</t>
  </si>
  <si>
    <t>7-211511209-3</t>
  </si>
  <si>
    <t>7-311511117-13</t>
  </si>
  <si>
    <t>7-311511117-9</t>
  </si>
  <si>
    <t>7-311D10018-3</t>
  </si>
  <si>
    <t>7-211160040-7</t>
  </si>
  <si>
    <t>MS27576-8-47</t>
  </si>
  <si>
    <t>7-511651002-17</t>
  </si>
  <si>
    <t>7-511651002-5</t>
  </si>
  <si>
    <t>3617950-1</t>
  </si>
  <si>
    <t>34200650-300J</t>
  </si>
  <si>
    <t>7-318000011-5</t>
  </si>
  <si>
    <t>7-511310299-3</t>
  </si>
  <si>
    <t>RC/TC</t>
  </si>
  <si>
    <t>ERD</t>
  </si>
  <si>
    <t>DOWN</t>
  </si>
  <si>
    <t>DUE</t>
  </si>
  <si>
    <t>DOC #</t>
  </si>
  <si>
    <t>OH</t>
  </si>
  <si>
    <t>7-511130201-603</t>
  </si>
  <si>
    <t>7-511130201-604</t>
  </si>
  <si>
    <t>17047</t>
  </si>
  <si>
    <t>14070</t>
  </si>
  <si>
    <t>7-311123622</t>
  </si>
  <si>
    <t>STABILATOR FITTING (STAB)</t>
  </si>
  <si>
    <t>1560011790739</t>
  </si>
  <si>
    <t>7-311114251-3</t>
  </si>
  <si>
    <t>13457</t>
  </si>
  <si>
    <t>12573</t>
  </si>
  <si>
    <t>8187</t>
  </si>
  <si>
    <t>6888</t>
  </si>
  <si>
    <t>6541</t>
  </si>
  <si>
    <t>5991</t>
  </si>
  <si>
    <t>8142</t>
  </si>
  <si>
    <t>11523</t>
  </si>
  <si>
    <t>10532</t>
  </si>
  <si>
    <t>MAIN ROTOR PITCH LINK ASSY</t>
  </si>
  <si>
    <t>1615015994521</t>
  </si>
  <si>
    <t>6315</t>
  </si>
  <si>
    <t>HS4243V9-63</t>
  </si>
  <si>
    <t>5306014636168</t>
  </si>
  <si>
    <t>7011</t>
  </si>
  <si>
    <t>9358</t>
  </si>
  <si>
    <t>7-311330132</t>
  </si>
  <si>
    <t>1615011715289</t>
  </si>
  <si>
    <t>7-211330023</t>
  </si>
  <si>
    <t>3020011725139</t>
  </si>
  <si>
    <t>4667</t>
  </si>
  <si>
    <t>HYDRAULIC PUMP, UTILITY</t>
  </si>
  <si>
    <t>6280</t>
  </si>
  <si>
    <t>16643</t>
  </si>
  <si>
    <t>12682</t>
  </si>
  <si>
    <t>7-311511175-5</t>
  </si>
  <si>
    <t>DL2155M15</t>
  </si>
  <si>
    <t>Sum of EI_BEG_AGE</t>
  </si>
  <si>
    <t>C</t>
  </si>
  <si>
    <t>Y</t>
  </si>
  <si>
    <t>10357</t>
  </si>
  <si>
    <t>MC</t>
  </si>
  <si>
    <t>RTL</t>
  </si>
  <si>
    <t>AOG / Hi-Pri</t>
  </si>
  <si>
    <t>B</t>
  </si>
  <si>
    <t>START</t>
  </si>
  <si>
    <t>20383</t>
  </si>
  <si>
    <t>12560</t>
  </si>
  <si>
    <t>Doc #</t>
  </si>
  <si>
    <t>Status</t>
  </si>
  <si>
    <t>7526</t>
  </si>
  <si>
    <t>10780</t>
  </si>
  <si>
    <t>7907</t>
  </si>
  <si>
    <t>13190</t>
  </si>
  <si>
    <t>11034</t>
  </si>
  <si>
    <t>Daily Aircraft Available Status</t>
  </si>
  <si>
    <t>12734</t>
  </si>
  <si>
    <t>Monthly FMC</t>
  </si>
  <si>
    <t>UP</t>
  </si>
  <si>
    <t>TOTAL</t>
  </si>
  <si>
    <t>NMC DOWN DAY</t>
  </si>
  <si>
    <t>NMC UP DAY</t>
  </si>
  <si>
    <t>SUPPLY START</t>
  </si>
  <si>
    <t>6299</t>
  </si>
  <si>
    <t/>
  </si>
  <si>
    <t>END_PER_DATE</t>
  </si>
  <si>
    <t>UIC</t>
  </si>
  <si>
    <t>DAY</t>
  </si>
  <si>
    <t>NMCM_DEP</t>
  </si>
  <si>
    <t>NMCM_INT</t>
  </si>
  <si>
    <t>NMCM_UNIT</t>
  </si>
  <si>
    <t>FLY_HOURS</t>
  </si>
  <si>
    <t>AUTO</t>
  </si>
  <si>
    <t>PMCS_CODE</t>
  </si>
  <si>
    <t>PMCM_CODE</t>
  </si>
  <si>
    <t>REASON_NMC</t>
  </si>
  <si>
    <t>MNT_LVL</t>
  </si>
  <si>
    <t>DATE_DOWN</t>
  </si>
  <si>
    <t>DATE_MC</t>
  </si>
  <si>
    <t>TDY_LOC</t>
  </si>
  <si>
    <t>LOCATION</t>
  </si>
  <si>
    <t>NMC_REMARKS</t>
  </si>
  <si>
    <t>PER_DATE</t>
  </si>
  <si>
    <t>LEVEL</t>
  </si>
  <si>
    <t>FAULT_EI_ID</t>
  </si>
  <si>
    <t>FAULT_EVENT_DATE</t>
  </si>
  <si>
    <t>FAULT_EVENT_NO</t>
  </si>
  <si>
    <t>FAULT_SYS_CODE</t>
  </si>
  <si>
    <t>FAULT_CLOSED</t>
  </si>
  <si>
    <t>FAULT_STATUS</t>
  </si>
  <si>
    <t>EI_STATUS</t>
  </si>
  <si>
    <t>EI_HRS</t>
  </si>
  <si>
    <t>LAST_MIGRATION_DT</t>
  </si>
  <si>
    <t>PHASE_ID</t>
  </si>
  <si>
    <t>Readiness_Events</t>
  </si>
  <si>
    <t>Parts</t>
  </si>
  <si>
    <t>WorkOrders</t>
  </si>
  <si>
    <t>MOC_EVENT_DATE</t>
  </si>
  <si>
    <t>MOC_EVENT_NO</t>
  </si>
  <si>
    <t>MOC_CLOSED</t>
  </si>
  <si>
    <t>Down</t>
  </si>
  <si>
    <t>Monthly Hours</t>
  </si>
  <si>
    <t>Phase Flow</t>
  </si>
  <si>
    <t>BK</t>
  </si>
  <si>
    <r>
      <rPr>
        <sz val="28"/>
        <rFont val="Arial"/>
        <family val="2"/>
      </rPr>
      <t xml:space="preserve">B </t>
    </r>
    <r>
      <rPr>
        <sz val="18"/>
        <rFont val="Arial"/>
        <family val="2"/>
      </rPr>
      <t>Co</t>
    </r>
  </si>
  <si>
    <r>
      <rPr>
        <sz val="28"/>
        <rFont val="Arial"/>
        <family val="2"/>
      </rPr>
      <t xml:space="preserve">A </t>
    </r>
    <r>
      <rPr>
        <sz val="18"/>
        <rFont val="Arial"/>
        <family val="2"/>
      </rPr>
      <t>Co</t>
    </r>
  </si>
  <si>
    <r>
      <rPr>
        <sz val="28"/>
        <rFont val="Arial"/>
        <family val="2"/>
      </rPr>
      <t xml:space="preserve">C </t>
    </r>
    <r>
      <rPr>
        <sz val="18"/>
        <rFont val="Arial"/>
        <family val="2"/>
      </rPr>
      <t>Co</t>
    </r>
  </si>
  <si>
    <t>7-211411199-3</t>
  </si>
  <si>
    <t>MAIN LANDING GEAR SHOCK STRUT</t>
  </si>
  <si>
    <t>PIN ASSY, LINK, ROTOR</t>
  </si>
  <si>
    <t>1615011634514</t>
  </si>
  <si>
    <t>8303</t>
  </si>
  <si>
    <t>A3060588</t>
  </si>
  <si>
    <t>RECEIVER-TRANSMITTER,RADAR</t>
  </si>
  <si>
    <t>5841012459094</t>
  </si>
  <si>
    <t>HOURS</t>
  </si>
  <si>
    <t>Config</t>
  </si>
  <si>
    <t>5841015475286</t>
  </si>
  <si>
    <t>CO</t>
  </si>
  <si>
    <t>1-4 ARB DAILY STATUS REPORT</t>
  </si>
  <si>
    <t>1-4 ARB Daily Status</t>
  </si>
  <si>
    <t>SERIAL NUMBER</t>
  </si>
  <si>
    <t>A/C STATUS</t>
  </si>
  <si>
    <t>HOURS REMAINING</t>
  </si>
  <si>
    <t>NMC Date</t>
  </si>
  <si>
    <t>EST FMC</t>
  </si>
  <si>
    <t>Actual  DAYS DOWN</t>
  </si>
  <si>
    <t>A/C Block</t>
  </si>
  <si>
    <t>MONTHLY RATES</t>
  </si>
  <si>
    <t>A Co</t>
  </si>
  <si>
    <t>90-26220</t>
  </si>
  <si>
    <t>90-26294</t>
  </si>
  <si>
    <t>93-26482</t>
  </si>
  <si>
    <t>94-26558</t>
  </si>
  <si>
    <t xml:space="preserve"> </t>
  </si>
  <si>
    <t>94-26587</t>
  </si>
  <si>
    <t>94-26594</t>
  </si>
  <si>
    <t>95-26596</t>
  </si>
  <si>
    <t>95-26636</t>
  </si>
  <si>
    <t>BANK</t>
  </si>
  <si>
    <t>B Co</t>
  </si>
  <si>
    <t>MTF</t>
  </si>
  <si>
    <t>C Co</t>
  </si>
  <si>
    <t>GSE</t>
  </si>
  <si>
    <t>AGPU</t>
  </si>
  <si>
    <t>GANG</t>
  </si>
  <si>
    <t>0172</t>
  </si>
  <si>
    <t>0181</t>
  </si>
  <si>
    <t>0318</t>
  </si>
  <si>
    <t>286</t>
  </si>
  <si>
    <t>Tech Supply</t>
  </si>
  <si>
    <t>Total Lines</t>
  </si>
  <si>
    <t>Value</t>
  </si>
  <si>
    <t>PLL Lines</t>
  </si>
  <si>
    <t>BS Lines</t>
  </si>
  <si>
    <t>0 Balance</t>
  </si>
  <si>
    <t>Req Repl</t>
  </si>
  <si>
    <t>AH0008</t>
  </si>
  <si>
    <t>0005187</t>
  </si>
  <si>
    <t>AH0401</t>
  </si>
  <si>
    <t>9905119</t>
  </si>
  <si>
    <t>AH0417</t>
  </si>
  <si>
    <t>9905141</t>
  </si>
  <si>
    <t>794D251B-7A49-456B-A369-4B5505FA4812</t>
  </si>
  <si>
    <t>BFE682ED-0A41-4737-B297-8117434252E6</t>
  </si>
  <si>
    <t>EFCF7F33-AF0C-493C-958E-09F02EBCF037</t>
  </si>
  <si>
    <t>0CBA0EDF-DAEA-4FAF-A16D-88FA5720F5D0</t>
  </si>
  <si>
    <t>89AF73D4-6CB0-406A-B3D7-931F5CB51134</t>
  </si>
  <si>
    <t>AF8618DA-3EFA-4E40-8C74-D89305195DC1</t>
  </si>
  <si>
    <t>3BEA2A90-D239-4CE3-84FE-52AFF2FC02EB</t>
  </si>
  <si>
    <t>DFC63793-A6C5-42A1-AE4E-BCD930BD63D7</t>
  </si>
  <si>
    <t>00-05187</t>
  </si>
  <si>
    <t>AIRCRAFT_TYPE</t>
  </si>
  <si>
    <t>HOV_AUTO</t>
  </si>
  <si>
    <t>AH64D 1 OCT 12</t>
  </si>
  <si>
    <t>00000000-0000-0000-0000-000000000000</t>
  </si>
  <si>
    <t>592752DE-1E76-4397-A9ED-7825005DE27D</t>
  </si>
  <si>
    <t>WAFDA0</t>
  </si>
  <si>
    <t>XX9999</t>
  </si>
  <si>
    <t>ASSOC_FAULT_GUID</t>
  </si>
  <si>
    <t>406CB2A5-68CD-471C-8284-829EC8FAF0E2</t>
  </si>
  <si>
    <t>90DFB534-2988-44BD-A5A2-0DED5635AAC7</t>
  </si>
  <si>
    <t>9CDCCF9C-27FF-45E2-9822-5740E577EA00</t>
  </si>
  <si>
    <t>C672156D-0F83-4E72-8532-E6791EDFF054</t>
  </si>
  <si>
    <t>021BBDF1-976B-40D9-8483-93D6847EF55D</t>
  </si>
  <si>
    <t>3F5DD46E-E1F9-4DB4-897F-EEFB967C4C0C</t>
  </si>
  <si>
    <t>25FF609F-872A-419C-AAED-1C9084D28DF4</t>
  </si>
  <si>
    <t>73D8940B-BB7E-4C5C-A79B-784B4EB0FD52</t>
  </si>
  <si>
    <t>A85467B9-D093-4A84-B74B-AC2CAF66EA3C</t>
  </si>
  <si>
    <t>9B47E953-C13A-41E5-85CF-ED8EEB7E5DC2</t>
  </si>
  <si>
    <t>9FCF9708-9519-4B9D-9032-946590957690</t>
  </si>
  <si>
    <t>CA6A0564-CC2E-43F1-9DB9-FB4519A3637E</t>
  </si>
  <si>
    <t>0474A105-8C6D-4175-9F7A-47415AA37BA4</t>
  </si>
  <si>
    <t>72F20429-1DC4-4086-A186-6241C3ADDB4B</t>
  </si>
  <si>
    <t>3764CA8B-A894-4B7F-8F9D-FA9780EA2588</t>
  </si>
  <si>
    <t>9F5888AF-E731-4439-9710-526983951B71</t>
  </si>
  <si>
    <t>7433CBA5-1E15-44B7-A256-DED7852F8BF5</t>
  </si>
  <si>
    <t>8EC63608-880D-46F0-9DFE-6D3899ACD9C2</t>
  </si>
  <si>
    <t>AC7B1301-DD98-43FC-873B-9F7390C94DD2</t>
  </si>
  <si>
    <t>A59F7A02-1F06-4584-8B5E-D5D9439831ED</t>
  </si>
  <si>
    <t>221962A0-0CA7-47AF-B485-EBBC16E7EB31</t>
  </si>
  <si>
    <t>2BB0A812-D66E-4AC3-9FB3-DA4C7B948E89</t>
  </si>
  <si>
    <t>9166C04E-F1B0-4CC5-A21A-F4E01A159CE3</t>
  </si>
  <si>
    <t>B68F703A-1A9C-4970-8E96-1141F65893DF</t>
  </si>
  <si>
    <t>867C15D5-0A59-456F-980C-458FB87D3430</t>
  </si>
  <si>
    <t>AB8147D9-DFD2-415F-8350-8CC385655ECE</t>
  </si>
  <si>
    <t>8EE57F6A-B8AD-4246-9F02-DCF52FE68146</t>
  </si>
  <si>
    <t>59EEEAB9-FE5B-4090-89EC-BF2033100304</t>
  </si>
  <si>
    <t>06C61719-8E27-4B70-B25A-962C86229836</t>
  </si>
  <si>
    <t>55C78966-A63C-4DCA-9C92-B8A69F6F2AC8</t>
  </si>
  <si>
    <t>7DDC4528-4C19-41AF-A705-ECC011346B02</t>
  </si>
  <si>
    <t>CAEC01B0-8E1F-45B1-B08D-73C352AABD30</t>
  </si>
  <si>
    <t>A6F679E8-642B-49F2-B714-FD354E18BEE1</t>
  </si>
  <si>
    <t>E6E39601-F224-48DB-9745-7175D6A57297</t>
  </si>
  <si>
    <t>A5C8976B-C9DF-4F19-BFBC-4D59454EE931</t>
  </si>
  <si>
    <t>00DA202A-0986-4826-8BCA-5EBF497389F6</t>
  </si>
  <si>
    <t>4E13E9EC-E8CE-4607-A7DF-2DAF7F222F3F</t>
  </si>
  <si>
    <t>B25602E4-70A9-43C7-9F27-86D83A4FBF18</t>
  </si>
  <si>
    <t>7BD30D0A-1E01-4A1D-ADF7-D253AC9063C3</t>
  </si>
  <si>
    <t>BEE145D4-C0A1-4ABC-B89D-DD6F4FB8C14E</t>
  </si>
  <si>
    <t>70DFDEF2-2666-43AC-999C-9888593B821F</t>
  </si>
  <si>
    <t>F0A89E94-6D54-4E35-905C-E00BC0A79AE2</t>
  </si>
  <si>
    <t>52805EF0-A7F2-4EA3-966F-8301F4E7CE80</t>
  </si>
  <si>
    <t>F7382863-6933-40E9-92D3-0A3B5457CFBB</t>
  </si>
  <si>
    <t>5A48226D-41F7-490E-9D6C-082A045B98D0</t>
  </si>
  <si>
    <t>5C7407C8-910F-47E5-B7D3-4E66BCE6BE30</t>
  </si>
  <si>
    <t>D06FAA98-E1CB-4410-946A-FED4F0B35D42</t>
  </si>
  <si>
    <t>4ADC3EC6-8699-42DE-89D7-BA31F505614C</t>
  </si>
  <si>
    <t>6A7807ED-E59D-4F63-8462-1A4A455AB91E</t>
  </si>
  <si>
    <t>E3A29D56-2B95-4C08-85D8-8366C2BFE666</t>
  </si>
  <si>
    <t>5F0050F2-A5D6-4377-B6EC-A981C12740C7</t>
  </si>
  <si>
    <t>42C0DB41-653E-4A93-89DD-87646B8C565E</t>
  </si>
  <si>
    <t>6D9D5FD9-5CA4-495F-8CDB-AAA3827838E8</t>
  </si>
  <si>
    <t>F3E0EA0B-3F38-4D31-8E42-0D74A8FCCCF0</t>
  </si>
  <si>
    <t>45DDF286-7119-4DC9-81E1-42FA37532A17</t>
  </si>
  <si>
    <t>D862EC4F-BDFF-47A8-8CDC-DDAB63DBDB24</t>
  </si>
  <si>
    <t>BED80A99-A20D-48F3-B7A6-63C77F45CB41</t>
  </si>
  <si>
    <t>5A14CFC3-E29D-46C7-ACED-A1F6E8F9F921</t>
  </si>
  <si>
    <t>0E466435-0257-40F1-8337-FEDA323F2011</t>
  </si>
  <si>
    <t>C1D70643-8F8F-4398-8B5F-F288F0286B04</t>
  </si>
  <si>
    <t>596386C7-48BF-4A7F-BDB3-39B61E324467</t>
  </si>
  <si>
    <t>EAC0E641-1B16-4DDB-BAF7-0F41E66B94AA</t>
  </si>
  <si>
    <t>7F94E68D-BCA1-45A2-B91A-1686862BB260</t>
  </si>
  <si>
    <t>178258</t>
  </si>
  <si>
    <t>5119</t>
  </si>
  <si>
    <t>8623</t>
  </si>
  <si>
    <t>14574</t>
  </si>
  <si>
    <t>15538</t>
  </si>
  <si>
    <t>13995</t>
  </si>
  <si>
    <t>12242</t>
  </si>
  <si>
    <t>13439</t>
  </si>
  <si>
    <t>5523</t>
  </si>
  <si>
    <t>13936</t>
  </si>
  <si>
    <t>8158</t>
  </si>
  <si>
    <t>14083</t>
  </si>
  <si>
    <t>5234</t>
  </si>
  <si>
    <t>6750</t>
  </si>
  <si>
    <t>5033</t>
  </si>
  <si>
    <t>9208</t>
  </si>
  <si>
    <t>8430</t>
  </si>
  <si>
    <t>9574</t>
  </si>
  <si>
    <t>5123</t>
  </si>
  <si>
    <t>4208</t>
  </si>
  <si>
    <t>6159</t>
  </si>
  <si>
    <t>1650013624467</t>
  </si>
  <si>
    <t>6012</t>
  </si>
  <si>
    <t>7887</t>
  </si>
  <si>
    <t>9257</t>
  </si>
  <si>
    <t>5296</t>
  </si>
  <si>
    <t>5904</t>
  </si>
  <si>
    <t>6869</t>
  </si>
  <si>
    <t>10433</t>
  </si>
  <si>
    <t>10495</t>
  </si>
  <si>
    <t>10276</t>
  </si>
  <si>
    <t>10878</t>
  </si>
  <si>
    <t>10889</t>
  </si>
  <si>
    <t>10388</t>
  </si>
  <si>
    <t>18492</t>
  </si>
  <si>
    <t>18246</t>
  </si>
  <si>
    <t>16705</t>
  </si>
  <si>
    <t>16819</t>
  </si>
  <si>
    <t>17143</t>
  </si>
  <si>
    <t>17729</t>
  </si>
  <si>
    <t>17959</t>
  </si>
  <si>
    <t>18630</t>
  </si>
  <si>
    <t>5164</t>
  </si>
  <si>
    <t>6517</t>
  </si>
  <si>
    <t>13579</t>
  </si>
  <si>
    <t>12646</t>
  </si>
  <si>
    <t>7723</t>
  </si>
  <si>
    <t>8154</t>
  </si>
  <si>
    <t>12884</t>
  </si>
  <si>
    <t>12912</t>
  </si>
  <si>
    <t>17613</t>
  </si>
  <si>
    <t>16402</t>
  </si>
  <si>
    <t>13276</t>
  </si>
  <si>
    <t>7-211511209</t>
  </si>
  <si>
    <t>16847</t>
  </si>
  <si>
    <t>20471</t>
  </si>
  <si>
    <t>20638</t>
  </si>
  <si>
    <t>ELASTOMERIC MOUNT</t>
  </si>
  <si>
    <t>5651</t>
  </si>
  <si>
    <t>7117</t>
  </si>
  <si>
    <t>14499</t>
  </si>
  <si>
    <t>7-311123600</t>
  </si>
  <si>
    <t>1560011797264</t>
  </si>
  <si>
    <t>9640</t>
  </si>
  <si>
    <t>15665</t>
  </si>
  <si>
    <t>22508</t>
  </si>
  <si>
    <t>19849</t>
  </si>
  <si>
    <t>19077</t>
  </si>
  <si>
    <t>6820</t>
  </si>
  <si>
    <t>7940</t>
  </si>
  <si>
    <t>9047</t>
  </si>
  <si>
    <t>21343</t>
  </si>
  <si>
    <t>20820</t>
  </si>
  <si>
    <t>22714</t>
  </si>
  <si>
    <t>12687</t>
  </si>
  <si>
    <t>11855</t>
  </si>
  <si>
    <t>8595</t>
  </si>
  <si>
    <t>7648</t>
  </si>
  <si>
    <t>8840</t>
  </si>
  <si>
    <t>5974</t>
  </si>
  <si>
    <t>4995</t>
  </si>
  <si>
    <t>5875</t>
  </si>
  <si>
    <t>5885</t>
  </si>
  <si>
    <t>7-311310011-5</t>
  </si>
  <si>
    <t>1615012526377</t>
  </si>
  <si>
    <t>8948</t>
  </si>
  <si>
    <t>8725</t>
  </si>
  <si>
    <t>6104</t>
  </si>
  <si>
    <t>10212</t>
  </si>
  <si>
    <t>9313</t>
  </si>
  <si>
    <t>8646</t>
  </si>
  <si>
    <t>1615014401711</t>
  </si>
  <si>
    <t>9123</t>
  </si>
  <si>
    <t>18086</t>
  </si>
  <si>
    <t>22723</t>
  </si>
  <si>
    <t>7829</t>
  </si>
  <si>
    <t>5619</t>
  </si>
  <si>
    <t>6329</t>
  </si>
  <si>
    <t>9955</t>
  </si>
  <si>
    <t>9093</t>
  </si>
  <si>
    <t>11018</t>
  </si>
  <si>
    <t>11192</t>
  </si>
  <si>
    <t>9113</t>
  </si>
  <si>
    <t>10771</t>
  </si>
  <si>
    <t>10746</t>
  </si>
  <si>
    <t>15531</t>
  </si>
  <si>
    <t>15165</t>
  </si>
  <si>
    <t>15662</t>
  </si>
  <si>
    <t>9970</t>
  </si>
  <si>
    <t>8398</t>
  </si>
  <si>
    <t>7088</t>
  </si>
  <si>
    <t>15439</t>
  </si>
  <si>
    <t>15057</t>
  </si>
  <si>
    <t>6294</t>
  </si>
  <si>
    <t>6175</t>
  </si>
  <si>
    <t>5787</t>
  </si>
  <si>
    <t>5432</t>
  </si>
  <si>
    <t>5035</t>
  </si>
  <si>
    <t>5913</t>
  </si>
  <si>
    <t>5473</t>
  </si>
  <si>
    <t>5703</t>
  </si>
  <si>
    <t>6409</t>
  </si>
  <si>
    <t>4886</t>
  </si>
  <si>
    <t>6695</t>
  </si>
  <si>
    <t>6454</t>
  </si>
  <si>
    <t>12125</t>
  </si>
  <si>
    <t>12424</t>
  </si>
  <si>
    <t>13103</t>
  </si>
  <si>
    <t>14491</t>
  </si>
  <si>
    <t>11922</t>
  </si>
  <si>
    <t>13548</t>
  </si>
  <si>
    <t>14485</t>
  </si>
  <si>
    <t>12964</t>
  </si>
  <si>
    <t>13903</t>
  </si>
  <si>
    <t>15065</t>
  </si>
  <si>
    <t>5769</t>
  </si>
  <si>
    <t>5744</t>
  </si>
  <si>
    <t>5541</t>
  </si>
  <si>
    <t>5788</t>
  </si>
  <si>
    <t>5741</t>
  </si>
  <si>
    <t>4956</t>
  </si>
  <si>
    <t>5917</t>
  </si>
  <si>
    <t>5396</t>
  </si>
  <si>
    <t>6564</t>
  </si>
  <si>
    <t>5800</t>
  </si>
  <si>
    <t>5726</t>
  </si>
  <si>
    <t>6490</t>
  </si>
  <si>
    <t>8234</t>
  </si>
  <si>
    <t>5457</t>
  </si>
  <si>
    <t>5682</t>
  </si>
  <si>
    <t>9217</t>
  </si>
  <si>
    <t>8339</t>
  </si>
  <si>
    <t>9068</t>
  </si>
  <si>
    <t>1615015532053</t>
  </si>
  <si>
    <t>9575</t>
  </si>
  <si>
    <t>8805</t>
  </si>
  <si>
    <t>6948</t>
  </si>
  <si>
    <t>7129</t>
  </si>
  <si>
    <t>6933</t>
  </si>
  <si>
    <t>5680</t>
  </si>
  <si>
    <t>7850</t>
  </si>
  <si>
    <t>9079</t>
  </si>
  <si>
    <t>8999</t>
  </si>
  <si>
    <t>9416</t>
  </si>
  <si>
    <t>9498</t>
  </si>
  <si>
    <t>9505</t>
  </si>
  <si>
    <t>10481</t>
  </si>
  <si>
    <t>11413</t>
  </si>
  <si>
    <t>5896</t>
  </si>
  <si>
    <t>7462</t>
  </si>
  <si>
    <t>6829</t>
  </si>
  <si>
    <t>16218</t>
  </si>
  <si>
    <t>12435</t>
  </si>
  <si>
    <t>14010</t>
  </si>
  <si>
    <t>17624</t>
  </si>
  <si>
    <t>5713</t>
  </si>
  <si>
    <t>6916</t>
  </si>
  <si>
    <t>12178</t>
  </si>
  <si>
    <t>7-311511176</t>
  </si>
  <si>
    <t>10148</t>
  </si>
  <si>
    <t>9225</t>
  </si>
  <si>
    <t>5873</t>
  </si>
  <si>
    <t>4958</t>
  </si>
  <si>
    <t>6233</t>
  </si>
  <si>
    <t>12234</t>
  </si>
  <si>
    <t>10869</t>
  </si>
  <si>
    <t>8261</t>
  </si>
  <si>
    <t>7708</t>
  </si>
  <si>
    <t>7457</t>
  </si>
  <si>
    <t>7139</t>
  </si>
  <si>
    <t>5567</t>
  </si>
  <si>
    <t>6967</t>
  </si>
  <si>
    <t>5244</t>
  </si>
  <si>
    <t>5321</t>
  </si>
  <si>
    <t>5146</t>
  </si>
  <si>
    <t>6191</t>
  </si>
  <si>
    <t>5600</t>
  </si>
  <si>
    <t>6217</t>
  </si>
  <si>
    <t>81995-DM001-302</t>
  </si>
  <si>
    <t>DM001-302</t>
  </si>
  <si>
    <t>HG7210AC01</t>
  </si>
  <si>
    <t>13717</t>
  </si>
  <si>
    <t>TR BLADE RET BOLT</t>
  </si>
  <si>
    <t>HS4924 SPS44</t>
  </si>
  <si>
    <t>11466</t>
  </si>
  <si>
    <t>11604</t>
  </si>
  <si>
    <t>MD-1295/A</t>
  </si>
  <si>
    <t>5895013720114</t>
  </si>
  <si>
    <t>14124</t>
  </si>
  <si>
    <t>9255</t>
  </si>
  <si>
    <t>8251</t>
  </si>
  <si>
    <t>9804</t>
  </si>
  <si>
    <t>9952</t>
  </si>
  <si>
    <t>10969</t>
  </si>
  <si>
    <t>10172</t>
  </si>
  <si>
    <t>9423</t>
  </si>
  <si>
    <t>SM-C-967310</t>
  </si>
  <si>
    <t>RECIEVER-TRANSMITTER, RADAR</t>
  </si>
  <si>
    <t>99-05119</t>
  </si>
  <si>
    <t>99-05141</t>
  </si>
  <si>
    <t>NAME</t>
  </si>
  <si>
    <t>A/C</t>
  </si>
  <si>
    <t>Till Due</t>
  </si>
  <si>
    <t>RC / TC</t>
  </si>
  <si>
    <t>119</t>
  </si>
  <si>
    <t>141</t>
  </si>
  <si>
    <t>187</t>
  </si>
  <si>
    <t>HANGER BEARING AFT / C</t>
  </si>
  <si>
    <t>ACC MOD CLUTCH, SECOND</t>
  </si>
  <si>
    <t>ACC MOD CLUTCH, PRIMAR</t>
  </si>
  <si>
    <t>RETAINER UPPER SWSH PL</t>
  </si>
  <si>
    <t xml:space="preserve">BOLT, SELF LCKNG, RTR </t>
  </si>
  <si>
    <t>BOLT, FWD LONG BELLCRA</t>
  </si>
  <si>
    <t>BOLT, LATERAL BELLCRAN</t>
  </si>
  <si>
    <t>STABILATOR FITTING (AC</t>
  </si>
  <si>
    <t>SPAR BOX ASSY VERT STA</t>
  </si>
  <si>
    <t>STABILATOR FITTING (ST</t>
  </si>
  <si>
    <t>BASE ASSY, MAST SUPPOR</t>
  </si>
  <si>
    <t xml:space="preserve">NOSE GEARBOX ASSEMBLY </t>
  </si>
  <si>
    <t>INTERMEDIATE GEARBOX A</t>
  </si>
  <si>
    <t>TAIL ROTOR GEARBOX ASS</t>
  </si>
  <si>
    <t>HANGER BEARING FWD / C</t>
  </si>
  <si>
    <t>FEATHERING BEARING STU</t>
  </si>
  <si>
    <t>MAIN ROTOR BLADE ASSEM</t>
  </si>
  <si>
    <t>M/R SWASHPLATE BALL BR</t>
  </si>
  <si>
    <t>NON ROTATING SWASHPLAT</t>
  </si>
  <si>
    <t>FWD LONGITUDE BELLCRAN</t>
  </si>
  <si>
    <t>BEARING, T/R SWASHPLAT</t>
  </si>
  <si>
    <t>MAIN ROTOR BLADE ATTAC</t>
  </si>
  <si>
    <t>011705243</t>
  </si>
  <si>
    <t>015375778</t>
  </si>
  <si>
    <t>011547122</t>
  </si>
  <si>
    <t>012700706</t>
  </si>
  <si>
    <t>015158483</t>
  </si>
  <si>
    <t>013765667</t>
  </si>
  <si>
    <t>015217009</t>
  </si>
  <si>
    <t>013338490</t>
  </si>
  <si>
    <t>011611212</t>
  </si>
  <si>
    <t>011643917</t>
  </si>
  <si>
    <t>011705299</t>
  </si>
  <si>
    <t>012212932</t>
  </si>
  <si>
    <t>011724974</t>
  </si>
  <si>
    <t>013344856</t>
  </si>
  <si>
    <t>011639567</t>
  </si>
  <si>
    <t>011728682</t>
  </si>
  <si>
    <t>N PENDING</t>
  </si>
  <si>
    <t>015921214</t>
  </si>
  <si>
    <t>014710947</t>
  </si>
  <si>
    <t>014712791</t>
  </si>
  <si>
    <t>014712793</t>
  </si>
  <si>
    <t>014712797</t>
  </si>
  <si>
    <t>014656856</t>
  </si>
  <si>
    <t>011797264</t>
  </si>
  <si>
    <t>014663661</t>
  </si>
  <si>
    <t>011790739</t>
  </si>
  <si>
    <t>011661963</t>
  </si>
  <si>
    <t>011556581</t>
  </si>
  <si>
    <t>011643791</t>
  </si>
  <si>
    <t>011639508</t>
  </si>
  <si>
    <t>015209742</t>
  </si>
  <si>
    <t>015209744</t>
  </si>
  <si>
    <t>014940683</t>
  </si>
  <si>
    <t>014940685</t>
  </si>
  <si>
    <t>015197677</t>
  </si>
  <si>
    <t>014787102</t>
  </si>
  <si>
    <t>015301625</t>
  </si>
  <si>
    <t>012547793</t>
  </si>
  <si>
    <t>011728192</t>
  </si>
  <si>
    <t>013338491</t>
  </si>
  <si>
    <t>015377237</t>
  </si>
  <si>
    <t>015120889</t>
  </si>
  <si>
    <t>013234381</t>
  </si>
  <si>
    <t>011634676</t>
  </si>
  <si>
    <t>011643848</t>
  </si>
  <si>
    <t>012459826</t>
  </si>
  <si>
    <t>011643847</t>
  </si>
  <si>
    <t>012198658</t>
  </si>
  <si>
    <t>013521531</t>
  </si>
  <si>
    <t>012154794</t>
  </si>
  <si>
    <t>013305098</t>
  </si>
  <si>
    <t>013320702</t>
  </si>
  <si>
    <t>015532053</t>
  </si>
  <si>
    <t>011705256</t>
  </si>
  <si>
    <t>015994521</t>
  </si>
  <si>
    <t>013363525</t>
  </si>
  <si>
    <t>012244848</t>
  </si>
  <si>
    <t>012242262</t>
  </si>
  <si>
    <t>012242263</t>
  </si>
  <si>
    <t>012639844</t>
  </si>
  <si>
    <t>012629471</t>
  </si>
  <si>
    <t>013750815</t>
  </si>
  <si>
    <t>012629482</t>
  </si>
  <si>
    <t>012242257</t>
  </si>
  <si>
    <t>013192168</t>
  </si>
  <si>
    <t>014393739</t>
  </si>
  <si>
    <t>014543810</t>
  </si>
  <si>
    <t>014389284</t>
  </si>
  <si>
    <t>015017715</t>
  </si>
  <si>
    <t>015084118</t>
  </si>
  <si>
    <t>014955122</t>
  </si>
  <si>
    <t>011775717</t>
  </si>
  <si>
    <t>014636168</t>
  </si>
  <si>
    <t>013097057</t>
  </si>
  <si>
    <t>LC</t>
  </si>
  <si>
    <t>FMC3</t>
  </si>
  <si>
    <t>O/H2</t>
  </si>
  <si>
    <t>O-Ring</t>
  </si>
  <si>
    <t>012049063</t>
  </si>
  <si>
    <t>4051A001</t>
  </si>
  <si>
    <t>8475d4de-2e80-458a-8166-611370087771</t>
  </si>
  <si>
    <t>99-05055</t>
  </si>
  <si>
    <t>00-05168</t>
  </si>
  <si>
    <t>00-05167</t>
  </si>
  <si>
    <t>6.1</t>
  </si>
  <si>
    <t>6.3</t>
  </si>
  <si>
    <t>99-05008</t>
  </si>
  <si>
    <t>Phase</t>
  </si>
  <si>
    <t>1-25</t>
  </si>
  <si>
    <t>101</t>
  </si>
  <si>
    <t>008</t>
  </si>
  <si>
    <t>167</t>
  </si>
  <si>
    <t>055</t>
  </si>
  <si>
    <t>168</t>
  </si>
  <si>
    <t>F</t>
  </si>
  <si>
    <t>14D Gun</t>
  </si>
  <si>
    <t>Launcher Lube</t>
  </si>
  <si>
    <t>Pylon/Stab CPC</t>
  </si>
  <si>
    <t>Flex Chute</t>
  </si>
  <si>
    <t>TADS Boresight</t>
  </si>
  <si>
    <t>6 Month Gun</t>
  </si>
  <si>
    <t>Annual Gun</t>
  </si>
  <si>
    <t>Pitot System</t>
  </si>
  <si>
    <t>2 HML</t>
  </si>
  <si>
    <t>Slick</t>
  </si>
  <si>
    <t>Rounds</t>
  </si>
  <si>
    <t>Weapon</t>
  </si>
  <si>
    <t>Electrical</t>
  </si>
  <si>
    <t>Max of CURR_RNDS</t>
  </si>
  <si>
    <t>0000000011990</t>
  </si>
  <si>
    <t>0000000004241</t>
  </si>
  <si>
    <t>0000000005432</t>
  </si>
  <si>
    <t>7408DE28-4DAA-451D-8896-4F0978C29756</t>
  </si>
  <si>
    <t>46F94D7A-0517-4900-8266-45B156CBA19D</t>
  </si>
  <si>
    <t>75BADE6C-F425-40FE-B3DE-9296A4EEE59B</t>
  </si>
  <si>
    <t>EC5A6850-83ED-4BB8-9698-FD799CA47F7A</t>
  </si>
  <si>
    <t>06CD1042-0C4D-4040-AD47-5AAE6B2CBFCA</t>
  </si>
  <si>
    <t>Xfer From 101</t>
  </si>
  <si>
    <t>APU Fuel Shutoff Valve Leaking</t>
  </si>
</sst>
</file>

<file path=xl/styles.xml><?xml version="1.0" encoding="utf-8"?>
<styleSheet xmlns="http://schemas.openxmlformats.org/spreadsheetml/2006/main">
  <numFmts count="12">
    <numFmt numFmtId="164" formatCode="mm\-dd"/>
    <numFmt numFmtId="165" formatCode="0000"/>
    <numFmt numFmtId="166" formatCode="0.0"/>
    <numFmt numFmtId="167" formatCode="0.0%"/>
    <numFmt numFmtId="168" formatCode="[$-409]d\-mmm\-yy;@"/>
    <numFmt numFmtId="169" formatCode="dd\-mmm\ h:mm"/>
    <numFmt numFmtId="170" formatCode="dd\-mmm\-yy\ h:mm"/>
    <numFmt numFmtId="171" formatCode="h:mm;@"/>
    <numFmt numFmtId="172" formatCode="dd\-mmm\-yy"/>
    <numFmt numFmtId="173" formatCode="00\-00000"/>
    <numFmt numFmtId="174" formatCode="#,##0.0"/>
    <numFmt numFmtId="175" formatCode="m/d/yy\ h:mm;@"/>
  </numFmts>
  <fonts count="72">
    <font>
      <sz val="10"/>
      <name val="Helv"/>
    </font>
    <font>
      <b/>
      <sz val="10"/>
      <name val="Helv"/>
    </font>
    <font>
      <sz val="10"/>
      <name val="Times New Roman"/>
      <family val="1"/>
    </font>
    <font>
      <sz val="10"/>
      <name val="Arial"/>
      <family val="2"/>
    </font>
    <font>
      <sz val="10"/>
      <color indexed="9"/>
      <name val="Times New Roman"/>
      <family val="1"/>
    </font>
    <font>
      <sz val="10"/>
      <color indexed="10"/>
      <name val="Times New Roman"/>
      <family val="1"/>
    </font>
    <font>
      <b/>
      <sz val="12"/>
      <name val="Times New Roman"/>
      <family val="1"/>
    </font>
    <font>
      <sz val="10"/>
      <color indexed="12"/>
      <name val="Times New Roman"/>
      <family val="1"/>
    </font>
    <font>
      <sz val="10"/>
      <color indexed="61"/>
      <name val="Times New Roman"/>
      <family val="1"/>
    </font>
    <font>
      <sz val="10"/>
      <color indexed="16"/>
      <name val="Times New Roman"/>
      <family val="1"/>
    </font>
    <font>
      <sz val="8"/>
      <name val="Helv"/>
    </font>
    <font>
      <sz val="10"/>
      <color indexed="8"/>
      <name val="Times New Roman"/>
      <family val="1"/>
    </font>
    <font>
      <b/>
      <sz val="8.25"/>
      <name val="Times New Roman"/>
      <family val="1"/>
    </font>
    <font>
      <b/>
      <sz val="8.25"/>
      <color indexed="16"/>
      <name val="Times New Roman"/>
      <family val="1"/>
    </font>
    <font>
      <sz val="12"/>
      <color indexed="10"/>
      <name val="Times New Roman"/>
      <family val="1"/>
    </font>
    <font>
      <sz val="12"/>
      <color indexed="61"/>
      <name val="Times New Roman"/>
      <family val="1"/>
    </font>
    <font>
      <sz val="12"/>
      <color indexed="12"/>
      <name val="Times New Roman"/>
      <family val="1"/>
    </font>
    <font>
      <b/>
      <sz val="16"/>
      <name val="Times New Roman"/>
      <family val="1"/>
    </font>
    <font>
      <i/>
      <sz val="10"/>
      <name val="Times New Roman"/>
      <family val="1"/>
    </font>
    <font>
      <sz val="12"/>
      <color indexed="16"/>
      <name val="Times New Roman"/>
      <family val="1"/>
    </font>
    <font>
      <sz val="18"/>
      <name val="Times New Roman"/>
      <family val="1"/>
    </font>
    <font>
      <sz val="18"/>
      <color indexed="10"/>
      <name val="Times New Roman"/>
      <family val="1"/>
    </font>
    <font>
      <sz val="18"/>
      <color indexed="16"/>
      <name val="Times New Roman"/>
      <family val="1"/>
    </font>
    <font>
      <sz val="18"/>
      <color indexed="12"/>
      <name val="Times New Roman"/>
      <family val="1"/>
    </font>
    <font>
      <sz val="18"/>
      <color indexed="17"/>
      <name val="Times New Roman"/>
      <family val="1"/>
    </font>
    <font>
      <b/>
      <sz val="18"/>
      <name val="Times New Roman"/>
      <family val="1"/>
    </font>
    <font>
      <sz val="18"/>
      <color indexed="8"/>
      <name val="Times New Roman"/>
      <family val="1"/>
    </font>
    <font>
      <sz val="18"/>
      <color indexed="61"/>
      <name val="Times New Roman"/>
      <family val="1"/>
    </font>
    <font>
      <sz val="18"/>
      <color indexed="9"/>
      <name val="Times New Roman"/>
      <family val="1"/>
    </font>
    <font>
      <b/>
      <sz val="18"/>
      <color indexed="10"/>
      <name val="Times New Roman"/>
      <family val="1"/>
    </font>
    <font>
      <i/>
      <sz val="18"/>
      <name val="Helv"/>
    </font>
    <font>
      <i/>
      <sz val="18"/>
      <name val="Times New Roman"/>
      <family val="1"/>
    </font>
    <font>
      <i/>
      <sz val="10"/>
      <name val="Helv"/>
    </font>
    <font>
      <sz val="18"/>
      <name val="Arial"/>
      <family val="2"/>
    </font>
    <font>
      <sz val="28"/>
      <name val="Arial"/>
      <family val="2"/>
    </font>
    <font>
      <b/>
      <sz val="8.25"/>
      <name val="Arial"/>
      <family val="2"/>
    </font>
    <font>
      <sz val="18"/>
      <color indexed="8"/>
      <name val="Arial"/>
      <family val="2"/>
    </font>
    <font>
      <sz val="10"/>
      <color theme="0"/>
      <name val="Arial"/>
      <family val="2"/>
    </font>
    <font>
      <b/>
      <sz val="8.25"/>
      <color indexed="16"/>
      <name val="Arial"/>
      <family val="2"/>
    </font>
    <font>
      <b/>
      <sz val="18"/>
      <name val="Arial"/>
      <family val="2"/>
    </font>
    <font>
      <sz val="18"/>
      <color rgb="FF008000"/>
      <name val="Arial"/>
      <family val="2"/>
    </font>
    <font>
      <sz val="18"/>
      <color theme="0"/>
      <name val="Arial"/>
      <family val="2"/>
    </font>
    <font>
      <sz val="36"/>
      <color indexed="8"/>
      <name val="Arial"/>
      <family val="2"/>
    </font>
    <font>
      <sz val="22"/>
      <name val="Arial"/>
      <family val="2"/>
    </font>
    <font>
      <sz val="16"/>
      <name val="Arial"/>
      <family val="2"/>
    </font>
    <font>
      <sz val="18"/>
      <color rgb="FF0000FF"/>
      <name val="Arial"/>
      <family val="2"/>
    </font>
    <font>
      <sz val="26"/>
      <color rgb="FF000000"/>
      <name val="Arial Black"/>
      <family val="2"/>
    </font>
    <font>
      <b/>
      <sz val="24"/>
      <color indexed="81"/>
      <name val="Tahoma"/>
      <family val="2"/>
    </font>
    <font>
      <sz val="11"/>
      <color rgb="FF006100"/>
      <name val="Calibri"/>
      <family val="2"/>
      <scheme val="minor"/>
    </font>
    <font>
      <sz val="18"/>
      <color rgb="FFFF0000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sz val="20"/>
      <color indexed="12"/>
      <name val="Arial"/>
      <family val="2"/>
    </font>
    <font>
      <sz val="20"/>
      <color rgb="FF008000"/>
      <name val="Arial"/>
      <family val="2"/>
    </font>
    <font>
      <sz val="45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b/>
      <sz val="12"/>
      <color rgb="FF00FF0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sz val="12"/>
      <color rgb="FFFF0000"/>
      <name val="Arial"/>
      <family val="2"/>
    </font>
    <font>
      <b/>
      <sz val="12"/>
      <color rgb="FF0000FF"/>
      <name val="Arial"/>
      <family val="2"/>
    </font>
    <font>
      <sz val="11"/>
      <name val="Arial"/>
      <family val="2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55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B3B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9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</borders>
  <cellStyleXfs count="6">
    <xf numFmtId="168" fontId="0" fillId="0" borderId="0"/>
    <xf numFmtId="168" fontId="48" fillId="7" borderId="0" applyNumberFormat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</cellStyleXfs>
  <cellXfs count="508">
    <xf numFmtId="168" fontId="0" fillId="0" borderId="0" xfId="0"/>
    <xf numFmtId="168" fontId="2" fillId="0" borderId="0" xfId="0" applyFont="1" applyAlignment="1">
      <alignment horizontal="center"/>
    </xf>
    <xf numFmtId="168" fontId="2" fillId="0" borderId="0" xfId="0" applyFont="1" applyBorder="1"/>
    <xf numFmtId="168" fontId="2" fillId="0" borderId="0" xfId="0" applyFont="1" applyAlignment="1">
      <alignment horizontal="left"/>
    </xf>
    <xf numFmtId="168" fontId="2" fillId="0" borderId="0" xfId="0" applyFont="1" applyFill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168" fontId="9" fillId="0" borderId="0" xfId="0" applyFont="1" applyFill="1" applyBorder="1" applyAlignment="1">
      <alignment horizontal="left"/>
    </xf>
    <xf numFmtId="168" fontId="2" fillId="0" borderId="0" xfId="0" applyFont="1" applyFill="1" applyBorder="1"/>
    <xf numFmtId="168" fontId="4" fillId="0" borderId="0" xfId="0" applyNumberFormat="1" applyFont="1" applyFill="1" applyBorder="1" applyProtection="1"/>
    <xf numFmtId="1" fontId="4" fillId="0" borderId="0" xfId="0" applyNumberFormat="1" applyFont="1" applyFill="1" applyBorder="1" applyProtection="1"/>
    <xf numFmtId="1" fontId="12" fillId="0" borderId="0" xfId="0" applyNumberFormat="1" applyFont="1" applyFill="1" applyBorder="1" applyAlignment="1" applyProtection="1">
      <alignment horizontal="center"/>
    </xf>
    <xf numFmtId="1" fontId="8" fillId="0" borderId="0" xfId="0" applyNumberFormat="1" applyFont="1" applyFill="1" applyBorder="1" applyProtection="1"/>
    <xf numFmtId="168" fontId="13" fillId="0" borderId="0" xfId="0" applyNumberFormat="1" applyFont="1" applyFill="1" applyBorder="1" applyAlignment="1" applyProtection="1">
      <alignment horizontal="center"/>
    </xf>
    <xf numFmtId="168" fontId="2" fillId="0" borderId="0" xfId="0" applyFont="1"/>
    <xf numFmtId="168" fontId="2" fillId="0" borderId="0" xfId="0" applyFont="1" applyProtection="1"/>
    <xf numFmtId="168" fontId="2" fillId="0" borderId="0" xfId="0" applyNumberFormat="1" applyFont="1" applyFill="1" applyBorder="1" applyAlignment="1" applyProtection="1">
      <alignment horizontal="center"/>
      <protection locked="0"/>
    </xf>
    <xf numFmtId="168" fontId="14" fillId="0" borderId="0" xfId="0" applyNumberFormat="1" applyFont="1" applyFill="1" applyBorder="1" applyAlignment="1" applyProtection="1">
      <alignment horizontal="left"/>
    </xf>
    <xf numFmtId="168" fontId="15" fillId="0" borderId="0" xfId="0" applyNumberFormat="1" applyFont="1" applyFill="1" applyBorder="1" applyAlignment="1" applyProtection="1">
      <alignment horizontal="left"/>
    </xf>
    <xf numFmtId="166" fontId="16" fillId="0" borderId="0" xfId="0" applyNumberFormat="1" applyFont="1" applyFill="1" applyBorder="1" applyAlignment="1" applyProtection="1">
      <alignment horizontal="center"/>
    </xf>
    <xf numFmtId="168" fontId="18" fillId="0" borderId="0" xfId="0" applyNumberFormat="1" applyFont="1" applyFill="1" applyBorder="1" applyAlignment="1" applyProtection="1">
      <alignment horizontal="center"/>
      <protection locked="0"/>
    </xf>
    <xf numFmtId="168" fontId="19" fillId="0" borderId="0" xfId="0" applyNumberFormat="1" applyFont="1" applyFill="1" applyBorder="1" applyAlignment="1" applyProtection="1">
      <alignment horizontal="left"/>
    </xf>
    <xf numFmtId="168" fontId="15" fillId="0" borderId="0" xfId="0" applyNumberFormat="1" applyFont="1" applyFill="1" applyBorder="1" applyAlignment="1" applyProtection="1">
      <alignment horizontal="center"/>
    </xf>
    <xf numFmtId="168" fontId="20" fillId="0" borderId="0" xfId="0" applyFont="1" applyFill="1" applyBorder="1"/>
    <xf numFmtId="168" fontId="26" fillId="0" borderId="0" xfId="0" applyNumberFormat="1" applyFont="1" applyFill="1" applyBorder="1" applyAlignment="1">
      <alignment horizontal="center"/>
    </xf>
    <xf numFmtId="168" fontId="20" fillId="0" borderId="0" xfId="0" applyNumberFormat="1" applyFont="1" applyFill="1" applyBorder="1" applyAlignment="1" applyProtection="1">
      <alignment horizontal="center"/>
      <protection locked="0"/>
    </xf>
    <xf numFmtId="168" fontId="26" fillId="0" borderId="0" xfId="0" applyNumberFormat="1" applyFont="1" applyFill="1" applyBorder="1" applyAlignment="1">
      <alignment horizontal="center"/>
    </xf>
    <xf numFmtId="168" fontId="21" fillId="0" borderId="0" xfId="0" applyFont="1" applyFill="1" applyBorder="1" applyAlignment="1">
      <alignment horizontal="left"/>
    </xf>
    <xf numFmtId="17" fontId="22" fillId="0" borderId="0" xfId="0" applyNumberFormat="1" applyFont="1" applyFill="1" applyBorder="1" applyAlignment="1">
      <alignment horizontal="left"/>
    </xf>
    <xf numFmtId="17" fontId="27" fillId="0" borderId="0" xfId="0" applyNumberFormat="1" applyFont="1" applyFill="1" applyBorder="1" applyAlignment="1">
      <alignment horizontal="left"/>
    </xf>
    <xf numFmtId="166" fontId="24" fillId="0" borderId="0" xfId="0" applyNumberFormat="1" applyFont="1" applyFill="1" applyBorder="1" applyAlignment="1">
      <alignment horizontal="center"/>
    </xf>
    <xf numFmtId="168" fontId="20" fillId="0" borderId="0" xfId="0" applyFont="1"/>
    <xf numFmtId="168" fontId="28" fillId="0" borderId="0" xfId="0" applyNumberFormat="1" applyFont="1" applyFill="1" applyBorder="1" applyAlignment="1">
      <alignment horizontal="center"/>
    </xf>
    <xf numFmtId="168" fontId="28" fillId="0" borderId="0" xfId="0" applyNumberFormat="1" applyFont="1" applyFill="1" applyBorder="1" applyAlignment="1">
      <alignment horizontal="center"/>
    </xf>
    <xf numFmtId="17" fontId="21" fillId="0" borderId="0" xfId="0" applyNumberFormat="1" applyFont="1" applyFill="1" applyBorder="1" applyAlignment="1"/>
    <xf numFmtId="168" fontId="27" fillId="0" borderId="0" xfId="0" applyFont="1" applyFill="1" applyBorder="1" applyAlignment="1" applyProtection="1">
      <alignment horizontal="left"/>
    </xf>
    <xf numFmtId="166" fontId="23" fillId="0" borderId="0" xfId="0" applyNumberFormat="1" applyFont="1" applyFill="1" applyBorder="1" applyAlignment="1" applyProtection="1">
      <alignment horizontal="center"/>
    </xf>
    <xf numFmtId="168" fontId="22" fillId="0" borderId="0" xfId="0" applyFont="1" applyFill="1" applyBorder="1" applyAlignment="1">
      <alignment horizontal="left"/>
    </xf>
    <xf numFmtId="168" fontId="27" fillId="0" borderId="0" xfId="0" applyFont="1" applyFill="1" applyBorder="1" applyAlignment="1">
      <alignment horizontal="left"/>
    </xf>
    <xf numFmtId="166" fontId="23" fillId="0" borderId="0" xfId="0" applyNumberFormat="1" applyFont="1" applyFill="1" applyBorder="1" applyAlignment="1">
      <alignment horizontal="center"/>
    </xf>
    <xf numFmtId="168" fontId="27" fillId="0" borderId="0" xfId="0" applyNumberFormat="1" applyFont="1" applyFill="1" applyBorder="1" applyAlignment="1" applyProtection="1">
      <alignment horizontal="left" vertical="top"/>
    </xf>
    <xf numFmtId="166" fontId="23" fillId="0" borderId="0" xfId="0" applyNumberFormat="1" applyFont="1" applyFill="1" applyBorder="1" applyAlignment="1" applyProtection="1">
      <alignment horizontal="center" vertical="top"/>
    </xf>
    <xf numFmtId="168" fontId="21" fillId="0" borderId="0" xfId="0" applyFont="1" applyFill="1" applyBorder="1"/>
    <xf numFmtId="168" fontId="22" fillId="0" borderId="0" xfId="0" applyNumberFormat="1" applyFont="1" applyFill="1" applyBorder="1" applyAlignment="1" applyProtection="1">
      <alignment horizontal="left"/>
    </xf>
    <xf numFmtId="168" fontId="27" fillId="0" borderId="0" xfId="0" applyNumberFormat="1" applyFont="1" applyFill="1" applyBorder="1" applyAlignment="1" applyProtection="1">
      <alignment horizontal="left"/>
    </xf>
    <xf numFmtId="168" fontId="21" fillId="0" borderId="0" xfId="0" applyFont="1" applyFill="1" applyBorder="1" applyAlignment="1"/>
    <xf numFmtId="16" fontId="22" fillId="0" borderId="0" xfId="0" applyNumberFormat="1" applyFont="1" applyFill="1" applyBorder="1" applyAlignment="1">
      <alignment horizontal="left"/>
    </xf>
    <xf numFmtId="15" fontId="22" fillId="0" borderId="0" xfId="0" applyNumberFormat="1" applyFont="1" applyFill="1" applyBorder="1" applyAlignment="1">
      <alignment horizontal="left"/>
    </xf>
    <xf numFmtId="9" fontId="21" fillId="0" borderId="0" xfId="0" applyNumberFormat="1" applyFont="1" applyFill="1" applyBorder="1" applyAlignment="1"/>
    <xf numFmtId="168" fontId="20" fillId="0" borderId="0" xfId="0" applyNumberFormat="1" applyFont="1" applyFill="1" applyBorder="1" applyAlignment="1" applyProtection="1">
      <alignment horizontal="center"/>
      <protection locked="0"/>
    </xf>
    <xf numFmtId="168" fontId="29" fillId="0" borderId="0" xfId="0" applyFont="1" applyFill="1" applyBorder="1"/>
    <xf numFmtId="168" fontId="27" fillId="0" borderId="0" xfId="0" applyFont="1" applyFill="1" applyBorder="1"/>
    <xf numFmtId="168" fontId="28" fillId="0" borderId="0" xfId="0" applyNumberFormat="1" applyFont="1" applyFill="1" applyBorder="1" applyAlignment="1" applyProtection="1">
      <alignment horizontal="center"/>
      <protection locked="0"/>
    </xf>
    <xf numFmtId="168" fontId="30" fillId="0" borderId="0" xfId="0" applyNumberFormat="1" applyFont="1" applyFill="1" applyBorder="1" applyAlignment="1" applyProtection="1">
      <alignment horizontal="center"/>
      <protection locked="0"/>
    </xf>
    <xf numFmtId="168" fontId="31" fillId="0" borderId="0" xfId="0" applyNumberFormat="1" applyFont="1" applyFill="1" applyBorder="1" applyAlignment="1" applyProtection="1">
      <alignment horizontal="center"/>
      <protection locked="0"/>
    </xf>
    <xf numFmtId="49" fontId="21" fillId="0" borderId="0" xfId="0" applyNumberFormat="1" applyFont="1" applyFill="1" applyBorder="1" applyAlignment="1">
      <alignment horizontal="left"/>
    </xf>
    <xf numFmtId="168" fontId="29" fillId="0" borderId="0" xfId="0" applyFont="1" applyFill="1" applyBorder="1" applyAlignment="1">
      <alignment horizontal="left"/>
    </xf>
    <xf numFmtId="168" fontId="22" fillId="0" borderId="0" xfId="0" applyFont="1" applyFill="1" applyBorder="1"/>
    <xf numFmtId="168" fontId="26" fillId="0" borderId="0" xfId="0" applyNumberFormat="1" applyFont="1" applyFill="1" applyBorder="1" applyAlignment="1" applyProtection="1">
      <alignment horizontal="center"/>
      <protection locked="0"/>
    </xf>
    <xf numFmtId="17" fontId="21" fillId="0" borderId="0" xfId="0" applyNumberFormat="1" applyFont="1" applyFill="1" applyBorder="1" applyAlignment="1">
      <alignment horizontal="left"/>
    </xf>
    <xf numFmtId="168" fontId="26" fillId="0" borderId="0" xfId="0" applyNumberFormat="1" applyFont="1" applyFill="1" applyBorder="1" applyAlignment="1" applyProtection="1">
      <alignment horizontal="center"/>
      <protection locked="0"/>
    </xf>
    <xf numFmtId="17" fontId="29" fillId="0" borderId="0" xfId="0" applyNumberFormat="1" applyFont="1" applyFill="1" applyBorder="1" applyAlignment="1">
      <alignment horizontal="left"/>
    </xf>
    <xf numFmtId="9" fontId="22" fillId="0" borderId="0" xfId="0" applyNumberFormat="1" applyFont="1" applyFill="1" applyBorder="1" applyAlignment="1">
      <alignment horizontal="left"/>
    </xf>
    <xf numFmtId="168" fontId="21" fillId="0" borderId="0" xfId="0" applyNumberFormat="1" applyFont="1" applyFill="1" applyBorder="1" applyProtection="1"/>
    <xf numFmtId="17" fontId="21" fillId="0" borderId="0" xfId="0" applyNumberFormat="1" applyFont="1" applyFill="1" applyBorder="1"/>
    <xf numFmtId="15" fontId="21" fillId="0" borderId="0" xfId="0" applyNumberFormat="1" applyFont="1" applyFill="1" applyBorder="1" applyAlignment="1">
      <alignment horizontal="left"/>
    </xf>
    <xf numFmtId="168" fontId="11" fillId="0" borderId="0" xfId="0" applyNumberFormat="1" applyFont="1" applyFill="1" applyBorder="1" applyAlignment="1">
      <alignment horizontal="center"/>
    </xf>
    <xf numFmtId="168" fontId="11" fillId="0" borderId="0" xfId="0" applyNumberFormat="1" applyFont="1" applyFill="1" applyBorder="1" applyAlignment="1" applyProtection="1">
      <alignment horizontal="center"/>
      <protection locked="0"/>
    </xf>
    <xf numFmtId="168" fontId="5" fillId="0" borderId="0" xfId="0" applyFont="1" applyFill="1" applyBorder="1" applyAlignment="1">
      <alignment horizontal="left"/>
    </xf>
    <xf numFmtId="49" fontId="9" fillId="0" borderId="0" xfId="0" applyNumberFormat="1" applyFont="1" applyFill="1" applyBorder="1" applyAlignment="1">
      <alignment horizontal="left" vertical="center"/>
    </xf>
    <xf numFmtId="168" fontId="8" fillId="0" borderId="0" xfId="0" applyFont="1" applyFill="1" applyBorder="1" applyAlignment="1">
      <alignment horizontal="left"/>
    </xf>
    <xf numFmtId="166" fontId="7" fillId="0" borderId="0" xfId="0" applyNumberFormat="1" applyFont="1" applyFill="1" applyBorder="1" applyAlignment="1">
      <alignment horizontal="center"/>
    </xf>
    <xf numFmtId="168" fontId="4" fillId="0" borderId="0" xfId="0" applyNumberFormat="1" applyFont="1" applyFill="1" applyBorder="1" applyAlignment="1">
      <alignment horizontal="center"/>
    </xf>
    <xf numFmtId="168" fontId="32" fillId="0" borderId="0" xfId="0" applyNumberFormat="1" applyFont="1" applyFill="1" applyBorder="1" applyAlignment="1" applyProtection="1">
      <alignment horizontal="center"/>
      <protection locked="0"/>
    </xf>
    <xf numFmtId="49" fontId="5" fillId="0" borderId="0" xfId="0" applyNumberFormat="1" applyFont="1" applyFill="1" applyBorder="1" applyAlignment="1">
      <alignment horizontal="left" vertical="center"/>
    </xf>
    <xf numFmtId="168" fontId="2" fillId="2" borderId="0" xfId="0" applyFont="1" applyFill="1" applyAlignment="1">
      <alignment horizontal="center"/>
    </xf>
    <xf numFmtId="168" fontId="9" fillId="0" borderId="0" xfId="0" applyFont="1"/>
    <xf numFmtId="166" fontId="2" fillId="0" borderId="0" xfId="0" applyNumberFormat="1" applyFont="1"/>
    <xf numFmtId="166" fontId="35" fillId="2" borderId="0" xfId="0" applyNumberFormat="1" applyFont="1" applyFill="1" applyBorder="1" applyAlignment="1" applyProtection="1">
      <alignment horizontal="center"/>
    </xf>
    <xf numFmtId="1" fontId="37" fillId="2" borderId="0" xfId="0" applyNumberFormat="1" applyFont="1" applyFill="1" applyBorder="1" applyProtection="1"/>
    <xf numFmtId="1" fontId="35" fillId="2" borderId="0" xfId="0" applyNumberFormat="1" applyFont="1" applyFill="1" applyBorder="1" applyAlignment="1" applyProtection="1">
      <alignment horizontal="center"/>
    </xf>
    <xf numFmtId="168" fontId="38" fillId="2" borderId="0" xfId="0" applyNumberFormat="1" applyFont="1" applyFill="1" applyBorder="1" applyAlignment="1" applyProtection="1">
      <alignment horizontal="center"/>
    </xf>
    <xf numFmtId="168" fontId="35" fillId="2" borderId="0" xfId="0" applyNumberFormat="1" applyFont="1" applyFill="1" applyBorder="1" applyAlignment="1" applyProtection="1">
      <alignment horizontal="center"/>
    </xf>
    <xf numFmtId="166" fontId="0" fillId="0" borderId="0" xfId="0" applyNumberFormat="1" applyAlignment="1">
      <alignment horizontal="center"/>
    </xf>
    <xf numFmtId="168" fontId="3" fillId="0" borderId="0" xfId="0" applyFont="1" applyFill="1" applyBorder="1" applyAlignment="1">
      <alignment horizontal="center"/>
    </xf>
    <xf numFmtId="1" fontId="3" fillId="0" borderId="0" xfId="0" applyNumberFormat="1" applyFont="1" applyFill="1" applyBorder="1" applyAlignment="1" applyProtection="1">
      <alignment horizontal="center"/>
      <protection locked="0"/>
    </xf>
    <xf numFmtId="164" fontId="3" fillId="0" borderId="0" xfId="0" applyNumberFormat="1" applyFont="1" applyFill="1" applyBorder="1" applyAlignment="1" applyProtection="1">
      <alignment horizontal="center"/>
      <protection locked="0"/>
    </xf>
    <xf numFmtId="1" fontId="3" fillId="0" borderId="0" xfId="0" applyNumberFormat="1" applyFont="1" applyFill="1" applyBorder="1" applyAlignment="1" applyProtection="1">
      <alignment horizontal="center"/>
    </xf>
    <xf numFmtId="168" fontId="0" fillId="0" borderId="0" xfId="0" applyAlignment="1">
      <alignment horizontal="center"/>
    </xf>
    <xf numFmtId="168" fontId="33" fillId="2" borderId="14" xfId="0" applyNumberFormat="1" applyFont="1" applyFill="1" applyBorder="1" applyAlignment="1" applyProtection="1"/>
    <xf numFmtId="168" fontId="34" fillId="2" borderId="0" xfId="0" applyFont="1" applyFill="1" applyBorder="1" applyAlignment="1" applyProtection="1">
      <alignment horizontal="center"/>
    </xf>
    <xf numFmtId="168" fontId="33" fillId="2" borderId="0" xfId="0" applyNumberFormat="1" applyFont="1" applyFill="1" applyBorder="1" applyAlignment="1" applyProtection="1"/>
    <xf numFmtId="166" fontId="1" fillId="0" borderId="0" xfId="0" applyNumberFormat="1" applyFont="1" applyFill="1" applyAlignment="1">
      <alignment horizontal="center"/>
    </xf>
    <xf numFmtId="168" fontId="0" fillId="0" borderId="0" xfId="0" applyFill="1" applyAlignment="1">
      <alignment horizontal="center"/>
    </xf>
    <xf numFmtId="168" fontId="0" fillId="0" borderId="0" xfId="0" applyFill="1"/>
    <xf numFmtId="168" fontId="0" fillId="0" borderId="0" xfId="0" applyFont="1" applyFill="1" applyAlignment="1" applyProtection="1">
      <alignment horizontal="right"/>
      <protection locked="0"/>
    </xf>
    <xf numFmtId="168" fontId="0" fillId="0" borderId="0" xfId="0" pivotButton="1"/>
    <xf numFmtId="166" fontId="0" fillId="0" borderId="0" xfId="0" applyNumberFormat="1"/>
    <xf numFmtId="168" fontId="0" fillId="0" borderId="0" xfId="0"/>
    <xf numFmtId="168" fontId="0" fillId="0" borderId="0" xfId="0" applyAlignment="1">
      <alignment horizontal="center"/>
    </xf>
    <xf numFmtId="168" fontId="3" fillId="0" borderId="0" xfId="0" applyNumberFormat="1" applyFont="1" applyFill="1" applyAlignment="1">
      <alignment vertical="center"/>
    </xf>
    <xf numFmtId="166" fontId="3" fillId="0" borderId="0" xfId="0" applyNumberFormat="1" applyFont="1" applyFill="1" applyAlignment="1">
      <alignment vertical="center"/>
    </xf>
    <xf numFmtId="168" fontId="0" fillId="0" borderId="0" xfId="0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33" fillId="0" borderId="9" xfId="0" applyFont="1" applyFill="1" applyBorder="1" applyAlignment="1" applyProtection="1">
      <alignment horizontal="center" vertical="center"/>
    </xf>
    <xf numFmtId="166" fontId="44" fillId="0" borderId="37" xfId="0" applyNumberFormat="1" applyFont="1" applyFill="1" applyBorder="1" applyAlignment="1" applyProtection="1">
      <alignment horizontal="center" vertical="center"/>
    </xf>
    <xf numFmtId="1" fontId="40" fillId="2" borderId="15" xfId="0" applyNumberFormat="1" applyFont="1" applyFill="1" applyBorder="1" applyAlignment="1" applyProtection="1">
      <alignment horizontal="center" vertical="center"/>
    </xf>
    <xf numFmtId="166" fontId="45" fillId="4" borderId="0" xfId="0" applyNumberFormat="1" applyFont="1" applyFill="1" applyBorder="1" applyAlignment="1" applyProtection="1">
      <alignment horizontal="center" vertical="center"/>
      <protection locked="0"/>
    </xf>
    <xf numFmtId="168" fontId="40" fillId="2" borderId="15" xfId="0" applyNumberFormat="1" applyFont="1" applyFill="1" applyBorder="1" applyAlignment="1" applyProtection="1">
      <alignment horizontal="center" vertical="center"/>
      <protection locked="0"/>
    </xf>
    <xf numFmtId="168" fontId="40" fillId="2" borderId="20" xfId="0" applyNumberFormat="1" applyFont="1" applyFill="1" applyBorder="1" applyAlignment="1" applyProtection="1">
      <alignment horizontal="center" vertical="center"/>
      <protection locked="0"/>
    </xf>
    <xf numFmtId="168" fontId="45" fillId="0" borderId="16" xfId="0" applyFont="1" applyFill="1" applyBorder="1" applyAlignment="1" applyProtection="1">
      <alignment horizontal="center" vertical="center"/>
    </xf>
    <xf numFmtId="168" fontId="0" fillId="0" borderId="0" xfId="0"/>
    <xf numFmtId="1" fontId="40" fillId="0" borderId="42" xfId="0" applyNumberFormat="1" applyFont="1" applyFill="1" applyBorder="1" applyAlignment="1" applyProtection="1">
      <alignment horizontal="center" vertical="center"/>
    </xf>
    <xf numFmtId="166" fontId="45" fillId="4" borderId="5" xfId="0" applyNumberFormat="1" applyFont="1" applyFill="1" applyBorder="1" applyAlignment="1" applyProtection="1">
      <alignment horizontal="center" vertical="center"/>
      <protection locked="0"/>
    </xf>
    <xf numFmtId="168" fontId="40" fillId="2" borderId="38" xfId="0" applyNumberFormat="1" applyFont="1" applyFill="1" applyBorder="1" applyAlignment="1" applyProtection="1">
      <alignment horizontal="center" vertical="center"/>
      <protection locked="0"/>
    </xf>
    <xf numFmtId="168" fontId="0" fillId="0" borderId="0" xfId="0" applyFont="1" applyFill="1" applyAlignment="1" applyProtection="1">
      <alignment horizontal="center" vertical="center"/>
      <protection locked="0"/>
    </xf>
    <xf numFmtId="168" fontId="0" fillId="0" borderId="0" xfId="0" applyFill="1" applyAlignment="1">
      <alignment horizontal="center" vertical="center"/>
    </xf>
    <xf numFmtId="168" fontId="0" fillId="0" borderId="49" xfId="0" applyFill="1" applyBorder="1" applyAlignment="1">
      <alignment horizontal="center" vertical="center"/>
    </xf>
    <xf numFmtId="168" fontId="33" fillId="5" borderId="60" xfId="0" applyFont="1" applyFill="1" applyBorder="1" applyAlignment="1" applyProtection="1">
      <alignment horizontal="center" vertical="center"/>
    </xf>
    <xf numFmtId="168" fontId="33" fillId="5" borderId="59" xfId="0" applyFont="1" applyFill="1" applyBorder="1" applyAlignment="1" applyProtection="1">
      <alignment horizontal="center" vertical="center" wrapText="1"/>
    </xf>
    <xf numFmtId="168" fontId="33" fillId="5" borderId="61" xfId="0" applyFont="1" applyFill="1" applyBorder="1" applyAlignment="1" applyProtection="1">
      <alignment horizontal="center" vertical="center"/>
    </xf>
    <xf numFmtId="1" fontId="49" fillId="2" borderId="0" xfId="0" applyNumberFormat="1" applyFont="1" applyFill="1" applyBorder="1" applyProtection="1"/>
    <xf numFmtId="168" fontId="33" fillId="5" borderId="0" xfId="0" applyFont="1" applyFill="1" applyBorder="1" applyAlignment="1" applyProtection="1">
      <alignment horizontal="center" vertical="center"/>
    </xf>
    <xf numFmtId="166" fontId="33" fillId="4" borderId="0" xfId="0" applyNumberFormat="1" applyFont="1" applyFill="1" applyBorder="1" applyAlignment="1" applyProtection="1">
      <alignment horizontal="center" vertical="center"/>
      <protection locked="0"/>
    </xf>
    <xf numFmtId="166" fontId="33" fillId="4" borderId="19" xfId="0" applyNumberFormat="1" applyFont="1" applyFill="1" applyBorder="1" applyAlignment="1" applyProtection="1">
      <alignment horizontal="center" vertical="center"/>
      <protection locked="0"/>
    </xf>
    <xf numFmtId="166" fontId="33" fillId="4" borderId="1" xfId="0" applyNumberFormat="1" applyFont="1" applyFill="1" applyBorder="1" applyAlignment="1" applyProtection="1">
      <alignment horizontal="center" vertical="center"/>
      <protection locked="0"/>
    </xf>
    <xf numFmtId="168" fontId="33" fillId="5" borderId="33" xfId="0" applyFont="1" applyFill="1" applyBorder="1" applyAlignment="1" applyProtection="1">
      <alignment horizontal="center" vertical="center" wrapText="1"/>
    </xf>
    <xf numFmtId="49" fontId="33" fillId="0" borderId="9" xfId="0" applyNumberFormat="1" applyFont="1" applyFill="1" applyBorder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49" fontId="33" fillId="3" borderId="43" xfId="0" applyNumberFormat="1" applyFont="1" applyFill="1" applyBorder="1" applyAlignment="1" applyProtection="1">
      <alignment horizontal="center" vertical="center"/>
      <protection locked="0"/>
    </xf>
    <xf numFmtId="49" fontId="33" fillId="3" borderId="46" xfId="0" applyNumberFormat="1" applyFont="1" applyFill="1" applyBorder="1" applyAlignment="1" applyProtection="1">
      <alignment horizontal="center" vertical="center"/>
      <protection locked="0"/>
    </xf>
    <xf numFmtId="49" fontId="33" fillId="3" borderId="50" xfId="0" applyNumberFormat="1" applyFont="1" applyFill="1" applyBorder="1" applyAlignment="1" applyProtection="1">
      <alignment horizontal="center" vertical="center"/>
      <protection locked="0"/>
    </xf>
    <xf numFmtId="168" fontId="0" fillId="0" borderId="0" xfId="0" applyAlignment="1">
      <alignment horizontal="center"/>
    </xf>
    <xf numFmtId="49" fontId="0" fillId="0" borderId="0" xfId="0" applyNumberFormat="1"/>
    <xf numFmtId="49" fontId="3" fillId="0" borderId="0" xfId="0" applyNumberFormat="1" applyFont="1" applyFill="1" applyAlignment="1">
      <alignment horizontal="center" vertical="center"/>
    </xf>
    <xf numFmtId="168" fontId="17" fillId="0" borderId="0" xfId="0" applyFont="1" applyFill="1" applyBorder="1" applyAlignment="1">
      <alignment horizontal="center" vertical="justify" textRotation="255" wrapText="1"/>
    </xf>
    <xf numFmtId="168" fontId="0" fillId="0" borderId="0" xfId="0" applyAlignment="1">
      <alignment horizontal="center"/>
    </xf>
    <xf numFmtId="168" fontId="51" fillId="6" borderId="21" xfId="0" applyFont="1" applyFill="1" applyBorder="1" applyAlignment="1" applyProtection="1">
      <alignment horizontal="center" vertical="center"/>
    </xf>
    <xf numFmtId="168" fontId="51" fillId="6" borderId="16" xfId="0" applyFont="1" applyFill="1" applyBorder="1" applyAlignment="1" applyProtection="1">
      <alignment horizontal="center" vertical="center"/>
    </xf>
    <xf numFmtId="166" fontId="53" fillId="6" borderId="13" xfId="0" applyNumberFormat="1" applyFont="1" applyFill="1" applyBorder="1" applyAlignment="1" applyProtection="1">
      <alignment horizontal="center" vertical="center"/>
    </xf>
    <xf numFmtId="166" fontId="53" fillId="6" borderId="20" xfId="0" applyNumberFormat="1" applyFont="1" applyFill="1" applyBorder="1" applyAlignment="1" applyProtection="1">
      <alignment horizontal="center" vertical="center"/>
    </xf>
    <xf numFmtId="14" fontId="0" fillId="0" borderId="0" xfId="0" applyNumberFormat="1"/>
    <xf numFmtId="49" fontId="0" fillId="0" borderId="0" xfId="0" applyNumberFormat="1" applyAlignment="1">
      <alignment horizontal="center"/>
    </xf>
    <xf numFmtId="168" fontId="0" fillId="0" borderId="0" xfId="0" applyNumberFormat="1"/>
    <xf numFmtId="167" fontId="0" fillId="0" borderId="0" xfId="0" applyNumberFormat="1"/>
    <xf numFmtId="168" fontId="50" fillId="5" borderId="35" xfId="0" applyFont="1" applyFill="1" applyBorder="1" applyAlignment="1" applyProtection="1">
      <alignment horizontal="center" vertical="center"/>
    </xf>
    <xf numFmtId="168" fontId="50" fillId="5" borderId="8" xfId="0" applyFont="1" applyFill="1" applyBorder="1" applyAlignment="1" applyProtection="1">
      <alignment horizontal="center" vertical="center"/>
    </xf>
    <xf numFmtId="167" fontId="50" fillId="0" borderId="36" xfId="0" applyNumberFormat="1" applyFont="1" applyFill="1" applyBorder="1" applyAlignment="1" applyProtection="1">
      <alignment horizontal="center" vertical="center"/>
    </xf>
    <xf numFmtId="167" fontId="50" fillId="0" borderId="19" xfId="0" applyNumberFormat="1" applyFont="1" applyFill="1" applyBorder="1" applyAlignment="1" applyProtection="1">
      <alignment horizontal="center" vertical="center"/>
    </xf>
    <xf numFmtId="1" fontId="50" fillId="0" borderId="57" xfId="0" applyNumberFormat="1" applyFont="1" applyFill="1" applyBorder="1" applyAlignment="1" applyProtection="1">
      <alignment horizontal="center" vertical="center"/>
    </xf>
    <xf numFmtId="1" fontId="50" fillId="0" borderId="56" xfId="0" applyNumberFormat="1" applyFont="1" applyFill="1" applyBorder="1" applyAlignment="1" applyProtection="1">
      <alignment horizontal="center" vertical="center"/>
    </xf>
    <xf numFmtId="1" fontId="50" fillId="0" borderId="56" xfId="0" applyNumberFormat="1" applyFont="1" applyBorder="1" applyAlignment="1" applyProtection="1">
      <alignment horizontal="center" vertical="center"/>
    </xf>
    <xf numFmtId="168" fontId="45" fillId="0" borderId="24" xfId="0" applyFont="1" applyFill="1" applyBorder="1" applyAlignment="1" applyProtection="1">
      <alignment horizontal="center" vertical="center"/>
    </xf>
    <xf numFmtId="168" fontId="33" fillId="0" borderId="26" xfId="0" applyFont="1" applyFill="1" applyBorder="1" applyAlignment="1" applyProtection="1">
      <alignment horizontal="center" vertical="center"/>
    </xf>
    <xf numFmtId="166" fontId="44" fillId="0" borderId="58" xfId="0" applyNumberFormat="1" applyFont="1" applyFill="1" applyBorder="1" applyAlignment="1" applyProtection="1">
      <alignment horizontal="center" vertical="center"/>
    </xf>
    <xf numFmtId="168" fontId="20" fillId="0" borderId="7" xfId="0" applyFont="1" applyBorder="1" applyAlignment="1" applyProtection="1">
      <alignment vertical="center"/>
    </xf>
    <xf numFmtId="168" fontId="20" fillId="0" borderId="0" xfId="0" applyFont="1" applyBorder="1" applyAlignment="1" applyProtection="1">
      <alignment vertical="center"/>
    </xf>
    <xf numFmtId="168" fontId="20" fillId="0" borderId="19" xfId="0" applyFont="1" applyBorder="1" applyAlignment="1" applyProtection="1">
      <alignment vertical="center"/>
    </xf>
    <xf numFmtId="168" fontId="40" fillId="2" borderId="15" xfId="0" applyNumberFormat="1" applyFont="1" applyFill="1" applyBorder="1" applyAlignment="1" applyProtection="1">
      <alignment horizontal="center" vertical="center"/>
    </xf>
    <xf numFmtId="168" fontId="40" fillId="2" borderId="17" xfId="0" applyNumberFormat="1" applyFont="1" applyFill="1" applyBorder="1" applyAlignment="1" applyProtection="1">
      <alignment horizontal="center" vertical="center"/>
    </xf>
    <xf numFmtId="168" fontId="50" fillId="5" borderId="33" xfId="0" applyFont="1" applyFill="1" applyBorder="1" applyAlignment="1" applyProtection="1">
      <alignment horizontal="center" vertical="center"/>
    </xf>
    <xf numFmtId="168" fontId="50" fillId="5" borderId="82" xfId="0" applyFont="1" applyFill="1" applyBorder="1" applyAlignment="1" applyProtection="1">
      <alignment horizontal="center" vertical="center"/>
    </xf>
    <xf numFmtId="49" fontId="50" fillId="5" borderId="82" xfId="0" applyNumberFormat="1" applyFont="1" applyFill="1" applyBorder="1" applyAlignment="1" applyProtection="1">
      <alignment horizontal="center" vertical="center"/>
    </xf>
    <xf numFmtId="166" fontId="35" fillId="2" borderId="15" xfId="0" applyNumberFormat="1" applyFont="1" applyFill="1" applyBorder="1" applyAlignment="1" applyProtection="1">
      <alignment horizontal="center"/>
    </xf>
    <xf numFmtId="168" fontId="20" fillId="0" borderId="55" xfId="0" applyFont="1" applyBorder="1" applyAlignment="1" applyProtection="1">
      <alignment vertical="center"/>
    </xf>
    <xf numFmtId="168" fontId="20" fillId="0" borderId="15" xfId="0" applyFont="1" applyBorder="1" applyAlignment="1" applyProtection="1">
      <alignment vertical="center"/>
    </xf>
    <xf numFmtId="168" fontId="20" fillId="0" borderId="20" xfId="0" applyFont="1" applyBorder="1" applyAlignment="1" applyProtection="1">
      <alignment vertical="center"/>
    </xf>
    <xf numFmtId="167" fontId="50" fillId="0" borderId="0" xfId="0" applyNumberFormat="1" applyFont="1" applyFill="1" applyBorder="1" applyAlignment="1" applyProtection="1">
      <alignment horizontal="center" vertical="center"/>
    </xf>
    <xf numFmtId="168" fontId="2" fillId="0" borderId="0" xfId="0" applyFont="1" applyProtection="1">
      <protection locked="0"/>
    </xf>
    <xf numFmtId="49" fontId="45" fillId="0" borderId="87" xfId="0" applyNumberFormat="1" applyFont="1" applyFill="1" applyBorder="1" applyAlignment="1" applyProtection="1">
      <alignment horizontal="center" vertical="center"/>
      <protection locked="0"/>
    </xf>
    <xf numFmtId="49" fontId="45" fillId="0" borderId="16" xfId="0" applyNumberFormat="1" applyFont="1" applyFill="1" applyBorder="1" applyAlignment="1" applyProtection="1">
      <alignment horizontal="center" vertical="center"/>
      <protection locked="0"/>
    </xf>
    <xf numFmtId="49" fontId="33" fillId="0" borderId="88" xfId="0" applyNumberFormat="1" applyFont="1" applyFill="1" applyBorder="1" applyAlignment="1" applyProtection="1">
      <alignment horizontal="center" vertical="center"/>
      <protection locked="0"/>
    </xf>
    <xf numFmtId="49" fontId="33" fillId="0" borderId="89" xfId="0" applyNumberFormat="1" applyFont="1" applyFill="1" applyBorder="1" applyAlignment="1" applyProtection="1">
      <alignment horizontal="center" vertical="center"/>
      <protection locked="0"/>
    </xf>
    <xf numFmtId="49" fontId="33" fillId="0" borderId="37" xfId="0" applyNumberFormat="1" applyFont="1" applyFill="1" applyBorder="1" applyAlignment="1" applyProtection="1">
      <alignment horizontal="center" vertical="center"/>
      <protection locked="0"/>
    </xf>
    <xf numFmtId="168" fontId="0" fillId="0" borderId="0" xfId="0" applyAlignment="1">
      <alignment horizontal="center"/>
    </xf>
    <xf numFmtId="168" fontId="9" fillId="0" borderId="0" xfId="0" applyFont="1" applyProtection="1">
      <protection locked="0"/>
    </xf>
    <xf numFmtId="49" fontId="33" fillId="0" borderId="0" xfId="0" applyNumberFormat="1" applyFont="1" applyFill="1" applyBorder="1" applyAlignment="1" applyProtection="1">
      <alignment horizontal="center" vertical="center"/>
      <protection locked="0"/>
    </xf>
    <xf numFmtId="49" fontId="33" fillId="3" borderId="41" xfId="0" applyNumberFormat="1" applyFont="1" applyFill="1" applyBorder="1" applyAlignment="1" applyProtection="1">
      <alignment horizontal="center" vertical="center"/>
      <protection locked="0"/>
    </xf>
    <xf numFmtId="49" fontId="33" fillId="3" borderId="90" xfId="0" applyNumberFormat="1" applyFont="1" applyFill="1" applyBorder="1" applyAlignment="1" applyProtection="1">
      <alignment horizontal="center" vertical="center"/>
      <protection locked="0"/>
    </xf>
    <xf numFmtId="49" fontId="33" fillId="3" borderId="70" xfId="0" applyNumberFormat="1" applyFont="1" applyFill="1" applyBorder="1" applyAlignment="1" applyProtection="1">
      <alignment horizontal="center" vertical="center"/>
      <protection locked="0"/>
    </xf>
    <xf numFmtId="49" fontId="33" fillId="3" borderId="83" xfId="0" applyNumberFormat="1" applyFont="1" applyFill="1" applyBorder="1" applyAlignment="1" applyProtection="1">
      <alignment horizontal="center" vertical="center"/>
      <protection locked="0"/>
    </xf>
    <xf numFmtId="49" fontId="33" fillId="3" borderId="70" xfId="0" applyNumberFormat="1" applyFont="1" applyFill="1" applyBorder="1" applyAlignment="1" applyProtection="1">
      <alignment horizontal="center" vertical="center" wrapText="1"/>
      <protection locked="0"/>
    </xf>
    <xf numFmtId="49" fontId="33" fillId="0" borderId="9" xfId="0" applyNumberFormat="1" applyFont="1" applyBorder="1" applyAlignment="1" applyProtection="1">
      <alignment horizontal="center" vertical="center"/>
      <protection locked="0"/>
    </xf>
    <xf numFmtId="49" fontId="33" fillId="0" borderId="0" xfId="0" applyNumberFormat="1" applyFont="1" applyBorder="1" applyAlignment="1" applyProtection="1">
      <alignment horizontal="center" vertical="center"/>
      <protection locked="0"/>
    </xf>
    <xf numFmtId="168" fontId="33" fillId="0" borderId="37" xfId="0" applyFont="1" applyBorder="1" applyAlignment="1" applyProtection="1">
      <alignment horizontal="center" vertical="center"/>
      <protection locked="0"/>
    </xf>
    <xf numFmtId="49" fontId="33" fillId="0" borderId="26" xfId="0" applyNumberFormat="1" applyFont="1" applyBorder="1" applyAlignment="1" applyProtection="1">
      <alignment horizontal="center" vertical="center"/>
      <protection locked="0"/>
    </xf>
    <xf numFmtId="168" fontId="33" fillId="0" borderId="19" xfId="0" applyFont="1" applyBorder="1" applyAlignment="1" applyProtection="1">
      <alignment horizontal="center" vertical="center"/>
      <protection locked="0"/>
    </xf>
    <xf numFmtId="168" fontId="33" fillId="0" borderId="58" xfId="0" applyFont="1" applyBorder="1" applyAlignment="1" applyProtection="1">
      <alignment horizontal="center" vertical="center"/>
      <protection locked="0"/>
    </xf>
    <xf numFmtId="166" fontId="3" fillId="0" borderId="0" xfId="0" applyNumberFormat="1" applyFont="1" applyFill="1" applyAlignment="1">
      <alignment horizontal="center" vertical="center"/>
    </xf>
    <xf numFmtId="49" fontId="33" fillId="0" borderId="0" xfId="0" applyNumberFormat="1" applyFont="1" applyFill="1" applyBorder="1" applyAlignment="1" applyProtection="1">
      <alignment horizontal="center" vertical="center"/>
      <protection locked="0"/>
    </xf>
    <xf numFmtId="168" fontId="56" fillId="10" borderId="91" xfId="0" applyFont="1" applyFill="1" applyBorder="1" applyAlignment="1">
      <alignment wrapText="1"/>
    </xf>
    <xf numFmtId="168" fontId="0" fillId="9" borderId="0" xfId="0" applyFill="1" applyBorder="1"/>
    <xf numFmtId="168" fontId="0" fillId="9" borderId="0" xfId="0" applyFill="1"/>
    <xf numFmtId="173" fontId="59" fillId="0" borderId="95" xfId="2" applyNumberFormat="1" applyFont="1" applyFill="1" applyBorder="1" applyAlignment="1" applyProtection="1">
      <alignment horizontal="center" vertical="center" wrapText="1"/>
    </xf>
    <xf numFmtId="15" fontId="60" fillId="4" borderId="96" xfId="2" applyNumberFormat="1" applyFont="1" applyFill="1" applyBorder="1" applyAlignment="1" applyProtection="1">
      <alignment horizontal="center" vertical="center" wrapText="1"/>
      <protection locked="0"/>
    </xf>
    <xf numFmtId="166" fontId="59" fillId="4" borderId="96" xfId="2" applyNumberFormat="1" applyFont="1" applyFill="1" applyBorder="1" applyAlignment="1" applyProtection="1">
      <alignment horizontal="center" vertical="center" wrapText="1"/>
    </xf>
    <xf numFmtId="168" fontId="59" fillId="0" borderId="96" xfId="2" applyNumberFormat="1" applyFont="1" applyFill="1" applyBorder="1" applyAlignment="1" applyProtection="1">
      <alignment horizontal="center" vertical="center" wrapText="1"/>
      <protection locked="0"/>
    </xf>
    <xf numFmtId="168" fontId="59" fillId="0" borderId="96" xfId="3" applyNumberFormat="1" applyFont="1" applyFill="1" applyBorder="1" applyAlignment="1" applyProtection="1">
      <alignment horizontal="center" vertical="center" wrapText="1" shrinkToFit="1"/>
      <protection locked="0"/>
    </xf>
    <xf numFmtId="1" fontId="59" fillId="4" borderId="97" xfId="0" applyNumberFormat="1" applyFont="1" applyFill="1" applyBorder="1" applyAlignment="1" applyProtection="1">
      <alignment horizontal="center" vertical="center" wrapText="1"/>
    </xf>
    <xf numFmtId="1" fontId="59" fillId="4" borderId="96" xfId="0" applyNumberFormat="1" applyFont="1" applyFill="1" applyBorder="1" applyAlignment="1" applyProtection="1">
      <alignment horizontal="center" vertical="center" wrapText="1"/>
    </xf>
    <xf numFmtId="168" fontId="57" fillId="0" borderId="98" xfId="2" applyFont="1" applyFill="1" applyBorder="1" applyAlignment="1" applyProtection="1">
      <alignment horizontal="center" vertical="center"/>
    </xf>
    <xf numFmtId="1" fontId="61" fillId="0" borderId="99" xfId="2" applyNumberFormat="1" applyFont="1" applyFill="1" applyBorder="1" applyAlignment="1" applyProtection="1">
      <alignment horizontal="center" vertical="center"/>
    </xf>
    <xf numFmtId="9" fontId="62" fillId="0" borderId="100" xfId="2" applyNumberFormat="1" applyFont="1" applyFill="1" applyBorder="1" applyAlignment="1" applyProtection="1">
      <alignment horizontal="center" vertical="center"/>
    </xf>
    <xf numFmtId="173" fontId="59" fillId="0" borderId="101" xfId="2" applyNumberFormat="1" applyFont="1" applyFill="1" applyBorder="1" applyAlignment="1" applyProtection="1">
      <alignment horizontal="center" vertical="center" wrapText="1"/>
    </xf>
    <xf numFmtId="15" fontId="60" fillId="12" borderId="49" xfId="2" applyNumberFormat="1" applyFont="1" applyFill="1" applyBorder="1" applyAlignment="1" applyProtection="1">
      <alignment horizontal="center" vertical="center" wrapText="1"/>
      <protection locked="0"/>
    </xf>
    <xf numFmtId="166" fontId="59" fillId="0" borderId="49" xfId="2" applyNumberFormat="1" applyFont="1" applyFill="1" applyBorder="1" applyAlignment="1" applyProtection="1">
      <alignment horizontal="center" vertical="center" wrapText="1"/>
    </xf>
    <xf numFmtId="168" fontId="59" fillId="0" borderId="49" xfId="2" applyNumberFormat="1" applyFont="1" applyFill="1" applyBorder="1" applyAlignment="1" applyProtection="1">
      <alignment horizontal="center" vertical="center" wrapText="1"/>
      <protection locked="0"/>
    </xf>
    <xf numFmtId="168" fontId="59" fillId="0" borderId="49" xfId="4" applyNumberFormat="1" applyFont="1" applyFill="1" applyBorder="1" applyAlignment="1" applyProtection="1">
      <alignment horizontal="center" vertical="center" wrapText="1"/>
      <protection locked="0"/>
    </xf>
    <xf numFmtId="1" fontId="59" fillId="4" borderId="102" xfId="0" applyNumberFormat="1" applyFont="1" applyFill="1" applyBorder="1" applyAlignment="1" applyProtection="1">
      <alignment horizontal="center" vertical="center" wrapText="1"/>
    </xf>
    <xf numFmtId="1" fontId="59" fillId="4" borderId="49" xfId="0" applyNumberFormat="1" applyFont="1" applyFill="1" applyBorder="1" applyAlignment="1" applyProtection="1">
      <alignment horizontal="center" vertical="center" wrapText="1"/>
    </xf>
    <xf numFmtId="168" fontId="57" fillId="0" borderId="103" xfId="2" applyFont="1" applyFill="1" applyBorder="1" applyAlignment="1" applyProtection="1">
      <alignment horizontal="center" vertical="center"/>
    </xf>
    <xf numFmtId="1" fontId="61" fillId="0" borderId="104" xfId="2" applyNumberFormat="1" applyFont="1" applyFill="1" applyBorder="1" applyAlignment="1" applyProtection="1">
      <alignment horizontal="center" vertical="center"/>
    </xf>
    <xf numFmtId="9" fontId="62" fillId="0" borderId="105" xfId="2" applyNumberFormat="1" applyFont="1" applyFill="1" applyBorder="1" applyAlignment="1" applyProtection="1">
      <alignment horizontal="center" vertical="center"/>
    </xf>
    <xf numFmtId="15" fontId="60" fillId="4" borderId="49" xfId="2" applyNumberFormat="1" applyFont="1" applyFill="1" applyBorder="1" applyAlignment="1" applyProtection="1">
      <alignment horizontal="center" vertical="center" wrapText="1"/>
      <protection locked="0"/>
    </xf>
    <xf numFmtId="168" fontId="59" fillId="4" borderId="49" xfId="2" applyNumberFormat="1" applyFont="1" applyFill="1" applyBorder="1" applyAlignment="1" applyProtection="1">
      <alignment horizontal="center" vertical="center" wrapText="1"/>
      <protection locked="0"/>
    </xf>
    <xf numFmtId="168" fontId="59" fillId="0" borderId="49" xfId="3" applyNumberFormat="1" applyFont="1" applyBorder="1" applyAlignment="1" applyProtection="1">
      <alignment horizontal="center" vertical="center" wrapText="1" shrinkToFit="1"/>
      <protection locked="0"/>
    </xf>
    <xf numFmtId="168" fontId="63" fillId="0" borderId="101" xfId="0" applyFont="1" applyBorder="1" applyAlignment="1">
      <alignment horizontal="center" vertical="center" wrapText="1"/>
    </xf>
    <xf numFmtId="166" fontId="63" fillId="0" borderId="49" xfId="0" applyNumberFormat="1" applyFont="1" applyBorder="1" applyAlignment="1">
      <alignment horizontal="center" vertical="center" wrapText="1"/>
    </xf>
    <xf numFmtId="168" fontId="64" fillId="12" borderId="0" xfId="0" applyFont="1" applyFill="1" applyBorder="1"/>
    <xf numFmtId="168" fontId="59" fillId="0" borderId="49" xfId="3" applyNumberFormat="1" applyFont="1" applyFill="1" applyBorder="1" applyAlignment="1" applyProtection="1">
      <alignment horizontal="center" vertical="center" wrapText="1" shrinkToFit="1"/>
      <protection locked="0"/>
    </xf>
    <xf numFmtId="168" fontId="65" fillId="13" borderId="0" xfId="0" applyFont="1" applyFill="1" applyBorder="1"/>
    <xf numFmtId="166" fontId="59" fillId="9" borderId="0" xfId="2" applyNumberFormat="1" applyFont="1" applyFill="1" applyBorder="1" applyAlignment="1" applyProtection="1">
      <alignment horizontal="center" vertical="center"/>
    </xf>
    <xf numFmtId="166" fontId="67" fillId="9" borderId="0" xfId="2" applyNumberFormat="1" applyFont="1" applyFill="1" applyBorder="1" applyAlignment="1" applyProtection="1">
      <alignment horizontal="center" vertical="center"/>
    </xf>
    <xf numFmtId="173" fontId="59" fillId="0" borderId="111" xfId="2" applyNumberFormat="1" applyFont="1" applyFill="1" applyBorder="1" applyAlignment="1" applyProtection="1">
      <alignment horizontal="center" vertical="center" wrapText="1"/>
    </xf>
    <xf numFmtId="15" fontId="60" fillId="4" borderId="6" xfId="2" applyNumberFormat="1" applyFont="1" applyFill="1" applyBorder="1" applyAlignment="1" applyProtection="1">
      <alignment horizontal="center" vertical="center" wrapText="1"/>
      <protection locked="0"/>
    </xf>
    <xf numFmtId="166" fontId="59" fillId="0" borderId="6" xfId="2" applyNumberFormat="1" applyFont="1" applyFill="1" applyBorder="1" applyAlignment="1" applyProtection="1">
      <alignment horizontal="center" vertical="center" wrapText="1"/>
    </xf>
    <xf numFmtId="168" fontId="59" fillId="0" borderId="6" xfId="2" applyNumberFormat="1" applyFont="1" applyFill="1" applyBorder="1" applyAlignment="1" applyProtection="1">
      <alignment horizontal="center" vertical="center" wrapText="1"/>
      <protection locked="0"/>
    </xf>
    <xf numFmtId="168" fontId="59" fillId="0" borderId="6" xfId="3" applyNumberFormat="1" applyFont="1" applyFill="1" applyBorder="1" applyAlignment="1" applyProtection="1">
      <alignment horizontal="center" vertical="center" wrapText="1" shrinkToFit="1"/>
      <protection locked="0"/>
    </xf>
    <xf numFmtId="1" fontId="59" fillId="4" borderId="3" xfId="0" applyNumberFormat="1" applyFont="1" applyFill="1" applyBorder="1" applyAlignment="1" applyProtection="1">
      <alignment horizontal="center" vertical="center" wrapText="1"/>
    </xf>
    <xf numFmtId="1" fontId="59" fillId="11" borderId="112" xfId="2" applyNumberFormat="1" applyFont="1" applyFill="1" applyBorder="1" applyAlignment="1" applyProtection="1">
      <alignment horizontal="center" vertical="center"/>
    </xf>
    <xf numFmtId="166" fontId="68" fillId="11" borderId="85" xfId="2" applyNumberFormat="1" applyFont="1" applyFill="1" applyBorder="1" applyAlignment="1" applyProtection="1">
      <alignment horizontal="center" vertical="center"/>
    </xf>
    <xf numFmtId="168" fontId="69" fillId="11" borderId="115" xfId="2" applyFont="1" applyFill="1" applyBorder="1" applyAlignment="1" applyProtection="1">
      <alignment horizontal="center" vertical="center"/>
    </xf>
    <xf numFmtId="9" fontId="61" fillId="11" borderId="84" xfId="2" applyNumberFormat="1" applyFont="1" applyFill="1" applyBorder="1" applyAlignment="1" applyProtection="1">
      <alignment horizontal="center" vertical="center"/>
    </xf>
    <xf numFmtId="166" fontId="59" fillId="9" borderId="0" xfId="5" applyNumberFormat="1" applyFont="1" applyFill="1" applyBorder="1" applyAlignment="1" applyProtection="1">
      <alignment horizontal="center" vertical="center"/>
    </xf>
    <xf numFmtId="1" fontId="59" fillId="14" borderId="112" xfId="2" applyNumberFormat="1" applyFont="1" applyFill="1" applyBorder="1" applyAlignment="1" applyProtection="1">
      <alignment horizontal="center" vertical="center"/>
    </xf>
    <xf numFmtId="166" fontId="68" fillId="14" borderId="85" xfId="2" applyNumberFormat="1" applyFont="1" applyFill="1" applyBorder="1" applyAlignment="1" applyProtection="1">
      <alignment horizontal="center" vertical="center"/>
    </xf>
    <xf numFmtId="168" fontId="69" fillId="14" borderId="115" xfId="2" applyFont="1" applyFill="1" applyBorder="1" applyAlignment="1" applyProtection="1">
      <alignment horizontal="center" vertical="center"/>
    </xf>
    <xf numFmtId="9" fontId="61" fillId="14" borderId="84" xfId="2" applyNumberFormat="1" applyFont="1" applyFill="1" applyBorder="1" applyAlignment="1" applyProtection="1">
      <alignment horizontal="center" vertical="center"/>
    </xf>
    <xf numFmtId="168" fontId="0" fillId="0" borderId="0" xfId="0" applyFill="1" applyBorder="1" applyProtection="1">
      <protection locked="0"/>
    </xf>
    <xf numFmtId="1" fontId="59" fillId="15" borderId="112" xfId="2" applyNumberFormat="1" applyFont="1" applyFill="1" applyBorder="1" applyAlignment="1" applyProtection="1">
      <alignment horizontal="center" vertical="center"/>
    </xf>
    <xf numFmtId="166" fontId="68" fillId="15" borderId="85" xfId="2" applyNumberFormat="1" applyFont="1" applyFill="1" applyBorder="1" applyAlignment="1" applyProtection="1">
      <alignment horizontal="center" vertical="center"/>
    </xf>
    <xf numFmtId="168" fontId="69" fillId="15" borderId="115" xfId="2" applyFont="1" applyFill="1" applyBorder="1" applyAlignment="1" applyProtection="1">
      <alignment horizontal="center" vertical="center"/>
    </xf>
    <xf numFmtId="9" fontId="61" fillId="15" borderId="84" xfId="2" applyNumberFormat="1" applyFont="1" applyFill="1" applyBorder="1" applyAlignment="1" applyProtection="1">
      <alignment horizontal="center" vertical="center"/>
    </xf>
    <xf numFmtId="168" fontId="0" fillId="0" borderId="0" xfId="0" applyFill="1" applyBorder="1" applyAlignment="1" applyProtection="1">
      <protection locked="0"/>
    </xf>
    <xf numFmtId="49" fontId="59" fillId="0" borderId="105" xfId="3" applyNumberFormat="1" applyFont="1" applyFill="1" applyBorder="1" applyAlignment="1" applyProtection="1">
      <alignment horizontal="left" vertical="center"/>
      <protection locked="0"/>
    </xf>
    <xf numFmtId="49" fontId="59" fillId="0" borderId="100" xfId="3" applyNumberFormat="1" applyFont="1" applyFill="1" applyBorder="1" applyAlignment="1" applyProtection="1">
      <alignment horizontal="left" vertical="center"/>
      <protection locked="0"/>
    </xf>
    <xf numFmtId="168" fontId="50" fillId="0" borderId="80" xfId="0" applyFont="1" applyBorder="1" applyAlignment="1" applyProtection="1">
      <protection locked="0"/>
    </xf>
    <xf numFmtId="168" fontId="50" fillId="0" borderId="81" xfId="0" applyFont="1" applyBorder="1" applyAlignment="1" applyProtection="1">
      <protection locked="0"/>
    </xf>
    <xf numFmtId="168" fontId="50" fillId="0" borderId="64" xfId="0" applyFont="1" applyBorder="1" applyAlignment="1" applyProtection="1">
      <protection locked="0"/>
    </xf>
    <xf numFmtId="168" fontId="50" fillId="0" borderId="65" xfId="0" applyFont="1" applyBorder="1" applyAlignment="1" applyProtection="1">
      <protection locked="0"/>
    </xf>
    <xf numFmtId="168" fontId="50" fillId="0" borderId="66" xfId="0" applyFont="1" applyBorder="1" applyAlignment="1" applyProtection="1">
      <protection locked="0"/>
    </xf>
    <xf numFmtId="168" fontId="50" fillId="0" borderId="67" xfId="0" applyFont="1" applyBorder="1" applyAlignment="1" applyProtection="1">
      <protection locked="0"/>
    </xf>
    <xf numFmtId="167" fontId="50" fillId="0" borderId="0" xfId="0" applyNumberFormat="1" applyFont="1" applyBorder="1" applyAlignment="1" applyProtection="1">
      <alignment horizontal="center" vertical="center"/>
    </xf>
    <xf numFmtId="168" fontId="50" fillId="0" borderId="1" xfId="0" applyFont="1" applyBorder="1" applyAlignment="1" applyProtection="1">
      <alignment horizontal="center"/>
      <protection locked="0"/>
    </xf>
    <xf numFmtId="168" fontId="50" fillId="0" borderId="64" xfId="0" applyFont="1" applyBorder="1" applyAlignment="1" applyProtection="1">
      <alignment horizontal="center"/>
      <protection locked="0"/>
    </xf>
    <xf numFmtId="168" fontId="50" fillId="0" borderId="66" xfId="0" applyFont="1" applyBorder="1" applyAlignment="1" applyProtection="1">
      <alignment horizontal="center"/>
      <protection locked="0"/>
    </xf>
    <xf numFmtId="49" fontId="50" fillId="0" borderId="117" xfId="0" applyNumberFormat="1" applyFont="1" applyBorder="1" applyAlignment="1" applyProtection="1">
      <alignment horizontal="center"/>
      <protection locked="0"/>
    </xf>
    <xf numFmtId="49" fontId="50" fillId="0" borderId="118" xfId="0" applyNumberFormat="1" applyFont="1" applyBorder="1" applyAlignment="1" applyProtection="1">
      <alignment horizontal="center"/>
      <protection locked="0"/>
    </xf>
    <xf numFmtId="168" fontId="50" fillId="0" borderId="119" xfId="0" applyFont="1" applyBorder="1" applyAlignment="1" applyProtection="1">
      <alignment horizontal="center"/>
      <protection locked="0"/>
    </xf>
    <xf numFmtId="168" fontId="50" fillId="0" borderId="120" xfId="0" applyFont="1" applyBorder="1" applyAlignment="1" applyProtection="1">
      <alignment horizontal="center"/>
      <protection locked="0"/>
    </xf>
    <xf numFmtId="49" fontId="50" fillId="0" borderId="121" xfId="0" applyNumberFormat="1" applyFont="1" applyBorder="1" applyAlignment="1" applyProtection="1">
      <alignment horizontal="center"/>
      <protection locked="0"/>
    </xf>
    <xf numFmtId="168" fontId="50" fillId="0" borderId="128" xfId="0" applyFont="1" applyBorder="1" applyAlignment="1" applyProtection="1">
      <protection locked="0"/>
    </xf>
    <xf numFmtId="168" fontId="50" fillId="0" borderId="1" xfId="0" applyFont="1" applyBorder="1" applyAlignment="1" applyProtection="1">
      <protection locked="0"/>
    </xf>
    <xf numFmtId="168" fontId="50" fillId="0" borderId="130" xfId="0" applyFont="1" applyBorder="1" applyAlignment="1" applyProtection="1">
      <protection locked="0"/>
    </xf>
    <xf numFmtId="168" fontId="50" fillId="16" borderId="64" xfId="0" applyFont="1" applyFill="1" applyBorder="1" applyAlignment="1" applyProtection="1">
      <protection locked="0"/>
    </xf>
    <xf numFmtId="168" fontId="50" fillId="0" borderId="130" xfId="0" applyFont="1" applyBorder="1" applyAlignment="1" applyProtection="1">
      <alignment horizontal="right"/>
      <protection locked="0"/>
    </xf>
    <xf numFmtId="168" fontId="50" fillId="0" borderId="133" xfId="0" applyFont="1" applyBorder="1" applyAlignment="1" applyProtection="1">
      <protection locked="0"/>
    </xf>
    <xf numFmtId="168" fontId="50" fillId="0" borderId="133" xfId="0" applyFont="1" applyBorder="1" applyAlignment="1" applyProtection="1">
      <alignment horizontal="right"/>
      <protection locked="0"/>
    </xf>
    <xf numFmtId="168" fontId="0" fillId="0" borderId="0" xfId="0" applyNumberFormat="1" applyAlignment="1">
      <alignment horizontal="left"/>
    </xf>
    <xf numFmtId="168" fontId="0" fillId="0" borderId="0" xfId="0" applyNumberFormat="1" applyAlignment="1">
      <alignment horizontal="left" indent="1"/>
    </xf>
    <xf numFmtId="49" fontId="0" fillId="0" borderId="0" xfId="0" pivotButton="1" applyNumberFormat="1"/>
    <xf numFmtId="2" fontId="0" fillId="0" borderId="0" xfId="0" applyNumberFormat="1"/>
    <xf numFmtId="168" fontId="0" fillId="0" borderId="0" xfId="0" applyAlignment="1">
      <alignment horizontal="center" vertical="center"/>
    </xf>
    <xf numFmtId="168" fontId="0" fillId="0" borderId="0" xfId="0" applyAlignment="1">
      <alignment horizontal="center"/>
    </xf>
    <xf numFmtId="49" fontId="33" fillId="0" borderId="0" xfId="0" applyNumberFormat="1" applyFont="1" applyFill="1" applyBorder="1" applyAlignment="1" applyProtection="1">
      <alignment horizontal="center" vertical="center"/>
      <protection locked="0"/>
    </xf>
    <xf numFmtId="2" fontId="41" fillId="0" borderId="20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168" fontId="33" fillId="0" borderId="19" xfId="0" applyFont="1" applyBorder="1" applyAlignment="1" applyProtection="1">
      <alignment horizontal="center" vertical="center"/>
      <protection locked="0"/>
    </xf>
    <xf numFmtId="49" fontId="33" fillId="0" borderId="0" xfId="0" applyNumberFormat="1" applyFont="1" applyFill="1" applyBorder="1" applyAlignment="1" applyProtection="1">
      <alignment horizontal="center" vertical="center"/>
      <protection locked="0"/>
    </xf>
    <xf numFmtId="168" fontId="33" fillId="5" borderId="0" xfId="0" applyFont="1" applyFill="1" applyBorder="1" applyAlignment="1" applyProtection="1">
      <alignment horizontal="center" vertical="center"/>
    </xf>
    <xf numFmtId="0" fontId="0" fillId="0" borderId="0" xfId="0" applyNumberFormat="1"/>
    <xf numFmtId="49" fontId="70" fillId="0" borderId="0" xfId="0" applyNumberFormat="1" applyFont="1"/>
    <xf numFmtId="49" fontId="0" fillId="0" borderId="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" fontId="40" fillId="0" borderId="118" xfId="0" applyNumberFormat="1" applyFont="1" applyFill="1" applyBorder="1" applyAlignment="1" applyProtection="1">
      <alignment horizontal="center" vertical="center"/>
    </xf>
    <xf numFmtId="49" fontId="33" fillId="3" borderId="23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/>
    <xf numFmtId="168" fontId="0" fillId="0" borderId="0" xfId="0" applyAlignment="1">
      <alignment horizontal="left"/>
    </xf>
    <xf numFmtId="168" fontId="0" fillId="0" borderId="0" xfId="0" applyBorder="1" applyAlignment="1"/>
    <xf numFmtId="49" fontId="33" fillId="3" borderId="49" xfId="0" applyNumberFormat="1" applyFont="1" applyFill="1" applyBorder="1" applyAlignment="1" applyProtection="1">
      <alignment horizontal="center" vertical="center"/>
      <protection locked="0"/>
    </xf>
    <xf numFmtId="49" fontId="33" fillId="3" borderId="137" xfId="0" applyNumberFormat="1" applyFont="1" applyFill="1" applyBorder="1" applyAlignment="1" applyProtection="1">
      <alignment horizontal="center" vertical="center"/>
      <protection locked="0"/>
    </xf>
    <xf numFmtId="168" fontId="51" fillId="6" borderId="134" xfId="0" applyFont="1" applyFill="1" applyBorder="1" applyAlignment="1" applyProtection="1">
      <alignment horizontal="center" vertical="center"/>
    </xf>
    <xf numFmtId="168" fontId="20" fillId="0" borderId="64" xfId="0" applyFont="1" applyBorder="1" applyAlignment="1" applyProtection="1">
      <alignment horizontal="center" vertical="center"/>
      <protection locked="0"/>
    </xf>
    <xf numFmtId="168" fontId="33" fillId="0" borderId="4" xfId="0" applyFont="1" applyBorder="1" applyAlignment="1" applyProtection="1">
      <alignment horizontal="center"/>
    </xf>
    <xf numFmtId="168" fontId="33" fillId="0" borderId="0" xfId="0" applyFont="1" applyBorder="1" applyAlignment="1" applyProtection="1">
      <alignment horizontal="center"/>
    </xf>
    <xf numFmtId="168" fontId="33" fillId="0" borderId="10" xfId="0" applyFont="1" applyBorder="1" applyAlignment="1" applyProtection="1">
      <alignment horizontal="center"/>
    </xf>
    <xf numFmtId="168" fontId="50" fillId="6" borderId="29" xfId="0" applyFont="1" applyFill="1" applyBorder="1" applyAlignment="1">
      <alignment horizontal="center"/>
    </xf>
    <xf numFmtId="168" fontId="50" fillId="6" borderId="31" xfId="0" applyFont="1" applyFill="1" applyBorder="1" applyAlignment="1">
      <alignment horizontal="center"/>
    </xf>
    <xf numFmtId="168" fontId="50" fillId="0" borderId="129" xfId="0" applyFont="1" applyBorder="1" applyAlignment="1" applyProtection="1">
      <alignment horizontal="center"/>
      <protection locked="0"/>
    </xf>
    <xf numFmtId="168" fontId="50" fillId="0" borderId="103" xfId="0" applyFont="1" applyBorder="1" applyAlignment="1" applyProtection="1">
      <alignment horizontal="center"/>
      <protection locked="0"/>
    </xf>
    <xf numFmtId="166" fontId="50" fillId="0" borderId="14" xfId="0" applyNumberFormat="1" applyFont="1" applyBorder="1" applyAlignment="1">
      <alignment horizontal="center" vertical="center"/>
    </xf>
    <xf numFmtId="166" fontId="50" fillId="0" borderId="15" xfId="0" applyNumberFormat="1" applyFont="1" applyBorder="1" applyAlignment="1">
      <alignment horizontal="center" vertical="center"/>
    </xf>
    <xf numFmtId="166" fontId="50" fillId="0" borderId="18" xfId="0" applyNumberFormat="1" applyFont="1" applyBorder="1" applyAlignment="1">
      <alignment horizontal="center" vertical="center"/>
    </xf>
    <xf numFmtId="166" fontId="50" fillId="0" borderId="20" xfId="0" applyNumberFormat="1" applyFont="1" applyBorder="1" applyAlignment="1">
      <alignment horizontal="center" vertical="center"/>
    </xf>
    <xf numFmtId="168" fontId="33" fillId="0" borderId="28" xfId="0" applyFont="1" applyBorder="1" applyAlignment="1" applyProtection="1">
      <alignment horizontal="center"/>
    </xf>
    <xf numFmtId="168" fontId="33" fillId="0" borderId="19" xfId="0" applyFont="1" applyBorder="1" applyAlignment="1" applyProtection="1">
      <alignment horizontal="center"/>
    </xf>
    <xf numFmtId="168" fontId="33" fillId="0" borderId="25" xfId="0" applyFont="1" applyBorder="1" applyAlignment="1" applyProtection="1">
      <alignment horizontal="center"/>
    </xf>
    <xf numFmtId="168" fontId="50" fillId="0" borderId="131" xfId="0" applyFont="1" applyBorder="1" applyAlignment="1" applyProtection="1">
      <alignment horizontal="center"/>
      <protection locked="0"/>
    </xf>
    <xf numFmtId="168" fontId="50" fillId="0" borderId="132" xfId="0" applyFont="1" applyBorder="1" applyAlignment="1" applyProtection="1">
      <alignment horizontal="center"/>
      <protection locked="0"/>
    </xf>
    <xf numFmtId="168" fontId="50" fillId="6" borderId="30" xfId="0" applyFont="1" applyFill="1" applyBorder="1" applyAlignment="1">
      <alignment horizontal="center"/>
    </xf>
    <xf numFmtId="168" fontId="39" fillId="6" borderId="122" xfId="0" applyFont="1" applyFill="1" applyBorder="1" applyAlignment="1" applyProtection="1">
      <alignment horizontal="center"/>
      <protection locked="0"/>
    </xf>
    <xf numFmtId="168" fontId="39" fillId="6" borderId="123" xfId="0" applyFont="1" applyFill="1" applyBorder="1" applyAlignment="1" applyProtection="1">
      <alignment horizontal="center"/>
      <protection locked="0"/>
    </xf>
    <xf numFmtId="168" fontId="39" fillId="6" borderId="124" xfId="0" applyFont="1" applyFill="1" applyBorder="1" applyAlignment="1" applyProtection="1">
      <alignment horizontal="center"/>
      <protection locked="0"/>
    </xf>
    <xf numFmtId="168" fontId="39" fillId="6" borderId="125" xfId="0" applyFont="1" applyFill="1" applyBorder="1" applyAlignment="1" applyProtection="1">
      <alignment horizontal="center"/>
      <protection locked="0"/>
    </xf>
    <xf numFmtId="168" fontId="39" fillId="6" borderId="8" xfId="0" applyFont="1" applyFill="1" applyBorder="1" applyAlignment="1" applyProtection="1">
      <alignment horizontal="center"/>
      <protection locked="0"/>
    </xf>
    <xf numFmtId="168" fontId="39" fillId="6" borderId="126" xfId="0" applyFont="1" applyFill="1" applyBorder="1" applyAlignment="1" applyProtection="1">
      <alignment horizontal="center"/>
      <protection locked="0"/>
    </xf>
    <xf numFmtId="167" fontId="50" fillId="0" borderId="14" xfId="0" applyNumberFormat="1" applyFont="1" applyBorder="1" applyAlignment="1">
      <alignment horizontal="center" vertical="center"/>
    </xf>
    <xf numFmtId="167" fontId="50" fillId="0" borderId="15" xfId="0" applyNumberFormat="1" applyFont="1" applyBorder="1" applyAlignment="1">
      <alignment horizontal="center" vertical="center"/>
    </xf>
    <xf numFmtId="168" fontId="50" fillId="0" borderId="127" xfId="0" applyFont="1" applyBorder="1" applyAlignment="1" applyProtection="1">
      <alignment horizontal="center"/>
      <protection locked="0"/>
    </xf>
    <xf numFmtId="168" fontId="50" fillId="0" borderId="98" xfId="0" applyFont="1" applyBorder="1" applyAlignment="1" applyProtection="1">
      <alignment horizontal="center"/>
      <protection locked="0"/>
    </xf>
    <xf numFmtId="168" fontId="50" fillId="16" borderId="129" xfId="0" applyFont="1" applyFill="1" applyBorder="1" applyAlignment="1" applyProtection="1">
      <alignment horizontal="center"/>
      <protection locked="0"/>
    </xf>
    <xf numFmtId="168" fontId="50" fillId="16" borderId="103" xfId="0" applyFont="1" applyFill="1" applyBorder="1" applyAlignment="1" applyProtection="1">
      <alignment horizontal="center"/>
      <protection locked="0"/>
    </xf>
    <xf numFmtId="1" fontId="50" fillId="0" borderId="78" xfId="0" applyNumberFormat="1" applyFont="1" applyBorder="1" applyAlignment="1" applyProtection="1">
      <alignment horizontal="center" vertical="center"/>
    </xf>
    <xf numFmtId="1" fontId="50" fillId="0" borderId="79" xfId="0" applyNumberFormat="1" applyFont="1" applyBorder="1" applyAlignment="1" applyProtection="1">
      <alignment horizontal="center" vertical="center"/>
    </xf>
    <xf numFmtId="167" fontId="50" fillId="0" borderId="53" xfId="0" applyNumberFormat="1" applyFont="1" applyBorder="1" applyAlignment="1" applyProtection="1">
      <alignment horizontal="center" vertical="center"/>
    </xf>
    <xf numFmtId="167" fontId="50" fillId="0" borderId="54" xfId="0" applyNumberFormat="1" applyFont="1" applyBorder="1" applyAlignment="1" applyProtection="1">
      <alignment horizontal="center" vertical="center"/>
    </xf>
    <xf numFmtId="167" fontId="50" fillId="0" borderId="55" xfId="0" applyNumberFormat="1" applyFont="1" applyBorder="1" applyAlignment="1" applyProtection="1">
      <alignment horizontal="center" vertical="center"/>
    </xf>
    <xf numFmtId="167" fontId="50" fillId="0" borderId="20" xfId="0" applyNumberFormat="1" applyFont="1" applyBorder="1" applyAlignment="1" applyProtection="1">
      <alignment horizontal="center" vertical="center"/>
    </xf>
    <xf numFmtId="168" fontId="33" fillId="0" borderId="4" xfId="0" applyFont="1" applyBorder="1" applyAlignment="1" applyProtection="1">
      <alignment horizontal="center" vertical="center"/>
      <protection locked="0"/>
    </xf>
    <xf numFmtId="168" fontId="33" fillId="0" borderId="0" xfId="0" applyFont="1" applyBorder="1" applyAlignment="1" applyProtection="1">
      <alignment horizontal="center" vertical="center"/>
      <protection locked="0"/>
    </xf>
    <xf numFmtId="168" fontId="33" fillId="0" borderId="10" xfId="0" applyFont="1" applyBorder="1" applyAlignment="1" applyProtection="1">
      <alignment horizontal="center" vertical="center"/>
      <protection locked="0"/>
    </xf>
    <xf numFmtId="168" fontId="33" fillId="0" borderId="28" xfId="0" applyFont="1" applyBorder="1" applyAlignment="1" applyProtection="1">
      <alignment horizontal="center" vertical="center"/>
      <protection locked="0"/>
    </xf>
    <xf numFmtId="168" fontId="33" fillId="0" borderId="19" xfId="0" applyFont="1" applyBorder="1" applyAlignment="1" applyProtection="1">
      <alignment horizontal="center" vertical="center"/>
      <protection locked="0"/>
    </xf>
    <xf numFmtId="168" fontId="33" fillId="0" borderId="25" xfId="0" applyFont="1" applyBorder="1" applyAlignment="1" applyProtection="1">
      <alignment horizontal="center" vertical="center"/>
      <protection locked="0"/>
    </xf>
    <xf numFmtId="168" fontId="39" fillId="6" borderId="29" xfId="0" applyFont="1" applyFill="1" applyBorder="1" applyAlignment="1" applyProtection="1">
      <alignment horizontal="center" vertical="center"/>
    </xf>
    <xf numFmtId="168" fontId="39" fillId="6" borderId="30" xfId="0" applyFont="1" applyFill="1" applyBorder="1" applyAlignment="1" applyProtection="1">
      <alignment horizontal="center" vertical="center"/>
    </xf>
    <xf numFmtId="168" fontId="39" fillId="6" borderId="31" xfId="0" applyFont="1" applyFill="1" applyBorder="1" applyAlignment="1" applyProtection="1">
      <alignment horizontal="center" vertical="center"/>
    </xf>
    <xf numFmtId="49" fontId="33" fillId="0" borderId="0" xfId="0" applyNumberFormat="1" applyFont="1" applyFill="1" applyBorder="1" applyAlignment="1" applyProtection="1">
      <alignment horizontal="center" vertical="center"/>
      <protection locked="0"/>
    </xf>
    <xf numFmtId="49" fontId="33" fillId="0" borderId="0" xfId="0" applyNumberFormat="1" applyFont="1" applyFill="1" applyBorder="1" applyAlignment="1" applyProtection="1">
      <alignment horizontal="center" vertical="center" wrapText="1"/>
      <protection locked="0"/>
    </xf>
    <xf numFmtId="168" fontId="33" fillId="5" borderId="62" xfId="0" applyFont="1" applyFill="1" applyBorder="1" applyAlignment="1" applyProtection="1">
      <alignment horizontal="center" vertical="center" wrapText="1"/>
    </xf>
    <xf numFmtId="168" fontId="33" fillId="5" borderId="8" xfId="0" applyFont="1" applyFill="1" applyBorder="1" applyAlignment="1" applyProtection="1">
      <alignment horizontal="center" vertical="center" wrapText="1"/>
    </xf>
    <xf numFmtId="168" fontId="33" fillId="5" borderId="63" xfId="0" applyFont="1" applyFill="1" applyBorder="1" applyAlignment="1" applyProtection="1">
      <alignment horizontal="center" vertical="center" wrapText="1"/>
    </xf>
    <xf numFmtId="168" fontId="33" fillId="0" borderId="68" xfId="0" applyFont="1" applyBorder="1" applyAlignment="1" applyProtection="1">
      <alignment horizontal="center"/>
    </xf>
    <xf numFmtId="168" fontId="33" fillId="0" borderId="7" xfId="0" applyFont="1" applyBorder="1" applyAlignment="1" applyProtection="1">
      <alignment horizontal="center"/>
    </xf>
    <xf numFmtId="168" fontId="33" fillId="0" borderId="69" xfId="0" applyFont="1" applyBorder="1" applyAlignment="1" applyProtection="1">
      <alignment horizontal="center"/>
    </xf>
    <xf numFmtId="169" fontId="40" fillId="3" borderId="46" xfId="0" applyNumberFormat="1" applyFont="1" applyFill="1" applyBorder="1" applyAlignment="1" applyProtection="1">
      <alignment horizontal="center" vertical="center"/>
    </xf>
    <xf numFmtId="49" fontId="50" fillId="2" borderId="28" xfId="0" applyNumberFormat="1" applyFont="1" applyFill="1" applyBorder="1" applyAlignment="1" applyProtection="1">
      <alignment horizontal="left" vertical="center"/>
      <protection locked="0"/>
    </xf>
    <xf numFmtId="49" fontId="50" fillId="2" borderId="19" xfId="0" applyNumberFormat="1" applyFont="1" applyFill="1" applyBorder="1" applyAlignment="1" applyProtection="1">
      <alignment horizontal="left" vertical="center"/>
      <protection locked="0"/>
    </xf>
    <xf numFmtId="49" fontId="50" fillId="2" borderId="27" xfId="0" applyNumberFormat="1" applyFont="1" applyFill="1" applyBorder="1" applyAlignment="1" applyProtection="1">
      <alignment horizontal="left" vertical="center"/>
      <protection locked="0"/>
    </xf>
    <xf numFmtId="168" fontId="39" fillId="6" borderId="11" xfId="0" applyNumberFormat="1" applyFont="1" applyFill="1" applyBorder="1" applyAlignment="1" applyProtection="1">
      <alignment horizontal="center" vertical="center"/>
    </xf>
    <xf numFmtId="168" fontId="39" fillId="6" borderId="12" xfId="0" applyNumberFormat="1" applyFont="1" applyFill="1" applyBorder="1" applyAlignment="1" applyProtection="1">
      <alignment horizontal="center" vertical="center"/>
    </xf>
    <xf numFmtId="168" fontId="39" fillId="6" borderId="13" xfId="0" applyNumberFormat="1" applyFont="1" applyFill="1" applyBorder="1" applyAlignment="1" applyProtection="1">
      <alignment horizontal="center" vertical="center"/>
    </xf>
    <xf numFmtId="1" fontId="39" fillId="6" borderId="11" xfId="0" applyNumberFormat="1" applyFont="1" applyFill="1" applyBorder="1" applyAlignment="1" applyProtection="1">
      <alignment horizontal="center" vertical="center"/>
    </xf>
    <xf numFmtId="1" fontId="39" fillId="6" borderId="12" xfId="0" applyNumberFormat="1" applyFont="1" applyFill="1" applyBorder="1" applyAlignment="1" applyProtection="1">
      <alignment horizontal="center" vertical="center"/>
    </xf>
    <xf numFmtId="1" fontId="39" fillId="6" borderId="13" xfId="0" applyNumberFormat="1" applyFont="1" applyFill="1" applyBorder="1" applyAlignment="1" applyProtection="1">
      <alignment horizontal="center" vertical="center"/>
    </xf>
    <xf numFmtId="166" fontId="50" fillId="3" borderId="70" xfId="0" applyNumberFormat="1" applyFont="1" applyFill="1" applyBorder="1" applyAlignment="1" applyProtection="1">
      <alignment horizontal="center" vertical="center"/>
    </xf>
    <xf numFmtId="166" fontId="50" fillId="3" borderId="71" xfId="0" applyNumberFormat="1" applyFont="1" applyFill="1" applyBorder="1" applyAlignment="1" applyProtection="1">
      <alignment horizontal="center" vertical="center"/>
    </xf>
    <xf numFmtId="166" fontId="50" fillId="3" borderId="76" xfId="0" applyNumberFormat="1" applyFont="1" applyFill="1" applyBorder="1" applyAlignment="1" applyProtection="1">
      <alignment horizontal="center" vertical="center"/>
    </xf>
    <xf numFmtId="166" fontId="50" fillId="3" borderId="75" xfId="0" applyNumberFormat="1" applyFont="1" applyFill="1" applyBorder="1" applyAlignment="1" applyProtection="1">
      <alignment horizontal="center" vertical="center"/>
    </xf>
    <xf numFmtId="166" fontId="50" fillId="3" borderId="73" xfId="0" applyNumberFormat="1" applyFont="1" applyFill="1" applyBorder="1" applyAlignment="1" applyProtection="1">
      <alignment horizontal="center" vertical="center"/>
    </xf>
    <xf numFmtId="166" fontId="50" fillId="3" borderId="77" xfId="0" applyNumberFormat="1" applyFont="1" applyFill="1" applyBorder="1" applyAlignment="1" applyProtection="1">
      <alignment horizontal="center" vertical="center"/>
    </xf>
    <xf numFmtId="49" fontId="50" fillId="2" borderId="3" xfId="0" applyNumberFormat="1" applyFont="1" applyFill="1" applyBorder="1" applyAlignment="1" applyProtection="1">
      <alignment horizontal="left" vertical="center"/>
      <protection locked="0"/>
    </xf>
    <xf numFmtId="49" fontId="50" fillId="2" borderId="5" xfId="0" applyNumberFormat="1" applyFont="1" applyFill="1" applyBorder="1" applyAlignment="1" applyProtection="1">
      <alignment horizontal="left" vertical="center"/>
      <protection locked="0"/>
    </xf>
    <xf numFmtId="49" fontId="50" fillId="2" borderId="86" xfId="0" applyNumberFormat="1" applyFont="1" applyFill="1" applyBorder="1" applyAlignment="1" applyProtection="1">
      <alignment horizontal="left" vertical="center"/>
      <protection locked="0"/>
    </xf>
    <xf numFmtId="168" fontId="50" fillId="2" borderId="51" xfId="0" applyFont="1" applyFill="1" applyBorder="1" applyAlignment="1" applyProtection="1">
      <alignment horizontal="left" vertical="center"/>
      <protection locked="0"/>
    </xf>
    <xf numFmtId="168" fontId="50" fillId="2" borderId="5" xfId="0" applyFont="1" applyFill="1" applyBorder="1" applyAlignment="1" applyProtection="1">
      <alignment horizontal="left" vertical="center"/>
      <protection locked="0"/>
    </xf>
    <xf numFmtId="49" fontId="50" fillId="2" borderId="4" xfId="0" applyNumberFormat="1" applyFont="1" applyFill="1" applyBorder="1" applyAlignment="1" applyProtection="1">
      <alignment horizontal="left" vertical="center"/>
      <protection locked="0"/>
    </xf>
    <xf numFmtId="49" fontId="50" fillId="2" borderId="0" xfId="0" applyNumberFormat="1" applyFont="1" applyFill="1" applyBorder="1" applyAlignment="1" applyProtection="1">
      <alignment horizontal="left" vertical="center"/>
      <protection locked="0"/>
    </xf>
    <xf numFmtId="168" fontId="50" fillId="2" borderId="34" xfId="0" applyFont="1" applyFill="1" applyBorder="1" applyAlignment="1" applyProtection="1">
      <alignment horizontal="left" vertical="center"/>
      <protection locked="0"/>
    </xf>
    <xf numFmtId="168" fontId="50" fillId="2" borderId="0" xfId="0" applyFont="1" applyFill="1" applyBorder="1" applyAlignment="1" applyProtection="1">
      <alignment horizontal="left" vertical="center"/>
      <protection locked="0"/>
    </xf>
    <xf numFmtId="169" fontId="40" fillId="3" borderId="50" xfId="0" applyNumberFormat="1" applyFont="1" applyFill="1" applyBorder="1" applyAlignment="1" applyProtection="1">
      <alignment horizontal="center" vertical="center"/>
    </xf>
    <xf numFmtId="49" fontId="45" fillId="0" borderId="44" xfId="0" applyNumberFormat="1" applyFont="1" applyFill="1" applyBorder="1" applyAlignment="1" applyProtection="1">
      <alignment horizontal="center" vertical="center"/>
    </xf>
    <xf numFmtId="49" fontId="45" fillId="0" borderId="40" xfId="0" applyNumberFormat="1" applyFont="1" applyFill="1" applyBorder="1" applyAlignment="1" applyProtection="1">
      <alignment horizontal="center" vertical="center"/>
    </xf>
    <xf numFmtId="166" fontId="50" fillId="8" borderId="45" xfId="0" applyNumberFormat="1" applyFont="1" applyFill="1" applyBorder="1" applyAlignment="1" applyProtection="1">
      <alignment horizontal="center" vertical="center"/>
    </xf>
    <xf numFmtId="166" fontId="50" fillId="8" borderId="41" xfId="0" applyNumberFormat="1" applyFont="1" applyFill="1" applyBorder="1" applyAlignment="1" applyProtection="1">
      <alignment horizontal="center" vertical="center"/>
    </xf>
    <xf numFmtId="166" fontId="50" fillId="0" borderId="45" xfId="0" applyNumberFormat="1" applyFont="1" applyFill="1" applyBorder="1" applyAlignment="1" applyProtection="1">
      <alignment horizontal="center" vertical="center"/>
      <protection locked="0"/>
    </xf>
    <xf numFmtId="166" fontId="50" fillId="0" borderId="41" xfId="0" applyNumberFormat="1" applyFont="1" applyFill="1" applyBorder="1" applyAlignment="1" applyProtection="1">
      <alignment horizontal="center" vertical="center"/>
      <protection locked="0"/>
    </xf>
    <xf numFmtId="166" fontId="50" fillId="3" borderId="72" xfId="0" applyNumberFormat="1" applyFont="1" applyFill="1" applyBorder="1" applyAlignment="1" applyProtection="1">
      <alignment horizontal="center" vertical="center"/>
    </xf>
    <xf numFmtId="168" fontId="50" fillId="3" borderId="70" xfId="0" applyNumberFormat="1" applyFont="1" applyFill="1" applyBorder="1" applyAlignment="1" applyProtection="1">
      <alignment horizontal="center" vertical="center"/>
    </xf>
    <xf numFmtId="168" fontId="50" fillId="3" borderId="71" xfId="0" applyNumberFormat="1" applyFont="1" applyFill="1" applyBorder="1" applyAlignment="1" applyProtection="1">
      <alignment horizontal="center" vertical="center"/>
    </xf>
    <xf numFmtId="168" fontId="50" fillId="3" borderId="76" xfId="0" applyNumberFormat="1" applyFont="1" applyFill="1" applyBorder="1" applyAlignment="1" applyProtection="1">
      <alignment horizontal="center" vertical="center"/>
    </xf>
    <xf numFmtId="166" fontId="50" fillId="3" borderId="74" xfId="0" applyNumberFormat="1" applyFont="1" applyFill="1" applyBorder="1" applyAlignment="1" applyProtection="1">
      <alignment horizontal="center" vertical="center"/>
    </xf>
    <xf numFmtId="169" fontId="40" fillId="3" borderId="43" xfId="0" applyNumberFormat="1" applyFont="1" applyFill="1" applyBorder="1" applyAlignment="1" applyProtection="1">
      <alignment horizontal="center" vertical="center"/>
    </xf>
    <xf numFmtId="49" fontId="50" fillId="2" borderId="2" xfId="0" applyNumberFormat="1" applyFont="1" applyFill="1" applyBorder="1" applyAlignment="1" applyProtection="1">
      <alignment horizontal="left" vertical="center"/>
      <protection locked="0"/>
    </xf>
    <xf numFmtId="49" fontId="50" fillId="2" borderId="1" xfId="0" applyNumberFormat="1" applyFont="1" applyFill="1" applyBorder="1" applyAlignment="1" applyProtection="1">
      <alignment horizontal="left" vertical="center"/>
      <protection locked="0"/>
    </xf>
    <xf numFmtId="49" fontId="50" fillId="2" borderId="52" xfId="0" applyNumberFormat="1" applyFont="1" applyFill="1" applyBorder="1" applyAlignment="1" applyProtection="1">
      <alignment horizontal="left" vertical="center"/>
      <protection locked="0"/>
    </xf>
    <xf numFmtId="166" fontId="50" fillId="8" borderId="48" xfId="0" applyNumberFormat="1" applyFont="1" applyFill="1" applyBorder="1" applyAlignment="1" applyProtection="1">
      <alignment horizontal="center" vertical="center"/>
    </xf>
    <xf numFmtId="166" fontId="50" fillId="0" borderId="48" xfId="0" applyNumberFormat="1" applyFont="1" applyFill="1" applyBorder="1" applyAlignment="1" applyProtection="1">
      <alignment horizontal="center" vertical="center"/>
      <protection locked="0"/>
    </xf>
    <xf numFmtId="168" fontId="50" fillId="3" borderId="72" xfId="0" applyNumberFormat="1" applyFont="1" applyFill="1" applyBorder="1" applyAlignment="1" applyProtection="1">
      <alignment horizontal="center" vertical="center"/>
    </xf>
    <xf numFmtId="49" fontId="50" fillId="2" borderId="34" xfId="0" applyNumberFormat="1" applyFont="1" applyFill="1" applyBorder="1" applyAlignment="1" applyProtection="1">
      <alignment horizontal="left" vertical="center"/>
      <protection locked="0"/>
    </xf>
    <xf numFmtId="168" fontId="50" fillId="4" borderId="34" xfId="1" applyFont="1" applyFill="1" applyBorder="1" applyAlignment="1" applyProtection="1">
      <alignment horizontal="left" vertical="center"/>
      <protection locked="0"/>
    </xf>
    <xf numFmtId="168" fontId="50" fillId="4" borderId="0" xfId="1" applyFont="1" applyFill="1" applyBorder="1" applyAlignment="1" applyProtection="1">
      <alignment horizontal="left" vertical="center"/>
      <protection locked="0"/>
    </xf>
    <xf numFmtId="168" fontId="50" fillId="2" borderId="52" xfId="0" applyNumberFormat="1" applyFont="1" applyFill="1" applyBorder="1" applyAlignment="1" applyProtection="1">
      <alignment horizontal="left" vertical="center"/>
      <protection locked="0"/>
    </xf>
    <xf numFmtId="168" fontId="50" fillId="2" borderId="1" xfId="0" applyNumberFormat="1" applyFont="1" applyFill="1" applyBorder="1" applyAlignment="1" applyProtection="1">
      <alignment horizontal="left" vertical="center"/>
      <protection locked="0"/>
    </xf>
    <xf numFmtId="1" fontId="33" fillId="5" borderId="29" xfId="0" applyNumberFormat="1" applyFont="1" applyFill="1" applyBorder="1" applyAlignment="1" applyProtection="1">
      <alignment horizontal="left" vertical="center"/>
    </xf>
    <xf numFmtId="1" fontId="33" fillId="5" borderId="30" xfId="0" applyNumberFormat="1" applyFont="1" applyFill="1" applyBorder="1" applyAlignment="1" applyProtection="1">
      <alignment horizontal="left" vertical="center"/>
    </xf>
    <xf numFmtId="1" fontId="33" fillId="5" borderId="31" xfId="0" applyNumberFormat="1" applyFont="1" applyFill="1" applyBorder="1" applyAlignment="1" applyProtection="1">
      <alignment horizontal="left" vertical="center"/>
    </xf>
    <xf numFmtId="168" fontId="6" fillId="0" borderId="0" xfId="0" applyFont="1" applyFill="1" applyBorder="1" applyAlignment="1">
      <alignment horizontal="center" vertical="justify" textRotation="255" wrapText="1" readingOrder="1"/>
    </xf>
    <xf numFmtId="166" fontId="25" fillId="0" borderId="0" xfId="0" applyNumberFormat="1" applyFont="1" applyFill="1" applyBorder="1" applyAlignment="1">
      <alignment horizontal="center" vertical="justify" textRotation="255" wrapText="1" readingOrder="1"/>
    </xf>
    <xf numFmtId="168" fontId="25" fillId="0" borderId="0" xfId="0" applyFont="1" applyFill="1" applyBorder="1" applyAlignment="1">
      <alignment horizontal="center" vertical="justify" textRotation="255" wrapText="1" readingOrder="1"/>
    </xf>
    <xf numFmtId="168" fontId="25" fillId="0" borderId="0" xfId="0" applyNumberFormat="1" applyFont="1" applyFill="1" applyBorder="1" applyAlignment="1" applyProtection="1">
      <alignment horizontal="center" vertical="justify" textRotation="255" wrapText="1" readingOrder="1"/>
      <protection locked="0"/>
    </xf>
    <xf numFmtId="49" fontId="50" fillId="2" borderId="39" xfId="0" applyNumberFormat="1" applyFont="1" applyFill="1" applyBorder="1" applyAlignment="1" applyProtection="1">
      <alignment horizontal="left" vertical="center"/>
      <protection locked="0"/>
    </xf>
    <xf numFmtId="49" fontId="45" fillId="0" borderId="47" xfId="0" applyNumberFormat="1" applyFont="1" applyFill="1" applyBorder="1" applyAlignment="1" applyProtection="1">
      <alignment horizontal="center" vertical="center"/>
    </xf>
    <xf numFmtId="0" fontId="50" fillId="8" borderId="48" xfId="0" applyNumberFormat="1" applyFont="1" applyFill="1" applyBorder="1" applyAlignment="1" applyProtection="1">
      <alignment horizontal="center" vertical="center"/>
    </xf>
    <xf numFmtId="0" fontId="50" fillId="8" borderId="41" xfId="0" applyNumberFormat="1" applyFont="1" applyFill="1" applyBorder="1" applyAlignment="1" applyProtection="1">
      <alignment horizontal="center" vertical="center"/>
    </xf>
    <xf numFmtId="49" fontId="51" fillId="6" borderId="23" xfId="0" applyNumberFormat="1" applyFont="1" applyFill="1" applyBorder="1" applyAlignment="1" applyProtection="1">
      <alignment horizontal="center" vertical="center"/>
    </xf>
    <xf numFmtId="49" fontId="51" fillId="6" borderId="6" xfId="0" applyNumberFormat="1" applyFont="1" applyFill="1" applyBorder="1" applyAlignment="1" applyProtection="1">
      <alignment horizontal="center" vertical="center"/>
    </xf>
    <xf numFmtId="164" fontId="51" fillId="6" borderId="32" xfId="0" applyNumberFormat="1" applyFont="1" applyFill="1" applyBorder="1" applyAlignment="1" applyProtection="1">
      <alignment horizontal="left" vertical="center"/>
    </xf>
    <xf numFmtId="164" fontId="51" fillId="6" borderId="12" xfId="0" applyNumberFormat="1" applyFont="1" applyFill="1" applyBorder="1" applyAlignment="1" applyProtection="1">
      <alignment horizontal="left" vertical="center"/>
    </xf>
    <xf numFmtId="164" fontId="51" fillId="6" borderId="28" xfId="0" applyNumberFormat="1" applyFont="1" applyFill="1" applyBorder="1" applyAlignment="1" applyProtection="1">
      <alignment horizontal="left" vertical="center"/>
    </xf>
    <xf numFmtId="164" fontId="51" fillId="6" borderId="19" xfId="0" applyNumberFormat="1" applyFont="1" applyFill="1" applyBorder="1" applyAlignment="1" applyProtection="1">
      <alignment horizontal="left" vertical="center"/>
    </xf>
    <xf numFmtId="168" fontId="51" fillId="6" borderId="12" xfId="0" applyNumberFormat="1" applyFont="1" applyFill="1" applyBorder="1" applyAlignment="1" applyProtection="1">
      <alignment horizontal="left" vertical="center"/>
    </xf>
    <xf numFmtId="168" fontId="51" fillId="6" borderId="19" xfId="0" applyNumberFormat="1" applyFont="1" applyFill="1" applyBorder="1" applyAlignment="1" applyProtection="1">
      <alignment horizontal="left" vertical="center"/>
    </xf>
    <xf numFmtId="166" fontId="52" fillId="6" borderId="12" xfId="0" applyNumberFormat="1" applyFont="1" applyFill="1" applyBorder="1" applyAlignment="1" applyProtection="1">
      <alignment horizontal="center" vertical="center"/>
    </xf>
    <xf numFmtId="166" fontId="50" fillId="6" borderId="19" xfId="0" applyNumberFormat="1" applyFont="1" applyFill="1" applyBorder="1" applyAlignment="1" applyProtection="1">
      <alignment horizontal="center" vertical="center"/>
    </xf>
    <xf numFmtId="165" fontId="36" fillId="2" borderId="19" xfId="0" applyNumberFormat="1" applyFont="1" applyFill="1" applyBorder="1" applyAlignment="1" applyProtection="1">
      <alignment horizontal="center" vertical="center"/>
      <protection hidden="1"/>
    </xf>
    <xf numFmtId="168" fontId="51" fillId="6" borderId="22" xfId="0" applyFont="1" applyFill="1" applyBorder="1" applyAlignment="1" applyProtection="1">
      <alignment horizontal="center" vertical="center"/>
    </xf>
    <xf numFmtId="168" fontId="51" fillId="6" borderId="26" xfId="0" applyFont="1" applyFill="1" applyBorder="1" applyAlignment="1" applyProtection="1">
      <alignment horizontal="center" vertical="center"/>
    </xf>
    <xf numFmtId="168" fontId="51" fillId="6" borderId="23" xfId="0" applyNumberFormat="1" applyFont="1" applyFill="1" applyBorder="1" applyAlignment="1" applyProtection="1">
      <alignment horizontal="center" vertical="center"/>
    </xf>
    <xf numFmtId="168" fontId="51" fillId="6" borderId="6" xfId="0" applyNumberFormat="1" applyFont="1" applyFill="1" applyBorder="1" applyAlignment="1" applyProtection="1">
      <alignment horizontal="center" vertical="center"/>
    </xf>
    <xf numFmtId="168" fontId="42" fillId="2" borderId="11" xfId="0" applyFont="1" applyFill="1" applyBorder="1" applyAlignment="1" applyProtection="1">
      <alignment horizontal="center" vertical="center"/>
    </xf>
    <xf numFmtId="168" fontId="42" fillId="2" borderId="12" xfId="0" applyFont="1" applyFill="1" applyBorder="1" applyAlignment="1" applyProtection="1">
      <alignment horizontal="center" vertical="center"/>
    </xf>
    <xf numFmtId="168" fontId="42" fillId="2" borderId="13" xfId="0" applyFont="1" applyFill="1" applyBorder="1" applyAlignment="1" applyProtection="1">
      <alignment horizontal="center" vertical="center"/>
    </xf>
    <xf numFmtId="168" fontId="33" fillId="5" borderId="0" xfId="0" applyFont="1" applyFill="1" applyBorder="1" applyAlignment="1" applyProtection="1">
      <alignment horizontal="center" vertical="center"/>
    </xf>
    <xf numFmtId="170" fontId="33" fillId="0" borderId="0" xfId="0" applyNumberFormat="1" applyFont="1" applyFill="1" applyBorder="1" applyAlignment="1" applyProtection="1">
      <alignment horizontal="center" vertical="center"/>
      <protection hidden="1"/>
    </xf>
    <xf numFmtId="2" fontId="50" fillId="2" borderId="0" xfId="0" applyNumberFormat="1" applyFont="1" applyFill="1" applyBorder="1" applyAlignment="1" applyProtection="1">
      <alignment horizontal="center"/>
    </xf>
    <xf numFmtId="2" fontId="43" fillId="2" borderId="0" xfId="0" applyNumberFormat="1" applyFont="1" applyFill="1" applyBorder="1" applyAlignment="1" applyProtection="1">
      <alignment horizontal="center"/>
    </xf>
    <xf numFmtId="168" fontId="34" fillId="2" borderId="0" xfId="0" applyNumberFormat="1" applyFont="1" applyFill="1" applyBorder="1" applyAlignment="1" applyProtection="1">
      <alignment horizontal="center"/>
    </xf>
    <xf numFmtId="1" fontId="50" fillId="3" borderId="23" xfId="0" applyNumberFormat="1" applyFont="1" applyFill="1" applyBorder="1" applyAlignment="1" applyProtection="1">
      <alignment horizontal="center" vertical="center"/>
    </xf>
    <xf numFmtId="1" fontId="50" fillId="3" borderId="49" xfId="0" applyNumberFormat="1" applyFont="1" applyFill="1" applyBorder="1" applyAlignment="1" applyProtection="1">
      <alignment horizontal="center" vertical="center"/>
    </xf>
    <xf numFmtId="1" fontId="50" fillId="3" borderId="137" xfId="0" applyNumberFormat="1" applyFont="1" applyFill="1" applyBorder="1" applyAlignment="1" applyProtection="1">
      <alignment horizontal="center" vertical="center"/>
    </xf>
    <xf numFmtId="166" fontId="50" fillId="3" borderId="23" xfId="0" applyNumberFormat="1" applyFont="1" applyFill="1" applyBorder="1" applyAlignment="1" applyProtection="1">
      <alignment horizontal="center" vertical="center"/>
    </xf>
    <xf numFmtId="166" fontId="50" fillId="3" borderId="49" xfId="0" applyNumberFormat="1" applyFont="1" applyFill="1" applyBorder="1" applyAlignment="1" applyProtection="1">
      <alignment horizontal="center" vertical="center"/>
    </xf>
    <xf numFmtId="166" fontId="50" fillId="3" borderId="137" xfId="0" applyNumberFormat="1" applyFont="1" applyFill="1" applyBorder="1" applyAlignment="1" applyProtection="1">
      <alignment horizontal="center" vertical="center"/>
    </xf>
    <xf numFmtId="168" fontId="50" fillId="0" borderId="23" xfId="0" applyFont="1" applyBorder="1" applyAlignment="1">
      <alignment horizontal="center" vertical="center"/>
    </xf>
    <xf numFmtId="168" fontId="50" fillId="0" borderId="49" xfId="0" applyFont="1" applyBorder="1" applyAlignment="1">
      <alignment horizontal="center" vertical="center"/>
    </xf>
    <xf numFmtId="168" fontId="50" fillId="0" borderId="137" xfId="0" applyFont="1" applyBorder="1" applyAlignment="1">
      <alignment horizontal="center" vertical="center"/>
    </xf>
    <xf numFmtId="168" fontId="50" fillId="0" borderId="136" xfId="0" applyFont="1" applyBorder="1" applyAlignment="1">
      <alignment horizontal="center" vertical="center"/>
    </xf>
    <xf numFmtId="168" fontId="50" fillId="0" borderId="120" xfId="0" applyFont="1" applyBorder="1" applyAlignment="1">
      <alignment horizontal="center" vertical="center"/>
    </xf>
    <xf numFmtId="168" fontId="50" fillId="0" borderId="138" xfId="0" applyFont="1" applyBorder="1" applyAlignment="1">
      <alignment horizontal="center" vertical="center"/>
    </xf>
    <xf numFmtId="168" fontId="51" fillId="6" borderId="134" xfId="0" applyNumberFormat="1" applyFont="1" applyFill="1" applyBorder="1" applyAlignment="1" applyProtection="1">
      <alignment horizontal="center" vertical="center" wrapText="1"/>
    </xf>
    <xf numFmtId="49" fontId="51" fillId="6" borderId="134" xfId="0" applyNumberFormat="1" applyFont="1" applyFill="1" applyBorder="1" applyAlignment="1" applyProtection="1">
      <alignment horizontal="center" vertical="center" wrapText="1"/>
    </xf>
    <xf numFmtId="49" fontId="51" fillId="6" borderId="139" xfId="0" applyNumberFormat="1" applyFont="1" applyFill="1" applyBorder="1" applyAlignment="1" applyProtection="1">
      <alignment horizontal="center" vertical="center" wrapText="1"/>
    </xf>
    <xf numFmtId="49" fontId="51" fillId="6" borderId="10" xfId="0" applyNumberFormat="1" applyFont="1" applyFill="1" applyBorder="1" applyAlignment="1" applyProtection="1">
      <alignment horizontal="center" vertical="center" wrapText="1"/>
    </xf>
    <xf numFmtId="49" fontId="51" fillId="6" borderId="22" xfId="0" applyNumberFormat="1" applyFont="1" applyFill="1" applyBorder="1" applyAlignment="1" applyProtection="1">
      <alignment horizontal="center" vertical="center" wrapText="1"/>
    </xf>
    <xf numFmtId="49" fontId="51" fillId="6" borderId="9" xfId="0" applyNumberFormat="1" applyFont="1" applyFill="1" applyBorder="1" applyAlignment="1" applyProtection="1">
      <alignment horizontal="center" vertical="center" wrapText="1"/>
    </xf>
    <xf numFmtId="168" fontId="51" fillId="6" borderId="134" xfId="0" applyNumberFormat="1" applyFont="1" applyFill="1" applyBorder="1" applyAlignment="1" applyProtection="1">
      <alignment horizontal="center" vertical="center"/>
    </xf>
    <xf numFmtId="168" fontId="51" fillId="6" borderId="134" xfId="0" applyFont="1" applyFill="1" applyBorder="1" applyAlignment="1" applyProtection="1">
      <alignment horizontal="center" vertical="center"/>
    </xf>
    <xf numFmtId="168" fontId="50" fillId="3" borderId="23" xfId="0" applyNumberFormat="1" applyFont="1" applyFill="1" applyBorder="1" applyAlignment="1" applyProtection="1">
      <alignment horizontal="center" vertical="center"/>
    </xf>
    <xf numFmtId="168" fontId="50" fillId="3" borderId="49" xfId="0" applyNumberFormat="1" applyFont="1" applyFill="1" applyBorder="1" applyAlignment="1" applyProtection="1">
      <alignment horizontal="center" vertical="center"/>
    </xf>
    <xf numFmtId="168" fontId="50" fillId="3" borderId="137" xfId="0" applyNumberFormat="1" applyFont="1" applyFill="1" applyBorder="1" applyAlignment="1" applyProtection="1">
      <alignment horizontal="center" vertical="center"/>
    </xf>
    <xf numFmtId="175" fontId="40" fillId="3" borderId="137" xfId="0" applyNumberFormat="1" applyFont="1" applyFill="1" applyBorder="1" applyAlignment="1" applyProtection="1">
      <alignment horizontal="center" vertical="center"/>
    </xf>
    <xf numFmtId="49" fontId="45" fillId="0" borderId="135" xfId="0" applyNumberFormat="1" applyFont="1" applyFill="1" applyBorder="1" applyAlignment="1" applyProtection="1">
      <alignment horizontal="center" vertical="center"/>
    </xf>
    <xf numFmtId="0" fontId="45" fillId="0" borderId="117" xfId="0" applyNumberFormat="1" applyFont="1" applyFill="1" applyBorder="1" applyAlignment="1" applyProtection="1">
      <alignment horizontal="center" vertical="center"/>
    </xf>
    <xf numFmtId="0" fontId="50" fillId="8" borderId="23" xfId="0" applyNumberFormat="1" applyFont="1" applyFill="1" applyBorder="1" applyAlignment="1" applyProtection="1">
      <alignment horizontal="center" vertical="center"/>
    </xf>
    <xf numFmtId="0" fontId="50" fillId="8" borderId="49" xfId="0" applyNumberFormat="1" applyFont="1" applyFill="1" applyBorder="1" applyAlignment="1" applyProtection="1">
      <alignment horizontal="center" vertical="center"/>
    </xf>
    <xf numFmtId="0" fontId="50" fillId="0" borderId="23" xfId="0" applyNumberFormat="1" applyFont="1" applyFill="1" applyBorder="1" applyAlignment="1" applyProtection="1">
      <alignment horizontal="center" vertical="center"/>
      <protection locked="0"/>
    </xf>
    <xf numFmtId="0" fontId="50" fillId="0" borderId="49" xfId="0" applyNumberFormat="1" applyFont="1" applyFill="1" applyBorder="1" applyAlignment="1" applyProtection="1">
      <alignment horizontal="center" vertical="center"/>
      <protection locked="0"/>
    </xf>
    <xf numFmtId="9" fontId="66" fillId="0" borderId="108" xfId="2" applyNumberFormat="1" applyFont="1" applyFill="1" applyBorder="1" applyAlignment="1" applyProtection="1">
      <alignment horizontal="center" vertical="center" wrapText="1"/>
    </xf>
    <xf numFmtId="9" fontId="66" fillId="0" borderId="110" xfId="2" applyNumberFormat="1" applyFont="1" applyFill="1" applyBorder="1" applyAlignment="1" applyProtection="1">
      <alignment horizontal="center" vertical="center" wrapText="1"/>
    </xf>
    <xf numFmtId="1" fontId="57" fillId="15" borderId="91" xfId="2" applyNumberFormat="1" applyFont="1" applyFill="1" applyBorder="1" applyAlignment="1" applyProtection="1">
      <alignment horizontal="center" vertical="center" wrapText="1"/>
    </xf>
    <xf numFmtId="1" fontId="57" fillId="15" borderId="92" xfId="2" applyNumberFormat="1" applyFont="1" applyFill="1" applyBorder="1" applyAlignment="1" applyProtection="1">
      <alignment horizontal="center" vertical="center" wrapText="1"/>
    </xf>
    <xf numFmtId="168" fontId="0" fillId="15" borderId="114" xfId="0" applyFill="1" applyBorder="1" applyAlignment="1">
      <alignment wrapText="1"/>
    </xf>
    <xf numFmtId="168" fontId="57" fillId="0" borderId="116" xfId="2" applyFont="1" applyFill="1" applyBorder="1" applyAlignment="1" applyProtection="1">
      <alignment horizontal="center" vertical="center" wrapText="1"/>
    </xf>
    <xf numFmtId="168" fontId="57" fillId="0" borderId="7" xfId="2" applyFont="1" applyFill="1" applyBorder="1" applyAlignment="1" applyProtection="1">
      <alignment horizontal="center" vertical="center" wrapText="1"/>
    </xf>
    <xf numFmtId="168" fontId="57" fillId="0" borderId="91" xfId="2" applyFont="1" applyFill="1" applyBorder="1" applyAlignment="1" applyProtection="1">
      <alignment horizontal="center" vertical="center" wrapText="1"/>
    </xf>
    <xf numFmtId="168" fontId="57" fillId="0" borderId="113" xfId="2" applyFont="1" applyFill="1" applyBorder="1" applyAlignment="1" applyProtection="1">
      <alignment horizontal="center" vertical="center" wrapText="1"/>
    </xf>
    <xf numFmtId="168" fontId="57" fillId="0" borderId="56" xfId="2" applyFont="1" applyFill="1" applyBorder="1" applyAlignment="1" applyProtection="1">
      <alignment horizontal="center" vertical="center" wrapText="1"/>
    </xf>
    <xf numFmtId="168" fontId="57" fillId="0" borderId="92" xfId="2" applyFont="1" applyFill="1" applyBorder="1" applyAlignment="1" applyProtection="1">
      <alignment horizontal="center" vertical="center" wrapText="1"/>
    </xf>
    <xf numFmtId="1" fontId="57" fillId="14" borderId="91" xfId="2" applyNumberFormat="1" applyFont="1" applyFill="1" applyBorder="1" applyAlignment="1" applyProtection="1">
      <alignment horizontal="center" vertical="center" wrapText="1"/>
    </xf>
    <xf numFmtId="1" fontId="57" fillId="14" borderId="92" xfId="2" applyNumberFormat="1" applyFont="1" applyFill="1" applyBorder="1" applyAlignment="1" applyProtection="1">
      <alignment horizontal="center" vertical="center" wrapText="1"/>
    </xf>
    <xf numFmtId="168" fontId="0" fillId="14" borderId="114" xfId="0" applyFill="1" applyBorder="1" applyAlignment="1">
      <alignment wrapText="1"/>
    </xf>
    <xf numFmtId="168" fontId="0" fillId="11" borderId="114" xfId="0" applyFill="1" applyBorder="1" applyAlignment="1">
      <alignment wrapText="1"/>
    </xf>
    <xf numFmtId="168" fontId="58" fillId="11" borderId="53" xfId="2" applyFont="1" applyFill="1" applyBorder="1" applyAlignment="1" applyProtection="1">
      <alignment horizontal="center" vertical="center" textRotation="90" wrapText="1"/>
    </xf>
    <xf numFmtId="168" fontId="58" fillId="11" borderId="93" xfId="2" applyFont="1" applyFill="1" applyBorder="1" applyAlignment="1" applyProtection="1">
      <alignment horizontal="center" vertical="center" textRotation="90" wrapText="1"/>
    </xf>
    <xf numFmtId="168" fontId="58" fillId="11" borderId="113" xfId="2" applyFont="1" applyFill="1" applyBorder="1" applyAlignment="1" applyProtection="1">
      <alignment horizontal="center" vertical="center" textRotation="90" wrapText="1"/>
    </xf>
    <xf numFmtId="168" fontId="57" fillId="0" borderId="106" xfId="2" applyFont="1" applyFill="1" applyBorder="1" applyAlignment="1" applyProtection="1">
      <alignment horizontal="center" vertical="center" wrapText="1"/>
    </xf>
    <xf numFmtId="1" fontId="61" fillId="4" borderId="107" xfId="2" applyNumberFormat="1" applyFont="1" applyFill="1" applyBorder="1" applyAlignment="1" applyProtection="1">
      <alignment horizontal="center" vertical="center" wrapText="1"/>
    </xf>
    <xf numFmtId="1" fontId="61" fillId="4" borderId="109" xfId="2" applyNumberFormat="1" applyFont="1" applyFill="1" applyBorder="1" applyAlignment="1" applyProtection="1">
      <alignment horizontal="center" vertical="center" wrapText="1"/>
    </xf>
    <xf numFmtId="1" fontId="57" fillId="11" borderId="91" xfId="2" applyNumberFormat="1" applyFont="1" applyFill="1" applyBorder="1" applyAlignment="1" applyProtection="1">
      <alignment horizontal="center" vertical="center" wrapText="1"/>
    </xf>
    <xf numFmtId="168" fontId="0" fillId="11" borderId="92" xfId="0" applyFill="1" applyBorder="1"/>
    <xf numFmtId="168" fontId="58" fillId="15" borderId="53" xfId="2" applyFont="1" applyFill="1" applyBorder="1" applyAlignment="1" applyProtection="1">
      <alignment horizontal="center" vertical="center" textRotation="90" wrapText="1"/>
    </xf>
    <xf numFmtId="168" fontId="58" fillId="15" borderId="93" xfId="2" applyFont="1" applyFill="1" applyBorder="1" applyAlignment="1" applyProtection="1">
      <alignment horizontal="center" vertical="center" textRotation="90" wrapText="1"/>
    </xf>
    <xf numFmtId="168" fontId="58" fillId="15" borderId="113" xfId="2" applyFont="1" applyFill="1" applyBorder="1" applyAlignment="1" applyProtection="1">
      <alignment horizontal="center" vertical="center" textRotation="90" wrapText="1"/>
    </xf>
    <xf numFmtId="168" fontId="0" fillId="9" borderId="0" xfId="0" applyFill="1" applyAlignment="1" applyProtection="1">
      <protection locked="0"/>
    </xf>
    <xf numFmtId="168" fontId="54" fillId="10" borderId="7" xfId="0" applyFont="1" applyFill="1" applyBorder="1" applyAlignment="1">
      <alignment horizontal="center" vertical="center" wrapText="1"/>
    </xf>
    <xf numFmtId="168" fontId="54" fillId="10" borderId="56" xfId="0" applyFont="1" applyFill="1" applyBorder="1" applyAlignment="1">
      <alignment horizontal="center" vertical="center" wrapText="1"/>
    </xf>
    <xf numFmtId="22" fontId="55" fillId="10" borderId="7" xfId="0" applyNumberFormat="1" applyFont="1" applyFill="1" applyBorder="1" applyAlignment="1">
      <alignment horizontal="center" vertical="center"/>
    </xf>
    <xf numFmtId="168" fontId="0" fillId="10" borderId="56" xfId="0" applyFill="1" applyBorder="1" applyAlignment="1"/>
    <xf numFmtId="168" fontId="0" fillId="10" borderId="92" xfId="0" applyFill="1" applyBorder="1" applyAlignment="1"/>
    <xf numFmtId="168" fontId="57" fillId="2" borderId="53" xfId="2" applyFont="1" applyFill="1" applyBorder="1" applyAlignment="1" applyProtection="1">
      <alignment horizontal="center" vertical="center" wrapText="1"/>
    </xf>
    <xf numFmtId="168" fontId="57" fillId="2" borderId="93" xfId="2" applyFont="1" applyFill="1" applyBorder="1" applyAlignment="1" applyProtection="1">
      <alignment horizontal="center" vertical="center" wrapText="1"/>
    </xf>
    <xf numFmtId="166" fontId="57" fillId="2" borderId="53" xfId="2" applyNumberFormat="1" applyFont="1" applyFill="1" applyBorder="1" applyAlignment="1" applyProtection="1">
      <alignment horizontal="center" vertical="center" wrapText="1"/>
    </xf>
    <xf numFmtId="166" fontId="57" fillId="2" borderId="93" xfId="2" applyNumberFormat="1" applyFont="1" applyFill="1" applyBorder="1" applyAlignment="1" applyProtection="1">
      <alignment horizontal="center" vertical="center" wrapText="1"/>
    </xf>
    <xf numFmtId="15" fontId="57" fillId="2" borderId="53" xfId="2" applyNumberFormat="1" applyFont="1" applyFill="1" applyBorder="1" applyAlignment="1" applyProtection="1">
      <alignment horizontal="center" vertical="center" wrapText="1"/>
    </xf>
    <xf numFmtId="15" fontId="57" fillId="2" borderId="93" xfId="2" applyNumberFormat="1" applyFont="1" applyFill="1" applyBorder="1" applyAlignment="1" applyProtection="1">
      <alignment horizontal="center" vertical="center" wrapText="1"/>
    </xf>
    <xf numFmtId="172" fontId="57" fillId="2" borderId="53" xfId="2" applyNumberFormat="1" applyFont="1" applyFill="1" applyBorder="1" applyAlignment="1" applyProtection="1">
      <alignment horizontal="center" vertical="center" wrapText="1"/>
    </xf>
    <xf numFmtId="172" fontId="57" fillId="2" borderId="93" xfId="2" applyNumberFormat="1" applyFont="1" applyFill="1" applyBorder="1" applyAlignment="1" applyProtection="1">
      <alignment horizontal="center" vertical="center" wrapText="1"/>
    </xf>
    <xf numFmtId="168" fontId="58" fillId="14" borderId="53" xfId="2" applyFont="1" applyFill="1" applyBorder="1" applyAlignment="1" applyProtection="1">
      <alignment horizontal="center" vertical="center" textRotation="90" wrapText="1"/>
    </xf>
    <xf numFmtId="168" fontId="58" fillId="14" borderId="93" xfId="2" applyFont="1" applyFill="1" applyBorder="1" applyAlignment="1" applyProtection="1">
      <alignment horizontal="center" vertical="center" textRotation="90" wrapText="1"/>
    </xf>
    <xf numFmtId="168" fontId="58" fillId="14" borderId="113" xfId="2" applyFont="1" applyFill="1" applyBorder="1" applyAlignment="1" applyProtection="1">
      <alignment horizontal="center" vertical="center" textRotation="90" wrapText="1"/>
    </xf>
    <xf numFmtId="172" fontId="57" fillId="2" borderId="94" xfId="2" applyNumberFormat="1" applyFont="1" applyFill="1" applyBorder="1" applyAlignment="1" applyProtection="1">
      <alignment horizontal="center" vertical="center" wrapText="1"/>
    </xf>
    <xf numFmtId="49" fontId="57" fillId="2" borderId="53" xfId="2" applyNumberFormat="1" applyFont="1" applyFill="1" applyBorder="1" applyAlignment="1" applyProtection="1">
      <alignment horizontal="center" vertical="center" wrapText="1"/>
    </xf>
    <xf numFmtId="49" fontId="57" fillId="2" borderId="93" xfId="2" applyNumberFormat="1" applyFont="1" applyFill="1" applyBorder="1" applyAlignment="1" applyProtection="1">
      <alignment horizontal="center" vertical="center" wrapText="1"/>
    </xf>
    <xf numFmtId="168" fontId="0" fillId="0" borderId="0" xfId="0" applyAlignment="1">
      <alignment horizontal="center" vertical="center"/>
    </xf>
    <xf numFmtId="168" fontId="0" fillId="0" borderId="0" xfId="0" applyAlignment="1">
      <alignment horizontal="center"/>
    </xf>
  </cellXfs>
  <cellStyles count="6">
    <cellStyle name="Good" xfId="1" builtinId="26"/>
    <cellStyle name="Normal" xfId="0" builtinId="0"/>
    <cellStyle name="Normal 2 2" xfId="5"/>
    <cellStyle name="Normal 3" xfId="2"/>
    <cellStyle name="Normal 3 3" xfId="4"/>
    <cellStyle name="Normal 9" xfId="3"/>
  </cellStyles>
  <dxfs count="105">
    <dxf>
      <numFmt numFmtId="1" formatCode="0"/>
    </dxf>
    <dxf>
      <numFmt numFmtId="1" formatCode="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74" formatCode="#,##0.0"/>
    </dxf>
    <dxf>
      <numFmt numFmtId="166" formatCode="0.0"/>
    </dxf>
    <dxf>
      <numFmt numFmtId="166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166" formatCode="0.0"/>
    </dxf>
    <dxf>
      <numFmt numFmtId="166" formatCode="0.0"/>
    </dxf>
    <dxf>
      <numFmt numFmtId="168" formatCode="[$-409]d\-mmm\-yy;@"/>
    </dxf>
    <dxf>
      <numFmt numFmtId="168" formatCode="[$-409]d\-mmm\-yy;@"/>
    </dxf>
    <dxf>
      <numFmt numFmtId="168" formatCode="[$-409]d\-mmm\-yy;@"/>
    </dxf>
    <dxf>
      <numFmt numFmtId="168" formatCode="[$-409]d\-mmm\-yy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0.0"/>
    </dxf>
    <dxf>
      <numFmt numFmtId="166" formatCode="0.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  <strike val="0"/>
        <u val="double"/>
      </font>
    </dxf>
    <dxf>
      <fill>
        <patternFill patternType="none">
          <bgColor auto="1"/>
        </patternFill>
      </fill>
    </dxf>
    <dxf>
      <fill>
        <patternFill>
          <bgColor rgb="FFFFB3B3"/>
        </patternFill>
      </fill>
    </dxf>
    <dxf>
      <fill>
        <patternFill>
          <bgColor rgb="FFFFB3B3"/>
        </patternFill>
      </fill>
    </dxf>
    <dxf>
      <font>
        <color theme="0"/>
      </font>
    </dxf>
    <dxf>
      <font>
        <b/>
        <i val="0"/>
        <strike val="0"/>
        <u val="double"/>
      </font>
    </dxf>
    <dxf>
      <fill>
        <patternFill patternType="none">
          <bgColor auto="1"/>
        </patternFill>
      </fill>
    </dxf>
    <dxf>
      <font>
        <color theme="0"/>
      </font>
    </dxf>
    <dxf>
      <font>
        <color auto="1"/>
      </font>
    </dxf>
    <dxf>
      <fill>
        <patternFill>
          <bgColor rgb="FFFFB3B3"/>
        </patternFill>
      </fill>
    </dxf>
    <dxf>
      <font>
        <color theme="0"/>
      </font>
    </dxf>
    <dxf>
      <fill>
        <patternFill>
          <bgColor rgb="FFFFB3B3"/>
        </patternFill>
      </fill>
    </dxf>
    <dxf>
      <font>
        <color theme="0"/>
      </font>
    </dxf>
    <dxf>
      <font>
        <b/>
        <i val="0"/>
        <strike val="0"/>
        <u val="double"/>
      </font>
    </dxf>
    <dxf>
      <fill>
        <patternFill patternType="none">
          <bgColor auto="1"/>
        </patternFill>
      </fill>
    </dxf>
    <dxf>
      <font>
        <color theme="0"/>
      </font>
    </dxf>
    <dxf>
      <fill>
        <patternFill>
          <bgColor rgb="FFFFB3B3"/>
        </patternFill>
      </fill>
    </dxf>
    <dxf>
      <font>
        <color theme="0"/>
      </font>
    </dxf>
    <dxf>
      <font>
        <b/>
        <i val="0"/>
        <strike val="0"/>
        <u val="double"/>
      </font>
    </dxf>
    <dxf>
      <fill>
        <patternFill patternType="none">
          <bgColor auto="1"/>
        </patternFill>
      </fill>
    </dxf>
    <dxf>
      <font>
        <color theme="0"/>
      </font>
    </dxf>
    <dxf>
      <font>
        <color auto="1"/>
      </font>
    </dxf>
    <dxf>
      <fill>
        <patternFill>
          <bgColor rgb="FFFFB3B3"/>
        </patternFill>
      </fill>
    </dxf>
    <dxf>
      <font>
        <color theme="0"/>
      </font>
    </dxf>
  </dxfs>
  <tableStyles count="0" defaultTableStyle="TableStyleMedium9" defaultPivotStyle="PivotStyleLight16"/>
  <colors>
    <mruColors>
      <color rgb="FF0000FF"/>
      <color rgb="FFFFB3B3"/>
      <color rgb="FFC0C0C0"/>
      <color rgb="FF008000"/>
      <color rgb="FFC6EFCE"/>
      <color rgb="FFFFEB9C"/>
      <color rgb="FFFFFF99"/>
      <color rgb="FFFF5050"/>
      <color rgb="FF8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cat>
            <c:strRef>
              <c:f>'Temp Flow Chart'!$A$1:$A$7</c:f>
              <c:strCache>
                <c:ptCount val="7"/>
                <c:pt idx="0">
                  <c:v>008</c:v>
                </c:pt>
                <c:pt idx="1">
                  <c:v>187</c:v>
                </c:pt>
                <c:pt idx="2">
                  <c:v>167</c:v>
                </c:pt>
                <c:pt idx="3">
                  <c:v>141</c:v>
                </c:pt>
                <c:pt idx="4">
                  <c:v>055</c:v>
                </c:pt>
                <c:pt idx="5">
                  <c:v>119</c:v>
                </c:pt>
                <c:pt idx="6">
                  <c:v>168</c:v>
                </c:pt>
              </c:strCache>
            </c:strRef>
          </c:cat>
          <c:val>
            <c:numRef>
              <c:f>'Temp Flow Chart'!$B$1:$B$7</c:f>
              <c:numCache>
                <c:formatCode>General</c:formatCode>
                <c:ptCount val="7"/>
                <c:pt idx="0">
                  <c:v>500</c:v>
                </c:pt>
                <c:pt idx="1">
                  <c:v>396.90009259259296</c:v>
                </c:pt>
                <c:pt idx="2">
                  <c:v>340.9</c:v>
                </c:pt>
                <c:pt idx="3">
                  <c:v>345.2001967592596</c:v>
                </c:pt>
                <c:pt idx="4">
                  <c:v>188.5</c:v>
                </c:pt>
                <c:pt idx="5">
                  <c:v>172.20009259259268</c:v>
                </c:pt>
                <c:pt idx="6">
                  <c:v>108.7</c:v>
                </c:pt>
              </c:numCache>
            </c:numRef>
          </c:val>
        </c:ser>
        <c:axId val="88684416"/>
        <c:axId val="88685952"/>
      </c:barChart>
      <c:lineChart>
        <c:grouping val="standard"/>
        <c:ser>
          <c:idx val="1"/>
          <c:order val="1"/>
          <c:tx>
            <c:v>Flow</c:v>
          </c:tx>
          <c:marker>
            <c:symbol val="none"/>
          </c:marker>
          <c:val>
            <c:numRef>
              <c:f>'Temp Flow Chart'!$C$1:$C$7</c:f>
              <c:numCache>
                <c:formatCode>General</c:formatCode>
                <c:ptCount val="7"/>
                <c:pt idx="0">
                  <c:v>500</c:v>
                </c:pt>
                <c:pt idx="1">
                  <c:v>416.66666666666652</c:v>
                </c:pt>
                <c:pt idx="2">
                  <c:v>333.3333333333332</c:v>
                </c:pt>
                <c:pt idx="3">
                  <c:v>249.99999999999989</c:v>
                </c:pt>
                <c:pt idx="4">
                  <c:v>166.6666666666666</c:v>
                </c:pt>
                <c:pt idx="5">
                  <c:v>83.3333333333333</c:v>
                </c:pt>
                <c:pt idx="6">
                  <c:v>0</c:v>
                </c:pt>
              </c:numCache>
            </c:numRef>
          </c:val>
        </c:ser>
        <c:marker val="1"/>
        <c:axId val="88684416"/>
        <c:axId val="88685952"/>
      </c:lineChart>
      <c:catAx>
        <c:axId val="88684416"/>
        <c:scaling>
          <c:orientation val="minMax"/>
        </c:scaling>
        <c:axPos val="b"/>
        <c:tickLblPos val="nextTo"/>
        <c:crossAx val="88685952"/>
        <c:crosses val="autoZero"/>
        <c:auto val="1"/>
        <c:lblAlgn val="ctr"/>
        <c:lblOffset val="100"/>
      </c:catAx>
      <c:valAx>
        <c:axId val="88685952"/>
        <c:scaling>
          <c:orientation val="minMax"/>
          <c:max val="500"/>
          <c:min val="0"/>
        </c:scaling>
        <c:axPos val="l"/>
        <c:majorGridlines/>
        <c:numFmt formatCode="General" sourceLinked="1"/>
        <c:tickLblPos val="nextTo"/>
        <c:crossAx val="88684416"/>
        <c:crosses val="autoZero"/>
        <c:crossBetween val="between"/>
        <c:majorUnit val="125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325875358917802"/>
          <c:y val="8.8615448799032312E-2"/>
          <c:w val="0.92536226816319223"/>
          <c:h val="0.7403057619296175"/>
        </c:manualLayout>
      </c:layout>
      <c:lineChart>
        <c:grouping val="standard"/>
        <c:ser>
          <c:idx val="0"/>
          <c:order val="0"/>
          <c:spPr>
            <a:ln w="0">
              <a:noFill/>
            </a:ln>
          </c:spPr>
          <c:marker>
            <c:symbol val="circle"/>
            <c:size val="18"/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cat>
            <c:strRef>
              <c:f>FLOW!$B$3:$B$26</c:f>
              <c:strCache>
                <c:ptCount val="24"/>
                <c:pt idx="0">
                  <c:v>B </c:v>
                </c:pt>
                <c:pt idx="1">
                  <c:v>C </c:v>
                </c:pt>
                <c:pt idx="2">
                  <c:v>A </c:v>
                </c:pt>
                <c:pt idx="3">
                  <c:v>D</c:v>
                </c:pt>
                <c:pt idx="4">
                  <c:v>E</c:v>
                </c:pt>
                <c:pt idx="5">
                  <c:v>A 141</c:v>
                </c:pt>
                <c:pt idx="6">
                  <c:v>B </c:v>
                </c:pt>
                <c:pt idx="7">
                  <c:v>C </c:v>
                </c:pt>
                <c:pt idx="8">
                  <c:v>A 008</c:v>
                </c:pt>
                <c:pt idx="9">
                  <c:v>B </c:v>
                </c:pt>
                <c:pt idx="10">
                  <c:v>C </c:v>
                </c:pt>
                <c:pt idx="11">
                  <c:v>A 055</c:v>
                </c:pt>
                <c:pt idx="12">
                  <c:v>B </c:v>
                </c:pt>
                <c:pt idx="13">
                  <c:v>C </c:v>
                </c:pt>
                <c:pt idx="14">
                  <c:v>A 187</c:v>
                </c:pt>
                <c:pt idx="15">
                  <c:v>B </c:v>
                </c:pt>
                <c:pt idx="16">
                  <c:v>C </c:v>
                </c:pt>
                <c:pt idx="17">
                  <c:v>A 168</c:v>
                </c:pt>
                <c:pt idx="18">
                  <c:v>B </c:v>
                </c:pt>
                <c:pt idx="19">
                  <c:v>C </c:v>
                </c:pt>
                <c:pt idx="20">
                  <c:v>A 119</c:v>
                </c:pt>
                <c:pt idx="21">
                  <c:v>B </c:v>
                </c:pt>
                <c:pt idx="22">
                  <c:v>C </c:v>
                </c:pt>
                <c:pt idx="23">
                  <c:v>A 167</c:v>
                </c:pt>
              </c:strCache>
            </c:strRef>
          </c:cat>
          <c:val>
            <c:numRef>
              <c:f>FLOW!$C$3:$C$26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345.2001967592596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396.90009259259296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172.20009259259268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FLOW!$B$3:$B$26</c:f>
              <c:strCache>
                <c:ptCount val="24"/>
                <c:pt idx="0">
                  <c:v>B </c:v>
                </c:pt>
                <c:pt idx="1">
                  <c:v>C </c:v>
                </c:pt>
                <c:pt idx="2">
                  <c:v>A </c:v>
                </c:pt>
                <c:pt idx="3">
                  <c:v>D</c:v>
                </c:pt>
                <c:pt idx="4">
                  <c:v>E</c:v>
                </c:pt>
                <c:pt idx="5">
                  <c:v>A 141</c:v>
                </c:pt>
                <c:pt idx="6">
                  <c:v>B </c:v>
                </c:pt>
                <c:pt idx="7">
                  <c:v>C </c:v>
                </c:pt>
                <c:pt idx="8">
                  <c:v>A 008</c:v>
                </c:pt>
                <c:pt idx="9">
                  <c:v>B </c:v>
                </c:pt>
                <c:pt idx="10">
                  <c:v>C </c:v>
                </c:pt>
                <c:pt idx="11">
                  <c:v>A 055</c:v>
                </c:pt>
                <c:pt idx="12">
                  <c:v>B </c:v>
                </c:pt>
                <c:pt idx="13">
                  <c:v>C </c:v>
                </c:pt>
                <c:pt idx="14">
                  <c:v>A 187</c:v>
                </c:pt>
                <c:pt idx="15">
                  <c:v>B </c:v>
                </c:pt>
                <c:pt idx="16">
                  <c:v>C </c:v>
                </c:pt>
                <c:pt idx="17">
                  <c:v>A 168</c:v>
                </c:pt>
                <c:pt idx="18">
                  <c:v>B </c:v>
                </c:pt>
                <c:pt idx="19">
                  <c:v>C </c:v>
                </c:pt>
                <c:pt idx="20">
                  <c:v>A 119</c:v>
                </c:pt>
                <c:pt idx="21">
                  <c:v>B </c:v>
                </c:pt>
                <c:pt idx="22">
                  <c:v>C </c:v>
                </c:pt>
                <c:pt idx="23">
                  <c:v>A 167</c:v>
                </c:pt>
              </c:strCache>
            </c:strRef>
          </c:cat>
          <c:val>
            <c:numRef>
              <c:f>FLOW!$I$3:$I$26</c:f>
              <c:numCache>
                <c:formatCode>[$-409]d\-mmm\-yy;@</c:formatCode>
                <c:ptCount val="24"/>
                <c:pt idx="0">
                  <c:v>500</c:v>
                </c:pt>
                <c:pt idx="1">
                  <c:v>483.2</c:v>
                </c:pt>
                <c:pt idx="2">
                  <c:v>466.40000000000003</c:v>
                </c:pt>
                <c:pt idx="3">
                  <c:v>449.6</c:v>
                </c:pt>
                <c:pt idx="4">
                  <c:v>432.80000000000007</c:v>
                </c:pt>
                <c:pt idx="5">
                  <c:v>416.00000000000006</c:v>
                </c:pt>
                <c:pt idx="6">
                  <c:v>399.20000000000005</c:v>
                </c:pt>
                <c:pt idx="7">
                  <c:v>382.40000000000009</c:v>
                </c:pt>
                <c:pt idx="8">
                  <c:v>365.60000000000008</c:v>
                </c:pt>
                <c:pt idx="9">
                  <c:v>348.80000000000007</c:v>
                </c:pt>
                <c:pt idx="10">
                  <c:v>332.00000000000011</c:v>
                </c:pt>
                <c:pt idx="11">
                  <c:v>315.2000000000001</c:v>
                </c:pt>
                <c:pt idx="12">
                  <c:v>293.50000000000011</c:v>
                </c:pt>
                <c:pt idx="13">
                  <c:v>266.90000000000015</c:v>
                </c:pt>
                <c:pt idx="14">
                  <c:v>240.30000000000015</c:v>
                </c:pt>
                <c:pt idx="15">
                  <c:v>213.70000000000016</c:v>
                </c:pt>
                <c:pt idx="16">
                  <c:v>187.10000000000019</c:v>
                </c:pt>
                <c:pt idx="17">
                  <c:v>160.5000000000002</c:v>
                </c:pt>
                <c:pt idx="18">
                  <c:v>133.9000000000002</c:v>
                </c:pt>
                <c:pt idx="19">
                  <c:v>107.30000000000018</c:v>
                </c:pt>
                <c:pt idx="20">
                  <c:v>80.700000000000188</c:v>
                </c:pt>
                <c:pt idx="21">
                  <c:v>54.100000000000179</c:v>
                </c:pt>
                <c:pt idx="22">
                  <c:v>27.500000000000185</c:v>
                </c:pt>
                <c:pt idx="23">
                  <c:v>0</c:v>
                </c:pt>
              </c:numCache>
            </c:numRef>
          </c:val>
        </c:ser>
        <c:marker val="1"/>
        <c:axId val="91579904"/>
        <c:axId val="91581440"/>
      </c:lineChart>
      <c:catAx>
        <c:axId val="91579904"/>
        <c:scaling>
          <c:orientation val="minMax"/>
        </c:scaling>
        <c:axPos val="b"/>
        <c:majorGridlines>
          <c:spPr>
            <a:ln>
              <a:solidFill>
                <a:prstClr val="black"/>
              </a:solidFill>
            </a:ln>
          </c:spPr>
        </c:majorGridlines>
        <c:numFmt formatCode="General" sourceLinked="1"/>
        <c:tickLblPos val="nextTo"/>
        <c:spPr>
          <a:noFill/>
        </c:spPr>
        <c:txPr>
          <a:bodyPr rot="-5400000" vert="horz" anchor="t" anchorCtr="0"/>
          <a:lstStyle/>
          <a:p>
            <a:pPr>
              <a:defRPr sz="24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91581440"/>
        <c:crosses val="autoZero"/>
        <c:auto val="1"/>
        <c:lblAlgn val="ctr"/>
        <c:lblOffset val="100"/>
      </c:catAx>
      <c:valAx>
        <c:axId val="91581440"/>
        <c:scaling>
          <c:orientation val="minMax"/>
          <c:max val="500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2400" baseline="0"/>
            </a:pPr>
            <a:endParaRPr lang="en-US"/>
          </a:p>
        </c:txPr>
        <c:crossAx val="91579904"/>
        <c:crosses val="autoZero"/>
        <c:crossBetween val="between"/>
        <c:majorUnit val="125"/>
        <c:minorUnit val="31.25"/>
      </c:valAx>
    </c:plotArea>
    <c:plotVisOnly val="1"/>
    <c:dispBlanksAs val="gap"/>
  </c:chart>
  <c:spPr>
    <a:ln>
      <a:noFill/>
    </a:ln>
  </c:spPr>
  <c:txPr>
    <a:bodyPr/>
    <a:lstStyle/>
    <a:p>
      <a:pPr>
        <a:defRPr sz="1800" baseline="0">
          <a:latin typeface="Arial" pitchFamily="34" charset="0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59017</xdr:colOff>
      <xdr:row>0</xdr:row>
      <xdr:rowOff>0</xdr:rowOff>
    </xdr:from>
    <xdr:to>
      <xdr:col>19</xdr:col>
      <xdr:colOff>1158533</xdr:colOff>
      <xdr:row>2</xdr:row>
      <xdr:rowOff>182615</xdr:rowOff>
    </xdr:to>
    <xdr:pic>
      <xdr:nvPicPr>
        <xdr:cNvPr id="2" name="Picture 1" descr="4CAB Tribal 2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071542" y="0"/>
          <a:ext cx="3480766" cy="1411340"/>
        </a:xfrm>
        <a:prstGeom prst="rect">
          <a:avLst/>
        </a:prstGeom>
      </xdr:spPr>
    </xdr:pic>
    <xdr:clientData/>
  </xdr:twoCellAnchor>
  <xdr:twoCellAnchor>
    <xdr:from>
      <xdr:col>2</xdr:col>
      <xdr:colOff>47625</xdr:colOff>
      <xdr:row>103</xdr:row>
      <xdr:rowOff>261938</xdr:rowOff>
    </xdr:from>
    <xdr:to>
      <xdr:col>5</xdr:col>
      <xdr:colOff>595313</xdr:colOff>
      <xdr:row>110</xdr:row>
      <xdr:rowOff>47625</xdr:rowOff>
    </xdr:to>
    <xdr:sp macro="[0]!TBO" textlink="">
      <xdr:nvSpPr>
        <xdr:cNvPr id="4" name="Bevel 3"/>
        <xdr:cNvSpPr/>
      </xdr:nvSpPr>
      <xdr:spPr bwMode="auto">
        <a:xfrm>
          <a:off x="2447925" y="38295263"/>
          <a:ext cx="3576638" cy="1138237"/>
        </a:xfrm>
        <a:prstGeom prst="bevel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3600">
              <a:latin typeface="Arial" pitchFamily="34" charset="0"/>
              <a:cs typeface="Arial" pitchFamily="34" charset="0"/>
            </a:rPr>
            <a:t>UPDATE</a:t>
          </a:r>
          <a:r>
            <a:rPr lang="en-US" sz="3600" baseline="0">
              <a:latin typeface="Arial" pitchFamily="34" charset="0"/>
              <a:cs typeface="Arial" pitchFamily="34" charset="0"/>
            </a:rPr>
            <a:t> TBO</a:t>
          </a:r>
          <a:endParaRPr lang="en-US" sz="36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16</xdr:col>
      <xdr:colOff>28575</xdr:colOff>
      <xdr:row>80</xdr:row>
      <xdr:rowOff>352424</xdr:rowOff>
    </xdr:from>
    <xdr:to>
      <xdr:col>22</xdr:col>
      <xdr:colOff>0</xdr:colOff>
      <xdr:row>95</xdr:row>
      <xdr:rowOff>357187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59017</xdr:colOff>
      <xdr:row>0</xdr:row>
      <xdr:rowOff>0</xdr:rowOff>
    </xdr:from>
    <xdr:to>
      <xdr:col>19</xdr:col>
      <xdr:colOff>1158533</xdr:colOff>
      <xdr:row>2</xdr:row>
      <xdr:rowOff>182615</xdr:rowOff>
    </xdr:to>
    <xdr:pic>
      <xdr:nvPicPr>
        <xdr:cNvPr id="4" name="Picture 3" descr="4CAB Tribal 2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014392" y="0"/>
          <a:ext cx="3480766" cy="1397053"/>
        </a:xfrm>
        <a:prstGeom prst="rect">
          <a:avLst/>
        </a:prstGeom>
      </xdr:spPr>
    </xdr:pic>
    <xdr:clientData/>
  </xdr:twoCellAnchor>
  <xdr:twoCellAnchor>
    <xdr:from>
      <xdr:col>16</xdr:col>
      <xdr:colOff>151191</xdr:colOff>
      <xdr:row>81</xdr:row>
      <xdr:rowOff>71436</xdr:rowOff>
    </xdr:from>
    <xdr:to>
      <xdr:col>21</xdr:col>
      <xdr:colOff>809624</xdr:colOff>
      <xdr:row>95</xdr:row>
      <xdr:rowOff>333375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</xdr:colOff>
      <xdr:row>103</xdr:row>
      <xdr:rowOff>261938</xdr:rowOff>
    </xdr:from>
    <xdr:to>
      <xdr:col>5</xdr:col>
      <xdr:colOff>595313</xdr:colOff>
      <xdr:row>110</xdr:row>
      <xdr:rowOff>47625</xdr:rowOff>
    </xdr:to>
    <xdr:sp macro="[0]!TBO" textlink="">
      <xdr:nvSpPr>
        <xdr:cNvPr id="3" name="Bevel 2"/>
        <xdr:cNvSpPr/>
      </xdr:nvSpPr>
      <xdr:spPr bwMode="auto">
        <a:xfrm>
          <a:off x="2262188" y="37647563"/>
          <a:ext cx="3476625" cy="1166812"/>
        </a:xfrm>
        <a:prstGeom prst="bevel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3600">
              <a:latin typeface="Arial" pitchFamily="34" charset="0"/>
              <a:cs typeface="Arial" pitchFamily="34" charset="0"/>
            </a:rPr>
            <a:t>UPDATE</a:t>
          </a:r>
          <a:r>
            <a:rPr lang="en-US" sz="3600" baseline="0">
              <a:latin typeface="Arial" pitchFamily="34" charset="0"/>
              <a:cs typeface="Arial" pitchFamily="34" charset="0"/>
            </a:rPr>
            <a:t> TBO</a:t>
          </a:r>
          <a:endParaRPr lang="en-US" sz="36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525577</xdr:colOff>
      <xdr:row>0</xdr:row>
      <xdr:rowOff>27214</xdr:rowOff>
    </xdr:from>
    <xdr:to>
      <xdr:col>12</xdr:col>
      <xdr:colOff>583406</xdr:colOff>
      <xdr:row>2</xdr:row>
      <xdr:rowOff>2722</xdr:rowOff>
    </xdr:to>
    <xdr:pic>
      <xdr:nvPicPr>
        <xdr:cNvPr id="2" name="Picture 4" descr="images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70252" y="27214"/>
          <a:ext cx="848404" cy="8803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116680</xdr:colOff>
      <xdr:row>0</xdr:row>
      <xdr:rowOff>0</xdr:rowOff>
    </xdr:from>
    <xdr:to>
      <xdr:col>3</xdr:col>
      <xdr:colOff>427203</xdr:colOff>
      <xdr:row>1</xdr:row>
      <xdr:rowOff>542925</xdr:rowOff>
    </xdr:to>
    <xdr:pic>
      <xdr:nvPicPr>
        <xdr:cNvPr id="3" name="Picture 5" descr="200px-4_Infantry_Division_SSI_svg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6680" y="0"/>
          <a:ext cx="891548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NT\Profiles\COLON\Desktop\Excel\SSG%20Mahaney\My%20Documents\SSG%20Mahaney\DATA\PRODCTRL\XLS\XLS\TESTSTA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lon\End%20of%20month%20report\Daily%20Status%20(July%2000)DK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NT\Profiles\COLON\Desktop\Excel\Excel\Extra%20Stuff\ARISTA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NSTATUS 3"/>
      <sheetName val="BNSTATUS (2)"/>
      <sheetName val="B1352-1"/>
      <sheetName val="BNSTATUS"/>
    </sheetNames>
    <sheetDataSet>
      <sheetData sheetId="0" refreshError="1">
        <row r="67">
          <cell r="A67" t="str">
            <v>B417</v>
          </cell>
          <cell r="B67">
            <v>200.20000000000005</v>
          </cell>
        </row>
        <row r="68">
          <cell r="A68" t="str">
            <v>A478</v>
          </cell>
          <cell r="B68">
            <v>200</v>
          </cell>
        </row>
        <row r="69">
          <cell r="A69" t="str">
            <v>B412</v>
          </cell>
          <cell r="B69">
            <v>173.70000000000005</v>
          </cell>
        </row>
        <row r="70">
          <cell r="A70" t="str">
            <v>C436</v>
          </cell>
          <cell r="B70">
            <v>157.09999999999991</v>
          </cell>
        </row>
        <row r="71">
          <cell r="A71" t="str">
            <v>A476</v>
          </cell>
          <cell r="B71">
            <v>151.10000000000014</v>
          </cell>
        </row>
        <row r="72">
          <cell r="A72" t="str">
            <v>B474</v>
          </cell>
          <cell r="B72">
            <v>141.29999999999995</v>
          </cell>
        </row>
        <row r="73">
          <cell r="A73" t="str">
            <v>C481</v>
          </cell>
          <cell r="B73">
            <v>139.30000000000018</v>
          </cell>
        </row>
        <row r="74">
          <cell r="A74" t="str">
            <v>A437</v>
          </cell>
          <cell r="B74">
            <v>137</v>
          </cell>
        </row>
        <row r="75">
          <cell r="A75" t="str">
            <v>C470</v>
          </cell>
          <cell r="B75">
            <v>115</v>
          </cell>
        </row>
        <row r="76">
          <cell r="A76" t="str">
            <v>B423</v>
          </cell>
          <cell r="B76">
            <v>110.79999999999995</v>
          </cell>
        </row>
        <row r="77">
          <cell r="A77" t="str">
            <v>A439</v>
          </cell>
          <cell r="B77">
            <v>94.200000000000045</v>
          </cell>
        </row>
        <row r="78">
          <cell r="A78" t="str">
            <v>B432</v>
          </cell>
          <cell r="B78">
            <v>86.399999999999864</v>
          </cell>
        </row>
        <row r="79">
          <cell r="A79" t="str">
            <v>C477</v>
          </cell>
          <cell r="B79">
            <v>75.299999999999955</v>
          </cell>
        </row>
        <row r="80">
          <cell r="A80" t="str">
            <v>A457</v>
          </cell>
          <cell r="B80">
            <v>76.299999999999955</v>
          </cell>
        </row>
        <row r="81">
          <cell r="A81" t="str">
            <v>A413</v>
          </cell>
          <cell r="B81">
            <v>39.300000000000182</v>
          </cell>
        </row>
        <row r="82">
          <cell r="A82" t="str">
            <v>C473</v>
          </cell>
          <cell r="B82">
            <v>52.799999999999955</v>
          </cell>
        </row>
        <row r="83">
          <cell r="A83" t="str">
            <v>B419</v>
          </cell>
          <cell r="B83">
            <v>43.600000000000136</v>
          </cell>
        </row>
        <row r="84">
          <cell r="A84" t="str">
            <v>A459</v>
          </cell>
          <cell r="B84">
            <v>11.799999999999955</v>
          </cell>
        </row>
        <row r="85">
          <cell r="A85" t="str">
            <v>C471</v>
          </cell>
          <cell r="B85">
            <v>8.5999999999999091</v>
          </cell>
        </row>
        <row r="86">
          <cell r="A86" t="str">
            <v>B409</v>
          </cell>
          <cell r="B86">
            <v>0</v>
          </cell>
        </row>
        <row r="87">
          <cell r="A87" t="str">
            <v>Total Hours for this month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NSTATUS "/>
      <sheetName val="Sheet1"/>
      <sheetName val="B1352-1"/>
      <sheetName val="PROJECTION"/>
      <sheetName val="TGTFLOW"/>
      <sheetName val="DA1352"/>
      <sheetName val="PMC codes"/>
      <sheetName val="CNTR EXCHANGE"/>
      <sheetName val="NMCS"/>
      <sheetName val="TRACK MODS"/>
      <sheetName val="READINESS"/>
      <sheetName val="ECP 1315"/>
      <sheetName val="xmsn sort "/>
      <sheetName val="WALK ABOUT"/>
      <sheetName val="TEST FLIGHT 1"/>
      <sheetName val="LOG SIDE 1"/>
      <sheetName val="LOG SIDE 2"/>
      <sheetName val="EGI 4-3"/>
      <sheetName val="HIT CHECK"/>
      <sheetName val="THIS SHEET LEFT BLANK"/>
      <sheetName val="Module1"/>
      <sheetName val="Module2"/>
      <sheetName val="Module4"/>
      <sheetName val="Module3"/>
      <sheetName val="Module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HOURS FLOWN"/>
      <sheetName val="BNSTATUS "/>
      <sheetName val="B1352-1"/>
      <sheetName val="ARISTAT"/>
    </sheetNames>
    <definedNames>
      <definedName name="sort01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GM" refreshedDate="41706.480295138892" createdVersion="3" refreshedVersion="3" minRefreshableVersion="3" recordCount="348">
  <cacheSource type="worksheet">
    <worksheetSource name="Table__10.2.1.2_1_4AHB_SCH_INSP"/>
  </cacheSource>
  <cacheFields count="12">
    <cacheField name="EI_MODEL" numFmtId="168">
      <sharedItems/>
    </cacheField>
    <cacheField name="SYS_CODE" numFmtId="168">
      <sharedItems count="3">
        <s v="A"/>
        <s v="E"/>
        <s v="W"/>
      </sharedItems>
    </cacheField>
    <cacheField name="INSP_NO" numFmtId="168">
      <sharedItems containsSemiMixedTypes="0" containsNonDate="0" containsDate="1" containsString="0" minDate="1900-01-14T00:00:00" maxDate="1902-02-19T00:00:00" count="114">
        <d v="1900-01-14T00:00:00"/>
        <d v="1900-01-24T00:00:00"/>
        <d v="1900-02-03T00:00:00"/>
        <d v="1900-02-09T00:00:00"/>
        <d v="1900-02-13T00:00:00"/>
        <d v="1900-02-23T00:00:00"/>
        <d v="1900-03-02T00:00:00"/>
        <d v="1900-03-19T00:00:00"/>
        <d v="1900-03-25T00:00:00"/>
        <d v="1900-04-09T00:00:00"/>
        <d v="1900-04-10T00:00:00"/>
        <d v="1900-04-11T00:00:00"/>
        <d v="1900-04-12T00:00:00"/>
        <d v="1900-05-09T00:00:00"/>
        <d v="1900-05-14T00:00:00"/>
        <d v="1900-05-24T00:00:00"/>
        <d v="1900-05-29T00:00:00"/>
        <d v="1900-05-31T00:00:00"/>
        <d v="1900-06-08T00:00:00"/>
        <d v="1900-06-25T00:00:00"/>
        <d v="1900-07-10T00:00:00"/>
        <d v="1900-07-13T00:00:00"/>
        <d v="1900-07-16T00:00:00"/>
        <d v="1900-07-18T00:00:00"/>
        <d v="1900-08-09T00:00:00"/>
        <d v="1900-08-10T00:00:00"/>
        <d v="1900-08-11T00:00:00"/>
        <d v="1900-08-13T00:00:00"/>
        <d v="1900-08-17T00:00:00"/>
        <d v="1900-08-18T00:00:00"/>
        <d v="1900-08-21T00:00:00"/>
        <d v="1900-09-17T00:00:00"/>
        <d v="1900-09-26T00:00:00"/>
        <d v="1900-10-01T00:00:00"/>
        <d v="1900-10-16T00:00:00"/>
        <d v="1900-10-17T00:00:00"/>
        <d v="1900-10-21T00:00:00"/>
        <d v="1900-10-26T00:00:00"/>
        <d v="1901-02-03T00:00:00"/>
        <d v="1901-04-09T00:00:00"/>
        <d v="1901-05-10T00:00:00"/>
        <d v="1901-05-14T00:00:00"/>
        <d v="1901-06-13T00:00:00"/>
        <d v="1901-06-14T00:00:00"/>
        <d v="1901-06-15T00:00:00"/>
        <d v="1901-06-16T00:00:00"/>
        <d v="1901-06-17T00:00:00"/>
        <d v="1901-06-18T00:00:00"/>
        <d v="1901-06-25T00:00:00"/>
        <d v="1901-07-04T00:00:00"/>
        <d v="1901-07-06T00:00:00"/>
        <d v="1901-07-23T00:00:00"/>
        <d v="1901-08-02T00:00:00"/>
        <d v="1901-08-13T00:00:00"/>
        <d v="1901-10-10T00:00:00"/>
        <d v="1901-11-10T00:00:00"/>
        <d v="1901-11-11T00:00:00"/>
        <d v="1901-11-12T00:00:00"/>
        <d v="1901-11-13T00:00:00"/>
        <d v="1901-11-14T00:00:00"/>
        <d v="1901-11-15T00:00:00"/>
        <d v="1901-11-30T00:00:00"/>
        <d v="1901-12-03T00:00:00"/>
        <d v="1901-12-05T00:00:00"/>
        <d v="1901-12-08T00:00:00"/>
        <d v="1901-12-09T00:00:00"/>
        <d v="1901-12-10T00:00:00"/>
        <d v="1901-12-11T00:00:00"/>
        <d v="1901-12-12T00:00:00"/>
        <d v="1901-12-14T00:00:00"/>
        <d v="1901-12-16T00:00:00"/>
        <d v="1901-12-18T00:00:00"/>
        <d v="1901-12-20T00:00:00"/>
        <d v="1901-12-25T00:00:00"/>
        <d v="1901-12-30T00:00:00"/>
        <d v="1902-01-04T00:00:00"/>
        <d v="1902-01-09T00:00:00"/>
        <d v="1902-01-14T00:00:00"/>
        <d v="1902-01-20T00:00:00"/>
        <d v="1902-01-21T00:00:00"/>
        <d v="1902-01-23T00:00:00"/>
        <d v="1902-01-24T00:00:00"/>
        <d v="1902-01-26T00:00:00"/>
        <d v="1902-01-29T00:00:00"/>
        <d v="1902-02-13T00:00:00"/>
        <d v="1902-02-18T00:00:00"/>
        <d v="1900-04-17T00:00:00"/>
        <d v="1900-04-19T00:00:00"/>
        <d v="1900-05-04T00:00:00"/>
        <d v="1900-06-03T00:00:00"/>
        <d v="1900-12-16T00:00:00"/>
        <d v="1900-04-14T00:00:00"/>
        <d v="1900-07-29T00:00:00"/>
        <d v="1901-02-04T00:00:00"/>
        <d v="1901-02-08T00:00:00"/>
        <d v="1901-02-09T00:00:00"/>
        <d v="1901-02-10T00:00:00"/>
        <d v="1901-02-11T00:00:00"/>
        <d v="1901-02-12T00:00:00"/>
        <d v="1901-02-18T00:00:00"/>
        <d v="1901-02-23T00:00:00"/>
        <d v="1901-02-27T00:00:00"/>
        <d v="1901-03-03T00:00:00"/>
        <d v="1901-03-07T00:00:00"/>
        <d v="1901-03-11T00:00:00"/>
        <d v="1901-03-15T00:00:00"/>
        <d v="1901-06-03T00:00:00"/>
        <d v="1901-06-08T00:00:00"/>
        <d v="1901-10-29T00:00:00" u="1"/>
        <d v="1901-10-27T00:00:00" u="1"/>
        <d v="1900-09-06T00:00:00" u="1"/>
        <d v="1901-10-28T00:00:00" u="1"/>
        <d v="1901-10-26T00:00:00" u="1"/>
        <d v="1900-12-15T00:00:00" u="1"/>
      </sharedItems>
    </cacheField>
    <cacheField name="FRQ_TYPE" numFmtId="168">
      <sharedItems/>
    </cacheField>
    <cacheField name="EI_ID" numFmtId="168">
      <sharedItems count="3">
        <s v="AH0008"/>
        <s v="AH0401"/>
        <s v="AH0417"/>
      </sharedItems>
    </cacheField>
    <cacheField name="INSP_DATE" numFmtId="168">
      <sharedItems containsNonDate="0" containsDate="1" containsString="0" containsBlank="1" minDate="2003-03-01T00:00:00" maxDate="2014-03-05T00:00:00"/>
    </cacheField>
    <cacheField name="INSP_VAL" numFmtId="168">
      <sharedItems containsNonDate="0" containsDate="1" containsString="0" containsBlank="1" minDate="1909-12-24T02:24:08" maxDate="1972-06-26T00:00:00"/>
    </cacheField>
    <cacheField name="DATE_TIME_STAMP" numFmtId="168">
      <sharedItems containsSemiMixedTypes="0" containsNonDate="0" containsDate="1" containsString="0" minDate="2011-04-06T21:30:19" maxDate="2014-03-04T17:58:01"/>
    </cacheField>
    <cacheField name="PID_STAMP" numFmtId="168">
      <sharedItems/>
    </cacheField>
    <cacheField name="DEL_FLAG" numFmtId="168">
      <sharedItems/>
    </cacheField>
    <cacheField name="UPDATE_FLAG" numFmtId="168">
      <sharedItems/>
    </cacheField>
    <cacheField name="ASSOC_FAULT_GUID" numFmtId="168">
      <sharedItems containsNonDate="0" containsString="0" containsBlank="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GM" refreshedDate="41706.480295833331" createdVersion="3" refreshedVersion="3" minRefreshableVersion="3" recordCount="4">
  <cacheSource type="worksheet">
    <worksheetSource name="Table__10.2.1.2_1_4AHB_ENDITEM[#All]"/>
  </cacheSource>
  <cacheFields count="18">
    <cacheField name="EI_ID" numFmtId="168">
      <sharedItems count="4">
        <s v="AH0008"/>
        <s v="AH0401"/>
        <s v="AH0417"/>
        <s v="XX9999"/>
      </sharedItems>
    </cacheField>
    <cacheField name="UIC_OWN" numFmtId="168">
      <sharedItems/>
    </cacheField>
    <cacheField name="EI_TYPE" numFmtId="168">
      <sharedItems/>
    </cacheField>
    <cacheField name="TEMP_XFR" numFmtId="168">
      <sharedItems/>
    </cacheField>
    <cacheField name="UIC_TEMP_XFR" numFmtId="168">
      <sharedItems containsBlank="1"/>
    </cacheField>
    <cacheField name="UIC_TEMP" numFmtId="168">
      <sharedItems containsBlank="1"/>
    </cacheField>
    <cacheField name="EI_ID_ATTCHD" numFmtId="168">
      <sharedItems containsBlank="1"/>
    </cacheField>
    <cacheField name="EI_BEG_AGE" numFmtId="168">
      <sharedItems containsNonDate="0" containsDate="1" containsString="0" containsBlank="1" minDate="1910-11-16T21:36:00" maxDate="1914-07-19T16:48:00"/>
    </cacheField>
    <cacheField name="EI_START_AGE" numFmtId="168">
      <sharedItems containsSemiMixedTypes="0" containsNonDate="0" containsDate="1" containsString="0" minDate="1899-12-30T00:00:00" maxDate="1910-04-18T02:24:00"/>
    </cacheField>
    <cacheField name="STATUS" numFmtId="168">
      <sharedItems containsBlank="1"/>
    </cacheField>
    <cacheField name="LAST_DATE_USE" numFmtId="168">
      <sharedItems containsNonDate="0" containsDate="1" containsString="0" containsBlank="1" minDate="2014-01-13T00:00:00" maxDate="2014-02-20T00:00:00"/>
    </cacheField>
    <cacheField name="LAST_FP" numFmtId="168">
      <sharedItems containsNonDate="0" containsDate="1" containsString="0" containsBlank="1" minDate="2014-03-07T13:30:51" maxDate="2014-03-07T13:43:14"/>
    </cacheField>
    <cacheField name="REMARKS" numFmtId="168">
      <sharedItems containsBlank="1"/>
    </cacheField>
    <cacheField name="PURGE_MPS" numFmtId="168">
      <sharedItems/>
    </cacheField>
    <cacheField name="DATE_TIME_STAMP" numFmtId="168">
      <sharedItems containsNonDate="0" containsDate="1" containsString="0" containsBlank="1" minDate="2014-03-07T13:30:51" maxDate="2014-03-07T13:43:14"/>
    </cacheField>
    <cacheField name="PID_STAMP" numFmtId="168">
      <sharedItems containsBlank="1"/>
    </cacheField>
    <cacheField name="DEL_FLAG" numFmtId="168">
      <sharedItems/>
    </cacheField>
    <cacheField name="UPDATE_FLAG" numFmtId="168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GM" refreshedDate="41706.480295833331" createdVersion="3" refreshedVersion="3" minRefreshableVersion="3" recordCount="3">
  <cacheSource type="worksheet">
    <worksheetSource name="Table__10.2.1.2_1_4AHB_EIACFT"/>
  </cacheSource>
  <cacheFields count="47">
    <cacheField name="EI_ID" numFmtId="168">
      <sharedItems count="3">
        <s v="AH0008"/>
        <s v="AH0401"/>
        <s v="AH0417"/>
      </sharedItems>
    </cacheField>
    <cacheField name="EI_MODEL" numFmtId="168">
      <sharedItems/>
    </cacheField>
    <cacheField name="EI_SN" numFmtId="168">
      <sharedItems/>
    </cacheField>
    <cacheField name="MISSION_MODEL" numFmtId="168">
      <sharedItems/>
    </cacheField>
    <cacheField name="INDEPENDENT" numFmtId="168">
      <sharedItems/>
    </cacheField>
    <cacheField name="START_RNDS" numFmtId="1">
      <sharedItems containsSemiMixedTypes="0" containsString="0" containsNumber="1" containsInteger="1" minValue="0" maxValue="5725"/>
    </cacheField>
    <cacheField name="CURR_RNDS" numFmtId="1">
      <sharedItems containsSemiMixedTypes="0" containsString="0" containsNumber="1" containsInteger="1" minValue="7331" maxValue="26475"/>
    </cacheField>
    <cacheField name="EI_MODE" numFmtId="168">
      <sharedItems/>
    </cacheField>
    <cacheField name="PHASE_DUE" numFmtId="168">
      <sharedItems containsSemiMixedTypes="0" containsNonDate="0" containsDate="1" containsString="0" minDate="1911-05-08T02:24:08" maxDate="1915-08-20T14:24:08"/>
    </cacheField>
    <cacheField name="PHASE_NO" numFmtId="168">
      <sharedItems containsSemiMixedTypes="0" containsNonDate="0" containsDate="1" containsString="0" minDate="1899-12-31T00:00:00" maxDate="1900-01-01T00:00:00"/>
    </cacheField>
    <cacheField name="CYCLE_NUM_DUE" numFmtId="168">
      <sharedItems containsSemiMixedTypes="0" containsNonDate="0" containsDate="1" containsString="0" minDate="1899-12-31T00:00:00" maxDate="1900-01-01T00:00:00"/>
    </cacheField>
    <cacheField name="CYCLE_DUE_HRS" numFmtId="168">
      <sharedItems containsSemiMixedTypes="0" containsNonDate="0" containsDate="1" containsString="0" minDate="1899-12-30T00:00:00" maxDate="1899-12-31T00:00:00"/>
    </cacheField>
    <cacheField name="CYCLE_START_DATE" numFmtId="168">
      <sharedItems containsSemiMixedTypes="0" containsNonDate="0" containsDate="1" containsString="0" minDate="2009-04-21T00:00:00" maxDate="2013-03-28T00:00:00"/>
    </cacheField>
    <cacheField name="ITERATION" numFmtId="168">
      <sharedItems containsSemiMixedTypes="0" containsNonDate="0" containsDate="1" containsString="0" minDate="1899-12-30T00:00:00" maxDate="1899-12-31T00:00:00"/>
    </cacheField>
    <cacheField name="HRS_PER_CYCLE" numFmtId="168">
      <sharedItems containsSemiMixedTypes="0" containsNonDate="0" containsDate="1" containsString="0" minDate="1899-12-30T00:00:00" maxDate="1899-12-31T00:00:00"/>
    </cacheField>
    <cacheField name="FRONT_TOL" numFmtId="168">
      <sharedItems containsSemiMixedTypes="0" containsNonDate="0" containsDate="1" containsString="0" minDate="1899-12-30T00:00:00" maxDate="1899-12-31T00:00:00"/>
    </cacheField>
    <cacheField name="BACK_TOL" numFmtId="168">
      <sharedItems containsSemiMixedTypes="0" containsNonDate="0" containsDate="1" containsString="0" minDate="1899-12-30T00:00:00" maxDate="1899-12-31T00:00:00"/>
    </cacheField>
    <cacheField name="HSF" numFmtId="168">
      <sharedItems containsSemiMixedTypes="0" containsNonDate="0" containsDate="1" containsString="0" minDate="1899-12-30T00:00:00" maxDate="1899-12-31T00:00:00"/>
    </cacheField>
    <cacheField name="LAND_CYCLES" numFmtId="168">
      <sharedItems containsSemiMixedTypes="0" containsNonDate="0" containsDate="1" containsString="0" minDate="1899-12-30T00:00:00" maxDate="1899-12-31T00:00:00"/>
    </cacheField>
    <cacheField name="LANDINGS" numFmtId="168">
      <sharedItems containsSemiMixedTypes="0" containsNonDate="0" containsDate="1" containsString="0" minDate="1903-10-05T00:00:00" maxDate="1909-08-22T00:00:00"/>
    </cacheField>
    <cacheField name="LANDINGS_AUTO" numFmtId="168">
      <sharedItems containsSemiMixedTypes="0" containsNonDate="0" containsDate="1" containsString="0" minDate="1900-01-11T00:00:00" maxDate="1900-01-29T00:00:00"/>
    </cacheField>
    <cacheField name="APU_HOURS" numFmtId="168">
      <sharedItems containsSemiMixedTypes="0" containsNonDate="0" containsDate="1" containsString="0" minDate="1900-12-11T19:11:59" maxDate="1909-03-22T21:35:52"/>
    </cacheField>
    <cacheField name="APU_HR_METER" numFmtId="168">
      <sharedItems containsSemiMixedTypes="0" containsNonDate="0" containsDate="1" containsString="0" minDate="1899-12-30T00:00:00" maxDate="1900-01-04T16:48:00"/>
    </cacheField>
    <cacheField name="APU_STARTS" numFmtId="168">
      <sharedItems containsSemiMixedTypes="0" containsNonDate="0" containsDate="1" containsString="0" minDate="1903-09-03T00:00:00" maxDate="1905-08-16T00:00:00"/>
    </cacheField>
    <cacheField name="APU_DATE_RD" numFmtId="168">
      <sharedItems containsNonDate="0" containsString="0" containsBlank="1"/>
    </cacheField>
    <cacheField name="APU_PID" numFmtId="168">
      <sharedItems/>
    </cacheField>
    <cacheField name="CRCHIEF_PID" numFmtId="168">
      <sharedItems/>
    </cacheField>
    <cacheField name="SUPRVSR_PID" numFmtId="168">
      <sharedItems/>
    </cacheField>
    <cacheField name="DATE10HR14DAY" numFmtId="168">
      <sharedItems containsNonDate="0" containsString="0" containsBlank="1"/>
    </cacheField>
    <cacheField name="HRS10HR14DAY" numFmtId="168">
      <sharedItems containsSemiMixedTypes="0" containsNonDate="0" containsDate="1" containsString="0" minDate="1899-12-30T00:00:00" maxDate="1899-12-31T00:00:00"/>
    </cacheField>
    <cacheField name="PMD_DATE" numFmtId="168">
      <sharedItems containsSemiMixedTypes="0" containsNonDate="0" containsDate="1" containsString="0" minDate="2014-02-12T00:00:00" maxDate="2014-02-19T00:00:00"/>
    </cacheField>
    <cacheField name="PMD_HOURS" numFmtId="168">
      <sharedItems containsSemiMixedTypes="0" containsNonDate="0" containsDate="1" containsString="0" minDate="1910-11-15T21:35:52" maxDate="1914-07-18T16:48:17"/>
    </cacheField>
    <cacheField name="PMD_PID" numFmtId="168">
      <sharedItems/>
    </cacheField>
    <cacheField name="LASTMIGDATE" numFmtId="168">
      <sharedItems containsNonDate="0" containsString="0" containsBlank="1"/>
    </cacheField>
    <cacheField name="LASTMIGTIME" numFmtId="168">
      <sharedItems containsNonDate="0" containsString="0" containsBlank="1"/>
    </cacheField>
    <cacheField name="RIN" numFmtId="168">
      <sharedItems containsSemiMixedTypes="0" containsNonDate="0" containsDate="1" containsString="0" minDate="1899-12-30T00:00:00" maxDate="1899-12-31T00:00:00"/>
    </cacheField>
    <cacheField name="STATUS_E" numFmtId="168">
      <sharedItems/>
    </cacheField>
    <cacheField name="STATUS_W" numFmtId="168">
      <sharedItems/>
    </cacheField>
    <cacheField name="STATUS_O" numFmtId="168">
      <sharedItems/>
    </cacheField>
    <cacheField name="PHASE_INT" numFmtId="168">
      <sharedItems containsSemiMixedTypes="0" containsNonDate="0" containsDate="1" containsString="0" minDate="1901-05-14T00:00:00" maxDate="1901-05-15T00:00:00"/>
    </cacheField>
    <cacheField name="MAX_CYCLES" numFmtId="168">
      <sharedItems containsSemiMixedTypes="0" containsNonDate="0" containsDate="1" containsString="0" minDate="1899-12-31T00:00:00" maxDate="1900-01-01T00:00:00"/>
    </cacheField>
    <cacheField name="DATE_TIME_STAMP" numFmtId="168">
      <sharedItems containsSemiMixedTypes="0" containsNonDate="0" containsDate="1" containsString="0" minDate="2014-03-07T13:30:51" maxDate="2014-03-07T13:43:14"/>
    </cacheField>
    <cacheField name="PID_STAMP" numFmtId="168">
      <sharedItems/>
    </cacheField>
    <cacheField name="DEL_FLAG" numFmtId="168">
      <sharedItems/>
    </cacheField>
    <cacheField name="UPDATE_FLAG" numFmtId="168">
      <sharedItems/>
    </cacheField>
    <cacheField name="AIRCRAFT_TYPE" numFmtId="168">
      <sharedItems containsSemiMixedTypes="0" containsNonDate="0" containsDate="1" containsString="0" minDate="1899-12-30T00:00:00" maxDate="1899-12-31T00:00:00"/>
    </cacheField>
    <cacheField name="HOV_AUTO" numFmtId="168">
      <sharedItems containsSemiMixedTypes="0" containsNonDate="0" containsDate="1" containsString="0" minDate="1899-12-30T00:00:00" maxDate="1899-12-31T00:00: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8">
  <r>
    <s v="AH-64D"/>
    <x v="0"/>
    <x v="0"/>
    <s v="D"/>
    <x v="0"/>
    <d v="2014-02-20T00:00:00"/>
    <m/>
    <d v="2014-02-19T15:36:36"/>
    <s v="AF8618DA-3EFA-4E40-8C74-D89305195DC1"/>
    <b v="0"/>
    <b v="0"/>
    <m/>
  </r>
  <r>
    <s v="AH-64D"/>
    <x v="0"/>
    <x v="0"/>
    <s v="D"/>
    <x v="1"/>
    <d v="2014-02-11T00:00:00"/>
    <m/>
    <d v="2014-02-11T19:05:57"/>
    <s v="406CB2A5-68CD-471C-8284-829EC8FAF0E2"/>
    <b v="0"/>
    <b v="0"/>
    <m/>
  </r>
  <r>
    <s v="AH-64D"/>
    <x v="0"/>
    <x v="0"/>
    <s v="D"/>
    <x v="2"/>
    <d v="2014-02-10T00:00:00"/>
    <m/>
    <d v="2014-02-10T12:55:49"/>
    <s v="90DFB534-2988-44BD-A5A2-0DED5635AAC7"/>
    <b v="0"/>
    <b v="0"/>
    <m/>
  </r>
  <r>
    <s v="AH-64D"/>
    <x v="0"/>
    <x v="1"/>
    <s v="D"/>
    <x v="0"/>
    <d v="2014-02-28T00:00:00"/>
    <m/>
    <d v="2014-02-28T16:07:49"/>
    <s v="7408DE28-4DAA-451D-8896-4F0978C29756"/>
    <b v="0"/>
    <b v="0"/>
    <m/>
  </r>
  <r>
    <s v="AH-64D"/>
    <x v="0"/>
    <x v="1"/>
    <s v="D"/>
    <x v="1"/>
    <d v="2014-02-28T00:00:00"/>
    <m/>
    <d v="2014-02-28T16:30:04"/>
    <s v="46F94D7A-0517-4900-8266-45B156CBA19D"/>
    <b v="0"/>
    <b v="0"/>
    <m/>
  </r>
  <r>
    <s v="AH-64D"/>
    <x v="0"/>
    <x v="1"/>
    <s v="D"/>
    <x v="2"/>
    <d v="2014-02-28T00:00:00"/>
    <m/>
    <d v="2014-02-28T16:18:23"/>
    <s v="7408DE28-4DAA-451D-8896-4F0978C29756"/>
    <b v="0"/>
    <b v="0"/>
    <m/>
  </r>
  <r>
    <s v="AH-64D"/>
    <x v="0"/>
    <x v="1"/>
    <s v="H"/>
    <x v="0"/>
    <m/>
    <d v="1914-07-19T16:48:17"/>
    <d v="2014-02-28T16:07:50"/>
    <s v="7408DE28-4DAA-451D-8896-4F0978C29756"/>
    <b v="0"/>
    <b v="0"/>
    <m/>
  </r>
  <r>
    <s v="AH-64D"/>
    <x v="0"/>
    <x v="1"/>
    <s v="H"/>
    <x v="1"/>
    <m/>
    <d v="1910-11-16T21:35:52"/>
    <d v="2014-02-28T16:30:04"/>
    <s v="46F94D7A-0517-4900-8266-45B156CBA19D"/>
    <b v="0"/>
    <b v="0"/>
    <m/>
  </r>
  <r>
    <s v="AH-64D"/>
    <x v="0"/>
    <x v="1"/>
    <s v="H"/>
    <x v="2"/>
    <m/>
    <d v="1912-12-15T12:00:00"/>
    <d v="2014-02-28T16:18:23"/>
    <s v="7408DE28-4DAA-451D-8896-4F0978C29756"/>
    <b v="0"/>
    <b v="0"/>
    <m/>
  </r>
  <r>
    <s v="AH-64D"/>
    <x v="0"/>
    <x v="2"/>
    <s v="H"/>
    <x v="0"/>
    <m/>
    <d v="1914-04-07T14:24:08"/>
    <d v="2013-08-07T23:05:29"/>
    <s v="C672156D-0F83-4E72-8532-E6791EDFF054"/>
    <b v="0"/>
    <b v="0"/>
    <m/>
  </r>
  <r>
    <s v="AH-64D"/>
    <x v="0"/>
    <x v="2"/>
    <s v="H"/>
    <x v="1"/>
    <m/>
    <d v="1909-12-24T02:24:08"/>
    <d v="2011-12-14T08:46:10"/>
    <s v="021BBDF1-976B-40D9-8483-93D6847EF55D"/>
    <b v="0"/>
    <b v="0"/>
    <m/>
  </r>
  <r>
    <s v="AH-64D"/>
    <x v="0"/>
    <x v="2"/>
    <s v="H"/>
    <x v="2"/>
    <m/>
    <d v="1912-07-13T16:48:17"/>
    <d v="2012-10-19T06:48:15"/>
    <s v="3F5DD46E-E1F9-4DB4-897F-EEFB967C4C0C"/>
    <b v="0"/>
    <b v="0"/>
    <m/>
  </r>
  <r>
    <s v="AH-64D"/>
    <x v="0"/>
    <x v="3"/>
    <s v="H"/>
    <x v="0"/>
    <m/>
    <d v="1914-07-19T21:35:52"/>
    <d v="2014-01-16T08:04:48"/>
    <s v="9CDCCF9C-27FF-45E2-9822-5740E577EA00"/>
    <b v="0"/>
    <b v="0"/>
    <m/>
  </r>
  <r>
    <s v="AH-64D"/>
    <x v="0"/>
    <x v="3"/>
    <s v="H"/>
    <x v="1"/>
    <m/>
    <d v="1910-10-13T02:24:08"/>
    <d v="2013-11-05T21:13:08"/>
    <s v="25FF609F-872A-419C-AAED-1C9084D28DF4"/>
    <b v="0"/>
    <b v="0"/>
    <m/>
  </r>
  <r>
    <s v="AH-64D"/>
    <x v="0"/>
    <x v="3"/>
    <s v="H"/>
    <x v="2"/>
    <m/>
    <d v="1912-12-15T16:48:17"/>
    <d v="2014-01-09T16:23:00"/>
    <s v="73D8940B-BB7E-4C5C-A79B-784B4EB0FD52"/>
    <b v="0"/>
    <b v="0"/>
    <m/>
  </r>
  <r>
    <s v="AH-64D"/>
    <x v="0"/>
    <x v="4"/>
    <s v="D"/>
    <x v="0"/>
    <d v="2014-02-28T00:00:00"/>
    <m/>
    <d v="2014-02-28T15:46:55"/>
    <s v="7408DE28-4DAA-451D-8896-4F0978C29756"/>
    <b v="0"/>
    <b v="0"/>
    <m/>
  </r>
  <r>
    <s v="AH-64D"/>
    <x v="0"/>
    <x v="4"/>
    <s v="D"/>
    <x v="1"/>
    <d v="2014-02-28T00:00:00"/>
    <m/>
    <d v="2014-02-28T16:29:19"/>
    <s v="46F94D7A-0517-4900-8266-45B156CBA19D"/>
    <b v="0"/>
    <b v="0"/>
    <m/>
  </r>
  <r>
    <s v="AH-64D"/>
    <x v="0"/>
    <x v="4"/>
    <s v="D"/>
    <x v="2"/>
    <d v="2014-02-28T00:00:00"/>
    <m/>
    <d v="2014-02-28T15:44:07"/>
    <s v="7408DE28-4DAA-451D-8896-4F0978C29756"/>
    <b v="0"/>
    <b v="0"/>
    <m/>
  </r>
  <r>
    <s v="AH-64D"/>
    <x v="0"/>
    <x v="4"/>
    <s v="H"/>
    <x v="0"/>
    <m/>
    <d v="1914-07-19T16:48:17"/>
    <d v="2014-02-28T15:46:55"/>
    <s v="7408DE28-4DAA-451D-8896-4F0978C29756"/>
    <b v="0"/>
    <b v="0"/>
    <m/>
  </r>
  <r>
    <s v="AH-64D"/>
    <x v="0"/>
    <x v="4"/>
    <s v="H"/>
    <x v="1"/>
    <m/>
    <d v="1910-11-16T21:35:52"/>
    <d v="2014-02-28T16:29:19"/>
    <s v="46F94D7A-0517-4900-8266-45B156CBA19D"/>
    <b v="0"/>
    <b v="0"/>
    <m/>
  </r>
  <r>
    <s v="AH-64D"/>
    <x v="0"/>
    <x v="4"/>
    <s v="H"/>
    <x v="2"/>
    <m/>
    <d v="1912-12-15T12:00:00"/>
    <d v="2014-02-28T15:44:07"/>
    <s v="7408DE28-4DAA-451D-8896-4F0978C29756"/>
    <b v="0"/>
    <b v="0"/>
    <m/>
  </r>
  <r>
    <s v="AH-64D"/>
    <x v="0"/>
    <x v="5"/>
    <s v="H"/>
    <x v="0"/>
    <m/>
    <d v="1914-07-19T16:48:17"/>
    <d v="2014-03-01T08:59:02"/>
    <s v="7DDC4528-4C19-41AF-A705-ECC011346B02"/>
    <b v="0"/>
    <b v="0"/>
    <m/>
  </r>
  <r>
    <s v="AH-64D"/>
    <x v="0"/>
    <x v="5"/>
    <s v="H"/>
    <x v="1"/>
    <m/>
    <d v="1910-11-16T21:35:52"/>
    <d v="2014-03-01T07:09:51"/>
    <s v="7DDC4528-4C19-41AF-A705-ECC011346B02"/>
    <b v="0"/>
    <b v="0"/>
    <m/>
  </r>
  <r>
    <s v="AH-64D"/>
    <x v="0"/>
    <x v="5"/>
    <s v="H"/>
    <x v="2"/>
    <m/>
    <d v="1912-12-15T12:00:00"/>
    <d v="2014-03-01T07:17:38"/>
    <s v="7DDC4528-4C19-41AF-A705-ECC011346B02"/>
    <b v="0"/>
    <b v="0"/>
    <m/>
  </r>
  <r>
    <s v="AH-64D"/>
    <x v="0"/>
    <x v="6"/>
    <s v="H"/>
    <x v="0"/>
    <m/>
    <d v="1914-07-18T16:48:17"/>
    <d v="2014-01-23T16:38:09"/>
    <s v="A85467B9-D093-4A84-B74B-AC2CAF66EA3C"/>
    <b v="0"/>
    <b v="0"/>
    <m/>
  </r>
  <r>
    <s v="AH-64D"/>
    <x v="0"/>
    <x v="6"/>
    <s v="H"/>
    <x v="1"/>
    <m/>
    <d v="1910-11-14T21:35:52"/>
    <d v="2014-02-07T18:26:17"/>
    <s v="9B47E953-C13A-41E5-85CF-ED8EEB7E5DC2"/>
    <b v="0"/>
    <b v="0"/>
    <m/>
  </r>
  <r>
    <s v="AH-64D"/>
    <x v="0"/>
    <x v="6"/>
    <s v="H"/>
    <x v="2"/>
    <m/>
    <d v="1912-12-15T12:00:00"/>
    <d v="2014-01-21T11:54:45"/>
    <s v="9FCF9708-9519-4B9D-9032-946590957690"/>
    <b v="0"/>
    <b v="0"/>
    <m/>
  </r>
  <r>
    <s v="AH-64D"/>
    <x v="0"/>
    <x v="7"/>
    <s v="D"/>
    <x v="0"/>
    <d v="2014-02-28T00:00:00"/>
    <m/>
    <d v="2014-02-28T15:38:27"/>
    <s v="7408DE28-4DAA-451D-8896-4F0978C29756"/>
    <b v="0"/>
    <b v="0"/>
    <m/>
  </r>
  <r>
    <s v="AH-64D"/>
    <x v="0"/>
    <x v="7"/>
    <s v="D"/>
    <x v="1"/>
    <d v="2014-02-28T00:00:00"/>
    <m/>
    <d v="2014-03-01T07:02:40"/>
    <s v="7DDC4528-4C19-41AF-A705-ECC011346B02"/>
    <b v="0"/>
    <b v="0"/>
    <m/>
  </r>
  <r>
    <s v="AH-64D"/>
    <x v="0"/>
    <x v="7"/>
    <s v="D"/>
    <x v="2"/>
    <d v="2014-02-28T00:00:00"/>
    <m/>
    <d v="2014-02-28T15:32:12"/>
    <s v="7408DE28-4DAA-451D-8896-4F0978C29756"/>
    <b v="0"/>
    <b v="0"/>
    <m/>
  </r>
  <r>
    <s v="AH-64D"/>
    <x v="0"/>
    <x v="7"/>
    <s v="H"/>
    <x v="0"/>
    <m/>
    <d v="1914-07-19T16:48:17"/>
    <d v="2014-02-28T15:38:27"/>
    <s v="7408DE28-4DAA-451D-8896-4F0978C29756"/>
    <b v="0"/>
    <b v="0"/>
    <m/>
  </r>
  <r>
    <s v="AH-64D"/>
    <x v="0"/>
    <x v="7"/>
    <s v="H"/>
    <x v="1"/>
    <m/>
    <d v="1910-11-16T21:35:52"/>
    <d v="2014-03-01T07:02:40"/>
    <s v="7DDC4528-4C19-41AF-A705-ECC011346B02"/>
    <b v="0"/>
    <b v="0"/>
    <m/>
  </r>
  <r>
    <s v="AH-64D"/>
    <x v="0"/>
    <x v="7"/>
    <s v="H"/>
    <x v="2"/>
    <m/>
    <d v="1912-12-15T12:00:00"/>
    <d v="2014-02-28T15:32:12"/>
    <s v="7408DE28-4DAA-451D-8896-4F0978C29756"/>
    <b v="0"/>
    <b v="0"/>
    <m/>
  </r>
  <r>
    <s v="AH-64D"/>
    <x v="0"/>
    <x v="8"/>
    <s v="D"/>
    <x v="0"/>
    <d v="2014-02-28T00:00:00"/>
    <m/>
    <d v="2014-02-28T15:39:40"/>
    <s v="7408DE28-4DAA-451D-8896-4F0978C29756"/>
    <b v="0"/>
    <b v="0"/>
    <m/>
  </r>
  <r>
    <s v="AH-64D"/>
    <x v="0"/>
    <x v="8"/>
    <s v="D"/>
    <x v="1"/>
    <d v="2014-02-28T00:00:00"/>
    <m/>
    <d v="2014-02-28T16:30:51"/>
    <s v="46F94D7A-0517-4900-8266-45B156CBA19D"/>
    <b v="0"/>
    <b v="0"/>
    <m/>
  </r>
  <r>
    <s v="AH-64D"/>
    <x v="0"/>
    <x v="8"/>
    <s v="D"/>
    <x v="2"/>
    <d v="2014-02-28T00:00:00"/>
    <m/>
    <d v="2014-02-28T15:33:01"/>
    <s v="7408DE28-4DAA-451D-8896-4F0978C29756"/>
    <b v="0"/>
    <b v="0"/>
    <m/>
  </r>
  <r>
    <s v="AH-64D"/>
    <x v="0"/>
    <x v="8"/>
    <s v="H"/>
    <x v="0"/>
    <m/>
    <d v="1914-07-19T16:48:17"/>
    <d v="2014-02-28T15:39:40"/>
    <s v="7408DE28-4DAA-451D-8896-4F0978C29756"/>
    <b v="0"/>
    <b v="0"/>
    <m/>
  </r>
  <r>
    <s v="AH-64D"/>
    <x v="0"/>
    <x v="8"/>
    <s v="H"/>
    <x v="1"/>
    <m/>
    <d v="1910-11-16T21:35:52"/>
    <d v="2014-02-28T16:30:51"/>
    <s v="46F94D7A-0517-4900-8266-45B156CBA19D"/>
    <b v="0"/>
    <b v="0"/>
    <m/>
  </r>
  <r>
    <s v="AH-64D"/>
    <x v="0"/>
    <x v="8"/>
    <s v="H"/>
    <x v="2"/>
    <m/>
    <d v="1912-12-15T12:00:00"/>
    <d v="2014-02-28T15:33:01"/>
    <s v="7408DE28-4DAA-451D-8896-4F0978C29756"/>
    <b v="0"/>
    <b v="0"/>
    <m/>
  </r>
  <r>
    <s v="AH-64D"/>
    <x v="0"/>
    <x v="9"/>
    <s v="D"/>
    <x v="0"/>
    <d v="2014-02-18T00:00:00"/>
    <m/>
    <d v="2014-02-18T12:00:54"/>
    <s v="9CDCCF9C-27FF-45E2-9822-5740E577EA00"/>
    <b v="0"/>
    <b v="0"/>
    <m/>
  </r>
  <r>
    <s v="AH-64D"/>
    <x v="0"/>
    <x v="9"/>
    <s v="D"/>
    <x v="1"/>
    <d v="2014-02-15T00:00:00"/>
    <m/>
    <d v="2014-02-13T17:46:03"/>
    <s v="CA6A0564-CC2E-43F1-9DB9-FB4519A3637E"/>
    <b v="0"/>
    <b v="0"/>
    <m/>
  </r>
  <r>
    <s v="AH-64D"/>
    <x v="0"/>
    <x v="9"/>
    <s v="D"/>
    <x v="2"/>
    <d v="2014-02-14T00:00:00"/>
    <m/>
    <d v="2014-02-13T16:20:49"/>
    <s v="DFC63793-A6C5-42A1-AE4E-BCD930BD63D7"/>
    <b v="0"/>
    <b v="0"/>
    <m/>
  </r>
  <r>
    <s v="AH-64D"/>
    <x v="0"/>
    <x v="10"/>
    <s v="D"/>
    <x v="0"/>
    <d v="2014-02-18T00:00:00"/>
    <m/>
    <d v="2014-02-18T12:01:56"/>
    <s v="9CDCCF9C-27FF-45E2-9822-5740E577EA00"/>
    <b v="0"/>
    <b v="0"/>
    <m/>
  </r>
  <r>
    <s v="AH-64D"/>
    <x v="0"/>
    <x v="10"/>
    <s v="D"/>
    <x v="1"/>
    <d v="2014-02-15T00:00:00"/>
    <m/>
    <d v="2014-02-13T17:46:30"/>
    <s v="CA6A0564-CC2E-43F1-9DB9-FB4519A3637E"/>
    <b v="0"/>
    <b v="0"/>
    <m/>
  </r>
  <r>
    <s v="AH-64D"/>
    <x v="0"/>
    <x v="10"/>
    <s v="D"/>
    <x v="2"/>
    <d v="2014-02-14T00:00:00"/>
    <m/>
    <d v="2014-02-13T16:20:59"/>
    <s v="DFC63793-A6C5-42A1-AE4E-BCD930BD63D7"/>
    <b v="0"/>
    <b v="0"/>
    <m/>
  </r>
  <r>
    <s v="AH-64D"/>
    <x v="0"/>
    <x v="11"/>
    <s v="D"/>
    <x v="0"/>
    <d v="2014-02-18T00:00:00"/>
    <m/>
    <d v="2014-02-18T11:42:16"/>
    <s v="9CDCCF9C-27FF-45E2-9822-5740E577EA00"/>
    <b v="0"/>
    <b v="0"/>
    <m/>
  </r>
  <r>
    <s v="AH-64D"/>
    <x v="0"/>
    <x v="11"/>
    <s v="D"/>
    <x v="1"/>
    <d v="2014-02-11T00:00:00"/>
    <m/>
    <d v="2014-02-11T18:45:57"/>
    <s v="406CB2A5-68CD-471C-8284-829EC8FAF0E2"/>
    <b v="0"/>
    <b v="0"/>
    <m/>
  </r>
  <r>
    <s v="AH-64D"/>
    <x v="0"/>
    <x v="11"/>
    <s v="D"/>
    <x v="2"/>
    <d v="2014-02-18T00:00:00"/>
    <m/>
    <d v="2014-02-18T17:39:53"/>
    <s v="90DFB534-2988-44BD-A5A2-0DED5635AAC7"/>
    <b v="0"/>
    <b v="0"/>
    <m/>
  </r>
  <r>
    <s v="AH-64D"/>
    <x v="0"/>
    <x v="12"/>
    <s v="D"/>
    <x v="0"/>
    <d v="2014-02-13T00:00:00"/>
    <m/>
    <d v="2014-02-18T09:50:03"/>
    <s v="9CDCCF9C-27FF-45E2-9822-5740E577EA00"/>
    <b v="0"/>
    <b v="0"/>
    <m/>
  </r>
  <r>
    <s v="AH-64D"/>
    <x v="0"/>
    <x v="12"/>
    <s v="D"/>
    <x v="1"/>
    <d v="2014-01-10T00:00:00"/>
    <m/>
    <d v="2014-01-10T07:03:53"/>
    <s v="0474A105-8C6D-4175-9F7A-47415AA37BA4"/>
    <b v="0"/>
    <b v="0"/>
    <m/>
  </r>
  <r>
    <s v="AH-64D"/>
    <x v="0"/>
    <x v="12"/>
    <s v="D"/>
    <x v="2"/>
    <d v="2013-12-28T00:00:00"/>
    <m/>
    <d v="2014-01-02T10:31:14"/>
    <s v="72F20429-1DC4-4086-A186-6241C3ADDB4B"/>
    <b v="0"/>
    <b v="0"/>
    <m/>
  </r>
  <r>
    <s v="AH-64D"/>
    <x v="0"/>
    <x v="13"/>
    <s v="H"/>
    <x v="0"/>
    <m/>
    <d v="1914-07-19T21:35:52"/>
    <d v="2014-01-15T17:29:40"/>
    <s v="3764CA8B-A894-4B7F-8F9D-FA9780EA2588"/>
    <b v="0"/>
    <b v="0"/>
    <m/>
  </r>
  <r>
    <s v="AH-64D"/>
    <x v="0"/>
    <x v="13"/>
    <s v="H"/>
    <x v="1"/>
    <m/>
    <d v="1910-10-13T02:24:08"/>
    <d v="2013-11-05T19:17:35"/>
    <s v="A85467B9-D093-4A84-B74B-AC2CAF66EA3C"/>
    <b v="0"/>
    <b v="0"/>
    <m/>
  </r>
  <r>
    <s v="AH-64D"/>
    <x v="0"/>
    <x v="13"/>
    <s v="H"/>
    <x v="2"/>
    <m/>
    <d v="1912-12-13T21:35:52"/>
    <d v="2014-01-09T18:06:40"/>
    <s v="73D8940B-BB7E-4C5C-A79B-784B4EB0FD52"/>
    <b v="0"/>
    <b v="0"/>
    <m/>
  </r>
  <r>
    <s v="AH-64D"/>
    <x v="0"/>
    <x v="14"/>
    <s v="H"/>
    <x v="0"/>
    <m/>
    <d v="1914-07-19T21:35:52"/>
    <d v="2014-01-16T07:50:35"/>
    <s v="9CDCCF9C-27FF-45E2-9822-5740E577EA00"/>
    <b v="0"/>
    <b v="0"/>
    <m/>
  </r>
  <r>
    <s v="AH-64D"/>
    <x v="0"/>
    <x v="14"/>
    <s v="H"/>
    <x v="1"/>
    <m/>
    <d v="1910-10-13T02:24:08"/>
    <d v="2013-11-05T19:17:27"/>
    <s v="A85467B9-D093-4A84-B74B-AC2CAF66EA3C"/>
    <b v="0"/>
    <b v="0"/>
    <m/>
  </r>
  <r>
    <s v="AH-64D"/>
    <x v="0"/>
    <x v="14"/>
    <s v="H"/>
    <x v="2"/>
    <m/>
    <d v="1912-12-15T16:48:17"/>
    <d v="2014-01-09T17:16:33"/>
    <s v="73D8940B-BB7E-4C5C-A79B-784B4EB0FD52"/>
    <b v="0"/>
    <b v="0"/>
    <m/>
  </r>
  <r>
    <s v="AH-64D"/>
    <x v="0"/>
    <x v="15"/>
    <s v="H"/>
    <x v="0"/>
    <m/>
    <d v="1914-07-19T21:35:52"/>
    <d v="2014-01-15T22:58:09"/>
    <s v="3764CA8B-A894-4B7F-8F9D-FA9780EA2588"/>
    <b v="0"/>
    <b v="0"/>
    <m/>
  </r>
  <r>
    <s v="AH-64D"/>
    <x v="0"/>
    <x v="15"/>
    <s v="H"/>
    <x v="1"/>
    <m/>
    <d v="1910-10-13T02:24:08"/>
    <d v="2013-11-06T18:39:08"/>
    <s v="9F5888AF-E731-4439-9710-526983951B71"/>
    <b v="0"/>
    <b v="0"/>
    <m/>
  </r>
  <r>
    <s v="AH-64D"/>
    <x v="0"/>
    <x v="15"/>
    <s v="H"/>
    <x v="2"/>
    <m/>
    <d v="1912-12-15T16:48:17"/>
    <d v="2014-01-09T17:35:32"/>
    <s v="73D8940B-BB7E-4C5C-A79B-784B4EB0FD52"/>
    <b v="0"/>
    <b v="0"/>
    <m/>
  </r>
  <r>
    <s v="AH-64D"/>
    <x v="0"/>
    <x v="16"/>
    <s v="H"/>
    <x v="0"/>
    <m/>
    <d v="1914-04-12T14:24:08"/>
    <d v="2013-08-07T23:14:29"/>
    <s v="C672156D-0F83-4E72-8532-E6791EDFF054"/>
    <b v="0"/>
    <b v="0"/>
    <m/>
  </r>
  <r>
    <s v="AH-64D"/>
    <x v="0"/>
    <x v="16"/>
    <s v="H"/>
    <x v="1"/>
    <m/>
    <d v="1910-08-25T12:00:00"/>
    <d v="2013-08-21T22:11:50"/>
    <s v="7433CBA5-1E15-44B7-A256-DED7852F8BF5"/>
    <b v="0"/>
    <b v="0"/>
    <m/>
  </r>
  <r>
    <s v="AH-64D"/>
    <x v="0"/>
    <x v="16"/>
    <s v="H"/>
    <x v="2"/>
    <m/>
    <d v="1912-11-15T16:48:17"/>
    <d v="2013-09-24T22:02:43"/>
    <s v="8EC63608-880D-46F0-9DFE-6D3899ACD9C2"/>
    <b v="0"/>
    <b v="0"/>
    <m/>
  </r>
  <r>
    <s v="AH-64D"/>
    <x v="0"/>
    <x v="17"/>
    <s v="H"/>
    <x v="0"/>
    <m/>
    <d v="1914-04-07T14:24:08"/>
    <d v="2013-08-12T17:29:21"/>
    <s v="AC7B1301-DD98-43FC-873B-9F7390C94DD2"/>
    <b v="0"/>
    <b v="0"/>
    <m/>
  </r>
  <r>
    <s v="AH-64D"/>
    <x v="0"/>
    <x v="17"/>
    <s v="H"/>
    <x v="1"/>
    <m/>
    <d v="1910-08-25T12:00:00"/>
    <d v="2013-08-21T22:34:09"/>
    <s v="7433CBA5-1E15-44B7-A256-DED7852F8BF5"/>
    <b v="0"/>
    <b v="0"/>
    <m/>
  </r>
  <r>
    <s v="AH-64D"/>
    <x v="0"/>
    <x v="17"/>
    <s v="H"/>
    <x v="2"/>
    <m/>
    <d v="1912-11-15T16:48:17"/>
    <d v="2013-09-23T22:12:40"/>
    <s v="A59F7A02-1F06-4584-8B5E-D5D9439831ED"/>
    <b v="0"/>
    <b v="0"/>
    <m/>
  </r>
  <r>
    <s v="AH-64D"/>
    <x v="0"/>
    <x v="18"/>
    <s v="D"/>
    <x v="0"/>
    <d v="2014-02-13T00:00:00"/>
    <m/>
    <d v="2014-02-13T01:02:55"/>
    <s v="221962A0-0CA7-47AF-B485-EBBC16E7EB31"/>
    <b v="0"/>
    <b v="0"/>
    <m/>
  </r>
  <r>
    <s v="AH-64D"/>
    <x v="0"/>
    <x v="18"/>
    <s v="D"/>
    <x v="1"/>
    <d v="2014-03-04T00:00:00"/>
    <m/>
    <d v="2014-03-04T17:12:49"/>
    <s v="592752DE-1E76-4397-A9ED-7825005DE27D"/>
    <b v="0"/>
    <b v="0"/>
    <m/>
  </r>
  <r>
    <s v="AH-64D"/>
    <x v="0"/>
    <x v="18"/>
    <s v="D"/>
    <x v="2"/>
    <d v="2014-01-18T00:00:00"/>
    <m/>
    <d v="2014-01-21T11:42:56"/>
    <s v="9FCF9708-9519-4B9D-9032-946590957690"/>
    <b v="0"/>
    <b v="0"/>
    <m/>
  </r>
  <r>
    <s v="AH-64D"/>
    <x v="0"/>
    <x v="19"/>
    <s v="D"/>
    <x v="0"/>
    <d v="2014-01-14T00:00:00"/>
    <m/>
    <d v="2014-01-14T22:07:15"/>
    <s v="89AF73D4-6CB0-406A-B3D7-931F5CB51134"/>
    <b v="0"/>
    <b v="0"/>
    <m/>
  </r>
  <r>
    <s v="AH-64D"/>
    <x v="0"/>
    <x v="19"/>
    <s v="D"/>
    <x v="1"/>
    <d v="2014-01-24T00:00:00"/>
    <m/>
    <d v="2014-02-12T15:36:45"/>
    <s v="2BB0A812-D66E-4AC3-9FB3-DA4C7B948E89"/>
    <b v="0"/>
    <b v="0"/>
    <m/>
  </r>
  <r>
    <s v="AH-64D"/>
    <x v="0"/>
    <x v="19"/>
    <s v="D"/>
    <x v="2"/>
    <d v="2014-01-24T00:00:00"/>
    <m/>
    <d v="2014-02-13T19:12:58"/>
    <s v="9166C04E-F1B0-4CC5-A21A-F4E01A159CE3"/>
    <b v="0"/>
    <b v="0"/>
    <m/>
  </r>
  <r>
    <s v="AH-64D"/>
    <x v="0"/>
    <x v="20"/>
    <s v="H"/>
    <x v="0"/>
    <m/>
    <d v="1914-04-12T14:24:08"/>
    <d v="2013-06-21T01:07:23"/>
    <s v="B68F703A-1A9C-4970-8E96-1141F65893DF"/>
    <b v="0"/>
    <b v="0"/>
    <m/>
  </r>
  <r>
    <s v="AH-64D"/>
    <x v="0"/>
    <x v="20"/>
    <s v="H"/>
    <x v="1"/>
    <m/>
    <d v="1910-08-25T12:00:00"/>
    <d v="2013-08-27T18:39:08"/>
    <s v="A85467B9-D093-4A84-B74B-AC2CAF66EA3C"/>
    <b v="0"/>
    <b v="0"/>
    <m/>
  </r>
  <r>
    <s v="AH-64D"/>
    <x v="0"/>
    <x v="20"/>
    <s v="H"/>
    <x v="2"/>
    <m/>
    <d v="1912-11-15T16:48:17"/>
    <d v="2013-09-20T16:22:03"/>
    <s v="867C15D5-0A59-456F-980C-458FB87D3430"/>
    <b v="0"/>
    <b v="0"/>
    <m/>
  </r>
  <r>
    <s v="AH-64D"/>
    <x v="0"/>
    <x v="21"/>
    <s v="H"/>
    <x v="0"/>
    <m/>
    <d v="1914-04-12T14:24:08"/>
    <d v="2013-08-07T23:14:49"/>
    <s v="C672156D-0F83-4E72-8532-E6791EDFF054"/>
    <b v="0"/>
    <b v="0"/>
    <m/>
  </r>
  <r>
    <s v="AH-64D"/>
    <x v="0"/>
    <x v="21"/>
    <s v="H"/>
    <x v="1"/>
    <m/>
    <d v="1910-08-25T12:00:00"/>
    <d v="2013-08-21T22:12:05"/>
    <s v="7433CBA5-1E15-44B7-A256-DED7852F8BF5"/>
    <b v="0"/>
    <b v="0"/>
    <m/>
  </r>
  <r>
    <s v="AH-64D"/>
    <x v="0"/>
    <x v="21"/>
    <s v="H"/>
    <x v="2"/>
    <m/>
    <d v="1912-11-15T16:48:17"/>
    <d v="2013-09-26T20:43:57"/>
    <s v="8EC63608-880D-46F0-9DFE-6D3899ACD9C2"/>
    <b v="0"/>
    <b v="0"/>
    <m/>
  </r>
  <r>
    <s v="AH-64D"/>
    <x v="0"/>
    <x v="22"/>
    <s v="H"/>
    <x v="0"/>
    <m/>
    <d v="1914-04-12T14:24:08"/>
    <d v="2013-08-08T00:06:14"/>
    <s v="C672156D-0F83-4E72-8532-E6791EDFF054"/>
    <b v="0"/>
    <b v="0"/>
    <m/>
  </r>
  <r>
    <s v="AH-64D"/>
    <x v="0"/>
    <x v="22"/>
    <s v="H"/>
    <x v="1"/>
    <m/>
    <d v="1910-08-25T12:00:00"/>
    <d v="2013-08-27T17:56:49"/>
    <s v="A85467B9-D093-4A84-B74B-AC2CAF66EA3C"/>
    <b v="0"/>
    <b v="0"/>
    <m/>
  </r>
  <r>
    <s v="AH-64D"/>
    <x v="0"/>
    <x v="22"/>
    <s v="H"/>
    <x v="2"/>
    <m/>
    <d v="1912-11-15T16:48:17"/>
    <d v="2013-10-09T14:08:19"/>
    <s v="AB8147D9-DFD2-415F-8350-8CC385655ECE"/>
    <b v="0"/>
    <b v="0"/>
    <m/>
  </r>
  <r>
    <s v="AH-64D"/>
    <x v="0"/>
    <x v="23"/>
    <s v="H"/>
    <x v="0"/>
    <m/>
    <d v="1914-04-12T14:24:08"/>
    <d v="2013-08-07T22:56:23"/>
    <s v="C672156D-0F83-4E72-8532-E6791EDFF054"/>
    <b v="0"/>
    <b v="0"/>
    <m/>
  </r>
  <r>
    <s v="AH-64D"/>
    <x v="0"/>
    <x v="23"/>
    <s v="H"/>
    <x v="1"/>
    <m/>
    <d v="1910-08-25T12:00:00"/>
    <d v="2013-08-26T22:11:41"/>
    <s v="8EE57F6A-B8AD-4246-9F02-DCF52FE68146"/>
    <b v="0"/>
    <b v="0"/>
    <m/>
  </r>
  <r>
    <s v="AH-64D"/>
    <x v="0"/>
    <x v="23"/>
    <s v="H"/>
    <x v="2"/>
    <m/>
    <d v="1912-11-15T16:48:17"/>
    <d v="2013-09-26T17:39:39"/>
    <s v="59EEEAB9-FE5B-4090-89EC-BF2033100304"/>
    <b v="0"/>
    <b v="0"/>
    <m/>
  </r>
  <r>
    <s v="AH-64D"/>
    <x v="0"/>
    <x v="24"/>
    <s v="D"/>
    <x v="0"/>
    <d v="2013-08-16T00:00:00"/>
    <m/>
    <d v="2013-08-19T19:58:17"/>
    <s v="06C61719-8E27-4B70-B25A-962C86229836"/>
    <b v="0"/>
    <b v="0"/>
    <m/>
  </r>
  <r>
    <s v="AH-64D"/>
    <x v="0"/>
    <x v="24"/>
    <s v="D"/>
    <x v="1"/>
    <d v="2014-01-09T00:00:00"/>
    <m/>
    <d v="2014-01-09T10:14:55"/>
    <s v="A85467B9-D093-4A84-B74B-AC2CAF66EA3C"/>
    <b v="0"/>
    <b v="0"/>
    <m/>
  </r>
  <r>
    <s v="AH-64D"/>
    <x v="0"/>
    <x v="24"/>
    <s v="D"/>
    <x v="2"/>
    <d v="2013-07-05T00:00:00"/>
    <m/>
    <d v="2013-11-05T18:19:14"/>
    <s v="3BEA2A90-D239-4CE3-84FE-52AFF2FC02EB"/>
    <b v="0"/>
    <b v="0"/>
    <m/>
  </r>
  <r>
    <s v="AH-64D"/>
    <x v="0"/>
    <x v="25"/>
    <s v="H"/>
    <x v="0"/>
    <m/>
    <d v="1914-04-12T14:24:08"/>
    <d v="2013-08-07T22:57:13"/>
    <s v="C672156D-0F83-4E72-8532-E6791EDFF054"/>
    <b v="0"/>
    <b v="0"/>
    <m/>
  </r>
  <r>
    <s v="AH-64D"/>
    <x v="0"/>
    <x v="25"/>
    <s v="H"/>
    <x v="1"/>
    <m/>
    <d v="1910-08-25T16:47:56"/>
    <d v="2013-08-21T23:19:19"/>
    <s v="55C78966-A63C-4DCA-9C92-B8A69F6F2AC8"/>
    <b v="0"/>
    <b v="0"/>
    <m/>
  </r>
  <r>
    <s v="AH-64D"/>
    <x v="0"/>
    <x v="25"/>
    <s v="H"/>
    <x v="2"/>
    <m/>
    <d v="1912-07-13T16:48:17"/>
    <d v="2013-03-28T10:33:03"/>
    <s v="7DDC4528-4C19-41AF-A705-ECC011346B02"/>
    <b v="0"/>
    <b v="0"/>
    <m/>
  </r>
  <r>
    <s v="AH-64D"/>
    <x v="0"/>
    <x v="26"/>
    <s v="H"/>
    <x v="0"/>
    <m/>
    <d v="1914-04-12T14:24:08"/>
    <d v="2014-03-01T09:02:41"/>
    <s v="7DDC4528-4C19-41AF-A705-ECC011346B02"/>
    <b v="0"/>
    <b v="0"/>
    <m/>
  </r>
  <r>
    <s v="AH-64D"/>
    <x v="0"/>
    <x v="26"/>
    <s v="H"/>
    <x v="1"/>
    <m/>
    <d v="1910-08-25T16:47:56"/>
    <d v="2013-08-27T18:57:10"/>
    <s v="A85467B9-D093-4A84-B74B-AC2CAF66EA3C"/>
    <b v="0"/>
    <b v="0"/>
    <m/>
  </r>
  <r>
    <s v="AH-64D"/>
    <x v="0"/>
    <x v="26"/>
    <s v="H"/>
    <x v="2"/>
    <m/>
    <d v="1912-11-15T16:48:17"/>
    <d v="2013-10-07T17:36:31"/>
    <s v="8EC63608-880D-46F0-9DFE-6D3899ACD9C2"/>
    <b v="0"/>
    <b v="0"/>
    <m/>
  </r>
  <r>
    <s v="AH-64D"/>
    <x v="0"/>
    <x v="27"/>
    <s v="H"/>
    <x v="0"/>
    <m/>
    <d v="1914-04-12T14:24:08"/>
    <d v="2013-08-07T22:57:32"/>
    <s v="C672156D-0F83-4E72-8532-E6791EDFF054"/>
    <b v="0"/>
    <b v="0"/>
    <m/>
  </r>
  <r>
    <s v="AH-64D"/>
    <x v="0"/>
    <x v="27"/>
    <s v="H"/>
    <x v="1"/>
    <m/>
    <d v="1909-12-24T02:24:08"/>
    <d v="2011-12-13T14:40:53"/>
    <s v="021BBDF1-976B-40D9-8483-93D6847EF55D"/>
    <b v="0"/>
    <b v="0"/>
    <m/>
  </r>
  <r>
    <s v="AH-64D"/>
    <x v="0"/>
    <x v="27"/>
    <s v="H"/>
    <x v="2"/>
    <m/>
    <d v="1912-07-13T16:48:17"/>
    <d v="2013-03-28T10:33:10"/>
    <s v="7DDC4528-4C19-41AF-A705-ECC011346B02"/>
    <b v="0"/>
    <b v="0"/>
    <m/>
  </r>
  <r>
    <s v="AH-64D"/>
    <x v="0"/>
    <x v="28"/>
    <s v="H"/>
    <x v="0"/>
    <m/>
    <d v="1914-04-12T14:24:08"/>
    <d v="2013-08-07T22:57:54"/>
    <s v="C672156D-0F83-4E72-8532-E6791EDFF054"/>
    <b v="0"/>
    <b v="0"/>
    <m/>
  </r>
  <r>
    <s v="AH-64D"/>
    <x v="0"/>
    <x v="28"/>
    <s v="H"/>
    <x v="1"/>
    <m/>
    <d v="1909-12-24T02:24:08"/>
    <d v="2011-12-14T06:17:28"/>
    <s v="794D251B-7A49-456B-A369-4B5505FA4812"/>
    <b v="0"/>
    <b v="0"/>
    <m/>
  </r>
  <r>
    <s v="AH-64D"/>
    <x v="0"/>
    <x v="28"/>
    <s v="H"/>
    <x v="2"/>
    <m/>
    <d v="1912-07-13T16:48:17"/>
    <d v="2013-03-28T10:33:17"/>
    <s v="7DDC4528-4C19-41AF-A705-ECC011346B02"/>
    <b v="0"/>
    <b v="0"/>
    <m/>
  </r>
  <r>
    <s v="AH-64D"/>
    <x v="0"/>
    <x v="29"/>
    <s v="H"/>
    <x v="0"/>
    <m/>
    <d v="1914-04-12T14:24:08"/>
    <d v="2013-08-08T00:10:54"/>
    <s v="C672156D-0F83-4E72-8532-E6791EDFF054"/>
    <b v="0"/>
    <b v="0"/>
    <m/>
  </r>
  <r>
    <s v="AH-64D"/>
    <x v="0"/>
    <x v="29"/>
    <s v="H"/>
    <x v="1"/>
    <m/>
    <d v="1910-08-25T16:47:56"/>
    <d v="2013-08-23T20:52:43"/>
    <s v="CAEC01B0-8E1F-45B1-B08D-73C352AABD30"/>
    <b v="0"/>
    <b v="0"/>
    <m/>
  </r>
  <r>
    <s v="AH-64D"/>
    <x v="0"/>
    <x v="29"/>
    <s v="H"/>
    <x v="2"/>
    <m/>
    <d v="1912-07-13T16:48:17"/>
    <d v="2013-03-28T10:33:29"/>
    <s v="7DDC4528-4C19-41AF-A705-ECC011346B02"/>
    <b v="0"/>
    <b v="0"/>
    <m/>
  </r>
  <r>
    <s v="AH-64D"/>
    <x v="0"/>
    <x v="30"/>
    <s v="H"/>
    <x v="0"/>
    <m/>
    <d v="1914-04-12T14:24:08"/>
    <d v="2013-08-08T00:11:11"/>
    <s v="C672156D-0F83-4E72-8532-E6791EDFF054"/>
    <b v="0"/>
    <b v="0"/>
    <m/>
  </r>
  <r>
    <s v="AH-64D"/>
    <x v="0"/>
    <x v="30"/>
    <s v="H"/>
    <x v="1"/>
    <m/>
    <d v="1910-08-25T16:47:56"/>
    <d v="2013-08-23T20:53:03"/>
    <s v="CAEC01B0-8E1F-45B1-B08D-73C352AABD30"/>
    <b v="0"/>
    <b v="0"/>
    <m/>
  </r>
  <r>
    <s v="AH-64D"/>
    <x v="0"/>
    <x v="30"/>
    <s v="H"/>
    <x v="2"/>
    <m/>
    <d v="1912-07-13T16:48:17"/>
    <d v="2013-03-28T10:33:35"/>
    <s v="7DDC4528-4C19-41AF-A705-ECC011346B02"/>
    <b v="0"/>
    <b v="0"/>
    <m/>
  </r>
  <r>
    <s v="AH-64D"/>
    <x v="0"/>
    <x v="31"/>
    <s v="D"/>
    <x v="0"/>
    <d v="2013-08-07T00:00:00"/>
    <m/>
    <d v="2013-08-07T23:00:34"/>
    <s v="C672156D-0F83-4E72-8532-E6791EDFF054"/>
    <b v="0"/>
    <b v="0"/>
    <m/>
  </r>
  <r>
    <s v="AH-64D"/>
    <x v="0"/>
    <x v="31"/>
    <s v="D"/>
    <x v="1"/>
    <d v="2013-08-27T00:00:00"/>
    <m/>
    <d v="2013-08-27T17:47:50"/>
    <s v="A85467B9-D093-4A84-B74B-AC2CAF66EA3C"/>
    <b v="0"/>
    <b v="0"/>
    <m/>
  </r>
  <r>
    <s v="AH-64D"/>
    <x v="0"/>
    <x v="31"/>
    <s v="D"/>
    <x v="2"/>
    <d v="2013-07-17T00:00:00"/>
    <m/>
    <d v="2013-07-17T00:20:13"/>
    <s v="A6F679E8-642B-49F2-B714-FD354E18BEE1"/>
    <b v="0"/>
    <b v="0"/>
    <m/>
  </r>
  <r>
    <s v="AH-64D"/>
    <x v="0"/>
    <x v="31"/>
    <s v="H"/>
    <x v="0"/>
    <m/>
    <d v="1914-04-07T14:24:08"/>
    <d v="2013-08-07T23:00:34"/>
    <s v="C672156D-0F83-4E72-8532-E6791EDFF054"/>
    <b v="0"/>
    <b v="0"/>
    <m/>
  </r>
  <r>
    <s v="AH-64D"/>
    <x v="0"/>
    <x v="31"/>
    <s v="H"/>
    <x v="1"/>
    <m/>
    <d v="1910-08-25T16:47:56"/>
    <d v="2013-08-27T17:47:51"/>
    <s v="A85467B9-D093-4A84-B74B-AC2CAF66EA3C"/>
    <b v="0"/>
    <b v="0"/>
    <m/>
  </r>
  <r>
    <s v="AH-64D"/>
    <x v="0"/>
    <x v="31"/>
    <s v="H"/>
    <x v="2"/>
    <m/>
    <d v="1912-09-10T14:24:08"/>
    <d v="2013-07-17T00:20:13"/>
    <s v="A6F679E8-642B-49F2-B714-FD354E18BEE1"/>
    <b v="0"/>
    <b v="0"/>
    <m/>
  </r>
  <r>
    <s v="AH-64D"/>
    <x v="0"/>
    <x v="32"/>
    <s v="H"/>
    <x v="0"/>
    <m/>
    <d v="1914-04-12T14:24:08"/>
    <d v="2013-08-07T22:58:30"/>
    <s v="C672156D-0F83-4E72-8532-E6791EDFF054"/>
    <b v="0"/>
    <b v="0"/>
    <m/>
  </r>
  <r>
    <s v="AH-64D"/>
    <x v="0"/>
    <x v="32"/>
    <s v="H"/>
    <x v="1"/>
    <m/>
    <d v="1910-08-25T16:47:56"/>
    <d v="2013-08-21T23:15:11"/>
    <s v="55C78966-A63C-4DCA-9C92-B8A69F6F2AC8"/>
    <b v="0"/>
    <b v="0"/>
    <m/>
  </r>
  <r>
    <s v="AH-64D"/>
    <x v="0"/>
    <x v="32"/>
    <s v="H"/>
    <x v="2"/>
    <m/>
    <d v="1912-07-13T16:48:17"/>
    <d v="2013-03-28T10:33:54"/>
    <s v="7DDC4528-4C19-41AF-A705-ECC011346B02"/>
    <b v="0"/>
    <b v="0"/>
    <m/>
  </r>
  <r>
    <s v="AH-64D"/>
    <x v="0"/>
    <x v="33"/>
    <s v="H"/>
    <x v="0"/>
    <m/>
    <d v="1914-04-12T14:24:08"/>
    <d v="2013-08-07T22:58:50"/>
    <s v="C672156D-0F83-4E72-8532-E6791EDFF054"/>
    <b v="0"/>
    <b v="0"/>
    <m/>
  </r>
  <r>
    <s v="AH-64D"/>
    <x v="0"/>
    <x v="33"/>
    <s v="H"/>
    <x v="1"/>
    <m/>
    <d v="1910-08-25T16:47:56"/>
    <d v="2013-08-21T22:51:41"/>
    <s v="7433CBA5-1E15-44B7-A256-DED7852F8BF5"/>
    <b v="0"/>
    <b v="0"/>
    <m/>
  </r>
  <r>
    <s v="AH-64D"/>
    <x v="0"/>
    <x v="33"/>
    <s v="H"/>
    <x v="2"/>
    <m/>
    <d v="1912-07-13T16:48:17"/>
    <d v="2013-03-28T10:34:00"/>
    <s v="7DDC4528-4C19-41AF-A705-ECC011346B02"/>
    <b v="0"/>
    <b v="0"/>
    <m/>
  </r>
  <r>
    <s v="AH-64D"/>
    <x v="0"/>
    <x v="34"/>
    <s v="H"/>
    <x v="0"/>
    <m/>
    <d v="1914-04-12T14:24:08"/>
    <d v="2013-08-07T22:59:11"/>
    <s v="C672156D-0F83-4E72-8532-E6791EDFF054"/>
    <b v="0"/>
    <b v="0"/>
    <m/>
  </r>
  <r>
    <s v="AH-64D"/>
    <x v="0"/>
    <x v="34"/>
    <s v="H"/>
    <x v="1"/>
    <m/>
    <d v="1910-08-25T16:47:56"/>
    <d v="2013-08-21T23:06:45"/>
    <s v="7433CBA5-1E15-44B7-A256-DED7852F8BF5"/>
    <b v="0"/>
    <b v="0"/>
    <m/>
  </r>
  <r>
    <s v="AH-64D"/>
    <x v="0"/>
    <x v="34"/>
    <s v="H"/>
    <x v="2"/>
    <m/>
    <d v="1912-07-13T16:48:17"/>
    <d v="2013-03-28T10:34:06"/>
    <s v="7DDC4528-4C19-41AF-A705-ECC011346B02"/>
    <b v="0"/>
    <b v="0"/>
    <m/>
  </r>
  <r>
    <s v="AH-64D"/>
    <x v="0"/>
    <x v="35"/>
    <s v="H"/>
    <x v="0"/>
    <m/>
    <d v="1914-04-12T14:24:08"/>
    <d v="2013-08-07T23:01:10"/>
    <s v="C672156D-0F83-4E72-8532-E6791EDFF054"/>
    <b v="0"/>
    <b v="0"/>
    <m/>
  </r>
  <r>
    <s v="AH-64D"/>
    <x v="0"/>
    <x v="35"/>
    <s v="H"/>
    <x v="1"/>
    <m/>
    <d v="1910-08-25T16:47:56"/>
    <d v="2013-08-21T22:55:16"/>
    <s v="7433CBA5-1E15-44B7-A256-DED7852F8BF5"/>
    <b v="0"/>
    <b v="0"/>
    <m/>
  </r>
  <r>
    <s v="AH-64D"/>
    <x v="0"/>
    <x v="35"/>
    <s v="H"/>
    <x v="2"/>
    <m/>
    <d v="1912-07-13T16:48:17"/>
    <d v="2013-03-28T10:34:12"/>
    <s v="7DDC4528-4C19-41AF-A705-ECC011346B02"/>
    <b v="0"/>
    <b v="0"/>
    <m/>
  </r>
  <r>
    <s v="AH-64D"/>
    <x v="0"/>
    <x v="36"/>
    <s v="H"/>
    <x v="0"/>
    <m/>
    <d v="1914-04-12T14:24:08"/>
    <d v="2013-08-07T23:01:30"/>
    <s v="C672156D-0F83-4E72-8532-E6791EDFF054"/>
    <b v="0"/>
    <b v="0"/>
    <m/>
  </r>
  <r>
    <s v="AH-64D"/>
    <x v="0"/>
    <x v="36"/>
    <s v="H"/>
    <x v="1"/>
    <m/>
    <d v="1910-08-25T16:47:56"/>
    <d v="2013-08-21T23:17:06"/>
    <s v="55C78966-A63C-4DCA-9C92-B8A69F6F2AC8"/>
    <b v="0"/>
    <b v="0"/>
    <m/>
  </r>
  <r>
    <s v="AH-64D"/>
    <x v="0"/>
    <x v="36"/>
    <s v="H"/>
    <x v="2"/>
    <m/>
    <d v="1912-07-13T16:48:17"/>
    <d v="2013-03-28T10:34:24"/>
    <s v="7DDC4528-4C19-41AF-A705-ECC011346B02"/>
    <b v="0"/>
    <b v="0"/>
    <m/>
  </r>
  <r>
    <s v="AH-64D"/>
    <x v="0"/>
    <x v="37"/>
    <s v="H"/>
    <x v="0"/>
    <m/>
    <d v="1914-04-12T14:24:08"/>
    <d v="2013-08-07T23:01:58"/>
    <s v="C672156D-0F83-4E72-8532-E6791EDFF054"/>
    <b v="0"/>
    <b v="0"/>
    <m/>
  </r>
  <r>
    <s v="AH-64D"/>
    <x v="0"/>
    <x v="37"/>
    <s v="H"/>
    <x v="1"/>
    <m/>
    <d v="1910-08-25T16:47:56"/>
    <d v="2013-08-21T23:17:52"/>
    <s v="55C78966-A63C-4DCA-9C92-B8A69F6F2AC8"/>
    <b v="0"/>
    <b v="0"/>
    <m/>
  </r>
  <r>
    <s v="AH-64D"/>
    <x v="0"/>
    <x v="37"/>
    <s v="H"/>
    <x v="2"/>
    <m/>
    <d v="1912-07-13T16:48:17"/>
    <d v="2013-03-28T10:34:29"/>
    <s v="7DDC4528-4C19-41AF-A705-ECC011346B02"/>
    <b v="0"/>
    <b v="0"/>
    <m/>
  </r>
  <r>
    <s v="AH-64D"/>
    <x v="0"/>
    <x v="38"/>
    <s v="H"/>
    <x v="0"/>
    <m/>
    <d v="1914-04-07T14:24:08"/>
    <d v="2013-08-07T23:08:55"/>
    <s v="C672156D-0F83-4E72-8532-E6791EDFF054"/>
    <b v="0"/>
    <b v="0"/>
    <m/>
  </r>
  <r>
    <s v="AH-64D"/>
    <x v="0"/>
    <x v="38"/>
    <s v="H"/>
    <x v="1"/>
    <m/>
    <d v="1909-12-24T02:24:08"/>
    <d v="2011-12-14T06:11:34"/>
    <s v="794D251B-7A49-456B-A369-4B5505FA4812"/>
    <b v="0"/>
    <b v="0"/>
    <m/>
  </r>
  <r>
    <s v="AH-64D"/>
    <x v="0"/>
    <x v="38"/>
    <s v="H"/>
    <x v="2"/>
    <m/>
    <d v="1912-07-13T16:48:17"/>
    <d v="2013-03-28T10:34:35"/>
    <s v="7DDC4528-4C19-41AF-A705-ECC011346B02"/>
    <b v="0"/>
    <b v="0"/>
    <m/>
  </r>
  <r>
    <s v="AH-64D"/>
    <x v="0"/>
    <x v="39"/>
    <s v="H"/>
    <x v="0"/>
    <m/>
    <d v="1914-04-12T14:24:08"/>
    <d v="2013-08-07T23:02:22"/>
    <s v="C672156D-0F83-4E72-8532-E6791EDFF054"/>
    <b v="0"/>
    <b v="0"/>
    <m/>
  </r>
  <r>
    <s v="AH-64D"/>
    <x v="0"/>
    <x v="39"/>
    <s v="H"/>
    <x v="1"/>
    <m/>
    <d v="1910-08-25T16:47:56"/>
    <d v="2013-08-26T22:12:55"/>
    <s v="8EE57F6A-B8AD-4246-9F02-DCF52FE68146"/>
    <b v="0"/>
    <b v="0"/>
    <m/>
  </r>
  <r>
    <s v="AH-64D"/>
    <x v="0"/>
    <x v="39"/>
    <s v="H"/>
    <x v="2"/>
    <m/>
    <d v="1912-07-13T16:48:17"/>
    <d v="2013-03-28T10:34:43"/>
    <s v="7DDC4528-4C19-41AF-A705-ECC011346B02"/>
    <b v="0"/>
    <b v="0"/>
    <m/>
  </r>
  <r>
    <s v="AH-64D"/>
    <x v="0"/>
    <x v="40"/>
    <s v="D"/>
    <x v="0"/>
    <d v="2013-09-16T00:00:00"/>
    <m/>
    <d v="2013-09-18T10:08:55"/>
    <s v="E6E39601-F224-48DB-9745-7175D6A57297"/>
    <b v="0"/>
    <b v="0"/>
    <m/>
  </r>
  <r>
    <s v="AH-64D"/>
    <x v="0"/>
    <x v="40"/>
    <s v="D"/>
    <x v="1"/>
    <d v="2014-02-10T00:00:00"/>
    <m/>
    <d v="2014-02-11T18:47:04"/>
    <s v="406CB2A5-68CD-471C-8284-829EC8FAF0E2"/>
    <b v="0"/>
    <b v="0"/>
    <m/>
  </r>
  <r>
    <s v="AH-64D"/>
    <x v="0"/>
    <x v="40"/>
    <s v="D"/>
    <x v="2"/>
    <d v="2013-09-29T00:00:00"/>
    <m/>
    <d v="2013-09-27T17:54:08"/>
    <s v="8EC63608-880D-46F0-9DFE-6D3899ACD9C2"/>
    <b v="0"/>
    <b v="0"/>
    <m/>
  </r>
  <r>
    <s v="AH-64D"/>
    <x v="0"/>
    <x v="41"/>
    <s v="M"/>
    <x v="0"/>
    <d v="2013-09-25T00:00:00"/>
    <m/>
    <d v="2013-09-25T22:16:33"/>
    <s v="8EC63608-880D-46F0-9DFE-6D3899ACD9C2"/>
    <b v="0"/>
    <b v="0"/>
    <m/>
  </r>
  <r>
    <s v="AH-64D"/>
    <x v="0"/>
    <x v="41"/>
    <s v="M"/>
    <x v="1"/>
    <d v="2013-12-26T00:00:00"/>
    <m/>
    <d v="2013-12-17T09:13:51"/>
    <s v="9CDCCF9C-27FF-45E2-9822-5740E577EA00"/>
    <b v="0"/>
    <b v="0"/>
    <m/>
  </r>
  <r>
    <s v="AH-64D"/>
    <x v="0"/>
    <x v="41"/>
    <s v="M"/>
    <x v="2"/>
    <d v="2014-01-16T00:00:00"/>
    <m/>
    <d v="2014-01-16T16:08:31"/>
    <s v="9CDCCF9C-27FF-45E2-9822-5740E577EA00"/>
    <b v="0"/>
    <b v="0"/>
    <m/>
  </r>
  <r>
    <s v="AH-64D"/>
    <x v="0"/>
    <x v="42"/>
    <s v="M"/>
    <x v="0"/>
    <d v="2013-07-12T00:00:00"/>
    <m/>
    <d v="2013-08-07T23:35:06"/>
    <s v="C672156D-0F83-4E72-8532-E6791EDFF054"/>
    <b v="0"/>
    <b v="0"/>
    <m/>
  </r>
  <r>
    <s v="AH-64D"/>
    <x v="0"/>
    <x v="42"/>
    <s v="M"/>
    <x v="1"/>
    <d v="2013-09-06T00:00:00"/>
    <m/>
    <d v="2013-10-02T16:57:59"/>
    <s v="9F5888AF-E731-4439-9710-526983951B71"/>
    <b v="0"/>
    <b v="0"/>
    <m/>
  </r>
  <r>
    <s v="AH-64D"/>
    <x v="0"/>
    <x v="42"/>
    <s v="M"/>
    <x v="2"/>
    <d v="2013-03-28T00:00:00"/>
    <m/>
    <d v="2013-03-28T08:49:13"/>
    <s v="A5C8976B-C9DF-4F19-BFBC-4D59454EE931"/>
    <b v="0"/>
    <b v="0"/>
    <m/>
  </r>
  <r>
    <s v="AH-64D"/>
    <x v="0"/>
    <x v="43"/>
    <s v="M"/>
    <x v="0"/>
    <d v="2014-03-04T00:00:00"/>
    <m/>
    <d v="2014-03-04T17:57:21"/>
    <s v="592752DE-1E76-4397-A9ED-7825005DE27D"/>
    <b v="0"/>
    <b v="0"/>
    <m/>
  </r>
  <r>
    <s v="AH-64D"/>
    <x v="0"/>
    <x v="43"/>
    <s v="M"/>
    <x v="1"/>
    <d v="2014-01-04T00:00:00"/>
    <m/>
    <d v="2014-01-08T22:41:09"/>
    <s v="BFE682ED-0A41-4737-B297-8117434252E6"/>
    <b v="0"/>
    <b v="0"/>
    <m/>
  </r>
  <r>
    <s v="AH-64D"/>
    <x v="0"/>
    <x v="43"/>
    <s v="M"/>
    <x v="2"/>
    <d v="2013-05-10T00:00:00"/>
    <m/>
    <d v="2013-05-15T13:46:52"/>
    <s v="72F20429-1DC4-4086-A186-6241C3ADDB4B"/>
    <b v="0"/>
    <b v="0"/>
    <m/>
  </r>
  <r>
    <s v="AH-64D"/>
    <x v="0"/>
    <x v="44"/>
    <s v="M"/>
    <x v="0"/>
    <d v="2013-02-20T00:00:00"/>
    <m/>
    <d v="2013-02-20T11:07:27"/>
    <s v="0CBA0EDF-DAEA-4FAF-A16D-88FA5720F5D0"/>
    <b v="0"/>
    <b v="0"/>
    <m/>
  </r>
  <r>
    <s v="AH-64D"/>
    <x v="0"/>
    <x v="44"/>
    <s v="M"/>
    <x v="1"/>
    <d v="2013-07-02T00:00:00"/>
    <m/>
    <d v="2013-12-11T15:35:13"/>
    <s v="9CDCCF9C-27FF-45E2-9822-5740E577EA00"/>
    <b v="0"/>
    <b v="0"/>
    <m/>
  </r>
  <r>
    <s v="AH-64D"/>
    <x v="0"/>
    <x v="44"/>
    <s v="M"/>
    <x v="2"/>
    <d v="2013-10-18T00:00:00"/>
    <m/>
    <d v="2013-10-30T07:20:35"/>
    <s v="7DDC4528-4C19-41AF-A705-ECC011346B02"/>
    <b v="0"/>
    <b v="0"/>
    <m/>
  </r>
  <r>
    <s v="AH-64D"/>
    <x v="0"/>
    <x v="45"/>
    <s v="M"/>
    <x v="0"/>
    <d v="2014-03-04T00:00:00"/>
    <m/>
    <d v="2014-03-04T17:57:39"/>
    <s v="592752DE-1E76-4397-A9ED-7825005DE27D"/>
    <b v="0"/>
    <b v="0"/>
    <m/>
  </r>
  <r>
    <s v="AH-64D"/>
    <x v="0"/>
    <x v="45"/>
    <s v="M"/>
    <x v="1"/>
    <d v="2014-01-04T00:00:00"/>
    <m/>
    <d v="2014-01-08T22:41:20"/>
    <s v="BFE682ED-0A41-4737-B297-8117434252E6"/>
    <b v="0"/>
    <b v="0"/>
    <m/>
  </r>
  <r>
    <s v="AH-64D"/>
    <x v="0"/>
    <x v="45"/>
    <s v="M"/>
    <x v="2"/>
    <d v="2013-05-10T00:00:00"/>
    <m/>
    <d v="2013-05-15T13:47:06"/>
    <s v="72F20429-1DC4-4086-A186-6241C3ADDB4B"/>
    <b v="0"/>
    <b v="0"/>
    <m/>
  </r>
  <r>
    <s v="AH-64D"/>
    <x v="0"/>
    <x v="46"/>
    <s v="M"/>
    <x v="0"/>
    <d v="2014-03-04T00:00:00"/>
    <m/>
    <d v="2014-03-04T17:57:51"/>
    <s v="592752DE-1E76-4397-A9ED-7825005DE27D"/>
    <b v="0"/>
    <b v="0"/>
    <m/>
  </r>
  <r>
    <s v="AH-64D"/>
    <x v="0"/>
    <x v="46"/>
    <s v="M"/>
    <x v="1"/>
    <d v="2014-01-25T00:00:00"/>
    <m/>
    <d v="2014-01-08T22:41:52"/>
    <s v="BFE682ED-0A41-4737-B297-8117434252E6"/>
    <b v="0"/>
    <b v="0"/>
    <m/>
  </r>
  <r>
    <s v="AH-64D"/>
    <x v="0"/>
    <x v="46"/>
    <s v="M"/>
    <x v="2"/>
    <d v="2013-05-10T00:00:00"/>
    <m/>
    <d v="2013-05-15T13:47:20"/>
    <s v="72F20429-1DC4-4086-A186-6241C3ADDB4B"/>
    <b v="0"/>
    <b v="0"/>
    <m/>
  </r>
  <r>
    <s v="AH-64D"/>
    <x v="0"/>
    <x v="47"/>
    <s v="M"/>
    <x v="0"/>
    <d v="2013-07-16T00:00:00"/>
    <m/>
    <d v="2013-08-08T00:00:28"/>
    <s v="C672156D-0F83-4E72-8532-E6791EDFF054"/>
    <b v="0"/>
    <b v="0"/>
    <m/>
  </r>
  <r>
    <s v="AH-64D"/>
    <x v="0"/>
    <x v="47"/>
    <s v="M"/>
    <x v="1"/>
    <d v="2013-08-13T00:00:00"/>
    <m/>
    <d v="2013-09-10T17:25:44"/>
    <s v="A85467B9-D093-4A84-B74B-AC2CAF66EA3C"/>
    <b v="0"/>
    <b v="0"/>
    <m/>
  </r>
  <r>
    <s v="AH-64D"/>
    <x v="0"/>
    <x v="47"/>
    <s v="M"/>
    <x v="2"/>
    <d v="2013-11-13T00:00:00"/>
    <m/>
    <d v="2013-11-14T08:53:45"/>
    <s v="E6E39601-F224-48DB-9745-7175D6A57297"/>
    <b v="0"/>
    <b v="0"/>
    <m/>
  </r>
  <r>
    <s v="AH-64D"/>
    <x v="0"/>
    <x v="48"/>
    <s v="M"/>
    <x v="0"/>
    <d v="2014-03-04T00:00:00"/>
    <m/>
    <d v="2014-03-04T17:58:01"/>
    <s v="592752DE-1E76-4397-A9ED-7825005DE27D"/>
    <b v="0"/>
    <b v="0"/>
    <m/>
  </r>
  <r>
    <s v="AH-64D"/>
    <x v="0"/>
    <x v="48"/>
    <s v="M"/>
    <x v="1"/>
    <d v="2014-01-04T00:00:00"/>
    <m/>
    <d v="2014-01-08T22:41:30"/>
    <s v="BFE682ED-0A41-4737-B297-8117434252E6"/>
    <b v="0"/>
    <b v="0"/>
    <m/>
  </r>
  <r>
    <s v="AH-64D"/>
    <x v="0"/>
    <x v="48"/>
    <s v="M"/>
    <x v="2"/>
    <d v="2013-05-10T00:00:00"/>
    <m/>
    <d v="2013-05-15T13:47:30"/>
    <s v="72F20429-1DC4-4086-A186-6241C3ADDB4B"/>
    <b v="0"/>
    <b v="0"/>
    <m/>
  </r>
  <r>
    <s v="AH-64D"/>
    <x v="0"/>
    <x v="49"/>
    <s v="M"/>
    <x v="0"/>
    <d v="2013-06-03T00:00:00"/>
    <m/>
    <d v="2013-06-03T17:52:30"/>
    <s v="B25602E4-70A9-43C7-9F27-86D83A4FBF18"/>
    <b v="0"/>
    <b v="0"/>
    <m/>
  </r>
  <r>
    <s v="AH-64D"/>
    <x v="0"/>
    <x v="49"/>
    <s v="M"/>
    <x v="1"/>
    <d v="2013-08-16T00:00:00"/>
    <m/>
    <d v="2013-08-22T16:38:55"/>
    <s v="7BD30D0A-1E01-4A1D-ADF7-D253AC9063C3"/>
    <b v="0"/>
    <b v="0"/>
    <m/>
  </r>
  <r>
    <s v="AH-64D"/>
    <x v="0"/>
    <x v="49"/>
    <s v="M"/>
    <x v="2"/>
    <d v="2013-06-21T00:00:00"/>
    <m/>
    <d v="2013-06-21T11:32:33"/>
    <s v="BEE145D4-C0A1-4ABC-B89D-DD6F4FB8C14E"/>
    <b v="0"/>
    <b v="0"/>
    <m/>
  </r>
  <r>
    <s v="AH-64D"/>
    <x v="0"/>
    <x v="50"/>
    <s v="M"/>
    <x v="0"/>
    <d v="2013-04-23T00:00:00"/>
    <m/>
    <d v="2013-04-23T20:11:41"/>
    <s v="7DDC4528-4C19-41AF-A705-ECC011346B02"/>
    <b v="0"/>
    <b v="0"/>
    <m/>
  </r>
  <r>
    <s v="AH-64D"/>
    <x v="0"/>
    <x v="50"/>
    <s v="M"/>
    <x v="1"/>
    <d v="2013-09-19T00:00:00"/>
    <m/>
    <d v="2013-09-19T10:08:05"/>
    <s v="9B47E953-C13A-41E5-85CF-ED8EEB7E5DC2"/>
    <b v="0"/>
    <b v="0"/>
    <m/>
  </r>
  <r>
    <s v="AH-64D"/>
    <x v="0"/>
    <x v="50"/>
    <s v="M"/>
    <x v="2"/>
    <d v="2013-08-09T00:00:00"/>
    <m/>
    <d v="2013-08-09T09:03:45"/>
    <s v="E6E39601-F224-48DB-9745-7175D6A57297"/>
    <b v="0"/>
    <b v="0"/>
    <m/>
  </r>
  <r>
    <s v="AH-64D"/>
    <x v="0"/>
    <x v="51"/>
    <s v="M"/>
    <x v="0"/>
    <d v="2013-03-25T00:00:00"/>
    <m/>
    <d v="2013-04-02T13:32:04"/>
    <s v="2BB0A812-D66E-4AC3-9FB3-DA4C7B948E89"/>
    <b v="0"/>
    <b v="0"/>
    <m/>
  </r>
  <r>
    <s v="AH-64D"/>
    <x v="0"/>
    <x v="51"/>
    <s v="M"/>
    <x v="1"/>
    <d v="2013-04-10T00:00:00"/>
    <m/>
    <d v="2013-04-10T10:00:07"/>
    <s v="9F5888AF-E731-4439-9710-526983951B71"/>
    <b v="0"/>
    <b v="0"/>
    <m/>
  </r>
  <r>
    <s v="AH-64D"/>
    <x v="0"/>
    <x v="51"/>
    <s v="M"/>
    <x v="2"/>
    <d v="2013-10-16T00:00:00"/>
    <m/>
    <d v="2013-10-15T11:36:34"/>
    <s v="8EC63608-880D-46F0-9DFE-6D3899ACD9C2"/>
    <b v="0"/>
    <b v="0"/>
    <m/>
  </r>
  <r>
    <s v="AH-64D"/>
    <x v="0"/>
    <x v="52"/>
    <s v="M"/>
    <x v="0"/>
    <d v="2013-03-25T00:00:00"/>
    <m/>
    <d v="2013-04-02T13:37:43"/>
    <s v="2BB0A812-D66E-4AC3-9FB3-DA4C7B948E89"/>
    <b v="0"/>
    <b v="0"/>
    <m/>
  </r>
  <r>
    <s v="AH-64D"/>
    <x v="0"/>
    <x v="52"/>
    <s v="M"/>
    <x v="1"/>
    <d v="2013-04-10T00:00:00"/>
    <m/>
    <d v="2013-04-10T10:00:50"/>
    <s v="9F5888AF-E731-4439-9710-526983951B71"/>
    <b v="0"/>
    <b v="0"/>
    <m/>
  </r>
  <r>
    <s v="AH-64D"/>
    <x v="0"/>
    <x v="52"/>
    <s v="M"/>
    <x v="2"/>
    <d v="2013-10-16T00:00:00"/>
    <m/>
    <d v="2013-10-15T11:37:04"/>
    <s v="8EC63608-880D-46F0-9DFE-6D3899ACD9C2"/>
    <b v="0"/>
    <b v="0"/>
    <m/>
  </r>
  <r>
    <s v="AH-64D"/>
    <x v="0"/>
    <x v="53"/>
    <s v="M"/>
    <x v="0"/>
    <d v="2013-11-01T00:00:00"/>
    <m/>
    <d v="2014-03-01T09:04:05"/>
    <s v="7DDC4528-4C19-41AF-A705-ECC011346B02"/>
    <b v="0"/>
    <b v="0"/>
    <m/>
  </r>
  <r>
    <s v="AH-64D"/>
    <x v="0"/>
    <x v="53"/>
    <s v="M"/>
    <x v="1"/>
    <d v="2013-09-01T00:00:00"/>
    <m/>
    <d v="2014-03-01T07:11:46"/>
    <s v="7DDC4528-4C19-41AF-A705-ECC011346B02"/>
    <b v="0"/>
    <b v="0"/>
    <m/>
  </r>
  <r>
    <s v="AH-64D"/>
    <x v="0"/>
    <x v="53"/>
    <s v="M"/>
    <x v="2"/>
    <d v="2013-10-01T00:00:00"/>
    <m/>
    <d v="2014-03-01T07:19:29"/>
    <s v="7DDC4528-4C19-41AF-A705-ECC011346B02"/>
    <b v="0"/>
    <b v="0"/>
    <m/>
  </r>
  <r>
    <s v="AH-64D"/>
    <x v="0"/>
    <x v="54"/>
    <s v="M"/>
    <x v="0"/>
    <d v="2012-04-23T00:00:00"/>
    <m/>
    <d v="2012-04-23T05:16:01"/>
    <s v="70DFDEF2-2666-43AC-999C-9888593B821F"/>
    <b v="0"/>
    <b v="0"/>
    <m/>
  </r>
  <r>
    <s v="AH-64D"/>
    <x v="0"/>
    <x v="54"/>
    <s v="M"/>
    <x v="1"/>
    <d v="2012-09-20T00:00:00"/>
    <m/>
    <d v="2012-09-20T19:34:57"/>
    <s v="F0A89E94-6D54-4E35-905C-E00BC0A79AE2"/>
    <b v="0"/>
    <b v="0"/>
    <m/>
  </r>
  <r>
    <s v="AH-64D"/>
    <x v="0"/>
    <x v="54"/>
    <s v="M"/>
    <x v="2"/>
    <d v="2013-08-09T00:00:00"/>
    <m/>
    <d v="2013-08-09T09:03:56"/>
    <s v="E6E39601-F224-48DB-9745-7175D6A57297"/>
    <b v="0"/>
    <b v="0"/>
    <m/>
  </r>
  <r>
    <s v="AH-64D"/>
    <x v="0"/>
    <x v="55"/>
    <s v="M"/>
    <x v="0"/>
    <d v="2009-06-01T00:00:00"/>
    <m/>
    <d v="2011-04-12T11:13:13"/>
    <s v="52805EF0-A7F2-4EA3-966F-8301F4E7CE80"/>
    <b v="0"/>
    <b v="0"/>
    <m/>
  </r>
  <r>
    <s v="AH-64D"/>
    <x v="0"/>
    <x v="55"/>
    <s v="M"/>
    <x v="1"/>
    <d v="2010-02-01T00:00:00"/>
    <m/>
    <d v="2011-04-06T21:30:47"/>
    <s v="52805EF0-A7F2-4EA3-966F-8301F4E7CE80"/>
    <b v="0"/>
    <b v="0"/>
    <m/>
  </r>
  <r>
    <s v="AH-64D"/>
    <x v="0"/>
    <x v="55"/>
    <s v="M"/>
    <x v="2"/>
    <d v="2012-07-01T00:00:00"/>
    <m/>
    <d v="2012-07-26T20:46:58"/>
    <s v="F7382863-6933-40E9-92D3-0A3B5457CFBB"/>
    <b v="0"/>
    <b v="0"/>
    <m/>
  </r>
  <r>
    <s v="AH-64D"/>
    <x v="0"/>
    <x v="56"/>
    <s v="M"/>
    <x v="0"/>
    <d v="2012-08-01T00:00:00"/>
    <m/>
    <d v="2012-08-07T11:03:40"/>
    <s v="5A48226D-41F7-490E-9D6C-082A045B98D0"/>
    <b v="0"/>
    <b v="0"/>
    <m/>
  </r>
  <r>
    <s v="AH-64D"/>
    <x v="0"/>
    <x v="56"/>
    <s v="M"/>
    <x v="1"/>
    <d v="2010-02-01T00:00:00"/>
    <m/>
    <d v="2011-04-06T21:31:07"/>
    <s v="52805EF0-A7F2-4EA3-966F-8301F4E7CE80"/>
    <b v="0"/>
    <b v="0"/>
    <m/>
  </r>
  <r>
    <s v="AH-64D"/>
    <x v="0"/>
    <x v="56"/>
    <s v="M"/>
    <x v="2"/>
    <d v="2012-07-01T00:00:00"/>
    <m/>
    <d v="2012-10-16T13:18:27"/>
    <s v="5C7407C8-910F-47E5-B7D3-4E66BCE6BE30"/>
    <b v="0"/>
    <b v="0"/>
    <m/>
  </r>
  <r>
    <s v="AH-64D"/>
    <x v="0"/>
    <x v="57"/>
    <s v="M"/>
    <x v="0"/>
    <d v="2012-08-01T00:00:00"/>
    <m/>
    <d v="2012-08-07T12:32:24"/>
    <s v="5A48226D-41F7-490E-9D6C-082A045B98D0"/>
    <b v="0"/>
    <b v="0"/>
    <m/>
  </r>
  <r>
    <s v="AH-64D"/>
    <x v="0"/>
    <x v="57"/>
    <s v="M"/>
    <x v="1"/>
    <d v="2010-02-01T00:00:00"/>
    <m/>
    <d v="2011-04-06T21:30:19"/>
    <s v="52805EF0-A7F2-4EA3-966F-8301F4E7CE80"/>
    <b v="0"/>
    <b v="0"/>
    <m/>
  </r>
  <r>
    <s v="AH-64D"/>
    <x v="0"/>
    <x v="57"/>
    <s v="M"/>
    <x v="2"/>
    <d v="2012-07-01T00:00:00"/>
    <m/>
    <d v="2012-07-31T13:27:54"/>
    <s v="D06FAA98-E1CB-4410-946A-FED4F0B35D42"/>
    <b v="0"/>
    <b v="0"/>
    <m/>
  </r>
  <r>
    <s v="AH-64D"/>
    <x v="0"/>
    <x v="58"/>
    <s v="M"/>
    <x v="0"/>
    <d v="2012-08-01T00:00:00"/>
    <m/>
    <d v="2012-08-07T11:50:13"/>
    <s v="5A48226D-41F7-490E-9D6C-082A045B98D0"/>
    <b v="0"/>
    <b v="0"/>
    <m/>
  </r>
  <r>
    <s v="AH-64D"/>
    <x v="0"/>
    <x v="58"/>
    <s v="M"/>
    <x v="1"/>
    <d v="2010-02-01T00:00:00"/>
    <m/>
    <d v="2011-04-06T21:31:40"/>
    <s v="52805EF0-A7F2-4EA3-966F-8301F4E7CE80"/>
    <b v="0"/>
    <b v="0"/>
    <m/>
  </r>
  <r>
    <s v="AH-64D"/>
    <x v="0"/>
    <x v="58"/>
    <s v="M"/>
    <x v="2"/>
    <d v="2012-07-01T00:00:00"/>
    <m/>
    <d v="2012-07-31T13:32:51"/>
    <s v="4ADC3EC6-8699-42DE-89D7-BA31F505614C"/>
    <b v="0"/>
    <b v="0"/>
    <m/>
  </r>
  <r>
    <s v="AH-64D"/>
    <x v="0"/>
    <x v="59"/>
    <s v="M"/>
    <x v="0"/>
    <d v="2012-08-01T00:00:00"/>
    <m/>
    <d v="2013-04-09T09:27:48"/>
    <s v="6A7807ED-E59D-4F63-8462-1A4A455AB91E"/>
    <b v="0"/>
    <b v="0"/>
    <m/>
  </r>
  <r>
    <s v="AH-64D"/>
    <x v="0"/>
    <x v="59"/>
    <s v="M"/>
    <x v="1"/>
    <d v="2010-02-01T00:00:00"/>
    <m/>
    <d v="2011-04-06T21:32:11"/>
    <s v="52805EF0-A7F2-4EA3-966F-8301F4E7CE80"/>
    <b v="0"/>
    <b v="0"/>
    <m/>
  </r>
  <r>
    <s v="AH-64D"/>
    <x v="0"/>
    <x v="59"/>
    <s v="M"/>
    <x v="2"/>
    <d v="2012-07-01T00:00:00"/>
    <m/>
    <d v="2012-07-26T21:35:06"/>
    <s v="E3A29D56-2B95-4C08-85D8-8366C2BFE666"/>
    <b v="0"/>
    <b v="0"/>
    <m/>
  </r>
  <r>
    <s v="AH-64D"/>
    <x v="0"/>
    <x v="60"/>
    <s v="M"/>
    <x v="0"/>
    <d v="2012-08-01T00:00:00"/>
    <m/>
    <d v="2013-04-09T09:28:12"/>
    <s v="6A7807ED-E59D-4F63-8462-1A4A455AB91E"/>
    <b v="0"/>
    <b v="0"/>
    <m/>
  </r>
  <r>
    <s v="AH-64D"/>
    <x v="0"/>
    <x v="60"/>
    <s v="M"/>
    <x v="1"/>
    <d v="2010-02-01T00:00:00"/>
    <m/>
    <d v="2011-04-06T21:32:32"/>
    <s v="52805EF0-A7F2-4EA3-966F-8301F4E7CE80"/>
    <b v="0"/>
    <b v="0"/>
    <m/>
  </r>
  <r>
    <s v="AH-64D"/>
    <x v="0"/>
    <x v="60"/>
    <s v="M"/>
    <x v="2"/>
    <d v="2012-07-01T00:00:00"/>
    <m/>
    <d v="2012-07-26T21:40:57"/>
    <s v="E3A29D56-2B95-4C08-85D8-8366C2BFE666"/>
    <b v="0"/>
    <b v="0"/>
    <m/>
  </r>
  <r>
    <s v="AH-64D"/>
    <x v="0"/>
    <x v="61"/>
    <s v="M"/>
    <x v="0"/>
    <d v="2007-07-01T00:00:00"/>
    <m/>
    <d v="2011-04-12T11:24:47"/>
    <s v="52805EF0-A7F2-4EA3-966F-8301F4E7CE80"/>
    <b v="0"/>
    <b v="0"/>
    <m/>
  </r>
  <r>
    <s v="AH-64D"/>
    <x v="0"/>
    <x v="61"/>
    <s v="M"/>
    <x v="1"/>
    <d v="2007-02-01T00:00:00"/>
    <m/>
    <d v="2011-04-06T21:37:20"/>
    <s v="52805EF0-A7F2-4EA3-966F-8301F4E7CE80"/>
    <b v="0"/>
    <b v="0"/>
    <m/>
  </r>
  <r>
    <s v="AH-64D"/>
    <x v="0"/>
    <x v="61"/>
    <s v="M"/>
    <x v="2"/>
    <d v="2009-03-01T00:00:00"/>
    <m/>
    <d v="2011-04-11T13:16:55"/>
    <s v="52805EF0-A7F2-4EA3-966F-8301F4E7CE80"/>
    <b v="0"/>
    <b v="0"/>
    <m/>
  </r>
  <r>
    <s v="AH-64D"/>
    <x v="0"/>
    <x v="62"/>
    <s v="M"/>
    <x v="0"/>
    <d v="2010-08-01T00:00:00"/>
    <m/>
    <d v="2011-04-12T11:25:11"/>
    <s v="52805EF0-A7F2-4EA3-966F-8301F4E7CE80"/>
    <b v="0"/>
    <b v="0"/>
    <m/>
  </r>
  <r>
    <s v="AH-64D"/>
    <x v="0"/>
    <x v="62"/>
    <s v="M"/>
    <x v="1"/>
    <d v="2010-01-01T00:00:00"/>
    <m/>
    <d v="2011-04-06T21:37:47"/>
    <s v="52805EF0-A7F2-4EA3-966F-8301F4E7CE80"/>
    <b v="0"/>
    <b v="0"/>
    <m/>
  </r>
  <r>
    <s v="AH-64D"/>
    <x v="0"/>
    <x v="62"/>
    <s v="M"/>
    <x v="2"/>
    <d v="2007-05-01T00:00:00"/>
    <m/>
    <d v="2011-04-11T13:17:47"/>
    <s v="52805EF0-A7F2-4EA3-966F-8301F4E7CE80"/>
    <b v="0"/>
    <b v="0"/>
    <m/>
  </r>
  <r>
    <s v="AH-64D"/>
    <x v="0"/>
    <x v="63"/>
    <s v="M"/>
    <x v="0"/>
    <d v="2007-07-01T00:00:00"/>
    <m/>
    <d v="2011-04-12T11:25:38"/>
    <s v="52805EF0-A7F2-4EA3-966F-8301F4E7CE80"/>
    <b v="0"/>
    <b v="0"/>
    <m/>
  </r>
  <r>
    <s v="AH-64D"/>
    <x v="0"/>
    <x v="63"/>
    <s v="M"/>
    <x v="1"/>
    <d v="2010-08-01T00:00:00"/>
    <m/>
    <d v="2011-04-06T21:38:15"/>
    <s v="52805EF0-A7F2-4EA3-966F-8301F4E7CE80"/>
    <b v="0"/>
    <b v="0"/>
    <m/>
  </r>
  <r>
    <s v="AH-64D"/>
    <x v="0"/>
    <x v="63"/>
    <s v="M"/>
    <x v="2"/>
    <d v="2007-02-01T00:00:00"/>
    <m/>
    <d v="2013-04-09T09:28:37"/>
    <s v="6A7807ED-E59D-4F63-8462-1A4A455AB91E"/>
    <b v="0"/>
    <b v="0"/>
    <m/>
  </r>
  <r>
    <s v="AH-64D"/>
    <x v="0"/>
    <x v="64"/>
    <s v="M"/>
    <x v="0"/>
    <d v="2010-02-01T00:00:00"/>
    <m/>
    <d v="2011-04-12T11:26:15"/>
    <s v="52805EF0-A7F2-4EA3-966F-8301F4E7CE80"/>
    <b v="0"/>
    <b v="0"/>
    <m/>
  </r>
  <r>
    <s v="AH-64D"/>
    <x v="0"/>
    <x v="64"/>
    <s v="M"/>
    <x v="1"/>
    <d v="2010-04-01T00:00:00"/>
    <m/>
    <d v="2011-04-06T21:38:38"/>
    <s v="52805EF0-A7F2-4EA3-966F-8301F4E7CE80"/>
    <b v="0"/>
    <b v="0"/>
    <m/>
  </r>
  <r>
    <s v="AH-64D"/>
    <x v="0"/>
    <x v="64"/>
    <s v="M"/>
    <x v="2"/>
    <d v="2007-05-01T00:00:00"/>
    <m/>
    <d v="2011-04-11T13:19:06"/>
    <s v="52805EF0-A7F2-4EA3-966F-8301F4E7CE80"/>
    <b v="0"/>
    <b v="0"/>
    <m/>
  </r>
  <r>
    <s v="AH-64D"/>
    <x v="0"/>
    <x v="65"/>
    <s v="M"/>
    <x v="0"/>
    <d v="2008-09-01T00:00:00"/>
    <m/>
    <d v="2011-04-12T11:26:42"/>
    <s v="52805EF0-A7F2-4EA3-966F-8301F4E7CE80"/>
    <b v="0"/>
    <b v="0"/>
    <m/>
  </r>
  <r>
    <s v="AH-64D"/>
    <x v="0"/>
    <x v="65"/>
    <s v="M"/>
    <x v="1"/>
    <d v="2008-07-01T00:00:00"/>
    <m/>
    <d v="2011-04-06T22:09:58"/>
    <s v="52805EF0-A7F2-4EA3-966F-8301F4E7CE80"/>
    <b v="0"/>
    <b v="0"/>
    <m/>
  </r>
  <r>
    <s v="AH-64D"/>
    <x v="0"/>
    <x v="65"/>
    <s v="M"/>
    <x v="2"/>
    <d v="2008-06-01T00:00:00"/>
    <m/>
    <d v="2011-04-11T13:19:45"/>
    <s v="52805EF0-A7F2-4EA3-966F-8301F4E7CE80"/>
    <b v="0"/>
    <b v="0"/>
    <m/>
  </r>
  <r>
    <s v="AH-64D"/>
    <x v="0"/>
    <x v="66"/>
    <s v="M"/>
    <x v="0"/>
    <d v="2008-09-01T00:00:00"/>
    <m/>
    <d v="2011-04-12T11:27:06"/>
    <s v="52805EF0-A7F2-4EA3-966F-8301F4E7CE80"/>
    <b v="0"/>
    <b v="0"/>
    <m/>
  </r>
  <r>
    <s v="AH-64D"/>
    <x v="0"/>
    <x v="66"/>
    <s v="M"/>
    <x v="1"/>
    <d v="2008-03-01T00:00:00"/>
    <m/>
    <d v="2011-04-06T21:39:13"/>
    <s v="52805EF0-A7F2-4EA3-966F-8301F4E7CE80"/>
    <b v="0"/>
    <b v="0"/>
    <m/>
  </r>
  <r>
    <s v="AH-64D"/>
    <x v="0"/>
    <x v="66"/>
    <s v="M"/>
    <x v="2"/>
    <d v="2008-06-01T00:00:00"/>
    <m/>
    <d v="2011-04-11T13:20:21"/>
    <s v="52805EF0-A7F2-4EA3-966F-8301F4E7CE80"/>
    <b v="0"/>
    <b v="0"/>
    <m/>
  </r>
  <r>
    <s v="AH-64D"/>
    <x v="0"/>
    <x v="67"/>
    <s v="M"/>
    <x v="0"/>
    <d v="2008-09-01T00:00:00"/>
    <m/>
    <d v="2011-04-12T11:27:52"/>
    <s v="52805EF0-A7F2-4EA3-966F-8301F4E7CE80"/>
    <b v="0"/>
    <b v="0"/>
    <m/>
  </r>
  <r>
    <s v="AH-64D"/>
    <x v="0"/>
    <x v="67"/>
    <s v="M"/>
    <x v="1"/>
    <d v="2008-03-01T00:00:00"/>
    <m/>
    <d v="2011-04-06T21:39:34"/>
    <s v="52805EF0-A7F2-4EA3-966F-8301F4E7CE80"/>
    <b v="0"/>
    <b v="0"/>
    <m/>
  </r>
  <r>
    <s v="AH-64D"/>
    <x v="0"/>
    <x v="67"/>
    <s v="M"/>
    <x v="2"/>
    <d v="2008-06-01T00:00:00"/>
    <m/>
    <d v="2011-04-11T13:21:28"/>
    <s v="52805EF0-A7F2-4EA3-966F-8301F4E7CE80"/>
    <b v="0"/>
    <b v="0"/>
    <m/>
  </r>
  <r>
    <s v="AH-64D"/>
    <x v="0"/>
    <x v="68"/>
    <s v="M"/>
    <x v="0"/>
    <d v="2008-09-01T00:00:00"/>
    <m/>
    <d v="2011-04-12T11:28:21"/>
    <s v="52805EF0-A7F2-4EA3-966F-8301F4E7CE80"/>
    <b v="0"/>
    <b v="0"/>
    <m/>
  </r>
  <r>
    <s v="AH-64D"/>
    <x v="0"/>
    <x v="68"/>
    <s v="M"/>
    <x v="1"/>
    <d v="2010-02-01T00:00:00"/>
    <m/>
    <d v="2011-04-06T21:39:51"/>
    <s v="52805EF0-A7F2-4EA3-966F-8301F4E7CE80"/>
    <b v="0"/>
    <b v="0"/>
    <m/>
  </r>
  <r>
    <s v="AH-64D"/>
    <x v="0"/>
    <x v="68"/>
    <s v="M"/>
    <x v="2"/>
    <d v="2007-07-01T00:00:00"/>
    <m/>
    <d v="2011-04-11T13:21:54"/>
    <s v="52805EF0-A7F2-4EA3-966F-8301F4E7CE80"/>
    <b v="0"/>
    <b v="0"/>
    <m/>
  </r>
  <r>
    <s v="AH-64D"/>
    <x v="0"/>
    <x v="69"/>
    <s v="M"/>
    <x v="0"/>
    <d v="2006-07-01T00:00:00"/>
    <m/>
    <d v="2011-04-12T11:29:05"/>
    <s v="52805EF0-A7F2-4EA3-966F-8301F4E7CE80"/>
    <b v="0"/>
    <b v="0"/>
    <m/>
  </r>
  <r>
    <s v="AH-64D"/>
    <x v="0"/>
    <x v="69"/>
    <s v="M"/>
    <x v="1"/>
    <d v="2013-03-01T00:00:00"/>
    <m/>
    <d v="2013-04-22T21:09:16"/>
    <s v="7DDC4528-4C19-41AF-A705-ECC011346B02"/>
    <b v="0"/>
    <b v="0"/>
    <m/>
  </r>
  <r>
    <s v="AH-64D"/>
    <x v="0"/>
    <x v="69"/>
    <s v="M"/>
    <x v="2"/>
    <d v="2007-05-01T00:00:00"/>
    <m/>
    <d v="2011-04-11T13:22:39"/>
    <s v="52805EF0-A7F2-4EA3-966F-8301F4E7CE80"/>
    <b v="0"/>
    <b v="0"/>
    <m/>
  </r>
  <r>
    <s v="AH-64D"/>
    <x v="0"/>
    <x v="70"/>
    <s v="M"/>
    <x v="0"/>
    <d v="2010-08-01T00:00:00"/>
    <m/>
    <d v="2011-04-12T11:29:32"/>
    <s v="52805EF0-A7F2-4EA3-966F-8301F4E7CE80"/>
    <b v="0"/>
    <b v="0"/>
    <m/>
  </r>
  <r>
    <s v="AH-64D"/>
    <x v="0"/>
    <x v="70"/>
    <s v="M"/>
    <x v="1"/>
    <d v="2013-07-01T00:00:00"/>
    <m/>
    <d v="2013-07-31T22:04:41"/>
    <s v="0474A105-8C6D-4175-9F7A-47415AA37BA4"/>
    <b v="0"/>
    <b v="0"/>
    <m/>
  </r>
  <r>
    <s v="AH-64D"/>
    <x v="0"/>
    <x v="70"/>
    <s v="M"/>
    <x v="2"/>
    <d v="2011-12-08T00:00:00"/>
    <m/>
    <d v="2011-12-09T10:32:45"/>
    <s v="F0A89E94-6D54-4E35-905C-E00BC0A79AE2"/>
    <b v="0"/>
    <b v="0"/>
    <m/>
  </r>
  <r>
    <s v="AH-64D"/>
    <x v="0"/>
    <x v="71"/>
    <s v="M"/>
    <x v="0"/>
    <d v="2009-08-01T00:00:00"/>
    <m/>
    <d v="2011-04-12T11:29:58"/>
    <s v="52805EF0-A7F2-4EA3-966F-8301F4E7CE80"/>
    <b v="0"/>
    <b v="0"/>
    <m/>
  </r>
  <r>
    <s v="AH-64D"/>
    <x v="0"/>
    <x v="71"/>
    <s v="M"/>
    <x v="1"/>
    <d v="2010-02-01T00:00:00"/>
    <m/>
    <d v="2011-04-06T21:41:56"/>
    <s v="52805EF0-A7F2-4EA3-966F-8301F4E7CE80"/>
    <b v="0"/>
    <b v="0"/>
    <m/>
  </r>
  <r>
    <s v="AH-64D"/>
    <x v="0"/>
    <x v="71"/>
    <s v="M"/>
    <x v="2"/>
    <d v="2012-08-01T00:00:00"/>
    <m/>
    <d v="2012-08-01T08:38:55"/>
    <s v="5F0050F2-A5D6-4377-B6EC-A981C12740C7"/>
    <b v="0"/>
    <b v="0"/>
    <m/>
  </r>
  <r>
    <s v="AH-64D"/>
    <x v="0"/>
    <x v="72"/>
    <s v="M"/>
    <x v="0"/>
    <d v="2009-08-01T00:00:00"/>
    <m/>
    <d v="2011-04-12T11:30:32"/>
    <s v="52805EF0-A7F2-4EA3-966F-8301F4E7CE80"/>
    <b v="0"/>
    <b v="0"/>
    <m/>
  </r>
  <r>
    <s v="AH-64D"/>
    <x v="0"/>
    <x v="72"/>
    <s v="M"/>
    <x v="1"/>
    <d v="2010-02-01T00:00:00"/>
    <m/>
    <d v="2011-04-06T21:42:11"/>
    <s v="52805EF0-A7F2-4EA3-966F-8301F4E7CE80"/>
    <b v="0"/>
    <b v="0"/>
    <m/>
  </r>
  <r>
    <s v="AH-64D"/>
    <x v="0"/>
    <x v="72"/>
    <s v="M"/>
    <x v="2"/>
    <d v="2012-08-01T00:00:00"/>
    <m/>
    <d v="2012-08-01T11:43:42"/>
    <s v="5A48226D-41F7-490E-9D6C-082A045B98D0"/>
    <b v="0"/>
    <b v="0"/>
    <m/>
  </r>
  <r>
    <s v="AH-64D"/>
    <x v="0"/>
    <x v="73"/>
    <s v="M"/>
    <x v="0"/>
    <d v="2009-08-01T00:00:00"/>
    <m/>
    <d v="2011-04-12T11:31:32"/>
    <s v="52805EF0-A7F2-4EA3-966F-8301F4E7CE80"/>
    <b v="0"/>
    <b v="0"/>
    <m/>
  </r>
  <r>
    <s v="AH-64D"/>
    <x v="0"/>
    <x v="73"/>
    <s v="M"/>
    <x v="1"/>
    <d v="2010-02-01T00:00:00"/>
    <m/>
    <d v="2011-04-06T21:42:36"/>
    <s v="52805EF0-A7F2-4EA3-966F-8301F4E7CE80"/>
    <b v="0"/>
    <b v="0"/>
    <m/>
  </r>
  <r>
    <s v="AH-64D"/>
    <x v="0"/>
    <x v="73"/>
    <s v="M"/>
    <x v="2"/>
    <d v="2012-08-01T00:00:00"/>
    <m/>
    <d v="2012-08-01T11:53:59"/>
    <s v="5A48226D-41F7-490E-9D6C-082A045B98D0"/>
    <b v="0"/>
    <b v="0"/>
    <m/>
  </r>
  <r>
    <s v="AH-64D"/>
    <x v="0"/>
    <x v="74"/>
    <s v="M"/>
    <x v="0"/>
    <d v="2003-07-01T00:00:00"/>
    <m/>
    <d v="2011-04-12T11:35:16"/>
    <s v="52805EF0-A7F2-4EA3-966F-8301F4E7CE80"/>
    <b v="0"/>
    <b v="0"/>
    <m/>
  </r>
  <r>
    <s v="AH-64D"/>
    <x v="0"/>
    <x v="74"/>
    <s v="M"/>
    <x v="1"/>
    <d v="2009-09-01T00:00:00"/>
    <m/>
    <d v="2011-04-06T21:42:56"/>
    <s v="52805EF0-A7F2-4EA3-966F-8301F4E7CE80"/>
    <b v="0"/>
    <b v="0"/>
    <m/>
  </r>
  <r>
    <s v="AH-64D"/>
    <x v="0"/>
    <x v="74"/>
    <s v="M"/>
    <x v="2"/>
    <d v="2013-01-01T00:00:00"/>
    <m/>
    <d v="2013-01-11T13:23:36"/>
    <s v="42C0DB41-653E-4A93-89DD-87646B8C565E"/>
    <b v="0"/>
    <b v="0"/>
    <m/>
  </r>
  <r>
    <s v="AH-64D"/>
    <x v="0"/>
    <x v="75"/>
    <s v="M"/>
    <x v="0"/>
    <d v="2003-07-01T00:00:00"/>
    <m/>
    <d v="2011-04-12T11:36:24"/>
    <s v="52805EF0-A7F2-4EA3-966F-8301F4E7CE80"/>
    <b v="0"/>
    <b v="0"/>
    <m/>
  </r>
  <r>
    <s v="AH-64D"/>
    <x v="0"/>
    <x v="75"/>
    <s v="M"/>
    <x v="1"/>
    <d v="2009-09-01T00:00:00"/>
    <m/>
    <d v="2011-04-06T21:43:13"/>
    <s v="52805EF0-A7F2-4EA3-966F-8301F4E7CE80"/>
    <b v="0"/>
    <b v="0"/>
    <m/>
  </r>
  <r>
    <s v="AH-64D"/>
    <x v="0"/>
    <x v="75"/>
    <s v="M"/>
    <x v="2"/>
    <d v="2013-01-01T00:00:00"/>
    <m/>
    <d v="2013-01-11T13:33:11"/>
    <s v="6D9D5FD9-5CA4-495F-8CDB-AAA3827838E8"/>
    <b v="0"/>
    <b v="0"/>
    <m/>
  </r>
  <r>
    <s v="AH-64D"/>
    <x v="0"/>
    <x v="76"/>
    <s v="M"/>
    <x v="0"/>
    <d v="2003-03-01T00:00:00"/>
    <m/>
    <d v="2011-04-12T11:37:45"/>
    <s v="52805EF0-A7F2-4EA3-966F-8301F4E7CE80"/>
    <b v="0"/>
    <b v="0"/>
    <m/>
  </r>
  <r>
    <s v="AH-64D"/>
    <x v="0"/>
    <x v="76"/>
    <s v="M"/>
    <x v="1"/>
    <d v="2009-09-01T00:00:00"/>
    <m/>
    <d v="2011-04-06T21:43:31"/>
    <s v="52805EF0-A7F2-4EA3-966F-8301F4E7CE80"/>
    <b v="0"/>
    <b v="0"/>
    <m/>
  </r>
  <r>
    <s v="AH-64D"/>
    <x v="0"/>
    <x v="76"/>
    <s v="M"/>
    <x v="2"/>
    <d v="2011-04-27T00:00:00"/>
    <m/>
    <d v="2011-05-04T11:19:26"/>
    <s v="52805EF0-A7F2-4EA3-966F-8301F4E7CE80"/>
    <b v="0"/>
    <b v="0"/>
    <m/>
  </r>
  <r>
    <s v="AH-64D"/>
    <x v="0"/>
    <x v="77"/>
    <s v="M"/>
    <x v="0"/>
    <d v="2003-07-01T00:00:00"/>
    <m/>
    <d v="2011-04-12T11:39:10"/>
    <s v="52805EF0-A7F2-4EA3-966F-8301F4E7CE80"/>
    <b v="0"/>
    <b v="0"/>
    <m/>
  </r>
  <r>
    <s v="AH-64D"/>
    <x v="0"/>
    <x v="77"/>
    <s v="M"/>
    <x v="1"/>
    <d v="2003-03-01T00:00:00"/>
    <m/>
    <d v="2011-04-06T21:43:56"/>
    <s v="52805EF0-A7F2-4EA3-966F-8301F4E7CE80"/>
    <b v="0"/>
    <b v="0"/>
    <m/>
  </r>
  <r>
    <s v="AH-64D"/>
    <x v="0"/>
    <x v="77"/>
    <s v="M"/>
    <x v="2"/>
    <d v="2011-04-01T00:00:00"/>
    <m/>
    <d v="2013-04-09T09:29:21"/>
    <s v="6A7807ED-E59D-4F63-8462-1A4A455AB91E"/>
    <b v="0"/>
    <b v="0"/>
    <m/>
  </r>
  <r>
    <s v="AH-64D"/>
    <x v="0"/>
    <x v="78"/>
    <s v="H"/>
    <x v="0"/>
    <m/>
    <d v="1914-04-12T14:24:08"/>
    <d v="2013-08-07T23:03:20"/>
    <s v="C672156D-0F83-4E72-8532-E6791EDFF054"/>
    <b v="0"/>
    <b v="0"/>
    <m/>
  </r>
  <r>
    <s v="AH-64D"/>
    <x v="0"/>
    <x v="78"/>
    <s v="H"/>
    <x v="1"/>
    <m/>
    <d v="1910-08-25T16:47:56"/>
    <d v="2013-08-21T22:52:57"/>
    <s v="7433CBA5-1E15-44B7-A256-DED7852F8BF5"/>
    <b v="0"/>
    <b v="0"/>
    <m/>
  </r>
  <r>
    <s v="AH-64D"/>
    <x v="0"/>
    <x v="78"/>
    <s v="H"/>
    <x v="2"/>
    <m/>
    <d v="1912-07-13T16:48:17"/>
    <d v="2013-03-28T10:35:00"/>
    <s v="7DDC4528-4C19-41AF-A705-ECC011346B02"/>
    <b v="0"/>
    <b v="0"/>
    <m/>
  </r>
  <r>
    <s v="AH-64D"/>
    <x v="0"/>
    <x v="79"/>
    <s v="H"/>
    <x v="0"/>
    <m/>
    <d v="1914-04-07T14:24:08"/>
    <d v="2013-08-07T23:09:44"/>
    <s v="C672156D-0F83-4E72-8532-E6791EDFF054"/>
    <b v="0"/>
    <b v="0"/>
    <m/>
  </r>
  <r>
    <s v="AH-64D"/>
    <x v="0"/>
    <x v="79"/>
    <s v="H"/>
    <x v="1"/>
    <m/>
    <d v="1909-12-24T02:24:08"/>
    <d v="2011-12-14T09:39:08"/>
    <s v="021BBDF1-976B-40D9-8483-93D6847EF55D"/>
    <b v="0"/>
    <b v="0"/>
    <m/>
  </r>
  <r>
    <s v="AH-64D"/>
    <x v="0"/>
    <x v="79"/>
    <s v="H"/>
    <x v="2"/>
    <m/>
    <d v="1912-07-13T16:48:17"/>
    <d v="2013-03-28T10:35:04"/>
    <s v="7DDC4528-4C19-41AF-A705-ECC011346B02"/>
    <b v="0"/>
    <b v="0"/>
    <m/>
  </r>
  <r>
    <s v="AH-64D"/>
    <x v="0"/>
    <x v="80"/>
    <s v="H"/>
    <x v="0"/>
    <m/>
    <d v="1914-04-07T14:24:08"/>
    <d v="2013-08-07T23:10:47"/>
    <s v="C672156D-0F83-4E72-8532-E6791EDFF054"/>
    <b v="0"/>
    <b v="0"/>
    <m/>
  </r>
  <r>
    <s v="AH-64D"/>
    <x v="0"/>
    <x v="80"/>
    <s v="H"/>
    <x v="1"/>
    <m/>
    <d v="1909-12-24T02:24:08"/>
    <d v="2012-06-05T20:10:36"/>
    <s v="F3E0EA0B-3F38-4D31-8E42-0D74A8FCCCF0"/>
    <b v="0"/>
    <b v="0"/>
    <m/>
  </r>
  <r>
    <s v="AH-64D"/>
    <x v="0"/>
    <x v="80"/>
    <s v="H"/>
    <x v="2"/>
    <m/>
    <d v="1912-07-13T16:48:17"/>
    <d v="2013-03-28T10:35:11"/>
    <s v="7DDC4528-4C19-41AF-A705-ECC011346B02"/>
    <b v="0"/>
    <b v="0"/>
    <m/>
  </r>
  <r>
    <s v="AH-64D"/>
    <x v="0"/>
    <x v="81"/>
    <s v="H"/>
    <x v="0"/>
    <m/>
    <d v="1914-04-07T14:24:08"/>
    <d v="2013-08-08T00:40:46"/>
    <s v="7DDC4528-4C19-41AF-A705-ECC011346B02"/>
    <b v="0"/>
    <b v="0"/>
    <m/>
  </r>
  <r>
    <s v="AH-64D"/>
    <x v="0"/>
    <x v="81"/>
    <s v="H"/>
    <x v="1"/>
    <m/>
    <d v="1909-12-24T02:24:08"/>
    <d v="2011-12-14T09:18:31"/>
    <s v="021BBDF1-976B-40D9-8483-93D6847EF55D"/>
    <b v="0"/>
    <b v="0"/>
    <m/>
  </r>
  <r>
    <s v="AH-64D"/>
    <x v="0"/>
    <x v="81"/>
    <s v="H"/>
    <x v="2"/>
    <m/>
    <d v="1912-07-13T16:48:17"/>
    <d v="2013-03-28T10:35:19"/>
    <s v="7DDC4528-4C19-41AF-A705-ECC011346B02"/>
    <b v="0"/>
    <b v="0"/>
    <m/>
  </r>
  <r>
    <s v="AH-64D"/>
    <x v="0"/>
    <x v="82"/>
    <s v="H"/>
    <x v="0"/>
    <m/>
    <d v="1914-04-12T14:24:08"/>
    <d v="2013-08-08T01:06:40"/>
    <s v="C672156D-0F83-4E72-8532-E6791EDFF054"/>
    <b v="0"/>
    <b v="0"/>
    <m/>
  </r>
  <r>
    <s v="AH-64D"/>
    <x v="0"/>
    <x v="82"/>
    <s v="H"/>
    <x v="1"/>
    <m/>
    <d v="1910-08-25T16:47:56"/>
    <d v="2013-08-26T21:27:47"/>
    <s v="8EE57F6A-B8AD-4246-9F02-DCF52FE68146"/>
    <b v="0"/>
    <b v="0"/>
    <m/>
  </r>
  <r>
    <s v="AH-64D"/>
    <x v="0"/>
    <x v="82"/>
    <s v="H"/>
    <x v="2"/>
    <m/>
    <d v="1912-07-13T16:48:17"/>
    <d v="2013-03-28T10:35:30"/>
    <s v="7DDC4528-4C19-41AF-A705-ECC011346B02"/>
    <b v="0"/>
    <b v="0"/>
    <m/>
  </r>
  <r>
    <s v="AH-64D"/>
    <x v="0"/>
    <x v="83"/>
    <s v="M"/>
    <x v="0"/>
    <d v="2013-03-04T00:00:00"/>
    <m/>
    <d v="2013-03-04T07:32:18"/>
    <s v="00DA202A-0986-4826-8BCA-5EBF497389F6"/>
    <b v="0"/>
    <b v="0"/>
    <m/>
  </r>
  <r>
    <s v="AH-64D"/>
    <x v="0"/>
    <x v="83"/>
    <s v="M"/>
    <x v="1"/>
    <d v="2013-12-22T00:00:00"/>
    <m/>
    <d v="2013-12-17T09:08:44"/>
    <s v="9CDCCF9C-27FF-45E2-9822-5740E577EA00"/>
    <b v="0"/>
    <b v="0"/>
    <m/>
  </r>
  <r>
    <s v="AH-64D"/>
    <x v="0"/>
    <x v="83"/>
    <s v="M"/>
    <x v="2"/>
    <d v="2014-03-04T00:00:00"/>
    <m/>
    <d v="2014-03-04T14:38:55"/>
    <s v="75BADE6C-F425-40FE-B3DE-9296A4EEE59B"/>
    <b v="0"/>
    <b v="0"/>
    <m/>
  </r>
  <r>
    <s v="AH-64D"/>
    <x v="0"/>
    <x v="84"/>
    <s v="M"/>
    <x v="0"/>
    <d v="2003-03-01T00:00:00"/>
    <m/>
    <d v="2011-04-12T11:40:05"/>
    <s v="52805EF0-A7F2-4EA3-966F-8301F4E7CE80"/>
    <b v="0"/>
    <b v="0"/>
    <m/>
  </r>
  <r>
    <s v="AH-64D"/>
    <x v="0"/>
    <x v="84"/>
    <s v="M"/>
    <x v="1"/>
    <d v="2009-09-01T00:00:00"/>
    <m/>
    <d v="2011-04-06T21:44:25"/>
    <s v="52805EF0-A7F2-4EA3-966F-8301F4E7CE80"/>
    <b v="0"/>
    <b v="0"/>
    <m/>
  </r>
  <r>
    <s v="AH-64D"/>
    <x v="0"/>
    <x v="84"/>
    <s v="M"/>
    <x v="2"/>
    <d v="2013-01-01T00:00:00"/>
    <m/>
    <d v="2013-01-09T10:12:18"/>
    <s v="42C0DB41-653E-4A93-89DD-87646B8C565E"/>
    <b v="0"/>
    <b v="0"/>
    <m/>
  </r>
  <r>
    <s v="AH-64D"/>
    <x v="0"/>
    <x v="85"/>
    <s v="M"/>
    <x v="0"/>
    <d v="2003-07-01T00:00:00"/>
    <m/>
    <d v="2011-04-12T11:40:47"/>
    <s v="52805EF0-A7F2-4EA3-966F-8301F4E7CE80"/>
    <b v="0"/>
    <b v="0"/>
    <m/>
  </r>
  <r>
    <s v="AH-64D"/>
    <x v="0"/>
    <x v="85"/>
    <s v="M"/>
    <x v="1"/>
    <d v="2009-09-01T00:00:00"/>
    <m/>
    <d v="2011-04-06T21:44:41"/>
    <s v="52805EF0-A7F2-4EA3-966F-8301F4E7CE80"/>
    <b v="0"/>
    <b v="0"/>
    <m/>
  </r>
  <r>
    <s v="AH-64D"/>
    <x v="0"/>
    <x v="85"/>
    <s v="M"/>
    <x v="2"/>
    <d v="2013-01-01T00:00:00"/>
    <m/>
    <d v="2013-01-11T13:36:53"/>
    <s v="6D9D5FD9-5CA4-495F-8CDB-AAA3827838E8"/>
    <b v="0"/>
    <b v="0"/>
    <m/>
  </r>
  <r>
    <s v="AH-64D"/>
    <x v="1"/>
    <x v="86"/>
    <s v="D"/>
    <x v="0"/>
    <d v="2014-02-08T00:00:00"/>
    <m/>
    <d v="2014-02-06T10:06:11"/>
    <s v="3764CA8B-A894-4B7F-8F9D-FA9780EA2588"/>
    <b v="0"/>
    <b v="0"/>
    <m/>
  </r>
  <r>
    <s v="AH-64D"/>
    <x v="1"/>
    <x v="86"/>
    <s v="D"/>
    <x v="1"/>
    <d v="2014-02-11T00:00:00"/>
    <m/>
    <d v="2014-02-11T18:45:11"/>
    <s v="406CB2A5-68CD-471C-8284-829EC8FAF0E2"/>
    <b v="0"/>
    <b v="0"/>
    <m/>
  </r>
  <r>
    <s v="AH-64D"/>
    <x v="1"/>
    <x v="86"/>
    <s v="D"/>
    <x v="2"/>
    <d v="2014-02-06T00:00:00"/>
    <m/>
    <d v="2014-02-06T09:51:31"/>
    <s v="CAEC01B0-8E1F-45B1-B08D-73C352AABD30"/>
    <b v="0"/>
    <b v="0"/>
    <m/>
  </r>
  <r>
    <s v="AH-64D"/>
    <x v="1"/>
    <x v="87"/>
    <s v="D"/>
    <x v="0"/>
    <d v="2014-02-03T00:00:00"/>
    <m/>
    <d v="2014-02-04T13:08:05"/>
    <s v="9CDCCF9C-27FF-45E2-9822-5740E577EA00"/>
    <b v="0"/>
    <b v="0"/>
    <m/>
  </r>
  <r>
    <s v="AH-64D"/>
    <x v="1"/>
    <x v="87"/>
    <s v="D"/>
    <x v="1"/>
    <d v="2014-01-10T00:00:00"/>
    <m/>
    <d v="2014-01-10T07:04:39"/>
    <s v="0474A105-8C6D-4175-9F7A-47415AA37BA4"/>
    <b v="0"/>
    <b v="0"/>
    <m/>
  </r>
  <r>
    <s v="AH-64D"/>
    <x v="1"/>
    <x v="87"/>
    <s v="D"/>
    <x v="2"/>
    <d v="2013-10-11T00:00:00"/>
    <m/>
    <d v="2013-10-07T20:38:03"/>
    <s v="45DDF286-7119-4DC9-81E1-42FA37532A17"/>
    <b v="0"/>
    <b v="0"/>
    <m/>
  </r>
  <r>
    <s v="AH-64D"/>
    <x v="1"/>
    <x v="88"/>
    <s v="D"/>
    <x v="0"/>
    <d v="2014-02-08T00:00:00"/>
    <m/>
    <d v="2014-02-04T13:08:37"/>
    <s v="9CDCCF9C-27FF-45E2-9822-5740E577EA00"/>
    <b v="0"/>
    <b v="0"/>
    <m/>
  </r>
  <r>
    <s v="AH-64D"/>
    <x v="1"/>
    <x v="88"/>
    <s v="D"/>
    <x v="1"/>
    <d v="2013-12-15T00:00:00"/>
    <m/>
    <d v="2013-12-11T13:00:59"/>
    <s v="406CB2A5-68CD-471C-8284-829EC8FAF0E2"/>
    <b v="0"/>
    <b v="0"/>
    <m/>
  </r>
  <r>
    <s v="AH-64D"/>
    <x v="1"/>
    <x v="88"/>
    <s v="D"/>
    <x v="2"/>
    <d v="2014-01-09T00:00:00"/>
    <m/>
    <d v="2014-01-07T08:29:47"/>
    <s v="8EC63608-880D-46F0-9DFE-6D3899ACD9C2"/>
    <b v="0"/>
    <b v="0"/>
    <m/>
  </r>
  <r>
    <s v="AH-64D"/>
    <x v="1"/>
    <x v="15"/>
    <s v="M"/>
    <x v="0"/>
    <d v="2013-10-10T00:00:00"/>
    <m/>
    <d v="2014-03-01T09:06:33"/>
    <s v="7DDC4528-4C19-41AF-A705-ECC011346B02"/>
    <b v="0"/>
    <b v="0"/>
    <m/>
  </r>
  <r>
    <s v="AH-64D"/>
    <x v="1"/>
    <x v="15"/>
    <s v="M"/>
    <x v="1"/>
    <d v="2013-11-18T00:00:00"/>
    <m/>
    <d v="2013-11-18T14:24:50"/>
    <s v="D862EC4F-BDFF-47A8-8CDC-DDAB63DBDB24"/>
    <b v="0"/>
    <b v="0"/>
    <m/>
  </r>
  <r>
    <s v="AH-64D"/>
    <x v="1"/>
    <x v="15"/>
    <s v="M"/>
    <x v="2"/>
    <d v="2014-01-29T00:00:00"/>
    <m/>
    <d v="2014-01-25T11:26:33"/>
    <s v="9CDCCF9C-27FF-45E2-9822-5740E577EA00"/>
    <b v="0"/>
    <b v="0"/>
    <m/>
  </r>
  <r>
    <s v="AH-64D"/>
    <x v="1"/>
    <x v="89"/>
    <s v="D"/>
    <x v="0"/>
    <d v="2013-09-23T00:00:00"/>
    <m/>
    <d v="2013-09-25T22:15:02"/>
    <s v="8EC63608-880D-46F0-9DFE-6D3899ACD9C2"/>
    <b v="0"/>
    <b v="0"/>
    <m/>
  </r>
  <r>
    <s v="AH-64D"/>
    <x v="1"/>
    <x v="89"/>
    <s v="D"/>
    <x v="1"/>
    <d v="2014-01-25T00:00:00"/>
    <m/>
    <d v="2014-01-10T07:08:27"/>
    <s v="0474A105-8C6D-4175-9F7A-47415AA37BA4"/>
    <b v="0"/>
    <b v="0"/>
    <m/>
  </r>
  <r>
    <s v="AH-64D"/>
    <x v="1"/>
    <x v="89"/>
    <s v="D"/>
    <x v="2"/>
    <d v="2013-10-11T00:00:00"/>
    <m/>
    <d v="2013-09-27T16:37:52"/>
    <s v="8EC63608-880D-46F0-9DFE-6D3899ACD9C2"/>
    <b v="0"/>
    <b v="0"/>
    <m/>
  </r>
  <r>
    <s v="AH-64D"/>
    <x v="1"/>
    <x v="90"/>
    <s v="M"/>
    <x v="0"/>
    <d v="2014-02-08T00:00:00"/>
    <m/>
    <d v="2014-03-01T09:08:26"/>
    <s v="7DDC4528-4C19-41AF-A705-ECC011346B02"/>
    <b v="0"/>
    <b v="0"/>
    <m/>
  </r>
  <r>
    <s v="AH-64D"/>
    <x v="1"/>
    <x v="90"/>
    <s v="M"/>
    <x v="1"/>
    <d v="2014-02-12T00:00:00"/>
    <m/>
    <d v="2014-03-01T07:13:48"/>
    <s v="7DDC4528-4C19-41AF-A705-ECC011346B02"/>
    <b v="0"/>
    <b v="0"/>
    <m/>
  </r>
  <r>
    <s v="AH-64D"/>
    <x v="1"/>
    <x v="90"/>
    <s v="M"/>
    <x v="2"/>
    <d v="2013-09-27T00:00:00"/>
    <m/>
    <d v="2014-03-01T07:21:45"/>
    <s v="7DDC4528-4C19-41AF-A705-ECC011346B02"/>
    <b v="0"/>
    <b v="0"/>
    <m/>
  </r>
  <r>
    <s v="AH-64D"/>
    <x v="2"/>
    <x v="91"/>
    <s v="D"/>
    <x v="0"/>
    <d v="2014-03-04T00:00:00"/>
    <m/>
    <d v="2014-03-04T14:42:01"/>
    <s v="75BADE6C-F425-40FE-B3DE-9296A4EEE59B"/>
    <b v="0"/>
    <b v="0"/>
    <m/>
  </r>
  <r>
    <s v="AH-64D"/>
    <x v="2"/>
    <x v="91"/>
    <s v="D"/>
    <x v="1"/>
    <d v="2014-02-11T00:00:00"/>
    <m/>
    <d v="2014-02-11T18:47:52"/>
    <s v="406CB2A5-68CD-471C-8284-829EC8FAF0E2"/>
    <b v="0"/>
    <b v="0"/>
    <m/>
  </r>
  <r>
    <s v="AH-64D"/>
    <x v="2"/>
    <x v="91"/>
    <s v="D"/>
    <x v="2"/>
    <d v="2014-03-04T00:00:00"/>
    <m/>
    <d v="2014-03-04T14:40:08"/>
    <s v="75BADE6C-F425-40FE-B3DE-9296A4EEE59B"/>
    <b v="0"/>
    <b v="0"/>
    <m/>
  </r>
  <r>
    <s v="AH-64D"/>
    <x v="2"/>
    <x v="92"/>
    <s v="H"/>
    <x v="0"/>
    <m/>
    <d v="1914-07-21T14:24:08"/>
    <d v="2014-02-06T10:00:55"/>
    <s v="3764CA8B-A894-4B7F-8F9D-FA9780EA2588"/>
    <b v="0"/>
    <b v="0"/>
    <m/>
  </r>
  <r>
    <s v="AH-64D"/>
    <x v="2"/>
    <x v="92"/>
    <s v="H"/>
    <x v="1"/>
    <m/>
    <d v="1910-11-04T12:00:00"/>
    <d v="2013-12-17T09:28:14"/>
    <s v="9CDCCF9C-27FF-45E2-9822-5740E577EA00"/>
    <b v="0"/>
    <b v="0"/>
    <m/>
  </r>
  <r>
    <s v="AH-64D"/>
    <x v="2"/>
    <x v="92"/>
    <s v="H"/>
    <x v="2"/>
    <m/>
    <d v="1912-11-07T04:48:17"/>
    <d v="2013-09-16T16:55:50"/>
    <s v="BED80A99-A20D-48F3-B7A6-63C77F45CB41"/>
    <b v="0"/>
    <b v="0"/>
    <m/>
  </r>
  <r>
    <s v="AH-64D"/>
    <x v="2"/>
    <x v="93"/>
    <s v="D"/>
    <x v="0"/>
    <d v="2014-02-28T00:00:00"/>
    <m/>
    <d v="2014-02-28T15:34:09"/>
    <s v="7408DE28-4DAA-451D-8896-4F0978C29756"/>
    <b v="0"/>
    <b v="0"/>
    <m/>
  </r>
  <r>
    <s v="AH-64D"/>
    <x v="2"/>
    <x v="93"/>
    <s v="D"/>
    <x v="1"/>
    <d v="2014-02-28T00:00:00"/>
    <m/>
    <d v="2014-02-28T15:32:40"/>
    <s v="EC5A6850-83ED-4BB8-9698-FD799CA47F7A"/>
    <b v="0"/>
    <b v="0"/>
    <m/>
  </r>
  <r>
    <s v="AH-64D"/>
    <x v="2"/>
    <x v="93"/>
    <s v="D"/>
    <x v="2"/>
    <d v="2014-02-28T00:00:00"/>
    <m/>
    <d v="2014-02-28T15:21:49"/>
    <s v="06CD1042-0C4D-4040-AD47-5AAE6B2CBFCA"/>
    <b v="0"/>
    <b v="0"/>
    <m/>
  </r>
  <r>
    <s v="AH-64D"/>
    <x v="2"/>
    <x v="94"/>
    <s v="D"/>
    <x v="0"/>
    <d v="2014-03-04T00:00:00"/>
    <m/>
    <d v="2014-03-04T15:49:13"/>
    <s v="592752DE-1E76-4397-A9ED-7825005DE27D"/>
    <b v="0"/>
    <b v="0"/>
    <m/>
  </r>
  <r>
    <s v="AH-64D"/>
    <x v="2"/>
    <x v="94"/>
    <s v="D"/>
    <x v="1"/>
    <d v="2013-11-06T00:00:00"/>
    <m/>
    <d v="2013-10-28T23:24:26"/>
    <s v="5A14CFC3-E29D-46C7-ACED-A1F6E8F9F921"/>
    <b v="0"/>
    <b v="0"/>
    <m/>
  </r>
  <r>
    <s v="AH-64D"/>
    <x v="2"/>
    <x v="94"/>
    <s v="D"/>
    <x v="2"/>
    <d v="2013-10-16T00:00:00"/>
    <m/>
    <d v="2013-10-30T23:59:52"/>
    <s v="5A14CFC3-E29D-46C7-ACED-A1F6E8F9F921"/>
    <b v="0"/>
    <b v="0"/>
    <m/>
  </r>
  <r>
    <s v="AH-64D"/>
    <x v="2"/>
    <x v="95"/>
    <s v="D"/>
    <x v="0"/>
    <d v="2014-02-04T00:00:00"/>
    <m/>
    <d v="2014-02-06T10:49:14"/>
    <s v="3764CA8B-A894-4B7F-8F9D-FA9780EA2588"/>
    <b v="0"/>
    <b v="0"/>
    <m/>
  </r>
  <r>
    <s v="AH-64D"/>
    <x v="2"/>
    <x v="95"/>
    <s v="D"/>
    <x v="1"/>
    <d v="2013-12-13T00:00:00"/>
    <m/>
    <d v="2013-12-12T10:15:59"/>
    <s v="CA6A0564-CC2E-43F1-9DB9-FB4519A3637E"/>
    <b v="0"/>
    <b v="0"/>
    <m/>
  </r>
  <r>
    <s v="AH-64D"/>
    <x v="2"/>
    <x v="95"/>
    <s v="D"/>
    <x v="2"/>
    <d v="2013-12-24T00:00:00"/>
    <m/>
    <d v="2013-12-26T10:47:46"/>
    <s v="4E13E9EC-E8CE-4607-A7DF-2DAF7F222F3F"/>
    <b v="0"/>
    <b v="0"/>
    <m/>
  </r>
  <r>
    <s v="AH-64D"/>
    <x v="2"/>
    <x v="95"/>
    <s v="R"/>
    <x v="0"/>
    <m/>
    <d v="1972-06-25T00:00:00"/>
    <d v="2014-02-06T10:49:14"/>
    <s v="3764CA8B-A894-4B7F-8F9D-FA9780EA2588"/>
    <b v="0"/>
    <b v="0"/>
    <m/>
  </r>
  <r>
    <s v="AH-64D"/>
    <x v="2"/>
    <x v="95"/>
    <s v="R"/>
    <x v="1"/>
    <m/>
    <d v="1951-10-15T00:00:00"/>
    <d v="2013-12-12T10:15:59"/>
    <s v="CA6A0564-CC2E-43F1-9DB9-FB4519A3637E"/>
    <b v="0"/>
    <b v="0"/>
    <m/>
  </r>
  <r>
    <s v="AH-64D"/>
    <x v="2"/>
    <x v="95"/>
    <s v="R"/>
    <x v="2"/>
    <m/>
    <d v="1920-01-26T00:00:00"/>
    <d v="2013-12-26T10:47:46"/>
    <s v="4E13E9EC-E8CE-4607-A7DF-2DAF7F222F3F"/>
    <b v="0"/>
    <b v="0"/>
    <m/>
  </r>
  <r>
    <s v="AH-64D"/>
    <x v="2"/>
    <x v="96"/>
    <s v="D"/>
    <x v="0"/>
    <d v="2014-02-04T00:00:00"/>
    <m/>
    <d v="2014-02-04T15:39:09"/>
    <s v="9CDCCF9C-27FF-45E2-9822-5740E577EA00"/>
    <b v="0"/>
    <b v="0"/>
    <m/>
  </r>
  <r>
    <s v="AH-64D"/>
    <x v="2"/>
    <x v="96"/>
    <s v="D"/>
    <x v="1"/>
    <d v="2013-12-16T00:00:00"/>
    <m/>
    <d v="2013-12-16T11:09:40"/>
    <s v="0E466435-0257-40F1-8337-FEDA323F2011"/>
    <b v="0"/>
    <b v="0"/>
    <m/>
  </r>
  <r>
    <s v="AH-64D"/>
    <x v="2"/>
    <x v="96"/>
    <s v="D"/>
    <x v="2"/>
    <d v="2013-12-24T00:00:00"/>
    <m/>
    <d v="2013-12-26T10:48:12"/>
    <s v="4E13E9EC-E8CE-4607-A7DF-2DAF7F222F3F"/>
    <b v="0"/>
    <b v="0"/>
    <m/>
  </r>
  <r>
    <s v="AH-64D"/>
    <x v="2"/>
    <x v="97"/>
    <s v="R"/>
    <x v="0"/>
    <m/>
    <d v="1971-08-22T00:00:00"/>
    <d v="2013-03-27T10:36:24"/>
    <s v="7DDC4528-4C19-41AF-A705-ECC011346B02"/>
    <b v="0"/>
    <b v="0"/>
    <m/>
  </r>
  <r>
    <s v="AH-64D"/>
    <x v="2"/>
    <x v="97"/>
    <s v="R"/>
    <x v="1"/>
    <m/>
    <d v="1948-09-29T00:00:00"/>
    <d v="2013-03-26T09:09:44"/>
    <s v="7DDC4528-4C19-41AF-A705-ECC011346B02"/>
    <b v="0"/>
    <b v="0"/>
    <m/>
  </r>
  <r>
    <s v="AH-64D"/>
    <x v="2"/>
    <x v="97"/>
    <s v="R"/>
    <x v="2"/>
    <m/>
    <d v="1918-05-26T00:00:00"/>
    <d v="2013-03-28T10:12:42"/>
    <s v="7DDC4528-4C19-41AF-A705-ECC011346B02"/>
    <b v="0"/>
    <b v="0"/>
    <m/>
  </r>
  <r>
    <s v="AH-64D"/>
    <x v="2"/>
    <x v="98"/>
    <s v="R"/>
    <x v="0"/>
    <m/>
    <d v="1971-08-22T00:00:00"/>
    <d v="2013-08-08T09:26:33"/>
    <s v="7DDC4528-4C19-41AF-A705-ECC011346B02"/>
    <b v="0"/>
    <b v="0"/>
    <m/>
  </r>
  <r>
    <s v="AH-64D"/>
    <x v="2"/>
    <x v="98"/>
    <s v="R"/>
    <x v="1"/>
    <m/>
    <d v="1948-09-29T00:00:00"/>
    <d v="2012-10-02T20:33:03"/>
    <s v="F0A89E94-6D54-4E35-905C-E00BC0A79AE2"/>
    <b v="0"/>
    <b v="0"/>
    <m/>
  </r>
  <r>
    <s v="AH-64D"/>
    <x v="2"/>
    <x v="98"/>
    <s v="R"/>
    <x v="2"/>
    <m/>
    <d v="1918-05-26T00:00:00"/>
    <d v="2012-07-24T14:23:06"/>
    <s v="C1D70643-8F8F-4398-8B5F-F288F0286B04"/>
    <b v="0"/>
    <b v="0"/>
    <m/>
  </r>
  <r>
    <s v="AH-64D"/>
    <x v="2"/>
    <x v="99"/>
    <s v="M"/>
    <x v="0"/>
    <d v="2013-05-16T00:00:00"/>
    <m/>
    <d v="2013-04-23T14:17:23"/>
    <s v="45DDF286-7119-4DC9-81E1-42FA37532A17"/>
    <b v="0"/>
    <b v="0"/>
    <m/>
  </r>
  <r>
    <s v="AH-64D"/>
    <x v="2"/>
    <x v="99"/>
    <s v="M"/>
    <x v="1"/>
    <d v="2013-05-10T00:00:00"/>
    <m/>
    <d v="2013-05-17T17:02:54"/>
    <s v="CAEC01B0-8E1F-45B1-B08D-73C352AABD30"/>
    <b v="0"/>
    <b v="0"/>
    <m/>
  </r>
  <r>
    <s v="AH-64D"/>
    <x v="2"/>
    <x v="99"/>
    <s v="M"/>
    <x v="2"/>
    <d v="2013-04-19T00:00:00"/>
    <m/>
    <d v="2013-04-22T12:58:35"/>
    <s v="596386C7-48BF-4A7F-BDB3-39B61E324467"/>
    <b v="0"/>
    <b v="0"/>
    <m/>
  </r>
  <r>
    <s v="AH-64D"/>
    <x v="2"/>
    <x v="100"/>
    <s v="R"/>
    <x v="0"/>
    <m/>
    <d v="1971-08-22T00:00:00"/>
    <d v="2012-05-16T20:45:40"/>
    <s v="F3E0EA0B-3F38-4D31-8E42-0D74A8FCCCF0"/>
    <b v="0"/>
    <b v="0"/>
    <m/>
  </r>
  <r>
    <s v="AH-64D"/>
    <x v="2"/>
    <x v="100"/>
    <s v="R"/>
    <x v="1"/>
    <m/>
    <d v="1948-09-29T00:00:00"/>
    <d v="2012-05-10T21:00:59"/>
    <s v="F3E0EA0B-3F38-4D31-8E42-0D74A8FCCCF0"/>
    <b v="0"/>
    <b v="0"/>
    <m/>
  </r>
  <r>
    <s v="AH-64D"/>
    <x v="2"/>
    <x v="100"/>
    <s v="R"/>
    <x v="2"/>
    <m/>
    <d v="1916-01-11T00:00:00"/>
    <d v="2012-04-19T16:00:12"/>
    <s v="EAC0E641-1B16-4DDB-BAF7-0F41E66B94AA"/>
    <b v="0"/>
    <b v="0"/>
    <m/>
  </r>
  <r>
    <s v="AH-64D"/>
    <x v="2"/>
    <x v="101"/>
    <s v="R"/>
    <x v="0"/>
    <m/>
    <d v="1971-08-22T00:00:00"/>
    <d v="2012-05-16T20:45:49"/>
    <s v="F3E0EA0B-3F38-4D31-8E42-0D74A8FCCCF0"/>
    <b v="0"/>
    <b v="0"/>
    <m/>
  </r>
  <r>
    <s v="AH-64D"/>
    <x v="2"/>
    <x v="101"/>
    <s v="R"/>
    <x v="1"/>
    <m/>
    <d v="1948-09-29T00:00:00"/>
    <d v="2012-05-10T21:01:09"/>
    <s v="F3E0EA0B-3F38-4D31-8E42-0D74A8FCCCF0"/>
    <b v="0"/>
    <b v="0"/>
    <m/>
  </r>
  <r>
    <s v="AH-64D"/>
    <x v="2"/>
    <x v="101"/>
    <s v="R"/>
    <x v="2"/>
    <m/>
    <d v="1916-01-11T00:00:00"/>
    <d v="2012-04-19T16:00:30"/>
    <s v="EAC0E641-1B16-4DDB-BAF7-0F41E66B94AA"/>
    <b v="0"/>
    <b v="0"/>
    <m/>
  </r>
  <r>
    <s v="AH-64D"/>
    <x v="2"/>
    <x v="102"/>
    <s v="R"/>
    <x v="0"/>
    <m/>
    <d v="1971-08-22T00:00:00"/>
    <d v="2012-05-16T20:45:56"/>
    <s v="F3E0EA0B-3F38-4D31-8E42-0D74A8FCCCF0"/>
    <b v="0"/>
    <b v="0"/>
    <m/>
  </r>
  <r>
    <s v="AH-64D"/>
    <x v="2"/>
    <x v="102"/>
    <s v="R"/>
    <x v="1"/>
    <m/>
    <d v="1948-09-29T00:00:00"/>
    <d v="2012-05-10T21:01:19"/>
    <s v="F3E0EA0B-3F38-4D31-8E42-0D74A8FCCCF0"/>
    <b v="0"/>
    <b v="0"/>
    <m/>
  </r>
  <r>
    <s v="AH-64D"/>
    <x v="2"/>
    <x v="102"/>
    <s v="R"/>
    <x v="2"/>
    <m/>
    <d v="1916-01-11T00:00:00"/>
    <d v="2012-04-19T16:00:56"/>
    <s v="EAC0E641-1B16-4DDB-BAF7-0F41E66B94AA"/>
    <b v="0"/>
    <b v="0"/>
    <m/>
  </r>
  <r>
    <s v="AH-64D"/>
    <x v="2"/>
    <x v="103"/>
    <s v="R"/>
    <x v="0"/>
    <m/>
    <d v="1971-08-22T00:00:00"/>
    <d v="2012-05-16T20:46:02"/>
    <s v="F3E0EA0B-3F38-4D31-8E42-0D74A8FCCCF0"/>
    <b v="0"/>
    <b v="0"/>
    <m/>
  </r>
  <r>
    <s v="AH-64D"/>
    <x v="2"/>
    <x v="103"/>
    <s v="R"/>
    <x v="1"/>
    <m/>
    <d v="1948-09-29T00:00:00"/>
    <d v="2012-05-10T21:01:25"/>
    <s v="F3E0EA0B-3F38-4D31-8E42-0D74A8FCCCF0"/>
    <b v="0"/>
    <b v="0"/>
    <m/>
  </r>
  <r>
    <s v="AH-64D"/>
    <x v="2"/>
    <x v="103"/>
    <s v="R"/>
    <x v="2"/>
    <m/>
    <d v="1916-01-11T00:00:00"/>
    <d v="2012-04-19T16:01:10"/>
    <s v="EAC0E641-1B16-4DDB-BAF7-0F41E66B94AA"/>
    <b v="0"/>
    <b v="0"/>
    <m/>
  </r>
  <r>
    <s v="AH-64D"/>
    <x v="2"/>
    <x v="104"/>
    <s v="R"/>
    <x v="0"/>
    <m/>
    <d v="1971-08-22T00:00:00"/>
    <d v="2012-05-16T20:46:09"/>
    <s v="F3E0EA0B-3F38-4D31-8E42-0D74A8FCCCF0"/>
    <b v="0"/>
    <b v="0"/>
    <m/>
  </r>
  <r>
    <s v="AH-64D"/>
    <x v="2"/>
    <x v="104"/>
    <s v="R"/>
    <x v="1"/>
    <m/>
    <d v="1948-09-29T00:00:00"/>
    <d v="2012-05-10T21:01:31"/>
    <s v="F3E0EA0B-3F38-4D31-8E42-0D74A8FCCCF0"/>
    <b v="0"/>
    <b v="0"/>
    <m/>
  </r>
  <r>
    <s v="AH-64D"/>
    <x v="2"/>
    <x v="104"/>
    <s v="R"/>
    <x v="2"/>
    <m/>
    <d v="1916-01-11T00:00:00"/>
    <d v="2012-04-19T16:01:26"/>
    <s v="EAC0E641-1B16-4DDB-BAF7-0F41E66B94AA"/>
    <b v="0"/>
    <b v="0"/>
    <m/>
  </r>
  <r>
    <s v="AH-64D"/>
    <x v="2"/>
    <x v="105"/>
    <s v="R"/>
    <x v="0"/>
    <m/>
    <d v="1971-08-22T00:00:00"/>
    <d v="2012-05-16T20:46:22"/>
    <s v="F3E0EA0B-3F38-4D31-8E42-0D74A8FCCCF0"/>
    <b v="0"/>
    <b v="0"/>
    <m/>
  </r>
  <r>
    <s v="AH-64D"/>
    <x v="2"/>
    <x v="105"/>
    <s v="R"/>
    <x v="1"/>
    <m/>
    <d v="1948-09-29T00:00:00"/>
    <d v="2012-05-10T21:01:50"/>
    <s v="F3E0EA0B-3F38-4D31-8E42-0D74A8FCCCF0"/>
    <b v="0"/>
    <b v="0"/>
    <m/>
  </r>
  <r>
    <s v="AH-64D"/>
    <x v="2"/>
    <x v="105"/>
    <s v="R"/>
    <x v="2"/>
    <m/>
    <d v="1916-01-11T00:00:00"/>
    <d v="2012-04-19T16:01:39"/>
    <s v="EAC0E641-1B16-4DDB-BAF7-0F41E66B94AA"/>
    <b v="0"/>
    <b v="0"/>
    <m/>
  </r>
  <r>
    <s v="AH-64D"/>
    <x v="2"/>
    <x v="106"/>
    <s v="H"/>
    <x v="0"/>
    <m/>
    <d v="1914-04-12T14:24:08"/>
    <d v="2013-08-08T00:07:17"/>
    <s v="C672156D-0F83-4E72-8532-E6791EDFF054"/>
    <b v="0"/>
    <b v="0"/>
    <m/>
  </r>
  <r>
    <s v="AH-64D"/>
    <x v="2"/>
    <x v="106"/>
    <s v="H"/>
    <x v="1"/>
    <m/>
    <d v="1910-08-25T16:47:56"/>
    <d v="2013-08-21T23:06:25"/>
    <s v="7433CBA5-1E15-44B7-A256-DED7852F8BF5"/>
    <b v="0"/>
    <b v="0"/>
    <m/>
  </r>
  <r>
    <s v="AH-64D"/>
    <x v="2"/>
    <x v="106"/>
    <s v="H"/>
    <x v="2"/>
    <m/>
    <d v="1912-07-18T16:48:17"/>
    <d v="2012-10-19T12:54:00"/>
    <s v="EFCF7F33-AF0C-493C-958E-09F02EBCF037"/>
    <b v="0"/>
    <b v="0"/>
    <m/>
  </r>
  <r>
    <s v="AH-64D"/>
    <x v="2"/>
    <x v="107"/>
    <s v="H"/>
    <x v="0"/>
    <m/>
    <d v="1914-04-12T14:24:08"/>
    <d v="2013-08-08T00:07:55"/>
    <s v="C672156D-0F83-4E72-8532-E6791EDFF054"/>
    <b v="0"/>
    <b v="0"/>
    <m/>
  </r>
  <r>
    <s v="AH-64D"/>
    <x v="2"/>
    <x v="107"/>
    <s v="H"/>
    <x v="1"/>
    <m/>
    <d v="1909-12-24T02:24:08"/>
    <d v="2012-06-05T20:10:20"/>
    <s v="F3E0EA0B-3F38-4D31-8E42-0D74A8FCCCF0"/>
    <b v="0"/>
    <b v="0"/>
    <m/>
  </r>
  <r>
    <s v="AH-64D"/>
    <x v="2"/>
    <x v="107"/>
    <s v="H"/>
    <x v="2"/>
    <m/>
    <d v="1912-07-18T16:48:17"/>
    <d v="2012-10-19T12:54:11"/>
    <s v="EFCF7F33-AF0C-493C-958E-09F02EBCF037"/>
    <b v="0"/>
    <b v="0"/>
    <m/>
  </r>
  <r>
    <s v="AH-64D"/>
    <x v="2"/>
    <x v="45"/>
    <s v="H"/>
    <x v="0"/>
    <m/>
    <d v="1914-04-12T14:24:08"/>
    <d v="2013-08-08T00:08:14"/>
    <s v="C672156D-0F83-4E72-8532-E6791EDFF054"/>
    <b v="0"/>
    <b v="0"/>
    <m/>
  </r>
  <r>
    <s v="AH-64D"/>
    <x v="2"/>
    <x v="45"/>
    <s v="H"/>
    <x v="1"/>
    <m/>
    <d v="1910-08-25T12:00:00"/>
    <d v="2013-08-23T16:39:40"/>
    <s v="7F94E68D-BCA1-45A2-B91A-1686862BB260"/>
    <b v="0"/>
    <b v="0"/>
    <m/>
  </r>
  <r>
    <s v="AH-64D"/>
    <x v="2"/>
    <x v="45"/>
    <s v="H"/>
    <x v="2"/>
    <m/>
    <d v="1912-11-15T16:48:17"/>
    <d v="2013-09-23T15:12:01"/>
    <s v="A59F7A02-1F06-4584-8B5E-D5D9439831ED"/>
    <b v="0"/>
    <b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">
  <r>
    <x v="0"/>
    <s v="WAFDA0"/>
    <s v="A"/>
    <b v="0"/>
    <s v=""/>
    <s v=""/>
    <s v=""/>
    <d v="1914-07-19T16:48:00"/>
    <d v="1899-12-30T00:00:00"/>
    <s v="X"/>
    <d v="2014-02-19T00:00:00"/>
    <d v="2014-03-07T13:30:51"/>
    <s v=""/>
    <b v="0"/>
    <d v="2014-03-07T13:30:51"/>
    <s v="COMGEN"/>
    <b v="0"/>
    <b v="1"/>
  </r>
  <r>
    <x v="1"/>
    <s v="WAFDA0"/>
    <s v="A"/>
    <b v="0"/>
    <s v=""/>
    <s v=""/>
    <s v=""/>
    <d v="1910-11-16T21:36:00"/>
    <d v="1907-08-10T00:00:00"/>
    <s v="X"/>
    <d v="2014-02-12T00:00:00"/>
    <d v="2014-03-07T13:33:54"/>
    <s v=""/>
    <b v="0"/>
    <d v="2014-03-07T13:33:54"/>
    <s v="COMGEN"/>
    <b v="0"/>
    <b v="1"/>
  </r>
  <r>
    <x v="2"/>
    <s v="WAFDA0"/>
    <s v="A"/>
    <b v="0"/>
    <s v=""/>
    <s v=""/>
    <s v=""/>
    <d v="1912-12-15T12:00:00"/>
    <d v="1910-04-18T02:24:00"/>
    <s v="X"/>
    <d v="2014-01-13T00:00:00"/>
    <d v="2014-03-07T13:43:14"/>
    <s v=""/>
    <b v="0"/>
    <d v="2014-03-07T13:43:14"/>
    <s v="COMGEN"/>
    <b v="0"/>
    <b v="1"/>
  </r>
  <r>
    <x v="3"/>
    <s v="WAFDA0"/>
    <s v="A"/>
    <b v="0"/>
    <m/>
    <m/>
    <m/>
    <m/>
    <d v="1899-12-30T00:00:00"/>
    <m/>
    <m/>
    <m/>
    <m/>
    <b v="0"/>
    <m/>
    <m/>
    <b v="1"/>
    <b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x v="0"/>
    <s v="AH-64D"/>
    <s v="0005187"/>
    <s v="AH64D 1 OCT 12"/>
    <b v="0"/>
    <n v="0"/>
    <n v="26475"/>
    <s v=""/>
    <d v="1915-08-20T14:24:08"/>
    <d v="1899-12-31T00:00:00"/>
    <d v="1899-12-31T00:00:00"/>
    <d v="1899-12-30T00:00:00"/>
    <d v="2013-03-27T00:00:00"/>
    <d v="1899-12-30T00:00:00"/>
    <d v="1899-12-30T00:00:00"/>
    <d v="1899-12-30T00:00:00"/>
    <d v="1899-12-30T00:00:00"/>
    <d v="1899-12-30T00:00:00"/>
    <d v="1899-12-30T00:00:00"/>
    <d v="1909-08-21T00:00:00"/>
    <d v="1900-01-19T00:00:00"/>
    <d v="1901-06-05T09:36:02"/>
    <d v="1899-12-30T00:00:00"/>
    <d v="1905-08-15T00:00:00"/>
    <m/>
    <s v="00000000-0000-0000-0000-000000000000"/>
    <s v=""/>
    <s v=""/>
    <m/>
    <d v="1899-12-30T00:00:00"/>
    <d v="2014-02-18T00:00:00"/>
    <d v="1914-07-18T16:48:17"/>
    <s v=""/>
    <m/>
    <m/>
    <d v="1899-12-30T00:00:00"/>
    <s v="X"/>
    <s v=""/>
    <s v=""/>
    <d v="1901-05-14T00:00:00"/>
    <d v="1899-12-31T00:00:00"/>
    <d v="2014-03-07T13:30:51"/>
    <s v="COMGEN"/>
    <b v="0"/>
    <b v="1"/>
    <d v="1899-12-30T00:00:00"/>
    <d v="1899-12-30T00:00:00"/>
  </r>
  <r>
    <x v="1"/>
    <s v="AH-64D"/>
    <s v="9905119"/>
    <s v="AH64D 1 OCT 12"/>
    <b v="0"/>
    <n v="0"/>
    <n v="18916"/>
    <s v=""/>
    <d v="1911-05-08T02:24:08"/>
    <d v="1899-12-31T00:00:00"/>
    <d v="1899-12-31T00:00:00"/>
    <d v="1899-12-30T00:00:00"/>
    <d v="2009-08-18T00:00:00"/>
    <d v="1899-12-30T00:00:00"/>
    <d v="1899-12-30T00:00:00"/>
    <d v="1899-12-30T00:00:00"/>
    <d v="1899-12-30T00:00:00"/>
    <d v="1899-12-30T00:00:00"/>
    <d v="1899-12-30T00:00:00"/>
    <d v="1906-02-05T00:00:00"/>
    <d v="1900-01-28T00:00:00"/>
    <d v="1900-12-11T19:11:59"/>
    <d v="1900-01-04T16:48:00"/>
    <d v="1903-09-03T00:00:00"/>
    <m/>
    <s v="00000000-0000-0000-0000-000000000000"/>
    <s v=""/>
    <s v=""/>
    <m/>
    <d v="1899-12-30T00:00:00"/>
    <d v="2014-02-12T00:00:00"/>
    <d v="1910-11-15T21:35:52"/>
    <s v=""/>
    <m/>
    <m/>
    <d v="1899-12-30T00:00:00"/>
    <s v="-"/>
    <s v="-"/>
    <s v=""/>
    <d v="1901-05-14T00:00:00"/>
    <d v="1899-12-31T00:00:00"/>
    <d v="2014-03-07T13:33:54"/>
    <s v="COMGEN"/>
    <b v="0"/>
    <b v="1"/>
    <d v="1899-12-30T00:00:00"/>
    <d v="1899-12-30T00:00:00"/>
  </r>
  <r>
    <x v="2"/>
    <s v="AH-64D"/>
    <s v="9905141"/>
    <s v="AH64D 1 OCT 12"/>
    <b v="0"/>
    <n v="5725"/>
    <n v="7331"/>
    <s v=""/>
    <d v="1913-11-25T16:48:17"/>
    <d v="1899-12-31T00:00:00"/>
    <d v="1899-12-31T00:00:00"/>
    <d v="1899-12-30T00:00:00"/>
    <d v="2009-04-21T00:00:00"/>
    <d v="1899-12-30T00:00:00"/>
    <d v="1899-12-30T00:00:00"/>
    <d v="1899-12-30T00:00:00"/>
    <d v="1899-12-30T00:00:00"/>
    <d v="1899-12-30T00:00:00"/>
    <d v="1899-12-30T00:00:00"/>
    <d v="1903-10-05T00:00:00"/>
    <d v="1900-01-11T00:00:00"/>
    <d v="1909-03-22T21:35:52"/>
    <d v="1899-12-31T19:12:00"/>
    <d v="1904-06-27T00:00:00"/>
    <m/>
    <s v="00000000-0000-0000-0000-000000000000"/>
    <s v=""/>
    <s v=""/>
    <m/>
    <d v="1899-12-30T00:00:00"/>
    <d v="2014-02-18T00:00:00"/>
    <d v="1912-12-15T12:00:00"/>
    <s v=""/>
    <m/>
    <m/>
    <d v="1899-12-30T00:00:00"/>
    <s v="-"/>
    <s v=""/>
    <s v=""/>
    <d v="1901-05-14T00:00:00"/>
    <d v="1899-12-31T00:00:00"/>
    <d v="2014-03-07T13:43:14"/>
    <s v="COMGEN"/>
    <b v="0"/>
    <b v="1"/>
    <d v="1899-12-30T00:00:00"/>
    <d v="1899-12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F17" firstHeaderRow="1" firstDataRow="2" firstDataCol="1"/>
  <pivotFields count="12">
    <pivotField numFmtId="168" showAll="0"/>
    <pivotField axis="axisRow" numFmtId="168" showAll="0">
      <items count="4">
        <item x="0"/>
        <item x="1"/>
        <item x="2"/>
        <item t="default"/>
      </items>
    </pivotField>
    <pivotField axis="axisCol" numFmtId="168" showAll="0">
      <items count="115">
        <item x="2"/>
        <item x="3"/>
        <item x="4"/>
        <item x="6"/>
        <item x="7"/>
        <item x="9"/>
        <item x="10"/>
        <item x="11"/>
        <item x="12"/>
        <item x="13"/>
        <item x="14"/>
        <item x="15"/>
        <item x="17"/>
        <item x="19"/>
        <item x="20"/>
        <item x="21"/>
        <item x="22"/>
        <item x="23"/>
        <item x="9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m="1" x="112"/>
        <item m="1" x="109"/>
        <item m="1" x="111"/>
        <item m="1" x="108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0"/>
        <item x="86"/>
        <item x="87"/>
        <item x="88"/>
        <item x="89"/>
        <item x="91"/>
        <item m="1" x="110"/>
        <item x="93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"/>
        <item x="8"/>
        <item x="16"/>
        <item x="18"/>
        <item m="1" x="113"/>
        <item x="94"/>
        <item x="96"/>
        <item x="5"/>
        <item x="53"/>
        <item x="90"/>
        <item t="default"/>
      </items>
    </pivotField>
    <pivotField numFmtId="168" showAll="0"/>
    <pivotField axis="axisRow" numFmtId="168" showAll="0">
      <items count="4">
        <item x="0"/>
        <item x="1"/>
        <item x="2"/>
        <item t="default"/>
      </items>
    </pivotField>
    <pivotField numFmtId="168" showAll="0"/>
    <pivotField dataField="1" numFmtId="168" showAll="0"/>
    <pivotField numFmtId="22" showAll="0"/>
    <pivotField numFmtId="168" showAll="0"/>
    <pivotField numFmtId="168" showAll="0"/>
    <pivotField numFmtId="168" showAll="0"/>
    <pivotField showAll="0" defaultSubtotal="0"/>
  </pivotFields>
  <rowFields count="2">
    <field x="1"/>
    <field x="4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10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2"/>
    </i>
    <i>
      <x v="113"/>
    </i>
    <i t="grand">
      <x/>
    </i>
  </colItems>
  <dataFields count="1">
    <dataField name="Max of INSP_VAL" fld="6" subtotal="max" baseField="0" baseItem="0" numFmtId="2"/>
  </dataFields>
  <formats count="6"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7">
      <pivotArea dataOnly="0" labelOnly="1" fieldPosition="0">
        <references count="1">
          <reference field="2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6">
      <pivotArea dataOnly="0" labelOnly="1" fieldPosition="0">
        <references count="1">
          <reference field="2" count="1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55">
      <pivotArea dataOnly="0" labelOnly="1" grandCol="1" outline="0" fieldPosition="0"/>
    </format>
    <format dxfId="5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8" firstHeaderRow="1" firstDataRow="1" firstDataCol="1"/>
  <pivotFields count="18">
    <pivotField axis="axisRow" numFmtId="168" showAll="0">
      <items count="5">
        <item x="0"/>
        <item x="1"/>
        <item x="2"/>
        <item x="3"/>
        <item t="default"/>
      </items>
    </pivotField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dataField="1" numFmtId="168" showAll="0"/>
    <pivotField numFmtId="168" showAll="0"/>
    <pivotField numFmtId="168" showAll="0"/>
    <pivotField numFmtId="22" showAll="0"/>
    <pivotField numFmtId="168" showAll="0"/>
    <pivotField numFmtId="168" showAll="0"/>
    <pivotField numFmtId="168" showAll="0"/>
    <pivotField numFmtId="22" showAll="0"/>
    <pivotField numFmtId="168" showAll="0"/>
    <pivotField numFmtId="168" showAll="0"/>
    <pivotField numFmtId="168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EI_BEG_AGE" fld="7" baseField="0" baseItem="0" numFmtId="166"/>
  </dataFields>
  <formats count="2">
    <format dxfId="53">
      <pivotArea outline="0" collapsedLevelsAreSubtotals="1" fieldPosition="0"/>
    </format>
    <format dxfId="52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F17" firstHeaderRow="1" firstDataRow="2" firstDataCol="1"/>
  <pivotFields count="12">
    <pivotField numFmtId="168" showAll="0"/>
    <pivotField axis="axisRow" numFmtId="168" showAll="0">
      <items count="4">
        <item x="0"/>
        <item x="1"/>
        <item x="2"/>
        <item t="default"/>
      </items>
    </pivotField>
    <pivotField axis="axisCol" numFmtId="168" showAll="0">
      <items count="115">
        <item x="2"/>
        <item x="3"/>
        <item x="4"/>
        <item x="6"/>
        <item x="7"/>
        <item x="9"/>
        <item x="10"/>
        <item x="11"/>
        <item x="12"/>
        <item x="13"/>
        <item x="14"/>
        <item x="15"/>
        <item x="17"/>
        <item x="19"/>
        <item x="20"/>
        <item x="21"/>
        <item x="22"/>
        <item x="23"/>
        <item x="9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m="1" x="112"/>
        <item m="1" x="109"/>
        <item m="1" x="111"/>
        <item m="1" x="108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0"/>
        <item x="86"/>
        <item x="87"/>
        <item x="88"/>
        <item x="89"/>
        <item x="91"/>
        <item m="1" x="110"/>
        <item x="93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"/>
        <item x="8"/>
        <item x="16"/>
        <item x="18"/>
        <item m="1" x="113"/>
        <item x="94"/>
        <item x="96"/>
        <item x="5"/>
        <item x="53"/>
        <item x="90"/>
        <item t="default"/>
      </items>
    </pivotField>
    <pivotField numFmtId="168" showAll="0"/>
    <pivotField axis="axisRow" numFmtId="168" showAll="0">
      <items count="4">
        <item x="0"/>
        <item x="1"/>
        <item x="2"/>
        <item t="default"/>
      </items>
    </pivotField>
    <pivotField dataField="1" numFmtId="168" showAll="0"/>
    <pivotField numFmtId="168" showAll="0"/>
    <pivotField numFmtId="22" showAll="0"/>
    <pivotField numFmtId="168" showAll="0"/>
    <pivotField numFmtId="168" showAll="0"/>
    <pivotField numFmtId="168" showAll="0"/>
    <pivotField showAll="0" defaultSubtotal="0"/>
  </pivotFields>
  <rowFields count="2">
    <field x="1"/>
    <field x="4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10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2"/>
    </i>
    <i>
      <x v="113"/>
    </i>
    <i t="grand">
      <x/>
    </i>
  </colItems>
  <dataFields count="1">
    <dataField name="Max of INSP_DATE" fld="5" subtotal="max" baseField="0" baseItem="0" numFmtId="168"/>
  </dataFields>
  <formats count="5"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9">
      <pivotArea dataOnly="0" labelOnly="1" fieldPosition="0">
        <references count="1">
          <reference field="2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8">
      <pivotArea dataOnly="0" labelOnly="1" fieldPosition="0">
        <references count="1">
          <reference field="2" count="1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47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7" firstHeaderRow="1" firstDataRow="1" firstDataCol="1"/>
  <pivotFields count="47"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numFmtId="1" showAll="0"/>
    <pivotField dataField="1" numFmtId="1" showAll="0"/>
    <pivotField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numFmtId="168"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showAll="0"/>
    <pivotField showAll="0"/>
    <pivotField numFmtId="168"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showAll="0"/>
    <pivotField showAll="0"/>
    <pivotField numFmtId="168" showAll="0"/>
    <pivotField numFmtId="168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Max of CURR_RNDS" fld="6" subtotal="max" baseField="0" baseItem="0" numFmtId="1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10.2.1.2 1-4AHB READ_DAILY" connectionId="3" autoFormatId="16" applyNumberFormats="0" applyBorderFormats="0" applyFontFormats="0" applyPatternFormats="0" applyAlignmentFormats="0" applyWidthHeightFormats="0">
  <queryTableRefresh nextId="35">
    <queryTableFields count="18">
      <queryTableField id="1" name="END_PER_DATE" tableColumnId="1"/>
      <queryTableField id="2" name="UIC" tableColumnId="2"/>
      <queryTableField id="3" name="EI_MODEL" tableColumnId="3"/>
      <queryTableField id="4" name="EI_ID" tableColumnId="4"/>
      <queryTableField id="5" name="DAY" tableColumnId="5"/>
      <queryTableField id="6" name="FMC" tableColumnId="6"/>
      <queryTableField id="7" name="PMCS" tableColumnId="7"/>
      <queryTableField id="8" name="PMCM" tableColumnId="8"/>
      <queryTableField id="9" name="NMCS" tableColumnId="9"/>
      <queryTableField id="10" name="NMCM_DEP" tableColumnId="10"/>
      <queryTableField id="11" name="NMCM_INT" tableColumnId="11"/>
      <queryTableField id="12" name="NMCM_UNIT" tableColumnId="12"/>
      <queryTableField id="13" name="FLY_HOURS" tableColumnId="13"/>
      <queryTableField id="14" name="LANDINGS" tableColumnId="14"/>
      <queryTableField id="32" dataBound="0" tableColumnId="15"/>
      <queryTableField id="33" dataBound="0" tableColumnId="16"/>
      <queryTableField id="34" dataBound="0" tableColumnId="17"/>
      <queryTableField id="25" name="PER_DATE" tableColumnId="25"/>
    </queryTableFields>
    <queryTableDeletedFields count="16">
      <deletedField name="AUTO"/>
      <deletedField name="PMCS_CODE"/>
      <deletedField name="PMCM_CODE"/>
      <deletedField name="REASON_NMC"/>
      <deletedField name="MNT_LVL"/>
      <deletedField name="DATE_DOWN"/>
      <deletedField name="DATE_MC"/>
      <deletedField name="TDY_LOC"/>
      <deletedField name="LOCATION"/>
      <deletedField name="NMC_REMARKS"/>
      <deletedField name="DATE_TIME_STAMP"/>
      <deletedField name="PID_STAMP"/>
      <deletedField name="DEL_FLAG"/>
      <deletedField name="UPDATE_FLAG"/>
      <deletedField name="SELECTED_FSED"/>
      <deletedField name="MNT_EVENT_TF"/>
    </queryTableDeletedFields>
  </queryTableRefresh>
</queryTable>
</file>

<file path=xl/queryTables/queryTable2.xml><?xml version="1.0" encoding="utf-8"?>
<queryTable xmlns="http://schemas.openxmlformats.org/spreadsheetml/2006/main" name="10.2.1.2 1-4AHB v_gen_READINESS" connectionId="5" autoFormatId="16" applyNumberFormats="0" applyBorderFormats="0" applyFontFormats="0" applyPatternFormats="0" applyAlignmentFormats="0" applyWidthHeightFormats="0">
  <queryTableRefresh nextId="53">
    <queryTableFields count="48">
      <queryTableField id="5" name="EI_ID" tableColumnId="5"/>
      <queryTableField id="6" name="DAY" tableColumnId="6"/>
      <queryTableField id="7" name="FMC" tableColumnId="7"/>
      <queryTableField id="8" name="PMCS" tableColumnId="8"/>
      <queryTableField id="9" name="PMCM" tableColumnId="9"/>
      <queryTableField id="10" name="NMCS" tableColumnId="10"/>
      <queryTableField id="11" name="NMCM_DEP" tableColumnId="11"/>
      <queryTableField id="12" name="NMCM_INT" tableColumnId="12"/>
      <queryTableField id="13" name="NMCM_UNIT" tableColumnId="13"/>
      <queryTableField id="14" name="FLY_HOURS" tableColumnId="14"/>
      <queryTableField id="15" name="LANDINGS" tableColumnId="15"/>
      <queryTableField id="16" name="AUTO" tableColumnId="16"/>
      <queryTableField id="17" name="PMCS_CODE" tableColumnId="17"/>
      <queryTableField id="18" name="PMCM_CODE" tableColumnId="18"/>
      <queryTableField id="19" name="REASON_NMC" tableColumnId="19"/>
      <queryTableField id="20" name="MNT_LVL" tableColumnId="20"/>
      <queryTableField id="21" name="DATE_DOWN" tableColumnId="21"/>
      <queryTableField id="22" name="DATE_MC" tableColumnId="22"/>
      <queryTableField id="23" name="TDY_LOC" tableColumnId="23"/>
      <queryTableField id="24" name="LOCATION" tableColumnId="24"/>
      <queryTableField id="25" name="NMC_REMARKS" tableColumnId="25"/>
      <queryTableField id="26" name="PER_DATE" tableColumnId="26"/>
      <queryTableField id="27" name="DATE_TIME_STAMP" tableColumnId="27"/>
      <queryTableField id="28" name="PID_STAMP" tableColumnId="28"/>
      <queryTableField id="29" name="DEL_FLAG" tableColumnId="29"/>
      <queryTableField id="30" name="UPDATE_FLAG" tableColumnId="30"/>
      <queryTableField id="31" name="LEVEL" tableColumnId="31"/>
      <queryTableField id="32" name="FAULT_EI_ID" tableColumnId="32"/>
      <queryTableField id="33" name="FAULT_EVENT_DATE" tableColumnId="33"/>
      <queryTableField id="34" name="FAULT_EVENT_NO" tableColumnId="34"/>
      <queryTableField id="35" name="FAULT_SYS_CODE" tableColumnId="35"/>
      <queryTableField id="36" name="FAULT_CLOSED" tableColumnId="36"/>
      <queryTableField id="37" name="FAULT_STATUS" tableColumnId="37"/>
      <queryTableField id="38" name="EI_STATUS" tableColumnId="38"/>
      <queryTableField id="39" name="UIC_TEMP" tableColumnId="39"/>
      <queryTableField id="40" name="EI_HRS" tableColumnId="40"/>
      <queryTableField id="41" name="LAST_MIGRATION_DT" tableColumnId="41"/>
      <queryTableField id="42" name="EI_SN" tableColumnId="42"/>
      <queryTableField id="43" name="PHASE_DUE" tableColumnId="43"/>
      <queryTableField id="44" name="PHASE_ID" tableColumnId="44"/>
      <queryTableField id="45" name="Readiness_Events" tableColumnId="45"/>
      <queryTableField id="46" name="Parts" tableColumnId="46"/>
      <queryTableField id="47" name="WorkOrders" tableColumnId="47"/>
      <queryTableField id="48" name="MOC_EVENT_DATE" tableColumnId="48"/>
      <queryTableField id="49" name="MOC_EVENT_NO" tableColumnId="49"/>
      <queryTableField id="50" name="MOC_CLOSED" tableColumnId="50"/>
      <queryTableField id="51" name="TEMP_XFR" tableColumnId="51"/>
      <queryTableField id="52" name="UIC_TEMP_XFR" tableColumnId="52"/>
    </queryTableFields>
    <queryTableDeletedFields count="4">
      <deletedField name="Expr1"/>
      <deletedField name="END_PER_DATE"/>
      <deletedField name="UIC"/>
      <deletedField name="EI_MODEL"/>
    </queryTableDeletedFields>
  </queryTableRefresh>
</queryTable>
</file>

<file path=xl/queryTables/queryTable3.xml><?xml version="1.0" encoding="utf-8"?>
<queryTable xmlns="http://schemas.openxmlformats.org/spreadsheetml/2006/main" name="10.2.1.2 1-4AHB ENDITEM" connectionId="2" autoFormatId="16" applyNumberFormats="0" applyBorderFormats="0" applyFontFormats="0" applyPatternFormats="0" applyAlignmentFormats="0" applyWidthHeightFormats="0">
  <queryTableRefresh nextId="19">
    <queryTableFields count="18">
      <queryTableField id="1" name="EI_ID" tableColumnId="1"/>
      <queryTableField id="2" name="UIC_OWN" tableColumnId="2"/>
      <queryTableField id="3" name="EI_TYPE" tableColumnId="3"/>
      <queryTableField id="4" name="TEMP_XFR" tableColumnId="4"/>
      <queryTableField id="5" name="UIC_TEMP_XFR" tableColumnId="5"/>
      <queryTableField id="6" name="UIC_TEMP" tableColumnId="6"/>
      <queryTableField id="7" name="EI_ID_ATTCHD" tableColumnId="7"/>
      <queryTableField id="8" name="EI_BEG_AGE" tableColumnId="8"/>
      <queryTableField id="9" name="EI_START_AGE" tableColumnId="9"/>
      <queryTableField id="10" name="STATUS" tableColumnId="10"/>
      <queryTableField id="11" name="LAST_DATE_USE" tableColumnId="11"/>
      <queryTableField id="12" name="LAST_FP" tableColumnId="12"/>
      <queryTableField id="13" name="REMARKS" tableColumnId="13"/>
      <queryTableField id="14" name="PURGE_MPS" tableColumnId="14"/>
      <queryTableField id="15" name="DATE_TIME_STAMP" tableColumnId="15"/>
      <queryTableField id="16" name="PID_STAMP" tableColumnId="16"/>
      <queryTableField id="17" name="DEL_FLAG" tableColumnId="17"/>
      <queryTableField id="18" name="UPDATE_FLAG" tableColumnId="18"/>
    </queryTableFields>
  </queryTableRefresh>
</queryTable>
</file>

<file path=xl/queryTables/queryTable4.xml><?xml version="1.0" encoding="utf-8"?>
<queryTable xmlns="http://schemas.openxmlformats.org/spreadsheetml/2006/main" name="10.2.1.2 1-4AHB v_gen_TBO" connectionId="6" autoFormatId="16" applyNumberFormats="0" applyBorderFormats="0" applyFontFormats="0" applyPatternFormats="0" applyAlignmentFormats="0" applyWidthHeightFormats="0">
  <queryTableRefresh nextId="44">
    <queryTableFields count="13">
      <queryTableField id="4" name="EI_SN" tableColumnId="4"/>
      <queryTableField id="36" dataBound="0" tableColumnId="1"/>
      <queryTableField id="5" name="PN" tableColumnId="5"/>
      <queryTableField id="37" dataBound="0" tableColumnId="2"/>
      <queryTableField id="8" name="PART_NOMEN" tableColumnId="8"/>
      <queryTableField id="38" dataBound="0" tableColumnId="3"/>
      <queryTableField id="9" name="NSN" tableColumnId="9"/>
      <queryTableField id="39" dataBound="0" tableColumnId="6"/>
      <queryTableField id="10" name="EI_BEG_AGE" tableColumnId="10"/>
      <queryTableField id="42" dataBound="0" tableColumnId="12"/>
      <queryTableField id="16" name="NO_OVHLS" tableColumnId="16"/>
      <queryTableField id="23" name="REALDUE" tableColumnId="23"/>
      <queryTableField id="30" name="COMP_RMVD" tableColumnId="30"/>
    </queryTableFields>
    <queryTableDeletedFields count="27">
      <deletedField name="EI_ID"/>
      <deletedField name="UIC_OWN"/>
      <deletedField name="EI_MODEL"/>
      <deletedField name="PART_SN"/>
      <deletedField name="CONFIG_CODE"/>
      <deletedField name="WUC"/>
      <deletedField name="TBO"/>
      <deletedField name="ALQ_CURR"/>
      <deletedField name="C_CURR"/>
      <deletedField name="TSOH"/>
      <deletedField name="C_INST_HRS"/>
      <deletedField name="N_INST_HRS"/>
      <deletedField name="DIFF_TBO"/>
      <deletedField name="EI_TYPE"/>
      <deletedField name="TEMPTBO"/>
      <deletedField name="RPT_CYC_D"/>
      <deletedField name="RPT_CYC_E"/>
      <deletedField name="RPT_CYC_F"/>
      <deletedField name="RPT_CYC_G"/>
      <deletedField name="RPT_CYC_I"/>
      <deletedField name="RPT_CYC_J"/>
      <deletedField name="COMP_EX"/>
      <deletedField name="NEXT_HIGH_WUC"/>
      <deletedField name="NEXT_HIGH_PN"/>
      <deletedField name="NEXT_HIGH_SN"/>
      <deletedField name="NEXT_HIGH_CONFIG"/>
      <deletedField name="COMP_TYPE"/>
    </queryTableDeletedFields>
  </queryTableRefresh>
</queryTable>
</file>

<file path=xl/queryTables/queryTable5.xml><?xml version="1.0" encoding="utf-8"?>
<queryTable xmlns="http://schemas.openxmlformats.org/spreadsheetml/2006/main" name="10.2.1.2 1-4AHB EIACFT" connectionId="1" autoFormatId="16" applyNumberFormats="0" applyBorderFormats="0" applyFontFormats="0" applyPatternFormats="0" applyAlignmentFormats="0" applyWidthHeightFormats="0">
  <queryTableRefresh nextId="48">
    <queryTableFields count="47">
      <queryTableField id="1" name="EI_ID" tableColumnId="1"/>
      <queryTableField id="2" name="EI_MODEL" tableColumnId="2"/>
      <queryTableField id="3" name="EI_SN" tableColumnId="3"/>
      <queryTableField id="4" name="MISSION_MODEL" tableColumnId="4"/>
      <queryTableField id="5" name="INDEPENDENT" tableColumnId="5"/>
      <queryTableField id="6" name="START_RNDS" tableColumnId="6"/>
      <queryTableField id="7" name="CURR_RNDS" tableColumnId="7"/>
      <queryTableField id="8" name="EI_MODE" tableColumnId="8"/>
      <queryTableField id="9" name="PHASE_DUE" tableColumnId="9"/>
      <queryTableField id="10" name="PHASE_NO" tableColumnId="10"/>
      <queryTableField id="11" name="CYCLE_NUM_DUE" tableColumnId="11"/>
      <queryTableField id="12" name="CYCLE_DUE_HRS" tableColumnId="12"/>
      <queryTableField id="13" name="CYCLE_START_DATE" tableColumnId="13"/>
      <queryTableField id="14" name="ITERATION" tableColumnId="14"/>
      <queryTableField id="15" name="HRS_PER_CYCLE" tableColumnId="15"/>
      <queryTableField id="16" name="FRONT_TOL" tableColumnId="16"/>
      <queryTableField id="17" name="BACK_TOL" tableColumnId="17"/>
      <queryTableField id="18" name="HSF" tableColumnId="18"/>
      <queryTableField id="19" name="LAND_CYCLES" tableColumnId="19"/>
      <queryTableField id="20" name="LANDINGS" tableColumnId="20"/>
      <queryTableField id="21" name="LANDINGS_AUTO" tableColumnId="21"/>
      <queryTableField id="22" name="APU_HOURS" tableColumnId="22"/>
      <queryTableField id="23" name="APU_HR_METER" tableColumnId="23"/>
      <queryTableField id="24" name="APU_STARTS" tableColumnId="24"/>
      <queryTableField id="25" name="APU_DATE_RD" tableColumnId="25"/>
      <queryTableField id="26" name="APU_PID" tableColumnId="26"/>
      <queryTableField id="27" name="CRCHIEF_PID" tableColumnId="27"/>
      <queryTableField id="28" name="SUPRVSR_PID" tableColumnId="28"/>
      <queryTableField id="29" name="DATE10HR14DAY" tableColumnId="29"/>
      <queryTableField id="30" name="HRS10HR14DAY" tableColumnId="30"/>
      <queryTableField id="31" name="PMD_DATE" tableColumnId="31"/>
      <queryTableField id="32" name="PMD_HOURS" tableColumnId="32"/>
      <queryTableField id="33" name="PMD_PID" tableColumnId="33"/>
      <queryTableField id="34" name="LASTMIGDATE" tableColumnId="34"/>
      <queryTableField id="35" name="LASTMIGTIME" tableColumnId="35"/>
      <queryTableField id="36" name="RIN" tableColumnId="36"/>
      <queryTableField id="37" name="STATUS_E" tableColumnId="37"/>
      <queryTableField id="38" name="STATUS_W" tableColumnId="38"/>
      <queryTableField id="39" name="STATUS_O" tableColumnId="39"/>
      <queryTableField id="40" name="PHASE_INT" tableColumnId="40"/>
      <queryTableField id="41" name="MAX_CYCLES" tableColumnId="41"/>
      <queryTableField id="42" name="DATE_TIME_STAMP" tableColumnId="42"/>
      <queryTableField id="43" name="PID_STAMP" tableColumnId="43"/>
      <queryTableField id="44" name="DEL_FLAG" tableColumnId="44"/>
      <queryTableField id="45" name="UPDATE_FLAG" tableColumnId="45"/>
      <queryTableField id="46" name="AIRCRAFT_TYPE" tableColumnId="46"/>
      <queryTableField id="47" name="HOV_AUTO" tableColumnId="47"/>
    </queryTableFields>
  </queryTableRefresh>
</queryTable>
</file>

<file path=xl/queryTables/queryTable6.xml><?xml version="1.0" encoding="utf-8"?>
<queryTable xmlns="http://schemas.openxmlformats.org/spreadsheetml/2006/main" name="10.2.1.2. 1-4AHB MIG_LOG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TAG_ID" tableColumnId="1"/>
      <queryTableField id="2" name="MIG_SEQ_NO" tableColumnId="2"/>
      <queryTableField id="3" name="MIG_FAILED" tableColumnId="3"/>
      <queryTableField id="4" name="DATE_TIME_STAMP" tableColumnId="4"/>
      <queryTableField id="5" name="PID_STAMP" tableColumnId="5"/>
      <queryTableField id="6" name="DEL_FLAG" tableColumnId="6"/>
      <queryTableField id="7" name="UPDATE_FLAG" tableColumnId="7"/>
    </queryTableFields>
  </queryTableRefresh>
</queryTable>
</file>

<file path=xl/queryTables/queryTable7.xml><?xml version="1.0" encoding="utf-8"?>
<queryTable xmlns="http://schemas.openxmlformats.org/spreadsheetml/2006/main" name="10.2.1.2 1-4AHB SCH_INSP" connectionId="4" autoFormatId="16" applyNumberFormats="0" applyBorderFormats="0" applyFontFormats="0" applyPatternFormats="0" applyAlignmentFormats="0" applyWidthHeightFormats="0">
  <queryTableRefresh nextId="13">
    <queryTableFields count="12">
      <queryTableField id="1" name="EI_MODEL" tableColumnId="1"/>
      <queryTableField id="2" name="SYS_CODE" tableColumnId="2"/>
      <queryTableField id="3" name="INSP_NO" tableColumnId="3"/>
      <queryTableField id="4" name="FRQ_TYPE" tableColumnId="4"/>
      <queryTableField id="5" name="EI_ID" tableColumnId="5"/>
      <queryTableField id="6" name="INSP_DATE" tableColumnId="6"/>
      <queryTableField id="7" name="INSP_VAL" tableColumnId="7"/>
      <queryTableField id="8" name="DATE_TIME_STAMP" tableColumnId="8"/>
      <queryTableField id="9" name="PID_STAMP" tableColumnId="9"/>
      <queryTableField id="10" name="DEL_FLAG" tableColumnId="10"/>
      <queryTableField id="11" name="UPDATE_FLAG" tableColumnId="11"/>
      <queryTableField id="12" name="ASSOC_FAULT_GUID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1" name="Table__10.2.1.2_1_4AHB_READ_DAILY" displayName="Table__10.2.1.2_1_4AHB_READ_DAILY" ref="A1:R85" tableType="queryTable" totalsRowShown="0">
  <autoFilter ref="A1:R85"/>
  <tableColumns count="18">
    <tableColumn id="1" uniqueName="1" name="END_PER_DATE" queryTableFieldId="1"/>
    <tableColumn id="2" uniqueName="2" name="UIC" queryTableFieldId="2"/>
    <tableColumn id="3" uniqueName="3" name="EI_MODEL" queryTableFieldId="3"/>
    <tableColumn id="4" uniqueName="4" name="EI_ID" queryTableFieldId="4"/>
    <tableColumn id="5" uniqueName="5" name="DAY" queryTableFieldId="5" dataDxfId="16"/>
    <tableColumn id="6" uniqueName="6" name="FMC" queryTableFieldId="6" dataDxfId="15"/>
    <tableColumn id="7" uniqueName="7" name="PMCS" queryTableFieldId="7" dataDxfId="14"/>
    <tableColumn id="8" uniqueName="8" name="PMCM" queryTableFieldId="8" dataDxfId="13"/>
    <tableColumn id="9" uniqueName="9" name="NMCS" queryTableFieldId="9" dataDxfId="12"/>
    <tableColumn id="10" uniqueName="10" name="NMCM_DEP" queryTableFieldId="10" dataDxfId="11"/>
    <tableColumn id="11" uniqueName="11" name="NMCM_INT" queryTableFieldId="11" dataDxfId="10"/>
    <tableColumn id="12" uniqueName="12" name="NMCM_UNIT" queryTableFieldId="12" dataDxfId="9"/>
    <tableColumn id="13" uniqueName="13" name="FLY_HOURS" queryTableFieldId="13" dataDxfId="8"/>
    <tableColumn id="14" uniqueName="14" name="LANDINGS" queryTableFieldId="14" dataDxfId="7"/>
    <tableColumn id="15" uniqueName="15" name="HOURS" queryTableFieldId="32" dataDxfId="6">
      <calculatedColumnFormula>IF(Table__10.2.1.2_1_4AHB_READ_DAILY[[#This Row],[PER_DATE]]&gt;SUM(V54196-30), Table__10.2.1.2_1_4AHB_READ_DAILY[[#This Row],[FLY_HOURS]],0)</calculatedColumnFormula>
    </tableColumn>
    <tableColumn id="16" uniqueName="16" name="FMC3" queryTableFieldId="33" dataDxfId="5">
      <calculatedColumnFormula>IF(AND(Table__10.2.1.2_1_4AHB_READ_DAILY[[#This Row],[PER_DATE]]&gt;SUM(V54196-30), Table__10.2.1.2_1_4AHB_READ_DAILY[[#This Row],[PER_DATE]]&lt;SUM(TODAY()+1)),Table__10.2.1.2_1_4AHB_READ_DAILY[[#This Row],[FMC]],0)</calculatedColumnFormula>
    </tableColumn>
    <tableColumn id="17" uniqueName="17" name="O/H2" queryTableFieldId="34" dataDxfId="4">
      <calculatedColumnFormula>IF(AND(Table__10.2.1.2_1_4AHB_READ_DAILY[[#This Row],[PER_DATE]]&gt;SUM(V54196-30), Table__10.2.1.2_1_4AHB_READ_DAILY[[#This Row],[PER_DATE]]&lt;SUM(TODAY()+1)),24,0)</calculatedColumnFormula>
    </tableColumn>
    <tableColumn id="25" uniqueName="25" name="PER_DATE" queryTableFieldId="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2" name="Table__10.2.1.2_1_4AHB_v_gen_READINESS" displayName="Table__10.2.1.2_1_4AHB_v_gen_READINESS" ref="A1:AV4" tableType="queryTable" totalsRowShown="0">
  <autoFilter ref="A1:AV4"/>
  <tableColumns count="48">
    <tableColumn id="5" uniqueName="5" name="EI_ID" queryTableFieldId="5"/>
    <tableColumn id="6" uniqueName="6" name="DAY" queryTableFieldId="6"/>
    <tableColumn id="7" uniqueName="7" name="FMC" queryTableFieldId="7"/>
    <tableColumn id="8" uniqueName="8" name="PMCS" queryTableFieldId="8"/>
    <tableColumn id="9" uniqueName="9" name="PMCM" queryTableFieldId="9"/>
    <tableColumn id="10" uniqueName="10" name="NMCS" queryTableFieldId="10"/>
    <tableColumn id="11" uniqueName="11" name="NMCM_DEP" queryTableFieldId="11"/>
    <tableColumn id="12" uniqueName="12" name="NMCM_INT" queryTableFieldId="12"/>
    <tableColumn id="13" uniqueName="13" name="NMCM_UNIT" queryTableFieldId="13"/>
    <tableColumn id="14" uniqueName="14" name="FLY_HOURS" queryTableFieldId="14"/>
    <tableColumn id="15" uniqueName="15" name="LANDINGS" queryTableFieldId="15"/>
    <tableColumn id="16" uniqueName="16" name="AUTO" queryTableFieldId="16"/>
    <tableColumn id="17" uniqueName="17" name="PMCS_CODE" queryTableFieldId="17"/>
    <tableColumn id="18" uniqueName="18" name="PMCM_CODE" queryTableFieldId="18"/>
    <tableColumn id="19" uniqueName="19" name="REASON_NMC" queryTableFieldId="19"/>
    <tableColumn id="20" uniqueName="20" name="MNT_LVL" queryTableFieldId="20"/>
    <tableColumn id="21" uniqueName="21" name="DATE_DOWN" queryTableFieldId="21"/>
    <tableColumn id="22" uniqueName="22" name="DATE_MC" queryTableFieldId="22"/>
    <tableColumn id="23" uniqueName="23" name="TDY_LOC" queryTableFieldId="23"/>
    <tableColumn id="24" uniqueName="24" name="LOCATION" queryTableFieldId="24"/>
    <tableColumn id="25" uniqueName="25" name="NMC_REMARKS" queryTableFieldId="25"/>
    <tableColumn id="26" uniqueName="26" name="PER_DATE" queryTableFieldId="26"/>
    <tableColumn id="27" uniqueName="27" name="DATE_TIME_STAMP" queryTableFieldId="27"/>
    <tableColumn id="28" uniqueName="28" name="PID_STAMP" queryTableFieldId="28"/>
    <tableColumn id="29" uniqueName="29" name="DEL_FLAG" queryTableFieldId="29"/>
    <tableColumn id="30" uniqueName="30" name="UPDATE_FLAG" queryTableFieldId="30"/>
    <tableColumn id="31" uniqueName="31" name="LEVEL" queryTableFieldId="31"/>
    <tableColumn id="32" uniqueName="32" name="FAULT_EI_ID" queryTableFieldId="32"/>
    <tableColumn id="33" uniqueName="33" name="FAULT_EVENT_DATE" queryTableFieldId="33"/>
    <tableColumn id="34" uniqueName="34" name="FAULT_EVENT_NO" queryTableFieldId="34"/>
    <tableColumn id="35" uniqueName="35" name="FAULT_SYS_CODE" queryTableFieldId="35"/>
    <tableColumn id="36" uniqueName="36" name="FAULT_CLOSED" queryTableFieldId="36"/>
    <tableColumn id="37" uniqueName="37" name="FAULT_STATUS" queryTableFieldId="37"/>
    <tableColumn id="38" uniqueName="38" name="EI_STATUS" queryTableFieldId="38"/>
    <tableColumn id="39" uniqueName="39" name="UIC_TEMP" queryTableFieldId="39"/>
    <tableColumn id="40" uniqueName="40" name="EI_HRS" queryTableFieldId="40"/>
    <tableColumn id="41" uniqueName="41" name="LAST_MIGRATION_DT" queryTableFieldId="41"/>
    <tableColumn id="42" uniqueName="42" name="EI_SN" queryTableFieldId="42"/>
    <tableColumn id="43" uniqueName="43" name="PHASE_DUE" queryTableFieldId="43"/>
    <tableColumn id="44" uniqueName="44" name="PHASE_ID" queryTableFieldId="44"/>
    <tableColumn id="45" uniqueName="45" name="Readiness_Events" queryTableFieldId="45"/>
    <tableColumn id="46" uniqueName="46" name="Parts" queryTableFieldId="46"/>
    <tableColumn id="47" uniqueName="47" name="WorkOrders" queryTableFieldId="47"/>
    <tableColumn id="48" uniqueName="48" name="MOC_EVENT_DATE" queryTableFieldId="48"/>
    <tableColumn id="49" uniqueName="49" name="MOC_EVENT_NO" queryTableFieldId="49"/>
    <tableColumn id="50" uniqueName="50" name="MOC_CLOSED" queryTableFieldId="50"/>
    <tableColumn id="51" uniqueName="51" name="TEMP_XFR" queryTableFieldId="51"/>
    <tableColumn id="52" uniqueName="52" name="UIC_TEMP_XFR" queryTableFieldId="5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Table__10.2.1.2_1_4AHB_ENDITEM" displayName="Table__10.2.1.2_1_4AHB_ENDITEM" ref="A1:R5" tableType="queryTable" totalsRowShown="0">
  <autoFilter ref="A1:R5"/>
  <tableColumns count="18">
    <tableColumn id="1" uniqueName="1" name="EI_ID" queryTableFieldId="1"/>
    <tableColumn id="2" uniqueName="2" name="UIC_OWN" queryTableFieldId="2"/>
    <tableColumn id="3" uniqueName="3" name="EI_TYPE" queryTableFieldId="3"/>
    <tableColumn id="4" uniqueName="4" name="TEMP_XFR" queryTableFieldId="4"/>
    <tableColumn id="5" uniqueName="5" name="UIC_TEMP_XFR" queryTableFieldId="5"/>
    <tableColumn id="6" uniqueName="6" name="UIC_TEMP" queryTableFieldId="6"/>
    <tableColumn id="7" uniqueName="7" name="EI_ID_ATTCHD" queryTableFieldId="7"/>
    <tableColumn id="8" uniqueName="8" name="EI_BEG_AGE" queryTableFieldId="8"/>
    <tableColumn id="9" uniqueName="9" name="EI_START_AGE" queryTableFieldId="9"/>
    <tableColumn id="10" uniqueName="10" name="STATUS" queryTableFieldId="10"/>
    <tableColumn id="11" uniqueName="11" name="LAST_DATE_USE" queryTableFieldId="11"/>
    <tableColumn id="12" uniqueName="12" name="LAST_FP" queryTableFieldId="12"/>
    <tableColumn id="13" uniqueName="13" name="REMARKS" queryTableFieldId="13"/>
    <tableColumn id="14" uniqueName="14" name="PURGE_MPS" queryTableFieldId="14"/>
    <tableColumn id="15" uniqueName="15" name="DATE_TIME_STAMP" queryTableFieldId="15"/>
    <tableColumn id="16" uniqueName="16" name="PID_STAMP" queryTableFieldId="16"/>
    <tableColumn id="17" uniqueName="17" name="DEL_FLAG" queryTableFieldId="17"/>
    <tableColumn id="18" uniqueName="18" name="UPDATE_FLAG" queryTableFieldId="1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4" name="Table__10.2.1.2_1_4AHB_v_gen_TBO" displayName="Table__10.2.1.2_1_4AHB_v_gen_TBO" ref="B1:N702" tableType="queryTable" totalsRowShown="0">
  <autoFilter ref="B1:N702">
    <filterColumn colId="7">
      <customFilters>
        <customFilter operator="greaterThan" val="-50"/>
      </customFilters>
    </filterColumn>
    <filterColumn colId="10">
      <filters>
        <filter val="0"/>
        <filter val="1"/>
        <filter val="2"/>
        <filter val="3"/>
        <filter val="6"/>
        <filter val="RC"/>
      </filters>
    </filterColumn>
  </autoFilter>
  <sortState ref="B2:N702">
    <sortCondition ref="I1:I706"/>
  </sortState>
  <tableColumns count="13">
    <tableColumn id="4" uniqueName="4" name="EI_SN" queryTableFieldId="4"/>
    <tableColumn id="1" uniqueName="1" name="A/C" queryTableFieldId="36" dataDxfId="46">
      <calculatedColumnFormula>RIGHT(B2,3)</calculatedColumnFormula>
    </tableColumn>
    <tableColumn id="5" uniqueName="5" name="PN" queryTableFieldId="5"/>
    <tableColumn id="2" uniqueName="2" name="NAME" queryTableFieldId="37" dataDxfId="45">
      <calculatedColumnFormula>LEFT(F2,22)</calculatedColumnFormula>
    </tableColumn>
    <tableColumn id="8" uniqueName="8" name="PART_NOMEN" queryTableFieldId="8"/>
    <tableColumn id="3" uniqueName="3" name="NIIN" queryTableFieldId="38" dataDxfId="44">
      <calculatedColumnFormula>RIGHT(H2,9)</calculatedColumnFormula>
    </tableColumn>
    <tableColumn id="9" uniqueName="9" name="NSN" queryTableFieldId="9"/>
    <tableColumn id="6" uniqueName="6" name="Till Due" queryTableFieldId="39" dataDxfId="3">
      <calculatedColumnFormula>Table__10.2.1.2_1_4AHB_v_gen_TBO[[#This Row],[REALDUE]]-Table__10.2.1.2_1_4AHB_v_gen_TBO[[#This Row],[EI_BEG_AGE]]</calculatedColumnFormula>
    </tableColumn>
    <tableColumn id="10" uniqueName="10" name="EI_BEG_AGE" queryTableFieldId="10" dataDxfId="2"/>
    <tableColumn id="12" uniqueName="12" name="RC / TC" queryTableFieldId="42" dataDxfId="43">
      <calculatedColumnFormula>IF(Table__10.2.1.2_1_4AHB_v_gen_TBO[[#This Row],[NO_OVHLS]]="RC","RC","LC")</calculatedColumnFormula>
    </tableColumn>
    <tableColumn id="16" uniqueName="16" name="NO_OVHLS" queryTableFieldId="16"/>
    <tableColumn id="23" uniqueName="23" name="REALDUE" queryTableFieldId="23"/>
    <tableColumn id="30" uniqueName="30" name="COMP_RMVD" queryTableFieldId="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" name="Table__10.2.1.2_1_4AHB_EIACFT" displayName="Table__10.2.1.2_1_4AHB_EIACFT" ref="A1:AU4" tableType="queryTable" totalsRowShown="0">
  <autoFilter ref="A1:AU4"/>
  <tableColumns count="47">
    <tableColumn id="1" uniqueName="1" name="EI_ID" queryTableFieldId="1"/>
    <tableColumn id="2" uniqueName="2" name="EI_MODEL" queryTableFieldId="2"/>
    <tableColumn id="3" uniqueName="3" name="EI_SN" queryTableFieldId="3"/>
    <tableColumn id="4" uniqueName="4" name="MISSION_MODEL" queryTableFieldId="4"/>
    <tableColumn id="5" uniqueName="5" name="INDEPENDENT" queryTableFieldId="5"/>
    <tableColumn id="6" uniqueName="6" name="START_RNDS" queryTableFieldId="6" dataDxfId="1"/>
    <tableColumn id="7" uniqueName="7" name="CURR_RNDS" queryTableFieldId="7" dataDxfId="0"/>
    <tableColumn id="8" uniqueName="8" name="EI_MODE" queryTableFieldId="8"/>
    <tableColumn id="9" uniqueName="9" name="PHASE_DUE" queryTableFieldId="9"/>
    <tableColumn id="10" uniqueName="10" name="PHASE_NO" queryTableFieldId="10"/>
    <tableColumn id="11" uniqueName="11" name="CYCLE_NUM_DUE" queryTableFieldId="11"/>
    <tableColumn id="12" uniqueName="12" name="CYCLE_DUE_HRS" queryTableFieldId="12"/>
    <tableColumn id="13" uniqueName="13" name="CYCLE_START_DATE" queryTableFieldId="13"/>
    <tableColumn id="14" uniqueName="14" name="ITERATION" queryTableFieldId="14"/>
    <tableColumn id="15" uniqueName="15" name="HRS_PER_CYCLE" queryTableFieldId="15"/>
    <tableColumn id="16" uniqueName="16" name="FRONT_TOL" queryTableFieldId="16"/>
    <tableColumn id="17" uniqueName="17" name="BACK_TOL" queryTableFieldId="17"/>
    <tableColumn id="18" uniqueName="18" name="HSF" queryTableFieldId="18"/>
    <tableColumn id="19" uniqueName="19" name="LAND_CYCLES" queryTableFieldId="19"/>
    <tableColumn id="20" uniqueName="20" name="LANDINGS" queryTableFieldId="20"/>
    <tableColumn id="21" uniqueName="21" name="LANDINGS_AUTO" queryTableFieldId="21"/>
    <tableColumn id="22" uniqueName="22" name="APU_HOURS" queryTableFieldId="22"/>
    <tableColumn id="23" uniqueName="23" name="APU_HR_METER" queryTableFieldId="23"/>
    <tableColumn id="24" uniqueName="24" name="APU_STARTS" queryTableFieldId="24"/>
    <tableColumn id="25" uniqueName="25" name="APU_DATE_RD" queryTableFieldId="25"/>
    <tableColumn id="26" uniqueName="26" name="APU_PID" queryTableFieldId="26"/>
    <tableColumn id="27" uniqueName="27" name="CRCHIEF_PID" queryTableFieldId="27"/>
    <tableColumn id="28" uniqueName="28" name="SUPRVSR_PID" queryTableFieldId="28"/>
    <tableColumn id="29" uniqueName="29" name="DATE10HR14DAY" queryTableFieldId="29"/>
    <tableColumn id="30" uniqueName="30" name="HRS10HR14DAY" queryTableFieldId="30"/>
    <tableColumn id="31" uniqueName="31" name="PMD_DATE" queryTableFieldId="31"/>
    <tableColumn id="32" uniqueName="32" name="PMD_HOURS" queryTableFieldId="32"/>
    <tableColumn id="33" uniqueName="33" name="PMD_PID" queryTableFieldId="33"/>
    <tableColumn id="34" uniqueName="34" name="LASTMIGDATE" queryTableFieldId="34"/>
    <tableColumn id="35" uniqueName="35" name="LASTMIGTIME" queryTableFieldId="35"/>
    <tableColumn id="36" uniqueName="36" name="RIN" queryTableFieldId="36"/>
    <tableColumn id="37" uniqueName="37" name="STATUS_E" queryTableFieldId="37"/>
    <tableColumn id="38" uniqueName="38" name="STATUS_W" queryTableFieldId="38"/>
    <tableColumn id="39" uniqueName="39" name="STATUS_O" queryTableFieldId="39"/>
    <tableColumn id="40" uniqueName="40" name="PHASE_INT" queryTableFieldId="40"/>
    <tableColumn id="41" uniqueName="41" name="MAX_CYCLES" queryTableFieldId="41"/>
    <tableColumn id="42" uniqueName="42" name="DATE_TIME_STAMP" queryTableFieldId="42"/>
    <tableColumn id="43" uniqueName="43" name="PID_STAMP" queryTableFieldId="43"/>
    <tableColumn id="44" uniqueName="44" name="DEL_FLAG" queryTableFieldId="44"/>
    <tableColumn id="45" uniqueName="45" name="UPDATE_FLAG" queryTableFieldId="45"/>
    <tableColumn id="46" uniqueName="46" name="AIRCRAFT_TYPE" queryTableFieldId="46"/>
    <tableColumn id="47" uniqueName="47" name="HOV_AUTO" queryTableFieldId="4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0" name="Table__10.2.1.2._1_4AHB_MIG_LOG" displayName="Table__10.2.1.2._1_4AHB_MIG_LOG" ref="A1:G4" tableType="queryTable" totalsRowShown="0">
  <autoFilter ref="A1:G4"/>
  <tableColumns count="7">
    <tableColumn id="1" uniqueName="1" name="TAG_ID" queryTableFieldId="1"/>
    <tableColumn id="2" uniqueName="2" name="MIG_SEQ_NO" queryTableFieldId="2"/>
    <tableColumn id="3" uniqueName="3" name="MIG_FAILED" queryTableFieldId="3"/>
    <tableColumn id="4" uniqueName="4" name="DATE_TIME_STAMP" queryTableFieldId="4"/>
    <tableColumn id="5" uniqueName="5" name="PID_STAMP" queryTableFieldId="5"/>
    <tableColumn id="6" uniqueName="6" name="DEL_FLAG" queryTableFieldId="6"/>
    <tableColumn id="7" uniqueName="7" name="UPDATE_FLAG" queryTableFieldId="7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3" name="Table__10.2.1.2_1_4AHB_SCH_INSP" displayName="Table__10.2.1.2_1_4AHB_SCH_INSP" ref="A1:L349" tableType="queryTable" totalsRowShown="0">
  <autoFilter ref="A1:L349"/>
  <tableColumns count="12">
    <tableColumn id="1" uniqueName="1" name="EI_MODEL" queryTableFieldId="1"/>
    <tableColumn id="2" uniqueName="2" name="SYS_CODE" queryTableFieldId="2"/>
    <tableColumn id="3" uniqueName="3" name="INSP_NO" queryTableFieldId="3"/>
    <tableColumn id="4" uniqueName="4" name="FRQ_TYPE" queryTableFieldId="4"/>
    <tableColumn id="5" uniqueName="5" name="EI_ID" queryTableFieldId="5"/>
    <tableColumn id="6" uniqueName="6" name="INSP_DATE" queryTableFieldId="6"/>
    <tableColumn id="7" uniqueName="7" name="INSP_VAL" queryTableFieldId="7"/>
    <tableColumn id="8" uniqueName="8" name="DATE_TIME_STAMP" queryTableFieldId="8"/>
    <tableColumn id="9" uniqueName="9" name="PID_STAMP" queryTableFieldId="9"/>
    <tableColumn id="10" uniqueName="10" name="DEL_FLAG" queryTableFieldId="10"/>
    <tableColumn id="11" uniqueName="11" name="UPDATE_FLAG" queryTableFieldId="11"/>
    <tableColumn id="12" uniqueName="12" name="ASSOC_FAULT_GUID" queryTableField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V1048470"/>
  <sheetViews>
    <sheetView showGridLines="0" tabSelected="1" view="pageBreakPreview" zoomScale="40" zoomScaleNormal="35" zoomScaleSheetLayoutView="40" workbookViewId="0">
      <selection activeCell="K7" sqref="K7:Q7"/>
    </sheetView>
  </sheetViews>
  <sheetFormatPr defaultRowHeight="12.75"/>
  <cols>
    <col min="1" max="1" width="18.7109375" style="13" customWidth="1"/>
    <col min="2" max="2" width="17.28515625" style="13" customWidth="1"/>
    <col min="3" max="3" width="16" style="13" customWidth="1"/>
    <col min="4" max="4" width="14.7109375" style="74" customWidth="1"/>
    <col min="5" max="5" width="14.7109375" style="13" customWidth="1"/>
    <col min="6" max="6" width="22" style="13" bestFit="1" customWidth="1"/>
    <col min="7" max="7" width="21.5703125" style="13" bestFit="1" customWidth="1"/>
    <col min="8" max="8" width="20.140625" style="13" bestFit="1" customWidth="1"/>
    <col min="9" max="9" width="19.42578125" style="13" bestFit="1" customWidth="1"/>
    <col min="10" max="10" width="22.28515625" style="13" bestFit="1" customWidth="1"/>
    <col min="11" max="12" width="12.7109375" style="13" customWidth="1"/>
    <col min="13" max="13" width="18" style="13" bestFit="1" customWidth="1"/>
    <col min="14" max="14" width="20.5703125" style="13" bestFit="1" customWidth="1"/>
    <col min="15" max="15" width="18.7109375" style="13" customWidth="1"/>
    <col min="16" max="16" width="14.7109375" style="13" customWidth="1"/>
    <col min="17" max="17" width="20.140625" style="13" bestFit="1" customWidth="1"/>
    <col min="18" max="18" width="55.7109375" style="75" customWidth="1"/>
    <col min="19" max="19" width="35.7109375" style="13" customWidth="1"/>
    <col min="20" max="20" width="21.7109375" style="76" customWidth="1"/>
    <col min="21" max="21" width="15.7109375" style="76" customWidth="1"/>
    <col min="22" max="22" width="20.85546875" style="5" bestFit="1" customWidth="1"/>
    <col min="23" max="24" width="18.7109375" style="13" customWidth="1"/>
    <col min="25" max="25" width="5.7109375" style="13" customWidth="1"/>
    <col min="26" max="26" width="10.7109375" style="13" customWidth="1"/>
    <col min="27" max="30" width="18.7109375" style="13" customWidth="1"/>
    <col min="31" max="31" width="10.7109375" style="2" customWidth="1"/>
    <col min="32" max="39" width="10.7109375" style="13" customWidth="1"/>
    <col min="40" max="40" width="8.5703125" style="13" customWidth="1"/>
    <col min="41" max="41" width="8.42578125" style="13" customWidth="1"/>
    <col min="42" max="42" width="12.140625" style="13" customWidth="1"/>
    <col min="43" max="43" width="33.28515625" style="13" customWidth="1"/>
    <col min="44" max="44" width="33" style="13" customWidth="1"/>
    <col min="45" max="45" width="46" style="13" customWidth="1"/>
    <col min="46" max="46" width="13.140625" style="13" customWidth="1"/>
    <col min="47" max="47" width="12" style="13" customWidth="1"/>
    <col min="48" max="48" width="12.42578125" style="13" customWidth="1"/>
    <col min="49" max="49" width="6.7109375" style="13" customWidth="1"/>
    <col min="50" max="50" width="7.28515625" style="13" customWidth="1"/>
    <col min="51" max="51" width="6.7109375" style="13" customWidth="1"/>
    <col min="52" max="52" width="7.42578125" style="13" customWidth="1"/>
    <col min="53" max="62" width="9.140625" style="13"/>
    <col min="63" max="63" width="18.7109375" style="13" customWidth="1"/>
    <col min="64" max="64" width="12.7109375" style="13" customWidth="1"/>
    <col min="65" max="65" width="6.7109375" style="13" customWidth="1"/>
    <col min="66" max="66" width="20.7109375" style="13" customWidth="1"/>
    <col min="67" max="67" width="42.7109375" style="13" customWidth="1"/>
    <col min="68" max="68" width="17.7109375" style="13" customWidth="1"/>
    <col min="69" max="69" width="6.7109375" style="13" customWidth="1"/>
    <col min="70" max="70" width="10.7109375" style="13" customWidth="1"/>
    <col min="71" max="72" width="9.140625" style="13"/>
    <col min="73" max="74" width="7.7109375" style="13" customWidth="1"/>
    <col min="75" max="75" width="18.7109375" style="13" customWidth="1"/>
    <col min="76" max="76" width="12.7109375" style="13" customWidth="1"/>
    <col min="77" max="77" width="6.7109375" style="13" customWidth="1"/>
    <col min="78" max="78" width="18.7109375" style="13" customWidth="1"/>
    <col min="79" max="79" width="42.7109375" style="13" customWidth="1"/>
    <col min="80" max="80" width="20.7109375" style="13" customWidth="1"/>
    <col min="81" max="81" width="6.7109375" style="13" customWidth="1"/>
    <col min="82" max="82" width="10.7109375" style="13" customWidth="1"/>
    <col min="83" max="84" width="9.140625" style="13"/>
    <col min="85" max="86" width="7.7109375" style="13" customWidth="1"/>
    <col min="87" max="87" width="18.7109375" style="13" customWidth="1"/>
    <col min="88" max="88" width="12.7109375" style="13" customWidth="1"/>
    <col min="89" max="89" width="6.7109375" style="13" customWidth="1"/>
    <col min="90" max="90" width="18.7109375" style="13" customWidth="1"/>
    <col min="91" max="91" width="45.7109375" style="13" customWidth="1"/>
    <col min="92" max="92" width="20.7109375" style="13" customWidth="1"/>
    <col min="93" max="93" width="6.7109375" style="13" customWidth="1"/>
    <col min="94" max="94" width="10.7109375" style="13" customWidth="1"/>
    <col min="95" max="96" width="9.140625" style="13"/>
    <col min="97" max="98" width="7.7109375" style="13" customWidth="1"/>
    <col min="99" max="99" width="18.7109375" style="13" customWidth="1"/>
    <col min="100" max="100" width="12.7109375" style="13" customWidth="1"/>
    <col min="101" max="101" width="6.7109375" style="13" customWidth="1"/>
    <col min="102" max="102" width="18.7109375" style="13" customWidth="1"/>
    <col min="103" max="103" width="42.7109375" style="13" customWidth="1"/>
    <col min="104" max="16384" width="9.140625" style="13"/>
  </cols>
  <sheetData>
    <row r="1" spans="1:48" ht="69.95" customHeight="1" thickTop="1">
      <c r="A1" s="422" t="s">
        <v>710</v>
      </c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4"/>
      <c r="W1" s="281" t="s">
        <v>4</v>
      </c>
      <c r="X1" s="281" t="s">
        <v>1</v>
      </c>
      <c r="Y1" s="425" t="s">
        <v>0</v>
      </c>
      <c r="Z1" s="425"/>
      <c r="AA1" s="281" t="s">
        <v>2</v>
      </c>
      <c r="AB1" s="281" t="s">
        <v>3</v>
      </c>
      <c r="AC1" s="8"/>
      <c r="AD1" s="8"/>
      <c r="AE1" s="8"/>
      <c r="AF1" s="9"/>
      <c r="AG1" s="9"/>
      <c r="AH1" s="10"/>
      <c r="AI1" s="11"/>
      <c r="AJ1" s="12"/>
      <c r="AK1" s="7"/>
      <c r="AO1" s="14"/>
      <c r="AT1" s="14"/>
    </row>
    <row r="2" spans="1:48" ht="27" customHeight="1">
      <c r="A2" s="88" t="s">
        <v>6</v>
      </c>
      <c r="B2" s="90"/>
      <c r="C2" s="426">
        <f ca="1">NOW()</f>
        <v>41706.480305092591</v>
      </c>
      <c r="D2" s="426"/>
      <c r="E2" s="426"/>
      <c r="F2" s="426"/>
      <c r="G2" s="426"/>
      <c r="H2" s="427"/>
      <c r="I2" s="427"/>
      <c r="J2" s="428"/>
      <c r="K2" s="428"/>
      <c r="L2" s="429"/>
      <c r="M2" s="429"/>
      <c r="N2" s="429"/>
      <c r="O2" s="429"/>
      <c r="P2" s="429"/>
      <c r="Q2" s="429"/>
      <c r="R2" s="429"/>
      <c r="S2" s="429"/>
      <c r="T2" s="429"/>
      <c r="U2" s="89"/>
      <c r="V2" s="165"/>
      <c r="AC2" s="15"/>
      <c r="AD2" s="15"/>
      <c r="AE2" s="15"/>
      <c r="AF2" s="16"/>
      <c r="AG2" s="16"/>
      <c r="AH2" s="7"/>
      <c r="AI2" s="17"/>
      <c r="AJ2" s="18"/>
      <c r="AK2" s="137"/>
      <c r="AO2" s="14"/>
    </row>
    <row r="3" spans="1:48" ht="27" customHeight="1" thickBot="1">
      <c r="A3" s="88" t="s">
        <v>8</v>
      </c>
      <c r="B3" s="90"/>
      <c r="C3" s="417">
        <f ca="1">INT(((NOW()/365.255)-(YEAR(NOW())-1900))*365.255)</f>
        <v>67</v>
      </c>
      <c r="D3" s="417"/>
      <c r="E3" s="417"/>
      <c r="F3" s="417"/>
      <c r="G3" s="417"/>
      <c r="H3" s="120"/>
      <c r="I3" s="120"/>
      <c r="J3" s="78"/>
      <c r="K3" s="78"/>
      <c r="L3" s="78"/>
      <c r="M3" s="78"/>
      <c r="N3" s="78"/>
      <c r="O3" s="78"/>
      <c r="P3" s="79"/>
      <c r="Q3" s="79"/>
      <c r="R3" s="80"/>
      <c r="S3" s="81"/>
      <c r="T3" s="77"/>
      <c r="U3" s="77"/>
      <c r="V3" s="277">
        <v>24</v>
      </c>
      <c r="AC3" s="15"/>
      <c r="AD3" s="15"/>
      <c r="AE3" s="19"/>
      <c r="AF3" s="16"/>
      <c r="AG3" s="16"/>
      <c r="AH3" s="20"/>
      <c r="AI3" s="21"/>
      <c r="AJ3" s="18"/>
      <c r="AK3" s="137"/>
    </row>
    <row r="4" spans="1:48" s="30" customFormat="1" ht="27" customHeight="1" thickTop="1">
      <c r="A4" s="139" t="s">
        <v>9</v>
      </c>
      <c r="B4" s="418" t="s">
        <v>632</v>
      </c>
      <c r="C4" s="420" t="s">
        <v>633</v>
      </c>
      <c r="D4" s="420" t="s">
        <v>707</v>
      </c>
      <c r="E4" s="420" t="s">
        <v>10</v>
      </c>
      <c r="F4" s="420" t="s">
        <v>97</v>
      </c>
      <c r="G4" s="407">
        <v>50</v>
      </c>
      <c r="H4" s="407">
        <v>125</v>
      </c>
      <c r="I4" s="407">
        <v>250</v>
      </c>
      <c r="J4" s="407">
        <v>500</v>
      </c>
      <c r="K4" s="409" t="s">
        <v>91</v>
      </c>
      <c r="L4" s="410"/>
      <c r="M4" s="410"/>
      <c r="N4" s="410"/>
      <c r="O4" s="410"/>
      <c r="P4" s="410"/>
      <c r="Q4" s="410"/>
      <c r="R4" s="413" t="s">
        <v>96</v>
      </c>
      <c r="S4" s="413"/>
      <c r="T4" s="415" t="s">
        <v>7</v>
      </c>
      <c r="U4" s="415"/>
      <c r="V4" s="141" t="s">
        <v>691</v>
      </c>
      <c r="W4" s="13"/>
      <c r="X4" s="13"/>
      <c r="Y4" s="13"/>
      <c r="Z4" s="13"/>
      <c r="AA4" s="13"/>
      <c r="AB4" s="13"/>
      <c r="AC4" s="13"/>
      <c r="AD4" s="13"/>
      <c r="AE4" s="2"/>
      <c r="AF4" s="13"/>
      <c r="AG4" s="13"/>
      <c r="AH4" s="13"/>
      <c r="AI4" s="13"/>
      <c r="AJ4" s="13"/>
      <c r="AK4" s="13"/>
      <c r="AL4" s="13"/>
      <c r="AM4" s="13"/>
      <c r="AN4" s="25"/>
      <c r="AO4" s="25"/>
      <c r="AP4" s="25"/>
      <c r="AQ4" s="26"/>
      <c r="AR4" s="26"/>
      <c r="AS4" s="27"/>
      <c r="AT4" s="28"/>
      <c r="AU4" s="29"/>
      <c r="AV4" s="137"/>
    </row>
    <row r="5" spans="1:48" s="30" customFormat="1" ht="27" customHeight="1" thickBot="1">
      <c r="A5" s="140" t="s">
        <v>90</v>
      </c>
      <c r="B5" s="419"/>
      <c r="C5" s="421"/>
      <c r="D5" s="421"/>
      <c r="E5" s="421"/>
      <c r="F5" s="421"/>
      <c r="G5" s="408"/>
      <c r="H5" s="408"/>
      <c r="I5" s="408"/>
      <c r="J5" s="408"/>
      <c r="K5" s="411"/>
      <c r="L5" s="412"/>
      <c r="M5" s="412"/>
      <c r="N5" s="412"/>
      <c r="O5" s="412"/>
      <c r="P5" s="412"/>
      <c r="Q5" s="412"/>
      <c r="R5" s="414"/>
      <c r="S5" s="414"/>
      <c r="T5" s="416" t="s">
        <v>590</v>
      </c>
      <c r="U5" s="416"/>
      <c r="V5" s="142" t="s">
        <v>588</v>
      </c>
      <c r="W5" s="13"/>
      <c r="X5" s="13"/>
      <c r="Y5" s="13"/>
      <c r="Z5" s="13"/>
      <c r="AA5" s="13"/>
      <c r="AB5" s="13"/>
      <c r="AC5" s="13"/>
      <c r="AD5" s="13"/>
      <c r="AE5" s="2"/>
      <c r="AF5" s="13"/>
      <c r="AG5" s="13"/>
      <c r="AH5" s="13"/>
      <c r="AI5" s="13"/>
      <c r="AJ5" s="13"/>
      <c r="AK5" s="13"/>
      <c r="AL5" s="13"/>
      <c r="AM5" s="13"/>
      <c r="AN5" s="32"/>
      <c r="AO5" s="32"/>
      <c r="AP5" s="32"/>
      <c r="AQ5" s="33"/>
      <c r="AR5" s="33"/>
      <c r="AS5" s="27"/>
      <c r="AT5" s="34"/>
      <c r="AU5" s="35"/>
      <c r="AV5" s="137"/>
    </row>
    <row r="6" spans="1:48" s="30" customFormat="1" ht="54" customHeight="1" thickTop="1" thickBot="1">
      <c r="A6" s="396" t="s">
        <v>696</v>
      </c>
      <c r="B6" s="397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8"/>
      <c r="W6" s="13"/>
      <c r="X6" s="13"/>
      <c r="Y6" s="13"/>
      <c r="Z6" s="13"/>
      <c r="AA6" s="13"/>
      <c r="AB6" s="13"/>
      <c r="AC6" s="13"/>
      <c r="AD6" s="13"/>
      <c r="AE6" s="2"/>
      <c r="AF6" s="13"/>
      <c r="AG6" s="13"/>
      <c r="AH6" s="13"/>
      <c r="AI6" s="13"/>
      <c r="AJ6" s="13"/>
      <c r="AK6" s="13"/>
      <c r="AL6" s="13"/>
      <c r="AM6" s="13"/>
      <c r="AN6" s="32"/>
      <c r="AO6" s="32"/>
      <c r="AP6" s="32"/>
      <c r="AQ6" s="33"/>
      <c r="AR6" s="33"/>
      <c r="AS6" s="27"/>
      <c r="AT6" s="34"/>
      <c r="AU6" s="35"/>
      <c r="AV6" s="137"/>
    </row>
    <row r="7" spans="1:48" s="30" customFormat="1" ht="27" customHeight="1">
      <c r="A7" s="404" t="s">
        <v>762</v>
      </c>
      <c r="B7" s="405" t="str">
        <f>VLOOKUP(A9,'V_GEN-READINESS'!1:1048576,27,)</f>
        <v>FMC</v>
      </c>
      <c r="C7" s="389" t="s">
        <v>5</v>
      </c>
      <c r="D7" s="182" t="s">
        <v>1167</v>
      </c>
      <c r="E7" s="358">
        <f>GETPIVOTDATA("EI_BEG_AGE",'HOUR PIVOT'!A3,"EI_ID",A9)</f>
        <v>5314.7</v>
      </c>
      <c r="F7" s="381">
        <f>SUM(GETPIVOTDATA("INSP_DATE",'D PIVOT'!$A$3,"SYS_CODE","A","INSP_NO",261,"EI_ID",A9)+270)</f>
        <v>41763</v>
      </c>
      <c r="G7" s="358">
        <f>SUM((MIN(GETPIVOTDATA("INSP_VAL",'H PIVOT'!A3,"SYS_CODE","A","INSP_NO",41,"EI_ID",A9), (GETPIVOTDATA("INSP_VAL",'H PIVOT'!A3,"SYS_CODE","A","INSP_NO",130,"EI_ID",A9)), (GETPIVOTDATA("INSP_VAL",'H PIVOT'!A3,"SYS_CODE","A","INSP_NO",135,"EI_ID",A9)), (GETPIVOTDATA("INSP_VAL",'H PIVOT'!A3,"SYS_CODE","A","INSP_NO",145,"EI_ID",A9)))+50)-E7)</f>
        <v>50.199907407407409</v>
      </c>
      <c r="H7" s="358">
        <f>SUM((MIN(GETPIVOTDATA("INSP_VAL",'H PIVOT'!A3,"SYS_CODE","A","INSP_NO",195,"EI_ID",A9), (GETPIVOTDATA("INSP_VAL",'H PIVOT'!A3,"SYS_CODE","A","INSP_NO",198,"EI_ID",A9)), (GETPIVOTDATA("INSP_VAL",'H PIVOT'!A3,"SYS_CODE","A","INSP_NO",200,"EI_ID",A9)), (GETPIVOTDATA("INSP_VAL",'H PIVOT'!A3,"SYS_CODE","A","INSP_NO",224,"EI_ID",A9)))+125)-E7)</f>
        <v>26.900092592592955</v>
      </c>
      <c r="I7" s="358">
        <f>SUM((MIN(GETPIVOTDATA("INSP_VAL",'H PIVOT'!A3,"SYS_CODE","A","INSP_NO",223,"EI_ID",A9), (GETPIVOTDATA("INSP_VAL",'H PIVOT'!A3,"SYS_CODE","A","INSP_NO",231,"EI_ID",A9)), (GETPIVOTDATA("INSP_VAL",'H PIVOT'!A3,"SYS_CODE","A","INSP_NO",234,"EI_ID",A9)), (GETPIVOTDATA("INSP_VAL",'H PIVOT'!A3,"SYS_CODE","A","INSP_NO",261,"EI_ID",A9)),(GETPIVOTDATA("INSP_VAL",'H PIVOT'!A3,"SYS_CODE","A","INSP_NO",270,"EI_ID",A9)),(GETPIVOTDATA("INSP_VAL",'H PIVOT'!A3,"SYS_CODE","A","INSP_NO",275,"EI_ID",A9)),(GETPIVOTDATA("INSP_VAL",'H PIVOT'!A3,"SYS_CODE","A","INSP_NO",290,"EI_ID",A9)),(GETPIVOTDATA("INSP_VAL",'H PIVOT'!A3,"SYS_CODE","A","INSP_NO",295,"EI_ID",A9)),(GETPIVOTDATA("INSP_VAL",'H PIVOT'!A3,"SYS_CODE","A","INSP_NO",300,"EI_ID",A9)),(GETPIVOTDATA("INSP_VAL",'H PIVOT'!A3,"SYS_CODE","A","INSP_NO",465,"EI_ID",A9)),(GETPIVOTDATA("INSP_VAL",'H PIVOT'!A3,"SYS_CODE","A","INSP_NO",757,"EI_ID",A9)))+250)-E7)</f>
        <v>146.90009259259296</v>
      </c>
      <c r="J7" s="361">
        <f>SUM((MIN(GETPIVOTDATA("INSP_VAL",'H PIVOT'!A3,"SYS_CODE","A","INSP_NO",226,"EI_ID",A9), (GETPIVOTDATA("INSP_VAL",'H PIVOT'!A3,"SYS_CODE","A","INSP_NO",230,"EI_ID",A9)), (GETPIVOTDATA("INSP_VAL",'H PIVOT'!A3,"SYS_CODE","A","INSP_NO",400,"EI_ID",A9)), (GETPIVOTDATA("INSP_VAL",'H PIVOT'!A3,"SYS_CODE","A","INSP_NO",755,"EI_ID",A9)))+500)-E7)</f>
        <v>396.90009259259296</v>
      </c>
      <c r="K7" s="368"/>
      <c r="L7" s="369"/>
      <c r="M7" s="369"/>
      <c r="N7" s="369"/>
      <c r="O7" s="369"/>
      <c r="P7" s="369"/>
      <c r="Q7" s="369"/>
      <c r="R7" s="370"/>
      <c r="S7" s="371"/>
      <c r="T7" s="106"/>
      <c r="U7" s="106"/>
      <c r="V7" s="160">
        <f>IF(B7="FMC",0,VLOOKUP(A9,'V_GEN-READINESS'!1:1048576,17,FALSE))</f>
        <v>0</v>
      </c>
      <c r="W7" s="13"/>
      <c r="X7" s="13"/>
      <c r="Y7" s="13"/>
      <c r="Z7" s="13"/>
      <c r="AA7" s="13"/>
      <c r="AB7" s="13"/>
      <c r="AC7" s="13"/>
      <c r="AD7" s="13"/>
      <c r="AE7" s="2"/>
      <c r="AF7" s="13"/>
      <c r="AG7" s="13"/>
      <c r="AH7" s="13"/>
      <c r="AI7" s="13"/>
      <c r="AJ7" s="13"/>
      <c r="AK7" s="13"/>
      <c r="AL7" s="13"/>
      <c r="AM7" s="13"/>
      <c r="AN7" s="25"/>
      <c r="AO7" s="25"/>
      <c r="AP7" s="25"/>
      <c r="AQ7" s="26"/>
      <c r="AR7" s="26"/>
      <c r="AS7" s="36"/>
      <c r="AT7" s="37"/>
      <c r="AU7" s="38"/>
      <c r="AV7" s="137"/>
    </row>
    <row r="8" spans="1:48" s="30" customFormat="1" ht="27" customHeight="1">
      <c r="A8" s="374"/>
      <c r="B8" s="406"/>
      <c r="C8" s="378"/>
      <c r="D8" s="179"/>
      <c r="E8" s="358"/>
      <c r="F8" s="381"/>
      <c r="G8" s="358"/>
      <c r="H8" s="358"/>
      <c r="I8" s="358"/>
      <c r="J8" s="361"/>
      <c r="K8" s="368"/>
      <c r="L8" s="369"/>
      <c r="M8" s="369"/>
      <c r="N8" s="369"/>
      <c r="O8" s="369"/>
      <c r="P8" s="369"/>
      <c r="Q8" s="369"/>
      <c r="R8" s="370"/>
      <c r="S8" s="371"/>
      <c r="T8" s="106"/>
      <c r="U8" s="106"/>
      <c r="V8" s="105">
        <f ca="1">C2-V7</f>
        <v>41706.480305092591</v>
      </c>
      <c r="W8" s="13"/>
      <c r="X8" s="13"/>
      <c r="Y8" s="13"/>
      <c r="Z8" s="13"/>
      <c r="AA8" s="13"/>
      <c r="AB8" s="13"/>
      <c r="AC8" s="13"/>
      <c r="AD8" s="13"/>
      <c r="AE8" s="2"/>
      <c r="AF8" s="13"/>
      <c r="AG8" s="13"/>
      <c r="AH8" s="13"/>
      <c r="AI8" s="13"/>
      <c r="AJ8" s="13"/>
      <c r="AK8" s="13"/>
      <c r="AL8" s="13"/>
      <c r="AM8" s="13"/>
      <c r="AN8" s="32"/>
      <c r="AO8" s="32"/>
      <c r="AP8" s="32"/>
      <c r="AQ8" s="26"/>
      <c r="AR8" s="26"/>
      <c r="AS8" s="36"/>
      <c r="AT8" s="39"/>
      <c r="AU8" s="40"/>
      <c r="AV8" s="137"/>
    </row>
    <row r="9" spans="1:48" s="30" customFormat="1" ht="27" customHeight="1">
      <c r="A9" s="111" t="s">
        <v>748</v>
      </c>
      <c r="B9" s="384">
        <f>VLOOKUP(A9,'MIG SQL (MIG_LOG)'!1:1048576,4,FALSE)</f>
        <v>41703.639618055553</v>
      </c>
      <c r="C9" s="384"/>
      <c r="D9" s="131"/>
      <c r="E9" s="379"/>
      <c r="F9" s="390"/>
      <c r="G9" s="379"/>
      <c r="H9" s="379"/>
      <c r="I9" s="379"/>
      <c r="J9" s="383"/>
      <c r="K9" s="368"/>
      <c r="L9" s="369"/>
      <c r="M9" s="369"/>
      <c r="N9" s="369"/>
      <c r="O9" s="369"/>
      <c r="P9" s="369"/>
      <c r="Q9" s="403"/>
      <c r="R9" s="391"/>
      <c r="S9" s="369"/>
      <c r="T9" s="122"/>
      <c r="U9" s="122"/>
      <c r="V9" s="107"/>
      <c r="W9" s="13"/>
      <c r="X9" s="13"/>
      <c r="Y9" s="13"/>
      <c r="Z9" s="13"/>
      <c r="AA9" s="13"/>
      <c r="AB9" s="13"/>
      <c r="AC9" s="13"/>
      <c r="AD9" s="13"/>
      <c r="AE9" s="2"/>
      <c r="AF9" s="13"/>
      <c r="AG9" s="13"/>
      <c r="AH9" s="13"/>
      <c r="AI9" s="13"/>
      <c r="AJ9" s="13"/>
      <c r="AK9" s="13"/>
      <c r="AL9" s="13"/>
      <c r="AM9" s="13"/>
      <c r="AN9" s="25"/>
      <c r="AO9" s="25"/>
      <c r="AP9" s="25"/>
      <c r="AQ9" s="41"/>
      <c r="AR9" s="41"/>
      <c r="AS9" s="42"/>
      <c r="AT9" s="37"/>
      <c r="AU9" s="35"/>
      <c r="AV9" s="137"/>
    </row>
    <row r="10" spans="1:48" s="30" customFormat="1" ht="27" customHeight="1">
      <c r="A10" s="373" t="s">
        <v>1052</v>
      </c>
      <c r="B10" s="375" t="str">
        <f>VLOOKUP(A12,'V_GEN-READINESS'!1:1048576,27,)</f>
        <v>NMCM</v>
      </c>
      <c r="C10" s="377" t="s">
        <v>5</v>
      </c>
      <c r="D10" s="181" t="s">
        <v>1167</v>
      </c>
      <c r="E10" s="357">
        <f>GETPIVOTDATA("EI_BEG_AGE",'HOUR PIVOT'!A3,"EI_ID",A12)</f>
        <v>3973.9</v>
      </c>
      <c r="F10" s="381">
        <f>SUM(GETPIVOTDATA("INSP_DATE",'D PIVOT'!$A$3,"SYS_CODE","A","INSP_NO",261,"EI_ID",A12)+270)</f>
        <v>41783</v>
      </c>
      <c r="G10" s="357">
        <f>SUM((MIN(GETPIVOTDATA("INSP_VAL",'H PIVOT'!A3,"SYS_CODE","A","INSP_NO",41,"EI_ID",A12), (GETPIVOTDATA("INSP_VAL",'H PIVOT'!A3,"SYS_CODE","A","INSP_NO",130,"EI_ID",A12)), (GETPIVOTDATA("INSP_VAL",'H PIVOT'!A3,"SYS_CODE","A","INSP_NO",135,"EI_ID",A12)), (GETPIVOTDATA("INSP_VAL",'H PIVOT'!A3,"SYS_CODE","A","INSP_NO",145,"EI_ID",A12)))+50)-E10)</f>
        <v>15.200092592592682</v>
      </c>
      <c r="H10" s="357">
        <f>SUM((MIN(GETPIVOTDATA("INSP_VAL",'H PIVOT'!A3,"SYS_CODE","A","INSP_NO",195,"EI_ID",A12), (GETPIVOTDATA("INSP_VAL",'H PIVOT'!A3,"SYS_CODE","A","INSP_NO",198,"EI_ID",A12)), (GETPIVOTDATA("INSP_VAL",'H PIVOT'!A3,"SYS_CODE","A","INSP_NO",200,"EI_ID",A12)), (GETPIVOTDATA("INSP_VAL",'H PIVOT'!A3,"SYS_CODE","A","INSP_NO",224,"EI_ID",A12)))+125)-E10)</f>
        <v>41.599999999999909</v>
      </c>
      <c r="I10" s="357">
        <f>SUM((MIN(GETPIVOTDATA("INSP_VAL",'H PIVOT'!A3,"SYS_CODE","A","INSP_NO",223,"EI_ID",A12), (GETPIVOTDATA("INSP_VAL",'H PIVOT'!A3,"SYS_CODE","A","INSP_NO",231,"EI_ID",A12)), (GETPIVOTDATA("INSP_VAL",'H PIVOT'!A3,"SYS_CODE","A","INSP_NO",234,"EI_ID",A12)), (GETPIVOTDATA("INSP_VAL",'H PIVOT'!A3,"SYS_CODE","A","INSP_NO",261,"EI_ID",A12)),(GETPIVOTDATA("INSP_VAL",'H PIVOT'!A3,"SYS_CODE","A","INSP_NO",270,"EI_ID",A12)),(GETPIVOTDATA("INSP_VAL",'H PIVOT'!A3,"SYS_CODE","A","INSP_NO",275,"EI_ID",A12)),(GETPIVOTDATA("INSP_VAL",'H PIVOT'!A3,"SYS_CODE","A","INSP_NO",290,"EI_ID",A12)),(GETPIVOTDATA("INSP_VAL",'H PIVOT'!A3,"SYS_CODE","A","INSP_NO",295,"EI_ID",A12)),(GETPIVOTDATA("INSP_VAL",'H PIVOT'!A3,"SYS_CODE","A","INSP_NO",300,"EI_ID",A12)),(GETPIVOTDATA("INSP_VAL",'H PIVOT'!A3,"SYS_CODE","A","INSP_NO",465,"EI_ID",A12)),(GETPIVOTDATA("INSP_VAL",'H PIVOT'!A3,"SYS_CODE","A","INSP_NO",757,"EI_ID",A12)))+250)-E10)</f>
        <v>166.79995370370352</v>
      </c>
      <c r="J10" s="360">
        <f>SUM((MIN(GETPIVOTDATA("INSP_VAL",'H PIVOT'!A3,"SYS_CODE","A","INSP_NO",226,"EI_ID",A12), (GETPIVOTDATA("INSP_VAL",'H PIVOT'!A3,"SYS_CODE","A","INSP_NO",230,"EI_ID",A12)), (GETPIVOTDATA("INSP_VAL",'H PIVOT'!A3,"SYS_CODE","A","INSP_NO",400,"EI_ID",A12)), (GETPIVOTDATA("INSP_VAL",'H PIVOT'!A3,"SYS_CODE","A","INSP_NO",755,"EI_ID",A12)))+500)-E10)</f>
        <v>172.20009259259268</v>
      </c>
      <c r="K10" s="363"/>
      <c r="L10" s="364"/>
      <c r="M10" s="364"/>
      <c r="N10" s="364"/>
      <c r="O10" s="364"/>
      <c r="P10" s="364"/>
      <c r="Q10" s="364"/>
      <c r="R10" s="366"/>
      <c r="S10" s="367"/>
      <c r="T10" s="112"/>
      <c r="U10" s="112"/>
      <c r="V10" s="161">
        <f>IF(B10="FMC",0,VLOOKUP(A12,'V_GEN-READINESS'!1:1048576,17,FALSE))</f>
        <v>41695</v>
      </c>
      <c r="W10" s="13"/>
      <c r="X10" s="13"/>
      <c r="Y10" s="13"/>
      <c r="Z10" s="13"/>
      <c r="AA10" s="13"/>
      <c r="AB10" s="13"/>
      <c r="AC10" s="13"/>
      <c r="AD10" s="13"/>
      <c r="AE10" s="2"/>
      <c r="AF10" s="13"/>
      <c r="AG10" s="13"/>
      <c r="AH10" s="13"/>
      <c r="AI10" s="13"/>
      <c r="AJ10" s="13"/>
      <c r="AK10" s="13"/>
      <c r="AL10" s="13"/>
      <c r="AM10" s="13"/>
      <c r="AN10" s="25"/>
      <c r="AO10" s="25"/>
      <c r="AP10" s="25"/>
      <c r="AQ10" s="44"/>
      <c r="AR10" s="44"/>
      <c r="AS10" s="45"/>
      <c r="AT10" s="37"/>
      <c r="AU10" s="38"/>
      <c r="AV10" s="137"/>
    </row>
    <row r="11" spans="1:48" s="30" customFormat="1" ht="27" customHeight="1">
      <c r="A11" s="374"/>
      <c r="B11" s="376"/>
      <c r="C11" s="378"/>
      <c r="D11" s="179"/>
      <c r="E11" s="358"/>
      <c r="F11" s="381"/>
      <c r="G11" s="358"/>
      <c r="H11" s="358"/>
      <c r="I11" s="358"/>
      <c r="J11" s="361"/>
      <c r="K11" s="368"/>
      <c r="L11" s="369"/>
      <c r="M11" s="369"/>
      <c r="N11" s="369"/>
      <c r="O11" s="369"/>
      <c r="P11" s="369"/>
      <c r="Q11" s="369"/>
      <c r="R11" s="370"/>
      <c r="S11" s="371"/>
      <c r="T11" s="106"/>
      <c r="U11" s="106"/>
      <c r="V11" s="105">
        <f ca="1">C2-V10</f>
        <v>11.480305092591152</v>
      </c>
      <c r="W11" s="13"/>
      <c r="X11" s="13"/>
      <c r="Y11" s="13"/>
      <c r="Z11" s="13"/>
      <c r="AA11" s="13"/>
      <c r="AB11" s="13"/>
      <c r="AC11" s="13"/>
      <c r="AD11" s="13"/>
      <c r="AE11" s="2"/>
      <c r="AF11" s="13"/>
      <c r="AG11" s="13"/>
      <c r="AH11" s="13"/>
      <c r="AI11" s="13"/>
      <c r="AJ11" s="13"/>
      <c r="AK11" s="13"/>
      <c r="AL11" s="13"/>
      <c r="AM11" s="13"/>
      <c r="AN11" s="32"/>
      <c r="AO11" s="32"/>
      <c r="AP11" s="32"/>
      <c r="AQ11" s="44"/>
      <c r="AR11" s="44"/>
      <c r="AS11" s="46"/>
      <c r="AT11" s="34"/>
      <c r="AU11" s="35"/>
      <c r="AV11" s="137"/>
    </row>
    <row r="12" spans="1:48" s="30" customFormat="1" ht="27" customHeight="1">
      <c r="A12" s="111" t="s">
        <v>750</v>
      </c>
      <c r="B12" s="384">
        <f>VLOOKUP(A12,'MIG SQL (MIG_LOG)'!1:1048576,4,FALSE)</f>
        <v>41703.640092592592</v>
      </c>
      <c r="C12" s="384"/>
      <c r="D12" s="131"/>
      <c r="E12" s="379"/>
      <c r="F12" s="390"/>
      <c r="G12" s="379"/>
      <c r="H12" s="379"/>
      <c r="I12" s="379"/>
      <c r="J12" s="383"/>
      <c r="K12" s="385"/>
      <c r="L12" s="386"/>
      <c r="M12" s="386"/>
      <c r="N12" s="386"/>
      <c r="O12" s="386"/>
      <c r="P12" s="386"/>
      <c r="Q12" s="386"/>
      <c r="R12" s="394"/>
      <c r="S12" s="395"/>
      <c r="T12" s="124"/>
      <c r="U12" s="124"/>
      <c r="V12" s="113"/>
      <c r="W12" s="13"/>
      <c r="X12" s="13"/>
      <c r="Y12" s="13"/>
      <c r="Z12" s="13"/>
      <c r="AA12" s="13"/>
      <c r="AB12" s="13"/>
      <c r="AC12" s="13"/>
      <c r="AD12" s="13"/>
      <c r="AE12" s="2"/>
      <c r="AF12" s="13"/>
      <c r="AG12" s="13"/>
      <c r="AH12" s="13"/>
      <c r="AI12" s="13"/>
      <c r="AJ12" s="13"/>
      <c r="AK12" s="13"/>
      <c r="AL12" s="13"/>
      <c r="AM12" s="13"/>
      <c r="AN12" s="25"/>
      <c r="AO12" s="25"/>
      <c r="AP12" s="25"/>
      <c r="AQ12" s="33"/>
      <c r="AR12" s="33"/>
      <c r="AS12" s="42"/>
      <c r="AT12" s="37"/>
      <c r="AU12" s="38"/>
      <c r="AV12" s="137"/>
    </row>
    <row r="13" spans="1:48" s="30" customFormat="1" ht="27" customHeight="1">
      <c r="A13" s="373" t="s">
        <v>1053</v>
      </c>
      <c r="B13" s="375" t="str">
        <f>VLOOKUP(A15,'V_GEN-READINESS'!1:1048576,27,)</f>
        <v>FMC</v>
      </c>
      <c r="C13" s="377" t="s">
        <v>5</v>
      </c>
      <c r="D13" s="181" t="s">
        <v>1167</v>
      </c>
      <c r="E13" s="357">
        <f>GETPIVOTDATA("EI_BEG_AGE",'HOUR PIVOT'!A3,"EI_ID",A15)</f>
        <v>4733.5</v>
      </c>
      <c r="F13" s="381">
        <f>SUM(GETPIVOTDATA("INSP_DATE",'D PIVOT'!$A$3,"SYS_CODE","A","INSP_NO",261,"EI_ID",A15)+270)</f>
        <v>41742</v>
      </c>
      <c r="G13" s="357">
        <f>SUM((MIN(GETPIVOTDATA("INSP_VAL",'H PIVOT'!A3,"SYS_CODE","A","INSP_NO",41,"EI_ID",A15), (GETPIVOTDATA("INSP_VAL",'H PIVOT'!A3,"SYS_CODE","A","INSP_NO",130,"EI_ID",A15)), (GETPIVOTDATA("INSP_VAL",'H PIVOT'!A3,"SYS_CODE","A","INSP_NO",135,"EI_ID",A15)), (GETPIVOTDATA("INSP_VAL",'H PIVOT'!A3,"SYS_CODE","A","INSP_NO",145,"EI_ID",A15)))+50)-E13)</f>
        <v>48.399907407407227</v>
      </c>
      <c r="H13" s="357">
        <f>SUM((MIN(GETPIVOTDATA("INSP_VAL",'H PIVOT'!A3,"SYS_CODE","A","INSP_NO",195,"EI_ID",A15), (GETPIVOTDATA("INSP_VAL",'H PIVOT'!A3,"SYS_CODE","A","INSP_NO",198,"EI_ID",A15)), (GETPIVOTDATA("INSP_VAL",'H PIVOT'!A3,"SYS_CODE","A","INSP_NO",200,"EI_ID",A15)), (GETPIVOTDATA("INSP_VAL",'H PIVOT'!A3,"SYS_CODE","A","INSP_NO",224,"EI_ID",A15)))+125)-E13)</f>
        <v>95.200196759259597</v>
      </c>
      <c r="I13" s="357">
        <f>SUM((MIN(GETPIVOTDATA("INSP_VAL",'H PIVOT'!A3,"SYS_CODE","A","INSP_NO",223,"EI_ID",A15), (GETPIVOTDATA("INSP_VAL",'H PIVOT'!A3,"SYS_CODE","A","INSP_NO",231,"EI_ID",A15)), (GETPIVOTDATA("INSP_VAL",'H PIVOT'!A3,"SYS_CODE","A","INSP_NO",234,"EI_ID",A15)), (GETPIVOTDATA("INSP_VAL",'H PIVOT'!A3,"SYS_CODE","A","INSP_NO",261,"EI_ID",A15)),(GETPIVOTDATA("INSP_VAL",'H PIVOT'!A3,"SYS_CODE","A","INSP_NO",270,"EI_ID",A15)),(GETPIVOTDATA("INSP_VAL",'H PIVOT'!A3,"SYS_CODE","A","INSP_NO",275,"EI_ID",A15)),(GETPIVOTDATA("INSP_VAL",'H PIVOT'!A3,"SYS_CODE","A","INSP_NO",290,"EI_ID",A15)),(GETPIVOTDATA("INSP_VAL",'H PIVOT'!A3,"SYS_CODE","A","INSP_NO",295,"EI_ID",A15)),(GETPIVOTDATA("INSP_VAL",'H PIVOT'!A3,"SYS_CODE","A","INSP_NO",300,"EI_ID",A15)),(GETPIVOTDATA("INSP_VAL",'H PIVOT'!A3,"SYS_CODE","A","INSP_NO",465,"EI_ID",A15)),(GETPIVOTDATA("INSP_VAL",'H PIVOT'!A3,"SYS_CODE","A","INSP_NO",757,"EI_ID",A15)))+250)-E13)</f>
        <v>95.200196759259597</v>
      </c>
      <c r="J13" s="360">
        <f>SUM((MIN(GETPIVOTDATA("INSP_VAL",'H PIVOT'!A3,"SYS_CODE","A","INSP_NO",226,"EI_ID",A15), (GETPIVOTDATA("INSP_VAL",'H PIVOT'!A3,"SYS_CODE","A","INSP_NO",230,"EI_ID",A15)), (GETPIVOTDATA("INSP_VAL",'H PIVOT'!A3,"SYS_CODE","A","INSP_NO",400,"EI_ID",A15)), (GETPIVOTDATA("INSP_VAL",'H PIVOT'!A3,"SYS_CODE","A","INSP_NO",755,"EI_ID",A15)))+500)-E13)</f>
        <v>345.2001967592596</v>
      </c>
      <c r="K13" s="368"/>
      <c r="L13" s="369"/>
      <c r="M13" s="369"/>
      <c r="N13" s="369"/>
      <c r="O13" s="369"/>
      <c r="P13" s="369"/>
      <c r="Q13" s="369"/>
      <c r="R13" s="370"/>
      <c r="S13" s="371"/>
      <c r="T13" s="106"/>
      <c r="U13" s="106"/>
      <c r="V13" s="160">
        <f>IF(B13="FMC",0,VLOOKUP(A15,'V_GEN-READINESS'!1:1048576,17,FALSE))</f>
        <v>0</v>
      </c>
      <c r="W13" s="13"/>
      <c r="X13" s="13"/>
      <c r="Y13" s="13"/>
      <c r="Z13" s="13"/>
      <c r="AA13" s="13"/>
      <c r="AB13" s="13"/>
      <c r="AC13" s="13"/>
      <c r="AD13" s="13"/>
      <c r="AE13" s="2"/>
      <c r="AF13" s="13"/>
      <c r="AG13" s="13"/>
      <c r="AH13" s="13"/>
      <c r="AI13" s="13"/>
      <c r="AJ13" s="13"/>
      <c r="AK13" s="13"/>
      <c r="AL13" s="13"/>
      <c r="AM13" s="13"/>
      <c r="AN13" s="25"/>
      <c r="AO13" s="25"/>
      <c r="AP13" s="25"/>
      <c r="AQ13" s="44"/>
      <c r="AR13" s="44"/>
      <c r="AS13" s="36"/>
      <c r="AT13" s="37"/>
      <c r="AU13" s="38"/>
      <c r="AV13" s="137"/>
    </row>
    <row r="14" spans="1:48" s="30" customFormat="1" ht="27" customHeight="1">
      <c r="A14" s="374"/>
      <c r="B14" s="376"/>
      <c r="C14" s="378"/>
      <c r="D14" s="179"/>
      <c r="E14" s="358"/>
      <c r="F14" s="381"/>
      <c r="G14" s="358"/>
      <c r="H14" s="358"/>
      <c r="I14" s="358"/>
      <c r="J14" s="361"/>
      <c r="K14" s="368"/>
      <c r="L14" s="369"/>
      <c r="M14" s="369"/>
      <c r="N14" s="369"/>
      <c r="O14" s="369"/>
      <c r="P14" s="369"/>
      <c r="Q14" s="369"/>
      <c r="R14" s="370"/>
      <c r="S14" s="371"/>
      <c r="T14" s="106"/>
      <c r="U14" s="106"/>
      <c r="V14" s="105">
        <f ca="1">C2-V13</f>
        <v>41706.480305092591</v>
      </c>
      <c r="W14" s="13"/>
      <c r="X14" s="13"/>
      <c r="Y14" s="13"/>
      <c r="Z14" s="13"/>
      <c r="AA14" s="13"/>
      <c r="AB14" s="13"/>
      <c r="AC14" s="13"/>
      <c r="AD14" s="13"/>
      <c r="AE14" s="2"/>
      <c r="AF14" s="13"/>
      <c r="AG14" s="13"/>
      <c r="AH14" s="13"/>
      <c r="AI14" s="13"/>
      <c r="AJ14" s="13"/>
      <c r="AK14" s="13"/>
      <c r="AL14" s="13"/>
      <c r="AM14" s="13"/>
      <c r="AN14" s="32"/>
      <c r="AO14" s="32"/>
      <c r="AP14" s="32"/>
      <c r="AQ14" s="47"/>
      <c r="AR14" s="47"/>
      <c r="AS14" s="36"/>
      <c r="AT14" s="37"/>
      <c r="AU14" s="38"/>
      <c r="AV14" s="137"/>
    </row>
    <row r="15" spans="1:48" s="30" customFormat="1" ht="27" customHeight="1">
      <c r="A15" s="111" t="s">
        <v>752</v>
      </c>
      <c r="B15" s="384">
        <f>VLOOKUP(A15,'MIG SQL (MIG_LOG)'!1:1048576,4,FALSE)</f>
        <v>41703.640439814815</v>
      </c>
      <c r="C15" s="384"/>
      <c r="D15" s="131"/>
      <c r="E15" s="379"/>
      <c r="F15" s="390"/>
      <c r="G15" s="379"/>
      <c r="H15" s="379"/>
      <c r="I15" s="379"/>
      <c r="J15" s="383"/>
      <c r="K15" s="368"/>
      <c r="L15" s="369"/>
      <c r="M15" s="369"/>
      <c r="N15" s="369"/>
      <c r="O15" s="369"/>
      <c r="P15" s="369"/>
      <c r="Q15" s="369"/>
      <c r="R15" s="391"/>
      <c r="S15" s="369"/>
      <c r="T15" s="122"/>
      <c r="U15" s="122"/>
      <c r="V15" s="107"/>
      <c r="W15" s="13"/>
      <c r="X15" s="13"/>
      <c r="Y15" s="13"/>
      <c r="Z15" s="13"/>
      <c r="AA15" s="13"/>
      <c r="AB15" s="13"/>
      <c r="AC15" s="13"/>
      <c r="AD15" s="13"/>
      <c r="AE15" s="2"/>
      <c r="AF15" s="13"/>
      <c r="AG15" s="13"/>
      <c r="AH15" s="13"/>
      <c r="AI15" s="13"/>
      <c r="AJ15" s="13"/>
      <c r="AK15" s="13"/>
      <c r="AL15" s="13"/>
      <c r="AM15" s="13"/>
      <c r="AN15" s="25"/>
      <c r="AO15" s="25"/>
      <c r="AP15" s="25"/>
      <c r="AQ15" s="41"/>
      <c r="AR15" s="41"/>
      <c r="AS15" s="36"/>
      <c r="AT15" s="37"/>
      <c r="AU15" s="38"/>
      <c r="AV15" s="137"/>
    </row>
    <row r="16" spans="1:48" s="30" customFormat="1" ht="27" customHeight="1">
      <c r="A16" s="373" t="s">
        <v>1164</v>
      </c>
      <c r="B16" s="388" t="e">
        <f>VLOOKUP(A18,'V_GEN-READINESS'!1:1048576,27,)</f>
        <v>#N/A</v>
      </c>
      <c r="C16" s="389" t="s">
        <v>5</v>
      </c>
      <c r="D16" s="181" t="s">
        <v>1168</v>
      </c>
      <c r="E16" s="357" t="e">
        <f>GETPIVOTDATA("EI_BEG_AGE",'HOUR PIVOT'!A3,"EI_ID",A18)</f>
        <v>#REF!</v>
      </c>
      <c r="F16" s="380" t="e">
        <f>SUM((GETPIVOTDATA("INSP_DATE",'D PIVOT'!$A$3,"SYS_CODE","A","INSP_NO",261,"EI_ID",A18)+270))</f>
        <v>#REF!</v>
      </c>
      <c r="G16" s="357" t="e">
        <f>SUM((MIN(GETPIVOTDATA("INSP_VAL",'H PIVOT'!A3,"SYS_CODE","A","INSP_NO",41,"EI_ID",A18), (GETPIVOTDATA("INSP_VAL",'H PIVOT'!A3,"SYS_CODE","A","INSP_NO",130,"EI_ID",A18)), (GETPIVOTDATA("INSP_VAL",'H PIVOT'!A3,"SYS_CODE","A","INSP_NO",135,"EI_ID",A18)), (GETPIVOTDATA("INSP_VAL",'H PIVOT'!A3,"SYS_CODE","A","INSP_NO",145,"EI_ID",A18)))+50)-E16)</f>
        <v>#REF!</v>
      </c>
      <c r="H16" s="357" t="e">
        <f>SUM((MIN(GETPIVOTDATA("INSP_VAL",'H PIVOT'!A3,"SYS_CODE","A","INSP_NO",195,"EI_ID",A18), (GETPIVOTDATA("INSP_VAL",'H PIVOT'!A3,"SYS_CODE","A","INSP_NO",198,"EI_ID",A18)), (GETPIVOTDATA("INSP_VAL",'H PIVOT'!A3,"SYS_CODE","A","INSP_NO",200,"EI_ID",A18)), (GETPIVOTDATA("INSP_VAL",'H PIVOT'!A3,"SYS_CODE","A","INSP_NO",224,"EI_ID",A18)))+125)-E16)</f>
        <v>#REF!</v>
      </c>
      <c r="I16" s="357" t="e">
        <f>SUM((MIN(GETPIVOTDATA("INSP_VAL",'H PIVOT'!A3,"SYS_CODE","A","INSP_NO",223,"EI_ID",A18), (GETPIVOTDATA("INSP_VAL",'H PIVOT'!A3,"SYS_CODE","A","INSP_NO",231,"EI_ID",A18)), (GETPIVOTDATA("INSP_VAL",'H PIVOT'!A3,"SYS_CODE","A","INSP_NO",234,"EI_ID",A18)), (GETPIVOTDATA("INSP_VAL",'H PIVOT'!A3,"SYS_CODE","A","INSP_NO",261,"EI_ID",A18)),(GETPIVOTDATA("INSP_VAL",'H PIVOT'!A3,"SYS_CODE","A","INSP_NO",270,"EI_ID",A18)),(GETPIVOTDATA("INSP_VAL",'H PIVOT'!A3,"SYS_CODE","A","INSP_NO",275,"EI_ID",A18)),(GETPIVOTDATA("INSP_VAL",'H PIVOT'!A3,"SYS_CODE","A","INSP_NO",290,"EI_ID",A18)),(GETPIVOTDATA("INSP_VAL",'H PIVOT'!A3,"SYS_CODE","A","INSP_NO",295,"EI_ID",A18)),(GETPIVOTDATA("INSP_VAL",'H PIVOT'!A3,"SYS_CODE","A","INSP_NO",300,"EI_ID",A18)),(GETPIVOTDATA("INSP_VAL",'H PIVOT'!A3,"SYS_CODE","A","INSP_NO",465,"EI_ID",A18)),(GETPIVOTDATA("INSP_VAL",'H PIVOT'!A3,"SYS_CODE","A","INSP_NO",757,"EI_ID",A18)))+250)-E16)</f>
        <v>#REF!</v>
      </c>
      <c r="J16" s="360" t="e">
        <f>SUM((MIN(GETPIVOTDATA("INSP_VAL",'H PIVOT'!A3,"SYS_CODE","A","INSP_NO",226,"EI_ID",A18), (GETPIVOTDATA("INSP_VAL",'H PIVOT'!A3,"SYS_CODE","A","INSP_NO",230,"EI_ID",A18)), (GETPIVOTDATA("INSP_VAL",'H PIVOT'!A3,"SYS_CODE","A","INSP_NO",400,"EI_ID",A18)), (GETPIVOTDATA("INSP_VAL",'H PIVOT'!A3,"SYS_CODE","A","INSP_NO",755,"EI_ID",A18)))+500)-E16)</f>
        <v>#REF!</v>
      </c>
      <c r="K16" s="363" t="s">
        <v>1200</v>
      </c>
      <c r="L16" s="364"/>
      <c r="M16" s="364"/>
      <c r="N16" s="364"/>
      <c r="O16" s="364"/>
      <c r="P16" s="364"/>
      <c r="Q16" s="365"/>
      <c r="R16" s="366"/>
      <c r="S16" s="367"/>
      <c r="T16" s="112"/>
      <c r="U16" s="112"/>
      <c r="V16" s="161" t="e">
        <f>IF(B16="FMC",0,VLOOKUP(A18,'V_GEN-READINESS'!1:1048576,17,FALSE))</f>
        <v>#N/A</v>
      </c>
      <c r="W16" s="13"/>
      <c r="X16" s="13"/>
      <c r="Y16" s="13"/>
      <c r="Z16" s="13"/>
      <c r="AA16" s="13"/>
      <c r="AB16" s="13"/>
      <c r="AC16" s="13"/>
      <c r="AD16" s="13"/>
      <c r="AE16" s="2"/>
      <c r="AF16" s="13"/>
      <c r="AG16" s="13"/>
      <c r="AH16" s="13"/>
      <c r="AI16" s="13"/>
      <c r="AJ16" s="13"/>
      <c r="AK16" s="13"/>
      <c r="AL16" s="13"/>
      <c r="AM16" s="13"/>
      <c r="AN16" s="25"/>
      <c r="AO16" s="25"/>
      <c r="AP16" s="25"/>
      <c r="AQ16" s="44"/>
      <c r="AR16" s="44"/>
      <c r="AS16" s="36"/>
      <c r="AT16" s="37"/>
      <c r="AU16" s="38"/>
      <c r="AV16" s="137"/>
    </row>
    <row r="17" spans="1:48" s="30" customFormat="1" ht="27" customHeight="1">
      <c r="A17" s="374"/>
      <c r="B17" s="376"/>
      <c r="C17" s="378"/>
      <c r="D17" s="179"/>
      <c r="E17" s="358"/>
      <c r="F17" s="381"/>
      <c r="G17" s="358"/>
      <c r="H17" s="358"/>
      <c r="I17" s="358"/>
      <c r="J17" s="361"/>
      <c r="K17" s="368"/>
      <c r="L17" s="369"/>
      <c r="M17" s="369"/>
      <c r="N17" s="369"/>
      <c r="O17" s="369"/>
      <c r="P17" s="369"/>
      <c r="Q17" s="369"/>
      <c r="R17" s="392"/>
      <c r="S17" s="393"/>
      <c r="T17" s="106"/>
      <c r="U17" s="106"/>
      <c r="V17" s="105" t="e">
        <f ca="1">C2-V16</f>
        <v>#N/A</v>
      </c>
      <c r="W17" s="13"/>
      <c r="X17" s="13"/>
      <c r="Y17" s="13"/>
      <c r="Z17" s="13"/>
      <c r="AA17" s="13"/>
      <c r="AB17" s="13"/>
      <c r="AC17" s="13"/>
      <c r="AD17" s="13"/>
      <c r="AE17" s="2"/>
      <c r="AF17" s="13"/>
      <c r="AG17" s="13"/>
      <c r="AH17" s="13"/>
      <c r="AI17" s="13"/>
      <c r="AJ17" s="13"/>
      <c r="AK17" s="13"/>
      <c r="AL17" s="13"/>
      <c r="AM17" s="13"/>
      <c r="AN17" s="32"/>
      <c r="AO17" s="32"/>
      <c r="AP17" s="32"/>
      <c r="AQ17" s="47"/>
      <c r="AR17" s="47"/>
      <c r="AS17" s="36"/>
      <c r="AT17" s="37"/>
      <c r="AU17" s="38"/>
      <c r="AV17" s="137"/>
    </row>
    <row r="18" spans="1:48" s="30" customFormat="1" ht="27" customHeight="1">
      <c r="A18" s="111"/>
      <c r="B18" s="384" t="e">
        <f>VLOOKUP(A18,'MIG SQL (MIG_LOG)'!1:1048576,4,FALSE)</f>
        <v>#N/A</v>
      </c>
      <c r="C18" s="384"/>
      <c r="D18" s="131"/>
      <c r="E18" s="379"/>
      <c r="F18" s="390"/>
      <c r="G18" s="379"/>
      <c r="H18" s="379"/>
      <c r="I18" s="379"/>
      <c r="J18" s="383"/>
      <c r="K18" s="385"/>
      <c r="L18" s="386"/>
      <c r="M18" s="386"/>
      <c r="N18" s="386"/>
      <c r="O18" s="386"/>
      <c r="P18" s="386"/>
      <c r="Q18" s="386"/>
      <c r="R18" s="387"/>
      <c r="S18" s="386"/>
      <c r="T18" s="124"/>
      <c r="U18" s="124"/>
      <c r="V18" s="113"/>
      <c r="W18" s="13"/>
      <c r="X18" s="13"/>
      <c r="Y18" s="13"/>
      <c r="Z18" s="13"/>
      <c r="AA18" s="13"/>
      <c r="AB18" s="13"/>
      <c r="AC18" s="13"/>
      <c r="AD18" s="13"/>
      <c r="AE18" s="2"/>
      <c r="AF18" s="13"/>
      <c r="AG18" s="13"/>
      <c r="AH18" s="13"/>
      <c r="AI18" s="13"/>
      <c r="AJ18" s="13"/>
      <c r="AK18" s="13"/>
      <c r="AL18" s="13"/>
      <c r="AM18" s="13"/>
      <c r="AN18" s="25"/>
      <c r="AO18" s="25"/>
      <c r="AP18" s="25"/>
      <c r="AQ18" s="41"/>
      <c r="AR18" s="41"/>
      <c r="AS18" s="36"/>
      <c r="AT18" s="37"/>
      <c r="AU18" s="38"/>
      <c r="AV18" s="137"/>
    </row>
    <row r="19" spans="1:48" s="30" customFormat="1" ht="27" customHeight="1">
      <c r="A19" s="373" t="s">
        <v>1165</v>
      </c>
      <c r="B19" s="388" t="e">
        <f>VLOOKUP(A21,'V_GEN-READINESS'!1:1048576,27,)</f>
        <v>#N/A</v>
      </c>
      <c r="C19" s="389" t="s">
        <v>5</v>
      </c>
      <c r="D19" s="183" t="s">
        <v>1168</v>
      </c>
      <c r="E19" s="357" t="e">
        <f>GETPIVOTDATA("EI_BEG_AGE",'HOUR PIVOT'!A3,"EI_ID",A21)</f>
        <v>#REF!</v>
      </c>
      <c r="F19" s="380" t="e">
        <f>SUM((GETPIVOTDATA("INSP_DATE",'D PIVOT'!$A$3,"SYS_CODE","A","INSP_NO",261,"EI_ID",A21)+270))</f>
        <v>#REF!</v>
      </c>
      <c r="G19" s="357" t="e">
        <f>SUM((MIN(GETPIVOTDATA("INSP_VAL",'H PIVOT'!A3,"SYS_CODE","A","INSP_NO",41,"EI_ID",A21), (GETPIVOTDATA("INSP_VAL",'H PIVOT'!A3,"SYS_CODE","A","INSP_NO",130,"EI_ID",A21)), (GETPIVOTDATA("INSP_VAL",'H PIVOT'!A3,"SYS_CODE","A","INSP_NO",135,"EI_ID",A21)), (GETPIVOTDATA("INSP_VAL",'H PIVOT'!A3,"SYS_CODE","A","INSP_NO",145,"EI_ID",A21)))+50)-E19)</f>
        <v>#REF!</v>
      </c>
      <c r="H19" s="357" t="e">
        <f>SUM((MIN(GETPIVOTDATA("INSP_VAL",'H PIVOT'!A3,"SYS_CODE","A","INSP_NO",195,"EI_ID",A21), (GETPIVOTDATA("INSP_VAL",'H PIVOT'!A3,"SYS_CODE","A","INSP_NO",198,"EI_ID",A21)), (GETPIVOTDATA("INSP_VAL",'H PIVOT'!A3,"SYS_CODE","A","INSP_NO",200,"EI_ID",A21)), (GETPIVOTDATA("INSP_VAL",'H PIVOT'!A3,"SYS_CODE","A","INSP_NO",224,"EI_ID",A21)))+125)-E19)</f>
        <v>#REF!</v>
      </c>
      <c r="I19" s="357" t="e">
        <f>SUM((MIN(GETPIVOTDATA("INSP_VAL",'H PIVOT'!A3,"SYS_CODE","A","INSP_NO",223,"EI_ID",A21), (GETPIVOTDATA("INSP_VAL",'H PIVOT'!A3,"SYS_CODE","A","INSP_NO",231,"EI_ID",A21)), (GETPIVOTDATA("INSP_VAL",'H PIVOT'!A3,"SYS_CODE","A","INSP_NO",234,"EI_ID",A21)), (GETPIVOTDATA("INSP_VAL",'H PIVOT'!A3,"SYS_CODE","A","INSP_NO",261,"EI_ID",A21)),(GETPIVOTDATA("INSP_VAL",'H PIVOT'!A3,"SYS_CODE","A","INSP_NO",270,"EI_ID",A21)),(GETPIVOTDATA("INSP_VAL",'H PIVOT'!A3,"SYS_CODE","A","INSP_NO",275,"EI_ID",A21)),(GETPIVOTDATA("INSP_VAL",'H PIVOT'!A3,"SYS_CODE","A","INSP_NO",290,"EI_ID",A21)),(GETPIVOTDATA("INSP_VAL",'H PIVOT'!A3,"SYS_CODE","A","INSP_NO",295,"EI_ID",A21)),(GETPIVOTDATA("INSP_VAL",'H PIVOT'!A3,"SYS_CODE","A","INSP_NO",300,"EI_ID",A21)),(GETPIVOTDATA("INSP_VAL",'H PIVOT'!A3,"SYS_CODE","A","INSP_NO",465,"EI_ID",A21)),(GETPIVOTDATA("INSP_VAL",'H PIVOT'!A3,"SYS_CODE","A","INSP_NO",757,"EI_ID",A21)))+250)-E19)</f>
        <v>#REF!</v>
      </c>
      <c r="J19" s="360" t="e">
        <f>SUM((MIN(GETPIVOTDATA("INSP_VAL",'H PIVOT'!A3,"SYS_CODE","A","INSP_NO",226,"EI_ID",A21), (GETPIVOTDATA("INSP_VAL",'H PIVOT'!A3,"SYS_CODE","A","INSP_NO",230,"EI_ID",A21)), (GETPIVOTDATA("INSP_VAL",'H PIVOT'!A3,"SYS_CODE","A","INSP_NO",400,"EI_ID",A21)), (GETPIVOTDATA("INSP_VAL",'H PIVOT'!A3,"SYS_CODE","A","INSP_NO",755,"EI_ID",A21)))+500)-E19)</f>
        <v>#REF!</v>
      </c>
      <c r="K19" s="363" t="s">
        <v>1200</v>
      </c>
      <c r="L19" s="364"/>
      <c r="M19" s="364"/>
      <c r="N19" s="364"/>
      <c r="O19" s="364"/>
      <c r="P19" s="364"/>
      <c r="Q19" s="365"/>
      <c r="R19" s="370"/>
      <c r="S19" s="371"/>
      <c r="T19" s="106"/>
      <c r="U19" s="106"/>
      <c r="V19" s="160" t="e">
        <f>IF(B19="FMC",0,VLOOKUP(A21,'V_GEN-READINESS'!1:1048576,17,FALSE))</f>
        <v>#N/A</v>
      </c>
      <c r="W19" s="13"/>
      <c r="X19" s="13"/>
      <c r="Y19" s="13"/>
      <c r="Z19" s="13"/>
      <c r="AA19" s="13"/>
      <c r="AB19" s="13"/>
      <c r="AC19" s="13"/>
      <c r="AD19" s="13"/>
      <c r="AE19" s="2"/>
      <c r="AF19" s="13"/>
      <c r="AG19" s="13"/>
      <c r="AH19" s="13"/>
      <c r="AI19" s="13"/>
      <c r="AJ19" s="13"/>
      <c r="AK19" s="13"/>
      <c r="AL19" s="13"/>
      <c r="AM19" s="13"/>
      <c r="AN19" s="25"/>
      <c r="AO19" s="25"/>
      <c r="AP19" s="25"/>
      <c r="AQ19" s="41"/>
      <c r="AR19" s="41"/>
      <c r="AS19" s="36"/>
      <c r="AT19" s="37"/>
      <c r="AU19" s="38"/>
      <c r="AV19" s="137"/>
    </row>
    <row r="20" spans="1:48" s="30" customFormat="1" ht="27" customHeight="1">
      <c r="A20" s="374"/>
      <c r="B20" s="376"/>
      <c r="C20" s="378"/>
      <c r="D20" s="179"/>
      <c r="E20" s="358"/>
      <c r="F20" s="381"/>
      <c r="G20" s="358"/>
      <c r="H20" s="358"/>
      <c r="I20" s="358"/>
      <c r="J20" s="361"/>
      <c r="K20" s="368"/>
      <c r="L20" s="369"/>
      <c r="M20" s="369"/>
      <c r="N20" s="369"/>
      <c r="O20" s="369"/>
      <c r="P20" s="369"/>
      <c r="Q20" s="369"/>
      <c r="R20" s="370"/>
      <c r="S20" s="371"/>
      <c r="T20" s="106"/>
      <c r="U20" s="106"/>
      <c r="V20" s="105" t="e">
        <f ca="1">C2-V19</f>
        <v>#N/A</v>
      </c>
      <c r="W20" s="13"/>
      <c r="X20" s="13"/>
      <c r="Y20" s="13"/>
      <c r="Z20" s="13"/>
      <c r="AA20" s="13"/>
      <c r="AB20" s="13"/>
      <c r="AC20" s="13"/>
      <c r="AD20" s="13"/>
      <c r="AE20" s="2"/>
      <c r="AF20" s="13"/>
      <c r="AG20" s="13"/>
      <c r="AH20" s="13"/>
      <c r="AI20" s="13"/>
      <c r="AJ20" s="13"/>
      <c r="AK20" s="13"/>
      <c r="AL20" s="13"/>
      <c r="AM20" s="13"/>
      <c r="AN20" s="32"/>
      <c r="AO20" s="32"/>
      <c r="AP20" s="32"/>
      <c r="AQ20" s="41"/>
      <c r="AR20" s="41"/>
      <c r="AS20" s="36"/>
      <c r="AT20" s="34"/>
      <c r="AU20" s="35"/>
      <c r="AV20" s="137"/>
    </row>
    <row r="21" spans="1:48" s="30" customFormat="1" ht="27" customHeight="1">
      <c r="A21" s="111"/>
      <c r="B21" s="384" t="e">
        <f>VLOOKUP(A21,'MIG SQL (MIG_LOG)'!1:1048576,4,FALSE)</f>
        <v>#N/A</v>
      </c>
      <c r="C21" s="384"/>
      <c r="D21" s="131"/>
      <c r="E21" s="379"/>
      <c r="F21" s="390"/>
      <c r="G21" s="379"/>
      <c r="H21" s="379"/>
      <c r="I21" s="379"/>
      <c r="J21" s="383"/>
      <c r="K21" s="368"/>
      <c r="L21" s="369"/>
      <c r="M21" s="369"/>
      <c r="N21" s="369"/>
      <c r="O21" s="369"/>
      <c r="P21" s="369"/>
      <c r="Q21" s="369"/>
      <c r="R21" s="391"/>
      <c r="S21" s="369"/>
      <c r="T21" s="122"/>
      <c r="U21" s="122"/>
      <c r="V21" s="107"/>
      <c r="W21" s="13"/>
      <c r="X21" s="13"/>
      <c r="Y21" s="13"/>
      <c r="Z21" s="13"/>
      <c r="AA21" s="13"/>
      <c r="AB21" s="13"/>
      <c r="AC21" s="13"/>
      <c r="AD21" s="13"/>
      <c r="AE21" s="2"/>
      <c r="AF21" s="13"/>
      <c r="AG21" s="13"/>
      <c r="AH21" s="13"/>
      <c r="AI21" s="13"/>
      <c r="AJ21" s="13"/>
      <c r="AK21" s="13"/>
      <c r="AL21" s="13"/>
      <c r="AM21" s="13"/>
      <c r="AN21" s="48"/>
      <c r="AO21" s="48"/>
      <c r="AP21" s="48"/>
      <c r="AQ21" s="41"/>
      <c r="AR21" s="49"/>
      <c r="AS21" s="22"/>
      <c r="AT21" s="50"/>
      <c r="AU21" s="35"/>
      <c r="AV21" s="402"/>
    </row>
    <row r="22" spans="1:48" s="30" customFormat="1" ht="27" customHeight="1">
      <c r="A22" s="373" t="s">
        <v>1166</v>
      </c>
      <c r="B22" s="388" t="e">
        <f>VLOOKUP(A24,'V_GEN-READINESS'!1:1048576,27,)</f>
        <v>#N/A</v>
      </c>
      <c r="C22" s="389" t="s">
        <v>5</v>
      </c>
      <c r="D22" s="181" t="s">
        <v>1168</v>
      </c>
      <c r="E22" s="357" t="e">
        <f>GETPIVOTDATA("EI_BEG_AGE",'HOUR PIVOT'!A3,"EI_ID",A24)</f>
        <v>#REF!</v>
      </c>
      <c r="F22" s="380" t="e">
        <f>SUM((GETPIVOTDATA("INSP_DATE",'D PIVOT'!$A$3,"SYS_CODE","A","INSP_NO",261,"EI_ID",A24)+270))</f>
        <v>#REF!</v>
      </c>
      <c r="G22" s="357" t="e">
        <f>SUM((MIN(GETPIVOTDATA("INSP_VAL",'H PIVOT'!A3,"SYS_CODE","A","INSP_NO",41,"EI_ID",A24), (GETPIVOTDATA("INSP_VAL",'H PIVOT'!A3,"SYS_CODE","A","INSP_NO",130,"EI_ID",A24)), (GETPIVOTDATA("INSP_VAL",'H PIVOT'!A3,"SYS_CODE","A","INSP_NO",135,"EI_ID",A24)), (GETPIVOTDATA("INSP_VAL",'H PIVOT'!A3,"SYS_CODE","A","INSP_NO",145,"EI_ID",A24)))+50)-E22)</f>
        <v>#REF!</v>
      </c>
      <c r="H22" s="357" t="e">
        <f>SUM((MIN(GETPIVOTDATA("INSP_VAL",'H PIVOT'!A3,"SYS_CODE","A","INSP_NO",195,"EI_ID",A24), (GETPIVOTDATA("INSP_VAL",'H PIVOT'!A3,"SYS_CODE","A","INSP_NO",198,"EI_ID",A24)), (GETPIVOTDATA("INSP_VAL",'H PIVOT'!A3,"SYS_CODE","A","INSP_NO",200,"EI_ID",A24)), (GETPIVOTDATA("INSP_VAL",'H PIVOT'!A3,"SYS_CODE","A","INSP_NO",224,"EI_ID",A24)))+125)-E22)</f>
        <v>#REF!</v>
      </c>
      <c r="I22" s="357" t="e">
        <f>SUM((MIN(GETPIVOTDATA("INSP_VAL",'H PIVOT'!A3,"SYS_CODE","A","INSP_NO",223,"EI_ID",A24), (GETPIVOTDATA("INSP_VAL",'H PIVOT'!A3,"SYS_CODE","A","INSP_NO",231,"EI_ID",A24)), (GETPIVOTDATA("INSP_VAL",'H PIVOT'!A3,"SYS_CODE","A","INSP_NO",234,"EI_ID",A24)), (GETPIVOTDATA("INSP_VAL",'H PIVOT'!A3,"SYS_CODE","A","INSP_NO",261,"EI_ID",A24)),(GETPIVOTDATA("INSP_VAL",'H PIVOT'!A3,"SYS_CODE","A","INSP_NO",270,"EI_ID",A24)),(GETPIVOTDATA("INSP_VAL",'H PIVOT'!A3,"SYS_CODE","A","INSP_NO",275,"EI_ID",A24)),(GETPIVOTDATA("INSP_VAL",'H PIVOT'!A3,"SYS_CODE","A","INSP_NO",290,"EI_ID",A24)),(GETPIVOTDATA("INSP_VAL",'H PIVOT'!A3,"SYS_CODE","A","INSP_NO",295,"EI_ID",A24)),(GETPIVOTDATA("INSP_VAL",'H PIVOT'!A3,"SYS_CODE","A","INSP_NO",300,"EI_ID",A24)),(GETPIVOTDATA("INSP_VAL",'H PIVOT'!A3,"SYS_CODE","A","INSP_NO",465,"EI_ID",A24)),(GETPIVOTDATA("INSP_VAL",'H PIVOT'!A3,"SYS_CODE","A","INSP_NO",757,"EI_ID",A24)))+250)-E22)</f>
        <v>#REF!</v>
      </c>
      <c r="J22" s="360" t="e">
        <f>SUM((MIN(GETPIVOTDATA("INSP_VAL",'H PIVOT'!A3,"SYS_CODE","A","INSP_NO",226,"EI_ID",A24), (GETPIVOTDATA("INSP_VAL",'H PIVOT'!A3,"SYS_CODE","A","INSP_NO",230,"EI_ID",A24)), (GETPIVOTDATA("INSP_VAL",'H PIVOT'!A3,"SYS_CODE","A","INSP_NO",400,"EI_ID",A24)), (GETPIVOTDATA("INSP_VAL",'H PIVOT'!A3,"SYS_CODE","A","INSP_NO",755,"EI_ID",A24)))+500)-E22)</f>
        <v>#REF!</v>
      </c>
      <c r="K22" s="363" t="s">
        <v>1200</v>
      </c>
      <c r="L22" s="364"/>
      <c r="M22" s="364"/>
      <c r="N22" s="364"/>
      <c r="O22" s="364"/>
      <c r="P22" s="364"/>
      <c r="Q22" s="365"/>
      <c r="R22" s="366"/>
      <c r="S22" s="367"/>
      <c r="T22" s="112"/>
      <c r="U22" s="112"/>
      <c r="V22" s="161" t="e">
        <f>IF(B22="FMC",0,VLOOKUP(A24,'V_GEN-READINESS'!1:1048576,17,FALSE))</f>
        <v>#N/A</v>
      </c>
      <c r="W22" s="13"/>
      <c r="X22" s="13"/>
      <c r="Y22" s="13"/>
      <c r="Z22" s="13"/>
      <c r="AA22" s="13"/>
      <c r="AB22" s="13"/>
      <c r="AC22" s="13"/>
      <c r="AD22" s="13"/>
      <c r="AE22" s="2"/>
      <c r="AF22" s="13"/>
      <c r="AG22" s="13"/>
      <c r="AH22" s="13"/>
      <c r="AI22" s="13"/>
      <c r="AJ22" s="13"/>
      <c r="AK22" s="13"/>
      <c r="AL22" s="13"/>
      <c r="AM22" s="13"/>
      <c r="AN22" s="48"/>
      <c r="AO22" s="48"/>
      <c r="AP22" s="48"/>
      <c r="AQ22" s="41"/>
      <c r="AR22" s="41"/>
      <c r="AS22" s="22"/>
      <c r="AT22" s="37"/>
      <c r="AU22" s="38"/>
      <c r="AV22" s="402"/>
    </row>
    <row r="23" spans="1:48" s="30" customFormat="1" ht="27" customHeight="1">
      <c r="A23" s="374"/>
      <c r="B23" s="376"/>
      <c r="C23" s="378"/>
      <c r="D23" s="179"/>
      <c r="E23" s="358"/>
      <c r="F23" s="381"/>
      <c r="G23" s="358"/>
      <c r="H23" s="358"/>
      <c r="I23" s="358"/>
      <c r="J23" s="361"/>
      <c r="K23" s="368"/>
      <c r="L23" s="369"/>
      <c r="M23" s="369"/>
      <c r="N23" s="369"/>
      <c r="O23" s="369"/>
      <c r="P23" s="369"/>
      <c r="Q23" s="369"/>
      <c r="R23" s="370"/>
      <c r="S23" s="371"/>
      <c r="T23" s="106"/>
      <c r="U23" s="106"/>
      <c r="V23" s="105" t="e">
        <f ca="1">C2-V22</f>
        <v>#N/A</v>
      </c>
      <c r="W23" s="13"/>
      <c r="X23" s="13"/>
      <c r="Y23" s="13"/>
      <c r="Z23" s="13"/>
      <c r="AA23" s="13"/>
      <c r="AB23" s="13"/>
      <c r="AC23" s="13"/>
      <c r="AD23" s="13"/>
      <c r="AE23" s="2"/>
      <c r="AF23" s="13"/>
      <c r="AG23" s="13"/>
      <c r="AH23" s="13"/>
      <c r="AI23" s="13"/>
      <c r="AJ23" s="13"/>
      <c r="AK23" s="13"/>
      <c r="AL23" s="13"/>
      <c r="AM23" s="13"/>
      <c r="AN23" s="51"/>
      <c r="AO23" s="48"/>
      <c r="AP23" s="53"/>
      <c r="AQ23" s="54"/>
      <c r="AR23" s="54"/>
      <c r="AS23" s="36"/>
      <c r="AT23" s="37"/>
      <c r="AU23" s="38"/>
      <c r="AV23" s="402"/>
    </row>
    <row r="24" spans="1:48" s="30" customFormat="1" ht="27" customHeight="1">
      <c r="A24" s="111"/>
      <c r="B24" s="384" t="e">
        <f>VLOOKUP(A24,'MIG SQL (MIG_LOG)'!1:1048576,4,FALSE)</f>
        <v>#N/A</v>
      </c>
      <c r="C24" s="384"/>
      <c r="D24" s="131"/>
      <c r="E24" s="379"/>
      <c r="F24" s="390"/>
      <c r="G24" s="379"/>
      <c r="H24" s="379"/>
      <c r="I24" s="379"/>
      <c r="J24" s="383"/>
      <c r="K24" s="385"/>
      <c r="L24" s="386"/>
      <c r="M24" s="386"/>
      <c r="N24" s="386"/>
      <c r="O24" s="386"/>
      <c r="P24" s="386"/>
      <c r="Q24" s="386"/>
      <c r="R24" s="387"/>
      <c r="S24" s="386"/>
      <c r="T24" s="124"/>
      <c r="U24" s="124"/>
      <c r="V24" s="113"/>
      <c r="W24" s="13"/>
      <c r="X24" s="13"/>
      <c r="Y24" s="13"/>
      <c r="Z24" s="13"/>
      <c r="AA24" s="13"/>
      <c r="AB24" s="13"/>
      <c r="AC24" s="13"/>
      <c r="AD24" s="13"/>
      <c r="AE24" s="2"/>
      <c r="AF24" s="13"/>
      <c r="AG24" s="13"/>
      <c r="AH24" s="13"/>
      <c r="AI24" s="13"/>
      <c r="AJ24" s="13"/>
      <c r="AK24" s="13"/>
      <c r="AL24" s="13"/>
      <c r="AM24" s="13"/>
      <c r="AN24" s="48"/>
      <c r="AO24" s="48"/>
      <c r="AP24" s="48"/>
      <c r="AQ24" s="26"/>
      <c r="AR24" s="55"/>
      <c r="AS24" s="56"/>
      <c r="AT24" s="37"/>
      <c r="AU24" s="38"/>
      <c r="AV24" s="402"/>
    </row>
    <row r="25" spans="1:48" s="30" customFormat="1" ht="27" customHeight="1">
      <c r="A25" s="373" t="s">
        <v>1169</v>
      </c>
      <c r="B25" s="388" t="e">
        <f>VLOOKUP(A27,'V_GEN-READINESS'!1:1048576,27,)</f>
        <v>#N/A</v>
      </c>
      <c r="C25" s="389" t="s">
        <v>5</v>
      </c>
      <c r="D25" s="181"/>
      <c r="E25" s="357" t="e">
        <f>GETPIVOTDATA("EI_BEG_AGE",'HOUR PIVOT'!A3,"EI_ID",A27)</f>
        <v>#REF!</v>
      </c>
      <c r="F25" s="380" t="e">
        <f>SUM((GETPIVOTDATA("INSP_DATE",'D PIVOT'!$A$3,"SYS_CODE","A","INSP_NO",261,"EI_ID",A27)+270))</f>
        <v>#REF!</v>
      </c>
      <c r="G25" s="357" t="e">
        <f>SUM((MIN(GETPIVOTDATA("INSP_VAL",'H PIVOT'!A3,"SYS_CODE","A","INSP_NO",41,"EI_ID",A27), (GETPIVOTDATA("INSP_VAL",'H PIVOT'!A3,"SYS_CODE","A","INSP_NO",130,"EI_ID",A27)), (GETPIVOTDATA("INSP_VAL",'H PIVOT'!A3,"SYS_CODE","A","INSP_NO",135,"EI_ID",A27)), (GETPIVOTDATA("INSP_VAL",'H PIVOT'!A3,"SYS_CODE","A","INSP_NO",145,"EI_ID",A27)))+50)-E25)</f>
        <v>#REF!</v>
      </c>
      <c r="H25" s="357" t="e">
        <f>SUM((MIN(GETPIVOTDATA("INSP_VAL",'H PIVOT'!A3,"SYS_CODE","A","INSP_NO",195,"EI_ID",A27), (GETPIVOTDATA("INSP_VAL",'H PIVOT'!A3,"SYS_CODE","A","INSP_NO",198,"EI_ID",A27)), (GETPIVOTDATA("INSP_VAL",'H PIVOT'!A3,"SYS_CODE","A","INSP_NO",200,"EI_ID",A27)), (GETPIVOTDATA("INSP_VAL",'H PIVOT'!A3,"SYS_CODE","A","INSP_NO",224,"EI_ID",A27)))+125)-E25)</f>
        <v>#REF!</v>
      </c>
      <c r="I25" s="357" t="e">
        <f>SUM((MIN(GETPIVOTDATA("INSP_VAL",'H PIVOT'!A3,"SYS_CODE","A","INSP_NO",223,"EI_ID",A27), (GETPIVOTDATA("INSP_VAL",'H PIVOT'!A3,"SYS_CODE","A","INSP_NO",231,"EI_ID",A27)), (GETPIVOTDATA("INSP_VAL",'H PIVOT'!A3,"SYS_CODE","A","INSP_NO",234,"EI_ID",A27)), (GETPIVOTDATA("INSP_VAL",'H PIVOT'!A3,"SYS_CODE","A","INSP_NO",261,"EI_ID",A27)),(GETPIVOTDATA("INSP_VAL",'H PIVOT'!A3,"SYS_CODE","A","INSP_NO",270,"EI_ID",A27)),(GETPIVOTDATA("INSP_VAL",'H PIVOT'!A3,"SYS_CODE","A","INSP_NO",275,"EI_ID",A27)),(GETPIVOTDATA("INSP_VAL",'H PIVOT'!A3,"SYS_CODE","A","INSP_NO",290,"EI_ID",A27)),(GETPIVOTDATA("INSP_VAL",'H PIVOT'!A3,"SYS_CODE","A","INSP_NO",295,"EI_ID",A27)),(GETPIVOTDATA("INSP_VAL",'H PIVOT'!A3,"SYS_CODE","A","INSP_NO",300,"EI_ID",A27)),(GETPIVOTDATA("INSP_VAL",'H PIVOT'!A3,"SYS_CODE","A","INSP_NO",465,"EI_ID",A27)),(GETPIVOTDATA("INSP_VAL",'H PIVOT'!A3,"SYS_CODE","A","INSP_NO",757,"EI_ID",A27)))+250)-E25)</f>
        <v>#REF!</v>
      </c>
      <c r="J25" s="360" t="e">
        <f>SUM((MIN(GETPIVOTDATA("INSP_VAL",'H PIVOT'!A3,"SYS_CODE","A","INSP_NO",226,"EI_ID",A27), (GETPIVOTDATA("INSP_VAL",'H PIVOT'!A3,"SYS_CODE","A","INSP_NO",230,"EI_ID",A27)), (GETPIVOTDATA("INSP_VAL",'H PIVOT'!A3,"SYS_CODE","A","INSP_NO",400,"EI_ID",A27)), (GETPIVOTDATA("INSP_VAL",'H PIVOT'!A3,"SYS_CODE","A","INSP_NO",755,"EI_ID",A27)))+500)-E25)</f>
        <v>#REF!</v>
      </c>
      <c r="K25" s="368" t="s">
        <v>1170</v>
      </c>
      <c r="L25" s="369"/>
      <c r="M25" s="369"/>
      <c r="N25" s="369"/>
      <c r="O25" s="369"/>
      <c r="P25" s="369"/>
      <c r="Q25" s="369"/>
      <c r="R25" s="370"/>
      <c r="S25" s="371"/>
      <c r="T25" s="106"/>
      <c r="U25" s="106"/>
      <c r="V25" s="160" t="e">
        <f>IF(B25="FMC",0,VLOOKUP(A27,'V_GEN-READINESS'!1:1048576,17,FALSE))</f>
        <v>#N/A</v>
      </c>
      <c r="W25" s="13"/>
      <c r="X25" s="13"/>
      <c r="Y25" s="13"/>
      <c r="Z25" s="13"/>
      <c r="AA25" s="13"/>
      <c r="AB25" s="13"/>
      <c r="AC25" s="13"/>
      <c r="AD25" s="13"/>
      <c r="AE25" s="2"/>
      <c r="AF25" s="13"/>
      <c r="AG25" s="13"/>
      <c r="AH25" s="13"/>
      <c r="AI25" s="13"/>
      <c r="AJ25" s="13"/>
      <c r="AK25" s="13"/>
      <c r="AL25" s="13"/>
      <c r="AM25" s="13"/>
      <c r="AN25" s="59"/>
      <c r="AO25" s="48"/>
      <c r="AP25" s="48"/>
      <c r="AQ25" s="41"/>
      <c r="AR25" s="49"/>
      <c r="AS25" s="56"/>
      <c r="AT25" s="37"/>
      <c r="AU25" s="29"/>
      <c r="AV25" s="402"/>
    </row>
    <row r="26" spans="1:48" s="30" customFormat="1" ht="27" customHeight="1">
      <c r="A26" s="374"/>
      <c r="B26" s="376"/>
      <c r="C26" s="378"/>
      <c r="D26" s="179"/>
      <c r="E26" s="358"/>
      <c r="F26" s="381"/>
      <c r="G26" s="358"/>
      <c r="H26" s="358"/>
      <c r="I26" s="358"/>
      <c r="J26" s="361"/>
      <c r="K26" s="368"/>
      <c r="L26" s="369"/>
      <c r="M26" s="369"/>
      <c r="N26" s="369"/>
      <c r="O26" s="369"/>
      <c r="P26" s="369"/>
      <c r="Q26" s="369"/>
      <c r="R26" s="370"/>
      <c r="S26" s="371"/>
      <c r="T26" s="106"/>
      <c r="U26" s="106"/>
      <c r="V26" s="105" t="e">
        <f ca="1">C2-V25</f>
        <v>#N/A</v>
      </c>
      <c r="W26" s="13"/>
      <c r="X26" s="13"/>
      <c r="Y26" s="13"/>
      <c r="Z26" s="13"/>
      <c r="AA26" s="13"/>
      <c r="AB26" s="13"/>
      <c r="AC26" s="13"/>
      <c r="AD26" s="13"/>
      <c r="AE26" s="2"/>
      <c r="AF26" s="13"/>
      <c r="AG26" s="13"/>
      <c r="AH26" s="13"/>
      <c r="AI26" s="13"/>
      <c r="AJ26" s="13"/>
      <c r="AK26" s="13"/>
      <c r="AL26" s="13"/>
      <c r="AM26" s="13"/>
      <c r="AN26" s="32"/>
      <c r="AO26" s="32"/>
      <c r="AP26" s="52"/>
      <c r="AQ26" s="41"/>
      <c r="AR26" s="41"/>
      <c r="AS26" s="36"/>
      <c r="AT26" s="37"/>
      <c r="AU26" s="38"/>
      <c r="AV26" s="402"/>
    </row>
    <row r="27" spans="1:48" s="30" customFormat="1" ht="27" customHeight="1">
      <c r="A27" s="111"/>
      <c r="B27" s="384" t="e">
        <f>VLOOKUP(A27,'MIG SQL (MIG_LOG)'!1:1048576,4,FALSE)</f>
        <v>#N/A</v>
      </c>
      <c r="C27" s="384"/>
      <c r="D27" s="131"/>
      <c r="E27" s="379"/>
      <c r="F27" s="390"/>
      <c r="G27" s="379"/>
      <c r="H27" s="379"/>
      <c r="I27" s="379"/>
      <c r="J27" s="383"/>
      <c r="K27" s="368"/>
      <c r="L27" s="369"/>
      <c r="M27" s="369"/>
      <c r="N27" s="369"/>
      <c r="O27" s="369"/>
      <c r="P27" s="369"/>
      <c r="Q27" s="369"/>
      <c r="R27" s="391"/>
      <c r="S27" s="369"/>
      <c r="T27" s="122"/>
      <c r="U27" s="122"/>
      <c r="V27" s="107"/>
      <c r="W27" s="13"/>
      <c r="X27" s="13"/>
      <c r="Y27" s="13"/>
      <c r="Z27" s="13"/>
      <c r="AA27" s="13"/>
      <c r="AB27" s="13"/>
      <c r="AC27" s="13"/>
      <c r="AD27" s="13"/>
      <c r="AE27" s="2"/>
      <c r="AF27" s="13"/>
      <c r="AG27" s="13"/>
      <c r="AH27" s="13"/>
      <c r="AI27" s="13"/>
      <c r="AJ27" s="13"/>
      <c r="AK27" s="13"/>
      <c r="AL27" s="13"/>
      <c r="AM27" s="13"/>
      <c r="AN27" s="59"/>
      <c r="AO27" s="48"/>
      <c r="AP27" s="48"/>
      <c r="AQ27" s="41"/>
      <c r="AR27" s="49"/>
      <c r="AS27" s="42"/>
      <c r="AT27" s="43"/>
      <c r="AU27" s="35"/>
      <c r="AV27" s="401"/>
    </row>
    <row r="28" spans="1:48" s="30" customFormat="1" ht="27" customHeight="1">
      <c r="A28" s="373"/>
      <c r="B28" s="388"/>
      <c r="C28" s="389"/>
      <c r="D28" s="181"/>
      <c r="E28" s="357"/>
      <c r="F28" s="380"/>
      <c r="G28" s="357"/>
      <c r="H28" s="357"/>
      <c r="I28" s="357"/>
      <c r="J28" s="360"/>
      <c r="K28" s="363"/>
      <c r="L28" s="364"/>
      <c r="M28" s="364"/>
      <c r="N28" s="364"/>
      <c r="O28" s="364"/>
      <c r="P28" s="364"/>
      <c r="Q28" s="364"/>
      <c r="R28" s="366"/>
      <c r="S28" s="367"/>
      <c r="T28" s="112"/>
      <c r="U28" s="112"/>
      <c r="V28" s="161"/>
      <c r="W28" s="13"/>
      <c r="X28" s="13"/>
      <c r="Y28" s="13"/>
      <c r="Z28" s="13"/>
      <c r="AA28" s="13"/>
      <c r="AB28" s="13"/>
      <c r="AC28" s="13"/>
      <c r="AD28" s="13"/>
      <c r="AE28" s="2"/>
      <c r="AF28" s="13"/>
      <c r="AG28" s="13"/>
      <c r="AH28" s="13"/>
      <c r="AI28" s="13"/>
      <c r="AJ28" s="13"/>
      <c r="AK28" s="13"/>
      <c r="AL28" s="13"/>
      <c r="AM28" s="13"/>
      <c r="AN28" s="48"/>
      <c r="AO28" s="48"/>
      <c r="AP28" s="48"/>
      <c r="AQ28" s="26"/>
      <c r="AR28" s="55"/>
      <c r="AS28" s="36"/>
      <c r="AT28" s="37"/>
      <c r="AU28" s="38"/>
      <c r="AV28" s="401"/>
    </row>
    <row r="29" spans="1:48" s="30" customFormat="1" ht="27" customHeight="1">
      <c r="A29" s="374"/>
      <c r="B29" s="376"/>
      <c r="C29" s="378"/>
      <c r="D29" s="179"/>
      <c r="E29" s="358"/>
      <c r="F29" s="381"/>
      <c r="G29" s="358"/>
      <c r="H29" s="358"/>
      <c r="I29" s="358"/>
      <c r="J29" s="361"/>
      <c r="K29" s="368"/>
      <c r="L29" s="369"/>
      <c r="M29" s="369"/>
      <c r="N29" s="369"/>
      <c r="O29" s="369"/>
      <c r="P29" s="369"/>
      <c r="Q29" s="369"/>
      <c r="R29" s="370"/>
      <c r="S29" s="371"/>
      <c r="T29" s="106"/>
      <c r="U29" s="106"/>
      <c r="V29" s="105"/>
      <c r="W29" s="13"/>
      <c r="X29" s="13"/>
      <c r="Y29" s="13"/>
      <c r="Z29" s="13"/>
      <c r="AA29" s="13"/>
      <c r="AB29" s="13"/>
      <c r="AC29" s="13"/>
      <c r="AD29" s="13"/>
      <c r="AE29" s="2"/>
      <c r="AF29" s="13"/>
      <c r="AG29" s="13"/>
      <c r="AH29" s="13"/>
      <c r="AI29" s="13"/>
      <c r="AJ29" s="13"/>
      <c r="AK29" s="13"/>
      <c r="AL29" s="13"/>
      <c r="AM29" s="13"/>
      <c r="AN29" s="32"/>
      <c r="AO29" s="32"/>
      <c r="AP29" s="52"/>
      <c r="AQ29" s="26"/>
      <c r="AR29" s="26"/>
      <c r="AS29" s="36"/>
      <c r="AT29" s="37"/>
      <c r="AU29" s="38"/>
      <c r="AV29" s="401"/>
    </row>
    <row r="30" spans="1:48" s="30" customFormat="1" ht="27" customHeight="1" thickBot="1">
      <c r="A30" s="111"/>
      <c r="B30" s="347"/>
      <c r="C30" s="347"/>
      <c r="D30" s="132"/>
      <c r="E30" s="359"/>
      <c r="F30" s="382"/>
      <c r="G30" s="359"/>
      <c r="H30" s="359"/>
      <c r="I30" s="359"/>
      <c r="J30" s="362"/>
      <c r="K30" s="348"/>
      <c r="L30" s="349"/>
      <c r="M30" s="349"/>
      <c r="N30" s="349"/>
      <c r="O30" s="349"/>
      <c r="P30" s="349"/>
      <c r="Q30" s="349"/>
      <c r="R30" s="350"/>
      <c r="S30" s="349"/>
      <c r="T30" s="123"/>
      <c r="U30" s="123"/>
      <c r="V30" s="108"/>
      <c r="W30" s="13"/>
      <c r="X30" s="13"/>
      <c r="Y30" s="13"/>
      <c r="Z30" s="13"/>
      <c r="AA30" s="13"/>
      <c r="AB30" s="13"/>
      <c r="AC30" s="13"/>
      <c r="AD30" s="13"/>
      <c r="AE30" s="2"/>
      <c r="AF30" s="13"/>
      <c r="AG30" s="13"/>
      <c r="AH30" s="13"/>
      <c r="AI30" s="13"/>
      <c r="AJ30" s="13"/>
      <c r="AK30" s="13"/>
      <c r="AL30" s="13"/>
      <c r="AM30" s="13"/>
      <c r="AN30" s="59"/>
      <c r="AO30" s="48"/>
      <c r="AP30" s="48"/>
      <c r="AQ30" s="58"/>
      <c r="AR30" s="58"/>
      <c r="AS30" s="45"/>
      <c r="AT30" s="43"/>
      <c r="AU30" s="38"/>
      <c r="AV30" s="401"/>
    </row>
    <row r="31" spans="1:48" s="30" customFormat="1" ht="54" customHeight="1" thickTop="1" thickBot="1">
      <c r="A31" s="396" t="s">
        <v>695</v>
      </c>
      <c r="B31" s="397"/>
      <c r="C31" s="397"/>
      <c r="D31" s="397"/>
      <c r="E31" s="397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7"/>
      <c r="R31" s="397"/>
      <c r="S31" s="397"/>
      <c r="T31" s="397"/>
      <c r="U31" s="397"/>
      <c r="V31" s="398"/>
      <c r="W31" s="13"/>
      <c r="X31" s="13"/>
      <c r="Y31" s="13"/>
      <c r="Z31" s="13"/>
      <c r="AA31" s="13"/>
      <c r="AB31" s="13"/>
      <c r="AC31" s="13"/>
      <c r="AD31" s="13"/>
      <c r="AE31" s="2"/>
      <c r="AF31" s="13"/>
      <c r="AG31" s="13"/>
      <c r="AH31" s="13"/>
      <c r="AI31" s="13"/>
      <c r="AJ31" s="13"/>
      <c r="AK31" s="13"/>
      <c r="AL31" s="13"/>
      <c r="AM31" s="13"/>
      <c r="AN31" s="59"/>
      <c r="AO31" s="48"/>
      <c r="AP31" s="48"/>
      <c r="AQ31" s="58"/>
      <c r="AR31" s="58"/>
      <c r="AS31" s="45"/>
      <c r="AT31" s="43"/>
      <c r="AU31" s="38"/>
      <c r="AV31" s="401"/>
    </row>
    <row r="32" spans="1:48" s="30" customFormat="1" ht="27" customHeight="1">
      <c r="A32" s="373"/>
      <c r="B32" s="388"/>
      <c r="C32" s="389"/>
      <c r="D32" s="180"/>
      <c r="E32" s="358"/>
      <c r="F32" s="381"/>
      <c r="G32" s="358"/>
      <c r="H32" s="358"/>
      <c r="I32" s="358"/>
      <c r="J32" s="361"/>
      <c r="K32" s="368"/>
      <c r="L32" s="369"/>
      <c r="M32" s="369"/>
      <c r="N32" s="369"/>
      <c r="O32" s="369"/>
      <c r="P32" s="369"/>
      <c r="Q32" s="369"/>
      <c r="R32" s="370"/>
      <c r="S32" s="371"/>
      <c r="T32" s="106"/>
      <c r="U32" s="106"/>
      <c r="V32" s="160"/>
      <c r="W32" s="13"/>
      <c r="X32" s="13"/>
      <c r="Y32" s="13"/>
      <c r="Z32" s="13"/>
      <c r="AA32" s="13"/>
      <c r="AB32" s="13"/>
      <c r="AC32" s="13"/>
      <c r="AD32" s="13"/>
      <c r="AE32" s="2"/>
      <c r="AF32" s="13"/>
      <c r="AG32" s="13"/>
      <c r="AH32" s="13"/>
      <c r="AI32" s="13"/>
      <c r="AJ32" s="13"/>
      <c r="AK32" s="13"/>
      <c r="AL32" s="13"/>
      <c r="AM32" s="13"/>
      <c r="AN32" s="25"/>
      <c r="AO32" s="25"/>
      <c r="AP32" s="59"/>
      <c r="AQ32" s="58"/>
      <c r="AR32" s="60"/>
      <c r="AS32" s="61"/>
      <c r="AT32" s="37"/>
      <c r="AU32" s="38"/>
      <c r="AV32" s="401"/>
    </row>
    <row r="33" spans="1:48" s="30" customFormat="1" ht="27" customHeight="1">
      <c r="A33" s="374"/>
      <c r="B33" s="376"/>
      <c r="C33" s="378"/>
      <c r="D33" s="179"/>
      <c r="E33" s="358"/>
      <c r="F33" s="381"/>
      <c r="G33" s="358"/>
      <c r="H33" s="358"/>
      <c r="I33" s="358"/>
      <c r="J33" s="361"/>
      <c r="K33" s="368"/>
      <c r="L33" s="369"/>
      <c r="M33" s="369"/>
      <c r="N33" s="369"/>
      <c r="O33" s="369"/>
      <c r="P33" s="369"/>
      <c r="Q33" s="369"/>
      <c r="R33" s="370"/>
      <c r="S33" s="371"/>
      <c r="T33" s="106"/>
      <c r="U33" s="106"/>
      <c r="V33" s="105"/>
      <c r="W33" s="13"/>
      <c r="X33" s="13"/>
      <c r="Y33" s="13"/>
      <c r="Z33" s="13"/>
      <c r="AA33" s="13"/>
      <c r="AB33" s="13"/>
      <c r="AC33" s="13"/>
      <c r="AD33" s="13"/>
      <c r="AE33" s="2"/>
      <c r="AF33" s="13"/>
      <c r="AG33" s="13"/>
      <c r="AH33" s="13"/>
      <c r="AI33" s="13"/>
      <c r="AJ33" s="13"/>
      <c r="AK33" s="13"/>
      <c r="AL33" s="13"/>
      <c r="AM33" s="13"/>
      <c r="AN33" s="32"/>
      <c r="AO33" s="32"/>
      <c r="AP33" s="52"/>
      <c r="AQ33" s="44"/>
      <c r="AR33" s="44"/>
      <c r="AS33" s="36"/>
      <c r="AT33" s="34"/>
      <c r="AU33" s="35"/>
      <c r="AV33" s="401"/>
    </row>
    <row r="34" spans="1:48" s="30" customFormat="1" ht="27" customHeight="1">
      <c r="A34" s="111"/>
      <c r="B34" s="372"/>
      <c r="C34" s="372"/>
      <c r="D34" s="133"/>
      <c r="E34" s="379"/>
      <c r="F34" s="390"/>
      <c r="G34" s="379"/>
      <c r="H34" s="379"/>
      <c r="I34" s="379"/>
      <c r="J34" s="383"/>
      <c r="K34" s="368"/>
      <c r="L34" s="369"/>
      <c r="M34" s="369"/>
      <c r="N34" s="369"/>
      <c r="O34" s="369"/>
      <c r="P34" s="369"/>
      <c r="Q34" s="369"/>
      <c r="R34" s="391"/>
      <c r="S34" s="369"/>
      <c r="T34" s="122"/>
      <c r="U34" s="122"/>
      <c r="V34" s="107"/>
      <c r="W34" s="13"/>
      <c r="X34" s="13"/>
      <c r="Y34" s="13"/>
      <c r="Z34" s="13"/>
      <c r="AA34" s="13"/>
      <c r="AB34" s="13"/>
      <c r="AC34" s="13"/>
      <c r="AD34" s="13"/>
      <c r="AE34" s="2"/>
      <c r="AF34" s="13"/>
      <c r="AG34" s="13"/>
      <c r="AH34" s="13"/>
      <c r="AI34" s="13"/>
      <c r="AJ34" s="13"/>
      <c r="AK34" s="13"/>
      <c r="AL34" s="13"/>
      <c r="AM34" s="13"/>
      <c r="AN34" s="48"/>
      <c r="AO34" s="48"/>
      <c r="AP34" s="48"/>
      <c r="AQ34" s="41"/>
      <c r="AR34" s="55"/>
      <c r="AS34" s="27"/>
      <c r="AT34" s="37"/>
      <c r="AU34" s="38"/>
      <c r="AV34" s="400"/>
    </row>
    <row r="35" spans="1:48" s="30" customFormat="1" ht="27" customHeight="1">
      <c r="A35" s="373"/>
      <c r="B35" s="375"/>
      <c r="C35" s="377"/>
      <c r="D35" s="181"/>
      <c r="E35" s="358"/>
      <c r="F35" s="380"/>
      <c r="G35" s="357"/>
      <c r="H35" s="357"/>
      <c r="I35" s="357"/>
      <c r="J35" s="360"/>
      <c r="K35" s="363"/>
      <c r="L35" s="364"/>
      <c r="M35" s="364"/>
      <c r="N35" s="364"/>
      <c r="O35" s="364"/>
      <c r="P35" s="364"/>
      <c r="Q35" s="364"/>
      <c r="R35" s="366"/>
      <c r="S35" s="367"/>
      <c r="T35" s="112"/>
      <c r="U35" s="112"/>
      <c r="V35" s="161"/>
      <c r="W35" s="13"/>
      <c r="X35" s="13"/>
      <c r="Y35" s="13"/>
      <c r="Z35" s="13"/>
      <c r="AA35" s="13"/>
      <c r="AB35" s="13"/>
      <c r="AC35" s="13"/>
      <c r="AD35" s="13"/>
      <c r="AE35" s="2"/>
      <c r="AF35" s="13"/>
      <c r="AG35" s="13"/>
      <c r="AH35" s="13"/>
      <c r="AI35" s="13"/>
      <c r="AJ35" s="13"/>
      <c r="AK35" s="13"/>
      <c r="AL35" s="13"/>
      <c r="AM35" s="13"/>
      <c r="AN35" s="25"/>
      <c r="AO35" s="25"/>
      <c r="AP35" s="59"/>
      <c r="AQ35" s="58"/>
      <c r="AR35" s="60"/>
      <c r="AS35" s="56"/>
      <c r="AT35" s="50"/>
      <c r="AU35" s="38"/>
      <c r="AV35" s="400"/>
    </row>
    <row r="36" spans="1:48" s="30" customFormat="1" ht="27" customHeight="1">
      <c r="A36" s="374"/>
      <c r="B36" s="376"/>
      <c r="C36" s="378"/>
      <c r="D36" s="179"/>
      <c r="E36" s="358"/>
      <c r="F36" s="381"/>
      <c r="G36" s="358"/>
      <c r="H36" s="358"/>
      <c r="I36" s="358"/>
      <c r="J36" s="361"/>
      <c r="K36" s="368"/>
      <c r="L36" s="369"/>
      <c r="M36" s="369"/>
      <c r="N36" s="369"/>
      <c r="O36" s="369"/>
      <c r="P36" s="369"/>
      <c r="Q36" s="369"/>
      <c r="R36" s="370"/>
      <c r="S36" s="371"/>
      <c r="T36" s="106"/>
      <c r="U36" s="106"/>
      <c r="V36" s="105"/>
      <c r="W36" s="13"/>
      <c r="X36" s="13"/>
      <c r="Y36" s="13"/>
      <c r="Z36" s="13"/>
      <c r="AA36" s="13"/>
      <c r="AB36" s="13"/>
      <c r="AC36" s="13"/>
      <c r="AD36" s="13"/>
      <c r="AE36" s="2"/>
      <c r="AF36" s="13"/>
      <c r="AG36" s="13"/>
      <c r="AH36" s="13"/>
      <c r="AI36" s="13"/>
      <c r="AJ36" s="13"/>
      <c r="AK36" s="13"/>
      <c r="AL36" s="13"/>
      <c r="AM36" s="13"/>
      <c r="AN36" s="32"/>
      <c r="AO36" s="32"/>
      <c r="AP36" s="52"/>
      <c r="AQ36" s="62"/>
      <c r="AR36" s="62"/>
      <c r="AS36" s="36"/>
      <c r="AT36" s="34"/>
      <c r="AU36" s="35"/>
      <c r="AV36" s="400"/>
    </row>
    <row r="37" spans="1:48" s="30" customFormat="1" ht="27" customHeight="1">
      <c r="A37" s="111"/>
      <c r="B37" s="384"/>
      <c r="C37" s="384"/>
      <c r="D37" s="131"/>
      <c r="E37" s="379"/>
      <c r="F37" s="390"/>
      <c r="G37" s="379"/>
      <c r="H37" s="379"/>
      <c r="I37" s="379"/>
      <c r="J37" s="383"/>
      <c r="K37" s="385"/>
      <c r="L37" s="386"/>
      <c r="M37" s="386"/>
      <c r="N37" s="386"/>
      <c r="O37" s="386"/>
      <c r="P37" s="386"/>
      <c r="Q37" s="386"/>
      <c r="R37" s="394"/>
      <c r="S37" s="395"/>
      <c r="T37" s="124"/>
      <c r="U37" s="124"/>
      <c r="V37" s="113"/>
      <c r="W37" s="13"/>
      <c r="X37" s="13"/>
      <c r="Y37" s="13"/>
      <c r="Z37" s="13"/>
      <c r="AA37" s="13"/>
      <c r="AB37" s="13"/>
      <c r="AC37" s="13"/>
      <c r="AD37" s="13"/>
      <c r="AE37" s="2"/>
      <c r="AF37" s="13"/>
      <c r="AG37" s="13"/>
      <c r="AH37" s="13"/>
      <c r="AI37" s="13"/>
      <c r="AJ37" s="13"/>
      <c r="AK37" s="13"/>
      <c r="AL37" s="13"/>
      <c r="AM37" s="13"/>
      <c r="AN37" s="25"/>
      <c r="AO37" s="25"/>
      <c r="AP37" s="59"/>
      <c r="AQ37" s="41"/>
      <c r="AR37" s="49"/>
      <c r="AS37" s="36"/>
      <c r="AT37" s="50"/>
      <c r="AU37" s="35"/>
      <c r="AV37" s="400"/>
    </row>
    <row r="38" spans="1:48" s="30" customFormat="1" ht="27" customHeight="1">
      <c r="A38" s="373"/>
      <c r="B38" s="388"/>
      <c r="C38" s="389"/>
      <c r="D38" s="181"/>
      <c r="E38" s="358"/>
      <c r="F38" s="380"/>
      <c r="G38" s="357"/>
      <c r="H38" s="357"/>
      <c r="I38" s="357"/>
      <c r="J38" s="360"/>
      <c r="K38" s="368"/>
      <c r="L38" s="369"/>
      <c r="M38" s="369"/>
      <c r="N38" s="369"/>
      <c r="O38" s="369"/>
      <c r="P38" s="369"/>
      <c r="Q38" s="369"/>
      <c r="R38" s="370"/>
      <c r="S38" s="371"/>
      <c r="T38" s="106"/>
      <c r="U38" s="106"/>
      <c r="V38" s="160"/>
      <c r="W38" s="13"/>
      <c r="X38" s="13"/>
      <c r="Y38" s="13"/>
      <c r="Z38" s="13"/>
      <c r="AA38" s="13"/>
      <c r="AB38" s="13"/>
      <c r="AC38" s="13"/>
      <c r="AD38" s="13"/>
      <c r="AE38" s="2"/>
      <c r="AF38" s="13"/>
      <c r="AG38" s="13"/>
      <c r="AH38" s="13"/>
      <c r="AI38" s="13"/>
      <c r="AJ38" s="13"/>
      <c r="AK38" s="13"/>
      <c r="AL38" s="13"/>
      <c r="AM38" s="13"/>
      <c r="AN38" s="25"/>
      <c r="AO38" s="25"/>
      <c r="AP38" s="59"/>
      <c r="AQ38" s="63"/>
      <c r="AR38" s="63"/>
      <c r="AS38" s="27"/>
      <c r="AT38" s="34"/>
      <c r="AU38" s="35"/>
      <c r="AV38" s="400"/>
    </row>
    <row r="39" spans="1:48" s="30" customFormat="1" ht="27" customHeight="1">
      <c r="A39" s="374"/>
      <c r="B39" s="376"/>
      <c r="C39" s="378"/>
      <c r="D39" s="179"/>
      <c r="E39" s="358"/>
      <c r="F39" s="381"/>
      <c r="G39" s="358"/>
      <c r="H39" s="358"/>
      <c r="I39" s="358"/>
      <c r="J39" s="361"/>
      <c r="K39" s="368"/>
      <c r="L39" s="369"/>
      <c r="M39" s="369"/>
      <c r="N39" s="369"/>
      <c r="O39" s="369"/>
      <c r="P39" s="369"/>
      <c r="Q39" s="369"/>
      <c r="R39" s="370"/>
      <c r="S39" s="371"/>
      <c r="T39" s="106"/>
      <c r="U39" s="106"/>
      <c r="V39" s="105"/>
      <c r="W39" s="13"/>
      <c r="X39" s="13"/>
      <c r="Y39" s="13"/>
      <c r="Z39" s="13"/>
      <c r="AA39" s="13"/>
      <c r="AB39" s="13"/>
      <c r="AC39" s="13"/>
      <c r="AD39" s="13"/>
      <c r="AE39" s="2"/>
      <c r="AF39" s="13"/>
      <c r="AG39" s="13"/>
      <c r="AH39" s="13"/>
      <c r="AI39" s="13"/>
      <c r="AJ39" s="13"/>
      <c r="AK39" s="13"/>
      <c r="AL39" s="13"/>
      <c r="AM39" s="13"/>
      <c r="AN39" s="32"/>
      <c r="AO39" s="32"/>
      <c r="AP39" s="52"/>
      <c r="AQ39" s="47"/>
      <c r="AR39" s="47"/>
      <c r="AS39" s="36"/>
      <c r="AT39" s="34"/>
      <c r="AU39" s="35"/>
      <c r="AV39" s="400"/>
    </row>
    <row r="40" spans="1:48" s="30" customFormat="1" ht="27" customHeight="1">
      <c r="A40" s="111"/>
      <c r="B40" s="372"/>
      <c r="C40" s="372"/>
      <c r="D40" s="133"/>
      <c r="E40" s="379"/>
      <c r="F40" s="390"/>
      <c r="G40" s="379"/>
      <c r="H40" s="379"/>
      <c r="I40" s="379"/>
      <c r="J40" s="383"/>
      <c r="K40" s="368"/>
      <c r="L40" s="369"/>
      <c r="M40" s="369"/>
      <c r="N40" s="369"/>
      <c r="O40" s="369"/>
      <c r="P40" s="369"/>
      <c r="Q40" s="369"/>
      <c r="R40" s="391"/>
      <c r="S40" s="369"/>
      <c r="T40" s="122"/>
      <c r="U40" s="122"/>
      <c r="V40" s="107"/>
      <c r="W40" s="13"/>
      <c r="X40" s="13"/>
      <c r="Y40" s="13"/>
      <c r="Z40" s="13"/>
      <c r="AA40" s="13"/>
      <c r="AB40" s="13"/>
      <c r="AC40" s="13"/>
      <c r="AD40" s="13"/>
      <c r="AE40" s="2"/>
      <c r="AF40" s="13"/>
      <c r="AG40" s="13"/>
      <c r="AH40" s="13"/>
      <c r="AI40" s="13"/>
      <c r="AJ40" s="13"/>
      <c r="AK40" s="13"/>
      <c r="AL40" s="13"/>
      <c r="AM40" s="13"/>
      <c r="AN40" s="25"/>
      <c r="AO40" s="25"/>
      <c r="AP40" s="59"/>
      <c r="AQ40" s="26"/>
      <c r="AR40" s="26"/>
      <c r="AS40" s="36"/>
      <c r="AT40" s="50"/>
      <c r="AU40" s="38"/>
      <c r="AV40" s="399"/>
    </row>
    <row r="41" spans="1:48" s="30" customFormat="1" ht="27" customHeight="1">
      <c r="A41" s="373"/>
      <c r="B41" s="375"/>
      <c r="C41" s="377"/>
      <c r="D41" s="181"/>
      <c r="E41" s="358"/>
      <c r="F41" s="380"/>
      <c r="G41" s="357"/>
      <c r="H41" s="357"/>
      <c r="I41" s="357"/>
      <c r="J41" s="360"/>
      <c r="K41" s="363"/>
      <c r="L41" s="364"/>
      <c r="M41" s="364"/>
      <c r="N41" s="364"/>
      <c r="O41" s="364"/>
      <c r="P41" s="364"/>
      <c r="Q41" s="364"/>
      <c r="R41" s="366"/>
      <c r="S41" s="367"/>
      <c r="T41" s="112"/>
      <c r="U41" s="112"/>
      <c r="V41" s="161"/>
      <c r="W41" s="13"/>
      <c r="X41" s="13"/>
      <c r="Y41" s="13"/>
      <c r="Z41" s="13"/>
      <c r="AA41" s="13"/>
      <c r="AB41" s="13"/>
      <c r="AC41" s="13"/>
      <c r="AD41" s="13"/>
      <c r="AE41" s="2"/>
      <c r="AF41" s="13"/>
      <c r="AG41" s="13"/>
      <c r="AH41" s="13"/>
      <c r="AI41" s="13"/>
      <c r="AJ41" s="13"/>
      <c r="AK41" s="13"/>
      <c r="AL41" s="13"/>
      <c r="AM41" s="13"/>
      <c r="AN41" s="32"/>
      <c r="AO41" s="32"/>
      <c r="AP41" s="52"/>
      <c r="AQ41" s="26"/>
      <c r="AR41" s="26"/>
      <c r="AS41" s="36"/>
      <c r="AT41" s="50"/>
      <c r="AU41" s="38"/>
      <c r="AV41" s="399"/>
    </row>
    <row r="42" spans="1:48" s="30" customFormat="1" ht="27" customHeight="1">
      <c r="A42" s="374"/>
      <c r="B42" s="376"/>
      <c r="C42" s="378"/>
      <c r="D42" s="179"/>
      <c r="E42" s="358"/>
      <c r="F42" s="381"/>
      <c r="G42" s="358"/>
      <c r="H42" s="358"/>
      <c r="I42" s="358"/>
      <c r="J42" s="361"/>
      <c r="K42" s="368"/>
      <c r="L42" s="369"/>
      <c r="M42" s="369"/>
      <c r="N42" s="369"/>
      <c r="O42" s="369"/>
      <c r="P42" s="369"/>
      <c r="Q42" s="369"/>
      <c r="R42" s="392"/>
      <c r="S42" s="393"/>
      <c r="T42" s="106"/>
      <c r="U42" s="106"/>
      <c r="V42" s="105"/>
      <c r="W42" s="13"/>
      <c r="X42" s="13"/>
      <c r="Y42" s="13"/>
      <c r="Z42" s="13"/>
      <c r="AA42" s="13"/>
      <c r="AB42" s="13"/>
      <c r="AC42" s="13"/>
      <c r="AD42" s="13"/>
      <c r="AE42" s="2"/>
      <c r="AF42" s="13"/>
      <c r="AG42" s="13"/>
      <c r="AH42" s="13"/>
      <c r="AI42" s="13"/>
      <c r="AJ42" s="13"/>
      <c r="AK42" s="13"/>
      <c r="AL42" s="13"/>
      <c r="AM42" s="13"/>
      <c r="AN42" s="32"/>
      <c r="AO42" s="32"/>
      <c r="AP42" s="52"/>
      <c r="AQ42" s="26"/>
      <c r="AR42" s="26"/>
      <c r="AS42" s="36"/>
      <c r="AT42" s="50"/>
      <c r="AU42" s="38"/>
      <c r="AV42" s="399"/>
    </row>
    <row r="43" spans="1:48" s="30" customFormat="1" ht="27" customHeight="1">
      <c r="A43" s="111"/>
      <c r="B43" s="384"/>
      <c r="C43" s="384"/>
      <c r="D43" s="131"/>
      <c r="E43" s="379"/>
      <c r="F43" s="390"/>
      <c r="G43" s="379"/>
      <c r="H43" s="379"/>
      <c r="I43" s="379"/>
      <c r="J43" s="383"/>
      <c r="K43" s="385"/>
      <c r="L43" s="386"/>
      <c r="M43" s="386"/>
      <c r="N43" s="386"/>
      <c r="O43" s="386"/>
      <c r="P43" s="386"/>
      <c r="Q43" s="386"/>
      <c r="R43" s="387"/>
      <c r="S43" s="386"/>
      <c r="T43" s="124"/>
      <c r="U43" s="124"/>
      <c r="V43" s="113"/>
      <c r="W43" s="13"/>
      <c r="X43" s="13"/>
      <c r="Y43" s="13"/>
      <c r="Z43" s="13"/>
      <c r="AA43" s="13"/>
      <c r="AB43" s="13"/>
      <c r="AC43" s="13"/>
      <c r="AD43" s="13"/>
      <c r="AE43" s="2"/>
      <c r="AF43" s="13"/>
      <c r="AG43" s="13"/>
      <c r="AH43" s="13"/>
      <c r="AI43" s="13"/>
      <c r="AJ43" s="13"/>
      <c r="AK43" s="13"/>
      <c r="AL43" s="13"/>
      <c r="AM43" s="13"/>
      <c r="AN43" s="32"/>
      <c r="AO43" s="32"/>
      <c r="AP43" s="52"/>
      <c r="AQ43" s="26"/>
      <c r="AR43" s="26"/>
      <c r="AS43" s="36"/>
      <c r="AT43" s="50"/>
      <c r="AU43" s="38"/>
      <c r="AV43" s="399"/>
    </row>
    <row r="44" spans="1:48" s="30" customFormat="1" ht="27" customHeight="1">
      <c r="A44" s="373"/>
      <c r="B44" s="388"/>
      <c r="C44" s="389"/>
      <c r="D44" s="181"/>
      <c r="E44" s="358"/>
      <c r="F44" s="380"/>
      <c r="G44" s="357"/>
      <c r="H44" s="357"/>
      <c r="I44" s="357"/>
      <c r="J44" s="360"/>
      <c r="K44" s="368"/>
      <c r="L44" s="369"/>
      <c r="M44" s="369"/>
      <c r="N44" s="369"/>
      <c r="O44" s="369"/>
      <c r="P44" s="369"/>
      <c r="Q44" s="369"/>
      <c r="R44" s="370"/>
      <c r="S44" s="371"/>
      <c r="T44" s="106"/>
      <c r="U44" s="106"/>
      <c r="V44" s="160"/>
      <c r="W44" s="13"/>
      <c r="X44" s="13"/>
      <c r="Y44" s="13"/>
      <c r="Z44" s="13"/>
      <c r="AA44" s="13"/>
      <c r="AB44" s="13"/>
      <c r="AC44" s="13"/>
      <c r="AD44" s="13"/>
      <c r="AE44" s="2"/>
      <c r="AF44" s="13"/>
      <c r="AG44" s="13"/>
      <c r="AH44" s="13"/>
      <c r="AI44" s="13"/>
      <c r="AJ44" s="13"/>
      <c r="AK44" s="13"/>
      <c r="AL44" s="13"/>
      <c r="AM44" s="13"/>
      <c r="AN44" s="25"/>
      <c r="AO44" s="25"/>
      <c r="AP44" s="59"/>
      <c r="AQ44" s="41"/>
      <c r="AR44" s="22"/>
      <c r="AS44" s="22"/>
      <c r="AT44" s="50"/>
      <c r="AU44" s="38"/>
      <c r="AV44" s="399"/>
    </row>
    <row r="45" spans="1:48" s="30" customFormat="1" ht="27" customHeight="1">
      <c r="A45" s="374"/>
      <c r="B45" s="376"/>
      <c r="C45" s="378"/>
      <c r="D45" s="179"/>
      <c r="E45" s="358"/>
      <c r="F45" s="381"/>
      <c r="G45" s="358"/>
      <c r="H45" s="358"/>
      <c r="I45" s="358"/>
      <c r="J45" s="361"/>
      <c r="K45" s="368"/>
      <c r="L45" s="369"/>
      <c r="M45" s="369"/>
      <c r="N45" s="369"/>
      <c r="O45" s="369"/>
      <c r="P45" s="369"/>
      <c r="Q45" s="369"/>
      <c r="R45" s="370"/>
      <c r="S45" s="371"/>
      <c r="T45" s="106"/>
      <c r="U45" s="106"/>
      <c r="V45" s="105"/>
      <c r="W45" s="13"/>
      <c r="X45" s="13"/>
      <c r="Y45" s="13"/>
      <c r="Z45" s="13"/>
      <c r="AA45" s="13"/>
      <c r="AB45" s="13"/>
      <c r="AC45" s="13"/>
      <c r="AD45" s="13"/>
      <c r="AE45" s="2"/>
      <c r="AF45" s="13"/>
      <c r="AG45" s="13"/>
      <c r="AH45" s="13"/>
      <c r="AI45" s="13"/>
      <c r="AJ45" s="13"/>
      <c r="AK45" s="13"/>
      <c r="AL45" s="13"/>
      <c r="AM45" s="13"/>
      <c r="AN45" s="32"/>
      <c r="AO45" s="32"/>
      <c r="AP45" s="52"/>
      <c r="AQ45" s="41"/>
      <c r="AR45" s="64"/>
      <c r="AS45" s="36"/>
      <c r="AT45" s="50"/>
      <c r="AU45" s="38"/>
      <c r="AV45" s="399"/>
    </row>
    <row r="46" spans="1:48" s="30" customFormat="1" ht="27" customHeight="1">
      <c r="A46" s="111"/>
      <c r="B46" s="372"/>
      <c r="C46" s="372"/>
      <c r="D46" s="133"/>
      <c r="E46" s="379"/>
      <c r="F46" s="390"/>
      <c r="G46" s="379"/>
      <c r="H46" s="379"/>
      <c r="I46" s="379"/>
      <c r="J46" s="383"/>
      <c r="K46" s="368"/>
      <c r="L46" s="369"/>
      <c r="M46" s="369"/>
      <c r="N46" s="369"/>
      <c r="O46" s="369"/>
      <c r="P46" s="369"/>
      <c r="Q46" s="369"/>
      <c r="R46" s="391"/>
      <c r="S46" s="369"/>
      <c r="T46" s="122"/>
      <c r="U46" s="122"/>
      <c r="V46" s="107"/>
      <c r="W46" s="13"/>
      <c r="X46" s="13"/>
      <c r="Y46" s="13"/>
      <c r="Z46" s="13"/>
      <c r="AA46" s="13"/>
      <c r="AB46" s="13"/>
      <c r="AC46" s="13"/>
      <c r="AD46" s="13"/>
      <c r="AE46" s="2"/>
      <c r="AF46" s="13"/>
      <c r="AG46" s="13"/>
      <c r="AH46" s="13"/>
      <c r="AI46" s="13"/>
      <c r="AJ46" s="13"/>
      <c r="AK46" s="13"/>
      <c r="AL46" s="13"/>
      <c r="AM46" s="13"/>
      <c r="AN46" s="25"/>
      <c r="AO46" s="25"/>
      <c r="AP46" s="59"/>
      <c r="AQ46" s="58"/>
      <c r="AR46" s="60"/>
      <c r="AS46" s="56"/>
      <c r="AT46" s="37"/>
      <c r="AU46" s="38"/>
      <c r="AV46" s="399"/>
    </row>
    <row r="47" spans="1:48" s="30" customFormat="1" ht="27" customHeight="1">
      <c r="A47" s="373"/>
      <c r="B47" s="375"/>
      <c r="C47" s="377"/>
      <c r="D47" s="181"/>
      <c r="E47" s="358"/>
      <c r="F47" s="380"/>
      <c r="G47" s="357"/>
      <c r="H47" s="357"/>
      <c r="I47" s="357"/>
      <c r="J47" s="360"/>
      <c r="K47" s="363"/>
      <c r="L47" s="364"/>
      <c r="M47" s="364"/>
      <c r="N47" s="364"/>
      <c r="O47" s="364"/>
      <c r="P47" s="364"/>
      <c r="Q47" s="364"/>
      <c r="R47" s="366"/>
      <c r="S47" s="367"/>
      <c r="T47" s="112"/>
      <c r="U47" s="112"/>
      <c r="V47" s="161"/>
      <c r="W47" s="13"/>
      <c r="X47" s="13"/>
      <c r="Y47" s="13"/>
      <c r="Z47" s="13"/>
      <c r="AA47" s="13"/>
      <c r="AB47" s="13"/>
      <c r="AC47" s="13"/>
      <c r="AD47" s="13"/>
      <c r="AE47" s="2"/>
      <c r="AF47" s="13"/>
      <c r="AG47" s="13"/>
      <c r="AH47" s="13"/>
      <c r="AI47" s="13"/>
      <c r="AJ47" s="13"/>
      <c r="AK47" s="13"/>
      <c r="AL47" s="13"/>
      <c r="AM47" s="13"/>
      <c r="AN47" s="32"/>
      <c r="AO47" s="32"/>
      <c r="AP47" s="52"/>
      <c r="AQ47" s="64"/>
      <c r="AR47" s="64"/>
      <c r="AS47" s="36"/>
      <c r="AT47" s="37"/>
      <c r="AU47" s="38"/>
      <c r="AV47" s="399"/>
    </row>
    <row r="48" spans="1:48" ht="27" customHeight="1">
      <c r="A48" s="374"/>
      <c r="B48" s="376"/>
      <c r="C48" s="378"/>
      <c r="D48" s="179"/>
      <c r="E48" s="358"/>
      <c r="F48" s="381"/>
      <c r="G48" s="358"/>
      <c r="H48" s="358"/>
      <c r="I48" s="358"/>
      <c r="J48" s="361"/>
      <c r="K48" s="368"/>
      <c r="L48" s="369"/>
      <c r="M48" s="369"/>
      <c r="N48" s="369"/>
      <c r="O48" s="369"/>
      <c r="P48" s="369"/>
      <c r="Q48" s="369"/>
      <c r="R48" s="370"/>
      <c r="S48" s="371"/>
      <c r="T48" s="106"/>
      <c r="U48" s="106"/>
      <c r="V48" s="105"/>
      <c r="AN48" s="65"/>
      <c r="AO48" s="65"/>
      <c r="AP48" s="66"/>
      <c r="AQ48" s="67"/>
      <c r="AR48" s="67"/>
      <c r="AS48" s="68"/>
      <c r="AT48" s="69"/>
      <c r="AU48" s="70"/>
      <c r="AV48" s="399"/>
    </row>
    <row r="49" spans="1:48" s="1" customFormat="1" ht="27" customHeight="1">
      <c r="A49" s="111"/>
      <c r="B49" s="372"/>
      <c r="C49" s="372"/>
      <c r="D49" s="133"/>
      <c r="E49" s="379"/>
      <c r="F49" s="390"/>
      <c r="G49" s="379"/>
      <c r="H49" s="379"/>
      <c r="I49" s="379"/>
      <c r="J49" s="383"/>
      <c r="K49" s="385"/>
      <c r="L49" s="386"/>
      <c r="M49" s="386"/>
      <c r="N49" s="386"/>
      <c r="O49" s="386"/>
      <c r="P49" s="386"/>
      <c r="Q49" s="386"/>
      <c r="R49" s="387"/>
      <c r="S49" s="386"/>
      <c r="T49" s="124"/>
      <c r="U49" s="124"/>
      <c r="V49" s="113"/>
      <c r="W49" s="13"/>
      <c r="X49" s="13"/>
      <c r="Y49" s="13"/>
      <c r="Z49" s="13"/>
      <c r="AA49" s="13"/>
      <c r="AB49" s="13"/>
      <c r="AC49" s="13"/>
      <c r="AD49" s="13"/>
      <c r="AE49" s="2"/>
      <c r="AF49" s="13"/>
      <c r="AG49" s="13"/>
      <c r="AH49" s="13"/>
      <c r="AI49" s="13"/>
      <c r="AJ49" s="13"/>
      <c r="AK49" s="13"/>
      <c r="AL49" s="13"/>
      <c r="AM49" s="13"/>
      <c r="AN49" s="71"/>
      <c r="AO49" s="71"/>
      <c r="AP49" s="72"/>
      <c r="AQ49" s="73"/>
      <c r="AR49" s="73"/>
      <c r="AS49" s="6"/>
      <c r="AT49" s="69"/>
      <c r="AU49" s="70"/>
      <c r="AV49" s="399"/>
    </row>
    <row r="50" spans="1:48" s="1" customFormat="1" ht="27" customHeight="1">
      <c r="A50" s="373"/>
      <c r="B50" s="375"/>
      <c r="C50" s="377"/>
      <c r="D50" s="181"/>
      <c r="E50" s="358"/>
      <c r="F50" s="380"/>
      <c r="G50" s="357"/>
      <c r="H50" s="357"/>
      <c r="I50" s="357"/>
      <c r="J50" s="360"/>
      <c r="K50" s="368"/>
      <c r="L50" s="369"/>
      <c r="M50" s="369"/>
      <c r="N50" s="369"/>
      <c r="O50" s="369"/>
      <c r="P50" s="369"/>
      <c r="Q50" s="369"/>
      <c r="R50" s="370"/>
      <c r="S50" s="371"/>
      <c r="T50" s="106"/>
      <c r="U50" s="106"/>
      <c r="V50" s="160"/>
      <c r="W50" s="13"/>
      <c r="X50" s="13"/>
      <c r="Y50" s="13"/>
      <c r="Z50" s="13"/>
      <c r="AA50" s="13"/>
      <c r="AB50" s="13"/>
      <c r="AC50" s="13"/>
      <c r="AD50" s="13"/>
      <c r="AE50" s="2"/>
      <c r="AF50" s="13"/>
      <c r="AG50" s="13"/>
      <c r="AH50" s="13"/>
      <c r="AI50" s="13"/>
      <c r="AJ50" s="13"/>
      <c r="AK50" s="13"/>
      <c r="AL50" s="13"/>
      <c r="AM50" s="13"/>
      <c r="AN50" s="4"/>
      <c r="AO50" s="4"/>
      <c r="AP50" s="4"/>
      <c r="AQ50" s="4"/>
      <c r="AR50" s="4"/>
      <c r="AS50" s="4"/>
      <c r="AT50" s="4"/>
      <c r="AU50" s="4"/>
      <c r="AV50" s="4"/>
    </row>
    <row r="51" spans="1:48" s="1" customFormat="1" ht="27" customHeight="1">
      <c r="A51" s="374"/>
      <c r="B51" s="376"/>
      <c r="C51" s="378"/>
      <c r="D51" s="179"/>
      <c r="E51" s="358"/>
      <c r="F51" s="381"/>
      <c r="G51" s="358"/>
      <c r="H51" s="358"/>
      <c r="I51" s="358"/>
      <c r="J51" s="361"/>
      <c r="K51" s="368"/>
      <c r="L51" s="369"/>
      <c r="M51" s="369"/>
      <c r="N51" s="369"/>
      <c r="O51" s="369"/>
      <c r="P51" s="369"/>
      <c r="Q51" s="369"/>
      <c r="R51" s="370"/>
      <c r="S51" s="371"/>
      <c r="T51" s="106"/>
      <c r="U51" s="106"/>
      <c r="V51" s="105"/>
      <c r="W51" s="13"/>
      <c r="X51" s="13"/>
      <c r="Y51" s="13"/>
      <c r="Z51" s="13"/>
      <c r="AA51" s="13"/>
      <c r="AB51" s="13"/>
      <c r="AC51" s="13"/>
      <c r="AD51" s="13"/>
      <c r="AE51" s="2"/>
      <c r="AF51" s="13"/>
      <c r="AG51" s="13"/>
      <c r="AH51" s="13"/>
      <c r="AI51" s="13"/>
      <c r="AJ51" s="13"/>
      <c r="AK51" s="13"/>
      <c r="AL51" s="13"/>
      <c r="AM51" s="13"/>
      <c r="AN51" s="4"/>
      <c r="AO51" s="4"/>
      <c r="AP51" s="4"/>
      <c r="AQ51" s="4"/>
      <c r="AR51" s="4"/>
      <c r="AS51" s="4"/>
      <c r="AT51" s="4"/>
      <c r="AU51" s="4"/>
      <c r="AV51" s="4"/>
    </row>
    <row r="52" spans="1:48" s="1" customFormat="1" ht="27" customHeight="1">
      <c r="A52" s="111"/>
      <c r="B52" s="384"/>
      <c r="C52" s="384"/>
      <c r="D52" s="131"/>
      <c r="E52" s="379"/>
      <c r="F52" s="390"/>
      <c r="G52" s="379"/>
      <c r="H52" s="379"/>
      <c r="I52" s="379"/>
      <c r="J52" s="383"/>
      <c r="K52" s="368"/>
      <c r="L52" s="369"/>
      <c r="M52" s="369"/>
      <c r="N52" s="369"/>
      <c r="O52" s="369"/>
      <c r="P52" s="369"/>
      <c r="Q52" s="369"/>
      <c r="R52" s="391"/>
      <c r="S52" s="369"/>
      <c r="T52" s="122"/>
      <c r="U52" s="122"/>
      <c r="V52" s="107"/>
      <c r="W52" s="13"/>
      <c r="X52" s="13"/>
      <c r="Y52" s="13"/>
      <c r="Z52" s="13"/>
      <c r="AA52" s="13"/>
      <c r="AB52" s="13"/>
      <c r="AC52" s="13"/>
      <c r="AD52" s="13"/>
      <c r="AE52" s="2"/>
      <c r="AF52" s="13"/>
      <c r="AG52" s="13"/>
      <c r="AH52" s="13"/>
      <c r="AI52" s="13"/>
      <c r="AJ52" s="13"/>
      <c r="AK52" s="13"/>
      <c r="AL52" s="13"/>
      <c r="AM52" s="13"/>
      <c r="AN52" s="4"/>
      <c r="AO52" s="4"/>
      <c r="AP52" s="4"/>
      <c r="AQ52" s="4"/>
      <c r="AR52" s="4"/>
      <c r="AS52" s="4"/>
      <c r="AT52" s="4"/>
      <c r="AU52" s="4"/>
      <c r="AV52" s="4"/>
    </row>
    <row r="53" spans="1:48" s="1" customFormat="1" ht="27" customHeight="1">
      <c r="A53" s="373"/>
      <c r="B53" s="388"/>
      <c r="C53" s="389"/>
      <c r="D53" s="181"/>
      <c r="E53" s="358"/>
      <c r="F53" s="380"/>
      <c r="G53" s="357"/>
      <c r="H53" s="357"/>
      <c r="I53" s="357"/>
      <c r="J53" s="360"/>
      <c r="K53" s="363"/>
      <c r="L53" s="364"/>
      <c r="M53" s="364"/>
      <c r="N53" s="364"/>
      <c r="O53" s="364"/>
      <c r="P53" s="364"/>
      <c r="Q53" s="364"/>
      <c r="R53" s="366"/>
      <c r="S53" s="367"/>
      <c r="T53" s="112"/>
      <c r="U53" s="112"/>
      <c r="V53" s="161"/>
      <c r="W53" s="13"/>
      <c r="X53" s="13"/>
      <c r="Y53" s="13"/>
      <c r="Z53" s="13"/>
      <c r="AA53" s="13"/>
      <c r="AB53" s="13"/>
      <c r="AC53" s="13"/>
      <c r="AD53" s="13"/>
      <c r="AE53" s="2"/>
      <c r="AF53" s="13"/>
      <c r="AG53" s="13"/>
      <c r="AH53" s="13"/>
      <c r="AI53" s="13"/>
      <c r="AJ53" s="13"/>
      <c r="AK53" s="13"/>
      <c r="AL53" s="13"/>
      <c r="AM53" s="13"/>
      <c r="AN53" s="4"/>
      <c r="AO53" s="4"/>
      <c r="AP53" s="4"/>
      <c r="AQ53" s="4"/>
      <c r="AR53" s="4"/>
      <c r="AS53" s="4"/>
      <c r="AT53" s="4"/>
      <c r="AU53" s="4"/>
      <c r="AV53" s="4"/>
    </row>
    <row r="54" spans="1:48" s="1" customFormat="1" ht="27" customHeight="1">
      <c r="A54" s="374"/>
      <c r="B54" s="376"/>
      <c r="C54" s="378"/>
      <c r="D54" s="179"/>
      <c r="E54" s="358"/>
      <c r="F54" s="381"/>
      <c r="G54" s="358"/>
      <c r="H54" s="358"/>
      <c r="I54" s="358"/>
      <c r="J54" s="361"/>
      <c r="K54" s="368"/>
      <c r="L54" s="369"/>
      <c r="M54" s="369"/>
      <c r="N54" s="369"/>
      <c r="O54" s="369"/>
      <c r="P54" s="369"/>
      <c r="Q54" s="369"/>
      <c r="R54" s="370"/>
      <c r="S54" s="371"/>
      <c r="T54" s="106"/>
      <c r="U54" s="106"/>
      <c r="V54" s="105"/>
      <c r="W54" s="13"/>
      <c r="X54" s="13"/>
      <c r="Y54" s="13"/>
      <c r="Z54" s="13"/>
      <c r="AA54" s="13"/>
      <c r="AB54" s="13"/>
      <c r="AC54" s="13"/>
      <c r="AD54" s="13"/>
      <c r="AE54" s="2"/>
      <c r="AF54" s="13"/>
      <c r="AG54" s="13"/>
      <c r="AH54" s="13"/>
      <c r="AI54" s="13"/>
      <c r="AJ54" s="13"/>
      <c r="AK54" s="13"/>
      <c r="AL54" s="13"/>
      <c r="AM54" s="13"/>
      <c r="AN54" s="4"/>
      <c r="AO54" s="4"/>
      <c r="AP54" s="4"/>
      <c r="AQ54" s="4"/>
      <c r="AR54" s="4"/>
      <c r="AS54" s="4"/>
      <c r="AT54" s="4"/>
      <c r="AU54" s="4"/>
      <c r="AV54" s="4"/>
    </row>
    <row r="55" spans="1:48" s="1" customFormat="1" ht="27" customHeight="1" thickBot="1">
      <c r="A55" s="111"/>
      <c r="B55" s="347"/>
      <c r="C55" s="347"/>
      <c r="D55" s="132"/>
      <c r="E55" s="379"/>
      <c r="F55" s="382"/>
      <c r="G55" s="359"/>
      <c r="H55" s="359"/>
      <c r="I55" s="359"/>
      <c r="J55" s="362"/>
      <c r="K55" s="348"/>
      <c r="L55" s="349"/>
      <c r="M55" s="349"/>
      <c r="N55" s="349"/>
      <c r="O55" s="349"/>
      <c r="P55" s="349"/>
      <c r="Q55" s="349"/>
      <c r="R55" s="350"/>
      <c r="S55" s="349"/>
      <c r="T55" s="123"/>
      <c r="U55" s="123"/>
      <c r="V55" s="108"/>
      <c r="W55" s="13"/>
      <c r="X55" s="13"/>
      <c r="Y55" s="13"/>
      <c r="Z55" s="13"/>
      <c r="AA55" s="13"/>
      <c r="AB55" s="13"/>
      <c r="AC55" s="13"/>
      <c r="AD55" s="13"/>
      <c r="AE55" s="2"/>
      <c r="AF55" s="13"/>
      <c r="AG55" s="13"/>
      <c r="AH55" s="13"/>
      <c r="AI55" s="13"/>
      <c r="AJ55" s="13"/>
      <c r="AK55" s="13"/>
      <c r="AL55" s="13"/>
      <c r="AM55" s="13"/>
      <c r="AN55" s="4"/>
      <c r="AO55" s="4"/>
      <c r="AP55" s="4"/>
      <c r="AQ55" s="4"/>
      <c r="AR55" s="4"/>
      <c r="AS55" s="4"/>
      <c r="AT55" s="4"/>
      <c r="AU55" s="4"/>
      <c r="AV55" s="4"/>
    </row>
    <row r="56" spans="1:48" s="1" customFormat="1" ht="54" customHeight="1" thickTop="1" thickBot="1">
      <c r="A56" s="396" t="s">
        <v>697</v>
      </c>
      <c r="B56" s="397"/>
      <c r="C56" s="397"/>
      <c r="D56" s="397"/>
      <c r="E56" s="397"/>
      <c r="F56" s="397"/>
      <c r="G56" s="397"/>
      <c r="H56" s="397"/>
      <c r="I56" s="397"/>
      <c r="J56" s="397"/>
      <c r="K56" s="397"/>
      <c r="L56" s="397"/>
      <c r="M56" s="397"/>
      <c r="N56" s="397"/>
      <c r="O56" s="397"/>
      <c r="P56" s="397"/>
      <c r="Q56" s="397"/>
      <c r="R56" s="397"/>
      <c r="S56" s="397"/>
      <c r="T56" s="397"/>
      <c r="U56" s="397"/>
      <c r="V56" s="398"/>
      <c r="W56" s="13"/>
      <c r="X56" s="13"/>
      <c r="Y56" s="13"/>
      <c r="Z56" s="13"/>
      <c r="AA56" s="13"/>
      <c r="AB56" s="13"/>
      <c r="AC56" s="13"/>
      <c r="AD56" s="13"/>
      <c r="AE56" s="2"/>
      <c r="AF56" s="13"/>
      <c r="AG56" s="13"/>
      <c r="AH56" s="13"/>
      <c r="AI56" s="13"/>
      <c r="AJ56" s="13"/>
      <c r="AK56" s="13"/>
      <c r="AL56" s="13"/>
      <c r="AM56" s="13"/>
      <c r="AN56" s="4"/>
      <c r="AO56" s="4"/>
      <c r="AP56" s="4"/>
      <c r="AQ56" s="4"/>
      <c r="AR56" s="4"/>
      <c r="AS56" s="4"/>
      <c r="AT56" s="4"/>
      <c r="AU56" s="4"/>
      <c r="AV56" s="4"/>
    </row>
    <row r="57" spans="1:48" ht="27" customHeight="1">
      <c r="A57" s="373"/>
      <c r="B57" s="388"/>
      <c r="C57" s="389"/>
      <c r="D57" s="180"/>
      <c r="E57" s="358"/>
      <c r="F57" s="381"/>
      <c r="G57" s="358"/>
      <c r="H57" s="358"/>
      <c r="I57" s="358"/>
      <c r="J57" s="361"/>
      <c r="K57" s="368"/>
      <c r="L57" s="369"/>
      <c r="M57" s="369"/>
      <c r="N57" s="369"/>
      <c r="O57" s="369"/>
      <c r="P57" s="369"/>
      <c r="Q57" s="369"/>
      <c r="R57" s="370"/>
      <c r="S57" s="371"/>
      <c r="T57" s="106"/>
      <c r="U57" s="106"/>
      <c r="V57" s="160"/>
    </row>
    <row r="58" spans="1:48" ht="27" customHeight="1">
      <c r="A58" s="374"/>
      <c r="B58" s="376"/>
      <c r="C58" s="378"/>
      <c r="D58" s="179"/>
      <c r="E58" s="358"/>
      <c r="F58" s="381"/>
      <c r="G58" s="358"/>
      <c r="H58" s="358"/>
      <c r="I58" s="358"/>
      <c r="J58" s="361"/>
      <c r="K58" s="368"/>
      <c r="L58" s="369"/>
      <c r="M58" s="369"/>
      <c r="N58" s="369"/>
      <c r="O58" s="369"/>
      <c r="P58" s="369"/>
      <c r="Q58" s="369"/>
      <c r="R58" s="391"/>
      <c r="S58" s="369"/>
      <c r="T58" s="106"/>
      <c r="U58" s="106"/>
      <c r="V58" s="105"/>
    </row>
    <row r="59" spans="1:48" ht="27" customHeight="1">
      <c r="A59" s="111"/>
      <c r="B59" s="372"/>
      <c r="C59" s="372"/>
      <c r="D59" s="133"/>
      <c r="E59" s="379"/>
      <c r="F59" s="390"/>
      <c r="G59" s="379"/>
      <c r="H59" s="379"/>
      <c r="I59" s="379"/>
      <c r="J59" s="383"/>
      <c r="K59" s="170"/>
      <c r="L59" s="170"/>
      <c r="M59" s="170"/>
      <c r="N59" s="170"/>
      <c r="O59" s="170"/>
      <c r="P59" s="170"/>
      <c r="Q59" s="170"/>
      <c r="R59" s="177"/>
      <c r="S59" s="170"/>
      <c r="T59" s="122"/>
      <c r="U59" s="122"/>
      <c r="V59" s="107"/>
    </row>
    <row r="60" spans="1:48" ht="27" customHeight="1">
      <c r="A60" s="373"/>
      <c r="B60" s="375"/>
      <c r="C60" s="377"/>
      <c r="D60" s="181"/>
      <c r="E60" s="358"/>
      <c r="F60" s="380"/>
      <c r="G60" s="357"/>
      <c r="H60" s="357"/>
      <c r="I60" s="357"/>
      <c r="J60" s="360"/>
      <c r="K60" s="363"/>
      <c r="L60" s="364"/>
      <c r="M60" s="364"/>
      <c r="N60" s="364"/>
      <c r="O60" s="364"/>
      <c r="P60" s="364"/>
      <c r="Q60" s="364"/>
      <c r="R60" s="366"/>
      <c r="S60" s="367"/>
      <c r="T60" s="112"/>
      <c r="U60" s="112"/>
      <c r="V60" s="161"/>
    </row>
    <row r="61" spans="1:48" ht="27" customHeight="1">
      <c r="A61" s="374"/>
      <c r="B61" s="376"/>
      <c r="C61" s="378"/>
      <c r="D61" s="179"/>
      <c r="E61" s="358"/>
      <c r="F61" s="381"/>
      <c r="G61" s="358"/>
      <c r="H61" s="358"/>
      <c r="I61" s="358"/>
      <c r="J61" s="361"/>
      <c r="K61" s="368"/>
      <c r="L61" s="369"/>
      <c r="M61" s="369"/>
      <c r="N61" s="369"/>
      <c r="O61" s="369"/>
      <c r="P61" s="369"/>
      <c r="Q61" s="369"/>
      <c r="R61" s="370"/>
      <c r="S61" s="371"/>
      <c r="T61" s="106"/>
      <c r="U61" s="106"/>
      <c r="V61" s="105"/>
    </row>
    <row r="62" spans="1:48" ht="27" customHeight="1">
      <c r="A62" s="111"/>
      <c r="B62" s="384"/>
      <c r="C62" s="384"/>
      <c r="D62" s="131"/>
      <c r="E62" s="379"/>
      <c r="F62" s="390"/>
      <c r="G62" s="379"/>
      <c r="H62" s="379"/>
      <c r="I62" s="379"/>
      <c r="J62" s="383"/>
      <c r="K62" s="385"/>
      <c r="L62" s="386"/>
      <c r="M62" s="386"/>
      <c r="N62" s="386"/>
      <c r="O62" s="386"/>
      <c r="P62" s="386"/>
      <c r="Q62" s="386"/>
      <c r="R62" s="394"/>
      <c r="S62" s="395"/>
      <c r="T62" s="124"/>
      <c r="U62" s="124"/>
      <c r="V62" s="113"/>
    </row>
    <row r="63" spans="1:48" ht="27" customHeight="1">
      <c r="A63" s="373"/>
      <c r="B63" s="388"/>
      <c r="C63" s="389"/>
      <c r="D63" s="181"/>
      <c r="E63" s="358"/>
      <c r="F63" s="380"/>
      <c r="G63" s="357"/>
      <c r="H63" s="357"/>
      <c r="I63" s="357"/>
      <c r="J63" s="360"/>
      <c r="K63" s="368"/>
      <c r="L63" s="369"/>
      <c r="M63" s="369"/>
      <c r="N63" s="369"/>
      <c r="O63" s="369"/>
      <c r="P63" s="369"/>
      <c r="Q63" s="369"/>
      <c r="R63" s="370"/>
      <c r="S63" s="371"/>
      <c r="T63" s="106"/>
      <c r="U63" s="106"/>
      <c r="V63" s="160"/>
    </row>
    <row r="64" spans="1:48" ht="27" customHeight="1">
      <c r="A64" s="374"/>
      <c r="B64" s="376"/>
      <c r="C64" s="378"/>
      <c r="D64" s="179"/>
      <c r="E64" s="358"/>
      <c r="F64" s="381"/>
      <c r="G64" s="358"/>
      <c r="H64" s="358"/>
      <c r="I64" s="358"/>
      <c r="J64" s="361"/>
      <c r="K64" s="368"/>
      <c r="L64" s="369"/>
      <c r="M64" s="369"/>
      <c r="N64" s="369"/>
      <c r="O64" s="369"/>
      <c r="P64" s="369"/>
      <c r="Q64" s="369"/>
      <c r="R64" s="370"/>
      <c r="S64" s="371"/>
      <c r="T64" s="106"/>
      <c r="U64" s="106"/>
      <c r="V64" s="105"/>
    </row>
    <row r="65" spans="1:22" ht="27" customHeight="1">
      <c r="A65" s="111"/>
      <c r="B65" s="372"/>
      <c r="C65" s="372"/>
      <c r="D65" s="133"/>
      <c r="E65" s="379"/>
      <c r="F65" s="390"/>
      <c r="G65" s="379"/>
      <c r="H65" s="379"/>
      <c r="I65" s="379"/>
      <c r="J65" s="383"/>
      <c r="K65" s="368"/>
      <c r="L65" s="369"/>
      <c r="M65" s="369"/>
      <c r="N65" s="369"/>
      <c r="O65" s="369"/>
      <c r="P65" s="369"/>
      <c r="Q65" s="369"/>
      <c r="R65" s="391"/>
      <c r="S65" s="369"/>
      <c r="T65" s="122"/>
      <c r="U65" s="122"/>
      <c r="V65" s="107"/>
    </row>
    <row r="66" spans="1:22" ht="27" customHeight="1">
      <c r="A66" s="373"/>
      <c r="B66" s="375"/>
      <c r="C66" s="377"/>
      <c r="D66" s="181"/>
      <c r="E66" s="358"/>
      <c r="F66" s="380"/>
      <c r="G66" s="357"/>
      <c r="H66" s="357"/>
      <c r="I66" s="357"/>
      <c r="J66" s="360"/>
      <c r="K66" s="363"/>
      <c r="L66" s="364"/>
      <c r="M66" s="364"/>
      <c r="N66" s="364"/>
      <c r="O66" s="364"/>
      <c r="P66" s="364"/>
      <c r="Q66" s="364"/>
      <c r="R66" s="366"/>
      <c r="S66" s="367"/>
      <c r="T66" s="112"/>
      <c r="U66" s="112"/>
      <c r="V66" s="161"/>
    </row>
    <row r="67" spans="1:22" ht="27" customHeight="1">
      <c r="A67" s="374"/>
      <c r="B67" s="376"/>
      <c r="C67" s="378"/>
      <c r="D67" s="179"/>
      <c r="E67" s="358"/>
      <c r="F67" s="381"/>
      <c r="G67" s="358"/>
      <c r="H67" s="358"/>
      <c r="I67" s="358"/>
      <c r="J67" s="361"/>
      <c r="K67" s="368"/>
      <c r="L67" s="369"/>
      <c r="M67" s="369"/>
      <c r="N67" s="369"/>
      <c r="O67" s="369"/>
      <c r="P67" s="369"/>
      <c r="Q67" s="369"/>
      <c r="R67" s="392"/>
      <c r="S67" s="393"/>
      <c r="T67" s="106"/>
      <c r="U67" s="106"/>
      <c r="V67" s="105"/>
    </row>
    <row r="68" spans="1:22" ht="27" customHeight="1">
      <c r="A68" s="111"/>
      <c r="B68" s="384"/>
      <c r="C68" s="384"/>
      <c r="D68" s="131"/>
      <c r="E68" s="379"/>
      <c r="F68" s="390"/>
      <c r="G68" s="379"/>
      <c r="H68" s="379"/>
      <c r="I68" s="379"/>
      <c r="J68" s="383"/>
      <c r="K68" s="385"/>
      <c r="L68" s="386"/>
      <c r="M68" s="386"/>
      <c r="N68" s="386"/>
      <c r="O68" s="386"/>
      <c r="P68" s="386"/>
      <c r="Q68" s="386"/>
      <c r="R68" s="387"/>
      <c r="S68" s="386"/>
      <c r="T68" s="124"/>
      <c r="U68" s="124"/>
      <c r="V68" s="113"/>
    </row>
    <row r="69" spans="1:22" ht="27" customHeight="1">
      <c r="A69" s="373"/>
      <c r="B69" s="388"/>
      <c r="C69" s="389"/>
      <c r="D69" s="181"/>
      <c r="E69" s="358"/>
      <c r="F69" s="380"/>
      <c r="G69" s="357"/>
      <c r="H69" s="357"/>
      <c r="I69" s="357"/>
      <c r="J69" s="360"/>
      <c r="K69" s="368"/>
      <c r="L69" s="369"/>
      <c r="M69" s="369"/>
      <c r="N69" s="369"/>
      <c r="O69" s="369"/>
      <c r="P69" s="369"/>
      <c r="Q69" s="369"/>
      <c r="R69" s="370"/>
      <c r="S69" s="371"/>
      <c r="T69" s="106"/>
      <c r="U69" s="106"/>
      <c r="V69" s="160"/>
    </row>
    <row r="70" spans="1:22" ht="27" customHeight="1">
      <c r="A70" s="374"/>
      <c r="B70" s="376"/>
      <c r="C70" s="378"/>
      <c r="D70" s="179"/>
      <c r="E70" s="358"/>
      <c r="F70" s="381"/>
      <c r="G70" s="358"/>
      <c r="H70" s="358"/>
      <c r="I70" s="358"/>
      <c r="J70" s="361"/>
      <c r="K70" s="368"/>
      <c r="L70" s="369"/>
      <c r="M70" s="369"/>
      <c r="N70" s="369"/>
      <c r="O70" s="369"/>
      <c r="P70" s="369"/>
      <c r="Q70" s="369"/>
      <c r="R70" s="370"/>
      <c r="S70" s="371"/>
      <c r="T70" s="106"/>
      <c r="U70" s="106"/>
      <c r="V70" s="105"/>
    </row>
    <row r="71" spans="1:22" ht="27" customHeight="1">
      <c r="A71" s="111"/>
      <c r="B71" s="372"/>
      <c r="C71" s="372"/>
      <c r="D71" s="133"/>
      <c r="E71" s="379"/>
      <c r="F71" s="390"/>
      <c r="G71" s="379"/>
      <c r="H71" s="379"/>
      <c r="I71" s="379"/>
      <c r="J71" s="383"/>
      <c r="K71" s="368"/>
      <c r="L71" s="369"/>
      <c r="M71" s="369"/>
      <c r="N71" s="369"/>
      <c r="O71" s="369"/>
      <c r="P71" s="369"/>
      <c r="Q71" s="369"/>
      <c r="R71" s="391"/>
      <c r="S71" s="369"/>
      <c r="T71" s="122"/>
      <c r="U71" s="122"/>
      <c r="V71" s="107"/>
    </row>
    <row r="72" spans="1:22" ht="27" customHeight="1">
      <c r="A72" s="373"/>
      <c r="B72" s="375"/>
      <c r="C72" s="377"/>
      <c r="D72" s="181"/>
      <c r="E72" s="358"/>
      <c r="F72" s="380"/>
      <c r="G72" s="357"/>
      <c r="H72" s="357"/>
      <c r="I72" s="357"/>
      <c r="J72" s="360"/>
      <c r="K72" s="363"/>
      <c r="L72" s="364"/>
      <c r="M72" s="364"/>
      <c r="N72" s="364"/>
      <c r="O72" s="364"/>
      <c r="P72" s="364"/>
      <c r="Q72" s="364"/>
      <c r="R72" s="366"/>
      <c r="S72" s="367"/>
      <c r="T72" s="112"/>
      <c r="U72" s="112"/>
      <c r="V72" s="161"/>
    </row>
    <row r="73" spans="1:22" ht="27" customHeight="1">
      <c r="A73" s="374"/>
      <c r="B73" s="376"/>
      <c r="C73" s="378"/>
      <c r="D73" s="179"/>
      <c r="E73" s="358"/>
      <c r="F73" s="381"/>
      <c r="G73" s="358"/>
      <c r="H73" s="358"/>
      <c r="I73" s="358"/>
      <c r="J73" s="361"/>
      <c r="K73" s="368"/>
      <c r="L73" s="369"/>
      <c r="M73" s="369"/>
      <c r="N73" s="369"/>
      <c r="O73" s="369"/>
      <c r="P73" s="369"/>
      <c r="Q73" s="369"/>
      <c r="R73" s="370"/>
      <c r="S73" s="371"/>
      <c r="T73" s="106"/>
      <c r="U73" s="106"/>
      <c r="V73" s="105"/>
    </row>
    <row r="74" spans="1:22" ht="30" customHeight="1">
      <c r="A74" s="111"/>
      <c r="B74" s="384"/>
      <c r="C74" s="384"/>
      <c r="D74" s="131"/>
      <c r="E74" s="379"/>
      <c r="F74" s="390"/>
      <c r="G74" s="379"/>
      <c r="H74" s="379"/>
      <c r="I74" s="379"/>
      <c r="J74" s="383"/>
      <c r="K74" s="385"/>
      <c r="L74" s="386"/>
      <c r="M74" s="386"/>
      <c r="N74" s="386"/>
      <c r="O74" s="386"/>
      <c r="P74" s="386"/>
      <c r="Q74" s="386"/>
      <c r="R74" s="387"/>
      <c r="S74" s="386"/>
      <c r="T74" s="124"/>
      <c r="U74" s="124"/>
      <c r="V74" s="113"/>
    </row>
    <row r="75" spans="1:22" ht="30" customHeight="1">
      <c r="A75" s="373"/>
      <c r="B75" s="388"/>
      <c r="C75" s="389"/>
      <c r="D75" s="181"/>
      <c r="E75" s="358"/>
      <c r="F75" s="380"/>
      <c r="G75" s="357"/>
      <c r="H75" s="357"/>
      <c r="I75" s="357"/>
      <c r="J75" s="360"/>
      <c r="K75" s="368"/>
      <c r="L75" s="369"/>
      <c r="M75" s="369"/>
      <c r="N75" s="369"/>
      <c r="O75" s="369"/>
      <c r="P75" s="369"/>
      <c r="Q75" s="369"/>
      <c r="R75" s="370"/>
      <c r="S75" s="371"/>
      <c r="T75" s="106"/>
      <c r="U75" s="106"/>
      <c r="V75" s="160"/>
    </row>
    <row r="76" spans="1:22" ht="30" customHeight="1">
      <c r="A76" s="374"/>
      <c r="B76" s="376"/>
      <c r="C76" s="378"/>
      <c r="D76" s="179"/>
      <c r="E76" s="358"/>
      <c r="F76" s="381"/>
      <c r="G76" s="358"/>
      <c r="H76" s="358"/>
      <c r="I76" s="358"/>
      <c r="J76" s="361"/>
      <c r="K76" s="368"/>
      <c r="L76" s="369"/>
      <c r="M76" s="369"/>
      <c r="N76" s="369"/>
      <c r="O76" s="369"/>
      <c r="P76" s="369"/>
      <c r="Q76" s="369"/>
      <c r="R76" s="370"/>
      <c r="S76" s="371"/>
      <c r="T76" s="106"/>
      <c r="U76" s="106"/>
      <c r="V76" s="105"/>
    </row>
    <row r="77" spans="1:22" ht="30" customHeight="1">
      <c r="A77" s="111"/>
      <c r="B77" s="372"/>
      <c r="C77" s="372"/>
      <c r="D77" s="133"/>
      <c r="E77" s="379"/>
      <c r="F77" s="390"/>
      <c r="G77" s="379"/>
      <c r="H77" s="379"/>
      <c r="I77" s="379"/>
      <c r="J77" s="383"/>
      <c r="K77" s="368"/>
      <c r="L77" s="369"/>
      <c r="M77" s="369"/>
      <c r="N77" s="369"/>
      <c r="O77" s="369"/>
      <c r="P77" s="369"/>
      <c r="Q77" s="369"/>
      <c r="R77" s="370"/>
      <c r="S77" s="371"/>
      <c r="T77" s="122"/>
      <c r="U77" s="122"/>
      <c r="V77" s="107"/>
    </row>
    <row r="78" spans="1:22" ht="30" customHeight="1">
      <c r="A78" s="373"/>
      <c r="B78" s="375"/>
      <c r="C78" s="377"/>
      <c r="D78" s="181"/>
      <c r="E78" s="358"/>
      <c r="F78" s="380"/>
      <c r="G78" s="357"/>
      <c r="H78" s="357"/>
      <c r="I78" s="357"/>
      <c r="J78" s="360"/>
      <c r="K78" s="363"/>
      <c r="L78" s="364"/>
      <c r="M78" s="364"/>
      <c r="N78" s="364"/>
      <c r="O78" s="364"/>
      <c r="P78" s="364"/>
      <c r="Q78" s="365"/>
      <c r="R78" s="366"/>
      <c r="S78" s="367"/>
      <c r="T78" s="112"/>
      <c r="U78" s="112"/>
      <c r="V78" s="161"/>
    </row>
    <row r="79" spans="1:22" ht="30" customHeight="1">
      <c r="A79" s="374"/>
      <c r="B79" s="376"/>
      <c r="C79" s="378"/>
      <c r="D79" s="179"/>
      <c r="E79" s="358"/>
      <c r="F79" s="381"/>
      <c r="G79" s="358"/>
      <c r="H79" s="358"/>
      <c r="I79" s="358"/>
      <c r="J79" s="361"/>
      <c r="K79" s="368"/>
      <c r="L79" s="369"/>
      <c r="M79" s="369"/>
      <c r="N79" s="369"/>
      <c r="O79" s="369"/>
      <c r="P79" s="369"/>
      <c r="Q79" s="369"/>
      <c r="R79" s="370"/>
      <c r="S79" s="371"/>
      <c r="T79" s="106"/>
      <c r="U79" s="106"/>
      <c r="V79" s="105"/>
    </row>
    <row r="80" spans="1:22" ht="30" customHeight="1" thickBot="1">
      <c r="A80" s="111"/>
      <c r="B80" s="347"/>
      <c r="C80" s="347"/>
      <c r="D80" s="132"/>
      <c r="E80" s="379"/>
      <c r="F80" s="382"/>
      <c r="G80" s="359"/>
      <c r="H80" s="359"/>
      <c r="I80" s="359"/>
      <c r="J80" s="362"/>
      <c r="K80" s="348"/>
      <c r="L80" s="349"/>
      <c r="M80" s="349"/>
      <c r="N80" s="349"/>
      <c r="O80" s="349"/>
      <c r="P80" s="349"/>
      <c r="Q80" s="349"/>
      <c r="R80" s="350"/>
      <c r="S80" s="349"/>
      <c r="T80" s="123"/>
      <c r="U80" s="123"/>
      <c r="V80" s="108"/>
    </row>
    <row r="81" spans="1:22" ht="30" customHeight="1" thickTop="1" thickBot="1">
      <c r="A81" s="351" t="s">
        <v>7</v>
      </c>
      <c r="B81" s="352"/>
      <c r="C81" s="352"/>
      <c r="D81" s="352"/>
      <c r="E81" s="352"/>
      <c r="F81" s="352"/>
      <c r="G81" s="352"/>
      <c r="H81" s="353"/>
      <c r="I81" s="354" t="s">
        <v>634</v>
      </c>
      <c r="J81" s="355"/>
      <c r="K81" s="355"/>
      <c r="L81" s="355"/>
      <c r="M81" s="355"/>
      <c r="N81" s="355"/>
      <c r="O81" s="355"/>
      <c r="P81" s="356"/>
      <c r="Q81" s="336" t="s">
        <v>693</v>
      </c>
      <c r="R81" s="337"/>
      <c r="S81" s="337"/>
      <c r="T81" s="337"/>
      <c r="U81" s="337"/>
      <c r="V81" s="338"/>
    </row>
    <row r="82" spans="1:22" ht="30" customHeight="1" thickBot="1">
      <c r="A82" s="117" t="s">
        <v>9</v>
      </c>
      <c r="B82" s="341" t="s">
        <v>397</v>
      </c>
      <c r="C82" s="342"/>
      <c r="D82" s="342"/>
      <c r="E82" s="343"/>
      <c r="F82" s="118" t="s">
        <v>398</v>
      </c>
      <c r="G82" s="118" t="s">
        <v>587</v>
      </c>
      <c r="H82" s="119" t="s">
        <v>399</v>
      </c>
      <c r="I82" s="117" t="s">
        <v>9</v>
      </c>
      <c r="J82" s="341" t="s">
        <v>397</v>
      </c>
      <c r="K82" s="342"/>
      <c r="L82" s="342"/>
      <c r="M82" s="343"/>
      <c r="N82" s="118" t="s">
        <v>398</v>
      </c>
      <c r="O82" s="118" t="s">
        <v>639</v>
      </c>
      <c r="P82" s="125" t="s">
        <v>640</v>
      </c>
      <c r="Q82" s="157"/>
      <c r="R82" s="157"/>
      <c r="S82" s="157"/>
      <c r="T82" s="157"/>
      <c r="U82" s="157"/>
      <c r="V82" s="166"/>
    </row>
    <row r="83" spans="1:22" ht="30" customHeight="1">
      <c r="A83" s="109" t="str">
        <f>'TBO DROP'!A2</f>
        <v>187</v>
      </c>
      <c r="B83" s="344" t="str">
        <f>'TBO DROP'!B2</f>
        <v>MAIN ROTOR BLADE</v>
      </c>
      <c r="C83" s="345"/>
      <c r="D83" s="345"/>
      <c r="E83" s="346"/>
      <c r="F83" s="103" t="str">
        <f>IF('TBO DROP'!D2=0,'TBO DROP'!C2,'TBO DROP'!D2)</f>
        <v>013320702</v>
      </c>
      <c r="G83" s="103" t="str">
        <f>'TBO DROP'!F2</f>
        <v>RC</v>
      </c>
      <c r="H83" s="104">
        <f>'TBO DROP'!E2</f>
        <v>142.30000000000018</v>
      </c>
      <c r="I83" s="171"/>
      <c r="J83" s="339"/>
      <c r="K83" s="339"/>
      <c r="L83" s="339"/>
      <c r="M83" s="339"/>
      <c r="N83" s="173"/>
      <c r="O83" s="280"/>
      <c r="P83" s="174"/>
      <c r="Q83" s="158"/>
      <c r="R83" s="158"/>
      <c r="S83" s="158"/>
      <c r="T83" s="158"/>
      <c r="U83" s="158"/>
      <c r="V83" s="167"/>
    </row>
    <row r="84" spans="1:22" ht="30" customHeight="1">
      <c r="A84" s="109" t="str">
        <f>'TBO DROP'!A3</f>
        <v>141</v>
      </c>
      <c r="B84" s="295" t="str">
        <f>'TBO DROP'!B3</f>
        <v>LEAD LAG DAMPER</v>
      </c>
      <c r="C84" s="296"/>
      <c r="D84" s="296"/>
      <c r="E84" s="297"/>
      <c r="F84" s="103" t="str">
        <f>IF('TBO DROP'!D3=0,'TBO DROP'!C3,'TBO DROP'!D3)</f>
        <v>012198658</v>
      </c>
      <c r="G84" s="103" t="str">
        <f>'TBO DROP'!F3</f>
        <v>RC</v>
      </c>
      <c r="H84" s="104">
        <f>'TBO DROP'!E3</f>
        <v>152.5</v>
      </c>
      <c r="I84" s="172"/>
      <c r="J84" s="330"/>
      <c r="K84" s="331"/>
      <c r="L84" s="331"/>
      <c r="M84" s="332"/>
      <c r="N84" s="184"/>
      <c r="O84" s="185"/>
      <c r="P84" s="175"/>
      <c r="Q84" s="158"/>
      <c r="R84" s="158"/>
      <c r="S84" s="158"/>
      <c r="T84" s="158"/>
      <c r="U84" s="158"/>
      <c r="V84" s="167"/>
    </row>
    <row r="85" spans="1:22" ht="30" customHeight="1">
      <c r="A85" s="109" t="str">
        <f>'TBO DROP'!A4</f>
        <v>141</v>
      </c>
      <c r="B85" s="295" t="str">
        <f>'TBO DROP'!B4</f>
        <v>LEAD LAG DAMPER</v>
      </c>
      <c r="C85" s="296"/>
      <c r="D85" s="296"/>
      <c r="E85" s="297"/>
      <c r="F85" s="103" t="str">
        <f>IF('TBO DROP'!D4=0,'TBO DROP'!C4,'TBO DROP'!D4)</f>
        <v>012198658</v>
      </c>
      <c r="G85" s="103" t="str">
        <f>'TBO DROP'!F4</f>
        <v>RC</v>
      </c>
      <c r="H85" s="104">
        <f>'TBO DROP'!E4</f>
        <v>152.5</v>
      </c>
      <c r="I85" s="172"/>
      <c r="J85" s="339"/>
      <c r="K85" s="339"/>
      <c r="L85" s="339"/>
      <c r="M85" s="339"/>
      <c r="N85" s="126"/>
      <c r="O85" s="280"/>
      <c r="P85" s="175"/>
      <c r="Q85" s="158"/>
      <c r="R85" s="158"/>
      <c r="S85" s="158"/>
      <c r="T85" s="158"/>
      <c r="U85" s="158"/>
      <c r="V85" s="167"/>
    </row>
    <row r="86" spans="1:22" ht="30" customHeight="1">
      <c r="A86" s="109" t="str">
        <f>'TBO DROP'!A5</f>
        <v>187</v>
      </c>
      <c r="B86" s="295" t="str">
        <f>'TBO DROP'!B5</f>
        <v>LATERAL LINK</v>
      </c>
      <c r="C86" s="296"/>
      <c r="D86" s="296"/>
      <c r="E86" s="297"/>
      <c r="F86" s="103" t="str">
        <f>IF('TBO DROP'!D5=0,'TBO DROP'!C5,'TBO DROP'!D5)</f>
        <v>012629482</v>
      </c>
      <c r="G86" s="103" t="str">
        <f>'TBO DROP'!F5</f>
        <v>RC</v>
      </c>
      <c r="H86" s="104">
        <f>'TBO DROP'!E5</f>
        <v>208.30000000000018</v>
      </c>
      <c r="I86" s="172"/>
      <c r="J86" s="339"/>
      <c r="K86" s="339"/>
      <c r="L86" s="339"/>
      <c r="M86" s="339"/>
      <c r="N86" s="126"/>
      <c r="O86" s="280"/>
      <c r="P86" s="175"/>
      <c r="Q86" s="158"/>
      <c r="R86" s="158"/>
      <c r="S86" s="158"/>
      <c r="T86" s="158"/>
      <c r="U86" s="158"/>
      <c r="V86" s="167"/>
    </row>
    <row r="87" spans="1:22" ht="30" customHeight="1">
      <c r="A87" s="109" t="str">
        <f>'TBO DROP'!A6</f>
        <v>141</v>
      </c>
      <c r="B87" s="295" t="str">
        <f>'TBO DROP'!B6</f>
        <v>TRUNNION, DAMPER</v>
      </c>
      <c r="C87" s="296"/>
      <c r="D87" s="296"/>
      <c r="E87" s="297"/>
      <c r="F87" s="103" t="str">
        <f>IF('TBO DROP'!D6=0,'TBO DROP'!C6,'TBO DROP'!D6)</f>
        <v>011705243</v>
      </c>
      <c r="G87" s="103" t="str">
        <f>'TBO DROP'!F6</f>
        <v>RC</v>
      </c>
      <c r="H87" s="104">
        <f>'TBO DROP'!E6</f>
        <v>222.5</v>
      </c>
      <c r="I87" s="172"/>
      <c r="J87" s="340"/>
      <c r="K87" s="339"/>
      <c r="L87" s="339"/>
      <c r="M87" s="339"/>
      <c r="N87" s="126"/>
      <c r="O87" s="280"/>
      <c r="P87" s="186"/>
      <c r="Q87" s="158"/>
      <c r="R87" s="158"/>
      <c r="S87" s="158"/>
      <c r="T87" s="158"/>
      <c r="U87" s="158"/>
      <c r="V87" s="167"/>
    </row>
    <row r="88" spans="1:22" ht="30" customHeight="1">
      <c r="A88" s="109" t="str">
        <f>'TBO DROP'!A7</f>
        <v>119</v>
      </c>
      <c r="B88" s="295" t="str">
        <f>'TBO DROP'!B7</f>
        <v>ACC MOD CLUTCH</v>
      </c>
      <c r="C88" s="296"/>
      <c r="D88" s="296"/>
      <c r="E88" s="297"/>
      <c r="F88" s="103" t="str">
        <f>IF('TBO DROP'!D7=0,'TBO DROP'!C7,'TBO DROP'!D7)</f>
        <v>015217009</v>
      </c>
      <c r="G88" s="103" t="str">
        <f>'TBO DROP'!F7</f>
        <v>RC</v>
      </c>
      <c r="H88" s="104">
        <f>'TBO DROP'!E7</f>
        <v>234.09999999999991</v>
      </c>
      <c r="I88" s="172"/>
      <c r="J88" s="339"/>
      <c r="K88" s="339"/>
      <c r="L88" s="339"/>
      <c r="M88" s="339"/>
      <c r="N88" s="126"/>
      <c r="O88" s="280"/>
      <c r="P88" s="175"/>
      <c r="Q88" s="158"/>
      <c r="R88" s="158"/>
      <c r="S88" s="158"/>
      <c r="T88" s="158"/>
      <c r="U88" s="158"/>
      <c r="V88" s="167"/>
    </row>
    <row r="89" spans="1:22" ht="30" customHeight="1">
      <c r="A89" s="109" t="str">
        <f>'TBO DROP'!A8</f>
        <v>119</v>
      </c>
      <c r="B89" s="295" t="str">
        <f>'TBO DROP'!B8</f>
        <v>ACC MOD CLUTCH, SECOND</v>
      </c>
      <c r="C89" s="296"/>
      <c r="D89" s="296"/>
      <c r="E89" s="297"/>
      <c r="F89" s="103" t="str">
        <f>IF('TBO DROP'!D8=0,'TBO DROP'!C8,'TBO DROP'!D8)</f>
        <v>015217009</v>
      </c>
      <c r="G89" s="103" t="str">
        <f>'TBO DROP'!F8</f>
        <v>RC</v>
      </c>
      <c r="H89" s="104">
        <f>'TBO DROP'!E8</f>
        <v>234.09999999999991</v>
      </c>
      <c r="I89" s="172"/>
      <c r="J89" s="339"/>
      <c r="K89" s="339"/>
      <c r="L89" s="339"/>
      <c r="M89" s="339"/>
      <c r="N89" s="126"/>
      <c r="O89" s="280"/>
      <c r="P89" s="175"/>
      <c r="Q89" s="158"/>
      <c r="R89" s="158"/>
      <c r="S89" s="158"/>
      <c r="T89" s="158"/>
      <c r="U89" s="158"/>
      <c r="V89" s="167"/>
    </row>
    <row r="90" spans="1:22" ht="30" customHeight="1">
      <c r="A90" s="109" t="str">
        <f>'TBO DROP'!A9</f>
        <v>187</v>
      </c>
      <c r="B90" s="295" t="str">
        <f>'TBO DROP'!B9</f>
        <v>STRETCHED STRAP</v>
      </c>
      <c r="C90" s="296"/>
      <c r="D90" s="296"/>
      <c r="E90" s="297"/>
      <c r="F90" s="103" t="str">
        <f>IF('TBO DROP'!D9=0,'TBO DROP'!C9,'TBO DROP'!D9)</f>
        <v>015017715</v>
      </c>
      <c r="G90" s="103" t="str">
        <f>'TBO DROP'!F9</f>
        <v>RC</v>
      </c>
      <c r="H90" s="104">
        <f>'TBO DROP'!E9</f>
        <v>252.30000000000018</v>
      </c>
      <c r="I90" s="172"/>
      <c r="J90" s="330"/>
      <c r="K90" s="331"/>
      <c r="L90" s="331"/>
      <c r="M90" s="332"/>
      <c r="N90" s="184"/>
      <c r="O90" s="185"/>
      <c r="P90" s="175"/>
      <c r="Q90" s="158"/>
      <c r="R90" s="158"/>
      <c r="S90" s="158"/>
      <c r="T90" s="158"/>
      <c r="U90" s="158"/>
      <c r="V90" s="167"/>
    </row>
    <row r="91" spans="1:22" ht="30" customHeight="1">
      <c r="A91" s="109" t="str">
        <f>'TBO DROP'!A10</f>
        <v>187</v>
      </c>
      <c r="B91" s="295" t="str">
        <f>'TBO DROP'!B10</f>
        <v>GENERATOR</v>
      </c>
      <c r="C91" s="296"/>
      <c r="D91" s="296"/>
      <c r="E91" s="297"/>
      <c r="F91" s="103" t="str">
        <f>IF('TBO DROP'!D10=0,'TBO DROP'!C10,'TBO DROP'!D10)</f>
        <v>014955122</v>
      </c>
      <c r="G91" s="103" t="str">
        <f>'TBO DROP'!F10</f>
        <v>LC</v>
      </c>
      <c r="H91" s="104">
        <f>'TBO DROP'!E10</f>
        <v>285.30000000000018</v>
      </c>
      <c r="I91" s="172"/>
      <c r="J91" s="330"/>
      <c r="K91" s="331"/>
      <c r="L91" s="331"/>
      <c r="M91" s="332"/>
      <c r="N91" s="184"/>
      <c r="O91" s="185"/>
      <c r="P91" s="186"/>
      <c r="Q91" s="158"/>
      <c r="R91" s="158"/>
      <c r="S91" s="158"/>
      <c r="T91" s="158"/>
      <c r="U91" s="158"/>
      <c r="V91" s="167"/>
    </row>
    <row r="92" spans="1:22" ht="30" customHeight="1" thickBot="1">
      <c r="A92" s="109" t="str">
        <f>'TBO DROP'!A11</f>
        <v>187</v>
      </c>
      <c r="B92" s="295" t="str">
        <f>'TBO DROP'!B11</f>
        <v>MAIN ROTOR HEAD ASSY</v>
      </c>
      <c r="C92" s="296"/>
      <c r="D92" s="296"/>
      <c r="E92" s="297"/>
      <c r="F92" s="103" t="str">
        <f>IF('TBO DROP'!D11=0,'TBO DROP'!C11,'TBO DROP'!D11)</f>
        <v>015120889</v>
      </c>
      <c r="G92" s="103" t="str">
        <f>'TBO DROP'!F11</f>
        <v>LC</v>
      </c>
      <c r="H92" s="104">
        <f>'TBO DROP'!E11</f>
        <v>304.30000000000018</v>
      </c>
      <c r="I92" s="172"/>
      <c r="J92" s="333"/>
      <c r="K92" s="334"/>
      <c r="L92" s="334"/>
      <c r="M92" s="335"/>
      <c r="N92" s="187"/>
      <c r="O92" s="279"/>
      <c r="P92" s="189"/>
      <c r="Q92" s="158"/>
      <c r="R92" s="158"/>
      <c r="S92" s="158"/>
      <c r="T92" s="158"/>
      <c r="U92" s="158"/>
      <c r="V92" s="167"/>
    </row>
    <row r="93" spans="1:22" ht="30" customHeight="1" thickTop="1" thickBot="1">
      <c r="A93" s="109" t="str">
        <f>'TBO DROP'!A12</f>
        <v>187</v>
      </c>
      <c r="B93" s="295" t="str">
        <f>'TBO DROP'!B12</f>
        <v>FEATHERING BEARING STU</v>
      </c>
      <c r="C93" s="296"/>
      <c r="D93" s="296"/>
      <c r="E93" s="297"/>
      <c r="F93" s="103" t="str">
        <f>IF('TBO DROP'!D12=0,'TBO DROP'!C12,'TBO DROP'!D12)</f>
        <v>011634676</v>
      </c>
      <c r="G93" s="103" t="str">
        <f>'TBO DROP'!F12</f>
        <v>RC</v>
      </c>
      <c r="H93" s="104">
        <f>'TBO DROP'!E12</f>
        <v>304.30000000000018</v>
      </c>
      <c r="I93" s="336" t="s">
        <v>646</v>
      </c>
      <c r="J93" s="337"/>
      <c r="K93" s="337"/>
      <c r="L93" s="337"/>
      <c r="M93" s="337"/>
      <c r="N93" s="337"/>
      <c r="O93" s="337"/>
      <c r="P93" s="338"/>
      <c r="Q93" s="158"/>
      <c r="R93" s="158"/>
      <c r="S93" s="158"/>
      <c r="T93" s="158"/>
      <c r="U93" s="158"/>
      <c r="V93" s="167"/>
    </row>
    <row r="94" spans="1:22" ht="30" customHeight="1" thickBot="1">
      <c r="A94" s="109" t="str">
        <f>'TBO DROP'!A13</f>
        <v>187</v>
      </c>
      <c r="B94" s="295" t="str">
        <f>'TBO DROP'!B13</f>
        <v>FEATHERING BEARING STU</v>
      </c>
      <c r="C94" s="296"/>
      <c r="D94" s="296"/>
      <c r="E94" s="297"/>
      <c r="F94" s="103" t="str">
        <f>IF('TBO DROP'!D13=0,'TBO DROP'!C13,'TBO DROP'!D13)</f>
        <v>011634676</v>
      </c>
      <c r="G94" s="103" t="str">
        <f>'TBO DROP'!F13</f>
        <v>RC</v>
      </c>
      <c r="H94" s="104">
        <f>'TBO DROP'!E13</f>
        <v>304.30000000000018</v>
      </c>
      <c r="I94" s="147" t="s">
        <v>4</v>
      </c>
      <c r="J94" s="148" t="s">
        <v>1</v>
      </c>
      <c r="K94" s="148" t="s">
        <v>0</v>
      </c>
      <c r="L94" s="148" t="s">
        <v>2</v>
      </c>
      <c r="M94" s="148" t="s">
        <v>3</v>
      </c>
      <c r="N94" s="164" t="s">
        <v>633</v>
      </c>
      <c r="O94" s="163" t="s">
        <v>11</v>
      </c>
      <c r="P94" s="162" t="s">
        <v>694</v>
      </c>
      <c r="Q94" s="158"/>
      <c r="R94" s="158"/>
      <c r="S94" s="158"/>
      <c r="T94" s="158"/>
      <c r="U94" s="158"/>
      <c r="V94" s="167"/>
    </row>
    <row r="95" spans="1:22" ht="30" customHeight="1" thickBot="1">
      <c r="A95" s="109" t="str">
        <f>'TBO DROP'!A14</f>
        <v>187</v>
      </c>
      <c r="B95" s="295" t="str">
        <f>'TBO DROP'!B14</f>
        <v>BEARING, UPPER</v>
      </c>
      <c r="C95" s="296"/>
      <c r="D95" s="296"/>
      <c r="E95" s="297"/>
      <c r="F95" s="103" t="str">
        <f>IF('TBO DROP'!D14=0,'TBO DROP'!C14,'TBO DROP'!D14)</f>
        <v>012154794</v>
      </c>
      <c r="G95" s="103" t="str">
        <f>'TBO DROP'!F14</f>
        <v>RC</v>
      </c>
      <c r="H95" s="104">
        <f>'TBO DROP'!E14</f>
        <v>304.30000000000018</v>
      </c>
      <c r="I95" s="151"/>
      <c r="J95" s="152"/>
      <c r="K95" s="153"/>
      <c r="L95" s="152"/>
      <c r="M95" s="153"/>
      <c r="N95" s="324">
        <f>SUM(IF(C10="Y",1,0),IF(C13="Y",1,0),IF(C16="Y",1,0),IF(C19="Y",1,0),IF(C22="Y",1,0),IF(C25="Y",1,0),IF(C28="Y",1,0),IF(C32="Y",1,0),IF(C35="Y",1,0),IF(C38="Y",1,0),IF(C41="Y",1,0),IF(C44="Y",1,0),IF(C7="Y",1,0),IF(C47="Y",1,0),IF(C50="Y",1,0),IF(C53="Y",1,0),IF(C57="Y",1,0),IF(C60="Y",1,0),IF(C63="Y",1,0),IF(C66="Y",1,0),IF(C69="Y",1,0),IF(C72="Y",1,0),IF(C75="Y",1,0),IF(C78="Y",1,0))</f>
        <v>0</v>
      </c>
      <c r="O95" s="326"/>
      <c r="P95" s="328"/>
      <c r="Q95" s="158"/>
      <c r="R95" s="158"/>
      <c r="S95" s="158"/>
      <c r="T95" s="158"/>
      <c r="U95" s="158"/>
      <c r="V95" s="167"/>
    </row>
    <row r="96" spans="1:22" ht="30" customHeight="1" thickBot="1">
      <c r="A96" s="109" t="str">
        <f>'TBO DROP'!A15</f>
        <v>187</v>
      </c>
      <c r="B96" s="295" t="str">
        <f>'TBO DROP'!B15</f>
        <v>SWEPT TIP CAP</v>
      </c>
      <c r="C96" s="296"/>
      <c r="D96" s="296"/>
      <c r="E96" s="297"/>
      <c r="F96" s="103" t="str">
        <f>IF('TBO DROP'!D15=0,'TBO DROP'!C15,'TBO DROP'!D15)</f>
        <v>011705256</v>
      </c>
      <c r="G96" s="103" t="str">
        <f>'TBO DROP'!F15</f>
        <v>RC</v>
      </c>
      <c r="H96" s="104">
        <f>'TBO DROP'!E15</f>
        <v>365.30000000000018</v>
      </c>
      <c r="I96" s="149"/>
      <c r="J96" s="150"/>
      <c r="K96" s="169"/>
      <c r="L96" s="169"/>
      <c r="M96" s="254"/>
      <c r="N96" s="325"/>
      <c r="O96" s="327"/>
      <c r="P96" s="329"/>
      <c r="Q96" s="159"/>
      <c r="R96" s="159"/>
      <c r="S96" s="159"/>
      <c r="T96" s="159"/>
      <c r="U96" s="159"/>
      <c r="V96" s="168"/>
    </row>
    <row r="97" spans="1:22" ht="30" customHeight="1" thickTop="1" thickBot="1">
      <c r="A97" s="109" t="str">
        <f>'TBO DROP'!A16</f>
        <v>141</v>
      </c>
      <c r="B97" s="295" t="str">
        <f>'TBO DROP'!B16</f>
        <v>ACTUATOR SUPPORT</v>
      </c>
      <c r="C97" s="296"/>
      <c r="D97" s="296"/>
      <c r="E97" s="297"/>
      <c r="F97" s="103" t="str">
        <f>IF('TBO DROP'!D16=0,'TBO DROP'!C16,'TBO DROP'!D16)</f>
        <v>012629471</v>
      </c>
      <c r="G97" s="103" t="str">
        <f>'TBO DROP'!F16</f>
        <v>RC</v>
      </c>
      <c r="H97" s="104">
        <f>'TBO DROP'!E16</f>
        <v>379.5</v>
      </c>
      <c r="I97" s="298" t="s">
        <v>648</v>
      </c>
      <c r="J97" s="311"/>
      <c r="K97" s="312" t="s">
        <v>734</v>
      </c>
      <c r="L97" s="313"/>
      <c r="M97" s="314"/>
      <c r="N97" s="315" t="s">
        <v>741</v>
      </c>
      <c r="O97" s="316"/>
      <c r="P97" s="316"/>
      <c r="Q97" s="316"/>
      <c r="R97" s="317"/>
      <c r="S97" s="248"/>
      <c r="T97" s="248"/>
      <c r="U97" s="248"/>
      <c r="V97" s="249"/>
    </row>
    <row r="98" spans="1:22" ht="30" customHeight="1">
      <c r="A98" s="109" t="str">
        <f>'TBO DROP'!A17</f>
        <v>141</v>
      </c>
      <c r="B98" s="295" t="str">
        <f>'TBO DROP'!B17</f>
        <v>ACC MOD CLUTCH</v>
      </c>
      <c r="C98" s="296"/>
      <c r="D98" s="296"/>
      <c r="E98" s="297"/>
      <c r="F98" s="103" t="str">
        <f>IF('TBO DROP'!D17=0,'TBO DROP'!C17,'TBO DROP'!D17)</f>
        <v>015217009</v>
      </c>
      <c r="G98" s="103" t="str">
        <f>'TBO DROP'!F17</f>
        <v>RC</v>
      </c>
      <c r="H98" s="104">
        <f>'TBO DROP'!E17</f>
        <v>389.5</v>
      </c>
      <c r="I98" s="318">
        <f ca="1">READ_DAILY!P55653/READ_DAILY!Q55653</f>
        <v>0.77182539682539686</v>
      </c>
      <c r="J98" s="319"/>
      <c r="K98" s="262" t="s">
        <v>737</v>
      </c>
      <c r="L98" s="255" t="s">
        <v>735</v>
      </c>
      <c r="M98" s="260" t="s">
        <v>4</v>
      </c>
      <c r="N98" s="320" t="s">
        <v>742</v>
      </c>
      <c r="O98" s="321"/>
      <c r="P98" s="263"/>
      <c r="Q98" s="264" t="s">
        <v>743</v>
      </c>
      <c r="R98" s="263"/>
      <c r="S98" s="250"/>
      <c r="T98" s="250"/>
      <c r="U98" s="250"/>
      <c r="V98" s="251"/>
    </row>
    <row r="99" spans="1:22" ht="30" customHeight="1" thickBot="1">
      <c r="A99" s="109" t="str">
        <f>'TBO DROP'!A18</f>
        <v>141</v>
      </c>
      <c r="B99" s="295" t="str">
        <f>'TBO DROP'!B18</f>
        <v>ACC MOD CLUTCH, SECOND</v>
      </c>
      <c r="C99" s="296"/>
      <c r="D99" s="296"/>
      <c r="E99" s="297"/>
      <c r="F99" s="103" t="str">
        <f>IF('TBO DROP'!D18=0,'TBO DROP'!C18,'TBO DROP'!D18)</f>
        <v>015217009</v>
      </c>
      <c r="G99" s="103" t="str">
        <f>'TBO DROP'!F18</f>
        <v>RC</v>
      </c>
      <c r="H99" s="104">
        <f>'TBO DROP'!E18</f>
        <v>389.5</v>
      </c>
      <c r="I99" s="318"/>
      <c r="J99" s="319"/>
      <c r="K99" s="258" t="s">
        <v>738</v>
      </c>
      <c r="L99" s="256" t="s">
        <v>735</v>
      </c>
      <c r="M99" s="261" t="s">
        <v>4</v>
      </c>
      <c r="N99" s="322" t="s">
        <v>744</v>
      </c>
      <c r="O99" s="323"/>
      <c r="P99" s="265"/>
      <c r="Q99" s="266" t="s">
        <v>745</v>
      </c>
      <c r="R99" s="267"/>
      <c r="S99" s="250"/>
      <c r="T99" s="250"/>
      <c r="U99" s="250"/>
      <c r="V99" s="251"/>
    </row>
    <row r="100" spans="1:22" ht="30" customHeight="1" thickTop="1" thickBot="1">
      <c r="A100" s="109" t="str">
        <f>'TBO DROP'!A19</f>
        <v>187</v>
      </c>
      <c r="B100" s="295" t="str">
        <f>'TBO DROP'!B19</f>
        <v>TRUNNION, DAMPER</v>
      </c>
      <c r="C100" s="296"/>
      <c r="D100" s="296"/>
      <c r="E100" s="297"/>
      <c r="F100" s="103" t="str">
        <f>IF('TBO DROP'!D19=0,'TBO DROP'!C19,'TBO DROP'!D19)</f>
        <v>011705243</v>
      </c>
      <c r="G100" s="103" t="str">
        <f>'TBO DROP'!F19</f>
        <v>RC</v>
      </c>
      <c r="H100" s="104">
        <f>'TBO DROP'!E19</f>
        <v>429.30000000000018</v>
      </c>
      <c r="I100" s="298" t="s">
        <v>692</v>
      </c>
      <c r="J100" s="299"/>
      <c r="K100" s="258" t="s">
        <v>739</v>
      </c>
      <c r="L100" s="256" t="s">
        <v>735</v>
      </c>
      <c r="M100" s="261" t="s">
        <v>4</v>
      </c>
      <c r="N100" s="300" t="s">
        <v>746</v>
      </c>
      <c r="O100" s="301"/>
      <c r="P100" s="265"/>
      <c r="Q100" s="250" t="s">
        <v>746</v>
      </c>
      <c r="R100" s="267"/>
      <c r="S100" s="250"/>
      <c r="T100" s="250"/>
      <c r="U100" s="250"/>
      <c r="V100" s="251"/>
    </row>
    <row r="101" spans="1:22" ht="30" customHeight="1">
      <c r="A101" s="109" t="str">
        <f>'TBO DROP'!A20</f>
        <v>141</v>
      </c>
      <c r="B101" s="295" t="str">
        <f>'TBO DROP'!B20</f>
        <v>APU CLUTCH</v>
      </c>
      <c r="C101" s="296"/>
      <c r="D101" s="296"/>
      <c r="E101" s="297"/>
      <c r="F101" s="103" t="str">
        <f>IF('TBO DROP'!D20=0,'TBO DROP'!C20,'TBO DROP'!D20)</f>
        <v>015158483</v>
      </c>
      <c r="G101" s="103" t="str">
        <f>'TBO DROP'!F20</f>
        <v>LC</v>
      </c>
      <c r="H101" s="104">
        <f>'TBO DROP'!E20</f>
        <v>500.5</v>
      </c>
      <c r="I101" s="302">
        <f ca="1">READ_DAILY!Q55653</f>
        <v>1512</v>
      </c>
      <c r="J101" s="303"/>
      <c r="K101" s="258" t="s">
        <v>740</v>
      </c>
      <c r="L101" s="256" t="s">
        <v>736</v>
      </c>
      <c r="M101" s="261" t="s">
        <v>4</v>
      </c>
      <c r="N101" s="300" t="s">
        <v>747</v>
      </c>
      <c r="O101" s="301"/>
      <c r="P101" s="265"/>
      <c r="Q101" s="250" t="s">
        <v>747</v>
      </c>
      <c r="R101" s="267"/>
      <c r="S101" s="250"/>
      <c r="T101" s="250"/>
      <c r="U101" s="250"/>
      <c r="V101" s="251"/>
    </row>
    <row r="102" spans="1:22" ht="30" customHeight="1" thickBot="1">
      <c r="A102" s="154" t="str">
        <f>'TBO DROP'!A21</f>
        <v>119</v>
      </c>
      <c r="B102" s="306" t="str">
        <f>'TBO DROP'!B21</f>
        <v>LATERAL LINK</v>
      </c>
      <c r="C102" s="307"/>
      <c r="D102" s="307"/>
      <c r="E102" s="308"/>
      <c r="F102" s="155" t="str">
        <f>IF('TBO DROP'!D21=0,'TBO DROP'!C21,'TBO DROP'!D21)</f>
        <v>012629482</v>
      </c>
      <c r="G102" s="155" t="str">
        <f>'TBO DROP'!F21</f>
        <v>RC</v>
      </c>
      <c r="H102" s="156">
        <f>'TBO DROP'!E21</f>
        <v>534.09999999999991</v>
      </c>
      <c r="I102" s="304"/>
      <c r="J102" s="305"/>
      <c r="K102" s="259"/>
      <c r="L102" s="257"/>
      <c r="M102" s="261"/>
      <c r="N102" s="309" t="s">
        <v>743</v>
      </c>
      <c r="O102" s="310"/>
      <c r="P102" s="268"/>
      <c r="Q102" s="252" t="s">
        <v>743</v>
      </c>
      <c r="R102" s="269"/>
      <c r="S102" s="252"/>
      <c r="T102" s="252"/>
      <c r="U102" s="252"/>
      <c r="V102" s="253"/>
    </row>
    <row r="103" spans="1:22" ht="30" customHeight="1" thickTop="1">
      <c r="E103" s="3"/>
    </row>
    <row r="104" spans="1:22" ht="30" customHeight="1">
      <c r="E104" s="3"/>
    </row>
    <row r="105" spans="1:22">
      <c r="E105" s="3"/>
    </row>
    <row r="106" spans="1:22">
      <c r="E106" s="3"/>
    </row>
    <row r="107" spans="1:22">
      <c r="E107" s="3"/>
    </row>
    <row r="108" spans="1:22">
      <c r="E108" s="3"/>
    </row>
    <row r="109" spans="1:22">
      <c r="E109" s="3"/>
    </row>
    <row r="110" spans="1:22">
      <c r="E110" s="3"/>
    </row>
    <row r="111" spans="1:22">
      <c r="E111" s="3"/>
    </row>
    <row r="112" spans="1:22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048470" spans="26:27" ht="23.25">
      <c r="Z1048470" s="294"/>
      <c r="AA1048470" s="294"/>
    </row>
  </sheetData>
  <sheetProtection selectLockedCells="1"/>
  <mergeCells count="460">
    <mergeCell ref="A1:V1"/>
    <mergeCell ref="Y1:Z1"/>
    <mergeCell ref="C2:G2"/>
    <mergeCell ref="H2:I2"/>
    <mergeCell ref="J2:K2"/>
    <mergeCell ref="L2:T2"/>
    <mergeCell ref="H4:H5"/>
    <mergeCell ref="I4:I5"/>
    <mergeCell ref="J4:J5"/>
    <mergeCell ref="K4:Q5"/>
    <mergeCell ref="R4:S5"/>
    <mergeCell ref="T4:U4"/>
    <mergeCell ref="T5:U5"/>
    <mergeCell ref="C3:G3"/>
    <mergeCell ref="B4:B5"/>
    <mergeCell ref="C4:C5"/>
    <mergeCell ref="D4:D5"/>
    <mergeCell ref="E4:E5"/>
    <mergeCell ref="F4:F5"/>
    <mergeCell ref="G4:G5"/>
    <mergeCell ref="A6:V6"/>
    <mergeCell ref="A7:A8"/>
    <mergeCell ref="B7:B8"/>
    <mergeCell ref="C7:C8"/>
    <mergeCell ref="E7:E9"/>
    <mergeCell ref="F7:F9"/>
    <mergeCell ref="G7:G9"/>
    <mergeCell ref="H7:H9"/>
    <mergeCell ref="I7:I9"/>
    <mergeCell ref="J7:J9"/>
    <mergeCell ref="A10:A11"/>
    <mergeCell ref="B10:B11"/>
    <mergeCell ref="C10:C11"/>
    <mergeCell ref="E10:E12"/>
    <mergeCell ref="F10:F12"/>
    <mergeCell ref="G10:G12"/>
    <mergeCell ref="B12:C12"/>
    <mergeCell ref="K7:Q7"/>
    <mergeCell ref="R7:S7"/>
    <mergeCell ref="K8:Q8"/>
    <mergeCell ref="R8:S8"/>
    <mergeCell ref="B9:C9"/>
    <mergeCell ref="K9:Q9"/>
    <mergeCell ref="R9:S9"/>
    <mergeCell ref="H10:H12"/>
    <mergeCell ref="I10:I12"/>
    <mergeCell ref="J10:J12"/>
    <mergeCell ref="K10:Q10"/>
    <mergeCell ref="R10:S10"/>
    <mergeCell ref="K11:Q11"/>
    <mergeCell ref="R11:S11"/>
    <mergeCell ref="K12:Q12"/>
    <mergeCell ref="R12:S12"/>
    <mergeCell ref="J13:J15"/>
    <mergeCell ref="K13:Q13"/>
    <mergeCell ref="R13:S13"/>
    <mergeCell ref="K14:Q14"/>
    <mergeCell ref="R14:S14"/>
    <mergeCell ref="K15:Q15"/>
    <mergeCell ref="R15:S15"/>
    <mergeCell ref="A13:A14"/>
    <mergeCell ref="B13:B14"/>
    <mergeCell ref="C13:C14"/>
    <mergeCell ref="E13:E15"/>
    <mergeCell ref="F13:F15"/>
    <mergeCell ref="G13:G15"/>
    <mergeCell ref="B15:C15"/>
    <mergeCell ref="A16:A17"/>
    <mergeCell ref="B16:B17"/>
    <mergeCell ref="C16:C17"/>
    <mergeCell ref="E16:E18"/>
    <mergeCell ref="F16:F18"/>
    <mergeCell ref="G16:G18"/>
    <mergeCell ref="B18:C18"/>
    <mergeCell ref="H13:H15"/>
    <mergeCell ref="I13:I15"/>
    <mergeCell ref="H16:H18"/>
    <mergeCell ref="I16:I18"/>
    <mergeCell ref="J16:J18"/>
    <mergeCell ref="K16:Q16"/>
    <mergeCell ref="R16:S16"/>
    <mergeCell ref="K17:Q17"/>
    <mergeCell ref="R17:S17"/>
    <mergeCell ref="K18:Q18"/>
    <mergeCell ref="R18:S18"/>
    <mergeCell ref="K21:Q21"/>
    <mergeCell ref="R21:S21"/>
    <mergeCell ref="A19:A20"/>
    <mergeCell ref="B19:B20"/>
    <mergeCell ref="C19:C20"/>
    <mergeCell ref="E19:E21"/>
    <mergeCell ref="F19:F21"/>
    <mergeCell ref="G19:G21"/>
    <mergeCell ref="B21:C21"/>
    <mergeCell ref="K22:Q22"/>
    <mergeCell ref="R22:S22"/>
    <mergeCell ref="K23:Q23"/>
    <mergeCell ref="R23:S23"/>
    <mergeCell ref="B24:C24"/>
    <mergeCell ref="K24:Q24"/>
    <mergeCell ref="R24:S24"/>
    <mergeCell ref="AV21:AV26"/>
    <mergeCell ref="A22:A23"/>
    <mergeCell ref="B22:B23"/>
    <mergeCell ref="C22:C23"/>
    <mergeCell ref="E22:E24"/>
    <mergeCell ref="F22:F24"/>
    <mergeCell ref="G22:G24"/>
    <mergeCell ref="H22:H24"/>
    <mergeCell ref="I22:I24"/>
    <mergeCell ref="J22:J24"/>
    <mergeCell ref="H19:H21"/>
    <mergeCell ref="I19:I21"/>
    <mergeCell ref="J19:J21"/>
    <mergeCell ref="K19:Q19"/>
    <mergeCell ref="R19:S19"/>
    <mergeCell ref="K20:Q20"/>
    <mergeCell ref="R20:S20"/>
    <mergeCell ref="K27:Q27"/>
    <mergeCell ref="R27:S27"/>
    <mergeCell ref="A25:A26"/>
    <mergeCell ref="B25:B26"/>
    <mergeCell ref="C25:C26"/>
    <mergeCell ref="E25:E27"/>
    <mergeCell ref="F25:F27"/>
    <mergeCell ref="G25:G27"/>
    <mergeCell ref="B27:C27"/>
    <mergeCell ref="K28:Q28"/>
    <mergeCell ref="R28:S28"/>
    <mergeCell ref="K29:Q29"/>
    <mergeCell ref="R29:S29"/>
    <mergeCell ref="B30:C30"/>
    <mergeCell ref="K30:Q30"/>
    <mergeCell ref="R30:S30"/>
    <mergeCell ref="AV27:AV33"/>
    <mergeCell ref="A28:A29"/>
    <mergeCell ref="B28:B29"/>
    <mergeCell ref="C28:C29"/>
    <mergeCell ref="E28:E30"/>
    <mergeCell ref="F28:F30"/>
    <mergeCell ref="G28:G30"/>
    <mergeCell ref="H28:H30"/>
    <mergeCell ref="I28:I30"/>
    <mergeCell ref="J28:J30"/>
    <mergeCell ref="H25:H27"/>
    <mergeCell ref="I25:I27"/>
    <mergeCell ref="J25:J27"/>
    <mergeCell ref="K25:Q25"/>
    <mergeCell ref="R25:S25"/>
    <mergeCell ref="K26:Q26"/>
    <mergeCell ref="R26:S26"/>
    <mergeCell ref="K32:Q32"/>
    <mergeCell ref="R32:S32"/>
    <mergeCell ref="K33:Q33"/>
    <mergeCell ref="R33:S33"/>
    <mergeCell ref="B34:C34"/>
    <mergeCell ref="K34:Q34"/>
    <mergeCell ref="R34:S34"/>
    <mergeCell ref="A31:V31"/>
    <mergeCell ref="A32:A33"/>
    <mergeCell ref="B32:B33"/>
    <mergeCell ref="C32:C33"/>
    <mergeCell ref="E32:E34"/>
    <mergeCell ref="F32:F34"/>
    <mergeCell ref="G32:G34"/>
    <mergeCell ref="H32:H34"/>
    <mergeCell ref="I32:I34"/>
    <mergeCell ref="J32:J34"/>
    <mergeCell ref="K35:Q35"/>
    <mergeCell ref="R35:S35"/>
    <mergeCell ref="K36:Q36"/>
    <mergeCell ref="R36:S36"/>
    <mergeCell ref="B37:C37"/>
    <mergeCell ref="K37:Q37"/>
    <mergeCell ref="R37:S37"/>
    <mergeCell ref="AV34:AV39"/>
    <mergeCell ref="A35:A36"/>
    <mergeCell ref="B35:B36"/>
    <mergeCell ref="C35:C36"/>
    <mergeCell ref="E35:E37"/>
    <mergeCell ref="F35:F37"/>
    <mergeCell ref="G35:G37"/>
    <mergeCell ref="H35:H37"/>
    <mergeCell ref="I35:I37"/>
    <mergeCell ref="J35:J37"/>
    <mergeCell ref="K40:Q40"/>
    <mergeCell ref="R40:S40"/>
    <mergeCell ref="A38:A39"/>
    <mergeCell ref="B38:B39"/>
    <mergeCell ref="C38:C39"/>
    <mergeCell ref="E38:E40"/>
    <mergeCell ref="F38:F40"/>
    <mergeCell ref="G38:G40"/>
    <mergeCell ref="B40:C40"/>
    <mergeCell ref="K41:Q41"/>
    <mergeCell ref="R41:S41"/>
    <mergeCell ref="K42:Q42"/>
    <mergeCell ref="R42:S42"/>
    <mergeCell ref="B43:C43"/>
    <mergeCell ref="K43:Q43"/>
    <mergeCell ref="R43:S43"/>
    <mergeCell ref="AV40:AV49"/>
    <mergeCell ref="A41:A42"/>
    <mergeCell ref="B41:B42"/>
    <mergeCell ref="C41:C42"/>
    <mergeCell ref="E41:E43"/>
    <mergeCell ref="F41:F43"/>
    <mergeCell ref="G41:G43"/>
    <mergeCell ref="H41:H43"/>
    <mergeCell ref="I41:I43"/>
    <mergeCell ref="J41:J43"/>
    <mergeCell ref="H38:H40"/>
    <mergeCell ref="I38:I40"/>
    <mergeCell ref="J38:J40"/>
    <mergeCell ref="K38:Q38"/>
    <mergeCell ref="R38:S38"/>
    <mergeCell ref="K39:Q39"/>
    <mergeCell ref="R39:S39"/>
    <mergeCell ref="J44:J46"/>
    <mergeCell ref="K44:Q44"/>
    <mergeCell ref="R44:S44"/>
    <mergeCell ref="K45:Q45"/>
    <mergeCell ref="R45:S45"/>
    <mergeCell ref="K46:Q46"/>
    <mergeCell ref="R46:S46"/>
    <mergeCell ref="A44:A45"/>
    <mergeCell ref="B44:B45"/>
    <mergeCell ref="C44:C45"/>
    <mergeCell ref="E44:E46"/>
    <mergeCell ref="F44:F46"/>
    <mergeCell ref="G44:G46"/>
    <mergeCell ref="B46:C46"/>
    <mergeCell ref="A47:A48"/>
    <mergeCell ref="B47:B48"/>
    <mergeCell ref="C47:C48"/>
    <mergeCell ref="E47:E49"/>
    <mergeCell ref="F47:F49"/>
    <mergeCell ref="G47:G49"/>
    <mergeCell ref="B49:C49"/>
    <mergeCell ref="H44:H46"/>
    <mergeCell ref="I44:I46"/>
    <mergeCell ref="H47:H49"/>
    <mergeCell ref="I47:I49"/>
    <mergeCell ref="J47:J49"/>
    <mergeCell ref="K47:Q47"/>
    <mergeCell ref="R47:S47"/>
    <mergeCell ref="K48:Q48"/>
    <mergeCell ref="R48:S48"/>
    <mergeCell ref="K49:Q49"/>
    <mergeCell ref="R49:S49"/>
    <mergeCell ref="J50:J52"/>
    <mergeCell ref="K50:Q50"/>
    <mergeCell ref="R50:S50"/>
    <mergeCell ref="K51:Q51"/>
    <mergeCell ref="R51:S51"/>
    <mergeCell ref="K52:Q52"/>
    <mergeCell ref="R52:S52"/>
    <mergeCell ref="A50:A51"/>
    <mergeCell ref="B50:B51"/>
    <mergeCell ref="C50:C51"/>
    <mergeCell ref="E50:E52"/>
    <mergeCell ref="F50:F52"/>
    <mergeCell ref="G50:G52"/>
    <mergeCell ref="B52:C52"/>
    <mergeCell ref="A53:A54"/>
    <mergeCell ref="B53:B54"/>
    <mergeCell ref="C53:C54"/>
    <mergeCell ref="E53:E55"/>
    <mergeCell ref="F53:F55"/>
    <mergeCell ref="G53:G55"/>
    <mergeCell ref="B55:C55"/>
    <mergeCell ref="H50:H52"/>
    <mergeCell ref="I50:I52"/>
    <mergeCell ref="H53:H55"/>
    <mergeCell ref="I53:I55"/>
    <mergeCell ref="J53:J55"/>
    <mergeCell ref="K53:Q53"/>
    <mergeCell ref="R53:S53"/>
    <mergeCell ref="K54:Q54"/>
    <mergeCell ref="R54:S54"/>
    <mergeCell ref="K55:Q55"/>
    <mergeCell ref="R55:S55"/>
    <mergeCell ref="A56:V56"/>
    <mergeCell ref="A57:A58"/>
    <mergeCell ref="B57:B58"/>
    <mergeCell ref="C57:C58"/>
    <mergeCell ref="E57:E59"/>
    <mergeCell ref="F57:F59"/>
    <mergeCell ref="G57:G59"/>
    <mergeCell ref="H57:H59"/>
    <mergeCell ref="I57:I59"/>
    <mergeCell ref="J57:J59"/>
    <mergeCell ref="K57:Q57"/>
    <mergeCell ref="R57:S57"/>
    <mergeCell ref="K58:Q58"/>
    <mergeCell ref="R58:S58"/>
    <mergeCell ref="B59:C59"/>
    <mergeCell ref="A60:A61"/>
    <mergeCell ref="B60:B61"/>
    <mergeCell ref="C60:C61"/>
    <mergeCell ref="E60:E62"/>
    <mergeCell ref="F60:F62"/>
    <mergeCell ref="B62:C62"/>
    <mergeCell ref="K62:Q62"/>
    <mergeCell ref="R62:S62"/>
    <mergeCell ref="A63:A64"/>
    <mergeCell ref="B63:B64"/>
    <mergeCell ref="C63:C64"/>
    <mergeCell ref="E63:E65"/>
    <mergeCell ref="F63:F65"/>
    <mergeCell ref="G63:G65"/>
    <mergeCell ref="H63:H65"/>
    <mergeCell ref="G60:G62"/>
    <mergeCell ref="H60:H62"/>
    <mergeCell ref="I60:I62"/>
    <mergeCell ref="J60:J62"/>
    <mergeCell ref="K60:Q60"/>
    <mergeCell ref="R60:S60"/>
    <mergeCell ref="K61:Q61"/>
    <mergeCell ref="R61:S61"/>
    <mergeCell ref="B65:C65"/>
    <mergeCell ref="K65:Q65"/>
    <mergeCell ref="R65:S65"/>
    <mergeCell ref="A66:A67"/>
    <mergeCell ref="B66:B67"/>
    <mergeCell ref="C66:C67"/>
    <mergeCell ref="E66:E68"/>
    <mergeCell ref="F66:F68"/>
    <mergeCell ref="G66:G68"/>
    <mergeCell ref="H66:H68"/>
    <mergeCell ref="I63:I65"/>
    <mergeCell ref="J63:J65"/>
    <mergeCell ref="K63:Q63"/>
    <mergeCell ref="R63:S63"/>
    <mergeCell ref="K64:Q64"/>
    <mergeCell ref="R64:S64"/>
    <mergeCell ref="B68:C68"/>
    <mergeCell ref="K68:Q68"/>
    <mergeCell ref="R68:S68"/>
    <mergeCell ref="A69:A70"/>
    <mergeCell ref="B69:B70"/>
    <mergeCell ref="C69:C70"/>
    <mergeCell ref="E69:E71"/>
    <mergeCell ref="F69:F71"/>
    <mergeCell ref="G69:G71"/>
    <mergeCell ref="H69:H71"/>
    <mergeCell ref="I66:I68"/>
    <mergeCell ref="J66:J68"/>
    <mergeCell ref="K66:Q66"/>
    <mergeCell ref="R66:S66"/>
    <mergeCell ref="K67:Q67"/>
    <mergeCell ref="R67:S67"/>
    <mergeCell ref="B71:C71"/>
    <mergeCell ref="K71:Q71"/>
    <mergeCell ref="R71:S71"/>
    <mergeCell ref="A72:A73"/>
    <mergeCell ref="B72:B73"/>
    <mergeCell ref="C72:C73"/>
    <mergeCell ref="E72:E74"/>
    <mergeCell ref="F72:F74"/>
    <mergeCell ref="G72:G74"/>
    <mergeCell ref="H72:H74"/>
    <mergeCell ref="I69:I71"/>
    <mergeCell ref="J69:J71"/>
    <mergeCell ref="K69:Q69"/>
    <mergeCell ref="R69:S69"/>
    <mergeCell ref="K70:Q70"/>
    <mergeCell ref="R70:S70"/>
    <mergeCell ref="B74:C74"/>
    <mergeCell ref="K74:Q74"/>
    <mergeCell ref="R74:S74"/>
    <mergeCell ref="A75:A76"/>
    <mergeCell ref="B75:B76"/>
    <mergeCell ref="C75:C76"/>
    <mergeCell ref="E75:E77"/>
    <mergeCell ref="F75:F77"/>
    <mergeCell ref="G75:G77"/>
    <mergeCell ref="H75:H77"/>
    <mergeCell ref="I72:I74"/>
    <mergeCell ref="J72:J74"/>
    <mergeCell ref="K72:Q72"/>
    <mergeCell ref="R72:S72"/>
    <mergeCell ref="K73:Q73"/>
    <mergeCell ref="R73:S73"/>
    <mergeCell ref="B77:C77"/>
    <mergeCell ref="K77:Q77"/>
    <mergeCell ref="R77:S77"/>
    <mergeCell ref="A78:A79"/>
    <mergeCell ref="B78:B79"/>
    <mergeCell ref="C78:C79"/>
    <mergeCell ref="E78:E80"/>
    <mergeCell ref="F78:F80"/>
    <mergeCell ref="G78:G80"/>
    <mergeCell ref="H78:H80"/>
    <mergeCell ref="I75:I77"/>
    <mergeCell ref="J75:J77"/>
    <mergeCell ref="K75:Q75"/>
    <mergeCell ref="R75:S75"/>
    <mergeCell ref="K76:Q76"/>
    <mergeCell ref="R76:S76"/>
    <mergeCell ref="B82:E82"/>
    <mergeCell ref="J82:M82"/>
    <mergeCell ref="B83:E83"/>
    <mergeCell ref="J83:M83"/>
    <mergeCell ref="B84:E84"/>
    <mergeCell ref="J84:M84"/>
    <mergeCell ref="B80:C80"/>
    <mergeCell ref="K80:Q80"/>
    <mergeCell ref="R80:S80"/>
    <mergeCell ref="A81:H81"/>
    <mergeCell ref="I81:P81"/>
    <mergeCell ref="Q81:V81"/>
    <mergeCell ref="I78:I80"/>
    <mergeCell ref="J78:J80"/>
    <mergeCell ref="K78:Q78"/>
    <mergeCell ref="R78:S78"/>
    <mergeCell ref="K79:Q79"/>
    <mergeCell ref="R79:S79"/>
    <mergeCell ref="B88:E88"/>
    <mergeCell ref="J88:M88"/>
    <mergeCell ref="B89:E89"/>
    <mergeCell ref="J89:M89"/>
    <mergeCell ref="B90:E90"/>
    <mergeCell ref="J90:M90"/>
    <mergeCell ref="B85:E85"/>
    <mergeCell ref="J85:M85"/>
    <mergeCell ref="B86:E86"/>
    <mergeCell ref="J86:M86"/>
    <mergeCell ref="B87:E87"/>
    <mergeCell ref="J87:M87"/>
    <mergeCell ref="B94:E94"/>
    <mergeCell ref="B95:E95"/>
    <mergeCell ref="N95:N96"/>
    <mergeCell ref="O95:O96"/>
    <mergeCell ref="P95:P96"/>
    <mergeCell ref="B96:E96"/>
    <mergeCell ref="B91:E91"/>
    <mergeCell ref="J91:M91"/>
    <mergeCell ref="B92:E92"/>
    <mergeCell ref="J92:M92"/>
    <mergeCell ref="B93:E93"/>
    <mergeCell ref="I93:P93"/>
    <mergeCell ref="B97:E97"/>
    <mergeCell ref="I97:J97"/>
    <mergeCell ref="K97:M97"/>
    <mergeCell ref="N97:R97"/>
    <mergeCell ref="B98:E98"/>
    <mergeCell ref="I98:J99"/>
    <mergeCell ref="N98:O98"/>
    <mergeCell ref="B99:E99"/>
    <mergeCell ref="N99:O99"/>
    <mergeCell ref="Z1048470:AA1048470"/>
    <mergeCell ref="B100:E100"/>
    <mergeCell ref="I100:J100"/>
    <mergeCell ref="N100:O100"/>
    <mergeCell ref="B101:E101"/>
    <mergeCell ref="I101:J102"/>
    <mergeCell ref="N101:O101"/>
    <mergeCell ref="B102:E102"/>
    <mergeCell ref="N102:O102"/>
  </mergeCells>
  <conditionalFormatting sqref="V29 V26 V23 V20 V17 V14 V11 V8 V33 V36 V39 V42 V45 V48 V51 V54 V58 V61 V64 V67 V70 V73 V76 V79">
    <cfRule type="cellIs" dxfId="104" priority="13" operator="greaterThan">
      <formula>180</formula>
    </cfRule>
  </conditionalFormatting>
  <conditionalFormatting sqref="H57 H53 H47 H50 H41 H35 H44 H38">
    <cfRule type="containsText" dxfId="103" priority="12" operator="containsText" text="X">
      <formula>NOT(ISERROR(SEARCH("X",H35)))</formula>
    </cfRule>
  </conditionalFormatting>
  <conditionalFormatting sqref="H47 H38 H57 H41 H50 H53 H44 H35">
    <cfRule type="containsText" dxfId="102" priority="11" operator="containsText" text="X">
      <formula>NOT(ISERROR(SEARCH("X",H35)))</formula>
    </cfRule>
  </conditionalFormatting>
  <conditionalFormatting sqref="A83:B102 F83:H102 C85:E102">
    <cfRule type="cellIs" dxfId="101" priority="10" operator="equal">
      <formula>0</formula>
    </cfRule>
  </conditionalFormatting>
  <conditionalFormatting sqref="B78:C79 B75:C76 B72:C73 B69:C70 B66:C67 B63:C64 B60:C61 B57:C58 B53:C54 B50:C51 B47:C48 B44:C45 B41:C42 B38:C39 B35:C36 B32:C33 B28:C29 B25:C26 B22:C23 B19:C20 B16:C17 B13:C14 B10:C11 B7:C8">
    <cfRule type="containsText" dxfId="100" priority="9" operator="containsText" text="F">
      <formula>NOT(ISERROR(SEARCH("F",B7)))</formula>
    </cfRule>
  </conditionalFormatting>
  <conditionalFormatting sqref="B9:C9 B12:C12 B15:C15 B18:C18 B21:C21 B24:C24 B27:C27 B80:C80 B34:C34 B37:C37 B40:C40 B43:C43 B46:C46 B49:C49 B52:C52 B30:C30 B59:C59 B62:C62 B65:C65 B68:C68 B71:C71 B74:C74 B77:C77 B55:C55">
    <cfRule type="cellIs" dxfId="99" priority="8" operator="lessThanOrEqual">
      <formula>$C$2-0.5</formula>
    </cfRule>
  </conditionalFormatting>
  <conditionalFormatting sqref="V7 V10 V13 V16 V19 V22 V25 V28 V32 V35 V38 V41 V44 V47 V50 V53 V57 V60 V63 V66 V69 V72 V75 V78">
    <cfRule type="cellIs" dxfId="98" priority="7" operator="lessThan">
      <formula>1</formula>
    </cfRule>
  </conditionalFormatting>
  <conditionalFormatting sqref="C7:C8 C10:C11 C13:C14 C16:C17 C19:C20 C22:C23 C25:C26 C28:C29 C32:C33 C35:C36 C38:C39 C41:C42 C44:C45 C47:C48 C50:C51 C53:C54 C57:C58 C60:C61 C63:C64 C66:C67 C69:C70 C72:C73 C75:C76 C78:C79">
    <cfRule type="containsText" dxfId="97" priority="6" operator="containsText" text="N">
      <formula>NOT(ISERROR(SEARCH("N",C7)))</formula>
    </cfRule>
  </conditionalFormatting>
  <conditionalFormatting sqref="V26">
    <cfRule type="cellIs" dxfId="96" priority="5" operator="greaterThan">
      <formula>180</formula>
    </cfRule>
  </conditionalFormatting>
  <conditionalFormatting sqref="B25:C26">
    <cfRule type="containsText" dxfId="95" priority="4" operator="containsText" text="F">
      <formula>NOT(ISERROR(SEARCH("F",B25)))</formula>
    </cfRule>
  </conditionalFormatting>
  <conditionalFormatting sqref="B27:C27">
    <cfRule type="cellIs" dxfId="94" priority="3" operator="lessThanOrEqual">
      <formula>$C$2-0.5</formula>
    </cfRule>
  </conditionalFormatting>
  <conditionalFormatting sqref="V25">
    <cfRule type="cellIs" dxfId="93" priority="2" operator="lessThan">
      <formula>1</formula>
    </cfRule>
  </conditionalFormatting>
  <conditionalFormatting sqref="C25:C26">
    <cfRule type="containsText" dxfId="92" priority="1" operator="containsText" text="N">
      <formula>NOT(ISERROR(SEARCH("N",C25)))</formula>
    </cfRule>
  </conditionalFormatting>
  <dataValidations count="2">
    <dataValidation type="list" allowBlank="1" showInputMessage="1" showErrorMessage="1" sqref="C7:C8 C10:C11 C13:C14 C16:C17 C19:C20 C22:C23 C78:C79 C28:C29 C32:C33 C35:C36 C38:C39 C41:C42 C44:C45 C47:C48 C50:C51 C53:C54 C57:C58 C60:C61 C63:C64 C66:C67 C69:C70 C72:C73 C75:C76 C25:C26">
      <formula1>FLOW!Q4:Q5</formula1>
    </dataValidation>
    <dataValidation type="list" allowBlank="1" showInputMessage="1" showErrorMessage="1" sqref="B10:B11 B13:B14 B16:B17 B19:B20 B22:B23 B78:B79 B28:B29 B32:B33 B35:B36 B38:B39 B41:B42 B44:B45 B47:B48 B50:B51 B53:B54 B57:B58 B60:B61 B63:B64 B66:B67 B69:B70 B72:B73 B75:B76 B25:B26">
      <formula1>FLOW!P4:P8</formula1>
    </dataValidation>
  </dataValidations>
  <printOptions horizontalCentered="1" verticalCentered="1"/>
  <pageMargins left="0.1" right="0.1" top="0.1" bottom="0.1" header="0" footer="0"/>
  <pageSetup scale="23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V1048470"/>
  <sheetViews>
    <sheetView showGridLines="0" view="pageBreakPreview" zoomScale="40" zoomScaleNormal="35" zoomScaleSheetLayoutView="40" workbookViewId="0">
      <selection activeCell="E7" sqref="E7:E9"/>
    </sheetView>
  </sheetViews>
  <sheetFormatPr defaultRowHeight="12.75"/>
  <cols>
    <col min="1" max="1" width="18.7109375" style="13" customWidth="1"/>
    <col min="2" max="2" width="17.28515625" style="13" customWidth="1"/>
    <col min="3" max="3" width="16" style="13" customWidth="1"/>
    <col min="4" max="4" width="14.7109375" style="74" customWidth="1"/>
    <col min="5" max="5" width="14.7109375" style="13" customWidth="1"/>
    <col min="6" max="6" width="22" style="13" bestFit="1" customWidth="1"/>
    <col min="7" max="7" width="21.5703125" style="13" bestFit="1" customWidth="1"/>
    <col min="8" max="8" width="20.140625" style="13" bestFit="1" customWidth="1"/>
    <col min="9" max="9" width="19.42578125" style="13" bestFit="1" customWidth="1"/>
    <col min="10" max="10" width="22.28515625" style="13" bestFit="1" customWidth="1"/>
    <col min="11" max="12" width="12.7109375" style="13" customWidth="1"/>
    <col min="13" max="13" width="18" style="13" bestFit="1" customWidth="1"/>
    <col min="14" max="14" width="20.5703125" style="13" bestFit="1" customWidth="1"/>
    <col min="15" max="15" width="18.7109375" style="13" customWidth="1"/>
    <col min="16" max="16" width="14.7109375" style="13" customWidth="1"/>
    <col min="17" max="17" width="20.140625" style="13" bestFit="1" customWidth="1"/>
    <col min="18" max="18" width="55.7109375" style="75" customWidth="1"/>
    <col min="19" max="19" width="35.7109375" style="13" customWidth="1"/>
    <col min="20" max="20" width="21.7109375" style="76" customWidth="1"/>
    <col min="21" max="21" width="15.7109375" style="76" customWidth="1"/>
    <col min="22" max="22" width="15.7109375" style="5" customWidth="1"/>
    <col min="23" max="24" width="18.7109375" style="13" customWidth="1"/>
    <col min="25" max="25" width="5.7109375" style="13" customWidth="1"/>
    <col min="26" max="26" width="10.7109375" style="13" customWidth="1"/>
    <col min="27" max="30" width="18.7109375" style="13" customWidth="1"/>
    <col min="31" max="31" width="10.7109375" style="2" customWidth="1"/>
    <col min="32" max="39" width="10.7109375" style="13" customWidth="1"/>
    <col min="40" max="40" width="8.5703125" style="13" customWidth="1"/>
    <col min="41" max="41" width="8.42578125" style="13" customWidth="1"/>
    <col min="42" max="42" width="12.140625" style="13" customWidth="1"/>
    <col min="43" max="43" width="33.28515625" style="13" customWidth="1"/>
    <col min="44" max="44" width="33" style="13" customWidth="1"/>
    <col min="45" max="45" width="46" style="13" customWidth="1"/>
    <col min="46" max="46" width="13.140625" style="13" customWidth="1"/>
    <col min="47" max="47" width="12" style="13" customWidth="1"/>
    <col min="48" max="48" width="12.42578125" style="13" customWidth="1"/>
    <col min="49" max="49" width="6.7109375" style="13" customWidth="1"/>
    <col min="50" max="50" width="7.28515625" style="13" customWidth="1"/>
    <col min="51" max="51" width="6.7109375" style="13" customWidth="1"/>
    <col min="52" max="52" width="7.42578125" style="13" customWidth="1"/>
    <col min="53" max="62" width="9.140625" style="13"/>
    <col min="63" max="63" width="18.7109375" style="13" customWidth="1"/>
    <col min="64" max="64" width="12.7109375" style="13" customWidth="1"/>
    <col min="65" max="65" width="6.7109375" style="13" customWidth="1"/>
    <col min="66" max="66" width="20.7109375" style="13" customWidth="1"/>
    <col min="67" max="67" width="42.7109375" style="13" customWidth="1"/>
    <col min="68" max="68" width="17.7109375" style="13" customWidth="1"/>
    <col min="69" max="69" width="6.7109375" style="13" customWidth="1"/>
    <col min="70" max="70" width="10.7109375" style="13" customWidth="1"/>
    <col min="71" max="72" width="9.140625" style="13"/>
    <col min="73" max="74" width="7.7109375" style="13" customWidth="1"/>
    <col min="75" max="75" width="18.7109375" style="13" customWidth="1"/>
    <col min="76" max="76" width="12.7109375" style="13" customWidth="1"/>
    <col min="77" max="77" width="6.7109375" style="13" customWidth="1"/>
    <col min="78" max="78" width="18.7109375" style="13" customWidth="1"/>
    <col min="79" max="79" width="42.7109375" style="13" customWidth="1"/>
    <col min="80" max="80" width="20.7109375" style="13" customWidth="1"/>
    <col min="81" max="81" width="6.7109375" style="13" customWidth="1"/>
    <col min="82" max="82" width="10.7109375" style="13" customWidth="1"/>
    <col min="83" max="84" width="9.140625" style="13"/>
    <col min="85" max="86" width="7.7109375" style="13" customWidth="1"/>
    <col min="87" max="87" width="18.7109375" style="13" customWidth="1"/>
    <col min="88" max="88" width="12.7109375" style="13" customWidth="1"/>
    <col min="89" max="89" width="6.7109375" style="13" customWidth="1"/>
    <col min="90" max="90" width="18.7109375" style="13" customWidth="1"/>
    <col min="91" max="91" width="45.7109375" style="13" customWidth="1"/>
    <col min="92" max="92" width="20.7109375" style="13" customWidth="1"/>
    <col min="93" max="93" width="6.7109375" style="13" customWidth="1"/>
    <col min="94" max="94" width="10.7109375" style="13" customWidth="1"/>
    <col min="95" max="96" width="9.140625" style="13"/>
    <col min="97" max="98" width="7.7109375" style="13" customWidth="1"/>
    <col min="99" max="99" width="18.7109375" style="13" customWidth="1"/>
    <col min="100" max="100" width="12.7109375" style="13" customWidth="1"/>
    <col min="101" max="101" width="6.7109375" style="13" customWidth="1"/>
    <col min="102" max="102" width="18.7109375" style="13" customWidth="1"/>
    <col min="103" max="103" width="42.7109375" style="13" customWidth="1"/>
    <col min="104" max="16384" width="9.140625" style="13"/>
  </cols>
  <sheetData>
    <row r="1" spans="1:48" ht="69.95" customHeight="1" thickTop="1">
      <c r="A1" s="422" t="s">
        <v>710</v>
      </c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4"/>
      <c r="W1" s="121" t="s">
        <v>4</v>
      </c>
      <c r="X1" s="121" t="s">
        <v>1</v>
      </c>
      <c r="Y1" s="425" t="s">
        <v>0</v>
      </c>
      <c r="Z1" s="425"/>
      <c r="AA1" s="121" t="s">
        <v>2</v>
      </c>
      <c r="AB1" s="121" t="s">
        <v>3</v>
      </c>
      <c r="AC1" s="8"/>
      <c r="AD1" s="8"/>
      <c r="AE1" s="8"/>
      <c r="AF1" s="9"/>
      <c r="AG1" s="9"/>
      <c r="AH1" s="10"/>
      <c r="AI1" s="11"/>
      <c r="AJ1" s="12"/>
      <c r="AK1" s="7"/>
      <c r="AO1" s="14"/>
      <c r="AT1" s="14"/>
    </row>
    <row r="2" spans="1:48" ht="27" customHeight="1">
      <c r="A2" s="88" t="s">
        <v>6</v>
      </c>
      <c r="B2" s="90"/>
      <c r="C2" s="426">
        <f ca="1">NOW()</f>
        <v>41706.480305092591</v>
      </c>
      <c r="D2" s="426"/>
      <c r="E2" s="426"/>
      <c r="F2" s="426"/>
      <c r="G2" s="426"/>
      <c r="H2" s="427"/>
      <c r="I2" s="427"/>
      <c r="J2" s="428"/>
      <c r="K2" s="428"/>
      <c r="L2" s="429"/>
      <c r="M2" s="429"/>
      <c r="N2" s="429"/>
      <c r="O2" s="429"/>
      <c r="P2" s="429"/>
      <c r="Q2" s="429"/>
      <c r="R2" s="429"/>
      <c r="S2" s="429"/>
      <c r="T2" s="429"/>
      <c r="U2" s="89"/>
      <c r="V2" s="165"/>
      <c r="AC2" s="15"/>
      <c r="AD2" s="15"/>
      <c r="AE2" s="15"/>
      <c r="AF2" s="16"/>
      <c r="AG2" s="16"/>
      <c r="AH2" s="7"/>
      <c r="AI2" s="17"/>
      <c r="AJ2" s="18"/>
      <c r="AK2" s="137"/>
      <c r="AO2" s="14"/>
    </row>
    <row r="3" spans="1:48" ht="27" customHeight="1" thickBot="1">
      <c r="A3" s="88" t="s">
        <v>8</v>
      </c>
      <c r="B3" s="90"/>
      <c r="C3" s="417">
        <f ca="1">INT(((NOW()/365.255)-(YEAR(NOW())-1900))*365.255)</f>
        <v>67</v>
      </c>
      <c r="D3" s="417"/>
      <c r="E3" s="417"/>
      <c r="F3" s="417"/>
      <c r="G3" s="417"/>
      <c r="H3" s="120"/>
      <c r="I3" s="120"/>
      <c r="J3" s="78"/>
      <c r="K3" s="78"/>
      <c r="L3" s="78"/>
      <c r="M3" s="78"/>
      <c r="N3" s="78"/>
      <c r="O3" s="78"/>
      <c r="P3" s="79"/>
      <c r="Q3" s="79"/>
      <c r="R3" s="80"/>
      <c r="S3" s="81"/>
      <c r="T3" s="77"/>
      <c r="U3" s="77"/>
      <c r="V3" s="277">
        <v>24</v>
      </c>
      <c r="AC3" s="15"/>
      <c r="AD3" s="15"/>
      <c r="AE3" s="19"/>
      <c r="AF3" s="16"/>
      <c r="AG3" s="16"/>
      <c r="AH3" s="20"/>
      <c r="AI3" s="21"/>
      <c r="AJ3" s="18"/>
      <c r="AK3" s="137"/>
    </row>
    <row r="4" spans="1:48" s="30" customFormat="1" ht="27" customHeight="1" thickTop="1">
      <c r="A4" s="139" t="s">
        <v>9</v>
      </c>
      <c r="B4" s="418" t="s">
        <v>632</v>
      </c>
      <c r="C4" s="420" t="s">
        <v>633</v>
      </c>
      <c r="D4" s="420" t="s">
        <v>707</v>
      </c>
      <c r="E4" s="420" t="s">
        <v>10</v>
      </c>
      <c r="F4" s="420" t="s">
        <v>97</v>
      </c>
      <c r="G4" s="407">
        <v>50</v>
      </c>
      <c r="H4" s="407">
        <v>125</v>
      </c>
      <c r="I4" s="407">
        <v>250</v>
      </c>
      <c r="J4" s="407">
        <v>500</v>
      </c>
      <c r="K4" s="409" t="s">
        <v>91</v>
      </c>
      <c r="L4" s="410"/>
      <c r="M4" s="410"/>
      <c r="N4" s="410"/>
      <c r="O4" s="410"/>
      <c r="P4" s="410"/>
      <c r="Q4" s="410"/>
      <c r="R4" s="413" t="s">
        <v>96</v>
      </c>
      <c r="S4" s="413"/>
      <c r="T4" s="415" t="s">
        <v>7</v>
      </c>
      <c r="U4" s="415"/>
      <c r="V4" s="141" t="s">
        <v>691</v>
      </c>
      <c r="W4" s="13"/>
      <c r="X4" s="13"/>
      <c r="Y4" s="13"/>
      <c r="Z4" s="13"/>
      <c r="AA4" s="13"/>
      <c r="AB4" s="13"/>
      <c r="AC4" s="13"/>
      <c r="AD4" s="13"/>
      <c r="AE4" s="2"/>
      <c r="AF4" s="13"/>
      <c r="AG4" s="13"/>
      <c r="AH4" s="13"/>
      <c r="AI4" s="13"/>
      <c r="AJ4" s="13"/>
      <c r="AK4" s="13"/>
      <c r="AL4" s="13"/>
      <c r="AM4" s="13"/>
      <c r="AN4" s="23"/>
      <c r="AO4" s="23"/>
      <c r="AP4" s="25"/>
      <c r="AQ4" s="26"/>
      <c r="AR4" s="26"/>
      <c r="AS4" s="27"/>
      <c r="AT4" s="28"/>
      <c r="AU4" s="29"/>
      <c r="AV4" s="137"/>
    </row>
    <row r="5" spans="1:48" s="30" customFormat="1" ht="27" customHeight="1" thickBot="1">
      <c r="A5" s="140" t="s">
        <v>90</v>
      </c>
      <c r="B5" s="419"/>
      <c r="C5" s="421"/>
      <c r="D5" s="421"/>
      <c r="E5" s="421"/>
      <c r="F5" s="421"/>
      <c r="G5" s="408"/>
      <c r="H5" s="408"/>
      <c r="I5" s="408"/>
      <c r="J5" s="408"/>
      <c r="K5" s="411"/>
      <c r="L5" s="412"/>
      <c r="M5" s="412"/>
      <c r="N5" s="412"/>
      <c r="O5" s="412"/>
      <c r="P5" s="412"/>
      <c r="Q5" s="412"/>
      <c r="R5" s="414"/>
      <c r="S5" s="414"/>
      <c r="T5" s="416" t="s">
        <v>590</v>
      </c>
      <c r="U5" s="416"/>
      <c r="V5" s="142" t="s">
        <v>588</v>
      </c>
      <c r="W5" s="13"/>
      <c r="X5" s="13"/>
      <c r="Y5" s="13"/>
      <c r="Z5" s="13"/>
      <c r="AA5" s="13"/>
      <c r="AB5" s="13"/>
      <c r="AC5" s="13"/>
      <c r="AD5" s="13"/>
      <c r="AE5" s="2"/>
      <c r="AF5" s="13"/>
      <c r="AG5" s="13"/>
      <c r="AH5" s="13"/>
      <c r="AI5" s="13"/>
      <c r="AJ5" s="13"/>
      <c r="AK5" s="13"/>
      <c r="AL5" s="13"/>
      <c r="AM5" s="13"/>
      <c r="AN5" s="31"/>
      <c r="AO5" s="31"/>
      <c r="AP5" s="32"/>
      <c r="AQ5" s="33"/>
      <c r="AR5" s="33"/>
      <c r="AS5" s="27"/>
      <c r="AT5" s="34"/>
      <c r="AU5" s="35"/>
      <c r="AV5" s="137"/>
    </row>
    <row r="6" spans="1:48" s="30" customFormat="1" ht="54" customHeight="1" thickTop="1" thickBot="1">
      <c r="A6" s="396" t="s">
        <v>696</v>
      </c>
      <c r="B6" s="397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8"/>
      <c r="W6" s="13"/>
      <c r="X6" s="13"/>
      <c r="Y6" s="13"/>
      <c r="Z6" s="13"/>
      <c r="AA6" s="13"/>
      <c r="AB6" s="13"/>
      <c r="AC6" s="13"/>
      <c r="AD6" s="13"/>
      <c r="AE6" s="2"/>
      <c r="AF6" s="13"/>
      <c r="AG6" s="13"/>
      <c r="AH6" s="13"/>
      <c r="AI6" s="13"/>
      <c r="AJ6" s="13"/>
      <c r="AK6" s="13"/>
      <c r="AL6" s="13"/>
      <c r="AM6" s="13"/>
      <c r="AN6" s="31"/>
      <c r="AO6" s="31"/>
      <c r="AP6" s="32"/>
      <c r="AQ6" s="33"/>
      <c r="AR6" s="33"/>
      <c r="AS6" s="27"/>
      <c r="AT6" s="34"/>
      <c r="AU6" s="35"/>
      <c r="AV6" s="137"/>
    </row>
    <row r="7" spans="1:48" s="30" customFormat="1" ht="27" customHeight="1">
      <c r="A7" s="404" t="s">
        <v>762</v>
      </c>
      <c r="B7" s="405" t="str">
        <f>VLOOKUP(A9,'V_GEN-READINESS'!1:1048576,27,)</f>
        <v>FMC</v>
      </c>
      <c r="C7" s="389" t="s">
        <v>5</v>
      </c>
      <c r="D7" s="182" t="s">
        <v>1167</v>
      </c>
      <c r="E7" s="358">
        <f>GETPIVOTDATA("EI_BEG_AGE",'HOUR PIVOT'!A3,"EI_ID",A9)</f>
        <v>5314.7</v>
      </c>
      <c r="F7" s="381">
        <f>SUM(GETPIVOTDATA("INSP_DATE",'D PIVOT'!$A$3,"SYS_CODE","A","INSP_NO",261,"EI_ID",A9)+270)</f>
        <v>41763</v>
      </c>
      <c r="G7" s="358">
        <f>SUM((MIN(GETPIVOTDATA("INSP_VAL",'H PIVOT'!A3,"SYS_CODE","A","INSP_NO",41,"EI_ID",A9), (GETPIVOTDATA("INSP_VAL",'H PIVOT'!A3,"SYS_CODE","A","INSP_NO",130,"EI_ID",A9)), (GETPIVOTDATA("INSP_VAL",'H PIVOT'!A3,"SYS_CODE","A","INSP_NO",135,"EI_ID",A9)), (GETPIVOTDATA("INSP_VAL",'H PIVOT'!A3,"SYS_CODE","A","INSP_NO",145,"EI_ID",A9)))+50)-E7)</f>
        <v>50.199907407407409</v>
      </c>
      <c r="H7" s="358">
        <f>SUM((MIN(GETPIVOTDATA("INSP_VAL",'H PIVOT'!A3,"SYS_CODE","A","INSP_NO",195,"EI_ID",A9), (GETPIVOTDATA("INSP_VAL",'H PIVOT'!A3,"SYS_CODE","A","INSP_NO",198,"EI_ID",A9)), (GETPIVOTDATA("INSP_VAL",'H PIVOT'!A3,"SYS_CODE","A","INSP_NO",200,"EI_ID",A9)), (GETPIVOTDATA("INSP_VAL",'H PIVOT'!A3,"SYS_CODE","A","INSP_NO",224,"EI_ID",A9)))+125)-E7)</f>
        <v>26.900092592592955</v>
      </c>
      <c r="I7" s="358">
        <f>SUM((MIN(GETPIVOTDATA("INSP_VAL",'H PIVOT'!A3,"SYS_CODE","A","INSP_NO",223,"EI_ID",A9), (GETPIVOTDATA("INSP_VAL",'H PIVOT'!A3,"SYS_CODE","A","INSP_NO",231,"EI_ID",A9)), (GETPIVOTDATA("INSP_VAL",'H PIVOT'!A3,"SYS_CODE","A","INSP_NO",234,"EI_ID",A9)), (GETPIVOTDATA("INSP_VAL",'H PIVOT'!A3,"SYS_CODE","A","INSP_NO",261,"EI_ID",A9)),(GETPIVOTDATA("INSP_VAL",'H PIVOT'!A3,"SYS_CODE","A","INSP_NO",270,"EI_ID",A9)),(GETPIVOTDATA("INSP_VAL",'H PIVOT'!A3,"SYS_CODE","A","INSP_NO",275,"EI_ID",A9)),(GETPIVOTDATA("INSP_VAL",'H PIVOT'!A3,"SYS_CODE","A","INSP_NO",290,"EI_ID",A9)),(GETPIVOTDATA("INSP_VAL",'H PIVOT'!A3,"SYS_CODE","A","INSP_NO",295,"EI_ID",A9)),(GETPIVOTDATA("INSP_VAL",'H PIVOT'!A3,"SYS_CODE","A","INSP_NO",300,"EI_ID",A9)),(GETPIVOTDATA("INSP_VAL",'H PIVOT'!A3,"SYS_CODE","A","INSP_NO",465,"EI_ID",A9)),(GETPIVOTDATA("INSP_VAL",'H PIVOT'!A3,"SYS_CODE","A","INSP_NO",757,"EI_ID",A9)))+250)-E7)</f>
        <v>146.90009259259296</v>
      </c>
      <c r="J7" s="361">
        <f>SUM((MIN(GETPIVOTDATA("INSP_VAL",'H PIVOT'!A3,"SYS_CODE","A","INSP_NO",226,"EI_ID",A9), (GETPIVOTDATA("INSP_VAL",'H PIVOT'!A3,"SYS_CODE","A","INSP_NO",230,"EI_ID",A9)), (GETPIVOTDATA("INSP_VAL",'H PIVOT'!A3,"SYS_CODE","A","INSP_NO",400,"EI_ID",A9)), (GETPIVOTDATA("INSP_VAL",'H PIVOT'!A3,"SYS_CODE","A","INSP_NO",755,"EI_ID",A9)))+500)-E7)</f>
        <v>396.90009259259296</v>
      </c>
      <c r="K7" s="368"/>
      <c r="L7" s="369"/>
      <c r="M7" s="369"/>
      <c r="N7" s="369"/>
      <c r="O7" s="369"/>
      <c r="P7" s="369"/>
      <c r="Q7" s="369"/>
      <c r="R7" s="370"/>
      <c r="S7" s="371"/>
      <c r="T7" s="106"/>
      <c r="U7" s="106"/>
      <c r="V7" s="160">
        <f>IF(B7="FMC",0,VLOOKUP(A9,'V_GEN-READINESS'!1:1048576,17,FALSE))</f>
        <v>0</v>
      </c>
      <c r="W7" s="13"/>
      <c r="X7" s="13"/>
      <c r="Y7" s="13"/>
      <c r="Z7" s="13"/>
      <c r="AA7" s="13"/>
      <c r="AB7" s="13"/>
      <c r="AC7" s="13"/>
      <c r="AD7" s="13"/>
      <c r="AE7" s="2"/>
      <c r="AF7" s="13"/>
      <c r="AG7" s="13"/>
      <c r="AH7" s="13"/>
      <c r="AI7" s="13"/>
      <c r="AJ7" s="13"/>
      <c r="AK7" s="13"/>
      <c r="AL7" s="13"/>
      <c r="AM7" s="13"/>
      <c r="AN7" s="23"/>
      <c r="AO7" s="23"/>
      <c r="AP7" s="25"/>
      <c r="AQ7" s="26"/>
      <c r="AR7" s="26"/>
      <c r="AS7" s="36"/>
      <c r="AT7" s="37"/>
      <c r="AU7" s="38"/>
      <c r="AV7" s="137"/>
    </row>
    <row r="8" spans="1:48" s="30" customFormat="1" ht="27" customHeight="1">
      <c r="A8" s="374"/>
      <c r="B8" s="406"/>
      <c r="C8" s="378"/>
      <c r="D8" s="179" t="s">
        <v>1187</v>
      </c>
      <c r="E8" s="358"/>
      <c r="F8" s="381"/>
      <c r="G8" s="358"/>
      <c r="H8" s="358"/>
      <c r="I8" s="358"/>
      <c r="J8" s="361"/>
      <c r="K8" s="368"/>
      <c r="L8" s="369"/>
      <c r="M8" s="369"/>
      <c r="N8" s="369"/>
      <c r="O8" s="369"/>
      <c r="P8" s="369"/>
      <c r="Q8" s="369"/>
      <c r="R8" s="370"/>
      <c r="S8" s="371"/>
      <c r="T8" s="106"/>
      <c r="U8" s="106"/>
      <c r="V8" s="105">
        <f ca="1">C2-V7</f>
        <v>41706.480305092591</v>
      </c>
      <c r="W8" s="13"/>
      <c r="X8" s="13"/>
      <c r="Y8" s="13"/>
      <c r="Z8" s="13"/>
      <c r="AA8" s="13"/>
      <c r="AB8" s="13"/>
      <c r="AC8" s="13"/>
      <c r="AD8" s="13"/>
      <c r="AE8" s="2"/>
      <c r="AF8" s="13"/>
      <c r="AG8" s="13"/>
      <c r="AH8" s="13"/>
      <c r="AI8" s="13"/>
      <c r="AJ8" s="13"/>
      <c r="AK8" s="13"/>
      <c r="AL8" s="13"/>
      <c r="AM8" s="13"/>
      <c r="AN8" s="31"/>
      <c r="AO8" s="31"/>
      <c r="AP8" s="32"/>
      <c r="AQ8" s="26"/>
      <c r="AR8" s="26"/>
      <c r="AS8" s="36"/>
      <c r="AT8" s="39"/>
      <c r="AU8" s="40"/>
      <c r="AV8" s="137"/>
    </row>
    <row r="9" spans="1:48" s="30" customFormat="1" ht="27" customHeight="1">
      <c r="A9" s="111" t="s">
        <v>748</v>
      </c>
      <c r="B9" s="384">
        <f>VLOOKUP(A9,'MIG SQL (MIG_LOG)'!1:1048576,4,FALSE)</f>
        <v>41703.639618055553</v>
      </c>
      <c r="C9" s="384"/>
      <c r="D9" s="131"/>
      <c r="E9" s="379"/>
      <c r="F9" s="390"/>
      <c r="G9" s="379"/>
      <c r="H9" s="379"/>
      <c r="I9" s="379"/>
      <c r="J9" s="383"/>
      <c r="K9" s="368"/>
      <c r="L9" s="369"/>
      <c r="M9" s="369"/>
      <c r="N9" s="369"/>
      <c r="O9" s="369"/>
      <c r="P9" s="369"/>
      <c r="Q9" s="403"/>
      <c r="R9" s="391"/>
      <c r="S9" s="369"/>
      <c r="T9" s="122"/>
      <c r="U9" s="122"/>
      <c r="V9" s="107"/>
      <c r="W9" s="13"/>
      <c r="X9" s="13"/>
      <c r="Y9" s="13"/>
      <c r="Z9" s="13"/>
      <c r="AA9" s="13"/>
      <c r="AB9" s="13"/>
      <c r="AC9" s="13"/>
      <c r="AD9" s="13"/>
      <c r="AE9" s="2"/>
      <c r="AF9" s="13"/>
      <c r="AG9" s="13"/>
      <c r="AH9" s="13"/>
      <c r="AI9" s="13"/>
      <c r="AJ9" s="13"/>
      <c r="AK9" s="13"/>
      <c r="AL9" s="13"/>
      <c r="AM9" s="13"/>
      <c r="AN9" s="23"/>
      <c r="AO9" s="23"/>
      <c r="AP9" s="25"/>
      <c r="AQ9" s="41"/>
      <c r="AR9" s="41"/>
      <c r="AS9" s="42"/>
      <c r="AT9" s="37"/>
      <c r="AU9" s="35"/>
      <c r="AV9" s="137"/>
    </row>
    <row r="10" spans="1:48" s="30" customFormat="1" ht="27" customHeight="1">
      <c r="A10" s="373" t="s">
        <v>1052</v>
      </c>
      <c r="B10" s="375" t="str">
        <f>VLOOKUP(A12,'V_GEN-READINESS'!1:1048576,27,)</f>
        <v>NMCM</v>
      </c>
      <c r="C10" s="377" t="s">
        <v>5</v>
      </c>
      <c r="D10" s="181" t="s">
        <v>1167</v>
      </c>
      <c r="E10" s="357">
        <f>GETPIVOTDATA("EI_BEG_AGE",'HOUR PIVOT'!A3,"EI_ID",A12)</f>
        <v>3973.9</v>
      </c>
      <c r="F10" s="381">
        <f>SUM(GETPIVOTDATA("INSP_DATE",'D PIVOT'!$A$3,"SYS_CODE","A","INSP_NO",261,"EI_ID",A12)+270)</f>
        <v>41783</v>
      </c>
      <c r="G10" s="357">
        <f>SUM((MIN(GETPIVOTDATA("INSP_VAL",'H PIVOT'!A3,"SYS_CODE","A","INSP_NO",41,"EI_ID",A12), (GETPIVOTDATA("INSP_VAL",'H PIVOT'!A3,"SYS_CODE","A","INSP_NO",130,"EI_ID",A12)), (GETPIVOTDATA("INSP_VAL",'H PIVOT'!A3,"SYS_CODE","A","INSP_NO",135,"EI_ID",A12)), (GETPIVOTDATA("INSP_VAL",'H PIVOT'!A3,"SYS_CODE","A","INSP_NO",145,"EI_ID",A12)))+50)-E10)</f>
        <v>15.200092592592682</v>
      </c>
      <c r="H10" s="357">
        <f>SUM((MIN(GETPIVOTDATA("INSP_VAL",'H PIVOT'!A3,"SYS_CODE","A","INSP_NO",195,"EI_ID",A12), (GETPIVOTDATA("INSP_VAL",'H PIVOT'!A3,"SYS_CODE","A","INSP_NO",198,"EI_ID",A12)), (GETPIVOTDATA("INSP_VAL",'H PIVOT'!A3,"SYS_CODE","A","INSP_NO",200,"EI_ID",A12)), (GETPIVOTDATA("INSP_VAL",'H PIVOT'!A3,"SYS_CODE","A","INSP_NO",224,"EI_ID",A12)))+125)-E10)</f>
        <v>41.599999999999909</v>
      </c>
      <c r="I10" s="357">
        <f>SUM((MIN(GETPIVOTDATA("INSP_VAL",'H PIVOT'!A3,"SYS_CODE","A","INSP_NO",223,"EI_ID",A12), (GETPIVOTDATA("INSP_VAL",'H PIVOT'!A3,"SYS_CODE","A","INSP_NO",231,"EI_ID",A12)), (GETPIVOTDATA("INSP_VAL",'H PIVOT'!A3,"SYS_CODE","A","INSP_NO",234,"EI_ID",A12)), (GETPIVOTDATA("INSP_VAL",'H PIVOT'!A3,"SYS_CODE","A","INSP_NO",261,"EI_ID",A12)),(GETPIVOTDATA("INSP_VAL",'H PIVOT'!A3,"SYS_CODE","A","INSP_NO",270,"EI_ID",A12)),(GETPIVOTDATA("INSP_VAL",'H PIVOT'!A3,"SYS_CODE","A","INSP_NO",275,"EI_ID",A12)),(GETPIVOTDATA("INSP_VAL",'H PIVOT'!A3,"SYS_CODE","A","INSP_NO",290,"EI_ID",A12)),(GETPIVOTDATA("INSP_VAL",'H PIVOT'!A3,"SYS_CODE","A","INSP_NO",295,"EI_ID",A12)),(GETPIVOTDATA("INSP_VAL",'H PIVOT'!A3,"SYS_CODE","A","INSP_NO",300,"EI_ID",A12)),(GETPIVOTDATA("INSP_VAL",'H PIVOT'!A3,"SYS_CODE","A","INSP_NO",465,"EI_ID",A12)),(GETPIVOTDATA("INSP_VAL",'H PIVOT'!A3,"SYS_CODE","A","INSP_NO",757,"EI_ID",A12)))+250)-E10)</f>
        <v>166.79995370370352</v>
      </c>
      <c r="J10" s="360">
        <f>SUM((MIN(GETPIVOTDATA("INSP_VAL",'H PIVOT'!A3,"SYS_CODE","A","INSP_NO",226,"EI_ID",A12), (GETPIVOTDATA("INSP_VAL",'H PIVOT'!A3,"SYS_CODE","A","INSP_NO",230,"EI_ID",A12)), (GETPIVOTDATA("INSP_VAL",'H PIVOT'!A3,"SYS_CODE","A","INSP_NO",400,"EI_ID",A12)), (GETPIVOTDATA("INSP_VAL",'H PIVOT'!A3,"SYS_CODE","A","INSP_NO",755,"EI_ID",A12)))+500)-E10)</f>
        <v>172.20009259259268</v>
      </c>
      <c r="K10" s="363"/>
      <c r="L10" s="364"/>
      <c r="M10" s="364"/>
      <c r="N10" s="364"/>
      <c r="O10" s="364"/>
      <c r="P10" s="364"/>
      <c r="Q10" s="364"/>
      <c r="R10" s="366"/>
      <c r="S10" s="367"/>
      <c r="T10" s="112"/>
      <c r="U10" s="112"/>
      <c r="V10" s="161">
        <f>IF(B10="FMC",0,VLOOKUP(A12,'V_GEN-READINESS'!1:1048576,17,FALSE))</f>
        <v>41695</v>
      </c>
      <c r="W10" s="13"/>
      <c r="X10" s="13"/>
      <c r="Y10" s="13"/>
      <c r="Z10" s="13"/>
      <c r="AA10" s="13"/>
      <c r="AB10" s="13"/>
      <c r="AC10" s="13"/>
      <c r="AD10" s="13"/>
      <c r="AE10" s="2"/>
      <c r="AF10" s="13"/>
      <c r="AG10" s="13"/>
      <c r="AH10" s="13"/>
      <c r="AI10" s="13"/>
      <c r="AJ10" s="13"/>
      <c r="AK10" s="13"/>
      <c r="AL10" s="13"/>
      <c r="AM10" s="13"/>
      <c r="AN10" s="23"/>
      <c r="AO10" s="23"/>
      <c r="AP10" s="25"/>
      <c r="AQ10" s="44"/>
      <c r="AR10" s="44"/>
      <c r="AS10" s="45"/>
      <c r="AT10" s="37"/>
      <c r="AU10" s="38"/>
      <c r="AV10" s="137"/>
    </row>
    <row r="11" spans="1:48" s="30" customFormat="1" ht="27" customHeight="1">
      <c r="A11" s="374"/>
      <c r="B11" s="376"/>
      <c r="C11" s="378"/>
      <c r="D11" s="179" t="s">
        <v>1187</v>
      </c>
      <c r="E11" s="358"/>
      <c r="F11" s="381"/>
      <c r="G11" s="358"/>
      <c r="H11" s="358"/>
      <c r="I11" s="358"/>
      <c r="J11" s="361"/>
      <c r="K11" s="368"/>
      <c r="L11" s="369"/>
      <c r="M11" s="369"/>
      <c r="N11" s="369"/>
      <c r="O11" s="369"/>
      <c r="P11" s="369"/>
      <c r="Q11" s="369"/>
      <c r="R11" s="370"/>
      <c r="S11" s="371"/>
      <c r="T11" s="106"/>
      <c r="U11" s="106"/>
      <c r="V11" s="105">
        <f ca="1">C2-V10</f>
        <v>11.480305092591152</v>
      </c>
      <c r="W11" s="13"/>
      <c r="X11" s="13"/>
      <c r="Y11" s="13"/>
      <c r="Z11" s="13"/>
      <c r="AA11" s="13"/>
      <c r="AB11" s="13"/>
      <c r="AC11" s="13"/>
      <c r="AD11" s="13"/>
      <c r="AE11" s="2"/>
      <c r="AF11" s="13"/>
      <c r="AG11" s="13"/>
      <c r="AH11" s="13"/>
      <c r="AI11" s="13"/>
      <c r="AJ11" s="13"/>
      <c r="AK11" s="13"/>
      <c r="AL11" s="13"/>
      <c r="AM11" s="13"/>
      <c r="AN11" s="31"/>
      <c r="AO11" s="31"/>
      <c r="AP11" s="32"/>
      <c r="AQ11" s="44"/>
      <c r="AR11" s="44"/>
      <c r="AS11" s="46"/>
      <c r="AT11" s="34"/>
      <c r="AU11" s="35"/>
      <c r="AV11" s="137"/>
    </row>
    <row r="12" spans="1:48" s="30" customFormat="1" ht="27" customHeight="1">
      <c r="A12" s="111" t="s">
        <v>750</v>
      </c>
      <c r="B12" s="384">
        <f>VLOOKUP(A12,'MIG SQL (MIG_LOG)'!1:1048576,4,FALSE)</f>
        <v>41703.640092592592</v>
      </c>
      <c r="C12" s="384"/>
      <c r="D12" s="131"/>
      <c r="E12" s="379"/>
      <c r="F12" s="390"/>
      <c r="G12" s="379"/>
      <c r="H12" s="379"/>
      <c r="I12" s="379"/>
      <c r="J12" s="383"/>
      <c r="K12" s="385"/>
      <c r="L12" s="386"/>
      <c r="M12" s="386"/>
      <c r="N12" s="386"/>
      <c r="O12" s="386"/>
      <c r="P12" s="386"/>
      <c r="Q12" s="386"/>
      <c r="R12" s="394"/>
      <c r="S12" s="395"/>
      <c r="T12" s="124"/>
      <c r="U12" s="124"/>
      <c r="V12" s="113"/>
      <c r="W12" s="13"/>
      <c r="X12" s="13"/>
      <c r="Y12" s="13"/>
      <c r="Z12" s="13"/>
      <c r="AA12" s="13"/>
      <c r="AB12" s="13"/>
      <c r="AC12" s="13"/>
      <c r="AD12" s="13"/>
      <c r="AE12" s="2"/>
      <c r="AF12" s="13"/>
      <c r="AG12" s="13"/>
      <c r="AH12" s="13"/>
      <c r="AI12" s="13"/>
      <c r="AJ12" s="13"/>
      <c r="AK12" s="13"/>
      <c r="AL12" s="13"/>
      <c r="AM12" s="13"/>
      <c r="AN12" s="23"/>
      <c r="AO12" s="23"/>
      <c r="AP12" s="25"/>
      <c r="AQ12" s="33"/>
      <c r="AR12" s="33"/>
      <c r="AS12" s="42"/>
      <c r="AT12" s="37"/>
      <c r="AU12" s="38"/>
      <c r="AV12" s="137"/>
    </row>
    <row r="13" spans="1:48" s="30" customFormat="1" ht="27" customHeight="1">
      <c r="A13" s="373" t="s">
        <v>1053</v>
      </c>
      <c r="B13" s="375" t="str">
        <f>VLOOKUP(A15,'V_GEN-READINESS'!1:1048576,27,)</f>
        <v>FMC</v>
      </c>
      <c r="C13" s="377" t="s">
        <v>5</v>
      </c>
      <c r="D13" s="181" t="s">
        <v>1167</v>
      </c>
      <c r="E13" s="357">
        <f>GETPIVOTDATA("EI_BEG_AGE",'HOUR PIVOT'!A3,"EI_ID",A15)</f>
        <v>4733.5</v>
      </c>
      <c r="F13" s="381">
        <f>SUM(GETPIVOTDATA("INSP_DATE",'D PIVOT'!$A$3,"SYS_CODE","A","INSP_NO",261,"EI_ID",A15)+270)</f>
        <v>41742</v>
      </c>
      <c r="G13" s="357">
        <f>SUM((MIN(GETPIVOTDATA("INSP_VAL",'H PIVOT'!A3,"SYS_CODE","A","INSP_NO",41,"EI_ID",A15), (GETPIVOTDATA("INSP_VAL",'H PIVOT'!A3,"SYS_CODE","A","INSP_NO",130,"EI_ID",A15)), (GETPIVOTDATA("INSP_VAL",'H PIVOT'!A3,"SYS_CODE","A","INSP_NO",135,"EI_ID",A15)), (GETPIVOTDATA("INSP_VAL",'H PIVOT'!A3,"SYS_CODE","A","INSP_NO",145,"EI_ID",A15)))+50)-E13)</f>
        <v>48.399907407407227</v>
      </c>
      <c r="H13" s="357">
        <f>SUM((MIN(GETPIVOTDATA("INSP_VAL",'H PIVOT'!A3,"SYS_CODE","A","INSP_NO",195,"EI_ID",A15), (GETPIVOTDATA("INSP_VAL",'H PIVOT'!A3,"SYS_CODE","A","INSP_NO",198,"EI_ID",A15)), (GETPIVOTDATA("INSP_VAL",'H PIVOT'!A3,"SYS_CODE","A","INSP_NO",200,"EI_ID",A15)), (GETPIVOTDATA("INSP_VAL",'H PIVOT'!A3,"SYS_CODE","A","INSP_NO",224,"EI_ID",A15)))+125)-E13)</f>
        <v>95.200196759259597</v>
      </c>
      <c r="I13" s="357">
        <f>SUM((MIN(GETPIVOTDATA("INSP_VAL",'H PIVOT'!A3,"SYS_CODE","A","INSP_NO",223,"EI_ID",A15), (GETPIVOTDATA("INSP_VAL",'H PIVOT'!A3,"SYS_CODE","A","INSP_NO",231,"EI_ID",A15)), (GETPIVOTDATA("INSP_VAL",'H PIVOT'!A3,"SYS_CODE","A","INSP_NO",234,"EI_ID",A15)), (GETPIVOTDATA("INSP_VAL",'H PIVOT'!A3,"SYS_CODE","A","INSP_NO",261,"EI_ID",A15)),(GETPIVOTDATA("INSP_VAL",'H PIVOT'!A3,"SYS_CODE","A","INSP_NO",270,"EI_ID",A15)),(GETPIVOTDATA("INSP_VAL",'H PIVOT'!A3,"SYS_CODE","A","INSP_NO",275,"EI_ID",A15)),(GETPIVOTDATA("INSP_VAL",'H PIVOT'!A3,"SYS_CODE","A","INSP_NO",290,"EI_ID",A15)),(GETPIVOTDATA("INSP_VAL",'H PIVOT'!A3,"SYS_CODE","A","INSP_NO",295,"EI_ID",A15)),(GETPIVOTDATA("INSP_VAL",'H PIVOT'!A3,"SYS_CODE","A","INSP_NO",300,"EI_ID",A15)),(GETPIVOTDATA("INSP_VAL",'H PIVOT'!A3,"SYS_CODE","A","INSP_NO",465,"EI_ID",A15)),(GETPIVOTDATA("INSP_VAL",'H PIVOT'!A3,"SYS_CODE","A","INSP_NO",757,"EI_ID",A15)))+250)-E13)</f>
        <v>95.200196759259597</v>
      </c>
      <c r="J13" s="360">
        <f>SUM((MIN(GETPIVOTDATA("INSP_VAL",'H PIVOT'!A3,"SYS_CODE","A","INSP_NO",226,"EI_ID",A15), (GETPIVOTDATA("INSP_VAL",'H PIVOT'!A3,"SYS_CODE","A","INSP_NO",230,"EI_ID",A15)), (GETPIVOTDATA("INSP_VAL",'H PIVOT'!A3,"SYS_CODE","A","INSP_NO",400,"EI_ID",A15)), (GETPIVOTDATA("INSP_VAL",'H PIVOT'!A3,"SYS_CODE","A","INSP_NO",755,"EI_ID",A15)))+500)-E13)</f>
        <v>345.2001967592596</v>
      </c>
      <c r="K13" s="368"/>
      <c r="L13" s="369"/>
      <c r="M13" s="369"/>
      <c r="N13" s="369"/>
      <c r="O13" s="369"/>
      <c r="P13" s="369"/>
      <c r="Q13" s="369"/>
      <c r="R13" s="370"/>
      <c r="S13" s="371"/>
      <c r="T13" s="106"/>
      <c r="U13" s="106"/>
      <c r="V13" s="160">
        <f>IF(B13="FMC",0,VLOOKUP(A15,'V_GEN-READINESS'!1:1048576,17,FALSE))</f>
        <v>0</v>
      </c>
      <c r="W13" s="13"/>
      <c r="X13" s="13"/>
      <c r="Y13" s="13"/>
      <c r="Z13" s="13"/>
      <c r="AA13" s="13"/>
      <c r="AB13" s="13"/>
      <c r="AC13" s="13"/>
      <c r="AD13" s="13"/>
      <c r="AE13" s="2"/>
      <c r="AF13" s="13"/>
      <c r="AG13" s="13"/>
      <c r="AH13" s="13"/>
      <c r="AI13" s="13"/>
      <c r="AJ13" s="13"/>
      <c r="AK13" s="13"/>
      <c r="AL13" s="13"/>
      <c r="AM13" s="13"/>
      <c r="AN13" s="23"/>
      <c r="AO13" s="23"/>
      <c r="AP13" s="25"/>
      <c r="AQ13" s="44"/>
      <c r="AR13" s="44"/>
      <c r="AS13" s="36"/>
      <c r="AT13" s="37"/>
      <c r="AU13" s="38"/>
      <c r="AV13" s="137"/>
    </row>
    <row r="14" spans="1:48" s="30" customFormat="1" ht="27" customHeight="1">
      <c r="A14" s="374"/>
      <c r="B14" s="376"/>
      <c r="C14" s="378"/>
      <c r="D14" s="179" t="s">
        <v>1187</v>
      </c>
      <c r="E14" s="358"/>
      <c r="F14" s="381"/>
      <c r="G14" s="358"/>
      <c r="H14" s="358"/>
      <c r="I14" s="358"/>
      <c r="J14" s="361"/>
      <c r="K14" s="368"/>
      <c r="L14" s="369"/>
      <c r="M14" s="369"/>
      <c r="N14" s="369"/>
      <c r="O14" s="369"/>
      <c r="P14" s="369"/>
      <c r="Q14" s="369"/>
      <c r="R14" s="370"/>
      <c r="S14" s="371"/>
      <c r="T14" s="106"/>
      <c r="U14" s="106"/>
      <c r="V14" s="105">
        <f ca="1">C2-V13</f>
        <v>41706.480305092591</v>
      </c>
      <c r="W14" s="13"/>
      <c r="X14" s="13"/>
      <c r="Y14" s="13"/>
      <c r="Z14" s="13"/>
      <c r="AA14" s="13"/>
      <c r="AB14" s="13"/>
      <c r="AC14" s="13"/>
      <c r="AD14" s="13"/>
      <c r="AE14" s="2"/>
      <c r="AF14" s="13"/>
      <c r="AG14" s="13"/>
      <c r="AH14" s="13"/>
      <c r="AI14" s="13"/>
      <c r="AJ14" s="13"/>
      <c r="AK14" s="13"/>
      <c r="AL14" s="13"/>
      <c r="AM14" s="13"/>
      <c r="AN14" s="31"/>
      <c r="AO14" s="31"/>
      <c r="AP14" s="32"/>
      <c r="AQ14" s="47"/>
      <c r="AR14" s="47"/>
      <c r="AS14" s="36"/>
      <c r="AT14" s="37"/>
      <c r="AU14" s="38"/>
      <c r="AV14" s="137"/>
    </row>
    <row r="15" spans="1:48" s="30" customFormat="1" ht="27" customHeight="1">
      <c r="A15" s="111" t="s">
        <v>752</v>
      </c>
      <c r="B15" s="384">
        <f>VLOOKUP(A15,'MIG SQL (MIG_LOG)'!1:1048576,4,FALSE)</f>
        <v>41703.640439814815</v>
      </c>
      <c r="C15" s="384"/>
      <c r="D15" s="131"/>
      <c r="E15" s="379"/>
      <c r="F15" s="390"/>
      <c r="G15" s="379"/>
      <c r="H15" s="379"/>
      <c r="I15" s="379"/>
      <c r="J15" s="383"/>
      <c r="K15" s="368"/>
      <c r="L15" s="369"/>
      <c r="M15" s="369"/>
      <c r="N15" s="369"/>
      <c r="O15" s="369"/>
      <c r="P15" s="369"/>
      <c r="Q15" s="369"/>
      <c r="R15" s="391"/>
      <c r="S15" s="369"/>
      <c r="T15" s="122"/>
      <c r="U15" s="122"/>
      <c r="V15" s="107"/>
      <c r="W15" s="13"/>
      <c r="X15" s="13"/>
      <c r="Y15" s="13"/>
      <c r="Z15" s="13"/>
      <c r="AA15" s="13"/>
      <c r="AB15" s="13"/>
      <c r="AC15" s="13"/>
      <c r="AD15" s="13"/>
      <c r="AE15" s="2"/>
      <c r="AF15" s="13"/>
      <c r="AG15" s="13"/>
      <c r="AH15" s="13"/>
      <c r="AI15" s="13"/>
      <c r="AJ15" s="13"/>
      <c r="AK15" s="13"/>
      <c r="AL15" s="13"/>
      <c r="AM15" s="13"/>
      <c r="AN15" s="23"/>
      <c r="AO15" s="23"/>
      <c r="AP15" s="25"/>
      <c r="AQ15" s="41"/>
      <c r="AR15" s="41"/>
      <c r="AS15" s="36"/>
      <c r="AT15" s="37"/>
      <c r="AU15" s="38"/>
      <c r="AV15" s="137"/>
    </row>
    <row r="16" spans="1:48" s="30" customFormat="1" ht="27" customHeight="1">
      <c r="A16" s="373" t="s">
        <v>1164</v>
      </c>
      <c r="B16" s="388" t="e">
        <f>VLOOKUP(A18,'V_GEN-READINESS'!1:1048576,27,)</f>
        <v>#N/A</v>
      </c>
      <c r="C16" s="389" t="s">
        <v>5</v>
      </c>
      <c r="D16" s="181" t="s">
        <v>1168</v>
      </c>
      <c r="E16" s="357" t="e">
        <f>GETPIVOTDATA("EI_BEG_AGE",'HOUR PIVOT'!A3,"EI_ID",A18)</f>
        <v>#REF!</v>
      </c>
      <c r="F16" s="380" t="e">
        <f>SUM((GETPIVOTDATA("INSP_DATE",'D PIVOT'!$A$3,"SYS_CODE","A","INSP_NO",261,"EI_ID",A18)+270))</f>
        <v>#REF!</v>
      </c>
      <c r="G16" s="357" t="e">
        <f>SUM((MIN(GETPIVOTDATA("INSP_VAL",'H PIVOT'!A3,"SYS_CODE","A","INSP_NO",41,"EI_ID",A18), (GETPIVOTDATA("INSP_VAL",'H PIVOT'!A3,"SYS_CODE","A","INSP_NO",130,"EI_ID",A18)), (GETPIVOTDATA("INSP_VAL",'H PIVOT'!A3,"SYS_CODE","A","INSP_NO",135,"EI_ID",A18)), (GETPIVOTDATA("INSP_VAL",'H PIVOT'!A3,"SYS_CODE","A","INSP_NO",145,"EI_ID",A18)))+50)-E16)</f>
        <v>#REF!</v>
      </c>
      <c r="H16" s="357" t="e">
        <f>SUM((MIN(GETPIVOTDATA("INSP_VAL",'H PIVOT'!A3,"SYS_CODE","A","INSP_NO",195,"EI_ID",A18), (GETPIVOTDATA("INSP_VAL",'H PIVOT'!A3,"SYS_CODE","A","INSP_NO",198,"EI_ID",A18)), (GETPIVOTDATA("INSP_VAL",'H PIVOT'!A3,"SYS_CODE","A","INSP_NO",200,"EI_ID",A18)), (GETPIVOTDATA("INSP_VAL",'H PIVOT'!A3,"SYS_CODE","A","INSP_NO",224,"EI_ID",A18)))+125)-E16)</f>
        <v>#REF!</v>
      </c>
      <c r="I16" s="357" t="e">
        <f>SUM((MIN(GETPIVOTDATA("INSP_VAL",'H PIVOT'!A3,"SYS_CODE","A","INSP_NO",223,"EI_ID",A18), (GETPIVOTDATA("INSP_VAL",'H PIVOT'!A3,"SYS_CODE","A","INSP_NO",231,"EI_ID",A18)), (GETPIVOTDATA("INSP_VAL",'H PIVOT'!A3,"SYS_CODE","A","INSP_NO",234,"EI_ID",A18)), (GETPIVOTDATA("INSP_VAL",'H PIVOT'!A3,"SYS_CODE","A","INSP_NO",261,"EI_ID",A18)),(GETPIVOTDATA("INSP_VAL",'H PIVOT'!A3,"SYS_CODE","A","INSP_NO",270,"EI_ID",A18)),(GETPIVOTDATA("INSP_VAL",'H PIVOT'!A3,"SYS_CODE","A","INSP_NO",275,"EI_ID",A18)),(GETPIVOTDATA("INSP_VAL",'H PIVOT'!A3,"SYS_CODE","A","INSP_NO",290,"EI_ID",A18)),(GETPIVOTDATA("INSP_VAL",'H PIVOT'!A3,"SYS_CODE","A","INSP_NO",295,"EI_ID",A18)),(GETPIVOTDATA("INSP_VAL",'H PIVOT'!A3,"SYS_CODE","A","INSP_NO",300,"EI_ID",A18)),(GETPIVOTDATA("INSP_VAL",'H PIVOT'!A3,"SYS_CODE","A","INSP_NO",465,"EI_ID",A18)),(GETPIVOTDATA("INSP_VAL",'H PIVOT'!A3,"SYS_CODE","A","INSP_NO",757,"EI_ID",A18)))+250)-E16)</f>
        <v>#REF!</v>
      </c>
      <c r="J16" s="360" t="e">
        <f>SUM((MIN(GETPIVOTDATA("INSP_VAL",'H PIVOT'!A3,"SYS_CODE","A","INSP_NO",226,"EI_ID",A18), (GETPIVOTDATA("INSP_VAL",'H PIVOT'!A3,"SYS_CODE","A","INSP_NO",230,"EI_ID",A18)), (GETPIVOTDATA("INSP_VAL",'H PIVOT'!A3,"SYS_CODE","A","INSP_NO",400,"EI_ID",A18)), (GETPIVOTDATA("INSP_VAL",'H PIVOT'!A3,"SYS_CODE","A","INSP_NO",755,"EI_ID",A18)))+500)-E16)</f>
        <v>#REF!</v>
      </c>
      <c r="K16" s="363"/>
      <c r="L16" s="364"/>
      <c r="M16" s="364"/>
      <c r="N16" s="364"/>
      <c r="O16" s="364"/>
      <c r="P16" s="364"/>
      <c r="Q16" s="365"/>
      <c r="R16" s="366"/>
      <c r="S16" s="367"/>
      <c r="T16" s="112"/>
      <c r="U16" s="112"/>
      <c r="V16" s="161" t="e">
        <f>IF(B16="FMC",0,VLOOKUP(A18,'V_GEN-READINESS'!1:1048576,17,FALSE))</f>
        <v>#N/A</v>
      </c>
      <c r="W16" s="13"/>
      <c r="X16" s="13"/>
      <c r="Y16" s="13"/>
      <c r="Z16" s="13"/>
      <c r="AA16" s="13"/>
      <c r="AB16" s="13"/>
      <c r="AC16" s="13"/>
      <c r="AD16" s="13"/>
      <c r="AE16" s="2"/>
      <c r="AF16" s="13"/>
      <c r="AG16" s="13"/>
      <c r="AH16" s="13"/>
      <c r="AI16" s="13"/>
      <c r="AJ16" s="13"/>
      <c r="AK16" s="13"/>
      <c r="AL16" s="13"/>
      <c r="AM16" s="13"/>
      <c r="AN16" s="23"/>
      <c r="AO16" s="23"/>
      <c r="AP16" s="25"/>
      <c r="AQ16" s="44"/>
      <c r="AR16" s="44"/>
      <c r="AS16" s="36"/>
      <c r="AT16" s="37"/>
      <c r="AU16" s="38"/>
      <c r="AV16" s="137"/>
    </row>
    <row r="17" spans="1:48" s="30" customFormat="1" ht="27" customHeight="1">
      <c r="A17" s="374"/>
      <c r="B17" s="376"/>
      <c r="C17" s="378"/>
      <c r="D17" s="179" t="s">
        <v>1186</v>
      </c>
      <c r="E17" s="358"/>
      <c r="F17" s="381"/>
      <c r="G17" s="358"/>
      <c r="H17" s="358"/>
      <c r="I17" s="358"/>
      <c r="J17" s="361"/>
      <c r="K17" s="368"/>
      <c r="L17" s="369"/>
      <c r="M17" s="369"/>
      <c r="N17" s="369"/>
      <c r="O17" s="369"/>
      <c r="P17" s="369"/>
      <c r="Q17" s="369"/>
      <c r="R17" s="392"/>
      <c r="S17" s="393"/>
      <c r="T17" s="106"/>
      <c r="U17" s="106"/>
      <c r="V17" s="105" t="e">
        <f ca="1">C2-V16</f>
        <v>#N/A</v>
      </c>
      <c r="W17" s="13"/>
      <c r="X17" s="13"/>
      <c r="Y17" s="13"/>
      <c r="Z17" s="13"/>
      <c r="AA17" s="13"/>
      <c r="AB17" s="13"/>
      <c r="AC17" s="13"/>
      <c r="AD17" s="13"/>
      <c r="AE17" s="2"/>
      <c r="AF17" s="13"/>
      <c r="AG17" s="13"/>
      <c r="AH17" s="13"/>
      <c r="AI17" s="13"/>
      <c r="AJ17" s="13"/>
      <c r="AK17" s="13"/>
      <c r="AL17" s="13"/>
      <c r="AM17" s="13"/>
      <c r="AN17" s="31"/>
      <c r="AO17" s="31"/>
      <c r="AP17" s="32"/>
      <c r="AQ17" s="47"/>
      <c r="AR17" s="47"/>
      <c r="AS17" s="36"/>
      <c r="AT17" s="37"/>
      <c r="AU17" s="38"/>
      <c r="AV17" s="137"/>
    </row>
    <row r="18" spans="1:48" s="30" customFormat="1" ht="27" customHeight="1">
      <c r="A18" s="111"/>
      <c r="B18" s="384" t="e">
        <f>VLOOKUP(A18,'MIG SQL (MIG_LOG)'!1:1048576,4,FALSE)</f>
        <v>#N/A</v>
      </c>
      <c r="C18" s="384"/>
      <c r="D18" s="131"/>
      <c r="E18" s="379"/>
      <c r="F18" s="390"/>
      <c r="G18" s="379"/>
      <c r="H18" s="379"/>
      <c r="I18" s="379"/>
      <c r="J18" s="383"/>
      <c r="K18" s="385"/>
      <c r="L18" s="386"/>
      <c r="M18" s="386"/>
      <c r="N18" s="386"/>
      <c r="O18" s="386"/>
      <c r="P18" s="386"/>
      <c r="Q18" s="386"/>
      <c r="R18" s="387"/>
      <c r="S18" s="386"/>
      <c r="T18" s="124"/>
      <c r="U18" s="124"/>
      <c r="V18" s="113"/>
      <c r="W18" s="13"/>
      <c r="X18" s="13"/>
      <c r="Y18" s="13"/>
      <c r="Z18" s="13"/>
      <c r="AA18" s="13"/>
      <c r="AB18" s="13"/>
      <c r="AC18" s="13"/>
      <c r="AD18" s="13"/>
      <c r="AE18" s="2"/>
      <c r="AF18" s="13"/>
      <c r="AG18" s="13"/>
      <c r="AH18" s="13"/>
      <c r="AI18" s="13"/>
      <c r="AJ18" s="13"/>
      <c r="AK18" s="13"/>
      <c r="AL18" s="13"/>
      <c r="AM18" s="13"/>
      <c r="AN18" s="23"/>
      <c r="AO18" s="23"/>
      <c r="AP18" s="25"/>
      <c r="AQ18" s="41"/>
      <c r="AR18" s="41"/>
      <c r="AS18" s="36"/>
      <c r="AT18" s="37"/>
      <c r="AU18" s="38"/>
      <c r="AV18" s="137"/>
    </row>
    <row r="19" spans="1:48" s="30" customFormat="1" ht="27" customHeight="1">
      <c r="A19" s="373" t="s">
        <v>1165</v>
      </c>
      <c r="B19" s="388" t="e">
        <f>VLOOKUP(A21,'V_GEN-READINESS'!1:1048576,27,)</f>
        <v>#N/A</v>
      </c>
      <c r="C19" s="389" t="s">
        <v>5</v>
      </c>
      <c r="D19" s="183" t="s">
        <v>1168</v>
      </c>
      <c r="E19" s="357" t="e">
        <f>GETPIVOTDATA("EI_BEG_AGE",'HOUR PIVOT'!A3,"EI_ID",A21)</f>
        <v>#REF!</v>
      </c>
      <c r="F19" s="380" t="e">
        <f>SUM((GETPIVOTDATA("INSP_DATE",'D PIVOT'!$A$3,"SYS_CODE","A","INSP_NO",261,"EI_ID",A21)+270))</f>
        <v>#REF!</v>
      </c>
      <c r="G19" s="357" t="e">
        <f>SUM((MIN(GETPIVOTDATA("INSP_VAL",'H PIVOT'!A3,"SYS_CODE","A","INSP_NO",41,"EI_ID",A21), (GETPIVOTDATA("INSP_VAL",'H PIVOT'!A3,"SYS_CODE","A","INSP_NO",130,"EI_ID",A21)), (GETPIVOTDATA("INSP_VAL",'H PIVOT'!A3,"SYS_CODE","A","INSP_NO",135,"EI_ID",A21)), (GETPIVOTDATA("INSP_VAL",'H PIVOT'!A3,"SYS_CODE","A","INSP_NO",145,"EI_ID",A21)))+50)-E19)</f>
        <v>#REF!</v>
      </c>
      <c r="H19" s="357" t="e">
        <f>SUM((MIN(GETPIVOTDATA("INSP_VAL",'H PIVOT'!A3,"SYS_CODE","A","INSP_NO",195,"EI_ID",A21), (GETPIVOTDATA("INSP_VAL",'H PIVOT'!A3,"SYS_CODE","A","INSP_NO",198,"EI_ID",A21)), (GETPIVOTDATA("INSP_VAL",'H PIVOT'!A3,"SYS_CODE","A","INSP_NO",200,"EI_ID",A21)), (GETPIVOTDATA("INSP_VAL",'H PIVOT'!A3,"SYS_CODE","A","INSP_NO",224,"EI_ID",A21)))+125)-E19)</f>
        <v>#REF!</v>
      </c>
      <c r="I19" s="357" t="e">
        <f>SUM((MIN(GETPIVOTDATA("INSP_VAL",'H PIVOT'!A3,"SYS_CODE","A","INSP_NO",223,"EI_ID",A21), (GETPIVOTDATA("INSP_VAL",'H PIVOT'!A3,"SYS_CODE","A","INSP_NO",231,"EI_ID",A21)), (GETPIVOTDATA("INSP_VAL",'H PIVOT'!A3,"SYS_CODE","A","INSP_NO",234,"EI_ID",A21)), (GETPIVOTDATA("INSP_VAL",'H PIVOT'!A3,"SYS_CODE","A","INSP_NO",261,"EI_ID",A21)),(GETPIVOTDATA("INSP_VAL",'H PIVOT'!A3,"SYS_CODE","A","INSP_NO",270,"EI_ID",A21)),(GETPIVOTDATA("INSP_VAL",'H PIVOT'!A3,"SYS_CODE","A","INSP_NO",275,"EI_ID",A21)),(GETPIVOTDATA("INSP_VAL",'H PIVOT'!A3,"SYS_CODE","A","INSP_NO",290,"EI_ID",A21)),(GETPIVOTDATA("INSP_VAL",'H PIVOT'!A3,"SYS_CODE","A","INSP_NO",295,"EI_ID",A21)),(GETPIVOTDATA("INSP_VAL",'H PIVOT'!A3,"SYS_CODE","A","INSP_NO",300,"EI_ID",A21)),(GETPIVOTDATA("INSP_VAL",'H PIVOT'!A3,"SYS_CODE","A","INSP_NO",465,"EI_ID",A21)),(GETPIVOTDATA("INSP_VAL",'H PIVOT'!A3,"SYS_CODE","A","INSP_NO",757,"EI_ID",A21)))+250)-E19)</f>
        <v>#REF!</v>
      </c>
      <c r="J19" s="360" t="e">
        <f>SUM((MIN(GETPIVOTDATA("INSP_VAL",'H PIVOT'!A3,"SYS_CODE","A","INSP_NO",226,"EI_ID",A21), (GETPIVOTDATA("INSP_VAL",'H PIVOT'!A3,"SYS_CODE","A","INSP_NO",230,"EI_ID",A21)), (GETPIVOTDATA("INSP_VAL",'H PIVOT'!A3,"SYS_CODE","A","INSP_NO",400,"EI_ID",A21)), (GETPIVOTDATA("INSP_VAL",'H PIVOT'!A3,"SYS_CODE","A","INSP_NO",755,"EI_ID",A21)))+500)-E19)</f>
        <v>#REF!</v>
      </c>
      <c r="K19" s="368"/>
      <c r="L19" s="369"/>
      <c r="M19" s="369"/>
      <c r="N19" s="369"/>
      <c r="O19" s="369"/>
      <c r="P19" s="369"/>
      <c r="Q19" s="369"/>
      <c r="R19" s="370"/>
      <c r="S19" s="371"/>
      <c r="T19" s="106"/>
      <c r="U19" s="106"/>
      <c r="V19" s="160" t="e">
        <f>IF(B19="FMC",0,VLOOKUP(A21,'V_GEN-READINESS'!1:1048576,17,FALSE))</f>
        <v>#N/A</v>
      </c>
      <c r="W19" s="13"/>
      <c r="X19" s="13"/>
      <c r="Y19" s="13"/>
      <c r="Z19" s="13"/>
      <c r="AA19" s="13"/>
      <c r="AB19" s="13"/>
      <c r="AC19" s="13"/>
      <c r="AD19" s="13"/>
      <c r="AE19" s="2"/>
      <c r="AF19" s="13"/>
      <c r="AG19" s="13"/>
      <c r="AH19" s="13"/>
      <c r="AI19" s="13"/>
      <c r="AJ19" s="13"/>
      <c r="AK19" s="13"/>
      <c r="AL19" s="13"/>
      <c r="AM19" s="13"/>
      <c r="AN19" s="23"/>
      <c r="AO19" s="23"/>
      <c r="AP19" s="25"/>
      <c r="AQ19" s="41"/>
      <c r="AR19" s="41"/>
      <c r="AS19" s="36"/>
      <c r="AT19" s="37"/>
      <c r="AU19" s="38"/>
      <c r="AV19" s="137"/>
    </row>
    <row r="20" spans="1:48" s="30" customFormat="1" ht="27" customHeight="1">
      <c r="A20" s="374"/>
      <c r="B20" s="376"/>
      <c r="C20" s="378"/>
      <c r="D20" s="179" t="s">
        <v>1186</v>
      </c>
      <c r="E20" s="358"/>
      <c r="F20" s="381"/>
      <c r="G20" s="358"/>
      <c r="H20" s="358"/>
      <c r="I20" s="358"/>
      <c r="J20" s="361"/>
      <c r="K20" s="368"/>
      <c r="L20" s="369"/>
      <c r="M20" s="369"/>
      <c r="N20" s="369"/>
      <c r="O20" s="369"/>
      <c r="P20" s="369"/>
      <c r="Q20" s="369"/>
      <c r="R20" s="370"/>
      <c r="S20" s="371"/>
      <c r="T20" s="106"/>
      <c r="U20" s="106"/>
      <c r="V20" s="105" t="e">
        <f ca="1">C2-V19</f>
        <v>#N/A</v>
      </c>
      <c r="W20" s="13"/>
      <c r="X20" s="13"/>
      <c r="Y20" s="13"/>
      <c r="Z20" s="13"/>
      <c r="AA20" s="13"/>
      <c r="AB20" s="13"/>
      <c r="AC20" s="13"/>
      <c r="AD20" s="13"/>
      <c r="AE20" s="2"/>
      <c r="AF20" s="13"/>
      <c r="AG20" s="13"/>
      <c r="AH20" s="13"/>
      <c r="AI20" s="13"/>
      <c r="AJ20" s="13"/>
      <c r="AK20" s="13"/>
      <c r="AL20" s="13"/>
      <c r="AM20" s="13"/>
      <c r="AN20" s="31"/>
      <c r="AO20" s="31"/>
      <c r="AP20" s="32"/>
      <c r="AQ20" s="41"/>
      <c r="AR20" s="41"/>
      <c r="AS20" s="36"/>
      <c r="AT20" s="34"/>
      <c r="AU20" s="35"/>
      <c r="AV20" s="137"/>
    </row>
    <row r="21" spans="1:48" s="30" customFormat="1" ht="27" customHeight="1">
      <c r="A21" s="111"/>
      <c r="B21" s="384" t="e">
        <f>VLOOKUP(A21,'MIG SQL (MIG_LOG)'!1:1048576,4,FALSE)</f>
        <v>#N/A</v>
      </c>
      <c r="C21" s="384"/>
      <c r="D21" s="131"/>
      <c r="E21" s="379"/>
      <c r="F21" s="390"/>
      <c r="G21" s="379"/>
      <c r="H21" s="379"/>
      <c r="I21" s="379"/>
      <c r="J21" s="383"/>
      <c r="K21" s="368"/>
      <c r="L21" s="369"/>
      <c r="M21" s="369"/>
      <c r="N21" s="369"/>
      <c r="O21" s="369"/>
      <c r="P21" s="369"/>
      <c r="Q21" s="369"/>
      <c r="R21" s="391"/>
      <c r="S21" s="369"/>
      <c r="T21" s="122"/>
      <c r="U21" s="122"/>
      <c r="V21" s="107"/>
      <c r="W21" s="13"/>
      <c r="X21" s="13"/>
      <c r="Y21" s="13"/>
      <c r="Z21" s="13"/>
      <c r="AA21" s="13"/>
      <c r="AB21" s="13"/>
      <c r="AC21" s="13"/>
      <c r="AD21" s="13"/>
      <c r="AE21" s="2"/>
      <c r="AF21" s="13"/>
      <c r="AG21" s="13"/>
      <c r="AH21" s="13"/>
      <c r="AI21" s="13"/>
      <c r="AJ21" s="13"/>
      <c r="AK21" s="13"/>
      <c r="AL21" s="13"/>
      <c r="AM21" s="13"/>
      <c r="AN21" s="24"/>
      <c r="AO21" s="24"/>
      <c r="AP21" s="48"/>
      <c r="AQ21" s="41"/>
      <c r="AR21" s="49"/>
      <c r="AS21" s="22"/>
      <c r="AT21" s="50"/>
      <c r="AU21" s="35"/>
      <c r="AV21" s="402"/>
    </row>
    <row r="22" spans="1:48" s="30" customFormat="1" ht="27" customHeight="1">
      <c r="A22" s="373" t="s">
        <v>1166</v>
      </c>
      <c r="B22" s="388" t="e">
        <f>VLOOKUP(A24,'V_GEN-READINESS'!1:1048576,27,)</f>
        <v>#N/A</v>
      </c>
      <c r="C22" s="389" t="s">
        <v>5</v>
      </c>
      <c r="D22" s="181" t="s">
        <v>1168</v>
      </c>
      <c r="E22" s="357" t="e">
        <f>GETPIVOTDATA("EI_BEG_AGE",'HOUR PIVOT'!A3,"EI_ID",A24)</f>
        <v>#REF!</v>
      </c>
      <c r="F22" s="380" t="e">
        <f>SUM((GETPIVOTDATA("INSP_DATE",'D PIVOT'!$A$3,"SYS_CODE","A","INSP_NO",261,"EI_ID",A24)+270))</f>
        <v>#REF!</v>
      </c>
      <c r="G22" s="357" t="e">
        <f>SUM((MIN(GETPIVOTDATA("INSP_VAL",'H PIVOT'!A3,"SYS_CODE","A","INSP_NO",41,"EI_ID",A24), (GETPIVOTDATA("INSP_VAL",'H PIVOT'!A3,"SYS_CODE","A","INSP_NO",130,"EI_ID",A24)), (GETPIVOTDATA("INSP_VAL",'H PIVOT'!A3,"SYS_CODE","A","INSP_NO",135,"EI_ID",A24)), (GETPIVOTDATA("INSP_VAL",'H PIVOT'!A3,"SYS_CODE","A","INSP_NO",145,"EI_ID",A24)))+50)-E22)</f>
        <v>#REF!</v>
      </c>
      <c r="H22" s="357" t="e">
        <f>SUM((MIN(GETPIVOTDATA("INSP_VAL",'H PIVOT'!A3,"SYS_CODE","A","INSP_NO",195,"EI_ID",A24), (GETPIVOTDATA("INSP_VAL",'H PIVOT'!A3,"SYS_CODE","A","INSP_NO",198,"EI_ID",A24)), (GETPIVOTDATA("INSP_VAL",'H PIVOT'!A3,"SYS_CODE","A","INSP_NO",200,"EI_ID",A24)), (GETPIVOTDATA("INSP_VAL",'H PIVOT'!A3,"SYS_CODE","A","INSP_NO",224,"EI_ID",A24)))+125)-E22)</f>
        <v>#REF!</v>
      </c>
      <c r="I22" s="357" t="e">
        <f>SUM((MIN(GETPIVOTDATA("INSP_VAL",'H PIVOT'!A3,"SYS_CODE","A","INSP_NO",223,"EI_ID",A24), (GETPIVOTDATA("INSP_VAL",'H PIVOT'!A3,"SYS_CODE","A","INSP_NO",231,"EI_ID",A24)), (GETPIVOTDATA("INSP_VAL",'H PIVOT'!A3,"SYS_CODE","A","INSP_NO",234,"EI_ID",A24)), (GETPIVOTDATA("INSP_VAL",'H PIVOT'!A3,"SYS_CODE","A","INSP_NO",261,"EI_ID",A24)),(GETPIVOTDATA("INSP_VAL",'H PIVOT'!A3,"SYS_CODE","A","INSP_NO",270,"EI_ID",A24)),(GETPIVOTDATA("INSP_VAL",'H PIVOT'!A3,"SYS_CODE","A","INSP_NO",275,"EI_ID",A24)),(GETPIVOTDATA("INSP_VAL",'H PIVOT'!A3,"SYS_CODE","A","INSP_NO",290,"EI_ID",A24)),(GETPIVOTDATA("INSP_VAL",'H PIVOT'!A3,"SYS_CODE","A","INSP_NO",295,"EI_ID",A24)),(GETPIVOTDATA("INSP_VAL",'H PIVOT'!A3,"SYS_CODE","A","INSP_NO",300,"EI_ID",A24)),(GETPIVOTDATA("INSP_VAL",'H PIVOT'!A3,"SYS_CODE","A","INSP_NO",465,"EI_ID",A24)),(GETPIVOTDATA("INSP_VAL",'H PIVOT'!A3,"SYS_CODE","A","INSP_NO",757,"EI_ID",A24)))+250)-E22)</f>
        <v>#REF!</v>
      </c>
      <c r="J22" s="360" t="e">
        <f>SUM((MIN(GETPIVOTDATA("INSP_VAL",'H PIVOT'!A3,"SYS_CODE","A","INSP_NO",226,"EI_ID",A24), (GETPIVOTDATA("INSP_VAL",'H PIVOT'!A3,"SYS_CODE","A","INSP_NO",230,"EI_ID",A24)), (GETPIVOTDATA("INSP_VAL",'H PIVOT'!A3,"SYS_CODE","A","INSP_NO",400,"EI_ID",A24)), (GETPIVOTDATA("INSP_VAL",'H PIVOT'!A3,"SYS_CODE","A","INSP_NO",755,"EI_ID",A24)))+500)-E22)</f>
        <v>#REF!</v>
      </c>
      <c r="K22" s="363"/>
      <c r="L22" s="364"/>
      <c r="M22" s="364"/>
      <c r="N22" s="364"/>
      <c r="O22" s="364"/>
      <c r="P22" s="364"/>
      <c r="Q22" s="364"/>
      <c r="R22" s="366"/>
      <c r="S22" s="367"/>
      <c r="T22" s="112"/>
      <c r="U22" s="112"/>
      <c r="V22" s="161" t="e">
        <f>IF(B22="FMC",0,VLOOKUP(A24,'V_GEN-READINESS'!1:1048576,17,FALSE))</f>
        <v>#N/A</v>
      </c>
      <c r="W22" s="13"/>
      <c r="X22" s="13"/>
      <c r="Y22" s="13"/>
      <c r="Z22" s="13"/>
      <c r="AA22" s="13"/>
      <c r="AB22" s="13"/>
      <c r="AC22" s="13"/>
      <c r="AD22" s="13"/>
      <c r="AE22" s="2"/>
      <c r="AF22" s="13"/>
      <c r="AG22" s="13"/>
      <c r="AH22" s="13"/>
      <c r="AI22" s="13"/>
      <c r="AJ22" s="13"/>
      <c r="AK22" s="13"/>
      <c r="AL22" s="13"/>
      <c r="AM22" s="13"/>
      <c r="AN22" s="24"/>
      <c r="AO22" s="24"/>
      <c r="AP22" s="48"/>
      <c r="AQ22" s="41"/>
      <c r="AR22" s="41"/>
      <c r="AS22" s="22"/>
      <c r="AT22" s="37"/>
      <c r="AU22" s="38"/>
      <c r="AV22" s="402"/>
    </row>
    <row r="23" spans="1:48" s="30" customFormat="1" ht="27" customHeight="1">
      <c r="A23" s="374"/>
      <c r="B23" s="376"/>
      <c r="C23" s="378"/>
      <c r="D23" s="179" t="s">
        <v>1186</v>
      </c>
      <c r="E23" s="358"/>
      <c r="F23" s="381"/>
      <c r="G23" s="358"/>
      <c r="H23" s="358"/>
      <c r="I23" s="358"/>
      <c r="J23" s="361"/>
      <c r="K23" s="368"/>
      <c r="L23" s="369"/>
      <c r="M23" s="369"/>
      <c r="N23" s="369"/>
      <c r="O23" s="369"/>
      <c r="P23" s="369"/>
      <c r="Q23" s="369"/>
      <c r="R23" s="370"/>
      <c r="S23" s="371"/>
      <c r="T23" s="106"/>
      <c r="U23" s="106"/>
      <c r="V23" s="105" t="e">
        <f ca="1">C2-V22</f>
        <v>#N/A</v>
      </c>
      <c r="W23" s="13"/>
      <c r="X23" s="13"/>
      <c r="Y23" s="13"/>
      <c r="Z23" s="13"/>
      <c r="AA23" s="13"/>
      <c r="AB23" s="13"/>
      <c r="AC23" s="13"/>
      <c r="AD23" s="13"/>
      <c r="AE23" s="2"/>
      <c r="AF23" s="13"/>
      <c r="AG23" s="13"/>
      <c r="AH23" s="13"/>
      <c r="AI23" s="13"/>
      <c r="AJ23" s="13"/>
      <c r="AK23" s="13"/>
      <c r="AL23" s="13"/>
      <c r="AM23" s="13"/>
      <c r="AN23" s="51"/>
      <c r="AO23" s="24"/>
      <c r="AP23" s="53"/>
      <c r="AQ23" s="54"/>
      <c r="AR23" s="54"/>
      <c r="AS23" s="36"/>
      <c r="AT23" s="37"/>
      <c r="AU23" s="38"/>
      <c r="AV23" s="402"/>
    </row>
    <row r="24" spans="1:48" s="30" customFormat="1" ht="27" customHeight="1">
      <c r="A24" s="111"/>
      <c r="B24" s="384" t="e">
        <f>VLOOKUP(A24,'MIG SQL (MIG_LOG)'!1:1048576,4,FALSE)</f>
        <v>#N/A</v>
      </c>
      <c r="C24" s="384"/>
      <c r="D24" s="131"/>
      <c r="E24" s="379"/>
      <c r="F24" s="390"/>
      <c r="G24" s="379"/>
      <c r="H24" s="379"/>
      <c r="I24" s="379"/>
      <c r="J24" s="383"/>
      <c r="K24" s="385"/>
      <c r="L24" s="386"/>
      <c r="M24" s="386"/>
      <c r="N24" s="386"/>
      <c r="O24" s="386"/>
      <c r="P24" s="386"/>
      <c r="Q24" s="386"/>
      <c r="R24" s="387"/>
      <c r="S24" s="386"/>
      <c r="T24" s="124"/>
      <c r="U24" s="124"/>
      <c r="V24" s="113"/>
      <c r="W24" s="13"/>
      <c r="X24" s="13"/>
      <c r="Y24" s="13"/>
      <c r="Z24" s="13"/>
      <c r="AA24" s="13"/>
      <c r="AB24" s="13"/>
      <c r="AC24" s="13"/>
      <c r="AD24" s="13"/>
      <c r="AE24" s="2"/>
      <c r="AF24" s="13"/>
      <c r="AG24" s="13"/>
      <c r="AH24" s="13"/>
      <c r="AI24" s="13"/>
      <c r="AJ24" s="13"/>
      <c r="AK24" s="13"/>
      <c r="AL24" s="13"/>
      <c r="AM24" s="13"/>
      <c r="AN24" s="24"/>
      <c r="AO24" s="24"/>
      <c r="AP24" s="48"/>
      <c r="AQ24" s="26"/>
      <c r="AR24" s="55"/>
      <c r="AS24" s="56"/>
      <c r="AT24" s="37"/>
      <c r="AU24" s="38"/>
      <c r="AV24" s="402"/>
    </row>
    <row r="25" spans="1:48" s="30" customFormat="1" ht="27" customHeight="1">
      <c r="A25" s="373" t="s">
        <v>1169</v>
      </c>
      <c r="B25" s="388" t="e">
        <f>VLOOKUP(A27,'V_GEN-READINESS'!1:1048576,27,)</f>
        <v>#N/A</v>
      </c>
      <c r="C25" s="389" t="s">
        <v>5</v>
      </c>
      <c r="D25" s="181" t="s">
        <v>1168</v>
      </c>
      <c r="E25" s="357" t="e">
        <f>GETPIVOTDATA("EI_BEG_AGE",'HOUR PIVOT'!A3,"EI_ID",A27)</f>
        <v>#REF!</v>
      </c>
      <c r="F25" s="380" t="e">
        <f>SUM((GETPIVOTDATA("INSP_DATE",'D PIVOT'!$A$3,"SYS_CODE","A","INSP_NO",261,"EI_ID",A27)+270))</f>
        <v>#REF!</v>
      </c>
      <c r="G25" s="357" t="e">
        <f>SUM((MIN(GETPIVOTDATA("INSP_VAL",'H PIVOT'!A3,"SYS_CODE","A","INSP_NO",41,"EI_ID",A27), (GETPIVOTDATA("INSP_VAL",'H PIVOT'!A3,"SYS_CODE","A","INSP_NO",130,"EI_ID",A27)), (GETPIVOTDATA("INSP_VAL",'H PIVOT'!A3,"SYS_CODE","A","INSP_NO",135,"EI_ID",A27)), (GETPIVOTDATA("INSP_VAL",'H PIVOT'!A3,"SYS_CODE","A","INSP_NO",145,"EI_ID",A27)))+50)-E25)</f>
        <v>#REF!</v>
      </c>
      <c r="H25" s="357" t="e">
        <f>SUM((MIN(GETPIVOTDATA("INSP_VAL",'H PIVOT'!A3,"SYS_CODE","A","INSP_NO",195,"EI_ID",A27), (GETPIVOTDATA("INSP_VAL",'H PIVOT'!A3,"SYS_CODE","A","INSP_NO",198,"EI_ID",A27)), (GETPIVOTDATA("INSP_VAL",'H PIVOT'!A3,"SYS_CODE","A","INSP_NO",200,"EI_ID",A27)), (GETPIVOTDATA("INSP_VAL",'H PIVOT'!A3,"SYS_CODE","A","INSP_NO",224,"EI_ID",A27)))+125)-E25)</f>
        <v>#REF!</v>
      </c>
      <c r="I25" s="357" t="e">
        <f>SUM((MIN(GETPIVOTDATA("INSP_VAL",'H PIVOT'!A3,"SYS_CODE","A","INSP_NO",223,"EI_ID",A27), (GETPIVOTDATA("INSP_VAL",'H PIVOT'!A3,"SYS_CODE","A","INSP_NO",231,"EI_ID",A27)), (GETPIVOTDATA("INSP_VAL",'H PIVOT'!A3,"SYS_CODE","A","INSP_NO",234,"EI_ID",A27)), (GETPIVOTDATA("INSP_VAL",'H PIVOT'!A3,"SYS_CODE","A","INSP_NO",261,"EI_ID",A27)),(GETPIVOTDATA("INSP_VAL",'H PIVOT'!A3,"SYS_CODE","A","INSP_NO",270,"EI_ID",A27)),(GETPIVOTDATA("INSP_VAL",'H PIVOT'!A3,"SYS_CODE","A","INSP_NO",275,"EI_ID",A27)),(GETPIVOTDATA("INSP_VAL",'H PIVOT'!A3,"SYS_CODE","A","INSP_NO",290,"EI_ID",A27)),(GETPIVOTDATA("INSP_VAL",'H PIVOT'!A3,"SYS_CODE","A","INSP_NO",295,"EI_ID",A27)),(GETPIVOTDATA("INSP_VAL",'H PIVOT'!A3,"SYS_CODE","A","INSP_NO",300,"EI_ID",A27)),(GETPIVOTDATA("INSP_VAL",'H PIVOT'!A3,"SYS_CODE","A","INSP_NO",465,"EI_ID",A27)),(GETPIVOTDATA("INSP_VAL",'H PIVOT'!A3,"SYS_CODE","A","INSP_NO",757,"EI_ID",A27)))+250)-E25)</f>
        <v>#REF!</v>
      </c>
      <c r="J25" s="360" t="e">
        <f>SUM((MIN(GETPIVOTDATA("INSP_VAL",'H PIVOT'!A3,"SYS_CODE","A","INSP_NO",226,"EI_ID",A27), (GETPIVOTDATA("INSP_VAL",'H PIVOT'!A3,"SYS_CODE","A","INSP_NO",230,"EI_ID",A27)), (GETPIVOTDATA("INSP_VAL",'H PIVOT'!A3,"SYS_CODE","A","INSP_NO",400,"EI_ID",A27)), (GETPIVOTDATA("INSP_VAL",'H PIVOT'!A3,"SYS_CODE","A","INSP_NO",755,"EI_ID",A27)))+500)-E25)</f>
        <v>#REF!</v>
      </c>
      <c r="K25" s="368"/>
      <c r="L25" s="369"/>
      <c r="M25" s="369"/>
      <c r="N25" s="369"/>
      <c r="O25" s="369"/>
      <c r="P25" s="369"/>
      <c r="Q25" s="369"/>
      <c r="R25" s="370"/>
      <c r="S25" s="371"/>
      <c r="T25" s="106"/>
      <c r="U25" s="106"/>
      <c r="V25" s="160" t="e">
        <f>IF(B25="FMC",0,VLOOKUP(A27,'V_GEN-READINESS'!1:1048576,17,FALSE))</f>
        <v>#N/A</v>
      </c>
      <c r="W25" s="13"/>
      <c r="X25" s="13"/>
      <c r="Y25" s="13"/>
      <c r="Z25" s="13"/>
      <c r="AA25" s="13"/>
      <c r="AB25" s="13"/>
      <c r="AC25" s="13"/>
      <c r="AD25" s="13"/>
      <c r="AE25" s="2"/>
      <c r="AF25" s="13"/>
      <c r="AG25" s="13"/>
      <c r="AH25" s="13"/>
      <c r="AI25" s="13"/>
      <c r="AJ25" s="13"/>
      <c r="AK25" s="13"/>
      <c r="AL25" s="13"/>
      <c r="AM25" s="13"/>
      <c r="AN25" s="57"/>
      <c r="AO25" s="24"/>
      <c r="AP25" s="48"/>
      <c r="AQ25" s="41"/>
      <c r="AR25" s="49"/>
      <c r="AS25" s="56"/>
      <c r="AT25" s="37"/>
      <c r="AU25" s="29"/>
      <c r="AV25" s="402"/>
    </row>
    <row r="26" spans="1:48" s="30" customFormat="1" ht="27" customHeight="1">
      <c r="A26" s="374"/>
      <c r="B26" s="376"/>
      <c r="C26" s="378"/>
      <c r="D26" s="179" t="s">
        <v>1186</v>
      </c>
      <c r="E26" s="358"/>
      <c r="F26" s="381"/>
      <c r="G26" s="358"/>
      <c r="H26" s="358"/>
      <c r="I26" s="358"/>
      <c r="J26" s="361"/>
      <c r="K26" s="368"/>
      <c r="L26" s="369"/>
      <c r="M26" s="369"/>
      <c r="N26" s="369"/>
      <c r="O26" s="369"/>
      <c r="P26" s="369"/>
      <c r="Q26" s="369"/>
      <c r="R26" s="370"/>
      <c r="S26" s="371"/>
      <c r="T26" s="106"/>
      <c r="U26" s="106"/>
      <c r="V26" s="105" t="e">
        <f ca="1">C2-V25</f>
        <v>#N/A</v>
      </c>
      <c r="W26" s="13"/>
      <c r="X26" s="13"/>
      <c r="Y26" s="13"/>
      <c r="Z26" s="13"/>
      <c r="AA26" s="13"/>
      <c r="AB26" s="13"/>
      <c r="AC26" s="13"/>
      <c r="AD26" s="13"/>
      <c r="AE26" s="2"/>
      <c r="AF26" s="13"/>
      <c r="AG26" s="13"/>
      <c r="AH26" s="13"/>
      <c r="AI26" s="13"/>
      <c r="AJ26" s="13"/>
      <c r="AK26" s="13"/>
      <c r="AL26" s="13"/>
      <c r="AM26" s="13"/>
      <c r="AN26" s="31"/>
      <c r="AO26" s="31"/>
      <c r="AP26" s="52"/>
      <c r="AQ26" s="41"/>
      <c r="AR26" s="41"/>
      <c r="AS26" s="36"/>
      <c r="AT26" s="37"/>
      <c r="AU26" s="38"/>
      <c r="AV26" s="402"/>
    </row>
    <row r="27" spans="1:48" s="30" customFormat="1" ht="27" customHeight="1">
      <c r="A27" s="111"/>
      <c r="B27" s="384" t="e">
        <f>VLOOKUP(A27,'MIG SQL (MIG_LOG)'!1:1048576,4,FALSE)</f>
        <v>#N/A</v>
      </c>
      <c r="C27" s="384"/>
      <c r="D27" s="131"/>
      <c r="E27" s="379"/>
      <c r="F27" s="390"/>
      <c r="G27" s="379"/>
      <c r="H27" s="379"/>
      <c r="I27" s="379"/>
      <c r="J27" s="383"/>
      <c r="K27" s="368"/>
      <c r="L27" s="369"/>
      <c r="M27" s="369"/>
      <c r="N27" s="369"/>
      <c r="O27" s="369"/>
      <c r="P27" s="369"/>
      <c r="Q27" s="369"/>
      <c r="R27" s="391"/>
      <c r="S27" s="369"/>
      <c r="T27" s="122"/>
      <c r="U27" s="122"/>
      <c r="V27" s="107"/>
      <c r="W27" s="13"/>
      <c r="X27" s="13"/>
      <c r="Y27" s="13"/>
      <c r="Z27" s="13"/>
      <c r="AA27" s="13"/>
      <c r="AB27" s="13"/>
      <c r="AC27" s="13"/>
      <c r="AD27" s="13"/>
      <c r="AE27" s="2"/>
      <c r="AF27" s="13"/>
      <c r="AG27" s="13"/>
      <c r="AH27" s="13"/>
      <c r="AI27" s="13"/>
      <c r="AJ27" s="13"/>
      <c r="AK27" s="13"/>
      <c r="AL27" s="13"/>
      <c r="AM27" s="13"/>
      <c r="AN27" s="57"/>
      <c r="AO27" s="24"/>
      <c r="AP27" s="48"/>
      <c r="AQ27" s="41"/>
      <c r="AR27" s="49"/>
      <c r="AS27" s="42"/>
      <c r="AT27" s="43"/>
      <c r="AU27" s="35"/>
      <c r="AV27" s="401"/>
    </row>
    <row r="28" spans="1:48" s="30" customFormat="1" ht="27" customHeight="1">
      <c r="A28" s="373"/>
      <c r="B28" s="388" t="e">
        <f>VLOOKUP(A30,'V_GEN-READINESS'!1:1048576,27,)</f>
        <v>#N/A</v>
      </c>
      <c r="C28" s="389" t="s">
        <v>630</v>
      </c>
      <c r="D28" s="181"/>
      <c r="E28" s="357" t="e">
        <f>GETPIVOTDATA("EI_BEG_AGE",'HOUR PIVOT'!A3,"EI_ID",A30)</f>
        <v>#REF!</v>
      </c>
      <c r="F28" s="380" t="e">
        <f>SUM((GETPIVOTDATA("INSP_DATE",'D PIVOT'!$A$3,"SYS_CODE","A","INSP_NO",261,"EI_ID",A30)+270))</f>
        <v>#REF!</v>
      </c>
      <c r="G28" s="357" t="e">
        <f>SUM((MIN(GETPIVOTDATA("INSP_VAL",'H PIVOT'!A3,"SYS_CODE","A","INSP_NO",41,"EI_ID",A30), (GETPIVOTDATA("INSP_VAL",'H PIVOT'!A3,"SYS_CODE","A","INSP_NO",130,"EI_ID",A30)), (GETPIVOTDATA("INSP_VAL",'H PIVOT'!A3,"SYS_CODE","A","INSP_NO",135,"EI_ID",A30)), (GETPIVOTDATA("INSP_VAL",'H PIVOT'!A3,"SYS_CODE","A","INSP_NO",145,"EI_ID",A30)))+50)-E28)</f>
        <v>#REF!</v>
      </c>
      <c r="H28" s="357" t="e">
        <f>SUM((MIN(GETPIVOTDATA("INSP_VAL",'H PIVOT'!A3,"SYS_CODE","A","INSP_NO",195,"EI_ID",A30), (GETPIVOTDATA("INSP_VAL",'H PIVOT'!A3,"SYS_CODE","A","INSP_NO",198,"EI_ID",A30)), (GETPIVOTDATA("INSP_VAL",'H PIVOT'!A3,"SYS_CODE","A","INSP_NO",200,"EI_ID",A30)), (GETPIVOTDATA("INSP_VAL",'H PIVOT'!A3,"SYS_CODE","A","INSP_NO",224,"EI_ID",A30)))+125)-E28)</f>
        <v>#REF!</v>
      </c>
      <c r="I28" s="357" t="e">
        <f>SUM((MIN(GETPIVOTDATA("INSP_VAL",'H PIVOT'!A3,"SYS_CODE","A","INSP_NO",223,"EI_ID",A30), (GETPIVOTDATA("INSP_VAL",'H PIVOT'!A3,"SYS_CODE","A","INSP_NO",231,"EI_ID",A30)), (GETPIVOTDATA("INSP_VAL",'H PIVOT'!A3,"SYS_CODE","A","INSP_NO",234,"EI_ID",A30)), (GETPIVOTDATA("INSP_VAL",'H PIVOT'!A3,"SYS_CODE","A","INSP_NO",261,"EI_ID",A30)),(GETPIVOTDATA("INSP_VAL",'H PIVOT'!A3,"SYS_CODE","A","INSP_NO",270,"EI_ID",A30)),(GETPIVOTDATA("INSP_VAL",'H PIVOT'!A3,"SYS_CODE","A","INSP_NO",275,"EI_ID",A30)),(GETPIVOTDATA("INSP_VAL",'H PIVOT'!A3,"SYS_CODE","A","INSP_NO",290,"EI_ID",A30)),(GETPIVOTDATA("INSP_VAL",'H PIVOT'!A3,"SYS_CODE","A","INSP_NO",295,"EI_ID",A30)),(GETPIVOTDATA("INSP_VAL",'H PIVOT'!A3,"SYS_CODE","A","INSP_NO",300,"EI_ID",A30)),(GETPIVOTDATA("INSP_VAL",'H PIVOT'!A3,"SYS_CODE","A","INSP_NO",465,"EI_ID",A30)),(GETPIVOTDATA("INSP_VAL",'H PIVOT'!A3,"SYS_CODE","A","INSP_NO",757,"EI_ID",A30)))+250)-E28)</f>
        <v>#REF!</v>
      </c>
      <c r="J28" s="360" t="e">
        <f>SUM((MIN(GETPIVOTDATA("INSP_VAL",'H PIVOT'!A3,"SYS_CODE","A","INSP_NO",226,"EI_ID",A30), (GETPIVOTDATA("INSP_VAL",'H PIVOT'!A3,"SYS_CODE","A","INSP_NO",230,"EI_ID",A30)), (GETPIVOTDATA("INSP_VAL",'H PIVOT'!A3,"SYS_CODE","A","INSP_NO",400,"EI_ID",A30)), (GETPIVOTDATA("INSP_VAL",'H PIVOT'!A3,"SYS_CODE","A","INSP_NO",755,"EI_ID",A30)))+500)-E28)</f>
        <v>#REF!</v>
      </c>
      <c r="K28" s="363"/>
      <c r="L28" s="364"/>
      <c r="M28" s="364"/>
      <c r="N28" s="364"/>
      <c r="O28" s="364"/>
      <c r="P28" s="364"/>
      <c r="Q28" s="364"/>
      <c r="R28" s="366"/>
      <c r="S28" s="367"/>
      <c r="T28" s="112"/>
      <c r="U28" s="112"/>
      <c r="V28" s="161" t="e">
        <f>IF(B28="FMC",0,VLOOKUP(A30,'V_GEN-READINESS'!1:1048576,17,FALSE))</f>
        <v>#N/A</v>
      </c>
      <c r="W28" s="13"/>
      <c r="X28" s="13"/>
      <c r="Y28" s="13"/>
      <c r="Z28" s="13"/>
      <c r="AA28" s="13"/>
      <c r="AB28" s="13"/>
      <c r="AC28" s="13"/>
      <c r="AD28" s="13"/>
      <c r="AE28" s="2"/>
      <c r="AF28" s="13"/>
      <c r="AG28" s="13"/>
      <c r="AH28" s="13"/>
      <c r="AI28" s="13"/>
      <c r="AJ28" s="13"/>
      <c r="AK28" s="13"/>
      <c r="AL28" s="13"/>
      <c r="AM28" s="13"/>
      <c r="AN28" s="24"/>
      <c r="AO28" s="24"/>
      <c r="AP28" s="48"/>
      <c r="AQ28" s="26"/>
      <c r="AR28" s="55"/>
      <c r="AS28" s="36"/>
      <c r="AT28" s="37"/>
      <c r="AU28" s="38"/>
      <c r="AV28" s="401"/>
    </row>
    <row r="29" spans="1:48" s="30" customFormat="1" ht="27" customHeight="1">
      <c r="A29" s="374"/>
      <c r="B29" s="376"/>
      <c r="C29" s="378"/>
      <c r="D29" s="179"/>
      <c r="E29" s="358"/>
      <c r="F29" s="381"/>
      <c r="G29" s="358"/>
      <c r="H29" s="358"/>
      <c r="I29" s="358"/>
      <c r="J29" s="361"/>
      <c r="K29" s="368"/>
      <c r="L29" s="369"/>
      <c r="M29" s="369"/>
      <c r="N29" s="369"/>
      <c r="O29" s="369"/>
      <c r="P29" s="369"/>
      <c r="Q29" s="369"/>
      <c r="R29" s="370"/>
      <c r="S29" s="371"/>
      <c r="T29" s="106"/>
      <c r="U29" s="106"/>
      <c r="V29" s="105" t="e">
        <f ca="1">C2-V28</f>
        <v>#N/A</v>
      </c>
      <c r="W29" s="13"/>
      <c r="X29" s="13"/>
      <c r="Y29" s="13"/>
      <c r="Z29" s="13"/>
      <c r="AA29" s="13"/>
      <c r="AB29" s="13"/>
      <c r="AC29" s="13"/>
      <c r="AD29" s="13"/>
      <c r="AE29" s="2"/>
      <c r="AF29" s="13"/>
      <c r="AG29" s="13"/>
      <c r="AH29" s="13"/>
      <c r="AI29" s="13"/>
      <c r="AJ29" s="13"/>
      <c r="AK29" s="13"/>
      <c r="AL29" s="13"/>
      <c r="AM29" s="13"/>
      <c r="AN29" s="31"/>
      <c r="AO29" s="31"/>
      <c r="AP29" s="52"/>
      <c r="AQ29" s="26"/>
      <c r="AR29" s="26"/>
      <c r="AS29" s="36"/>
      <c r="AT29" s="37"/>
      <c r="AU29" s="38"/>
      <c r="AV29" s="401"/>
    </row>
    <row r="30" spans="1:48" s="30" customFormat="1" ht="27" customHeight="1" thickBot="1">
      <c r="A30" s="111"/>
      <c r="B30" s="347" t="e">
        <f>VLOOKUP(A30,'MIG SQL (MIG_LOG)'!1:1048576,4,FALSE)</f>
        <v>#N/A</v>
      </c>
      <c r="C30" s="347"/>
      <c r="D30" s="132"/>
      <c r="E30" s="359"/>
      <c r="F30" s="382"/>
      <c r="G30" s="359"/>
      <c r="H30" s="359"/>
      <c r="I30" s="359"/>
      <c r="J30" s="362"/>
      <c r="K30" s="348"/>
      <c r="L30" s="349"/>
      <c r="M30" s="349"/>
      <c r="N30" s="349"/>
      <c r="O30" s="349"/>
      <c r="P30" s="349"/>
      <c r="Q30" s="349"/>
      <c r="R30" s="350"/>
      <c r="S30" s="349"/>
      <c r="T30" s="123"/>
      <c r="U30" s="123"/>
      <c r="V30" s="108"/>
      <c r="W30" s="13"/>
      <c r="X30" s="13"/>
      <c r="Y30" s="13"/>
      <c r="Z30" s="13"/>
      <c r="AA30" s="13"/>
      <c r="AB30" s="13"/>
      <c r="AC30" s="13"/>
      <c r="AD30" s="13"/>
      <c r="AE30" s="2"/>
      <c r="AF30" s="13"/>
      <c r="AG30" s="13"/>
      <c r="AH30" s="13"/>
      <c r="AI30" s="13"/>
      <c r="AJ30" s="13"/>
      <c r="AK30" s="13"/>
      <c r="AL30" s="13"/>
      <c r="AM30" s="13"/>
      <c r="AN30" s="57"/>
      <c r="AO30" s="24"/>
      <c r="AP30" s="48"/>
      <c r="AQ30" s="58"/>
      <c r="AR30" s="58"/>
      <c r="AS30" s="45"/>
      <c r="AT30" s="43"/>
      <c r="AU30" s="38"/>
      <c r="AV30" s="401"/>
    </row>
    <row r="31" spans="1:48" s="30" customFormat="1" ht="54" customHeight="1" thickTop="1" thickBot="1">
      <c r="A31" s="396" t="s">
        <v>695</v>
      </c>
      <c r="B31" s="397"/>
      <c r="C31" s="397"/>
      <c r="D31" s="397"/>
      <c r="E31" s="397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7"/>
      <c r="R31" s="397"/>
      <c r="S31" s="397"/>
      <c r="T31" s="397"/>
      <c r="U31" s="397"/>
      <c r="V31" s="398"/>
      <c r="W31" s="13"/>
      <c r="X31" s="13"/>
      <c r="Y31" s="13"/>
      <c r="Z31" s="13"/>
      <c r="AA31" s="13"/>
      <c r="AB31" s="13"/>
      <c r="AC31" s="13"/>
      <c r="AD31" s="13"/>
      <c r="AE31" s="2"/>
      <c r="AF31" s="13"/>
      <c r="AG31" s="13"/>
      <c r="AH31" s="13"/>
      <c r="AI31" s="13"/>
      <c r="AJ31" s="13"/>
      <c r="AK31" s="13"/>
      <c r="AL31" s="13"/>
      <c r="AM31" s="13"/>
      <c r="AN31" s="57"/>
      <c r="AO31" s="24"/>
      <c r="AP31" s="48"/>
      <c r="AQ31" s="58"/>
      <c r="AR31" s="58"/>
      <c r="AS31" s="45"/>
      <c r="AT31" s="43"/>
      <c r="AU31" s="38"/>
      <c r="AV31" s="401"/>
    </row>
    <row r="32" spans="1:48" s="30" customFormat="1" ht="27" customHeight="1">
      <c r="A32" s="373"/>
      <c r="B32" s="388" t="e">
        <f>VLOOKUP(A34,'V_GEN-READINESS'!1:1048576,27,)</f>
        <v>#N/A</v>
      </c>
      <c r="C32" s="389" t="s">
        <v>630</v>
      </c>
      <c r="D32" s="180"/>
      <c r="E32" s="358" t="e">
        <f>GETPIVOTDATA("EI_BEG_AGE",'HOUR PIVOT'!$A$3,"EI_ID",A34)</f>
        <v>#REF!</v>
      </c>
      <c r="F32" s="381" t="e">
        <f>SUM((GETPIVOTDATA("INSP_DATE",'D PIVOT'!$A$3,"SYS_CODE","A","INSP_NO",261,"EI_ID",A34)+270))</f>
        <v>#REF!</v>
      </c>
      <c r="G32" s="358" t="e">
        <f>SUM((MIN(GETPIVOTDATA("INSP_VAL",'H PIVOT'!$A$3,"SYS_CODE","A","INSP_NO",41,"EI_ID",A34), (GETPIVOTDATA("INSP_VAL",'H PIVOT'!$A$3,"SYS_CODE","A","INSP_NO",130,"EI_ID",A34)), (GETPIVOTDATA("INSP_VAL",'H PIVOT'!$A$3,"SYS_CODE","A","INSP_NO",135,"EI_ID",A34)), (GETPIVOTDATA("INSP_VAL",'H PIVOT'!$A$3,"SYS_CODE","A","INSP_NO",145,"EI_ID",A34)))+50)-E32)</f>
        <v>#REF!</v>
      </c>
      <c r="H32" s="358" t="e">
        <f>SUM((MIN(GETPIVOTDATA("INSP_VAL",'H PIVOT'!$A$3,"SYS_CODE","A","INSP_NO",195,"EI_ID",A34), (GETPIVOTDATA("INSP_VAL",'H PIVOT'!$A$3,"SYS_CODE","A","INSP_NO",198,"EI_ID",A34)), (GETPIVOTDATA("INSP_VAL",'H PIVOT'!$A$3,"SYS_CODE","A","INSP_NO",200,"EI_ID",A34)), (GETPIVOTDATA("INSP_VAL",'H PIVOT'!$A$3,"SYS_CODE","A","INSP_NO",224,"EI_ID",A34)))+125)-E32)</f>
        <v>#REF!</v>
      </c>
      <c r="I32" s="358" t="e">
        <f>SUM((MIN(GETPIVOTDATA("INSP_VAL",'H PIVOT'!$A$3,"SYS_CODE","A","INSP_NO",223,"EI_ID",A34), (GETPIVOTDATA("INSP_VAL",'H PIVOT'!$A$3,"SYS_CODE","A","INSP_NO",231,"EI_ID",A34)), (GETPIVOTDATA("INSP_VAL",'H PIVOT'!$A$3,"SYS_CODE","A","INSP_NO",234,"EI_ID",A34)), (GETPIVOTDATA("INSP_VAL",'H PIVOT'!$A$3,"SYS_CODE","A","INSP_NO",261,"EI_ID",A34)),(GETPIVOTDATA("INSP_VAL",'H PIVOT'!$A$3,"SYS_CODE","A","INSP_NO",270,"EI_ID",A34)),(GETPIVOTDATA("INSP_VAL",'H PIVOT'!$A$3,"SYS_CODE","A","INSP_NO",275,"EI_ID",A34)),(GETPIVOTDATA("INSP_VAL",'H PIVOT'!$A$3,"SYS_CODE","A","INSP_NO",290,"EI_ID",A34)),(GETPIVOTDATA("INSP_VAL",'H PIVOT'!$A$3,"SYS_CODE","A","INSP_NO",295,"EI_ID",A34)),(GETPIVOTDATA("INSP_VAL",'H PIVOT'!$A$3,"SYS_CODE","A","INSP_NO",300,"EI_ID",A34)),(GETPIVOTDATA("INSP_VAL",'H PIVOT'!$A$3,"SYS_CODE","A","INSP_NO",465,"EI_ID",A34)),(GETPIVOTDATA("INSP_VAL",'H PIVOT'!$A$3,"SYS_CODE","A","INSP_NO",757,"EI_ID",A34)))+250)-E32)</f>
        <v>#REF!</v>
      </c>
      <c r="J32" s="361" t="e">
        <f>SUM((MIN(GETPIVOTDATA("INSP_VAL",'H PIVOT'!$A$3,"SYS_CODE","A","INSP_NO",226,"EI_ID",A34), (GETPIVOTDATA("INSP_VAL",'H PIVOT'!$A$3,"SYS_CODE","A","INSP_NO",230,"EI_ID",A34)), (GETPIVOTDATA("INSP_VAL",'H PIVOT'!$A$3,"SYS_CODE","A","INSP_NO",400,"EI_ID",A34)), (GETPIVOTDATA("INSP_VAL",'H PIVOT'!$A$3,"SYS_CODE","A","INSP_NO",755,"EI_ID",A34)))+500)-E32)</f>
        <v>#REF!</v>
      </c>
      <c r="K32" s="368"/>
      <c r="L32" s="369"/>
      <c r="M32" s="369"/>
      <c r="N32" s="369"/>
      <c r="O32" s="369"/>
      <c r="P32" s="369"/>
      <c r="Q32" s="369"/>
      <c r="R32" s="370"/>
      <c r="S32" s="371"/>
      <c r="T32" s="106"/>
      <c r="U32" s="106"/>
      <c r="V32" s="160" t="e">
        <f>IF(B32="FMC",0,VLOOKUP(A34,#REF!,17,FALSE))</f>
        <v>#N/A</v>
      </c>
      <c r="W32" s="13"/>
      <c r="X32" s="13"/>
      <c r="Y32" s="13"/>
      <c r="Z32" s="13"/>
      <c r="AA32" s="13"/>
      <c r="AB32" s="13"/>
      <c r="AC32" s="13"/>
      <c r="AD32" s="13"/>
      <c r="AE32" s="2"/>
      <c r="AF32" s="13"/>
      <c r="AG32" s="13"/>
      <c r="AH32" s="13"/>
      <c r="AI32" s="13"/>
      <c r="AJ32" s="13"/>
      <c r="AK32" s="13"/>
      <c r="AL32" s="13"/>
      <c r="AM32" s="13"/>
      <c r="AN32" s="23"/>
      <c r="AO32" s="23"/>
      <c r="AP32" s="59"/>
      <c r="AQ32" s="58"/>
      <c r="AR32" s="60"/>
      <c r="AS32" s="61"/>
      <c r="AT32" s="37"/>
      <c r="AU32" s="38"/>
      <c r="AV32" s="401"/>
    </row>
    <row r="33" spans="1:48" s="30" customFormat="1" ht="27" customHeight="1">
      <c r="A33" s="374"/>
      <c r="B33" s="376"/>
      <c r="C33" s="378"/>
      <c r="D33" s="179"/>
      <c r="E33" s="358"/>
      <c r="F33" s="381"/>
      <c r="G33" s="358"/>
      <c r="H33" s="358"/>
      <c r="I33" s="358"/>
      <c r="J33" s="361"/>
      <c r="K33" s="368"/>
      <c r="L33" s="369"/>
      <c r="M33" s="369"/>
      <c r="N33" s="369"/>
      <c r="O33" s="369"/>
      <c r="P33" s="369"/>
      <c r="Q33" s="369"/>
      <c r="R33" s="370"/>
      <c r="S33" s="371"/>
      <c r="T33" s="106"/>
      <c r="U33" s="106"/>
      <c r="V33" s="105" t="e">
        <f ca="1">C2-V32</f>
        <v>#N/A</v>
      </c>
      <c r="W33" s="13"/>
      <c r="X33" s="13"/>
      <c r="Y33" s="13"/>
      <c r="Z33" s="13"/>
      <c r="AA33" s="13"/>
      <c r="AB33" s="13"/>
      <c r="AC33" s="13"/>
      <c r="AD33" s="13"/>
      <c r="AE33" s="2"/>
      <c r="AF33" s="13"/>
      <c r="AG33" s="13"/>
      <c r="AH33" s="13"/>
      <c r="AI33" s="13"/>
      <c r="AJ33" s="13"/>
      <c r="AK33" s="13"/>
      <c r="AL33" s="13"/>
      <c r="AM33" s="13"/>
      <c r="AN33" s="31"/>
      <c r="AO33" s="31"/>
      <c r="AP33" s="52"/>
      <c r="AQ33" s="44"/>
      <c r="AR33" s="44"/>
      <c r="AS33" s="36"/>
      <c r="AT33" s="34"/>
      <c r="AU33" s="35"/>
      <c r="AV33" s="401"/>
    </row>
    <row r="34" spans="1:48" s="30" customFormat="1" ht="27" customHeight="1">
      <c r="A34" s="111"/>
      <c r="B34" s="372" t="e">
        <f>VLOOKUP(A34,'MIG SQL (MIG_LOG)'!1:1048576,4,FALSE)</f>
        <v>#N/A</v>
      </c>
      <c r="C34" s="372"/>
      <c r="D34" s="133"/>
      <c r="E34" s="379"/>
      <c r="F34" s="390"/>
      <c r="G34" s="379"/>
      <c r="H34" s="379"/>
      <c r="I34" s="379"/>
      <c r="J34" s="383"/>
      <c r="K34" s="368"/>
      <c r="L34" s="369"/>
      <c r="M34" s="369"/>
      <c r="N34" s="369"/>
      <c r="O34" s="369"/>
      <c r="P34" s="369"/>
      <c r="Q34" s="369"/>
      <c r="R34" s="391"/>
      <c r="S34" s="369"/>
      <c r="T34" s="122"/>
      <c r="U34" s="122"/>
      <c r="V34" s="107"/>
      <c r="W34" s="13"/>
      <c r="X34" s="13"/>
      <c r="Y34" s="13"/>
      <c r="Z34" s="13"/>
      <c r="AA34" s="13"/>
      <c r="AB34" s="13"/>
      <c r="AC34" s="13"/>
      <c r="AD34" s="13"/>
      <c r="AE34" s="2"/>
      <c r="AF34" s="13"/>
      <c r="AG34" s="13"/>
      <c r="AH34" s="13"/>
      <c r="AI34" s="13"/>
      <c r="AJ34" s="13"/>
      <c r="AK34" s="13"/>
      <c r="AL34" s="13"/>
      <c r="AM34" s="13"/>
      <c r="AN34" s="24"/>
      <c r="AO34" s="24"/>
      <c r="AP34" s="48"/>
      <c r="AQ34" s="41"/>
      <c r="AR34" s="55"/>
      <c r="AS34" s="27"/>
      <c r="AT34" s="37"/>
      <c r="AU34" s="38"/>
      <c r="AV34" s="400"/>
    </row>
    <row r="35" spans="1:48" s="30" customFormat="1" ht="27" customHeight="1">
      <c r="A35" s="373"/>
      <c r="B35" s="375" t="e">
        <f>VLOOKUP(A37,'V_GEN-READINESS'!1:1048576,27,)</f>
        <v>#N/A</v>
      </c>
      <c r="C35" s="377" t="s">
        <v>630</v>
      </c>
      <c r="D35" s="181"/>
      <c r="E35" s="358" t="e">
        <f>GETPIVOTDATA("EI_BEG_AGE",'HOUR PIVOT'!$A$3,"EI_ID",A37)</f>
        <v>#REF!</v>
      </c>
      <c r="F35" s="380" t="e">
        <f>SUM((GETPIVOTDATA("INSP_DATE",'D PIVOT'!$A$3,"SYS_CODE","A","INSP_NO",261,"EI_ID",A37)+270))</f>
        <v>#REF!</v>
      </c>
      <c r="G35" s="357" t="e">
        <f>SUM((MIN(GETPIVOTDATA("INSP_VAL",'H PIVOT'!$A$3,"SYS_CODE","A","INSP_NO",41,"EI_ID",A37), (GETPIVOTDATA("INSP_VAL",'H PIVOT'!$A$3,"SYS_CODE","A","INSP_NO",130,"EI_ID",A37)), (GETPIVOTDATA("INSP_VAL",'H PIVOT'!$A$3,"SYS_CODE","A","INSP_NO",135,"EI_ID",A37)), (GETPIVOTDATA("INSP_VAL",'H PIVOT'!$A$3,"SYS_CODE","A","INSP_NO",145,"EI_ID",A37)))+50)-E35)</f>
        <v>#REF!</v>
      </c>
      <c r="H35" s="357" t="e">
        <f>SUM((MIN(GETPIVOTDATA("INSP_VAL",'H PIVOT'!$A$3,"SYS_CODE","A","INSP_NO",195,"EI_ID",A37), (GETPIVOTDATA("INSP_VAL",'H PIVOT'!$A$3,"SYS_CODE","A","INSP_NO",198,"EI_ID",A37)), (GETPIVOTDATA("INSP_VAL",'H PIVOT'!$A$3,"SYS_CODE","A","INSP_NO",200,"EI_ID",A37)), (GETPIVOTDATA("INSP_VAL",'H PIVOT'!$A$3,"SYS_CODE","A","INSP_NO",224,"EI_ID",A37)))+125)-E35)</f>
        <v>#REF!</v>
      </c>
      <c r="I35" s="357" t="e">
        <f>SUM((MIN(GETPIVOTDATA("INSP_VAL",'H PIVOT'!$A$3,"SYS_CODE","A","INSP_NO",223,"EI_ID",A37), (GETPIVOTDATA("INSP_VAL",'H PIVOT'!$A$3,"SYS_CODE","A","INSP_NO",231,"EI_ID",A37)), (GETPIVOTDATA("INSP_VAL",'H PIVOT'!$A$3,"SYS_CODE","A","INSP_NO",234,"EI_ID",A37)), (GETPIVOTDATA("INSP_VAL",'H PIVOT'!$A$3,"SYS_CODE","A","INSP_NO",261,"EI_ID",A37)),(GETPIVOTDATA("INSP_VAL",'H PIVOT'!$A$3,"SYS_CODE","A","INSP_NO",270,"EI_ID",A37)),(GETPIVOTDATA("INSP_VAL",'H PIVOT'!$A$3,"SYS_CODE","A","INSP_NO",275,"EI_ID",A37)),(GETPIVOTDATA("INSP_VAL",'H PIVOT'!$A$3,"SYS_CODE","A","INSP_NO",290,"EI_ID",A37)),(GETPIVOTDATA("INSP_VAL",'H PIVOT'!$A$3,"SYS_CODE","A","INSP_NO",295,"EI_ID",A37)),(GETPIVOTDATA("INSP_VAL",'H PIVOT'!$A$3,"SYS_CODE","A","INSP_NO",300,"EI_ID",A37)),(GETPIVOTDATA("INSP_VAL",'H PIVOT'!$A$3,"SYS_CODE","A","INSP_NO",465,"EI_ID",A37)),(GETPIVOTDATA("INSP_VAL",'H PIVOT'!$A$3,"SYS_CODE","A","INSP_NO",757,"EI_ID",A37)))+250)-E35)</f>
        <v>#REF!</v>
      </c>
      <c r="J35" s="360" t="e">
        <f>SUM((MIN(GETPIVOTDATA("INSP_VAL",'H PIVOT'!$A$3,"SYS_CODE","A","INSP_NO",226,"EI_ID",A37), (GETPIVOTDATA("INSP_VAL",'H PIVOT'!$A$3,"SYS_CODE","A","INSP_NO",230,"EI_ID",A37)), (GETPIVOTDATA("INSP_VAL",'H PIVOT'!$A$3,"SYS_CODE","A","INSP_NO",400,"EI_ID",A37)), (GETPIVOTDATA("INSP_VAL",'H PIVOT'!$A$3,"SYS_CODE","A","INSP_NO",755,"EI_ID",A37)))+500)-E35)</f>
        <v>#REF!</v>
      </c>
      <c r="K35" s="363"/>
      <c r="L35" s="364"/>
      <c r="M35" s="364"/>
      <c r="N35" s="364"/>
      <c r="O35" s="364"/>
      <c r="P35" s="364"/>
      <c r="Q35" s="364"/>
      <c r="R35" s="366"/>
      <c r="S35" s="367"/>
      <c r="T35" s="112"/>
      <c r="U35" s="112"/>
      <c r="V35" s="161" t="e">
        <f>IF(B35="FMC",0,VLOOKUP(A37,#REF!,17,FALSE))</f>
        <v>#N/A</v>
      </c>
      <c r="W35" s="13"/>
      <c r="X35" s="13"/>
      <c r="Y35" s="13"/>
      <c r="Z35" s="13"/>
      <c r="AA35" s="13"/>
      <c r="AB35" s="13"/>
      <c r="AC35" s="13"/>
      <c r="AD35" s="13"/>
      <c r="AE35" s="2"/>
      <c r="AF35" s="13"/>
      <c r="AG35" s="13"/>
      <c r="AH35" s="13"/>
      <c r="AI35" s="13"/>
      <c r="AJ35" s="13"/>
      <c r="AK35" s="13"/>
      <c r="AL35" s="13"/>
      <c r="AM35" s="13"/>
      <c r="AN35" s="23"/>
      <c r="AO35" s="23"/>
      <c r="AP35" s="59"/>
      <c r="AQ35" s="58"/>
      <c r="AR35" s="60"/>
      <c r="AS35" s="56"/>
      <c r="AT35" s="50"/>
      <c r="AU35" s="38"/>
      <c r="AV35" s="400"/>
    </row>
    <row r="36" spans="1:48" s="30" customFormat="1" ht="27" customHeight="1">
      <c r="A36" s="374"/>
      <c r="B36" s="376"/>
      <c r="C36" s="378"/>
      <c r="D36" s="179"/>
      <c r="E36" s="358"/>
      <c r="F36" s="381"/>
      <c r="G36" s="358"/>
      <c r="H36" s="358"/>
      <c r="I36" s="358"/>
      <c r="J36" s="361"/>
      <c r="K36" s="368"/>
      <c r="L36" s="369"/>
      <c r="M36" s="369"/>
      <c r="N36" s="369"/>
      <c r="O36" s="369"/>
      <c r="P36" s="369"/>
      <c r="Q36" s="369"/>
      <c r="R36" s="370"/>
      <c r="S36" s="371"/>
      <c r="T36" s="106"/>
      <c r="U36" s="106"/>
      <c r="V36" s="105" t="e">
        <f ca="1">C2-V35</f>
        <v>#N/A</v>
      </c>
      <c r="W36" s="13"/>
      <c r="X36" s="13"/>
      <c r="Y36" s="13"/>
      <c r="Z36" s="13"/>
      <c r="AA36" s="13"/>
      <c r="AB36" s="13"/>
      <c r="AC36" s="13"/>
      <c r="AD36" s="13"/>
      <c r="AE36" s="2"/>
      <c r="AF36" s="13"/>
      <c r="AG36" s="13"/>
      <c r="AH36" s="13"/>
      <c r="AI36" s="13"/>
      <c r="AJ36" s="13"/>
      <c r="AK36" s="13"/>
      <c r="AL36" s="13"/>
      <c r="AM36" s="13"/>
      <c r="AN36" s="31"/>
      <c r="AO36" s="31"/>
      <c r="AP36" s="52"/>
      <c r="AQ36" s="62"/>
      <c r="AR36" s="62"/>
      <c r="AS36" s="36"/>
      <c r="AT36" s="34"/>
      <c r="AU36" s="35"/>
      <c r="AV36" s="400"/>
    </row>
    <row r="37" spans="1:48" s="30" customFormat="1" ht="27" customHeight="1">
      <c r="A37" s="111"/>
      <c r="B37" s="384" t="e">
        <f>VLOOKUP(A37,'MIG SQL (MIG_LOG)'!1:1048576,4,FALSE)</f>
        <v>#N/A</v>
      </c>
      <c r="C37" s="384"/>
      <c r="D37" s="131"/>
      <c r="E37" s="379"/>
      <c r="F37" s="390"/>
      <c r="G37" s="379"/>
      <c r="H37" s="379"/>
      <c r="I37" s="379"/>
      <c r="J37" s="383"/>
      <c r="K37" s="385"/>
      <c r="L37" s="386"/>
      <c r="M37" s="386"/>
      <c r="N37" s="386"/>
      <c r="O37" s="386"/>
      <c r="P37" s="386"/>
      <c r="Q37" s="386"/>
      <c r="R37" s="394"/>
      <c r="S37" s="395"/>
      <c r="T37" s="124"/>
      <c r="U37" s="124"/>
      <c r="V37" s="113"/>
      <c r="W37" s="13"/>
      <c r="X37" s="13"/>
      <c r="Y37" s="13"/>
      <c r="Z37" s="13"/>
      <c r="AA37" s="13"/>
      <c r="AB37" s="13"/>
      <c r="AC37" s="13"/>
      <c r="AD37" s="13"/>
      <c r="AE37" s="2"/>
      <c r="AF37" s="13"/>
      <c r="AG37" s="13"/>
      <c r="AH37" s="13"/>
      <c r="AI37" s="13"/>
      <c r="AJ37" s="13"/>
      <c r="AK37" s="13"/>
      <c r="AL37" s="13"/>
      <c r="AM37" s="13"/>
      <c r="AN37" s="23"/>
      <c r="AO37" s="23"/>
      <c r="AP37" s="59"/>
      <c r="AQ37" s="41"/>
      <c r="AR37" s="49"/>
      <c r="AS37" s="36"/>
      <c r="AT37" s="50"/>
      <c r="AU37" s="35"/>
      <c r="AV37" s="400"/>
    </row>
    <row r="38" spans="1:48" s="30" customFormat="1" ht="27" customHeight="1">
      <c r="A38" s="373"/>
      <c r="B38" s="388" t="e">
        <f>VLOOKUP(A40,'V_GEN-READINESS'!1:1048576,27,)</f>
        <v>#N/A</v>
      </c>
      <c r="C38" s="389" t="s">
        <v>630</v>
      </c>
      <c r="D38" s="181"/>
      <c r="E38" s="358" t="e">
        <f>GETPIVOTDATA("EI_BEG_AGE",'HOUR PIVOT'!$A$3,"EI_ID",A40)</f>
        <v>#REF!</v>
      </c>
      <c r="F38" s="380" t="e">
        <f>SUM((GETPIVOTDATA("INSP_DATE",'D PIVOT'!$A$3,"SYS_CODE","A","INSP_NO",261,"EI_ID",A40)+270))</f>
        <v>#REF!</v>
      </c>
      <c r="G38" s="357" t="e">
        <f>SUM((MIN(GETPIVOTDATA("INSP_VAL",'H PIVOT'!$A$3,"SYS_CODE","A","INSP_NO",41,"EI_ID",A40), (GETPIVOTDATA("INSP_VAL",'H PIVOT'!$A$3,"SYS_CODE","A","INSP_NO",130,"EI_ID",A40)), (GETPIVOTDATA("INSP_VAL",'H PIVOT'!$A$3,"SYS_CODE","A","INSP_NO",135,"EI_ID",A40)), (GETPIVOTDATA("INSP_VAL",'H PIVOT'!$A$3,"SYS_CODE","A","INSP_NO",145,"EI_ID",A40)))+50)-E38)</f>
        <v>#REF!</v>
      </c>
      <c r="H38" s="357" t="e">
        <f>SUM((MIN(GETPIVOTDATA("INSP_VAL",'H PIVOT'!$A$3,"SYS_CODE","A","INSP_NO",195,"EI_ID",A40), (GETPIVOTDATA("INSP_VAL",'H PIVOT'!$A$3,"SYS_CODE","A","INSP_NO",198,"EI_ID",A40)), (GETPIVOTDATA("INSP_VAL",'H PIVOT'!$A$3,"SYS_CODE","A","INSP_NO",200,"EI_ID",A40)), (GETPIVOTDATA("INSP_VAL",'H PIVOT'!$A$3,"SYS_CODE","A","INSP_NO",224,"EI_ID",A40)))+125)-E38)</f>
        <v>#REF!</v>
      </c>
      <c r="I38" s="357" t="e">
        <f>SUM((MIN(GETPIVOTDATA("INSP_VAL",'H PIVOT'!$A$3,"SYS_CODE","A","INSP_NO",223,"EI_ID",A40), (GETPIVOTDATA("INSP_VAL",'H PIVOT'!$A$3,"SYS_CODE","A","INSP_NO",231,"EI_ID",A40)), (GETPIVOTDATA("INSP_VAL",'H PIVOT'!$A$3,"SYS_CODE","A","INSP_NO",234,"EI_ID",A40)), (GETPIVOTDATA("INSP_VAL",'H PIVOT'!$A$3,"SYS_CODE","A","INSP_NO",261,"EI_ID",A40)),(GETPIVOTDATA("INSP_VAL",'H PIVOT'!$A$3,"SYS_CODE","A","INSP_NO",270,"EI_ID",A40)),(GETPIVOTDATA("INSP_VAL",'H PIVOT'!$A$3,"SYS_CODE","A","INSP_NO",275,"EI_ID",A40)),(GETPIVOTDATA("INSP_VAL",'H PIVOT'!$A$3,"SYS_CODE","A","INSP_NO",290,"EI_ID",A40)),(GETPIVOTDATA("INSP_VAL",'H PIVOT'!$A$3,"SYS_CODE","A","INSP_NO",295,"EI_ID",A40)),(GETPIVOTDATA("INSP_VAL",'H PIVOT'!$A$3,"SYS_CODE","A","INSP_NO",300,"EI_ID",A40)),(GETPIVOTDATA("INSP_VAL",'H PIVOT'!$A$3,"SYS_CODE","A","INSP_NO",465,"EI_ID",A40)),(GETPIVOTDATA("INSP_VAL",'H PIVOT'!$A$3,"SYS_CODE","A","INSP_NO",757,"EI_ID",A40)))+250)-E38)</f>
        <v>#REF!</v>
      </c>
      <c r="J38" s="360" t="e">
        <f>SUM((MIN(GETPIVOTDATA("INSP_VAL",'H PIVOT'!$A$3,"SYS_CODE","A","INSP_NO",226,"EI_ID",A40), (GETPIVOTDATA("INSP_VAL",'H PIVOT'!$A$3,"SYS_CODE","A","INSP_NO",230,"EI_ID",A40)), (GETPIVOTDATA("INSP_VAL",'H PIVOT'!$A$3,"SYS_CODE","A","INSP_NO",400,"EI_ID",A40)), (GETPIVOTDATA("INSP_VAL",'H PIVOT'!$A$3,"SYS_CODE","A","INSP_NO",755,"EI_ID",A40)))+500)-E38)</f>
        <v>#REF!</v>
      </c>
      <c r="K38" s="368"/>
      <c r="L38" s="369"/>
      <c r="M38" s="369"/>
      <c r="N38" s="369"/>
      <c r="O38" s="369"/>
      <c r="P38" s="369"/>
      <c r="Q38" s="369"/>
      <c r="R38" s="370"/>
      <c r="S38" s="371"/>
      <c r="T38" s="106"/>
      <c r="U38" s="106"/>
      <c r="V38" s="160" t="e">
        <f>IF(B38="FMC",0,VLOOKUP(A40,#REF!,17,FALSE))</f>
        <v>#N/A</v>
      </c>
      <c r="W38" s="13"/>
      <c r="X38" s="13"/>
      <c r="Y38" s="13"/>
      <c r="Z38" s="13"/>
      <c r="AA38" s="13"/>
      <c r="AB38" s="13"/>
      <c r="AC38" s="13"/>
      <c r="AD38" s="13"/>
      <c r="AE38" s="2"/>
      <c r="AF38" s="13"/>
      <c r="AG38" s="13"/>
      <c r="AH38" s="13"/>
      <c r="AI38" s="13"/>
      <c r="AJ38" s="13"/>
      <c r="AK38" s="13"/>
      <c r="AL38" s="13"/>
      <c r="AM38" s="13"/>
      <c r="AN38" s="23"/>
      <c r="AO38" s="23"/>
      <c r="AP38" s="59"/>
      <c r="AQ38" s="63"/>
      <c r="AR38" s="63"/>
      <c r="AS38" s="27"/>
      <c r="AT38" s="34"/>
      <c r="AU38" s="35"/>
      <c r="AV38" s="400"/>
    </row>
    <row r="39" spans="1:48" s="30" customFormat="1" ht="27" customHeight="1">
      <c r="A39" s="374"/>
      <c r="B39" s="376"/>
      <c r="C39" s="378"/>
      <c r="D39" s="179"/>
      <c r="E39" s="358"/>
      <c r="F39" s="381"/>
      <c r="G39" s="358"/>
      <c r="H39" s="358"/>
      <c r="I39" s="358"/>
      <c r="J39" s="361"/>
      <c r="K39" s="368"/>
      <c r="L39" s="369"/>
      <c r="M39" s="369"/>
      <c r="N39" s="369"/>
      <c r="O39" s="369"/>
      <c r="P39" s="369"/>
      <c r="Q39" s="369"/>
      <c r="R39" s="370"/>
      <c r="S39" s="371"/>
      <c r="T39" s="106"/>
      <c r="U39" s="106"/>
      <c r="V39" s="105" t="e">
        <f ca="1">C2-V38</f>
        <v>#N/A</v>
      </c>
      <c r="W39" s="13"/>
      <c r="X39" s="13"/>
      <c r="Y39" s="13"/>
      <c r="Z39" s="13"/>
      <c r="AA39" s="13"/>
      <c r="AB39" s="13"/>
      <c r="AC39" s="13"/>
      <c r="AD39" s="13"/>
      <c r="AE39" s="2"/>
      <c r="AF39" s="13"/>
      <c r="AG39" s="13"/>
      <c r="AH39" s="13"/>
      <c r="AI39" s="13"/>
      <c r="AJ39" s="13"/>
      <c r="AK39" s="13"/>
      <c r="AL39" s="13"/>
      <c r="AM39" s="13"/>
      <c r="AN39" s="31"/>
      <c r="AO39" s="31"/>
      <c r="AP39" s="52"/>
      <c r="AQ39" s="47"/>
      <c r="AR39" s="47"/>
      <c r="AS39" s="36"/>
      <c r="AT39" s="34"/>
      <c r="AU39" s="35"/>
      <c r="AV39" s="400"/>
    </row>
    <row r="40" spans="1:48" s="30" customFormat="1" ht="27" customHeight="1">
      <c r="A40" s="111"/>
      <c r="B40" s="372" t="e">
        <f>VLOOKUP(A40,'MIG SQL (MIG_LOG)'!1:1048576,4,FALSE)</f>
        <v>#N/A</v>
      </c>
      <c r="C40" s="372"/>
      <c r="D40" s="133"/>
      <c r="E40" s="379"/>
      <c r="F40" s="390"/>
      <c r="G40" s="379"/>
      <c r="H40" s="379"/>
      <c r="I40" s="379"/>
      <c r="J40" s="383"/>
      <c r="K40" s="368"/>
      <c r="L40" s="369"/>
      <c r="M40" s="369"/>
      <c r="N40" s="369"/>
      <c r="O40" s="369"/>
      <c r="P40" s="369"/>
      <c r="Q40" s="369"/>
      <c r="R40" s="391"/>
      <c r="S40" s="369"/>
      <c r="T40" s="122"/>
      <c r="U40" s="122"/>
      <c r="V40" s="107"/>
      <c r="W40" s="13"/>
      <c r="X40" s="13"/>
      <c r="Y40" s="13"/>
      <c r="Z40" s="13"/>
      <c r="AA40" s="13"/>
      <c r="AB40" s="13"/>
      <c r="AC40" s="13"/>
      <c r="AD40" s="13"/>
      <c r="AE40" s="2"/>
      <c r="AF40" s="13"/>
      <c r="AG40" s="13"/>
      <c r="AH40" s="13"/>
      <c r="AI40" s="13"/>
      <c r="AJ40" s="13"/>
      <c r="AK40" s="13"/>
      <c r="AL40" s="13"/>
      <c r="AM40" s="13"/>
      <c r="AN40" s="23"/>
      <c r="AO40" s="23"/>
      <c r="AP40" s="59"/>
      <c r="AQ40" s="26"/>
      <c r="AR40" s="26"/>
      <c r="AS40" s="36"/>
      <c r="AT40" s="50"/>
      <c r="AU40" s="38"/>
      <c r="AV40" s="399"/>
    </row>
    <row r="41" spans="1:48" s="30" customFormat="1" ht="27" customHeight="1">
      <c r="A41" s="373"/>
      <c r="B41" s="375" t="e">
        <f>VLOOKUP(A43,'V_GEN-READINESS'!1:1048576,27,)</f>
        <v>#N/A</v>
      </c>
      <c r="C41" s="377" t="s">
        <v>630</v>
      </c>
      <c r="D41" s="181"/>
      <c r="E41" s="358" t="e">
        <f>GETPIVOTDATA("EI_BEG_AGE",'HOUR PIVOT'!$A$3,"EI_ID",A43)</f>
        <v>#REF!</v>
      </c>
      <c r="F41" s="380" t="e">
        <f>SUM((GETPIVOTDATA("INSP_DATE",'D PIVOT'!$A$3,"SYS_CODE","A","INSP_NO",261,"EI_ID",A43)+270))</f>
        <v>#REF!</v>
      </c>
      <c r="G41" s="357" t="e">
        <f>SUM((MIN(GETPIVOTDATA("INSP_VAL",'H PIVOT'!$A$3,"SYS_CODE","A","INSP_NO",41,"EI_ID",A43), (GETPIVOTDATA("INSP_VAL",'H PIVOT'!$A$3,"SYS_CODE","A","INSP_NO",130,"EI_ID",A43)), (GETPIVOTDATA("INSP_VAL",'H PIVOT'!$A$3,"SYS_CODE","A","INSP_NO",135,"EI_ID",A43)), (GETPIVOTDATA("INSP_VAL",'H PIVOT'!$A$3,"SYS_CODE","A","INSP_NO",145,"EI_ID",A43)))+50)-E41)</f>
        <v>#REF!</v>
      </c>
      <c r="H41" s="357" t="e">
        <f>SUM((MIN(GETPIVOTDATA("INSP_VAL",'H PIVOT'!$A$3,"SYS_CODE","A","INSP_NO",195,"EI_ID",A43), (GETPIVOTDATA("INSP_VAL",'H PIVOT'!$A$3,"SYS_CODE","A","INSP_NO",198,"EI_ID",A43)), (GETPIVOTDATA("INSP_VAL",'H PIVOT'!$A$3,"SYS_CODE","A","INSP_NO",200,"EI_ID",A43)), (GETPIVOTDATA("INSP_VAL",'H PIVOT'!$A$3,"SYS_CODE","A","INSP_NO",224,"EI_ID",A43)))+125)-E41)</f>
        <v>#REF!</v>
      </c>
      <c r="I41" s="357" t="e">
        <f>SUM((MIN(GETPIVOTDATA("INSP_VAL",'H PIVOT'!$A$3,"SYS_CODE","A","INSP_NO",223,"EI_ID",A43), (GETPIVOTDATA("INSP_VAL",'H PIVOT'!$A$3,"SYS_CODE","A","INSP_NO",231,"EI_ID",A43)), (GETPIVOTDATA("INSP_VAL",'H PIVOT'!$A$3,"SYS_CODE","A","INSP_NO",234,"EI_ID",A43)), (GETPIVOTDATA("INSP_VAL",'H PIVOT'!$A$3,"SYS_CODE","A","INSP_NO",261,"EI_ID",A43)),(GETPIVOTDATA("INSP_VAL",'H PIVOT'!$A$3,"SYS_CODE","A","INSP_NO",270,"EI_ID",A43)),(GETPIVOTDATA("INSP_VAL",'H PIVOT'!$A$3,"SYS_CODE","A","INSP_NO",275,"EI_ID",A43)),(GETPIVOTDATA("INSP_VAL",'H PIVOT'!$A$3,"SYS_CODE","A","INSP_NO",290,"EI_ID",A43)),(GETPIVOTDATA("INSP_VAL",'H PIVOT'!$A$3,"SYS_CODE","A","INSP_NO",295,"EI_ID",A43)),(GETPIVOTDATA("INSP_VAL",'H PIVOT'!$A$3,"SYS_CODE","A","INSP_NO",300,"EI_ID",A43)),(GETPIVOTDATA("INSP_VAL",'H PIVOT'!$A$3,"SYS_CODE","A","INSP_NO",465,"EI_ID",A43)),(GETPIVOTDATA("INSP_VAL",'H PIVOT'!$A$3,"SYS_CODE","A","INSP_NO",757,"EI_ID",A43)))+250)-E41)</f>
        <v>#REF!</v>
      </c>
      <c r="J41" s="360" t="e">
        <f>SUM((MIN(GETPIVOTDATA("INSP_VAL",'H PIVOT'!$A$3,"SYS_CODE","A","INSP_NO",226,"EI_ID",A43), (GETPIVOTDATA("INSP_VAL",'H PIVOT'!$A$3,"SYS_CODE","A","INSP_NO",230,"EI_ID",A43)), (GETPIVOTDATA("INSP_VAL",'H PIVOT'!$A$3,"SYS_CODE","A","INSP_NO",400,"EI_ID",A43)), (GETPIVOTDATA("INSP_VAL",'H PIVOT'!$A$3,"SYS_CODE","A","INSP_NO",755,"EI_ID",A43)))+500)-E41)</f>
        <v>#REF!</v>
      </c>
      <c r="K41" s="363"/>
      <c r="L41" s="364"/>
      <c r="M41" s="364"/>
      <c r="N41" s="364"/>
      <c r="O41" s="364"/>
      <c r="P41" s="364"/>
      <c r="Q41" s="364"/>
      <c r="R41" s="366"/>
      <c r="S41" s="367"/>
      <c r="T41" s="112"/>
      <c r="U41" s="112"/>
      <c r="V41" s="161" t="e">
        <f>IF(B41="FMC",0,VLOOKUP(A43,#REF!,17,FALSE))</f>
        <v>#N/A</v>
      </c>
      <c r="W41" s="13"/>
      <c r="X41" s="13"/>
      <c r="Y41" s="13"/>
      <c r="Z41" s="13"/>
      <c r="AA41" s="13"/>
      <c r="AB41" s="13"/>
      <c r="AC41" s="13"/>
      <c r="AD41" s="13"/>
      <c r="AE41" s="2"/>
      <c r="AF41" s="13"/>
      <c r="AG41" s="13"/>
      <c r="AH41" s="13"/>
      <c r="AI41" s="13"/>
      <c r="AJ41" s="13"/>
      <c r="AK41" s="13"/>
      <c r="AL41" s="13"/>
      <c r="AM41" s="13"/>
      <c r="AN41" s="31"/>
      <c r="AO41" s="31"/>
      <c r="AP41" s="52"/>
      <c r="AQ41" s="26"/>
      <c r="AR41" s="26"/>
      <c r="AS41" s="36"/>
      <c r="AT41" s="50"/>
      <c r="AU41" s="38"/>
      <c r="AV41" s="399"/>
    </row>
    <row r="42" spans="1:48" s="30" customFormat="1" ht="27" customHeight="1">
      <c r="A42" s="374"/>
      <c r="B42" s="376"/>
      <c r="C42" s="378"/>
      <c r="D42" s="179"/>
      <c r="E42" s="358"/>
      <c r="F42" s="381"/>
      <c r="G42" s="358"/>
      <c r="H42" s="358"/>
      <c r="I42" s="358"/>
      <c r="J42" s="361"/>
      <c r="K42" s="368"/>
      <c r="L42" s="369"/>
      <c r="M42" s="369"/>
      <c r="N42" s="369"/>
      <c r="O42" s="369"/>
      <c r="P42" s="369"/>
      <c r="Q42" s="369"/>
      <c r="R42" s="392"/>
      <c r="S42" s="393"/>
      <c r="T42" s="106"/>
      <c r="U42" s="106"/>
      <c r="V42" s="105" t="e">
        <f ca="1">C2-V41</f>
        <v>#N/A</v>
      </c>
      <c r="W42" s="13"/>
      <c r="X42" s="13"/>
      <c r="Y42" s="13"/>
      <c r="Z42" s="13"/>
      <c r="AA42" s="13"/>
      <c r="AB42" s="13"/>
      <c r="AC42" s="13"/>
      <c r="AD42" s="13"/>
      <c r="AE42" s="2"/>
      <c r="AF42" s="13"/>
      <c r="AG42" s="13"/>
      <c r="AH42" s="13"/>
      <c r="AI42" s="13"/>
      <c r="AJ42" s="13"/>
      <c r="AK42" s="13"/>
      <c r="AL42" s="13"/>
      <c r="AM42" s="13"/>
      <c r="AN42" s="31"/>
      <c r="AO42" s="31"/>
      <c r="AP42" s="52"/>
      <c r="AQ42" s="26"/>
      <c r="AR42" s="26"/>
      <c r="AS42" s="36"/>
      <c r="AT42" s="50"/>
      <c r="AU42" s="38"/>
      <c r="AV42" s="399"/>
    </row>
    <row r="43" spans="1:48" s="30" customFormat="1" ht="27" customHeight="1">
      <c r="A43" s="111"/>
      <c r="B43" s="384" t="e">
        <f>VLOOKUP(A43,'MIG SQL (MIG_LOG)'!1:1048576,4,FALSE)</f>
        <v>#N/A</v>
      </c>
      <c r="C43" s="384"/>
      <c r="D43" s="131"/>
      <c r="E43" s="379"/>
      <c r="F43" s="390"/>
      <c r="G43" s="379"/>
      <c r="H43" s="379"/>
      <c r="I43" s="379"/>
      <c r="J43" s="383"/>
      <c r="K43" s="385"/>
      <c r="L43" s="386"/>
      <c r="M43" s="386"/>
      <c r="N43" s="386"/>
      <c r="O43" s="386"/>
      <c r="P43" s="386"/>
      <c r="Q43" s="386"/>
      <c r="R43" s="387"/>
      <c r="S43" s="386"/>
      <c r="T43" s="124"/>
      <c r="U43" s="124"/>
      <c r="V43" s="113"/>
      <c r="W43" s="13"/>
      <c r="X43" s="13"/>
      <c r="Y43" s="13"/>
      <c r="Z43" s="13"/>
      <c r="AA43" s="13"/>
      <c r="AB43" s="13"/>
      <c r="AC43" s="13"/>
      <c r="AD43" s="13"/>
      <c r="AE43" s="2"/>
      <c r="AF43" s="13"/>
      <c r="AG43" s="13"/>
      <c r="AH43" s="13"/>
      <c r="AI43" s="13"/>
      <c r="AJ43" s="13"/>
      <c r="AK43" s="13"/>
      <c r="AL43" s="13"/>
      <c r="AM43" s="13"/>
      <c r="AN43" s="31"/>
      <c r="AO43" s="31"/>
      <c r="AP43" s="52"/>
      <c r="AQ43" s="26"/>
      <c r="AR43" s="26"/>
      <c r="AS43" s="36"/>
      <c r="AT43" s="50"/>
      <c r="AU43" s="38"/>
      <c r="AV43" s="399"/>
    </row>
    <row r="44" spans="1:48" s="30" customFormat="1" ht="27" customHeight="1">
      <c r="A44" s="373"/>
      <c r="B44" s="388" t="e">
        <f>VLOOKUP(A46,'V_GEN-READINESS'!1:1048576,27,)</f>
        <v>#N/A</v>
      </c>
      <c r="C44" s="389" t="s">
        <v>630</v>
      </c>
      <c r="D44" s="181"/>
      <c r="E44" s="358" t="e">
        <f>GETPIVOTDATA("EI_BEG_AGE",'HOUR PIVOT'!$A$3,"EI_ID",A46)</f>
        <v>#REF!</v>
      </c>
      <c r="F44" s="380" t="e">
        <f>SUM((GETPIVOTDATA("INSP_DATE",'D PIVOT'!$A$3,"SYS_CODE","A","INSP_NO",261,"EI_ID",A46)+270))</f>
        <v>#REF!</v>
      </c>
      <c r="G44" s="357" t="e">
        <f>SUM((MIN(GETPIVOTDATA("INSP_VAL",'H PIVOT'!$A$3,"SYS_CODE","A","INSP_NO",41,"EI_ID",A46), (GETPIVOTDATA("INSP_VAL",'H PIVOT'!$A$3,"SYS_CODE","A","INSP_NO",130,"EI_ID",A46)), (GETPIVOTDATA("INSP_VAL",'H PIVOT'!$A$3,"SYS_CODE","A","INSP_NO",135,"EI_ID",A46)), (GETPIVOTDATA("INSP_VAL",'H PIVOT'!$A$3,"SYS_CODE","A","INSP_NO",145,"EI_ID",A46)))+50)-E44)</f>
        <v>#REF!</v>
      </c>
      <c r="H44" s="357" t="e">
        <f>SUM((MIN(GETPIVOTDATA("INSP_VAL",'H PIVOT'!$A$3,"SYS_CODE","A","INSP_NO",195,"EI_ID",A46), (GETPIVOTDATA("INSP_VAL",'H PIVOT'!$A$3,"SYS_CODE","A","INSP_NO",198,"EI_ID",A46)), (GETPIVOTDATA("INSP_VAL",'H PIVOT'!$A$3,"SYS_CODE","A","INSP_NO",200,"EI_ID",A46)), (GETPIVOTDATA("INSP_VAL",'H PIVOT'!$A$3,"SYS_CODE","A","INSP_NO",224,"EI_ID",A46)))+125)-E44)</f>
        <v>#REF!</v>
      </c>
      <c r="I44" s="357" t="e">
        <f>SUM((MIN(GETPIVOTDATA("INSP_VAL",'H PIVOT'!$A$3,"SYS_CODE","A","INSP_NO",223,"EI_ID",A46), (GETPIVOTDATA("INSP_VAL",'H PIVOT'!$A$3,"SYS_CODE","A","INSP_NO",231,"EI_ID",A46)), (GETPIVOTDATA("INSP_VAL",'H PIVOT'!$A$3,"SYS_CODE","A","INSP_NO",234,"EI_ID",A46)), (GETPIVOTDATA("INSP_VAL",'H PIVOT'!$A$3,"SYS_CODE","A","INSP_NO",261,"EI_ID",A46)),(GETPIVOTDATA("INSP_VAL",'H PIVOT'!$A$3,"SYS_CODE","A","INSP_NO",270,"EI_ID",A46)),(GETPIVOTDATA("INSP_VAL",'H PIVOT'!$A$3,"SYS_CODE","A","INSP_NO",275,"EI_ID",A46)),(GETPIVOTDATA("INSP_VAL",'H PIVOT'!$A$3,"SYS_CODE","A","INSP_NO",290,"EI_ID",A46)),(GETPIVOTDATA("INSP_VAL",'H PIVOT'!$A$3,"SYS_CODE","A","INSP_NO",295,"EI_ID",A46)),(GETPIVOTDATA("INSP_VAL",'H PIVOT'!$A$3,"SYS_CODE","A","INSP_NO",300,"EI_ID",A46)),(GETPIVOTDATA("INSP_VAL",'H PIVOT'!$A$3,"SYS_CODE","A","INSP_NO",465,"EI_ID",A46)),(GETPIVOTDATA("INSP_VAL",'H PIVOT'!$A$3,"SYS_CODE","A","INSP_NO",757,"EI_ID",A46)))+250)-E44)</f>
        <v>#REF!</v>
      </c>
      <c r="J44" s="360" t="e">
        <f>SUM((MIN(GETPIVOTDATA("INSP_VAL",'H PIVOT'!$A$3,"SYS_CODE","A","INSP_NO",226,"EI_ID",A46), (GETPIVOTDATA("INSP_VAL",'H PIVOT'!$A$3,"SYS_CODE","A","INSP_NO",230,"EI_ID",A46)), (GETPIVOTDATA("INSP_VAL",'H PIVOT'!$A$3,"SYS_CODE","A","INSP_NO",400,"EI_ID",A46)), (GETPIVOTDATA("INSP_VAL",'H PIVOT'!$A$3,"SYS_CODE","A","INSP_NO",755,"EI_ID",A46)))+500)-E44)</f>
        <v>#REF!</v>
      </c>
      <c r="K44" s="368"/>
      <c r="L44" s="369"/>
      <c r="M44" s="369"/>
      <c r="N44" s="369"/>
      <c r="O44" s="369"/>
      <c r="P44" s="369"/>
      <c r="Q44" s="369"/>
      <c r="R44" s="370"/>
      <c r="S44" s="371"/>
      <c r="T44" s="106"/>
      <c r="U44" s="106"/>
      <c r="V44" s="160" t="e">
        <f>IF(B44="FMC",0,VLOOKUP(A46,#REF!,17,FALSE))</f>
        <v>#N/A</v>
      </c>
      <c r="W44" s="13"/>
      <c r="X44" s="13"/>
      <c r="Y44" s="13"/>
      <c r="Z44" s="13"/>
      <c r="AA44" s="13"/>
      <c r="AB44" s="13"/>
      <c r="AC44" s="13"/>
      <c r="AD44" s="13"/>
      <c r="AE44" s="2"/>
      <c r="AF44" s="13"/>
      <c r="AG44" s="13"/>
      <c r="AH44" s="13"/>
      <c r="AI44" s="13"/>
      <c r="AJ44" s="13"/>
      <c r="AK44" s="13"/>
      <c r="AL44" s="13"/>
      <c r="AM44" s="13"/>
      <c r="AN44" s="23"/>
      <c r="AO44" s="23"/>
      <c r="AP44" s="59"/>
      <c r="AQ44" s="41"/>
      <c r="AR44" s="22"/>
      <c r="AS44" s="22"/>
      <c r="AT44" s="50"/>
      <c r="AU44" s="38"/>
      <c r="AV44" s="399"/>
    </row>
    <row r="45" spans="1:48" s="30" customFormat="1" ht="27" customHeight="1">
      <c r="A45" s="374"/>
      <c r="B45" s="376"/>
      <c r="C45" s="378"/>
      <c r="D45" s="179"/>
      <c r="E45" s="358"/>
      <c r="F45" s="381"/>
      <c r="G45" s="358"/>
      <c r="H45" s="358"/>
      <c r="I45" s="358"/>
      <c r="J45" s="361"/>
      <c r="K45" s="368"/>
      <c r="L45" s="369"/>
      <c r="M45" s="369"/>
      <c r="N45" s="369"/>
      <c r="O45" s="369"/>
      <c r="P45" s="369"/>
      <c r="Q45" s="369"/>
      <c r="R45" s="370"/>
      <c r="S45" s="371"/>
      <c r="T45" s="106"/>
      <c r="U45" s="106"/>
      <c r="V45" s="105" t="e">
        <f ca="1">C2-V44</f>
        <v>#N/A</v>
      </c>
      <c r="W45" s="13"/>
      <c r="X45" s="13"/>
      <c r="Y45" s="13"/>
      <c r="Z45" s="13"/>
      <c r="AA45" s="13"/>
      <c r="AB45" s="13"/>
      <c r="AC45" s="13"/>
      <c r="AD45" s="13"/>
      <c r="AE45" s="2"/>
      <c r="AF45" s="13"/>
      <c r="AG45" s="13"/>
      <c r="AH45" s="13"/>
      <c r="AI45" s="13"/>
      <c r="AJ45" s="13"/>
      <c r="AK45" s="13"/>
      <c r="AL45" s="13"/>
      <c r="AM45" s="13"/>
      <c r="AN45" s="31"/>
      <c r="AO45" s="31"/>
      <c r="AP45" s="52"/>
      <c r="AQ45" s="41"/>
      <c r="AR45" s="64"/>
      <c r="AS45" s="36"/>
      <c r="AT45" s="50"/>
      <c r="AU45" s="38"/>
      <c r="AV45" s="399"/>
    </row>
    <row r="46" spans="1:48" s="30" customFormat="1" ht="27" customHeight="1">
      <c r="A46" s="111"/>
      <c r="B46" s="372" t="e">
        <f>VLOOKUP(A46,'MIG SQL (MIG_LOG)'!1:1048576,4,FALSE)</f>
        <v>#N/A</v>
      </c>
      <c r="C46" s="372"/>
      <c r="D46" s="133"/>
      <c r="E46" s="379"/>
      <c r="F46" s="390"/>
      <c r="G46" s="379"/>
      <c r="H46" s="379"/>
      <c r="I46" s="379"/>
      <c r="J46" s="383"/>
      <c r="K46" s="368"/>
      <c r="L46" s="369"/>
      <c r="M46" s="369"/>
      <c r="N46" s="369"/>
      <c r="O46" s="369"/>
      <c r="P46" s="369"/>
      <c r="Q46" s="369"/>
      <c r="R46" s="391"/>
      <c r="S46" s="369"/>
      <c r="T46" s="122"/>
      <c r="U46" s="122"/>
      <c r="V46" s="107"/>
      <c r="W46" s="13"/>
      <c r="X46" s="13"/>
      <c r="Y46" s="13"/>
      <c r="Z46" s="13"/>
      <c r="AA46" s="13"/>
      <c r="AB46" s="13"/>
      <c r="AC46" s="13"/>
      <c r="AD46" s="13"/>
      <c r="AE46" s="2"/>
      <c r="AF46" s="13"/>
      <c r="AG46" s="13"/>
      <c r="AH46" s="13"/>
      <c r="AI46" s="13"/>
      <c r="AJ46" s="13"/>
      <c r="AK46" s="13"/>
      <c r="AL46" s="13"/>
      <c r="AM46" s="13"/>
      <c r="AN46" s="23"/>
      <c r="AO46" s="23"/>
      <c r="AP46" s="59"/>
      <c r="AQ46" s="58"/>
      <c r="AR46" s="60"/>
      <c r="AS46" s="56"/>
      <c r="AT46" s="37"/>
      <c r="AU46" s="38"/>
      <c r="AV46" s="399"/>
    </row>
    <row r="47" spans="1:48" s="30" customFormat="1" ht="27" customHeight="1">
      <c r="A47" s="373"/>
      <c r="B47" s="375" t="e">
        <f>VLOOKUP(A49,'V_GEN-READINESS'!1:1048576,27,)</f>
        <v>#N/A</v>
      </c>
      <c r="C47" s="377" t="s">
        <v>630</v>
      </c>
      <c r="D47" s="181"/>
      <c r="E47" s="358" t="e">
        <f>GETPIVOTDATA("EI_BEG_AGE",'HOUR PIVOT'!$A$3,"EI_ID",A49)</f>
        <v>#REF!</v>
      </c>
      <c r="F47" s="380" t="e">
        <f>SUM((GETPIVOTDATA("INSP_DATE",'D PIVOT'!$A$3,"SYS_CODE","A","INSP_NO",261,"EI_ID",A49)+270))</f>
        <v>#REF!</v>
      </c>
      <c r="G47" s="357" t="e">
        <f>SUM((MIN(GETPIVOTDATA("INSP_VAL",'H PIVOT'!$A$3,"SYS_CODE","A","INSP_NO",41,"EI_ID",A49), (GETPIVOTDATA("INSP_VAL",'H PIVOT'!$A$3,"SYS_CODE","A","INSP_NO",130,"EI_ID",A49)), (GETPIVOTDATA("INSP_VAL",'H PIVOT'!$A$3,"SYS_CODE","A","INSP_NO",135,"EI_ID",A49)), (GETPIVOTDATA("INSP_VAL",'H PIVOT'!$A$3,"SYS_CODE","A","INSP_NO",145,"EI_ID",A49)))+50)-E47)</f>
        <v>#REF!</v>
      </c>
      <c r="H47" s="357" t="e">
        <f>SUM((MIN(GETPIVOTDATA("INSP_VAL",'H PIVOT'!$A$3,"SYS_CODE","A","INSP_NO",195,"EI_ID",A49), (GETPIVOTDATA("INSP_VAL",'H PIVOT'!$A$3,"SYS_CODE","A","INSP_NO",198,"EI_ID",A49)), (GETPIVOTDATA("INSP_VAL",'H PIVOT'!$A$3,"SYS_CODE","A","INSP_NO",200,"EI_ID",A49)), (GETPIVOTDATA("INSP_VAL",'H PIVOT'!$A$3,"SYS_CODE","A","INSP_NO",224,"EI_ID",A49)))+125)-E47)</f>
        <v>#REF!</v>
      </c>
      <c r="I47" s="357" t="e">
        <f>SUM((MIN(GETPIVOTDATA("INSP_VAL",'H PIVOT'!$A$3,"SYS_CODE","A","INSP_NO",223,"EI_ID",A49), (GETPIVOTDATA("INSP_VAL",'H PIVOT'!$A$3,"SYS_CODE","A","INSP_NO",231,"EI_ID",A49)), (GETPIVOTDATA("INSP_VAL",'H PIVOT'!$A$3,"SYS_CODE","A","INSP_NO",234,"EI_ID",A49)), (GETPIVOTDATA("INSP_VAL",'H PIVOT'!$A$3,"SYS_CODE","A","INSP_NO",261,"EI_ID",A49)),(GETPIVOTDATA("INSP_VAL",'H PIVOT'!$A$3,"SYS_CODE","A","INSP_NO",270,"EI_ID",A49)),(GETPIVOTDATA("INSP_VAL",'H PIVOT'!$A$3,"SYS_CODE","A","INSP_NO",275,"EI_ID",A49)),(GETPIVOTDATA("INSP_VAL",'H PIVOT'!$A$3,"SYS_CODE","A","INSP_NO",290,"EI_ID",A49)),(GETPIVOTDATA("INSP_VAL",'H PIVOT'!$A$3,"SYS_CODE","A","INSP_NO",295,"EI_ID",A49)),(GETPIVOTDATA("INSP_VAL",'H PIVOT'!$A$3,"SYS_CODE","A","INSP_NO",300,"EI_ID",A49)),(GETPIVOTDATA("INSP_VAL",'H PIVOT'!$A$3,"SYS_CODE","A","INSP_NO",465,"EI_ID",A49)),(GETPIVOTDATA("INSP_VAL",'H PIVOT'!$A$3,"SYS_CODE","A","INSP_NO",757,"EI_ID",A49)))+250)-E47)</f>
        <v>#REF!</v>
      </c>
      <c r="J47" s="360" t="e">
        <f>SUM((MIN(GETPIVOTDATA("INSP_VAL",'H PIVOT'!$A$3,"SYS_CODE","A","INSP_NO",226,"EI_ID",A49), (GETPIVOTDATA("INSP_VAL",'H PIVOT'!$A$3,"SYS_CODE","A","INSP_NO",230,"EI_ID",A49)), (GETPIVOTDATA("INSP_VAL",'H PIVOT'!$A$3,"SYS_CODE","A","INSP_NO",400,"EI_ID",A49)), (GETPIVOTDATA("INSP_VAL",'H PIVOT'!$A$3,"SYS_CODE","A","INSP_NO",755,"EI_ID",A49)))+500)-E47)</f>
        <v>#REF!</v>
      </c>
      <c r="K47" s="363"/>
      <c r="L47" s="364"/>
      <c r="M47" s="364"/>
      <c r="N47" s="364"/>
      <c r="O47" s="364"/>
      <c r="P47" s="364"/>
      <c r="Q47" s="364"/>
      <c r="R47" s="366"/>
      <c r="S47" s="367"/>
      <c r="T47" s="112"/>
      <c r="U47" s="112"/>
      <c r="V47" s="161" t="e">
        <f>IF(B47="FMC",0,VLOOKUP(A49,#REF!,17,FALSE))</f>
        <v>#N/A</v>
      </c>
      <c r="W47" s="13"/>
      <c r="X47" s="13"/>
      <c r="Y47" s="13"/>
      <c r="Z47" s="13"/>
      <c r="AA47" s="13"/>
      <c r="AB47" s="13"/>
      <c r="AC47" s="13"/>
      <c r="AD47" s="13"/>
      <c r="AE47" s="2"/>
      <c r="AF47" s="13"/>
      <c r="AG47" s="13"/>
      <c r="AH47" s="13"/>
      <c r="AI47" s="13"/>
      <c r="AJ47" s="13"/>
      <c r="AK47" s="13"/>
      <c r="AL47" s="13"/>
      <c r="AM47" s="13"/>
      <c r="AN47" s="31"/>
      <c r="AO47" s="31"/>
      <c r="AP47" s="52"/>
      <c r="AQ47" s="64"/>
      <c r="AR47" s="64"/>
      <c r="AS47" s="36"/>
      <c r="AT47" s="37"/>
      <c r="AU47" s="38"/>
      <c r="AV47" s="399"/>
    </row>
    <row r="48" spans="1:48" ht="27" customHeight="1">
      <c r="A48" s="374"/>
      <c r="B48" s="376"/>
      <c r="C48" s="378"/>
      <c r="D48" s="179"/>
      <c r="E48" s="358"/>
      <c r="F48" s="381"/>
      <c r="G48" s="358"/>
      <c r="H48" s="358"/>
      <c r="I48" s="358"/>
      <c r="J48" s="361"/>
      <c r="K48" s="368"/>
      <c r="L48" s="369"/>
      <c r="M48" s="369"/>
      <c r="N48" s="369"/>
      <c r="O48" s="369"/>
      <c r="P48" s="369"/>
      <c r="Q48" s="369"/>
      <c r="R48" s="370"/>
      <c r="S48" s="371"/>
      <c r="T48" s="106"/>
      <c r="U48" s="106"/>
      <c r="V48" s="105" t="e">
        <f ca="1">C2-V47</f>
        <v>#N/A</v>
      </c>
      <c r="AN48" s="65"/>
      <c r="AO48" s="65"/>
      <c r="AP48" s="66"/>
      <c r="AQ48" s="67"/>
      <c r="AR48" s="67"/>
      <c r="AS48" s="68"/>
      <c r="AT48" s="69"/>
      <c r="AU48" s="70"/>
      <c r="AV48" s="399"/>
    </row>
    <row r="49" spans="1:48" s="1" customFormat="1" ht="27" customHeight="1">
      <c r="A49" s="111"/>
      <c r="B49" s="372" t="e">
        <f>VLOOKUP(A49,'MIG SQL (MIG_LOG)'!1:1048576,4,FALSE)</f>
        <v>#N/A</v>
      </c>
      <c r="C49" s="372"/>
      <c r="D49" s="133"/>
      <c r="E49" s="379"/>
      <c r="F49" s="390"/>
      <c r="G49" s="379"/>
      <c r="H49" s="379"/>
      <c r="I49" s="379"/>
      <c r="J49" s="383"/>
      <c r="K49" s="385"/>
      <c r="L49" s="386"/>
      <c r="M49" s="386"/>
      <c r="N49" s="386"/>
      <c r="O49" s="386"/>
      <c r="P49" s="386"/>
      <c r="Q49" s="386"/>
      <c r="R49" s="387"/>
      <c r="S49" s="386"/>
      <c r="T49" s="124"/>
      <c r="U49" s="124"/>
      <c r="V49" s="113"/>
      <c r="W49" s="13"/>
      <c r="X49" s="13"/>
      <c r="Y49" s="13"/>
      <c r="Z49" s="13"/>
      <c r="AA49" s="13"/>
      <c r="AB49" s="13"/>
      <c r="AC49" s="13"/>
      <c r="AD49" s="13"/>
      <c r="AE49" s="2"/>
      <c r="AF49" s="13"/>
      <c r="AG49" s="13"/>
      <c r="AH49" s="13"/>
      <c r="AI49" s="13"/>
      <c r="AJ49" s="13"/>
      <c r="AK49" s="13"/>
      <c r="AL49" s="13"/>
      <c r="AM49" s="13"/>
      <c r="AN49" s="71"/>
      <c r="AO49" s="71"/>
      <c r="AP49" s="72"/>
      <c r="AQ49" s="73"/>
      <c r="AR49" s="73"/>
      <c r="AS49" s="6"/>
      <c r="AT49" s="69"/>
      <c r="AU49" s="70"/>
      <c r="AV49" s="399"/>
    </row>
    <row r="50" spans="1:48" s="1" customFormat="1" ht="27" customHeight="1">
      <c r="A50" s="373"/>
      <c r="B50" s="375" t="e">
        <f>VLOOKUP(A52,'V_GEN-READINESS'!1:1048576,27,)</f>
        <v>#N/A</v>
      </c>
      <c r="C50" s="377" t="s">
        <v>630</v>
      </c>
      <c r="D50" s="181"/>
      <c r="E50" s="358" t="e">
        <f>GETPIVOTDATA("EI_BEG_AGE",'HOUR PIVOT'!$A$3,"EI_ID",A52)</f>
        <v>#REF!</v>
      </c>
      <c r="F50" s="380" t="e">
        <f>SUM((GETPIVOTDATA("INSP_DATE",'D PIVOT'!$A$3,"SYS_CODE","A","INSP_NO",261,"EI_ID",A52)+270))</f>
        <v>#REF!</v>
      </c>
      <c r="G50" s="357" t="e">
        <f>SUM((MIN(GETPIVOTDATA("INSP_VAL",'H PIVOT'!$A$3,"SYS_CODE","A","INSP_NO",41,"EI_ID",A52), (GETPIVOTDATA("INSP_VAL",'H PIVOT'!$A$3,"SYS_CODE","A","INSP_NO",130,"EI_ID",A52)), (GETPIVOTDATA("INSP_VAL",'H PIVOT'!$A$3,"SYS_CODE","A","INSP_NO",135,"EI_ID",A52)), (GETPIVOTDATA("INSP_VAL",'H PIVOT'!$A$3,"SYS_CODE","A","INSP_NO",145,"EI_ID",A52)))+50)-E50)</f>
        <v>#REF!</v>
      </c>
      <c r="H50" s="357" t="e">
        <f>SUM((MIN(GETPIVOTDATA("INSP_VAL",'H PIVOT'!$A$3,"SYS_CODE","A","INSP_NO",195,"EI_ID",A52), (GETPIVOTDATA("INSP_VAL",'H PIVOT'!$A$3,"SYS_CODE","A","INSP_NO",198,"EI_ID",A52)), (GETPIVOTDATA("INSP_VAL",'H PIVOT'!$A$3,"SYS_CODE","A","INSP_NO",200,"EI_ID",A52)), (GETPIVOTDATA("INSP_VAL",'H PIVOT'!$A$3,"SYS_CODE","A","INSP_NO",224,"EI_ID",A52)))+125)-E50)</f>
        <v>#REF!</v>
      </c>
      <c r="I50" s="357" t="e">
        <f>SUM((MIN(GETPIVOTDATA("INSP_VAL",'H PIVOT'!$A$3,"SYS_CODE","A","INSP_NO",223,"EI_ID",A52), (GETPIVOTDATA("INSP_VAL",'H PIVOT'!$A$3,"SYS_CODE","A","INSP_NO",231,"EI_ID",A52)), (GETPIVOTDATA("INSP_VAL",'H PIVOT'!$A$3,"SYS_CODE","A","INSP_NO",234,"EI_ID",A52)), (GETPIVOTDATA("INSP_VAL",'H PIVOT'!$A$3,"SYS_CODE","A","INSP_NO",261,"EI_ID",A52)),(GETPIVOTDATA("INSP_VAL",'H PIVOT'!$A$3,"SYS_CODE","A","INSP_NO",270,"EI_ID",A52)),(GETPIVOTDATA("INSP_VAL",'H PIVOT'!$A$3,"SYS_CODE","A","INSP_NO",275,"EI_ID",A52)),(GETPIVOTDATA("INSP_VAL",'H PIVOT'!$A$3,"SYS_CODE","A","INSP_NO",290,"EI_ID",A52)),(GETPIVOTDATA("INSP_VAL",'H PIVOT'!$A$3,"SYS_CODE","A","INSP_NO",295,"EI_ID",A52)),(GETPIVOTDATA("INSP_VAL",'H PIVOT'!$A$3,"SYS_CODE","A","INSP_NO",300,"EI_ID",A52)),(GETPIVOTDATA("INSP_VAL",'H PIVOT'!$A$3,"SYS_CODE","A","INSP_NO",465,"EI_ID",A52)),(GETPIVOTDATA("INSP_VAL",'H PIVOT'!$A$3,"SYS_CODE","A","INSP_NO",757,"EI_ID",A52)))+250)-E50)</f>
        <v>#REF!</v>
      </c>
      <c r="J50" s="360" t="e">
        <f>SUM((MIN(GETPIVOTDATA("INSP_VAL",'H PIVOT'!$A$3,"SYS_CODE","A","INSP_NO",226,"EI_ID",A52), (GETPIVOTDATA("INSP_VAL",'H PIVOT'!$A$3,"SYS_CODE","A","INSP_NO",230,"EI_ID",A52)), (GETPIVOTDATA("INSP_VAL",'H PIVOT'!$A$3,"SYS_CODE","A","INSP_NO",400,"EI_ID",A52)), (GETPIVOTDATA("INSP_VAL",'H PIVOT'!$A$3,"SYS_CODE","A","INSP_NO",755,"EI_ID",A52)))+500)-E50)</f>
        <v>#REF!</v>
      </c>
      <c r="K50" s="368"/>
      <c r="L50" s="369"/>
      <c r="M50" s="369"/>
      <c r="N50" s="369"/>
      <c r="O50" s="369"/>
      <c r="P50" s="369"/>
      <c r="Q50" s="369"/>
      <c r="R50" s="370"/>
      <c r="S50" s="371"/>
      <c r="T50" s="106"/>
      <c r="U50" s="106"/>
      <c r="V50" s="160" t="e">
        <f>IF(B50="FMC",0,VLOOKUP(A52,#REF!,17,FALSE))</f>
        <v>#N/A</v>
      </c>
      <c r="W50" s="13"/>
      <c r="X50" s="13"/>
      <c r="Y50" s="13"/>
      <c r="Z50" s="13"/>
      <c r="AA50" s="13"/>
      <c r="AB50" s="13"/>
      <c r="AC50" s="13"/>
      <c r="AD50" s="13"/>
      <c r="AE50" s="2"/>
      <c r="AF50" s="13"/>
      <c r="AG50" s="13"/>
      <c r="AH50" s="13"/>
      <c r="AI50" s="13"/>
      <c r="AJ50" s="13"/>
      <c r="AK50" s="13"/>
      <c r="AL50" s="13"/>
      <c r="AM50" s="13"/>
      <c r="AN50" s="4"/>
      <c r="AO50" s="4"/>
      <c r="AP50" s="4"/>
      <c r="AQ50" s="4"/>
      <c r="AR50" s="4"/>
      <c r="AS50" s="4"/>
      <c r="AT50" s="4"/>
      <c r="AU50" s="4"/>
      <c r="AV50" s="4"/>
    </row>
    <row r="51" spans="1:48" s="1" customFormat="1" ht="27" customHeight="1">
      <c r="A51" s="374"/>
      <c r="B51" s="376"/>
      <c r="C51" s="378"/>
      <c r="D51" s="179"/>
      <c r="E51" s="358"/>
      <c r="F51" s="381"/>
      <c r="G51" s="358"/>
      <c r="H51" s="358"/>
      <c r="I51" s="358"/>
      <c r="J51" s="361"/>
      <c r="K51" s="368"/>
      <c r="L51" s="369"/>
      <c r="M51" s="369"/>
      <c r="N51" s="369"/>
      <c r="O51" s="369"/>
      <c r="P51" s="369"/>
      <c r="Q51" s="369"/>
      <c r="R51" s="370"/>
      <c r="S51" s="371"/>
      <c r="T51" s="106"/>
      <c r="U51" s="106"/>
      <c r="V51" s="105" t="e">
        <f ca="1">C2-V50</f>
        <v>#N/A</v>
      </c>
      <c r="W51" s="13"/>
      <c r="X51" s="13"/>
      <c r="Y51" s="13"/>
      <c r="Z51" s="13"/>
      <c r="AA51" s="13"/>
      <c r="AB51" s="13"/>
      <c r="AC51" s="13"/>
      <c r="AD51" s="13"/>
      <c r="AE51" s="2"/>
      <c r="AF51" s="13"/>
      <c r="AG51" s="13"/>
      <c r="AH51" s="13"/>
      <c r="AI51" s="13"/>
      <c r="AJ51" s="13"/>
      <c r="AK51" s="13"/>
      <c r="AL51" s="13"/>
      <c r="AM51" s="13"/>
      <c r="AN51" s="4"/>
      <c r="AO51" s="4"/>
      <c r="AP51" s="4"/>
      <c r="AQ51" s="4"/>
      <c r="AR51" s="4"/>
      <c r="AS51" s="4"/>
      <c r="AT51" s="4"/>
      <c r="AU51" s="4"/>
      <c r="AV51" s="4"/>
    </row>
    <row r="52" spans="1:48" s="1" customFormat="1" ht="27" customHeight="1">
      <c r="A52" s="111"/>
      <c r="B52" s="384" t="e">
        <f>VLOOKUP(A52,'MIG SQL (MIG_LOG)'!1:1048576,4,FALSE)</f>
        <v>#N/A</v>
      </c>
      <c r="C52" s="384"/>
      <c r="D52" s="131"/>
      <c r="E52" s="379"/>
      <c r="F52" s="390"/>
      <c r="G52" s="379"/>
      <c r="H52" s="379"/>
      <c r="I52" s="379"/>
      <c r="J52" s="383"/>
      <c r="K52" s="368"/>
      <c r="L52" s="369"/>
      <c r="M52" s="369"/>
      <c r="N52" s="369"/>
      <c r="O52" s="369"/>
      <c r="P52" s="369"/>
      <c r="Q52" s="369"/>
      <c r="R52" s="391"/>
      <c r="S52" s="369"/>
      <c r="T52" s="122"/>
      <c r="U52" s="122"/>
      <c r="V52" s="107"/>
      <c r="W52" s="13"/>
      <c r="X52" s="13"/>
      <c r="Y52" s="13"/>
      <c r="Z52" s="13"/>
      <c r="AA52" s="13"/>
      <c r="AB52" s="13"/>
      <c r="AC52" s="13"/>
      <c r="AD52" s="13"/>
      <c r="AE52" s="2"/>
      <c r="AF52" s="13"/>
      <c r="AG52" s="13"/>
      <c r="AH52" s="13"/>
      <c r="AI52" s="13"/>
      <c r="AJ52" s="13"/>
      <c r="AK52" s="13"/>
      <c r="AL52" s="13"/>
      <c r="AM52" s="13"/>
      <c r="AN52" s="4"/>
      <c r="AO52" s="4"/>
      <c r="AP52" s="4"/>
      <c r="AQ52" s="4"/>
      <c r="AR52" s="4"/>
      <c r="AS52" s="4"/>
      <c r="AT52" s="4"/>
      <c r="AU52" s="4"/>
      <c r="AV52" s="4"/>
    </row>
    <row r="53" spans="1:48" s="1" customFormat="1" ht="27" customHeight="1">
      <c r="A53" s="373"/>
      <c r="B53" s="388" t="e">
        <f>VLOOKUP(A55,'V_GEN-READINESS'!1:1048576,27,)</f>
        <v>#N/A</v>
      </c>
      <c r="C53" s="389" t="s">
        <v>630</v>
      </c>
      <c r="D53" s="181"/>
      <c r="E53" s="358" t="e">
        <f>GETPIVOTDATA("EI_BEG_AGE",'HOUR PIVOT'!$A$3,"EI_ID",A55)</f>
        <v>#REF!</v>
      </c>
      <c r="F53" s="380" t="e">
        <f>SUM((GETPIVOTDATA("INSP_DATE",'D PIVOT'!$A$3,"SYS_CODE","A","INSP_NO",261,"EI_ID",A55)+270))</f>
        <v>#REF!</v>
      </c>
      <c r="G53" s="357" t="e">
        <f>SUM((MIN(GETPIVOTDATA("INSP_VAL",'H PIVOT'!$A$3,"SYS_CODE","A","INSP_NO",41,"EI_ID",A55), (GETPIVOTDATA("INSP_VAL",'H PIVOT'!$A$3,"SYS_CODE","A","INSP_NO",130,"EI_ID",A55)), (GETPIVOTDATA("INSP_VAL",'H PIVOT'!$A$3,"SYS_CODE","A","INSP_NO",135,"EI_ID",A55)), (GETPIVOTDATA("INSP_VAL",'H PIVOT'!$A$3,"SYS_CODE","A","INSP_NO",145,"EI_ID",A55)))+50)-E53)</f>
        <v>#REF!</v>
      </c>
      <c r="H53" s="357" t="e">
        <f>SUM((MIN(GETPIVOTDATA("INSP_VAL",'H PIVOT'!$A$3,"SYS_CODE","A","INSP_NO",195,"EI_ID",A55), (GETPIVOTDATA("INSP_VAL",'H PIVOT'!$A$3,"SYS_CODE","A","INSP_NO",198,"EI_ID",A55)), (GETPIVOTDATA("INSP_VAL",'H PIVOT'!$A$3,"SYS_CODE","A","INSP_NO",200,"EI_ID",A55)), (GETPIVOTDATA("INSP_VAL",'H PIVOT'!$A$3,"SYS_CODE","A","INSP_NO",224,"EI_ID",A55)))+125)-E53)</f>
        <v>#REF!</v>
      </c>
      <c r="I53" s="357" t="e">
        <f>SUM((MIN(GETPIVOTDATA("INSP_VAL",'H PIVOT'!$A$3,"SYS_CODE","A","INSP_NO",223,"EI_ID",A55), (GETPIVOTDATA("INSP_VAL",'H PIVOT'!$A$3,"SYS_CODE","A","INSP_NO",231,"EI_ID",A55)), (GETPIVOTDATA("INSP_VAL",'H PIVOT'!$A$3,"SYS_CODE","A","INSP_NO",234,"EI_ID",A55)), (GETPIVOTDATA("INSP_VAL",'H PIVOT'!$A$3,"SYS_CODE","A","INSP_NO",261,"EI_ID",A55)),(GETPIVOTDATA("INSP_VAL",'H PIVOT'!$A$3,"SYS_CODE","A","INSP_NO",270,"EI_ID",A55)),(GETPIVOTDATA("INSP_VAL",'H PIVOT'!$A$3,"SYS_CODE","A","INSP_NO",275,"EI_ID",A55)),(GETPIVOTDATA("INSP_VAL",'H PIVOT'!$A$3,"SYS_CODE","A","INSP_NO",290,"EI_ID",A55)),(GETPIVOTDATA("INSP_VAL",'H PIVOT'!$A$3,"SYS_CODE","A","INSP_NO",295,"EI_ID",A55)),(GETPIVOTDATA("INSP_VAL",'H PIVOT'!$A$3,"SYS_CODE","A","INSP_NO",300,"EI_ID",A55)),(GETPIVOTDATA("INSP_VAL",'H PIVOT'!$A$3,"SYS_CODE","A","INSP_NO",465,"EI_ID",A55)),(GETPIVOTDATA("INSP_VAL",'H PIVOT'!$A$3,"SYS_CODE","A","INSP_NO",757,"EI_ID",A55)))+250)-E53)</f>
        <v>#REF!</v>
      </c>
      <c r="J53" s="360" t="e">
        <f>SUM((MIN(GETPIVOTDATA("INSP_VAL",'H PIVOT'!$A$3,"SYS_CODE","A","INSP_NO",226,"EI_ID",A55), (GETPIVOTDATA("INSP_VAL",'H PIVOT'!$A$3,"SYS_CODE","A","INSP_NO",230,"EI_ID",A55)), (GETPIVOTDATA("INSP_VAL",'H PIVOT'!$A$3,"SYS_CODE","A","INSP_NO",400,"EI_ID",A55)), (GETPIVOTDATA("INSP_VAL",'H PIVOT'!$A$3,"SYS_CODE","A","INSP_NO",755,"EI_ID",A55)))+500)-E53)</f>
        <v>#REF!</v>
      </c>
      <c r="K53" s="363"/>
      <c r="L53" s="364"/>
      <c r="M53" s="364"/>
      <c r="N53" s="364"/>
      <c r="O53" s="364"/>
      <c r="P53" s="364"/>
      <c r="Q53" s="364"/>
      <c r="R53" s="366"/>
      <c r="S53" s="367"/>
      <c r="T53" s="112"/>
      <c r="U53" s="112"/>
      <c r="V53" s="161" t="e">
        <f>IF(B53="FMC",0,VLOOKUP(A55,#REF!,17,FALSE))</f>
        <v>#N/A</v>
      </c>
      <c r="W53" s="13"/>
      <c r="X53" s="13"/>
      <c r="Y53" s="13"/>
      <c r="Z53" s="13"/>
      <c r="AA53" s="13"/>
      <c r="AB53" s="13"/>
      <c r="AC53" s="13"/>
      <c r="AD53" s="13"/>
      <c r="AE53" s="2"/>
      <c r="AF53" s="13"/>
      <c r="AG53" s="13"/>
      <c r="AH53" s="13"/>
      <c r="AI53" s="13"/>
      <c r="AJ53" s="13"/>
      <c r="AK53" s="13"/>
      <c r="AL53" s="13"/>
      <c r="AM53" s="13"/>
      <c r="AN53" s="4"/>
      <c r="AO53" s="4"/>
      <c r="AP53" s="4"/>
      <c r="AQ53" s="4"/>
      <c r="AR53" s="4"/>
      <c r="AS53" s="4"/>
      <c r="AT53" s="4"/>
      <c r="AU53" s="4"/>
      <c r="AV53" s="4"/>
    </row>
    <row r="54" spans="1:48" s="1" customFormat="1" ht="27" customHeight="1">
      <c r="A54" s="374"/>
      <c r="B54" s="376"/>
      <c r="C54" s="378"/>
      <c r="D54" s="179"/>
      <c r="E54" s="358"/>
      <c r="F54" s="381"/>
      <c r="G54" s="358"/>
      <c r="H54" s="358"/>
      <c r="I54" s="358"/>
      <c r="J54" s="361"/>
      <c r="K54" s="368"/>
      <c r="L54" s="369"/>
      <c r="M54" s="369"/>
      <c r="N54" s="369"/>
      <c r="O54" s="369"/>
      <c r="P54" s="369"/>
      <c r="Q54" s="369"/>
      <c r="R54" s="370"/>
      <c r="S54" s="371"/>
      <c r="T54" s="106"/>
      <c r="U54" s="106"/>
      <c r="V54" s="105" t="e">
        <f ca="1">C2-V53</f>
        <v>#N/A</v>
      </c>
      <c r="W54" s="13"/>
      <c r="X54" s="13"/>
      <c r="Y54" s="13"/>
      <c r="Z54" s="13"/>
      <c r="AA54" s="13"/>
      <c r="AB54" s="13"/>
      <c r="AC54" s="13"/>
      <c r="AD54" s="13"/>
      <c r="AE54" s="2"/>
      <c r="AF54" s="13"/>
      <c r="AG54" s="13"/>
      <c r="AH54" s="13"/>
      <c r="AI54" s="13"/>
      <c r="AJ54" s="13"/>
      <c r="AK54" s="13"/>
      <c r="AL54" s="13"/>
      <c r="AM54" s="13"/>
      <c r="AN54" s="4"/>
      <c r="AO54" s="4"/>
      <c r="AP54" s="4"/>
      <c r="AQ54" s="4"/>
      <c r="AR54" s="4"/>
      <c r="AS54" s="4"/>
      <c r="AT54" s="4"/>
      <c r="AU54" s="4"/>
      <c r="AV54" s="4"/>
    </row>
    <row r="55" spans="1:48" s="1" customFormat="1" ht="27" customHeight="1" thickBot="1">
      <c r="A55" s="111"/>
      <c r="B55" s="347" t="e">
        <f>VLOOKUP(A55,'MIG SQL (MIG_LOG)'!1:1048576,4,FALSE)</f>
        <v>#N/A</v>
      </c>
      <c r="C55" s="347"/>
      <c r="D55" s="132"/>
      <c r="E55" s="379"/>
      <c r="F55" s="382"/>
      <c r="G55" s="359"/>
      <c r="H55" s="359"/>
      <c r="I55" s="359"/>
      <c r="J55" s="362"/>
      <c r="K55" s="348"/>
      <c r="L55" s="349"/>
      <c r="M55" s="349"/>
      <c r="N55" s="349"/>
      <c r="O55" s="349"/>
      <c r="P55" s="349"/>
      <c r="Q55" s="349"/>
      <c r="R55" s="350"/>
      <c r="S55" s="349"/>
      <c r="T55" s="123"/>
      <c r="U55" s="123"/>
      <c r="V55" s="108"/>
      <c r="W55" s="13"/>
      <c r="X55" s="13"/>
      <c r="Y55" s="13"/>
      <c r="Z55" s="13"/>
      <c r="AA55" s="13"/>
      <c r="AB55" s="13"/>
      <c r="AC55" s="13"/>
      <c r="AD55" s="13"/>
      <c r="AE55" s="2"/>
      <c r="AF55" s="13"/>
      <c r="AG55" s="13"/>
      <c r="AH55" s="13"/>
      <c r="AI55" s="13"/>
      <c r="AJ55" s="13"/>
      <c r="AK55" s="13"/>
      <c r="AL55" s="13"/>
      <c r="AM55" s="13"/>
      <c r="AN55" s="4"/>
      <c r="AO55" s="4"/>
      <c r="AP55" s="4"/>
      <c r="AQ55" s="4"/>
      <c r="AR55" s="4"/>
      <c r="AS55" s="4"/>
      <c r="AT55" s="4"/>
      <c r="AU55" s="4"/>
      <c r="AV55" s="4"/>
    </row>
    <row r="56" spans="1:48" s="1" customFormat="1" ht="54" customHeight="1" thickTop="1" thickBot="1">
      <c r="A56" s="396" t="s">
        <v>697</v>
      </c>
      <c r="B56" s="397"/>
      <c r="C56" s="397"/>
      <c r="D56" s="397"/>
      <c r="E56" s="397"/>
      <c r="F56" s="397"/>
      <c r="G56" s="397"/>
      <c r="H56" s="397"/>
      <c r="I56" s="397"/>
      <c r="J56" s="397"/>
      <c r="K56" s="397"/>
      <c r="L56" s="397"/>
      <c r="M56" s="397"/>
      <c r="N56" s="397"/>
      <c r="O56" s="397"/>
      <c r="P56" s="397"/>
      <c r="Q56" s="397"/>
      <c r="R56" s="397"/>
      <c r="S56" s="397"/>
      <c r="T56" s="397"/>
      <c r="U56" s="397"/>
      <c r="V56" s="398"/>
      <c r="W56" s="13"/>
      <c r="X56" s="13"/>
      <c r="Y56" s="13"/>
      <c r="Z56" s="13"/>
      <c r="AA56" s="13"/>
      <c r="AB56" s="13"/>
      <c r="AC56" s="13"/>
      <c r="AD56" s="13"/>
      <c r="AE56" s="2"/>
      <c r="AF56" s="13"/>
      <c r="AG56" s="13"/>
      <c r="AH56" s="13"/>
      <c r="AI56" s="13"/>
      <c r="AJ56" s="13"/>
      <c r="AK56" s="13"/>
      <c r="AL56" s="13"/>
      <c r="AM56" s="13"/>
      <c r="AN56" s="4"/>
      <c r="AO56" s="4"/>
      <c r="AP56" s="4"/>
      <c r="AQ56" s="4"/>
      <c r="AR56" s="4"/>
      <c r="AS56" s="4"/>
      <c r="AT56" s="4"/>
      <c r="AU56" s="4"/>
      <c r="AV56" s="4"/>
    </row>
    <row r="57" spans="1:48" ht="27" customHeight="1">
      <c r="A57" s="373"/>
      <c r="B57" s="388" t="e">
        <f>VLOOKUP(A59,'V_GEN-READINESS'!1:1048576,27,)</f>
        <v>#N/A</v>
      </c>
      <c r="C57" s="389" t="s">
        <v>630</v>
      </c>
      <c r="D57" s="180"/>
      <c r="E57" s="358" t="e">
        <f>GETPIVOTDATA("EI_BEG_AGE",'HOUR PIVOT'!$A$3,"EI_ID",A59)</f>
        <v>#REF!</v>
      </c>
      <c r="F57" s="381" t="e">
        <f>SUM((GETPIVOTDATA("INSP_DATE",'D PIVOT'!$A$3,"SYS_CODE","A","INSP_NO",261,"EI_ID",A59)+270))</f>
        <v>#REF!</v>
      </c>
      <c r="G57" s="358" t="e">
        <f>SUM((MIN(GETPIVOTDATA("INSP_VAL",'H PIVOT'!$A$3,"SYS_CODE","A","INSP_NO",41,"EI_ID",A59), (GETPIVOTDATA("INSP_VAL",'H PIVOT'!$A$3,"SYS_CODE","A","INSP_NO",130,"EI_ID",A59)), (GETPIVOTDATA("INSP_VAL",'H PIVOT'!$A$3,"SYS_CODE","A","INSP_NO",135,"EI_ID",A59)), (GETPIVOTDATA("INSP_VAL",'H PIVOT'!$A$3,"SYS_CODE","A","INSP_NO",145,"EI_ID",A59)))+50)-E57)</f>
        <v>#REF!</v>
      </c>
      <c r="H57" s="358" t="e">
        <f>SUM((MIN(GETPIVOTDATA("INSP_VAL",'H PIVOT'!$A$3,"SYS_CODE","A","INSP_NO",195,"EI_ID",A59), (GETPIVOTDATA("INSP_VAL",'H PIVOT'!$A$3,"SYS_CODE","A","INSP_NO",198,"EI_ID",A59)), (GETPIVOTDATA("INSP_VAL",'H PIVOT'!$A$3,"SYS_CODE","A","INSP_NO",200,"EI_ID",A59)), (GETPIVOTDATA("INSP_VAL",'H PIVOT'!$A$3,"SYS_CODE","A","INSP_NO",224,"EI_ID",A59)))+125)-E57)</f>
        <v>#REF!</v>
      </c>
      <c r="I57" s="358" t="e">
        <f>SUM((MIN(GETPIVOTDATA("INSP_VAL",'H PIVOT'!$A$3,"SYS_CODE","A","INSP_NO",223,"EI_ID",A59), (GETPIVOTDATA("INSP_VAL",'H PIVOT'!$A$3,"SYS_CODE","A","INSP_NO",231,"EI_ID",A59)), (GETPIVOTDATA("INSP_VAL",'H PIVOT'!$A$3,"SYS_CODE","A","INSP_NO",234,"EI_ID",A59)), (GETPIVOTDATA("INSP_VAL",'H PIVOT'!$A$3,"SYS_CODE","A","INSP_NO",261,"EI_ID",A59)),(GETPIVOTDATA("INSP_VAL",'H PIVOT'!$A$3,"SYS_CODE","A","INSP_NO",270,"EI_ID",A59)),(GETPIVOTDATA("INSP_VAL",'H PIVOT'!$A$3,"SYS_CODE","A","INSP_NO",275,"EI_ID",A59)),(GETPIVOTDATA("INSP_VAL",'H PIVOT'!$A$3,"SYS_CODE","A","INSP_NO",290,"EI_ID",A59)),(GETPIVOTDATA("INSP_VAL",'H PIVOT'!$A$3,"SYS_CODE","A","INSP_NO",295,"EI_ID",A59)),(GETPIVOTDATA("INSP_VAL",'H PIVOT'!$A$3,"SYS_CODE","A","INSP_NO",300,"EI_ID",A59)),(GETPIVOTDATA("INSP_VAL",'H PIVOT'!$A$3,"SYS_CODE","A","INSP_NO",465,"EI_ID",A59)),(GETPIVOTDATA("INSP_VAL",'H PIVOT'!$A$3,"SYS_CODE","A","INSP_NO",757,"EI_ID",A59)))+250)-E57)</f>
        <v>#REF!</v>
      </c>
      <c r="J57" s="361" t="e">
        <f>SUM((MIN(GETPIVOTDATA("INSP_VAL",'H PIVOT'!$A$3,"SYS_CODE","A","INSP_NO",226,"EI_ID",A59), (GETPIVOTDATA("INSP_VAL",'H PIVOT'!$A$3,"SYS_CODE","A","INSP_NO",230,"EI_ID",A59)), (GETPIVOTDATA("INSP_VAL",'H PIVOT'!$A$3,"SYS_CODE","A","INSP_NO",400,"EI_ID",A59)), (GETPIVOTDATA("INSP_VAL",'H PIVOT'!$A$3,"SYS_CODE","A","INSP_NO",755,"EI_ID",A59)))+500)-E57)</f>
        <v>#REF!</v>
      </c>
      <c r="K57" s="368"/>
      <c r="L57" s="369"/>
      <c r="M57" s="369"/>
      <c r="N57" s="369"/>
      <c r="O57" s="369"/>
      <c r="P57" s="369"/>
      <c r="Q57" s="369"/>
      <c r="R57" s="370"/>
      <c r="S57" s="371"/>
      <c r="T57" s="106"/>
      <c r="U57" s="106"/>
      <c r="V57" s="160" t="e">
        <f>IF(B57="FMC",0,VLOOKUP(A59,#REF!,17,FALSE))</f>
        <v>#N/A</v>
      </c>
    </row>
    <row r="58" spans="1:48" ht="27" customHeight="1">
      <c r="A58" s="374"/>
      <c r="B58" s="376"/>
      <c r="C58" s="378"/>
      <c r="D58" s="179"/>
      <c r="E58" s="358"/>
      <c r="F58" s="381"/>
      <c r="G58" s="358"/>
      <c r="H58" s="358"/>
      <c r="I58" s="358"/>
      <c r="J58" s="361"/>
      <c r="K58" s="368"/>
      <c r="L58" s="369"/>
      <c r="M58" s="369"/>
      <c r="N58" s="369"/>
      <c r="O58" s="369"/>
      <c r="P58" s="369"/>
      <c r="Q58" s="369"/>
      <c r="R58" s="391"/>
      <c r="S58" s="369"/>
      <c r="T58" s="106"/>
      <c r="U58" s="106"/>
      <c r="V58" s="105" t="e">
        <f ca="1">C2-V57</f>
        <v>#N/A</v>
      </c>
    </row>
    <row r="59" spans="1:48" ht="27" customHeight="1">
      <c r="A59" s="111"/>
      <c r="B59" s="372" t="e">
        <f>VLOOKUP(A59,'MIG SQL (MIG_LOG)'!1:1048576,4,FALSE)</f>
        <v>#N/A</v>
      </c>
      <c r="C59" s="372"/>
      <c r="D59" s="133"/>
      <c r="E59" s="379"/>
      <c r="F59" s="390"/>
      <c r="G59" s="379"/>
      <c r="H59" s="379"/>
      <c r="I59" s="379"/>
      <c r="J59" s="383"/>
      <c r="K59" s="170"/>
      <c r="L59" s="170"/>
      <c r="M59" s="170"/>
      <c r="N59" s="170"/>
      <c r="O59" s="170"/>
      <c r="P59" s="170"/>
      <c r="Q59" s="170"/>
      <c r="R59" s="177"/>
      <c r="S59" s="170"/>
      <c r="T59" s="122"/>
      <c r="U59" s="122"/>
      <c r="V59" s="107"/>
    </row>
    <row r="60" spans="1:48" ht="27" customHeight="1">
      <c r="A60" s="373"/>
      <c r="B60" s="375" t="e">
        <f>VLOOKUP(A62,'V_GEN-READINESS'!1:1048576,27,)</f>
        <v>#N/A</v>
      </c>
      <c r="C60" s="377" t="s">
        <v>630</v>
      </c>
      <c r="D60" s="181"/>
      <c r="E60" s="358" t="e">
        <f>GETPIVOTDATA("EI_BEG_AGE",'HOUR PIVOT'!$A$3,"EI_ID",A62)</f>
        <v>#REF!</v>
      </c>
      <c r="F60" s="380" t="e">
        <f>SUM((GETPIVOTDATA("INSP_DATE",'D PIVOT'!$A$3,"SYS_CODE","A","INSP_NO",261,"EI_ID",A62)+270))</f>
        <v>#REF!</v>
      </c>
      <c r="G60" s="357" t="e">
        <f>SUM((MIN(GETPIVOTDATA("INSP_VAL",'H PIVOT'!$A$3,"SYS_CODE","A","INSP_NO",41,"EI_ID",A62), (GETPIVOTDATA("INSP_VAL",'H PIVOT'!$A$3,"SYS_CODE","A","INSP_NO",130,"EI_ID",A62)), (GETPIVOTDATA("INSP_VAL",'H PIVOT'!$A$3,"SYS_CODE","A","INSP_NO",135,"EI_ID",A62)), (GETPIVOTDATA("INSP_VAL",'H PIVOT'!$A$3,"SYS_CODE","A","INSP_NO",145,"EI_ID",A62)))+50)-E60)</f>
        <v>#REF!</v>
      </c>
      <c r="H60" s="357" t="e">
        <f>SUM((MIN(GETPIVOTDATA("INSP_VAL",'H PIVOT'!$A$3,"SYS_CODE","A","INSP_NO",195,"EI_ID",A62), (GETPIVOTDATA("INSP_VAL",'H PIVOT'!$A$3,"SYS_CODE","A","INSP_NO",198,"EI_ID",A62)), (GETPIVOTDATA("INSP_VAL",'H PIVOT'!$A$3,"SYS_CODE","A","INSP_NO",200,"EI_ID",A62)), (GETPIVOTDATA("INSP_VAL",'H PIVOT'!$A$3,"SYS_CODE","A","INSP_NO",224,"EI_ID",A62)))+125)-E60)</f>
        <v>#REF!</v>
      </c>
      <c r="I60" s="357" t="e">
        <f>SUM((MIN(GETPIVOTDATA("INSP_VAL",'H PIVOT'!$A$3,"SYS_CODE","A","INSP_NO",223,"EI_ID",A62), (GETPIVOTDATA("INSP_VAL",'H PIVOT'!$A$3,"SYS_CODE","A","INSP_NO",231,"EI_ID",A62)), (GETPIVOTDATA("INSP_VAL",'H PIVOT'!$A$3,"SYS_CODE","A","INSP_NO",234,"EI_ID",A62)), (GETPIVOTDATA("INSP_VAL",'H PIVOT'!$A$3,"SYS_CODE","A","INSP_NO",261,"EI_ID",A62)),(GETPIVOTDATA("INSP_VAL",'H PIVOT'!$A$3,"SYS_CODE","A","INSP_NO",270,"EI_ID",A62)),(GETPIVOTDATA("INSP_VAL",'H PIVOT'!$A$3,"SYS_CODE","A","INSP_NO",275,"EI_ID",A62)),(GETPIVOTDATA("INSP_VAL",'H PIVOT'!$A$3,"SYS_CODE","A","INSP_NO",290,"EI_ID",A62)),(GETPIVOTDATA("INSP_VAL",'H PIVOT'!$A$3,"SYS_CODE","A","INSP_NO",295,"EI_ID",A62)),(GETPIVOTDATA("INSP_VAL",'H PIVOT'!$A$3,"SYS_CODE","A","INSP_NO",300,"EI_ID",A62)),(GETPIVOTDATA("INSP_VAL",'H PIVOT'!$A$3,"SYS_CODE","A","INSP_NO",465,"EI_ID",A62)),(GETPIVOTDATA("INSP_VAL",'H PIVOT'!$A$3,"SYS_CODE","A","INSP_NO",757,"EI_ID",A62)))+250)-E60)</f>
        <v>#REF!</v>
      </c>
      <c r="J60" s="360" t="e">
        <f>SUM((MIN(GETPIVOTDATA("INSP_VAL",'H PIVOT'!$A$3,"SYS_CODE","A","INSP_NO",226,"EI_ID",A62), (GETPIVOTDATA("INSP_VAL",'H PIVOT'!$A$3,"SYS_CODE","A","INSP_NO",230,"EI_ID",A62)), (GETPIVOTDATA("INSP_VAL",'H PIVOT'!$A$3,"SYS_CODE","A","INSP_NO",400,"EI_ID",A62)), (GETPIVOTDATA("INSP_VAL",'H PIVOT'!$A$3,"SYS_CODE","A","INSP_NO",755,"EI_ID",A62)))+500)-E60)</f>
        <v>#REF!</v>
      </c>
      <c r="K60" s="363"/>
      <c r="L60" s="364"/>
      <c r="M60" s="364"/>
      <c r="N60" s="364"/>
      <c r="O60" s="364"/>
      <c r="P60" s="364"/>
      <c r="Q60" s="364"/>
      <c r="R60" s="366"/>
      <c r="S60" s="367"/>
      <c r="T60" s="112"/>
      <c r="U60" s="112"/>
      <c r="V60" s="161" t="e">
        <f>IF(B60="FMC",0,VLOOKUP(A62,#REF!,17,FALSE))</f>
        <v>#N/A</v>
      </c>
    </row>
    <row r="61" spans="1:48" ht="27" customHeight="1">
      <c r="A61" s="374"/>
      <c r="B61" s="376"/>
      <c r="C61" s="378"/>
      <c r="D61" s="179"/>
      <c r="E61" s="358"/>
      <c r="F61" s="381"/>
      <c r="G61" s="358"/>
      <c r="H61" s="358"/>
      <c r="I61" s="358"/>
      <c r="J61" s="361"/>
      <c r="K61" s="368"/>
      <c r="L61" s="369"/>
      <c r="M61" s="369"/>
      <c r="N61" s="369"/>
      <c r="O61" s="369"/>
      <c r="P61" s="369"/>
      <c r="Q61" s="369"/>
      <c r="R61" s="370"/>
      <c r="S61" s="371"/>
      <c r="T61" s="106"/>
      <c r="U61" s="106"/>
      <c r="V61" s="105" t="e">
        <f ca="1">C2-V60</f>
        <v>#N/A</v>
      </c>
    </row>
    <row r="62" spans="1:48" ht="27" customHeight="1">
      <c r="A62" s="111"/>
      <c r="B62" s="384" t="e">
        <f>VLOOKUP(A62,'MIG SQL (MIG_LOG)'!1:1048576,4,FALSE)</f>
        <v>#N/A</v>
      </c>
      <c r="C62" s="384"/>
      <c r="D62" s="131"/>
      <c r="E62" s="379"/>
      <c r="F62" s="390"/>
      <c r="G62" s="379"/>
      <c r="H62" s="379"/>
      <c r="I62" s="379"/>
      <c r="J62" s="383"/>
      <c r="K62" s="385"/>
      <c r="L62" s="386"/>
      <c r="M62" s="386"/>
      <c r="N62" s="386"/>
      <c r="O62" s="386"/>
      <c r="P62" s="386"/>
      <c r="Q62" s="386"/>
      <c r="R62" s="394"/>
      <c r="S62" s="395"/>
      <c r="T62" s="124"/>
      <c r="U62" s="124"/>
      <c r="V62" s="113"/>
    </row>
    <row r="63" spans="1:48" ht="27" customHeight="1">
      <c r="A63" s="373"/>
      <c r="B63" s="388" t="e">
        <f>VLOOKUP(A65,'V_GEN-READINESS'!1:1048576,27,)</f>
        <v>#N/A</v>
      </c>
      <c r="C63" s="389" t="s">
        <v>630</v>
      </c>
      <c r="D63" s="181"/>
      <c r="E63" s="358" t="e">
        <f>GETPIVOTDATA("EI_BEG_AGE",'HOUR PIVOT'!$A$3,"EI_ID",A65)</f>
        <v>#REF!</v>
      </c>
      <c r="F63" s="380" t="e">
        <f>SUM((GETPIVOTDATA("INSP_DATE",'D PIVOT'!$A$3,"SYS_CODE","A","INSP_NO",261,"EI_ID",A65)+270))</f>
        <v>#REF!</v>
      </c>
      <c r="G63" s="357" t="e">
        <f>SUM((MIN(GETPIVOTDATA("INSP_VAL",'H PIVOT'!$A$3,"SYS_CODE","A","INSP_NO",41,"EI_ID",A65), (GETPIVOTDATA("INSP_VAL",'H PIVOT'!$A$3,"SYS_CODE","A","INSP_NO",130,"EI_ID",A65)), (GETPIVOTDATA("INSP_VAL",'H PIVOT'!$A$3,"SYS_CODE","A","INSP_NO",135,"EI_ID",A65)), (GETPIVOTDATA("INSP_VAL",'H PIVOT'!$A$3,"SYS_CODE","A","INSP_NO",145,"EI_ID",A65)))+50)-E63)</f>
        <v>#REF!</v>
      </c>
      <c r="H63" s="357" t="e">
        <f>SUM((MIN(GETPIVOTDATA("INSP_VAL",'H PIVOT'!$A$3,"SYS_CODE","A","INSP_NO",195,"EI_ID",A65), (GETPIVOTDATA("INSP_VAL",'H PIVOT'!$A$3,"SYS_CODE","A","INSP_NO",198,"EI_ID",A65)), (GETPIVOTDATA("INSP_VAL",'H PIVOT'!$A$3,"SYS_CODE","A","INSP_NO",200,"EI_ID",A65)), (GETPIVOTDATA("INSP_VAL",'H PIVOT'!$A$3,"SYS_CODE","A","INSP_NO",224,"EI_ID",A65)))+125)-E63)</f>
        <v>#REF!</v>
      </c>
      <c r="I63" s="357" t="e">
        <f>SUM((MIN(GETPIVOTDATA("INSP_VAL",'H PIVOT'!$A$3,"SYS_CODE","A","INSP_NO",223,"EI_ID",A65), (GETPIVOTDATA("INSP_VAL",'H PIVOT'!$A$3,"SYS_CODE","A","INSP_NO",231,"EI_ID",A65)), (GETPIVOTDATA("INSP_VAL",'H PIVOT'!$A$3,"SYS_CODE","A","INSP_NO",234,"EI_ID",A65)), (GETPIVOTDATA("INSP_VAL",'H PIVOT'!$A$3,"SYS_CODE","A","INSP_NO",261,"EI_ID",A65)),(GETPIVOTDATA("INSP_VAL",'H PIVOT'!$A$3,"SYS_CODE","A","INSP_NO",270,"EI_ID",A65)),(GETPIVOTDATA("INSP_VAL",'H PIVOT'!$A$3,"SYS_CODE","A","INSP_NO",275,"EI_ID",A65)),(GETPIVOTDATA("INSP_VAL",'H PIVOT'!$A$3,"SYS_CODE","A","INSP_NO",290,"EI_ID",A65)),(GETPIVOTDATA("INSP_VAL",'H PIVOT'!$A$3,"SYS_CODE","A","INSP_NO",295,"EI_ID",A65)),(GETPIVOTDATA("INSP_VAL",'H PIVOT'!$A$3,"SYS_CODE","A","INSP_NO",300,"EI_ID",A65)),(GETPIVOTDATA("INSP_VAL",'H PIVOT'!$A$3,"SYS_CODE","A","INSP_NO",465,"EI_ID",A65)),(GETPIVOTDATA("INSP_VAL",'H PIVOT'!$A$3,"SYS_CODE","A","INSP_NO",757,"EI_ID",A65)))+250)-E63)</f>
        <v>#REF!</v>
      </c>
      <c r="J63" s="360" t="e">
        <f>SUM((MIN(GETPIVOTDATA("INSP_VAL",'H PIVOT'!$A$3,"SYS_CODE","A","INSP_NO",226,"EI_ID",A65), (GETPIVOTDATA("INSP_VAL",'H PIVOT'!$A$3,"SYS_CODE","A","INSP_NO",230,"EI_ID",A65)), (GETPIVOTDATA("INSP_VAL",'H PIVOT'!$A$3,"SYS_CODE","A","INSP_NO",400,"EI_ID",A65)), (GETPIVOTDATA("INSP_VAL",'H PIVOT'!$A$3,"SYS_CODE","A","INSP_NO",755,"EI_ID",A65)))+500)-E63)</f>
        <v>#REF!</v>
      </c>
      <c r="K63" s="368"/>
      <c r="L63" s="369"/>
      <c r="M63" s="369"/>
      <c r="N63" s="369"/>
      <c r="O63" s="369"/>
      <c r="P63" s="369"/>
      <c r="Q63" s="369"/>
      <c r="R63" s="370"/>
      <c r="S63" s="371"/>
      <c r="T63" s="106"/>
      <c r="U63" s="106"/>
      <c r="V63" s="160" t="e">
        <f>IF(B63="FMC",0,VLOOKUP(A65,#REF!,17,FALSE))</f>
        <v>#N/A</v>
      </c>
    </row>
    <row r="64" spans="1:48" ht="27" customHeight="1">
      <c r="A64" s="374"/>
      <c r="B64" s="376"/>
      <c r="C64" s="378"/>
      <c r="D64" s="179"/>
      <c r="E64" s="358"/>
      <c r="F64" s="381"/>
      <c r="G64" s="358"/>
      <c r="H64" s="358"/>
      <c r="I64" s="358"/>
      <c r="J64" s="361"/>
      <c r="K64" s="368"/>
      <c r="L64" s="369"/>
      <c r="M64" s="369"/>
      <c r="N64" s="369"/>
      <c r="O64" s="369"/>
      <c r="P64" s="369"/>
      <c r="Q64" s="369"/>
      <c r="R64" s="370"/>
      <c r="S64" s="371"/>
      <c r="T64" s="106"/>
      <c r="U64" s="106"/>
      <c r="V64" s="105" t="e">
        <f ca="1">C2-V63</f>
        <v>#N/A</v>
      </c>
    </row>
    <row r="65" spans="1:22" ht="27" customHeight="1">
      <c r="A65" s="111"/>
      <c r="B65" s="372" t="e">
        <f>VLOOKUP(A65,'MIG SQL (MIG_LOG)'!1:1048576,4,FALSE)</f>
        <v>#N/A</v>
      </c>
      <c r="C65" s="372"/>
      <c r="D65" s="133"/>
      <c r="E65" s="379"/>
      <c r="F65" s="390"/>
      <c r="G65" s="379"/>
      <c r="H65" s="379"/>
      <c r="I65" s="379"/>
      <c r="J65" s="383"/>
      <c r="K65" s="368"/>
      <c r="L65" s="369"/>
      <c r="M65" s="369"/>
      <c r="N65" s="369"/>
      <c r="O65" s="369"/>
      <c r="P65" s="369"/>
      <c r="Q65" s="369"/>
      <c r="R65" s="391"/>
      <c r="S65" s="369"/>
      <c r="T65" s="122"/>
      <c r="U65" s="122"/>
      <c r="V65" s="107"/>
    </row>
    <row r="66" spans="1:22" ht="27" customHeight="1">
      <c r="A66" s="373"/>
      <c r="B66" s="375" t="e">
        <f>VLOOKUP(A68,'V_GEN-READINESS'!1:1048576,27,)</f>
        <v>#N/A</v>
      </c>
      <c r="C66" s="377" t="s">
        <v>630</v>
      </c>
      <c r="D66" s="181"/>
      <c r="E66" s="358" t="e">
        <f>GETPIVOTDATA("EI_BEG_AGE",'HOUR PIVOT'!$A$3,"EI_ID",A68)</f>
        <v>#REF!</v>
      </c>
      <c r="F66" s="380" t="e">
        <f>SUM((GETPIVOTDATA("INSP_DATE",'D PIVOT'!$A$3,"SYS_CODE","A","INSP_NO",261,"EI_ID",A68)+270))</f>
        <v>#REF!</v>
      </c>
      <c r="G66" s="357" t="e">
        <f>SUM((MIN(GETPIVOTDATA("INSP_VAL",'H PIVOT'!$A$3,"SYS_CODE","A","INSP_NO",41,"EI_ID",A68), (GETPIVOTDATA("INSP_VAL",'H PIVOT'!$A$3,"SYS_CODE","A","INSP_NO",130,"EI_ID",A68)), (GETPIVOTDATA("INSP_VAL",'H PIVOT'!$A$3,"SYS_CODE","A","INSP_NO",135,"EI_ID",A68)), (GETPIVOTDATA("INSP_VAL",'H PIVOT'!$A$3,"SYS_CODE","A","INSP_NO",145,"EI_ID",A68)))+50)-E66)</f>
        <v>#REF!</v>
      </c>
      <c r="H66" s="357" t="e">
        <f>SUM((MIN(GETPIVOTDATA("INSP_VAL",'H PIVOT'!$A$3,"SYS_CODE","A","INSP_NO",195,"EI_ID",A68), (GETPIVOTDATA("INSP_VAL",'H PIVOT'!$A$3,"SYS_CODE","A","INSP_NO",198,"EI_ID",A68)), (GETPIVOTDATA("INSP_VAL",'H PIVOT'!$A$3,"SYS_CODE","A","INSP_NO",200,"EI_ID",A68)), (GETPIVOTDATA("INSP_VAL",'H PIVOT'!$A$3,"SYS_CODE","A","INSP_NO",224,"EI_ID",A68)))+125)-E66)</f>
        <v>#REF!</v>
      </c>
      <c r="I66" s="357" t="e">
        <f>SUM((MIN(GETPIVOTDATA("INSP_VAL",'H PIVOT'!$A$3,"SYS_CODE","A","INSP_NO",223,"EI_ID",A68), (GETPIVOTDATA("INSP_VAL",'H PIVOT'!$A$3,"SYS_CODE","A","INSP_NO",231,"EI_ID",A68)), (GETPIVOTDATA("INSP_VAL",'H PIVOT'!$A$3,"SYS_CODE","A","INSP_NO",234,"EI_ID",A68)), (GETPIVOTDATA("INSP_VAL",'H PIVOT'!$A$3,"SYS_CODE","A","INSP_NO",261,"EI_ID",A68)),(GETPIVOTDATA("INSP_VAL",'H PIVOT'!$A$3,"SYS_CODE","A","INSP_NO",270,"EI_ID",A68)),(GETPIVOTDATA("INSP_VAL",'H PIVOT'!$A$3,"SYS_CODE","A","INSP_NO",275,"EI_ID",A68)),(GETPIVOTDATA("INSP_VAL",'H PIVOT'!$A$3,"SYS_CODE","A","INSP_NO",290,"EI_ID",A68)),(GETPIVOTDATA("INSP_VAL",'H PIVOT'!$A$3,"SYS_CODE","A","INSP_NO",295,"EI_ID",A68)),(GETPIVOTDATA("INSP_VAL",'H PIVOT'!$A$3,"SYS_CODE","A","INSP_NO",300,"EI_ID",A68)),(GETPIVOTDATA("INSP_VAL",'H PIVOT'!$A$3,"SYS_CODE","A","INSP_NO",465,"EI_ID",A68)),(GETPIVOTDATA("INSP_VAL",'H PIVOT'!$A$3,"SYS_CODE","A","INSP_NO",757,"EI_ID",A68)))+250)-E66)</f>
        <v>#REF!</v>
      </c>
      <c r="J66" s="360" t="e">
        <f>SUM((MIN(GETPIVOTDATA("INSP_VAL",'H PIVOT'!A3,"SYS_CODE","A","INSP_NO",226,"EI_ID",A68), (GETPIVOTDATA("INSP_VAL",'H PIVOT'!A3,"SYS_CODE","A","INSP_NO",230,"EI_ID",A68)), (GETPIVOTDATA("INSP_VAL",'H PIVOT'!A3,"SYS_CODE","A","INSP_NO",400,"EI_ID",A68)), (GETPIVOTDATA("INSP_VAL",'H PIVOT'!A3,"SYS_CODE","A","INSP_NO",755,"EI_ID",A68)))+500)-E66)</f>
        <v>#REF!</v>
      </c>
      <c r="K66" s="363"/>
      <c r="L66" s="364"/>
      <c r="M66" s="364"/>
      <c r="N66" s="364"/>
      <c r="O66" s="364"/>
      <c r="P66" s="364"/>
      <c r="Q66" s="364"/>
      <c r="R66" s="366"/>
      <c r="S66" s="367"/>
      <c r="T66" s="112"/>
      <c r="U66" s="112"/>
      <c r="V66" s="161" t="e">
        <f>IF(B66="FMC",0,VLOOKUP(A68,#REF!,17,FALSE))</f>
        <v>#N/A</v>
      </c>
    </row>
    <row r="67" spans="1:22" ht="27" customHeight="1">
      <c r="A67" s="374"/>
      <c r="B67" s="376"/>
      <c r="C67" s="378"/>
      <c r="D67" s="179"/>
      <c r="E67" s="358"/>
      <c r="F67" s="381"/>
      <c r="G67" s="358"/>
      <c r="H67" s="358"/>
      <c r="I67" s="358"/>
      <c r="J67" s="361"/>
      <c r="K67" s="368"/>
      <c r="L67" s="369"/>
      <c r="M67" s="369"/>
      <c r="N67" s="369"/>
      <c r="O67" s="369"/>
      <c r="P67" s="369"/>
      <c r="Q67" s="369"/>
      <c r="R67" s="392"/>
      <c r="S67" s="393"/>
      <c r="T67" s="106"/>
      <c r="U67" s="106"/>
      <c r="V67" s="105" t="e">
        <f ca="1">C2-V66</f>
        <v>#N/A</v>
      </c>
    </row>
    <row r="68" spans="1:22" ht="27" customHeight="1">
      <c r="A68" s="111"/>
      <c r="B68" s="384" t="e">
        <f>VLOOKUP(A68,'MIG SQL (MIG_LOG)'!1:1048576,4,FALSE)</f>
        <v>#N/A</v>
      </c>
      <c r="C68" s="384"/>
      <c r="D68" s="131"/>
      <c r="E68" s="379"/>
      <c r="F68" s="390"/>
      <c r="G68" s="379"/>
      <c r="H68" s="379"/>
      <c r="I68" s="379"/>
      <c r="J68" s="383"/>
      <c r="K68" s="385"/>
      <c r="L68" s="386"/>
      <c r="M68" s="386"/>
      <c r="N68" s="386"/>
      <c r="O68" s="386"/>
      <c r="P68" s="386"/>
      <c r="Q68" s="386"/>
      <c r="R68" s="387"/>
      <c r="S68" s="386"/>
      <c r="T68" s="124"/>
      <c r="U68" s="124"/>
      <c r="V68" s="113"/>
    </row>
    <row r="69" spans="1:22" ht="27" customHeight="1">
      <c r="A69" s="373"/>
      <c r="B69" s="388" t="e">
        <f>VLOOKUP(A71,'V_GEN-READINESS'!1:1048576,27,)</f>
        <v>#N/A</v>
      </c>
      <c r="C69" s="389" t="s">
        <v>630</v>
      </c>
      <c r="D69" s="181"/>
      <c r="E69" s="358" t="e">
        <f>GETPIVOTDATA("EI_BEG_AGE",'HOUR PIVOT'!$A$3,"EI_ID",A71)</f>
        <v>#REF!</v>
      </c>
      <c r="F69" s="380" t="e">
        <f>SUM((GETPIVOTDATA("INSP_DATE",'D PIVOT'!$A$3,"SYS_CODE","A","INSP_NO",261,"EI_ID",A71)+270))</f>
        <v>#REF!</v>
      </c>
      <c r="G69" s="357" t="e">
        <f>SUM((MIN(GETPIVOTDATA("INSP_VAL",'H PIVOT'!$A$3,"SYS_CODE","A","INSP_NO",41,"EI_ID",A71), (GETPIVOTDATA("INSP_VAL",'H PIVOT'!$A$3,"SYS_CODE","A","INSP_NO",130,"EI_ID",A71)), (GETPIVOTDATA("INSP_VAL",'H PIVOT'!$A$3,"SYS_CODE","A","INSP_NO",135,"EI_ID",A71)), (GETPIVOTDATA("INSP_VAL",'H PIVOT'!$A$3,"SYS_CODE","A","INSP_NO",145,"EI_ID",A71)))+50)-E69)</f>
        <v>#REF!</v>
      </c>
      <c r="H69" s="357" t="e">
        <f>SUM((MIN(GETPIVOTDATA("INSP_VAL",'H PIVOT'!$A$3,"SYS_CODE","A","INSP_NO",195,"EI_ID",A71), (GETPIVOTDATA("INSP_VAL",'H PIVOT'!$A$3,"SYS_CODE","A","INSP_NO",198,"EI_ID",A71)), (GETPIVOTDATA("INSP_VAL",'H PIVOT'!$A$3,"SYS_CODE","A","INSP_NO",200,"EI_ID",A71)), (GETPIVOTDATA("INSP_VAL",'H PIVOT'!$A$3,"SYS_CODE","A","INSP_NO",224,"EI_ID",A71)))+125)-E69)</f>
        <v>#REF!</v>
      </c>
      <c r="I69" s="357" t="e">
        <f>SUM((MIN(GETPIVOTDATA("INSP_VAL",'H PIVOT'!$A$3,"SYS_CODE","A","INSP_NO",223,"EI_ID",A71), (GETPIVOTDATA("INSP_VAL",'H PIVOT'!$A$3,"SYS_CODE","A","INSP_NO",231,"EI_ID",A71)), (GETPIVOTDATA("INSP_VAL",'H PIVOT'!$A$3,"SYS_CODE","A","INSP_NO",234,"EI_ID",A71)), (GETPIVOTDATA("INSP_VAL",'H PIVOT'!$A$3,"SYS_CODE","A","INSP_NO",261,"EI_ID",A71)),(GETPIVOTDATA("INSP_VAL",'H PIVOT'!$A$3,"SYS_CODE","A","INSP_NO",270,"EI_ID",A71)),(GETPIVOTDATA("INSP_VAL",'H PIVOT'!$A$3,"SYS_CODE","A","INSP_NO",275,"EI_ID",A71)),(GETPIVOTDATA("INSP_VAL",'H PIVOT'!$A$3,"SYS_CODE","A","INSP_NO",290,"EI_ID",A71)),(GETPIVOTDATA("INSP_VAL",'H PIVOT'!$A$3,"SYS_CODE","A","INSP_NO",295,"EI_ID",A71)),(GETPIVOTDATA("INSP_VAL",'H PIVOT'!$A$3,"SYS_CODE","A","INSP_NO",300,"EI_ID",A71)),(GETPIVOTDATA("INSP_VAL",'H PIVOT'!$A$3,"SYS_CODE","A","INSP_NO",465,"EI_ID",A71)),(GETPIVOTDATA("INSP_VAL",'H PIVOT'!$A$3,"SYS_CODE","A","INSP_NO",757,"EI_ID",A71)))+250)-E69)</f>
        <v>#REF!</v>
      </c>
      <c r="J69" s="360" t="e">
        <f>SUM((MIN(GETPIVOTDATA("INSP_VAL",'H PIVOT'!$A$3,"SYS_CODE","A","INSP_NO",226,"EI_ID",A71), (GETPIVOTDATA("INSP_VAL",'H PIVOT'!$A$3,"SYS_CODE","A","INSP_NO",230,"EI_ID",A65)), (GETPIVOTDATA("INSP_VAL",'H PIVOT'!$A$3,"SYS_CODE","A","INSP_NO",400,"EI_ID",A65)), (GETPIVOTDATA("INSP_VAL",'H PIVOT'!$A$3,"SYS_CODE","A","INSP_NO",755,"EI_ID",A65)))+500)-E69)</f>
        <v>#REF!</v>
      </c>
      <c r="K69" s="368"/>
      <c r="L69" s="369"/>
      <c r="M69" s="369"/>
      <c r="N69" s="369"/>
      <c r="O69" s="369"/>
      <c r="P69" s="369"/>
      <c r="Q69" s="369"/>
      <c r="R69" s="370"/>
      <c r="S69" s="371"/>
      <c r="T69" s="106"/>
      <c r="U69" s="106"/>
      <c r="V69" s="160" t="e">
        <f>IF(B69="FMC",0,VLOOKUP(A71,#REF!,17,FALSE))</f>
        <v>#N/A</v>
      </c>
    </row>
    <row r="70" spans="1:22" ht="27" customHeight="1">
      <c r="A70" s="374"/>
      <c r="B70" s="376"/>
      <c r="C70" s="378"/>
      <c r="D70" s="179"/>
      <c r="E70" s="358"/>
      <c r="F70" s="381"/>
      <c r="G70" s="358"/>
      <c r="H70" s="358"/>
      <c r="I70" s="358"/>
      <c r="J70" s="361"/>
      <c r="K70" s="368"/>
      <c r="L70" s="369"/>
      <c r="M70" s="369"/>
      <c r="N70" s="369"/>
      <c r="O70" s="369"/>
      <c r="P70" s="369"/>
      <c r="Q70" s="369"/>
      <c r="R70" s="370"/>
      <c r="S70" s="371"/>
      <c r="T70" s="106"/>
      <c r="U70" s="106"/>
      <c r="V70" s="105" t="e">
        <f ca="1">C2-V69</f>
        <v>#N/A</v>
      </c>
    </row>
    <row r="71" spans="1:22" ht="27" customHeight="1">
      <c r="A71" s="111"/>
      <c r="B71" s="372" t="e">
        <f>VLOOKUP(A71,'MIG SQL (MIG_LOG)'!1:1048576,4,FALSE)</f>
        <v>#N/A</v>
      </c>
      <c r="C71" s="372"/>
      <c r="D71" s="133"/>
      <c r="E71" s="379"/>
      <c r="F71" s="390"/>
      <c r="G71" s="379"/>
      <c r="H71" s="379"/>
      <c r="I71" s="379"/>
      <c r="J71" s="383"/>
      <c r="K71" s="368"/>
      <c r="L71" s="369"/>
      <c r="M71" s="369"/>
      <c r="N71" s="369"/>
      <c r="O71" s="369"/>
      <c r="P71" s="369"/>
      <c r="Q71" s="369"/>
      <c r="R71" s="391"/>
      <c r="S71" s="369"/>
      <c r="T71" s="122"/>
      <c r="U71" s="122"/>
      <c r="V71" s="107"/>
    </row>
    <row r="72" spans="1:22" ht="27" customHeight="1">
      <c r="A72" s="373"/>
      <c r="B72" s="375" t="e">
        <f>VLOOKUP(A74,'V_GEN-READINESS'!1:1048576,27,)</f>
        <v>#N/A</v>
      </c>
      <c r="C72" s="377" t="s">
        <v>630</v>
      </c>
      <c r="D72" s="181"/>
      <c r="E72" s="358" t="e">
        <f>GETPIVOTDATA("EI_BEG_AGE",'HOUR PIVOT'!$A$3,"EI_ID",A74)</f>
        <v>#REF!</v>
      </c>
      <c r="F72" s="380" t="e">
        <f>SUM((GETPIVOTDATA("INSP_DATE",'D PIVOT'!$A$3,"SYS_CODE","A","INSP_NO",261,"EI_ID",A74)+270))</f>
        <v>#REF!</v>
      </c>
      <c r="G72" s="357" t="e">
        <f>SUM((MIN(GETPIVOTDATA("INSP_VAL",'H PIVOT'!$A$3,"SYS_CODE","A","INSP_NO",41,"EI_ID",A74), (GETPIVOTDATA("INSP_VAL",'H PIVOT'!$A$3,"SYS_CODE","A","INSP_NO",130,"EI_ID",A62)), (GETPIVOTDATA("INSP_VAL",'H PIVOT'!$A$3,"SYS_CODE","A","INSP_NO",135,"EI_ID",A62)), (GETPIVOTDATA("INSP_VAL",'H PIVOT'!$A$3,"SYS_CODE","A","INSP_NO",145,"EI_ID",A62)))+50)-E72)</f>
        <v>#REF!</v>
      </c>
      <c r="H72" s="357" t="e">
        <f>SUM((MIN(GETPIVOTDATA("INSP_VAL",'H PIVOT'!$A$3,"SYS_CODE","A","INSP_NO",195,"EI_ID",A74), (GETPIVOTDATA("INSP_VAL",'H PIVOT'!$A$3,"SYS_CODE","A","INSP_NO",198,"EI_ID",A62)), (GETPIVOTDATA("INSP_VAL",'H PIVOT'!$A$3,"SYS_CODE","A","INSP_NO",200,"EI_ID",A62)), (GETPIVOTDATA("INSP_VAL",'H PIVOT'!$A$3,"SYS_CODE","A","INSP_NO",224,"EI_ID",A62)))+125)-E72)</f>
        <v>#REF!</v>
      </c>
      <c r="I72" s="357" t="e">
        <f>SUM((MIN(GETPIVOTDATA("INSP_VAL",'H PIVOT'!$A$3,"SYS_CODE","A","INSP_NO",223,"EI_ID",A74), (GETPIVOTDATA("INSP_VAL",'H PIVOT'!$A$3,"SYS_CODE","A","INSP_NO",231,"EI_ID",A74)), (GETPIVOTDATA("INSP_VAL",'H PIVOT'!$A$3,"SYS_CODE","A","INSP_NO",234,"EI_ID",A74)), (GETPIVOTDATA("INSP_VAL",'H PIVOT'!$A$3,"SYS_CODE","A","INSP_NO",261,"EI_ID",A74)),(GETPIVOTDATA("INSP_VAL",'H PIVOT'!$A$3,"SYS_CODE","A","INSP_NO",270,"EI_ID",A74)),(GETPIVOTDATA("INSP_VAL",'H PIVOT'!$A$3,"SYS_CODE","A","INSP_NO",275,"EI_ID",A74)),(GETPIVOTDATA("INSP_VAL",'H PIVOT'!$A$3,"SYS_CODE","A","INSP_NO",290,"EI_ID",A74)),(GETPIVOTDATA("INSP_VAL",'H PIVOT'!$A$3,"SYS_CODE","A","INSP_NO",295,"EI_ID",A74)),(GETPIVOTDATA("INSP_VAL",'H PIVOT'!$A$3,"SYS_CODE","A","INSP_NO",300,"EI_ID",A74)),(GETPIVOTDATA("INSP_VAL",'H PIVOT'!$A$3,"SYS_CODE","A","INSP_NO",465,"EI_ID",A74)),(GETPIVOTDATA("INSP_VAL",'H PIVOT'!$A$3,"SYS_CODE","A","INSP_NO",757,"EI_ID",A74)))+250)-E72)</f>
        <v>#REF!</v>
      </c>
      <c r="J72" s="360" t="e">
        <f>SUM((MIN(GETPIVOTDATA("INSP_VAL",'H PIVOT'!$A$3,"SYS_CODE","A","INSP_NO",226,"EI_ID",A74), (GETPIVOTDATA("INSP_VAL",'H PIVOT'!$A$3,"SYS_CODE","A","INSP_NO",230,"EI_ID",A74)), (GETPIVOTDATA("INSP_VAL",'H PIVOT'!$A$3,"SYS_CODE","A","INSP_NO",400,"EI_ID",A74)), (GETPIVOTDATA("INSP_VAL",'H PIVOT'!$A$3,"SYS_CODE","A","INSP_NO",755,"EI_ID",A74)))+500)-E72)</f>
        <v>#REF!</v>
      </c>
      <c r="K72" s="363"/>
      <c r="L72" s="364"/>
      <c r="M72" s="364"/>
      <c r="N72" s="364"/>
      <c r="O72" s="364"/>
      <c r="P72" s="364"/>
      <c r="Q72" s="364"/>
      <c r="R72" s="366"/>
      <c r="S72" s="367"/>
      <c r="T72" s="112"/>
      <c r="U72" s="112"/>
      <c r="V72" s="161" t="e">
        <f>IF(B72="FMC",0,VLOOKUP(A74,#REF!,17,FALSE))</f>
        <v>#N/A</v>
      </c>
    </row>
    <row r="73" spans="1:22" ht="27" customHeight="1">
      <c r="A73" s="374"/>
      <c r="B73" s="376"/>
      <c r="C73" s="378"/>
      <c r="D73" s="179"/>
      <c r="E73" s="358"/>
      <c r="F73" s="381"/>
      <c r="G73" s="358"/>
      <c r="H73" s="358"/>
      <c r="I73" s="358"/>
      <c r="J73" s="361"/>
      <c r="K73" s="368"/>
      <c r="L73" s="369"/>
      <c r="M73" s="369"/>
      <c r="N73" s="369"/>
      <c r="O73" s="369"/>
      <c r="P73" s="369"/>
      <c r="Q73" s="369"/>
      <c r="R73" s="370"/>
      <c r="S73" s="371"/>
      <c r="T73" s="106"/>
      <c r="U73" s="106"/>
      <c r="V73" s="105" t="e">
        <f ca="1">C2-V72</f>
        <v>#N/A</v>
      </c>
    </row>
    <row r="74" spans="1:22" ht="30" customHeight="1">
      <c r="A74" s="111"/>
      <c r="B74" s="384" t="e">
        <f>VLOOKUP(A74,'MIG SQL (MIG_LOG)'!1:1048576,4,FALSE)</f>
        <v>#N/A</v>
      </c>
      <c r="C74" s="384"/>
      <c r="D74" s="131"/>
      <c r="E74" s="379"/>
      <c r="F74" s="390"/>
      <c r="G74" s="379"/>
      <c r="H74" s="379"/>
      <c r="I74" s="379"/>
      <c r="J74" s="383"/>
      <c r="K74" s="385"/>
      <c r="L74" s="386"/>
      <c r="M74" s="386"/>
      <c r="N74" s="386"/>
      <c r="O74" s="386"/>
      <c r="P74" s="386"/>
      <c r="Q74" s="386"/>
      <c r="R74" s="387"/>
      <c r="S74" s="386"/>
      <c r="T74" s="124"/>
      <c r="U74" s="124"/>
      <c r="V74" s="113"/>
    </row>
    <row r="75" spans="1:22" ht="30" customHeight="1">
      <c r="A75" s="373"/>
      <c r="B75" s="388" t="e">
        <f>VLOOKUP(A77,'V_GEN-READINESS'!1:1048576,27,)</f>
        <v>#N/A</v>
      </c>
      <c r="C75" s="389" t="s">
        <v>630</v>
      </c>
      <c r="D75" s="181"/>
      <c r="E75" s="358" t="e">
        <f>GETPIVOTDATA("EI_BEG_AGE",'HOUR PIVOT'!$A$3,"EI_ID",A77)</f>
        <v>#REF!</v>
      </c>
      <c r="F75" s="380" t="e">
        <f>SUM((GETPIVOTDATA("INSP_DATE",'D PIVOT'!$A$3,"SYS_CODE","A","INSP_NO",261,"EI_ID",A77)+270))</f>
        <v>#REF!</v>
      </c>
      <c r="G75" s="357" t="e">
        <f>SUM((MIN(GETPIVOTDATA("INSP_VAL",'H PIVOT'!$A$3,"SYS_CODE","A","INSP_NO",41,"EI_ID",A77), (GETPIVOTDATA("INSP_VAL",'H PIVOT'!$A$3,"SYS_CODE","A","INSP_NO",130,"EI_ID",A62)), (GETPIVOTDATA("INSP_VAL",'H PIVOT'!$A$3,"SYS_CODE","A","INSP_NO",135,"EI_ID",A62)), (GETPIVOTDATA("INSP_VAL",'H PIVOT'!$A$3,"SYS_CODE","A","INSP_NO",145,"EI_ID",A62)))+50)-E75)</f>
        <v>#REF!</v>
      </c>
      <c r="H75" s="357" t="e">
        <f>SUM((MIN(GETPIVOTDATA("INSP_VAL",'H PIVOT'!$A$3,"SYS_CODE","A","INSP_NO",195,"EI_ID",A77), (GETPIVOTDATA("INSP_VAL",'H PIVOT'!$A$3,"SYS_CODE","A","INSP_NO",198,"EI_ID",A62)), (GETPIVOTDATA("INSP_VAL",'H PIVOT'!$A$3,"SYS_CODE","A","INSP_NO",200,"EI_ID",A62)), (GETPIVOTDATA("INSP_VAL",'H PIVOT'!$A$3,"SYS_CODE","A","INSP_NO",224,"EI_ID",A62)))+125)-E75)</f>
        <v>#REF!</v>
      </c>
      <c r="I75" s="357" t="e">
        <f>SUM((MIN(GETPIVOTDATA("INSP_VAL",'H PIVOT'!$A$3,"SYS_CODE","A","INSP_NO",223,"EI_ID",A77), (GETPIVOTDATA("INSP_VAL",'H PIVOT'!$A$3,"SYS_CODE","A","INSP_NO",231,"EI_ID",A77)), (GETPIVOTDATA("INSP_VAL",'H PIVOT'!$A$3,"SYS_CODE","A","INSP_NO",234,"EI_ID",A77)), (GETPIVOTDATA("INSP_VAL",'H PIVOT'!$A$3,"SYS_CODE","A","INSP_NO",261,"EI_ID",A77)),(GETPIVOTDATA("INSP_VAL",'H PIVOT'!$A$3,"SYS_CODE","A","INSP_NO",270,"EI_ID",A77)),(GETPIVOTDATA("INSP_VAL",'H PIVOT'!$A$3,"SYS_CODE","A","INSP_NO",275,"EI_ID",A77)),(GETPIVOTDATA("INSP_VAL",'H PIVOT'!$A$3,"SYS_CODE","A","INSP_NO",290,"EI_ID",A77)),(GETPIVOTDATA("INSP_VAL",'H PIVOT'!$A$3,"SYS_CODE","A","INSP_NO",295,"EI_ID",A77)),(GETPIVOTDATA("INSP_VAL",'H PIVOT'!$A$3,"SYS_CODE","A","INSP_NO",300,"EI_ID",A77)),(GETPIVOTDATA("INSP_VAL",'H PIVOT'!$A$3,"SYS_CODE","A","INSP_NO",465,"EI_ID",A77)),(GETPIVOTDATA("INSP_VAL",'H PIVOT'!$A$3,"SYS_CODE","A","INSP_NO",757,"EI_ID",A77)))+250)-E75)</f>
        <v>#REF!</v>
      </c>
      <c r="J75" s="360" t="e">
        <f>SUM((MIN(GETPIVOTDATA("INSP_VAL",'H PIVOT'!$A$3,"SYS_CODE","A","INSP_NO",226,"EI_ID",A77), (GETPIVOTDATA("INSP_VAL",'H PIVOT'!$A$3,"SYS_CODE","A","INSP_NO",230,"EI_ID",A77)), (GETPIVOTDATA("INSP_VAL",'H PIVOT'!$A$3,"SYS_CODE","A","INSP_NO",400,"EI_ID",A77)), (GETPIVOTDATA("INSP_VAL",'H PIVOT'!$A$3,"SYS_CODE","A","INSP_NO",755,"EI_ID",A77)))+500)-E75)</f>
        <v>#REF!</v>
      </c>
      <c r="K75" s="368"/>
      <c r="L75" s="369"/>
      <c r="M75" s="369"/>
      <c r="N75" s="369"/>
      <c r="O75" s="369"/>
      <c r="P75" s="369"/>
      <c r="Q75" s="369"/>
      <c r="R75" s="370"/>
      <c r="S75" s="371"/>
      <c r="T75" s="106"/>
      <c r="U75" s="106"/>
      <c r="V75" s="160" t="e">
        <f>IF(B75="FMC",0,VLOOKUP(A77,#REF!,17,FALSE))</f>
        <v>#N/A</v>
      </c>
    </row>
    <row r="76" spans="1:22" ht="30" customHeight="1">
      <c r="A76" s="374"/>
      <c r="B76" s="376"/>
      <c r="C76" s="378"/>
      <c r="D76" s="179"/>
      <c r="E76" s="358"/>
      <c r="F76" s="381"/>
      <c r="G76" s="358"/>
      <c r="H76" s="358"/>
      <c r="I76" s="358"/>
      <c r="J76" s="361"/>
      <c r="K76" s="368"/>
      <c r="L76" s="369"/>
      <c r="M76" s="369"/>
      <c r="N76" s="369"/>
      <c r="O76" s="369"/>
      <c r="P76" s="369"/>
      <c r="Q76" s="369"/>
      <c r="R76" s="370"/>
      <c r="S76" s="371"/>
      <c r="T76" s="106"/>
      <c r="U76" s="106"/>
      <c r="V76" s="105" t="e">
        <f ca="1">C2-V75</f>
        <v>#N/A</v>
      </c>
    </row>
    <row r="77" spans="1:22" ht="30" customHeight="1">
      <c r="A77" s="111"/>
      <c r="B77" s="372" t="e">
        <f>VLOOKUP(A77,'MIG SQL (MIG_LOG)'!1:1048576,4,FALSE)</f>
        <v>#N/A</v>
      </c>
      <c r="C77" s="372"/>
      <c r="D77" s="133"/>
      <c r="E77" s="379"/>
      <c r="F77" s="390"/>
      <c r="G77" s="379"/>
      <c r="H77" s="379"/>
      <c r="I77" s="379"/>
      <c r="J77" s="383"/>
      <c r="K77" s="368"/>
      <c r="L77" s="369"/>
      <c r="M77" s="369"/>
      <c r="N77" s="369"/>
      <c r="O77" s="369"/>
      <c r="P77" s="369"/>
      <c r="Q77" s="369"/>
      <c r="R77" s="370"/>
      <c r="S77" s="371"/>
      <c r="T77" s="122"/>
      <c r="U77" s="122"/>
      <c r="V77" s="107"/>
    </row>
    <row r="78" spans="1:22" ht="30" customHeight="1">
      <c r="A78" s="373"/>
      <c r="B78" s="375" t="e">
        <f>VLOOKUP(A80,'V_GEN-READINESS'!1:1048576,27,)</f>
        <v>#N/A</v>
      </c>
      <c r="C78" s="377" t="s">
        <v>630</v>
      </c>
      <c r="D78" s="181"/>
      <c r="E78" s="358" t="e">
        <f>GETPIVOTDATA("EI_BEG_AGE",'HOUR PIVOT'!$A$3,"EI_ID",A80)</f>
        <v>#REF!</v>
      </c>
      <c r="F78" s="380" t="e">
        <f>SUM((GETPIVOTDATA("INSP_DATE",'D PIVOT'!$A$3,"SYS_CODE","A","INSP_NO",261,"EI_ID",A80)+270))</f>
        <v>#REF!</v>
      </c>
      <c r="G78" s="357" t="e">
        <f>SUM((MIN(GETPIVOTDATA("INSP_VAL",'H PIVOT'!$A$3,"SYS_CODE","A","INSP_NO",41,"EI_ID",A80), (GETPIVOTDATA("INSP_VAL",'H PIVOT'!$A$3,"SYS_CODE","A","INSP_NO",130,"EI_ID",A62)), (GETPIVOTDATA("INSP_VAL",'H PIVOT'!$A$3,"SYS_CODE","A","INSP_NO",135,"EI_ID",A62)), (GETPIVOTDATA("INSP_VAL",'H PIVOT'!$A$3,"SYS_CODE","A","INSP_NO",145,"EI_ID",A62)))+50)-E78)</f>
        <v>#REF!</v>
      </c>
      <c r="H78" s="357" t="e">
        <f>SUM((MIN(GETPIVOTDATA("INSP_VAL",'H PIVOT'!$A$3,"SYS_CODE","A","INSP_NO",195,"EI_ID",A80), (GETPIVOTDATA("INSP_VAL",'H PIVOT'!$A$3,"SYS_CODE","A","INSP_NO",198,"EI_ID",A62)), (GETPIVOTDATA("INSP_VAL",'H PIVOT'!$A$3,"SYS_CODE","A","INSP_NO",200,"EI_ID",A62)), (GETPIVOTDATA("INSP_VAL",'H PIVOT'!$A$3,"SYS_CODE","A","INSP_NO",224,"EI_ID",A62)))+125)-E78)</f>
        <v>#REF!</v>
      </c>
      <c r="I78" s="357" t="e">
        <f>SUM((MIN(GETPIVOTDATA("INSP_VAL",'H PIVOT'!$A$3,"SYS_CODE","A","INSP_NO",223,"EI_ID",A80), (GETPIVOTDATA("INSP_VAL",'H PIVOT'!$A$3,"SYS_CODE","A","INSP_NO",231,"EI_ID",A80)), (GETPIVOTDATA("INSP_VAL",'H PIVOT'!$A$3,"SYS_CODE","A","INSP_NO",234,"EI_ID",A80)), (GETPIVOTDATA("INSP_VAL",'H PIVOT'!$A$3,"SYS_CODE","A","INSP_NO",261,"EI_ID",A80)),(GETPIVOTDATA("INSP_VAL",'H PIVOT'!$A$3,"SYS_CODE","A","INSP_NO",270,"EI_ID",A80)),(GETPIVOTDATA("INSP_VAL",'H PIVOT'!$A$3,"SYS_CODE","A","INSP_NO",275,"EI_ID",A80)),(GETPIVOTDATA("INSP_VAL",'H PIVOT'!$A$3,"SYS_CODE","A","INSP_NO",290,"EI_ID",A80)),(GETPIVOTDATA("INSP_VAL",'H PIVOT'!$A$3,"SYS_CODE","A","INSP_NO",295,"EI_ID",A80)),(GETPIVOTDATA("INSP_VAL",'H PIVOT'!$A$3,"SYS_CODE","A","INSP_NO",300,"EI_ID",A80)),(GETPIVOTDATA("INSP_VAL",'H PIVOT'!$A$3,"SYS_CODE","A","INSP_NO",465,"EI_ID",A80)),(GETPIVOTDATA("INSP_VAL",'H PIVOT'!$A$3,"SYS_CODE","A","INSP_NO",757,"EI_ID",A80)))+250)-E78)</f>
        <v>#REF!</v>
      </c>
      <c r="J78" s="360" t="e">
        <f>SUM((MIN(GETPIVOTDATA("INSP_VAL",'H PIVOT'!$A$3,"SYS_CODE","A","INSP_NO",226,"EI_ID",A80), (GETPIVOTDATA("INSP_VAL",'H PIVOT'!$A$3,"SYS_CODE","A","INSP_NO",230,"EI_ID",A80)), (GETPIVOTDATA("INSP_VAL",'H PIVOT'!$A$3,"SYS_CODE","A","INSP_NO",400,"EI_ID",A80)), (GETPIVOTDATA("INSP_VAL",'H PIVOT'!$A$3,"SYS_CODE","A","INSP_NO",755,"EI_ID",A80)))+500)-E78)</f>
        <v>#REF!</v>
      </c>
      <c r="K78" s="363"/>
      <c r="L78" s="364"/>
      <c r="M78" s="364"/>
      <c r="N78" s="364"/>
      <c r="O78" s="364"/>
      <c r="P78" s="364"/>
      <c r="Q78" s="365"/>
      <c r="R78" s="366"/>
      <c r="S78" s="367"/>
      <c r="T78" s="112"/>
      <c r="U78" s="112"/>
      <c r="V78" s="161" t="e">
        <f>IF(B78="FMC",0,VLOOKUP(A80,#REF!,17,FALSE))</f>
        <v>#N/A</v>
      </c>
    </row>
    <row r="79" spans="1:22" ht="30" customHeight="1">
      <c r="A79" s="374"/>
      <c r="B79" s="376"/>
      <c r="C79" s="378"/>
      <c r="D79" s="179"/>
      <c r="E79" s="358"/>
      <c r="F79" s="381"/>
      <c r="G79" s="358"/>
      <c r="H79" s="358"/>
      <c r="I79" s="358"/>
      <c r="J79" s="361"/>
      <c r="K79" s="368"/>
      <c r="L79" s="369"/>
      <c r="M79" s="369"/>
      <c r="N79" s="369"/>
      <c r="O79" s="369"/>
      <c r="P79" s="369"/>
      <c r="Q79" s="369"/>
      <c r="R79" s="370"/>
      <c r="S79" s="371"/>
      <c r="T79" s="106"/>
      <c r="U79" s="106"/>
      <c r="V79" s="105" t="e">
        <f ca="1">C2-V78</f>
        <v>#N/A</v>
      </c>
    </row>
    <row r="80" spans="1:22" ht="30" customHeight="1" thickBot="1">
      <c r="A80" s="111"/>
      <c r="B80" s="347" t="e">
        <f>VLOOKUP(A80,'MIG SQL (MIG_LOG)'!1:1048576,4,FALSE)</f>
        <v>#N/A</v>
      </c>
      <c r="C80" s="347"/>
      <c r="D80" s="132"/>
      <c r="E80" s="379"/>
      <c r="F80" s="382"/>
      <c r="G80" s="359"/>
      <c r="H80" s="359"/>
      <c r="I80" s="359"/>
      <c r="J80" s="362"/>
      <c r="K80" s="348"/>
      <c r="L80" s="349"/>
      <c r="M80" s="349"/>
      <c r="N80" s="349"/>
      <c r="O80" s="349"/>
      <c r="P80" s="349"/>
      <c r="Q80" s="349"/>
      <c r="R80" s="350"/>
      <c r="S80" s="349"/>
      <c r="T80" s="123"/>
      <c r="U80" s="123"/>
      <c r="V80" s="108"/>
    </row>
    <row r="81" spans="1:22" ht="30" customHeight="1" thickTop="1" thickBot="1">
      <c r="A81" s="351" t="s">
        <v>7</v>
      </c>
      <c r="B81" s="352"/>
      <c r="C81" s="352"/>
      <c r="D81" s="352"/>
      <c r="E81" s="352"/>
      <c r="F81" s="352"/>
      <c r="G81" s="352"/>
      <c r="H81" s="353"/>
      <c r="I81" s="354" t="s">
        <v>634</v>
      </c>
      <c r="J81" s="355"/>
      <c r="K81" s="355"/>
      <c r="L81" s="355"/>
      <c r="M81" s="355"/>
      <c r="N81" s="355"/>
      <c r="O81" s="355"/>
      <c r="P81" s="356"/>
      <c r="Q81" s="336" t="s">
        <v>693</v>
      </c>
      <c r="R81" s="337"/>
      <c r="S81" s="337"/>
      <c r="T81" s="337"/>
      <c r="U81" s="337"/>
      <c r="V81" s="338"/>
    </row>
    <row r="82" spans="1:22" ht="30" customHeight="1" thickBot="1">
      <c r="A82" s="117" t="s">
        <v>9</v>
      </c>
      <c r="B82" s="341" t="s">
        <v>397</v>
      </c>
      <c r="C82" s="342"/>
      <c r="D82" s="342"/>
      <c r="E82" s="343"/>
      <c r="F82" s="118" t="s">
        <v>398</v>
      </c>
      <c r="G82" s="118" t="s">
        <v>587</v>
      </c>
      <c r="H82" s="119" t="s">
        <v>399</v>
      </c>
      <c r="I82" s="117" t="s">
        <v>9</v>
      </c>
      <c r="J82" s="341" t="s">
        <v>397</v>
      </c>
      <c r="K82" s="342"/>
      <c r="L82" s="342"/>
      <c r="M82" s="343"/>
      <c r="N82" s="118" t="s">
        <v>398</v>
      </c>
      <c r="O82" s="118" t="s">
        <v>639</v>
      </c>
      <c r="P82" s="125" t="s">
        <v>640</v>
      </c>
      <c r="Q82" s="157"/>
      <c r="R82" s="157"/>
      <c r="S82" s="157"/>
      <c r="T82" s="157"/>
      <c r="U82" s="157"/>
      <c r="V82" s="166"/>
    </row>
    <row r="83" spans="1:22" ht="30" customHeight="1">
      <c r="A83" s="109" t="str">
        <f>'TBO DROP'!A2</f>
        <v>187</v>
      </c>
      <c r="B83" s="344" t="str">
        <f>'TBO DROP'!B2</f>
        <v>MAIN ROTOR BLADE</v>
      </c>
      <c r="C83" s="345"/>
      <c r="D83" s="345"/>
      <c r="E83" s="346"/>
      <c r="F83" s="103" t="str">
        <f>IF('TBO DROP'!D2=0,'TBO DROP'!C2,'TBO DROP'!D2)</f>
        <v>013320702</v>
      </c>
      <c r="G83" s="103" t="str">
        <f>'TBO DROP'!F2</f>
        <v>RC</v>
      </c>
      <c r="H83" s="104">
        <f>'TBO DROP'!E2</f>
        <v>142.30000000000018</v>
      </c>
      <c r="I83" s="171" t="s">
        <v>1058</v>
      </c>
      <c r="J83" s="339" t="s">
        <v>1160</v>
      </c>
      <c r="K83" s="339"/>
      <c r="L83" s="339"/>
      <c r="M83" s="339"/>
      <c r="N83" s="173" t="s">
        <v>1161</v>
      </c>
      <c r="O83" s="276" t="s">
        <v>1162</v>
      </c>
      <c r="P83" s="174"/>
      <c r="Q83" s="158"/>
      <c r="R83" s="158"/>
      <c r="S83" s="158"/>
      <c r="T83" s="158"/>
      <c r="U83" s="158"/>
      <c r="V83" s="167"/>
    </row>
    <row r="84" spans="1:22" ht="30" customHeight="1">
      <c r="A84" s="109" t="str">
        <f>'TBO DROP'!A3</f>
        <v>141</v>
      </c>
      <c r="B84" s="295" t="str">
        <f>'TBO DROP'!B3</f>
        <v>LEAD LAG DAMPER</v>
      </c>
      <c r="C84" s="296"/>
      <c r="D84" s="296"/>
      <c r="E84" s="297"/>
      <c r="F84" s="103" t="str">
        <f>IF('TBO DROP'!D3=0,'TBO DROP'!C3,'TBO DROP'!D3)</f>
        <v>012198658</v>
      </c>
      <c r="G84" s="103" t="str">
        <f>'TBO DROP'!F3</f>
        <v>RC</v>
      </c>
      <c r="H84" s="104">
        <f>'TBO DROP'!E3</f>
        <v>152.5</v>
      </c>
      <c r="I84" s="172"/>
      <c r="J84" s="330"/>
      <c r="K84" s="331"/>
      <c r="L84" s="331"/>
      <c r="M84" s="332"/>
      <c r="N84" s="184"/>
      <c r="O84" s="185"/>
      <c r="P84" s="175"/>
      <c r="Q84" s="158"/>
      <c r="R84" s="158"/>
      <c r="S84" s="158"/>
      <c r="T84" s="158"/>
      <c r="U84" s="158"/>
      <c r="V84" s="167"/>
    </row>
    <row r="85" spans="1:22" ht="30" customHeight="1">
      <c r="A85" s="109" t="str">
        <f>'TBO DROP'!A4</f>
        <v>141</v>
      </c>
      <c r="B85" s="295" t="str">
        <f>'TBO DROP'!B4</f>
        <v>LEAD LAG DAMPER</v>
      </c>
      <c r="C85" s="296"/>
      <c r="D85" s="296"/>
      <c r="E85" s="297"/>
      <c r="F85" s="103" t="str">
        <f>IF('TBO DROP'!D4=0,'TBO DROP'!C4,'TBO DROP'!D4)</f>
        <v>012198658</v>
      </c>
      <c r="G85" s="103" t="str">
        <f>'TBO DROP'!F4</f>
        <v>RC</v>
      </c>
      <c r="H85" s="104">
        <f>'TBO DROP'!E4</f>
        <v>152.5</v>
      </c>
      <c r="I85" s="172"/>
      <c r="J85" s="339"/>
      <c r="K85" s="339"/>
      <c r="L85" s="339"/>
      <c r="M85" s="339"/>
      <c r="N85" s="126"/>
      <c r="O85" s="191"/>
      <c r="P85" s="175"/>
      <c r="Q85" s="158"/>
      <c r="R85" s="158"/>
      <c r="S85" s="158"/>
      <c r="T85" s="158"/>
      <c r="U85" s="158"/>
      <c r="V85" s="167"/>
    </row>
    <row r="86" spans="1:22" ht="30" customHeight="1">
      <c r="A86" s="109" t="str">
        <f>'TBO DROP'!A5</f>
        <v>187</v>
      </c>
      <c r="B86" s="295" t="str">
        <f>'TBO DROP'!B5</f>
        <v>LATERAL LINK</v>
      </c>
      <c r="C86" s="296"/>
      <c r="D86" s="296"/>
      <c r="E86" s="297"/>
      <c r="F86" s="103" t="str">
        <f>IF('TBO DROP'!D5=0,'TBO DROP'!C5,'TBO DROP'!D5)</f>
        <v>012629482</v>
      </c>
      <c r="G86" s="103" t="str">
        <f>'TBO DROP'!F5</f>
        <v>RC</v>
      </c>
      <c r="H86" s="104">
        <f>'TBO DROP'!E5</f>
        <v>208.30000000000018</v>
      </c>
      <c r="I86" s="172"/>
      <c r="J86" s="339"/>
      <c r="K86" s="339"/>
      <c r="L86" s="339"/>
      <c r="M86" s="339"/>
      <c r="N86" s="126"/>
      <c r="O86" s="191"/>
      <c r="P86" s="175"/>
      <c r="Q86" s="158"/>
      <c r="R86" s="158"/>
      <c r="S86" s="158"/>
      <c r="T86" s="158"/>
      <c r="U86" s="158"/>
      <c r="V86" s="167"/>
    </row>
    <row r="87" spans="1:22" ht="30" customHeight="1">
      <c r="A87" s="109" t="str">
        <f>'TBO DROP'!A6</f>
        <v>141</v>
      </c>
      <c r="B87" s="295" t="str">
        <f>'TBO DROP'!B6</f>
        <v>TRUNNION, DAMPER</v>
      </c>
      <c r="C87" s="296"/>
      <c r="D87" s="296"/>
      <c r="E87" s="297"/>
      <c r="F87" s="103" t="str">
        <f>IF('TBO DROP'!D6=0,'TBO DROP'!C6,'TBO DROP'!D6)</f>
        <v>011705243</v>
      </c>
      <c r="G87" s="103" t="str">
        <f>'TBO DROP'!F6</f>
        <v>RC</v>
      </c>
      <c r="H87" s="104">
        <f>'TBO DROP'!E6</f>
        <v>222.5</v>
      </c>
      <c r="I87" s="172"/>
      <c r="J87" s="340"/>
      <c r="K87" s="339"/>
      <c r="L87" s="339"/>
      <c r="M87" s="339"/>
      <c r="N87" s="126"/>
      <c r="O87" s="191"/>
      <c r="P87" s="186"/>
      <c r="Q87" s="158"/>
      <c r="R87" s="158"/>
      <c r="S87" s="158"/>
      <c r="T87" s="158"/>
      <c r="U87" s="158"/>
      <c r="V87" s="167"/>
    </row>
    <row r="88" spans="1:22" ht="30" customHeight="1">
      <c r="A88" s="109" t="str">
        <f>'TBO DROP'!A7</f>
        <v>119</v>
      </c>
      <c r="B88" s="295" t="str">
        <f>'TBO DROP'!B7</f>
        <v>ACC MOD CLUTCH</v>
      </c>
      <c r="C88" s="296"/>
      <c r="D88" s="296"/>
      <c r="E88" s="297"/>
      <c r="F88" s="103" t="str">
        <f>IF('TBO DROP'!D7=0,'TBO DROP'!C7,'TBO DROP'!D7)</f>
        <v>015217009</v>
      </c>
      <c r="G88" s="103" t="str">
        <f>'TBO DROP'!F7</f>
        <v>RC</v>
      </c>
      <c r="H88" s="104">
        <f>'TBO DROP'!E7</f>
        <v>234.09999999999991</v>
      </c>
      <c r="I88" s="172"/>
      <c r="J88" s="339"/>
      <c r="K88" s="339"/>
      <c r="L88" s="339"/>
      <c r="M88" s="339"/>
      <c r="N88" s="126"/>
      <c r="O88" s="178"/>
      <c r="P88" s="175"/>
      <c r="Q88" s="158"/>
      <c r="R88" s="158"/>
      <c r="S88" s="158"/>
      <c r="T88" s="158"/>
      <c r="U88" s="158"/>
      <c r="V88" s="167"/>
    </row>
    <row r="89" spans="1:22" ht="30" customHeight="1">
      <c r="A89" s="109" t="str">
        <f>'TBO DROP'!A8</f>
        <v>119</v>
      </c>
      <c r="B89" s="295" t="str">
        <f>'TBO DROP'!B8</f>
        <v>ACC MOD CLUTCH, SECOND</v>
      </c>
      <c r="C89" s="296"/>
      <c r="D89" s="296"/>
      <c r="E89" s="297"/>
      <c r="F89" s="103" t="str">
        <f>IF('TBO DROP'!D8=0,'TBO DROP'!C8,'TBO DROP'!D8)</f>
        <v>015217009</v>
      </c>
      <c r="G89" s="103" t="str">
        <f>'TBO DROP'!F8</f>
        <v>RC</v>
      </c>
      <c r="H89" s="104">
        <f>'TBO DROP'!E8</f>
        <v>234.09999999999991</v>
      </c>
      <c r="I89" s="172"/>
      <c r="J89" s="339"/>
      <c r="K89" s="339"/>
      <c r="L89" s="339"/>
      <c r="M89" s="339"/>
      <c r="N89" s="126"/>
      <c r="O89" s="178"/>
      <c r="P89" s="175"/>
      <c r="Q89" s="158"/>
      <c r="R89" s="158"/>
      <c r="S89" s="158"/>
      <c r="T89" s="158"/>
      <c r="U89" s="158"/>
      <c r="V89" s="167"/>
    </row>
    <row r="90" spans="1:22" ht="30" customHeight="1">
      <c r="A90" s="109" t="str">
        <f>'TBO DROP'!A9</f>
        <v>187</v>
      </c>
      <c r="B90" s="295" t="str">
        <f>'TBO DROP'!B9</f>
        <v>STRETCHED STRAP</v>
      </c>
      <c r="C90" s="296"/>
      <c r="D90" s="296"/>
      <c r="E90" s="297"/>
      <c r="F90" s="103" t="str">
        <f>IF('TBO DROP'!D9=0,'TBO DROP'!C9,'TBO DROP'!D9)</f>
        <v>015017715</v>
      </c>
      <c r="G90" s="103" t="str">
        <f>'TBO DROP'!F9</f>
        <v>RC</v>
      </c>
      <c r="H90" s="104">
        <f>'TBO DROP'!E9</f>
        <v>252.30000000000018</v>
      </c>
      <c r="I90" s="172"/>
      <c r="J90" s="330"/>
      <c r="K90" s="331"/>
      <c r="L90" s="331"/>
      <c r="M90" s="332"/>
      <c r="N90" s="184"/>
      <c r="O90" s="185"/>
      <c r="P90" s="175"/>
      <c r="Q90" s="158"/>
      <c r="R90" s="158"/>
      <c r="S90" s="158"/>
      <c r="T90" s="158"/>
      <c r="U90" s="158"/>
      <c r="V90" s="167"/>
    </row>
    <row r="91" spans="1:22" ht="30" customHeight="1">
      <c r="A91" s="109" t="str">
        <f>'TBO DROP'!A10</f>
        <v>187</v>
      </c>
      <c r="B91" s="295" t="str">
        <f>'TBO DROP'!B10</f>
        <v>GENERATOR</v>
      </c>
      <c r="C91" s="296"/>
      <c r="D91" s="296"/>
      <c r="E91" s="297"/>
      <c r="F91" s="103" t="str">
        <f>IF('TBO DROP'!D10=0,'TBO DROP'!C10,'TBO DROP'!D10)</f>
        <v>014955122</v>
      </c>
      <c r="G91" s="103" t="str">
        <f>'TBO DROP'!F10</f>
        <v>LC</v>
      </c>
      <c r="H91" s="104">
        <f>'TBO DROP'!E10</f>
        <v>285.30000000000018</v>
      </c>
      <c r="I91" s="172"/>
      <c r="J91" s="330"/>
      <c r="K91" s="331"/>
      <c r="L91" s="331"/>
      <c r="M91" s="332"/>
      <c r="N91" s="184"/>
      <c r="O91" s="185"/>
      <c r="P91" s="186"/>
      <c r="Q91" s="158"/>
      <c r="R91" s="158"/>
      <c r="S91" s="158"/>
      <c r="T91" s="158"/>
      <c r="U91" s="158"/>
      <c r="V91" s="167"/>
    </row>
    <row r="92" spans="1:22" ht="30" customHeight="1" thickBot="1">
      <c r="A92" s="109" t="str">
        <f>'TBO DROP'!A11</f>
        <v>187</v>
      </c>
      <c r="B92" s="295" t="str">
        <f>'TBO DROP'!B11</f>
        <v>MAIN ROTOR HEAD ASSY</v>
      </c>
      <c r="C92" s="296"/>
      <c r="D92" s="296"/>
      <c r="E92" s="297"/>
      <c r="F92" s="103" t="str">
        <f>IF('TBO DROP'!D11=0,'TBO DROP'!C11,'TBO DROP'!D11)</f>
        <v>015120889</v>
      </c>
      <c r="G92" s="103" t="str">
        <f>'TBO DROP'!F11</f>
        <v>LC</v>
      </c>
      <c r="H92" s="104">
        <f>'TBO DROP'!E11</f>
        <v>304.30000000000018</v>
      </c>
      <c r="I92" s="172"/>
      <c r="J92" s="333"/>
      <c r="K92" s="334"/>
      <c r="L92" s="334"/>
      <c r="M92" s="335"/>
      <c r="N92" s="187"/>
      <c r="O92" s="188"/>
      <c r="P92" s="189"/>
      <c r="Q92" s="158"/>
      <c r="R92" s="158"/>
      <c r="S92" s="158"/>
      <c r="T92" s="158"/>
      <c r="U92" s="158"/>
      <c r="V92" s="167"/>
    </row>
    <row r="93" spans="1:22" ht="30" customHeight="1" thickTop="1" thickBot="1">
      <c r="A93" s="109" t="str">
        <f>'TBO DROP'!A12</f>
        <v>187</v>
      </c>
      <c r="B93" s="295" t="str">
        <f>'TBO DROP'!B12</f>
        <v>FEATHERING BEARING STU</v>
      </c>
      <c r="C93" s="296"/>
      <c r="D93" s="296"/>
      <c r="E93" s="297"/>
      <c r="F93" s="103" t="str">
        <f>IF('TBO DROP'!D12=0,'TBO DROP'!C12,'TBO DROP'!D12)</f>
        <v>011634676</v>
      </c>
      <c r="G93" s="103" t="str">
        <f>'TBO DROP'!F12</f>
        <v>RC</v>
      </c>
      <c r="H93" s="104">
        <f>'TBO DROP'!E12</f>
        <v>304.30000000000018</v>
      </c>
      <c r="I93" s="336" t="s">
        <v>646</v>
      </c>
      <c r="J93" s="337"/>
      <c r="K93" s="337"/>
      <c r="L93" s="337"/>
      <c r="M93" s="337"/>
      <c r="N93" s="337"/>
      <c r="O93" s="337"/>
      <c r="P93" s="338"/>
      <c r="Q93" s="158"/>
      <c r="R93" s="158"/>
      <c r="S93" s="158"/>
      <c r="T93" s="158"/>
      <c r="U93" s="158"/>
      <c r="V93" s="167"/>
    </row>
    <row r="94" spans="1:22" ht="30" customHeight="1" thickBot="1">
      <c r="A94" s="109" t="str">
        <f>'TBO DROP'!A13</f>
        <v>187</v>
      </c>
      <c r="B94" s="295" t="str">
        <f>'TBO DROP'!B13</f>
        <v>FEATHERING BEARING STU</v>
      </c>
      <c r="C94" s="296"/>
      <c r="D94" s="296"/>
      <c r="E94" s="297"/>
      <c r="F94" s="103" t="str">
        <f>IF('TBO DROP'!D13=0,'TBO DROP'!C13,'TBO DROP'!D13)</f>
        <v>011634676</v>
      </c>
      <c r="G94" s="103" t="str">
        <f>'TBO DROP'!F13</f>
        <v>RC</v>
      </c>
      <c r="H94" s="104">
        <f>'TBO DROP'!E13</f>
        <v>304.30000000000018</v>
      </c>
      <c r="I94" s="147" t="s">
        <v>4</v>
      </c>
      <c r="J94" s="148" t="s">
        <v>1</v>
      </c>
      <c r="K94" s="148" t="s">
        <v>0</v>
      </c>
      <c r="L94" s="148" t="s">
        <v>2</v>
      </c>
      <c r="M94" s="148" t="s">
        <v>3</v>
      </c>
      <c r="N94" s="164" t="s">
        <v>633</v>
      </c>
      <c r="O94" s="163" t="s">
        <v>11</v>
      </c>
      <c r="P94" s="162" t="s">
        <v>694</v>
      </c>
      <c r="Q94" s="158"/>
      <c r="R94" s="158"/>
      <c r="S94" s="158"/>
      <c r="T94" s="158"/>
      <c r="U94" s="158"/>
      <c r="V94" s="167"/>
    </row>
    <row r="95" spans="1:22" ht="30" customHeight="1" thickBot="1">
      <c r="A95" s="109" t="str">
        <f>'TBO DROP'!A14</f>
        <v>187</v>
      </c>
      <c r="B95" s="295" t="str">
        <f>'TBO DROP'!B14</f>
        <v>BEARING, UPPER</v>
      </c>
      <c r="C95" s="296"/>
      <c r="D95" s="296"/>
      <c r="E95" s="297"/>
      <c r="F95" s="103" t="str">
        <f>IF('TBO DROP'!D14=0,'TBO DROP'!C14,'TBO DROP'!D14)</f>
        <v>012154794</v>
      </c>
      <c r="G95" s="103" t="str">
        <f>'TBO DROP'!F14</f>
        <v>RC</v>
      </c>
      <c r="H95" s="104">
        <f>'TBO DROP'!E14</f>
        <v>304.30000000000018</v>
      </c>
      <c r="I95" s="151" t="e">
        <f>SUM(IF(EXACT(B7,W1),1,0),IF(EXACT(B10,W1),1,0),IF(EXACT(B13,W1),1,0),IF(EXACT(B16,W1),1,0),IF(EXACT(B19,W1),1,0), IF(EXACT(B22,W1),1,0), IF(EXACT(B25,W1),1,0), IF(EXACT(B28,W1),1,0), IF(EXACT(B32,W1),1,0), IF(EXACT(B35,W1),1,0), IF(EXACT(B38,W1),1,0), IF(EXACT(B41,W1),1,0), IF(EXACT(B44,W1),1,0), IF(EXACT(B47,W1),1,0), IF(EXACT(B50,W1),1,0), IF(EXACT(B53,W1),1,0), IF(EXACT(B57,W1),1,0), IF(EXACT(B60,W1),1,0), IF(EXACT(B63,W1),1,0), IF(EXACT(B66,W1),1,0), IF(EXACT(B69,W1),1,0), IF(EXACT(B72,W1),1,0), IF(EXACT(B75,W1),1,0), IF(EXACT(B78,W1),1,0))</f>
        <v>#N/A</v>
      </c>
      <c r="J95" s="152" t="e">
        <f>SUM(IF(EXACT(B7,X1),1,0),IF(EXACT(B10,X1),1,0),IF(EXACT(B13,X1),1,0),IF(EXACT(B16,X1),1,0),IF(EXACT(B19,X1),1,0), IF(EXACT(B22,X1),1,0), IF(EXACT(B25,X1),1,0), IF(EXACT(B28,X1),1,0), IF(EXACT(B32,X1),1,0), IF(EXACT(B35,X1),1,0), IF(EXACT(B38,X1),1,0), IF(EXACT(B41,X1),1,0), IF(EXACT(B44,X1),1,0), IF(EXACT(B47,X1),1,0), IF(EXACT(B50,X1),1,0), IF(EXACT(B53,X1),1,0), IF(EXACT(B57,X1),1,0), IF(EXACT(B60,X1),1,0), IF(EXACT(B63,X1),1,0), IF(EXACT(B66,X1),1,0), IF(EXACT(B69,X1),1,0), IF(EXACT(B72,X1),1,0), IF(EXACT(B75,X1),1,0), IF(EXACT(B78,X1),1,0))</f>
        <v>#N/A</v>
      </c>
      <c r="K95" s="153" t="e">
        <f>SUM(IF(EXACT(B7,Y1),1,0),IF(EXACT(B10,Y1),1,0),IF(EXACT(B13,Y1),1,0),IF(EXACT(B16,Y1),1,0),IF(EXACT(B19,Y1),1,0), IF(EXACT(B22,Y1),1,0), IF(EXACT(B25,Y1),1,0), IF(EXACT(B28,Y1),1,0), IF(EXACT(B32,Y1),1,0), IF(EXACT(B35,Y1),1,0), IF(EXACT(B38,Y1),1,0), IF(EXACT(B41,Y1),1,0), IF(EXACT(B44,Y1),1,0), IF(EXACT(B47,Y1),1,0), IF(EXACT(B50,Y1),1,0), IF(EXACT(B53,Y1),1,0), IF(EXACT(B57,Y1),1,0), IF(EXACT(B60,Y1),1,0), IF(EXACT(B63,Y1),1,0), IF(EXACT(B66,Y1),1,0), IF(EXACT(B69,Y1),1,0), IF(EXACT(B72,Y1),1,0), IF(EXACT(B75,Y1),1,0), IF(EXACT(B78,Y1),1,0))</f>
        <v>#N/A</v>
      </c>
      <c r="L95" s="152" t="e">
        <f>SUM(IF(EXACT(B7,AA1),1,0),IF(EXACT(B10,AA1),1,0),IF(EXACT(B13,AA1),1,0),IF(EXACT(B16,AA1),1,0),IF(EXACT(B19,AA1),1,0), IF(EXACT(B22,AA1),1,0), IF(EXACT(B25,AA1),1,0), IF(EXACT(B28,AA1),1,0), IF(EXACT(B32,AA1),1,0), IF(EXACT(B35,AA1),1,0), IF(EXACT(B38,AA1),1,0), IF(EXACT(B41,AA1),1,0), IF(EXACT(B44,AA1),1,0), IF(EXACT(B47,AA1),1,0), IF(EXACT(B50,AA1),1,0), IF(EXACT(B53,AA1),1,0), IF(EXACT(B57,AA1),1,0), IF(EXACT(B60,AA1),1,0), IF(EXACT(B63,AA1),1,0), IF(EXACT(B66,AA1),1,0), IF(EXACT(B69,AA1),1,0), IF(EXACT(B72,AA1),1,0), IF(EXACT(B75,AA1),1,0), IF(EXACT(B78,AA1),1,0))</f>
        <v>#N/A</v>
      </c>
      <c r="M95" s="153" t="e">
        <f>SUM(IF(EXACT(B7,AB1),1,0),IF(EXACT(B10,AB1),1,0),IF(EXACT(B13,AB1),1,0),IF(EXACT(B16,AB1),1,0),IF(EXACT(B19,AB1),1,0), IF(EXACT(B22,AB1),1,0), IF(EXACT(B25,AB1),1,0), IF(EXACT(B28,AB1),1,0), IF(EXACT(B32,AB1),1,0), IF(EXACT(B35,AB1),1,0), IF(EXACT(B38,AB1),1,0), IF(EXACT(B41,AB1),1,0), IF(EXACT(B44,AB1),1,0), IF(EXACT(B47,AB1),1,0), IF(EXACT(B50,AB1),1,0), IF(EXACT(B53,AB1),1,0), IF(EXACT(B57,AB1),1,0), IF(EXACT(B60,AB1),1,0), IF(EXACT(B63,AB1),1,0), IF(EXACT(B66,AB1),1,0), IF(EXACT(B69,AB1),1,0), IF(EXACT(B72,AB1),1,0), IF(EXACT(B75,AB1),1,0), IF(EXACT(B78,AB1),1,0))</f>
        <v>#N/A</v>
      </c>
      <c r="N95" s="324">
        <f>SUM(IF(C10="Y",1,0),IF(C13="Y",1,0),IF(C16="Y",1,0),IF(C19="Y",1,0),IF(C22="Y",1,0),IF(C25="Y",1,0),IF(C28="Y",1,0),IF(C32="Y",1,0),IF(C35="Y",1,0),IF(C38="Y",1,0),IF(C41="Y",1,0),IF(C44="Y",1,0),IF(C7="Y",1,0),IF(C47="Y",1,0),IF(C50="Y",1,0),IF(C53="Y",1,0),IF(C57="Y",1,0),IF(C60="Y",1,0),IF(C63="Y",1,0),IF(C66="Y",1,0),IF(C69="Y",1,0),IF(C72="Y",1,0),IF(C75="Y",1,0),IF(C78="Y",1,0))</f>
        <v>17</v>
      </c>
      <c r="O95" s="326" t="e">
        <f>(SUM(I95,J95,K95))/V3</f>
        <v>#N/A</v>
      </c>
      <c r="P95" s="328" t="e">
        <f>SUM(J7:J80)/(V3*500)</f>
        <v>#REF!</v>
      </c>
      <c r="Q95" s="158"/>
      <c r="R95" s="158"/>
      <c r="S95" s="158"/>
      <c r="T95" s="158"/>
      <c r="U95" s="158"/>
      <c r="V95" s="167"/>
    </row>
    <row r="96" spans="1:22" ht="30" customHeight="1" thickBot="1">
      <c r="A96" s="109" t="str">
        <f>'TBO DROP'!A15</f>
        <v>187</v>
      </c>
      <c r="B96" s="295" t="str">
        <f>'TBO DROP'!B15</f>
        <v>SWEPT TIP CAP</v>
      </c>
      <c r="C96" s="296"/>
      <c r="D96" s="296"/>
      <c r="E96" s="297"/>
      <c r="F96" s="103" t="str">
        <f>IF('TBO DROP'!D15=0,'TBO DROP'!C15,'TBO DROP'!D15)</f>
        <v>011705256</v>
      </c>
      <c r="G96" s="103" t="str">
        <f>'TBO DROP'!F15</f>
        <v>RC</v>
      </c>
      <c r="H96" s="104">
        <f>'TBO DROP'!E15</f>
        <v>365.30000000000018</v>
      </c>
      <c r="I96" s="149" t="e">
        <f>I95/V3</f>
        <v>#N/A</v>
      </c>
      <c r="J96" s="150" t="e">
        <f>J95/V3</f>
        <v>#N/A</v>
      </c>
      <c r="K96" s="169" t="e">
        <f>K95/V3</f>
        <v>#N/A</v>
      </c>
      <c r="L96" s="169" t="e">
        <f>L95/V3</f>
        <v>#N/A</v>
      </c>
      <c r="M96" s="254" t="e">
        <f>M95/V3</f>
        <v>#N/A</v>
      </c>
      <c r="N96" s="325"/>
      <c r="O96" s="327"/>
      <c r="P96" s="329"/>
      <c r="Q96" s="159"/>
      <c r="R96" s="159"/>
      <c r="S96" s="159"/>
      <c r="T96" s="159"/>
      <c r="U96" s="159"/>
      <c r="V96" s="168"/>
    </row>
    <row r="97" spans="1:22" ht="30" customHeight="1" thickTop="1" thickBot="1">
      <c r="A97" s="109" t="str">
        <f>'TBO DROP'!A16</f>
        <v>141</v>
      </c>
      <c r="B97" s="295" t="str">
        <f>'TBO DROP'!B16</f>
        <v>ACTUATOR SUPPORT</v>
      </c>
      <c r="C97" s="296"/>
      <c r="D97" s="296"/>
      <c r="E97" s="297"/>
      <c r="F97" s="103" t="str">
        <f>IF('TBO DROP'!D16=0,'TBO DROP'!C16,'TBO DROP'!D16)</f>
        <v>012629471</v>
      </c>
      <c r="G97" s="103" t="str">
        <f>'TBO DROP'!F16</f>
        <v>RC</v>
      </c>
      <c r="H97" s="104">
        <f>'TBO DROP'!E16</f>
        <v>379.5</v>
      </c>
      <c r="I97" s="298" t="s">
        <v>648</v>
      </c>
      <c r="J97" s="311"/>
      <c r="K97" s="312" t="s">
        <v>734</v>
      </c>
      <c r="L97" s="313"/>
      <c r="M97" s="314"/>
      <c r="N97" s="315" t="s">
        <v>741</v>
      </c>
      <c r="O97" s="316"/>
      <c r="P97" s="316"/>
      <c r="Q97" s="316"/>
      <c r="R97" s="317"/>
      <c r="S97" s="248"/>
      <c r="T97" s="248"/>
      <c r="U97" s="248"/>
      <c r="V97" s="249"/>
    </row>
    <row r="98" spans="1:22" ht="30" customHeight="1">
      <c r="A98" s="109" t="str">
        <f>'TBO DROP'!A17</f>
        <v>141</v>
      </c>
      <c r="B98" s="295" t="str">
        <f>'TBO DROP'!B17</f>
        <v>ACC MOD CLUTCH</v>
      </c>
      <c r="C98" s="296"/>
      <c r="D98" s="296"/>
      <c r="E98" s="297"/>
      <c r="F98" s="103" t="str">
        <f>IF('TBO DROP'!D17=0,'TBO DROP'!C17,'TBO DROP'!D17)</f>
        <v>015217009</v>
      </c>
      <c r="G98" s="103" t="str">
        <f>'TBO DROP'!F17</f>
        <v>RC</v>
      </c>
      <c r="H98" s="104">
        <f>'TBO DROP'!E17</f>
        <v>389.5</v>
      </c>
      <c r="I98" s="318">
        <f ca="1">READ_DAILY!P55653/READ_DAILY!Q55653</f>
        <v>0.77182539682539686</v>
      </c>
      <c r="J98" s="319"/>
      <c r="K98" s="262" t="s">
        <v>737</v>
      </c>
      <c r="L98" s="255" t="s">
        <v>735</v>
      </c>
      <c r="M98" s="260" t="s">
        <v>4</v>
      </c>
      <c r="N98" s="320" t="s">
        <v>742</v>
      </c>
      <c r="O98" s="321"/>
      <c r="P98" s="263"/>
      <c r="Q98" s="264" t="s">
        <v>743</v>
      </c>
      <c r="R98" s="263"/>
      <c r="S98" s="250"/>
      <c r="T98" s="250"/>
      <c r="U98" s="250"/>
      <c r="V98" s="251"/>
    </row>
    <row r="99" spans="1:22" ht="30" customHeight="1" thickBot="1">
      <c r="A99" s="109" t="str">
        <f>'TBO DROP'!A18</f>
        <v>141</v>
      </c>
      <c r="B99" s="295" t="str">
        <f>'TBO DROP'!B18</f>
        <v>ACC MOD CLUTCH, SECOND</v>
      </c>
      <c r="C99" s="296"/>
      <c r="D99" s="296"/>
      <c r="E99" s="297"/>
      <c r="F99" s="103" t="str">
        <f>IF('TBO DROP'!D18=0,'TBO DROP'!C18,'TBO DROP'!D18)</f>
        <v>015217009</v>
      </c>
      <c r="G99" s="103" t="str">
        <f>'TBO DROP'!F18</f>
        <v>RC</v>
      </c>
      <c r="H99" s="104">
        <f>'TBO DROP'!E18</f>
        <v>389.5</v>
      </c>
      <c r="I99" s="318"/>
      <c r="J99" s="319"/>
      <c r="K99" s="258" t="s">
        <v>738</v>
      </c>
      <c r="L99" s="256" t="s">
        <v>735</v>
      </c>
      <c r="M99" s="261" t="s">
        <v>4</v>
      </c>
      <c r="N99" s="322" t="s">
        <v>744</v>
      </c>
      <c r="O99" s="323"/>
      <c r="P99" s="265"/>
      <c r="Q99" s="266" t="s">
        <v>745</v>
      </c>
      <c r="R99" s="267"/>
      <c r="S99" s="250"/>
      <c r="T99" s="250"/>
      <c r="U99" s="250"/>
      <c r="V99" s="251"/>
    </row>
    <row r="100" spans="1:22" ht="30" customHeight="1" thickTop="1" thickBot="1">
      <c r="A100" s="109" t="str">
        <f>'TBO DROP'!A19</f>
        <v>187</v>
      </c>
      <c r="B100" s="295" t="str">
        <f>'TBO DROP'!B19</f>
        <v>TRUNNION, DAMPER</v>
      </c>
      <c r="C100" s="296"/>
      <c r="D100" s="296"/>
      <c r="E100" s="297"/>
      <c r="F100" s="103" t="str">
        <f>IF('TBO DROP'!D19=0,'TBO DROP'!C19,'TBO DROP'!D19)</f>
        <v>011705243</v>
      </c>
      <c r="G100" s="103" t="str">
        <f>'TBO DROP'!F19</f>
        <v>RC</v>
      </c>
      <c r="H100" s="104">
        <f>'TBO DROP'!E19</f>
        <v>429.30000000000018</v>
      </c>
      <c r="I100" s="298" t="s">
        <v>692</v>
      </c>
      <c r="J100" s="299"/>
      <c r="K100" s="258" t="s">
        <v>739</v>
      </c>
      <c r="L100" s="256" t="s">
        <v>735</v>
      </c>
      <c r="M100" s="261" t="s">
        <v>4</v>
      </c>
      <c r="N100" s="300" t="s">
        <v>746</v>
      </c>
      <c r="O100" s="301"/>
      <c r="P100" s="265"/>
      <c r="Q100" s="250" t="s">
        <v>746</v>
      </c>
      <c r="R100" s="267"/>
      <c r="S100" s="250"/>
      <c r="T100" s="250"/>
      <c r="U100" s="250"/>
      <c r="V100" s="251"/>
    </row>
    <row r="101" spans="1:22" ht="30" customHeight="1">
      <c r="A101" s="109" t="str">
        <f>'TBO DROP'!A20</f>
        <v>141</v>
      </c>
      <c r="B101" s="295" t="str">
        <f>'TBO DROP'!B20</f>
        <v>APU CLUTCH</v>
      </c>
      <c r="C101" s="296"/>
      <c r="D101" s="296"/>
      <c r="E101" s="297"/>
      <c r="F101" s="103" t="str">
        <f>IF('TBO DROP'!D20=0,'TBO DROP'!C20,'TBO DROP'!D20)</f>
        <v>015158483</v>
      </c>
      <c r="G101" s="103" t="str">
        <f>'TBO DROP'!F20</f>
        <v>LC</v>
      </c>
      <c r="H101" s="104">
        <f>'TBO DROP'!E20</f>
        <v>500.5</v>
      </c>
      <c r="I101" s="302">
        <f ca="1">READ_DAILY!Q55653</f>
        <v>1512</v>
      </c>
      <c r="J101" s="303"/>
      <c r="K101" s="258" t="s">
        <v>740</v>
      </c>
      <c r="L101" s="256" t="s">
        <v>736</v>
      </c>
      <c r="M101" s="261" t="s">
        <v>4</v>
      </c>
      <c r="N101" s="300" t="s">
        <v>747</v>
      </c>
      <c r="O101" s="301"/>
      <c r="P101" s="265"/>
      <c r="Q101" s="250" t="s">
        <v>747</v>
      </c>
      <c r="R101" s="267"/>
      <c r="S101" s="250"/>
      <c r="T101" s="250"/>
      <c r="U101" s="250"/>
      <c r="V101" s="251"/>
    </row>
    <row r="102" spans="1:22" ht="30" customHeight="1" thickBot="1">
      <c r="A102" s="154" t="str">
        <f>'TBO DROP'!A21</f>
        <v>119</v>
      </c>
      <c r="B102" s="306" t="str">
        <f>'TBO DROP'!B21</f>
        <v>LATERAL LINK</v>
      </c>
      <c r="C102" s="307"/>
      <c r="D102" s="307"/>
      <c r="E102" s="308"/>
      <c r="F102" s="155" t="str">
        <f>IF('TBO DROP'!D21=0,'TBO DROP'!C21,'TBO DROP'!D21)</f>
        <v>012629482</v>
      </c>
      <c r="G102" s="155" t="str">
        <f>'TBO DROP'!F21</f>
        <v>RC</v>
      </c>
      <c r="H102" s="156">
        <f>'TBO DROP'!E21</f>
        <v>534.09999999999991</v>
      </c>
      <c r="I102" s="304"/>
      <c r="J102" s="305"/>
      <c r="K102" s="259"/>
      <c r="L102" s="257"/>
      <c r="M102" s="261"/>
      <c r="N102" s="309" t="s">
        <v>743</v>
      </c>
      <c r="O102" s="310"/>
      <c r="P102" s="268"/>
      <c r="Q102" s="252" t="s">
        <v>743</v>
      </c>
      <c r="R102" s="269"/>
      <c r="S102" s="252"/>
      <c r="T102" s="252"/>
      <c r="U102" s="252"/>
      <c r="V102" s="253"/>
    </row>
    <row r="103" spans="1:22" ht="30" customHeight="1" thickTop="1">
      <c r="E103" s="3"/>
    </row>
    <row r="104" spans="1:22" ht="30" customHeight="1">
      <c r="E104" s="3"/>
    </row>
    <row r="105" spans="1:22">
      <c r="E105" s="3"/>
    </row>
    <row r="106" spans="1:22">
      <c r="E106" s="3"/>
    </row>
    <row r="107" spans="1:22">
      <c r="E107" s="3"/>
    </row>
    <row r="108" spans="1:22">
      <c r="E108" s="3"/>
    </row>
    <row r="109" spans="1:22">
      <c r="E109" s="3"/>
    </row>
    <row r="110" spans="1:22">
      <c r="E110" s="3"/>
    </row>
    <row r="111" spans="1:22">
      <c r="E111" s="3"/>
    </row>
    <row r="112" spans="1:22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048470" spans="26:27" ht="23.25">
      <c r="Z1048470" s="294"/>
      <c r="AA1048470" s="294"/>
    </row>
  </sheetData>
  <sheetProtection selectLockedCells="1"/>
  <mergeCells count="460">
    <mergeCell ref="N97:R97"/>
    <mergeCell ref="N98:O98"/>
    <mergeCell ref="N99:O99"/>
    <mergeCell ref="N100:O100"/>
    <mergeCell ref="N101:O101"/>
    <mergeCell ref="N102:O102"/>
    <mergeCell ref="B96:E96"/>
    <mergeCell ref="A78:A79"/>
    <mergeCell ref="I98:J99"/>
    <mergeCell ref="I101:J102"/>
    <mergeCell ref="I97:J97"/>
    <mergeCell ref="K97:M97"/>
    <mergeCell ref="B97:E97"/>
    <mergeCell ref="B92:E92"/>
    <mergeCell ref="B93:E93"/>
    <mergeCell ref="B94:E94"/>
    <mergeCell ref="B95:E95"/>
    <mergeCell ref="B98:E98"/>
    <mergeCell ref="B99:E99"/>
    <mergeCell ref="B100:E100"/>
    <mergeCell ref="B101:E101"/>
    <mergeCell ref="B102:E102"/>
    <mergeCell ref="J82:M82"/>
    <mergeCell ref="J87:M87"/>
    <mergeCell ref="J91:M91"/>
    <mergeCell ref="Q81:V81"/>
    <mergeCell ref="A1:V1"/>
    <mergeCell ref="O95:O96"/>
    <mergeCell ref="P95:P96"/>
    <mergeCell ref="A31:V31"/>
    <mergeCell ref="A6:V6"/>
    <mergeCell ref="A56:V56"/>
    <mergeCell ref="I93:P93"/>
    <mergeCell ref="H10:H12"/>
    <mergeCell ref="I10:I12"/>
    <mergeCell ref="J10:J12"/>
    <mergeCell ref="E13:E15"/>
    <mergeCell ref="F13:F15"/>
    <mergeCell ref="G13:G15"/>
    <mergeCell ref="H13:H15"/>
    <mergeCell ref="I13:I15"/>
    <mergeCell ref="J13:J15"/>
    <mergeCell ref="G10:G12"/>
    <mergeCell ref="N95:N96"/>
    <mergeCell ref="J57:J59"/>
    <mergeCell ref="F78:F80"/>
    <mergeCell ref="J75:J77"/>
    <mergeCell ref="J78:J80"/>
    <mergeCell ref="A81:H81"/>
    <mergeCell ref="H57:H59"/>
    <mergeCell ref="H60:H62"/>
    <mergeCell ref="H63:H65"/>
    <mergeCell ref="H66:H68"/>
    <mergeCell ref="H69:H71"/>
    <mergeCell ref="I81:P81"/>
    <mergeCell ref="K79:Q79"/>
    <mergeCell ref="H78:H80"/>
    <mergeCell ref="I75:I77"/>
    <mergeCell ref="I78:I80"/>
    <mergeCell ref="E75:E77"/>
    <mergeCell ref="F75:F77"/>
    <mergeCell ref="H75:H77"/>
    <mergeCell ref="K74:Q74"/>
    <mergeCell ref="K68:Q68"/>
    <mergeCell ref="K65:Q65"/>
    <mergeCell ref="B77:C77"/>
    <mergeCell ref="C78:C79"/>
    <mergeCell ref="B65:C65"/>
    <mergeCell ref="A57:A58"/>
    <mergeCell ref="B59:C59"/>
    <mergeCell ref="K58:Q58"/>
    <mergeCell ref="B60:B61"/>
    <mergeCell ref="Z1048470:AA1048470"/>
    <mergeCell ref="B37:C37"/>
    <mergeCell ref="C7:C8"/>
    <mergeCell ref="C10:C11"/>
    <mergeCell ref="C13:C14"/>
    <mergeCell ref="C16:C17"/>
    <mergeCell ref="C19:C20"/>
    <mergeCell ref="C22:C23"/>
    <mergeCell ref="C25:C26"/>
    <mergeCell ref="C28:C29"/>
    <mergeCell ref="C32:C33"/>
    <mergeCell ref="B21:C21"/>
    <mergeCell ref="B12:C12"/>
    <mergeCell ref="B34:C34"/>
    <mergeCell ref="K80:Q80"/>
    <mergeCell ref="R80:S80"/>
    <mergeCell ref="B80:C80"/>
    <mergeCell ref="K77:Q77"/>
    <mergeCell ref="R77:S77"/>
    <mergeCell ref="B78:B79"/>
    <mergeCell ref="K78:Q78"/>
    <mergeCell ref="R78:S78"/>
    <mergeCell ref="J84:M84"/>
    <mergeCell ref="J86:M86"/>
    <mergeCell ref="R76:S76"/>
    <mergeCell ref="C75:C76"/>
    <mergeCell ref="B74:C74"/>
    <mergeCell ref="G72:G74"/>
    <mergeCell ref="E72:E74"/>
    <mergeCell ref="I72:I74"/>
    <mergeCell ref="F72:F74"/>
    <mergeCell ref="H72:H74"/>
    <mergeCell ref="I100:J100"/>
    <mergeCell ref="B91:E91"/>
    <mergeCell ref="J83:M83"/>
    <mergeCell ref="J88:M88"/>
    <mergeCell ref="J89:M89"/>
    <mergeCell ref="J90:M90"/>
    <mergeCell ref="B82:E82"/>
    <mergeCell ref="B83:E83"/>
    <mergeCell ref="B84:E84"/>
    <mergeCell ref="B85:E85"/>
    <mergeCell ref="B86:E86"/>
    <mergeCell ref="B87:E87"/>
    <mergeCell ref="B88:E88"/>
    <mergeCell ref="B89:E89"/>
    <mergeCell ref="B90:E90"/>
    <mergeCell ref="J72:J74"/>
    <mergeCell ref="R79:S79"/>
    <mergeCell ref="G75:G77"/>
    <mergeCell ref="G78:G80"/>
    <mergeCell ref="E78:E80"/>
    <mergeCell ref="K71:Q71"/>
    <mergeCell ref="R71:S71"/>
    <mergeCell ref="A72:A73"/>
    <mergeCell ref="B72:B73"/>
    <mergeCell ref="K72:Q72"/>
    <mergeCell ref="R72:S72"/>
    <mergeCell ref="K73:Q73"/>
    <mergeCell ref="R73:S73"/>
    <mergeCell ref="C72:C73"/>
    <mergeCell ref="B71:C71"/>
    <mergeCell ref="G69:G71"/>
    <mergeCell ref="E69:E71"/>
    <mergeCell ref="I69:I71"/>
    <mergeCell ref="F69:F71"/>
    <mergeCell ref="R74:S74"/>
    <mergeCell ref="A75:A76"/>
    <mergeCell ref="B75:B76"/>
    <mergeCell ref="K75:Q75"/>
    <mergeCell ref="R75:S75"/>
    <mergeCell ref="K76:Q76"/>
    <mergeCell ref="R68:S68"/>
    <mergeCell ref="A69:A70"/>
    <mergeCell ref="B69:B70"/>
    <mergeCell ref="K69:Q69"/>
    <mergeCell ref="R69:S69"/>
    <mergeCell ref="K70:Q70"/>
    <mergeCell ref="R70:S70"/>
    <mergeCell ref="C69:C70"/>
    <mergeCell ref="B68:C68"/>
    <mergeCell ref="G66:G68"/>
    <mergeCell ref="A66:A67"/>
    <mergeCell ref="B66:B67"/>
    <mergeCell ref="K66:Q66"/>
    <mergeCell ref="R66:S66"/>
    <mergeCell ref="K67:Q67"/>
    <mergeCell ref="R67:S67"/>
    <mergeCell ref="C66:C67"/>
    <mergeCell ref="E66:E68"/>
    <mergeCell ref="I66:I68"/>
    <mergeCell ref="F66:F68"/>
    <mergeCell ref="J66:J68"/>
    <mergeCell ref="J69:J71"/>
    <mergeCell ref="R62:S62"/>
    <mergeCell ref="A63:A64"/>
    <mergeCell ref="B63:B64"/>
    <mergeCell ref="K63:Q63"/>
    <mergeCell ref="R63:S63"/>
    <mergeCell ref="K64:Q64"/>
    <mergeCell ref="R64:S64"/>
    <mergeCell ref="G63:G65"/>
    <mergeCell ref="C63:C64"/>
    <mergeCell ref="B62:C62"/>
    <mergeCell ref="K62:Q62"/>
    <mergeCell ref="R65:S65"/>
    <mergeCell ref="E63:E65"/>
    <mergeCell ref="I60:I62"/>
    <mergeCell ref="I63:I65"/>
    <mergeCell ref="K61:Q61"/>
    <mergeCell ref="R61:S61"/>
    <mergeCell ref="F60:F62"/>
    <mergeCell ref="F63:F65"/>
    <mergeCell ref="R60:S60"/>
    <mergeCell ref="J60:J62"/>
    <mergeCell ref="J63:J65"/>
    <mergeCell ref="C60:C61"/>
    <mergeCell ref="A60:A61"/>
    <mergeCell ref="C57:C58"/>
    <mergeCell ref="B57:B58"/>
    <mergeCell ref="E57:E59"/>
    <mergeCell ref="E60:E62"/>
    <mergeCell ref="G57:G59"/>
    <mergeCell ref="G60:G62"/>
    <mergeCell ref="F57:F59"/>
    <mergeCell ref="K60:Q60"/>
    <mergeCell ref="I57:I59"/>
    <mergeCell ref="A53:A54"/>
    <mergeCell ref="B53:B54"/>
    <mergeCell ref="B52:C52"/>
    <mergeCell ref="B55:C55"/>
    <mergeCell ref="C53:C54"/>
    <mergeCell ref="H53:H55"/>
    <mergeCell ref="A47:A48"/>
    <mergeCell ref="E50:E52"/>
    <mergeCell ref="A50:A51"/>
    <mergeCell ref="B50:B51"/>
    <mergeCell ref="C50:C51"/>
    <mergeCell ref="E53:E55"/>
    <mergeCell ref="E47:E49"/>
    <mergeCell ref="F50:F52"/>
    <mergeCell ref="F53:F55"/>
    <mergeCell ref="G53:G55"/>
    <mergeCell ref="G50:G52"/>
    <mergeCell ref="B47:B48"/>
    <mergeCell ref="F47:F49"/>
    <mergeCell ref="C47:C48"/>
    <mergeCell ref="H50:H52"/>
    <mergeCell ref="G47:G49"/>
    <mergeCell ref="J50:J52"/>
    <mergeCell ref="J53:J55"/>
    <mergeCell ref="I50:I52"/>
    <mergeCell ref="I53:I55"/>
    <mergeCell ref="R58:S58"/>
    <mergeCell ref="R57:S57"/>
    <mergeCell ref="K51:Q51"/>
    <mergeCell ref="R51:S51"/>
    <mergeCell ref="K57:Q57"/>
    <mergeCell ref="K52:Q52"/>
    <mergeCell ref="R52:S52"/>
    <mergeCell ref="K53:Q53"/>
    <mergeCell ref="R53:S53"/>
    <mergeCell ref="K54:Q54"/>
    <mergeCell ref="R54:S54"/>
    <mergeCell ref="K55:Q55"/>
    <mergeCell ref="R55:S55"/>
    <mergeCell ref="K50:Q50"/>
    <mergeCell ref="R50:S50"/>
    <mergeCell ref="R38:S38"/>
    <mergeCell ref="K39:Q39"/>
    <mergeCell ref="R39:S39"/>
    <mergeCell ref="K40:Q40"/>
    <mergeCell ref="R40:S40"/>
    <mergeCell ref="K41:Q41"/>
    <mergeCell ref="K43:Q43"/>
    <mergeCell ref="K38:Q38"/>
    <mergeCell ref="R43:S43"/>
    <mergeCell ref="R41:S41"/>
    <mergeCell ref="K42:Q42"/>
    <mergeCell ref="R42:S42"/>
    <mergeCell ref="K45:Q45"/>
    <mergeCell ref="R45:S45"/>
    <mergeCell ref="K48:Q48"/>
    <mergeCell ref="R48:S48"/>
    <mergeCell ref="J44:J46"/>
    <mergeCell ref="K44:Q44"/>
    <mergeCell ref="R44:S44"/>
    <mergeCell ref="K46:Q46"/>
    <mergeCell ref="R46:S46"/>
    <mergeCell ref="J47:J49"/>
    <mergeCell ref="K47:Q47"/>
    <mergeCell ref="R47:S47"/>
    <mergeCell ref="G38:G40"/>
    <mergeCell ref="H35:H37"/>
    <mergeCell ref="H38:H40"/>
    <mergeCell ref="I35:I37"/>
    <mergeCell ref="I38:I40"/>
    <mergeCell ref="E38:E40"/>
    <mergeCell ref="B40:C40"/>
    <mergeCell ref="J35:J37"/>
    <mergeCell ref="J38:J40"/>
    <mergeCell ref="E35:E37"/>
    <mergeCell ref="A28:A29"/>
    <mergeCell ref="A35:A36"/>
    <mergeCell ref="B35:B36"/>
    <mergeCell ref="C35:C36"/>
    <mergeCell ref="A38:A39"/>
    <mergeCell ref="B38:B39"/>
    <mergeCell ref="C38:C39"/>
    <mergeCell ref="E32:E34"/>
    <mergeCell ref="F32:F34"/>
    <mergeCell ref="A32:A33"/>
    <mergeCell ref="B30:C30"/>
    <mergeCell ref="B28:B29"/>
    <mergeCell ref="F35:F37"/>
    <mergeCell ref="F38:F40"/>
    <mergeCell ref="A44:A45"/>
    <mergeCell ref="B44:B45"/>
    <mergeCell ref="F44:F46"/>
    <mergeCell ref="G44:G46"/>
    <mergeCell ref="H44:H46"/>
    <mergeCell ref="I44:I46"/>
    <mergeCell ref="A41:A42"/>
    <mergeCell ref="B41:B42"/>
    <mergeCell ref="C41:C42"/>
    <mergeCell ref="F41:F43"/>
    <mergeCell ref="G41:G43"/>
    <mergeCell ref="H41:H43"/>
    <mergeCell ref="C44:C45"/>
    <mergeCell ref="I41:I43"/>
    <mergeCell ref="B43:C43"/>
    <mergeCell ref="E41:E43"/>
    <mergeCell ref="B46:C46"/>
    <mergeCell ref="E44:E46"/>
    <mergeCell ref="R34:S34"/>
    <mergeCell ref="R28:S28"/>
    <mergeCell ref="K30:Q30"/>
    <mergeCell ref="J22:J24"/>
    <mergeCell ref="R27:S27"/>
    <mergeCell ref="R18:S18"/>
    <mergeCell ref="E16:E18"/>
    <mergeCell ref="F16:F18"/>
    <mergeCell ref="G16:G18"/>
    <mergeCell ref="H16:H18"/>
    <mergeCell ref="E28:E30"/>
    <mergeCell ref="F28:F30"/>
    <mergeCell ref="G28:G30"/>
    <mergeCell ref="H28:H30"/>
    <mergeCell ref="I28:I30"/>
    <mergeCell ref="J28:J30"/>
    <mergeCell ref="H32:H34"/>
    <mergeCell ref="I32:I34"/>
    <mergeCell ref="J32:J34"/>
    <mergeCell ref="K34:Q34"/>
    <mergeCell ref="K29:Q29"/>
    <mergeCell ref="G32:G34"/>
    <mergeCell ref="K32:Q32"/>
    <mergeCell ref="R32:S32"/>
    <mergeCell ref="Y1:Z1"/>
    <mergeCell ref="K4:Q5"/>
    <mergeCell ref="K13:Q13"/>
    <mergeCell ref="K16:Q16"/>
    <mergeCell ref="K17:Q17"/>
    <mergeCell ref="R17:S17"/>
    <mergeCell ref="K15:Q15"/>
    <mergeCell ref="K14:Q14"/>
    <mergeCell ref="R16:S16"/>
    <mergeCell ref="R15:S15"/>
    <mergeCell ref="K12:Q12"/>
    <mergeCell ref="R4:S5"/>
    <mergeCell ref="L2:T2"/>
    <mergeCell ref="T4:U4"/>
    <mergeCell ref="T5:U5"/>
    <mergeCell ref="R7:S7"/>
    <mergeCell ref="R8:S8"/>
    <mergeCell ref="R9:S9"/>
    <mergeCell ref="R10:S10"/>
    <mergeCell ref="R11:S11"/>
    <mergeCell ref="R14:S14"/>
    <mergeCell ref="AV27:AV33"/>
    <mergeCell ref="AV21:AV26"/>
    <mergeCell ref="AV40:AV49"/>
    <mergeCell ref="AV34:AV39"/>
    <mergeCell ref="B27:C27"/>
    <mergeCell ref="K37:Q37"/>
    <mergeCell ref="R37:S37"/>
    <mergeCell ref="B32:B33"/>
    <mergeCell ref="R24:S24"/>
    <mergeCell ref="K35:Q35"/>
    <mergeCell ref="R35:S35"/>
    <mergeCell ref="K36:Q36"/>
    <mergeCell ref="R36:S36"/>
    <mergeCell ref="R23:S23"/>
    <mergeCell ref="R30:S30"/>
    <mergeCell ref="K28:Q28"/>
    <mergeCell ref="R25:S25"/>
    <mergeCell ref="K49:Q49"/>
    <mergeCell ref="R49:S49"/>
    <mergeCell ref="B49:C49"/>
    <mergeCell ref="H47:H49"/>
    <mergeCell ref="E19:E21"/>
    <mergeCell ref="F19:F21"/>
    <mergeCell ref="G19:G21"/>
    <mergeCell ref="R33:S33"/>
    <mergeCell ref="K19:Q19"/>
    <mergeCell ref="R19:S19"/>
    <mergeCell ref="K20:Q20"/>
    <mergeCell ref="R20:S20"/>
    <mergeCell ref="R21:S21"/>
    <mergeCell ref="K22:Q22"/>
    <mergeCell ref="R22:S22"/>
    <mergeCell ref="K24:Q24"/>
    <mergeCell ref="K25:Q25"/>
    <mergeCell ref="R29:S29"/>
    <mergeCell ref="K26:Q26"/>
    <mergeCell ref="K23:Q23"/>
    <mergeCell ref="R26:S26"/>
    <mergeCell ref="K27:Q27"/>
    <mergeCell ref="A22:A23"/>
    <mergeCell ref="A25:A26"/>
    <mergeCell ref="K21:Q21"/>
    <mergeCell ref="H19:H21"/>
    <mergeCell ref="G7:G9"/>
    <mergeCell ref="H7:H9"/>
    <mergeCell ref="R12:S12"/>
    <mergeCell ref="R13:S13"/>
    <mergeCell ref="K18:Q18"/>
    <mergeCell ref="A7:A8"/>
    <mergeCell ref="B19:B20"/>
    <mergeCell ref="A19:A20"/>
    <mergeCell ref="B7:B8"/>
    <mergeCell ref="B13:B14"/>
    <mergeCell ref="B15:C15"/>
    <mergeCell ref="A10:A11"/>
    <mergeCell ref="A13:A14"/>
    <mergeCell ref="A16:A17"/>
    <mergeCell ref="B18:C18"/>
    <mergeCell ref="B16:B17"/>
    <mergeCell ref="I7:I9"/>
    <mergeCell ref="J7:J9"/>
    <mergeCell ref="F10:F12"/>
    <mergeCell ref="E10:E12"/>
    <mergeCell ref="C2:G2"/>
    <mergeCell ref="C3:G3"/>
    <mergeCell ref="K9:Q9"/>
    <mergeCell ref="B9:C9"/>
    <mergeCell ref="K7:Q7"/>
    <mergeCell ref="K8:Q8"/>
    <mergeCell ref="K10:Q10"/>
    <mergeCell ref="K11:Q11"/>
    <mergeCell ref="B4:B5"/>
    <mergeCell ref="C4:C5"/>
    <mergeCell ref="E4:E5"/>
    <mergeCell ref="F4:F5"/>
    <mergeCell ref="H4:H5"/>
    <mergeCell ref="I4:I5"/>
    <mergeCell ref="G4:G5"/>
    <mergeCell ref="D4:D5"/>
    <mergeCell ref="H2:I2"/>
    <mergeCell ref="J2:K2"/>
    <mergeCell ref="J4:J5"/>
    <mergeCell ref="B10:B11"/>
    <mergeCell ref="E7:E9"/>
    <mergeCell ref="F7:F9"/>
    <mergeCell ref="I16:I18"/>
    <mergeCell ref="J16:J18"/>
    <mergeCell ref="I19:I21"/>
    <mergeCell ref="J19:J21"/>
    <mergeCell ref="J92:M92"/>
    <mergeCell ref="J85:M85"/>
    <mergeCell ref="K33:Q33"/>
    <mergeCell ref="B22:B23"/>
    <mergeCell ref="B24:C24"/>
    <mergeCell ref="B25:B26"/>
    <mergeCell ref="E25:E27"/>
    <mergeCell ref="F25:F27"/>
    <mergeCell ref="G25:G27"/>
    <mergeCell ref="H25:H27"/>
    <mergeCell ref="I25:I27"/>
    <mergeCell ref="E22:E24"/>
    <mergeCell ref="F22:F24"/>
    <mergeCell ref="G22:G24"/>
    <mergeCell ref="H22:H24"/>
    <mergeCell ref="I22:I24"/>
    <mergeCell ref="J25:J27"/>
    <mergeCell ref="I47:I49"/>
    <mergeCell ref="J41:J43"/>
    <mergeCell ref="G35:G37"/>
  </mergeCells>
  <conditionalFormatting sqref="V29 V26 V23 V20 V17 V14 V11 V8 V33 V36 V39 V42 V45 V48 V51 V54 V58 V61 V64 V67 V70 V73 V76 V79">
    <cfRule type="cellIs" dxfId="91" priority="261" operator="greaterThan">
      <formula>180</formula>
    </cfRule>
  </conditionalFormatting>
  <conditionalFormatting sqref="H57 H53 H47 H50 H41 H35 H44 H38">
    <cfRule type="containsText" dxfId="90" priority="204" operator="containsText" text="X">
      <formula>NOT(ISERROR(SEARCH("X",H35)))</formula>
    </cfRule>
  </conditionalFormatting>
  <conditionalFormatting sqref="H47 H38 H57 H41 H50 H53 H44 H35">
    <cfRule type="containsText" dxfId="89" priority="97" operator="containsText" text="X">
      <formula>NOT(ISERROR(SEARCH("X",H35)))</formula>
    </cfRule>
  </conditionalFormatting>
  <conditionalFormatting sqref="C85:E101 A83:B102 B86:E87 F83:H102 B91:E102">
    <cfRule type="cellIs" dxfId="88" priority="92" operator="equal">
      <formula>0</formula>
    </cfRule>
  </conditionalFormatting>
  <conditionalFormatting sqref="B78:C79 B75:C76 B72:C73 B69:C70 B66:C67 B63:C64 B60:C61 B57:C58 B53:C54 B50:C51 B47:C48 B44:C45 B41:C42 B38:C39 B35:C36 B32:C33 B28:C29 B25:C26 B22:C23 B19:C20 B16:C17 B13:C14 B10:C11 B7:C8">
    <cfRule type="containsText" dxfId="87" priority="14" operator="containsText" text="F">
      <formula>NOT(ISERROR(SEARCH("F",B7)))</formula>
    </cfRule>
  </conditionalFormatting>
  <conditionalFormatting sqref="B9:C9 B12:C12 B15:C15 B18:C18 B21:C21 B24:C24 B27:C27 B80:C80 B34:C34 B37:C37 B40:C40 B43:C43 B46:C46 B49:C49 B52:C52 B30:C30 B59:C59 B62:C62 B65:C65 B68:C68 B71:C71 B74:C74 B77:C77 B55:C55">
    <cfRule type="cellIs" dxfId="86" priority="12" operator="lessThanOrEqual">
      <formula>$C$2-0.5</formula>
    </cfRule>
  </conditionalFormatting>
  <conditionalFormatting sqref="V7 V10 V13 V16 V19 V22 V25 V28 V32 V35 V38 V41 V44 V47 V50 V53 V57 V60 V63 V66 V69 V72 V75 V78">
    <cfRule type="cellIs" dxfId="85" priority="6" operator="lessThan">
      <formula>1</formula>
    </cfRule>
  </conditionalFormatting>
  <conditionalFormatting sqref="C7:C8 C10:C11 C13:C14 C16:C17 C19:C20 C22:C23 C25:C26 C28:C29 C32:C33 C35:C36 C38:C39 C41:C42 C44:C45 C47:C48 C50:C51 C53:C54 C57:C58 C60:C61 C63:C64 C66:C67 C69:C70 C72:C73 C75:C76 C78:C79">
    <cfRule type="containsText" dxfId="84" priority="5" operator="containsText" text="N">
      <formula>NOT(ISERROR(SEARCH("N",C7)))</formula>
    </cfRule>
  </conditionalFormatting>
  <dataValidations count="2">
    <dataValidation type="list" allowBlank="1" showInputMessage="1" showErrorMessage="1" sqref="B10:B11 B13:B14 B16:B17 B19:B20 B22:B23 B25:B26 B28:B29 B32:B33 B35:B36 B38:B39 B41:B42 B44:B45 B47:B48 B50:B51 B53:B54 B57:B58 B60:B61 B63:B64 B66:B67 B69:B70 B72:B73 B75:B76 B78:B79">
      <formula1>FLOW!P4:P8</formula1>
    </dataValidation>
    <dataValidation type="list" allowBlank="1" showInputMessage="1" showErrorMessage="1" sqref="C7:C8 C10:C11 C13:C14 C16:C17 C19:C20 C22:C23 C25:C26 C28:C29 C32:C33 C35:C36 C38:C39 C41:C42 C44:C45 C47:C48 C50:C51 C53:C54 C57:C58 C60:C61 C63:C64 C66:C67 C69:C70 C72:C73 C75:C76 C78:C79">
      <formula1>FLOW!Q4:Q5</formula1>
    </dataValidation>
  </dataValidations>
  <printOptions horizontalCentered="1" verticalCentered="1"/>
  <pageMargins left="0.1" right="0.1" top="0.1" bottom="0.1" header="0" footer="0"/>
  <pageSetup scale="23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S28"/>
  <sheetViews>
    <sheetView zoomScale="40" zoomScaleNormal="40" workbookViewId="0">
      <selection activeCell="M35" sqref="M35"/>
    </sheetView>
  </sheetViews>
  <sheetFormatPr defaultRowHeight="12.75"/>
  <cols>
    <col min="1" max="1" width="16" bestFit="1" customWidth="1"/>
    <col min="2" max="2" width="19.7109375" bestFit="1" customWidth="1"/>
    <col min="3" max="3" width="19.7109375" customWidth="1"/>
    <col min="4" max="4" width="24.7109375" customWidth="1"/>
    <col min="5" max="5" width="17.5703125" customWidth="1"/>
    <col min="6" max="6" width="17.5703125" style="110" customWidth="1"/>
    <col min="7" max="7" width="18.42578125" style="110" bestFit="1" customWidth="1"/>
    <col min="8" max="8" width="20.5703125" style="110" bestFit="1" customWidth="1"/>
    <col min="9" max="9" width="21" bestFit="1" customWidth="1"/>
    <col min="10" max="10" width="21.28515625" customWidth="1"/>
    <col min="11" max="11" width="22.28515625" customWidth="1"/>
    <col min="12" max="12" width="22.42578125" bestFit="1" customWidth="1"/>
    <col min="13" max="13" width="23" customWidth="1"/>
    <col min="14" max="14" width="19.85546875" bestFit="1" customWidth="1"/>
    <col min="15" max="15" width="25.140625" bestFit="1" customWidth="1"/>
    <col min="16" max="16" width="26" bestFit="1" customWidth="1"/>
    <col min="17" max="17" width="27.5703125" customWidth="1"/>
    <col min="18" max="18" width="12.7109375" customWidth="1"/>
    <col min="19" max="19" width="14.42578125" customWidth="1"/>
    <col min="20" max="20" width="25.85546875" customWidth="1"/>
    <col min="21" max="21" width="17.42578125" customWidth="1"/>
    <col min="22" max="24" width="8.140625" customWidth="1"/>
    <col min="25" max="25" width="18.28515625" bestFit="1" customWidth="1"/>
    <col min="26" max="26" width="20.85546875" customWidth="1"/>
    <col min="27" max="27" width="32.7109375" customWidth="1"/>
    <col min="28" max="28" width="20.28515625" customWidth="1"/>
    <col min="29" max="29" width="17.7109375" customWidth="1"/>
    <col min="30" max="30" width="34.42578125" bestFit="1" customWidth="1"/>
    <col min="31" max="31" width="25.140625" customWidth="1"/>
    <col min="32" max="32" width="24" customWidth="1"/>
    <col min="33" max="33" width="26.5703125" customWidth="1"/>
    <col min="34" max="34" width="5.7109375" customWidth="1"/>
    <col min="35" max="35" width="29.140625" customWidth="1"/>
    <col min="36" max="36" width="24.85546875" bestFit="1" customWidth="1"/>
    <col min="37" max="37" width="12.85546875" customWidth="1"/>
    <col min="38" max="38" width="26.5703125" customWidth="1"/>
    <col min="39" max="39" width="11.42578125" customWidth="1"/>
    <col min="40" max="40" width="20.85546875" customWidth="1"/>
    <col min="41" max="41" width="14.7109375" customWidth="1"/>
    <col min="42" max="42" width="21.7109375" customWidth="1"/>
    <col min="43" max="43" width="26" customWidth="1"/>
    <col min="44" max="44" width="24.7109375" bestFit="1" customWidth="1"/>
    <col min="45" max="45" width="19.85546875" bestFit="1" customWidth="1"/>
    <col min="46" max="46" width="15.28515625" bestFit="1" customWidth="1"/>
    <col min="47" max="47" width="16" bestFit="1" customWidth="1"/>
    <col min="48" max="48" width="17.28515625" bestFit="1" customWidth="1"/>
    <col min="49" max="49" width="19.85546875" bestFit="1" customWidth="1"/>
    <col min="50" max="50" width="27.5703125" bestFit="1" customWidth="1"/>
    <col min="51" max="51" width="13.140625" bestFit="1" customWidth="1"/>
    <col min="52" max="52" width="21.5703125" bestFit="1" customWidth="1"/>
    <col min="53" max="53" width="11.42578125" bestFit="1" customWidth="1"/>
    <col min="54" max="54" width="18.28515625" bestFit="1" customWidth="1"/>
  </cols>
  <sheetData>
    <row r="1" spans="1:45" ht="27.75" thickTop="1" thickBot="1">
      <c r="A1" s="293" t="s">
        <v>9</v>
      </c>
      <c r="B1" s="449" t="s">
        <v>632</v>
      </c>
      <c r="C1" s="448" t="s">
        <v>633</v>
      </c>
      <c r="D1" s="448" t="s">
        <v>707</v>
      </c>
      <c r="E1" s="448" t="s">
        <v>10</v>
      </c>
      <c r="F1" s="448" t="s">
        <v>1188</v>
      </c>
      <c r="G1" s="448" t="s">
        <v>1189</v>
      </c>
      <c r="H1" s="448" t="s">
        <v>1190</v>
      </c>
      <c r="I1" s="448" t="s">
        <v>1178</v>
      </c>
      <c r="J1" s="443" t="s">
        <v>1179</v>
      </c>
      <c r="K1" s="443" t="s">
        <v>1180</v>
      </c>
      <c r="L1" s="443" t="s">
        <v>1181</v>
      </c>
      <c r="M1" s="443" t="s">
        <v>1182</v>
      </c>
      <c r="N1" s="442" t="s">
        <v>1183</v>
      </c>
      <c r="O1" s="442" t="s">
        <v>1184</v>
      </c>
      <c r="P1" s="443" t="s">
        <v>1185</v>
      </c>
      <c r="Q1" s="444"/>
      <c r="R1" s="446"/>
      <c r="S1" s="446"/>
      <c r="AR1" s="110">
        <f>GETPIVOTDATA("INSP_DATE",'D PIVOT'!$A$3,"SYS_CODE","W","INSP_NO",415,"EI_ID",A6)</f>
        <v>41410</v>
      </c>
      <c r="AS1">
        <f>MIN(GETPIVOTDATA("INSP_DATE",'D PIVOT'!$A$3,"SYS_CODE","A","INSP_NO",533,"EI_ID",A6),(GETPIVOTDATA("INSP_DATE",'D PIVOT'!$A$3,"SYS_CODE","A","INSP_NO",534,"EI_ID",A6)),(GETPIVOTDATA("INSP_DATE",'D PIVOT'!$A$3,"SYS_CODE","A","INSP_NO",542,"EI_ID",A6)))</f>
        <v>41702</v>
      </c>
    </row>
    <row r="2" spans="1:45" s="110" customFormat="1" ht="27.75" thickTop="1" thickBot="1">
      <c r="A2" s="293" t="s">
        <v>90</v>
      </c>
      <c r="B2" s="449"/>
      <c r="C2" s="448"/>
      <c r="D2" s="448"/>
      <c r="E2" s="448"/>
      <c r="F2" s="448"/>
      <c r="G2" s="448"/>
      <c r="H2" s="448"/>
      <c r="I2" s="448"/>
      <c r="J2" s="443"/>
      <c r="K2" s="443"/>
      <c r="L2" s="443"/>
      <c r="M2" s="443"/>
      <c r="N2" s="442"/>
      <c r="O2" s="442"/>
      <c r="P2" s="443"/>
      <c r="Q2" s="445"/>
      <c r="R2" s="447"/>
      <c r="S2" s="447"/>
      <c r="AR2" s="110">
        <f>GETPIVOTDATA("INSP_DATE",'D PIVOT'!$A$3,"SYS_CODE","W","INSP_NO",415,"EI_ID",A9)</f>
        <v>41404</v>
      </c>
      <c r="AS2" s="110">
        <f>MIN(GETPIVOTDATA("INSP_DATE",'D PIVOT'!$A$3,"SYS_CODE","A","INSP_NO",533,"EI_ID",A9),(GETPIVOTDATA("INSP_DATE",'D PIVOT'!$A$3,"SYS_CODE","A","INSP_NO",534,"EI_ID",A9)),(GETPIVOTDATA("INSP_DATE",'D PIVOT'!$A$3,"SYS_CODE","A","INSP_NO",542,"EI_ID",A9)))</f>
        <v>41643</v>
      </c>
    </row>
    <row r="3" spans="1:45" ht="14.25" thickTop="1" thickBot="1">
      <c r="I3" s="290"/>
      <c r="AR3" s="110">
        <f>GETPIVOTDATA("INSP_DATE",'D PIVOT'!$A$3,"SYS_CODE","W","INSP_NO",415,"EI_ID",A12)</f>
        <v>41383</v>
      </c>
      <c r="AS3" s="110">
        <f>MIN(GETPIVOTDATA("INSP_DATE",'D PIVOT'!$A$3,"SYS_CODE","A","INSP_NO",533,"EI_ID",A12),(GETPIVOTDATA("INSP_DATE",'D PIVOT'!$A$3,"SYS_CODE","A","INSP_NO",534,"EI_ID",A12)),(GETPIVOTDATA("INSP_DATE",'D PIVOT'!$A$3,"SYS_CODE","A","INSP_NO",542,"EI_ID",A12)))</f>
        <v>41404</v>
      </c>
    </row>
    <row r="4" spans="1:45" ht="23.25" customHeight="1" thickTop="1">
      <c r="A4" s="454" t="str">
        <f>STATUS!A7</f>
        <v>00-05187</v>
      </c>
      <c r="B4" s="456" t="str">
        <f>STATUS!B7</f>
        <v>FMC</v>
      </c>
      <c r="C4" s="458" t="str">
        <f>STATUS!C7</f>
        <v>N</v>
      </c>
      <c r="D4" s="287" t="str">
        <f>STATUS!D7</f>
        <v>6.1</v>
      </c>
      <c r="E4" s="433">
        <f>STATUS!E7</f>
        <v>5314.7</v>
      </c>
      <c r="F4" s="430">
        <f>GETPIVOTDATA("CURR_RNDS",Rounds!$A$3,"EI_ID",A6)</f>
        <v>26475</v>
      </c>
      <c r="G4" s="433" t="str">
        <f>VLOOKUP(A6,Table__10.2.1.2_1_4AHB_EIACFT[],38,FALSE)</f>
        <v/>
      </c>
      <c r="H4" s="433" t="str">
        <f>VLOOKUP(A6,Table__10.2.1.2_1_4AHB_EIACFT[],37,FALSE)</f>
        <v>X</v>
      </c>
      <c r="I4" s="450">
        <f>SUM(GETPIVOTDATA("INSP_DATE",'D PIVOT'!$A$3,"SYS_CODE","W","INSP_NO",401,"EI_ID",A6)+14)</f>
        <v>41712</v>
      </c>
      <c r="J4" s="450" t="e">
        <f>SUM(GETPIVOTDATA("INSP_DATE",'D PIVOT'!$A$3,"SYS_CODE","W","INSP_NO",250,"EI_ID",A6)+30)</f>
        <v>#REF!</v>
      </c>
      <c r="K4" s="450">
        <f>SUM(GETPIVOTDATA("INSP_DATE",'D PIVOT'!$A$3,"SYS_CODE","A","INSP_NO",102,"EI_ID",A6)+30)</f>
        <v>41718</v>
      </c>
      <c r="L4" s="450">
        <f>SUM((MIN(GETPIVOTDATA("INSP_DATE",'D PIVOT'!$A$3,"SYS_CODE","W","INSP_NO",406,"EI_ID",A6),(GETPIVOTDATA("INSP_DATE",'D PIVOT'!$A$3,"SYS_CODE","W","INSP_NO",407,"EI_ID",A6)))+90))</f>
        <v>41764</v>
      </c>
      <c r="M4" s="433">
        <f>SUM((GETPIVOTDATA("INSP_VAL",'H PIVOT'!$A$3,"SYS_CODE","W","INSP_NO",211,"EI_ID",A6)+100)-E4)</f>
        <v>101.90009259259296</v>
      </c>
      <c r="N4" s="436">
        <f>SUM(GETPIVOTDATA("INSP_DATE",'D PIVOT'!$A$3,"SYS_CODE","W","INSP_NO",405,"EI_ID",A6)+180)</f>
        <v>41882</v>
      </c>
      <c r="O4" s="436">
        <f>DATE(YEAR(AR1),MONTH(AR1)+12,DAY(AR1))</f>
        <v>41775</v>
      </c>
      <c r="P4" s="439">
        <f>DATE(YEAR(AS1),MONTH(AS1)+12,DAY(AS1))</f>
        <v>42067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R4" s="110" t="e">
        <f>GETPIVOTDATA("INSP_DATE",'D PIVOT'!$A$3,"SYS_CODE","W","INSP_NO",415,"EI_ID",A15)</f>
        <v>#REF!</v>
      </c>
      <c r="AS4" s="110" t="e">
        <f>MIN(GETPIVOTDATA("INSP_DATE",'D PIVOT'!$A$3,"SYS_CODE","A","INSP_NO",533,"EI_ID",A15),(GETPIVOTDATA("INSP_DATE",'D PIVOT'!$A$3,"SYS_CODE","A","INSP_NO",534,"EI_ID",A15)),(GETPIVOTDATA("INSP_DATE",'D PIVOT'!$A$3,"SYS_CODE","A","INSP_NO",542,"EI_ID",A15)))</f>
        <v>#REF!</v>
      </c>
    </row>
    <row r="5" spans="1:45" ht="23.25" customHeight="1">
      <c r="A5" s="455"/>
      <c r="B5" s="457"/>
      <c r="C5" s="459"/>
      <c r="D5" s="291" t="str">
        <f>STATUS!D8</f>
        <v>Slick</v>
      </c>
      <c r="E5" s="434"/>
      <c r="F5" s="431"/>
      <c r="G5" s="434"/>
      <c r="H5" s="434"/>
      <c r="I5" s="451"/>
      <c r="J5" s="451"/>
      <c r="K5" s="451"/>
      <c r="L5" s="451"/>
      <c r="M5" s="434"/>
      <c r="N5" s="437"/>
      <c r="O5" s="437"/>
      <c r="P5" s="44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R5" s="110" t="e">
        <f>GETPIVOTDATA("INSP_DATE",'D PIVOT'!$A$3,"SYS_CODE","W","INSP_NO",415,"EI_ID",A18)</f>
        <v>#REF!</v>
      </c>
      <c r="AS5" s="110" t="e">
        <f>MIN(GETPIVOTDATA("INSP_DATE",'D PIVOT'!$A$3,"SYS_CODE","A","INSP_NO",533,"EI_ID",A18),(GETPIVOTDATA("INSP_DATE",'D PIVOT'!$A$3,"SYS_CODE","A","INSP_NO",534,"EI_ID",A18)),(GETPIVOTDATA("INSP_DATE",'D PIVOT'!$A$3,"SYS_CODE","A","INSP_NO",542,"EI_ID",A18)))</f>
        <v>#REF!</v>
      </c>
    </row>
    <row r="6" spans="1:45" ht="23.25" customHeight="1" thickBot="1">
      <c r="A6" s="286" t="str">
        <f>STATUS!A9</f>
        <v>AH0008</v>
      </c>
      <c r="B6" s="453">
        <f>STATUS!B9</f>
        <v>41703.639618055553</v>
      </c>
      <c r="C6" s="453"/>
      <c r="D6" s="292">
        <f>STATUS!D9</f>
        <v>0</v>
      </c>
      <c r="E6" s="435"/>
      <c r="F6" s="432"/>
      <c r="G6" s="435"/>
      <c r="H6" s="435"/>
      <c r="I6" s="452"/>
      <c r="J6" s="452"/>
      <c r="K6" s="452"/>
      <c r="L6" s="452"/>
      <c r="M6" s="435"/>
      <c r="N6" s="438"/>
      <c r="O6" s="438"/>
      <c r="P6" s="441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R6" s="110" t="e">
        <f>GETPIVOTDATA("INSP_DATE",'D PIVOT'!$A$3,"SYS_CODE","W","INSP_NO",415,"EI_ID",A21)</f>
        <v>#REF!</v>
      </c>
      <c r="AS6" s="110" t="e">
        <f>MIN(GETPIVOTDATA("INSP_DATE",'D PIVOT'!$A$3,"SYS_CODE","A","INSP_NO",533,"EI_ID",A21),(GETPIVOTDATA("INSP_DATE",'D PIVOT'!$A$3,"SYS_CODE","A","INSP_NO",534,"EI_ID",A21)),(GETPIVOTDATA("INSP_DATE",'D PIVOT'!$A$3,"SYS_CODE","A","INSP_NO",542,"EI_ID",A21)))</f>
        <v>#REF!</v>
      </c>
    </row>
    <row r="7" spans="1:45" ht="23.25" customHeight="1" thickTop="1">
      <c r="A7" s="454" t="str">
        <f>STATUS!A10</f>
        <v>99-05119</v>
      </c>
      <c r="B7" s="456" t="str">
        <f>STATUS!B10</f>
        <v>NMCM</v>
      </c>
      <c r="C7" s="458" t="str">
        <f>STATUS!C10</f>
        <v>N</v>
      </c>
      <c r="D7" s="287" t="str">
        <f>STATUS!D10</f>
        <v>6.1</v>
      </c>
      <c r="E7" s="433">
        <f>STATUS!E10</f>
        <v>3973.9</v>
      </c>
      <c r="F7" s="430">
        <f>GETPIVOTDATA("CURR_RNDS",Rounds!$A$3,"EI_ID",A9)</f>
        <v>18916</v>
      </c>
      <c r="G7" s="433" t="str">
        <f>VLOOKUP(A9,Table__10.2.1.2_1_4AHB_EIACFT[],38,FALSE)</f>
        <v>-</v>
      </c>
      <c r="H7" s="433" t="str">
        <f>VLOOKUP(A9,Table__10.2.1.2_1_4AHB_EIACFT[],37,FALSE)</f>
        <v>-</v>
      </c>
      <c r="I7" s="450">
        <f>SUM(GETPIVOTDATA("INSP_DATE",'D PIVOT'!$A$3,"SYS_CODE","W","INSP_NO",401,"EI_ID",A9)+14)</f>
        <v>41712</v>
      </c>
      <c r="J7" s="450" t="e">
        <f>SUM(GETPIVOTDATA("INSP_DATE",'D PIVOT'!$A$3,"SYS_CODE","W","INSP_NO",250,"EI_ID",A9)+30)</f>
        <v>#REF!</v>
      </c>
      <c r="K7" s="450">
        <f>SUM(GETPIVOTDATA("INSP_DATE",'D PIVOT'!$A$3,"SYS_CODE","A","INSP_NO",102,"EI_ID",A9)+30)</f>
        <v>41711</v>
      </c>
      <c r="L7" s="450">
        <f>SUM((MIN(GETPIVOTDATA("INSP_DATE",'D PIVOT'!$A$3,"SYS_CODE","W","INSP_NO",406,"EI_ID",A9),(GETPIVOTDATA("INSP_DATE",'D PIVOT'!$A$3,"SYS_CODE","W","INSP_NO",407,"EI_ID",A9)))+90))</f>
        <v>41711</v>
      </c>
      <c r="M7" s="433">
        <f>SUM((GETPIVOTDATA("INSP_VAL",'H PIVOT'!$A$3,"SYS_CODE","W","INSP_NO",211,"EI_ID",A9)+100)-E7)</f>
        <v>87.599999999999909</v>
      </c>
      <c r="N7" s="436">
        <f>SUM(GETPIVOTDATA("INSP_DATE",'D PIVOT'!$A$3,"SYS_CODE","W","INSP_NO",405,"EI_ID",A9)+180)</f>
        <v>41764</v>
      </c>
      <c r="O7" s="436">
        <f>DATE(YEAR(AR2),MONTH(AR2)+12,DAY(AR2))</f>
        <v>41769</v>
      </c>
      <c r="P7" s="439">
        <f>DATE(YEAR(AS2),MONTH(AS2)+12,DAY(AS2))</f>
        <v>42008</v>
      </c>
      <c r="AR7" s="110" t="e">
        <f>GETPIVOTDATA("INSP_DATE",'D PIVOT'!$A$3,"SYS_CODE","W","INSP_NO",415,"EI_ID",A24)</f>
        <v>#REF!</v>
      </c>
      <c r="AS7" s="110" t="e">
        <f>MIN(GETPIVOTDATA("INSP_DATE",'D PIVOT'!$A$3,"SYS_CODE","A","INSP_NO",533,"EI_ID",A24),(GETPIVOTDATA("INSP_DATE",'D PIVOT'!$A$3,"SYS_CODE","A","INSP_NO",534,"EI_ID",A24)),(GETPIVOTDATA("INSP_DATE",'D PIVOT'!$A$3,"SYS_CODE","A","INSP_NO",542,"EI_ID",A24)))</f>
        <v>#REF!</v>
      </c>
    </row>
    <row r="8" spans="1:45" ht="23.25" customHeight="1">
      <c r="A8" s="455"/>
      <c r="B8" s="457"/>
      <c r="C8" s="459"/>
      <c r="D8" s="291" t="str">
        <f>STATUS!D11</f>
        <v>Slick</v>
      </c>
      <c r="E8" s="434"/>
      <c r="F8" s="431"/>
      <c r="G8" s="434"/>
      <c r="H8" s="434"/>
      <c r="I8" s="451"/>
      <c r="J8" s="451"/>
      <c r="K8" s="451"/>
      <c r="L8" s="451"/>
      <c r="M8" s="434"/>
      <c r="N8" s="437"/>
      <c r="O8" s="437"/>
      <c r="P8" s="440"/>
      <c r="AR8" s="110" t="e">
        <f>GETPIVOTDATA("INSP_DATE",'D PIVOT'!$A$3,"SYS_CODE","W","INSP_NO",415,"EI_ID",A27)</f>
        <v>#REF!</v>
      </c>
      <c r="AS8" s="110" t="e">
        <f>MIN(GETPIVOTDATA("INSP_DATE",'D PIVOT'!$A$3,"SYS_CODE","A","INSP_NO",533,"EI_ID",A27),(GETPIVOTDATA("INSP_DATE",'D PIVOT'!$A$3,"SYS_CODE","A","INSP_NO",534,"EI_ID",A27)),(GETPIVOTDATA("INSP_DATE",'D PIVOT'!$A$3,"SYS_CODE","A","INSP_NO",542,"EI_ID",A27)))</f>
        <v>#REF!</v>
      </c>
    </row>
    <row r="9" spans="1:45" ht="23.25" customHeight="1" thickBot="1">
      <c r="A9" s="286" t="str">
        <f>STATUS!A12</f>
        <v>AH0401</v>
      </c>
      <c r="B9" s="453">
        <f>STATUS!B12</f>
        <v>41703.640092592592</v>
      </c>
      <c r="C9" s="453"/>
      <c r="D9" s="292">
        <f>STATUS!D12</f>
        <v>0</v>
      </c>
      <c r="E9" s="435"/>
      <c r="F9" s="432"/>
      <c r="G9" s="435"/>
      <c r="H9" s="435"/>
      <c r="I9" s="452"/>
      <c r="J9" s="452"/>
      <c r="K9" s="452"/>
      <c r="L9" s="452"/>
      <c r="M9" s="435"/>
      <c r="N9" s="438"/>
      <c r="O9" s="438"/>
      <c r="P9" s="441"/>
    </row>
    <row r="10" spans="1:45" ht="23.25" customHeight="1" thickTop="1">
      <c r="A10" s="454" t="str">
        <f>STATUS!A13</f>
        <v>99-05141</v>
      </c>
      <c r="B10" s="456" t="str">
        <f>STATUS!B13</f>
        <v>FMC</v>
      </c>
      <c r="C10" s="458" t="str">
        <f>STATUS!C13</f>
        <v>N</v>
      </c>
      <c r="D10" s="287" t="str">
        <f>STATUS!D13</f>
        <v>6.1</v>
      </c>
      <c r="E10" s="433">
        <f>STATUS!E13</f>
        <v>4733.5</v>
      </c>
      <c r="F10" s="430">
        <f>GETPIVOTDATA("CURR_RNDS",Rounds!$A$3,"EI_ID",A12)</f>
        <v>7331</v>
      </c>
      <c r="G10" s="433" t="str">
        <f>VLOOKUP(A12,Table__10.2.1.2_1_4AHB_EIACFT[],38,FALSE)</f>
        <v/>
      </c>
      <c r="H10" s="433" t="str">
        <f>VLOOKUP(A12,Table__10.2.1.2_1_4AHB_EIACFT[],37,FALSE)</f>
        <v>-</v>
      </c>
      <c r="I10" s="450">
        <f>SUM(GETPIVOTDATA("INSP_DATE",'D PIVOT'!$A$3,"SYS_CODE","W","INSP_NO",401,"EI_ID",A12)+14)</f>
        <v>41712</v>
      </c>
      <c r="J10" s="450" t="e">
        <f>SUM(GETPIVOTDATA("INSP_DATE",'D PIVOT'!$A$3,"SYS_CODE","W","INSP_NO",250,"EI_ID",A12)+30)</f>
        <v>#REF!</v>
      </c>
      <c r="K10" s="450">
        <f>SUM(GETPIVOTDATA("INSP_DATE",'D PIVOT'!$A$3,"SYS_CODE","A","INSP_NO",102,"EI_ID",A12)+30)</f>
        <v>41718</v>
      </c>
      <c r="L10" s="450">
        <f>SUM((MIN(GETPIVOTDATA("INSP_DATE",'D PIVOT'!$A$3,"SYS_CODE","W","INSP_NO",406,"EI_ID",A12),(GETPIVOTDATA("INSP_DATE",'D PIVOT'!$A$3,"SYS_CODE","W","INSP_NO",407,"EI_ID",A12)))+90))</f>
        <v>41722</v>
      </c>
      <c r="M10" s="433">
        <f>SUM((GETPIVOTDATA("INSP_VAL",'H PIVOT'!$A$3,"SYS_CODE","W","INSP_NO",211,"EI_ID",A12)+100)-E10)</f>
        <v>61.700196759259597</v>
      </c>
      <c r="N10" s="436">
        <f>SUM(GETPIVOTDATA("INSP_DATE",'D PIVOT'!$A$3,"SYS_CODE","W","INSP_NO",405,"EI_ID",A12)+180)</f>
        <v>41743</v>
      </c>
      <c r="O10" s="436">
        <f>DATE(YEAR(AR3),MONTH(AR3)+12,DAY(AR3))</f>
        <v>41748</v>
      </c>
      <c r="P10" s="439">
        <f>DATE(YEAR(AS3),MONTH(AS3)+12,DAY(AS3))</f>
        <v>41769</v>
      </c>
    </row>
    <row r="11" spans="1:45" ht="23.25" customHeight="1">
      <c r="A11" s="455"/>
      <c r="B11" s="457"/>
      <c r="C11" s="459"/>
      <c r="D11" s="291" t="str">
        <f>STATUS!D14</f>
        <v>Slick</v>
      </c>
      <c r="E11" s="434"/>
      <c r="F11" s="431"/>
      <c r="G11" s="434"/>
      <c r="H11" s="434"/>
      <c r="I11" s="451"/>
      <c r="J11" s="451"/>
      <c r="K11" s="451"/>
      <c r="L11" s="451"/>
      <c r="M11" s="434"/>
      <c r="N11" s="437"/>
      <c r="O11" s="437"/>
      <c r="P11" s="440"/>
    </row>
    <row r="12" spans="1:45" ht="23.25" customHeight="1" thickBot="1">
      <c r="A12" s="286" t="str">
        <f>STATUS!A15</f>
        <v>AH0417</v>
      </c>
      <c r="B12" s="453">
        <f>STATUS!B15</f>
        <v>41703.640439814815</v>
      </c>
      <c r="C12" s="453"/>
      <c r="D12" s="292">
        <f>STATUS!D15</f>
        <v>0</v>
      </c>
      <c r="E12" s="435"/>
      <c r="F12" s="432"/>
      <c r="G12" s="435"/>
      <c r="H12" s="435"/>
      <c r="I12" s="452"/>
      <c r="J12" s="452"/>
      <c r="K12" s="452"/>
      <c r="L12" s="452"/>
      <c r="M12" s="435"/>
      <c r="N12" s="438"/>
      <c r="O12" s="438"/>
      <c r="P12" s="441"/>
    </row>
    <row r="13" spans="1:45" ht="23.25" customHeight="1" thickTop="1">
      <c r="A13" s="454" t="str">
        <f>STATUS!A16</f>
        <v>99-05055</v>
      </c>
      <c r="B13" s="456"/>
      <c r="C13" s="458" t="str">
        <f>STATUS!C16</f>
        <v>N</v>
      </c>
      <c r="D13" s="287" t="str">
        <f>STATUS!D16</f>
        <v>6.3</v>
      </c>
      <c r="E13" s="433" t="e">
        <f>STATUS!E16</f>
        <v>#REF!</v>
      </c>
      <c r="F13" s="430" t="e">
        <f>GETPIVOTDATA("CURR_RNDS",Rounds!$A$3,"EI_ID",A15)</f>
        <v>#REF!</v>
      </c>
      <c r="G13" s="433" t="e">
        <f>VLOOKUP(A15,Table__10.2.1.2_1_4AHB_EIACFT[],38,FALSE)</f>
        <v>#N/A</v>
      </c>
      <c r="H13" s="433" t="e">
        <f>VLOOKUP(A15,Table__10.2.1.2_1_4AHB_EIACFT[],37,FALSE)</f>
        <v>#N/A</v>
      </c>
      <c r="I13" s="450" t="e">
        <f>SUM(GETPIVOTDATA("INSP_DATE",'D PIVOT'!$A$3,"SYS_CODE","W","INSP_NO",401,"EI_ID",A15)+14)</f>
        <v>#REF!</v>
      </c>
      <c r="J13" s="450" t="e">
        <f>SUM(GETPIVOTDATA("INSP_DATE",'D PIVOT'!$A$3,"SYS_CODE","W","INSP_NO",250,"EI_ID",A15)+30)</f>
        <v>#REF!</v>
      </c>
      <c r="K13" s="450" t="e">
        <f>SUM(GETPIVOTDATA("INSP_DATE",'D PIVOT'!$A$3,"SYS_CODE","A","INSP_NO",102,"EI_ID",A15)+30)</f>
        <v>#REF!</v>
      </c>
      <c r="L13" s="450" t="e">
        <f>SUM((MIN(GETPIVOTDATA("INSP_DATE",'D PIVOT'!$A$3,"SYS_CODE","W","INSP_NO",406,"EI_ID",A15),(GETPIVOTDATA("INSP_DATE",'D PIVOT'!$A$3,"SYS_CODE","W","INSP_NO",407,"EI_ID",A15)))+90))</f>
        <v>#REF!</v>
      </c>
      <c r="M13" s="433" t="e">
        <f>SUM((GETPIVOTDATA("INSP_VAL",'H PIVOT'!$A$3,"SYS_CODE","W","INSP_NO",211,"EI_ID",A15)+100)-E13)</f>
        <v>#REF!</v>
      </c>
      <c r="N13" s="436" t="e">
        <f>SUM(GETPIVOTDATA("INSP_DATE",'D PIVOT'!$A$3,"SYS_CODE","W","INSP_NO",405,"EI_ID",A15)+180)</f>
        <v>#REF!</v>
      </c>
      <c r="O13" s="436" t="e">
        <f>DATE(YEAR(AR4),MONTH(AR4)+12,DAY(AR4))</f>
        <v>#REF!</v>
      </c>
      <c r="P13" s="439" t="e">
        <f>DATE(YEAR(AS4),MONTH(AS4)+12,DAY(AS4))</f>
        <v>#REF!</v>
      </c>
    </row>
    <row r="14" spans="1:45" ht="23.25" customHeight="1">
      <c r="A14" s="455"/>
      <c r="B14" s="457"/>
      <c r="C14" s="459"/>
      <c r="D14" s="291" t="str">
        <f>STATUS!D17</f>
        <v>2 HML</v>
      </c>
      <c r="E14" s="434"/>
      <c r="F14" s="431"/>
      <c r="G14" s="434"/>
      <c r="H14" s="434"/>
      <c r="I14" s="451"/>
      <c r="J14" s="451"/>
      <c r="K14" s="451"/>
      <c r="L14" s="451"/>
      <c r="M14" s="434"/>
      <c r="N14" s="437"/>
      <c r="O14" s="437"/>
      <c r="P14" s="440"/>
    </row>
    <row r="15" spans="1:45" ht="23.25" customHeight="1" thickBot="1">
      <c r="A15" s="286">
        <f>STATUS!A18</f>
        <v>0</v>
      </c>
      <c r="B15" s="453" t="e">
        <f>STATUS!B18</f>
        <v>#N/A</v>
      </c>
      <c r="C15" s="453"/>
      <c r="D15" s="292">
        <f>STATUS!D18</f>
        <v>0</v>
      </c>
      <c r="E15" s="435"/>
      <c r="F15" s="432"/>
      <c r="G15" s="435"/>
      <c r="H15" s="435"/>
      <c r="I15" s="452"/>
      <c r="J15" s="452"/>
      <c r="K15" s="452"/>
      <c r="L15" s="452"/>
      <c r="M15" s="435"/>
      <c r="N15" s="438"/>
      <c r="O15" s="438"/>
      <c r="P15" s="441"/>
    </row>
    <row r="16" spans="1:45" ht="23.25" customHeight="1" thickTop="1">
      <c r="A16" s="454" t="str">
        <f>STATUS!A19</f>
        <v>00-05168</v>
      </c>
      <c r="B16" s="456"/>
      <c r="C16" s="458" t="str">
        <f>STATUS!C19</f>
        <v>N</v>
      </c>
      <c r="D16" s="287" t="str">
        <f>STATUS!D19</f>
        <v>6.3</v>
      </c>
      <c r="E16" s="433" t="e">
        <f>STATUS!E19</f>
        <v>#REF!</v>
      </c>
      <c r="F16" s="430" t="e">
        <f>GETPIVOTDATA("CURR_RNDS",Rounds!$A$3,"EI_ID",A18)</f>
        <v>#REF!</v>
      </c>
      <c r="G16" s="433" t="e">
        <f>VLOOKUP(A18,Table__10.2.1.2_1_4AHB_EIACFT[],38,FALSE)</f>
        <v>#N/A</v>
      </c>
      <c r="H16" s="433" t="e">
        <f>VLOOKUP(A18,Table__10.2.1.2_1_4AHB_EIACFT[],37,FALSE)</f>
        <v>#N/A</v>
      </c>
      <c r="I16" s="450" t="e">
        <f>SUM(GETPIVOTDATA("INSP_DATE",'D PIVOT'!$A$3,"SYS_CODE","W","INSP_NO",401,"EI_ID",A18)+14)</f>
        <v>#REF!</v>
      </c>
      <c r="J16" s="450" t="e">
        <f>SUM(GETPIVOTDATA("INSP_DATE",'D PIVOT'!$A$3,"SYS_CODE","W","INSP_NO",250,"EI_ID",A18)+30)</f>
        <v>#REF!</v>
      </c>
      <c r="K16" s="450" t="e">
        <f>SUM(GETPIVOTDATA("INSP_DATE",'D PIVOT'!$A$3,"SYS_CODE","A","INSP_NO",102,"EI_ID",A18)+30)</f>
        <v>#REF!</v>
      </c>
      <c r="L16" s="450" t="e">
        <f>SUM((MIN(GETPIVOTDATA("INSP_DATE",'D PIVOT'!$A$3,"SYS_CODE","W","INSP_NO",406,"EI_ID",A18),(GETPIVOTDATA("INSP_DATE",'D PIVOT'!$A$3,"SYS_CODE","W","INSP_NO",407,"EI_ID",A18)))+90))</f>
        <v>#REF!</v>
      </c>
      <c r="M16" s="433" t="e">
        <f>SUM((GETPIVOTDATA("INSP_VAL",'H PIVOT'!$A$3,"SYS_CODE","W","INSP_NO",211,"EI_ID",A18)+100)-E16)</f>
        <v>#REF!</v>
      </c>
      <c r="N16" s="436" t="e">
        <f>SUM(GETPIVOTDATA("INSP_DATE",'D PIVOT'!$A$3,"SYS_CODE","W","INSP_NO",405,"EI_ID",A18)+180)</f>
        <v>#REF!</v>
      </c>
      <c r="O16" s="436" t="e">
        <f>DATE(YEAR(AR5),MONTH(AR5)+12,DAY(AR5))</f>
        <v>#REF!</v>
      </c>
      <c r="P16" s="439" t="e">
        <f>DATE(YEAR(AS5),MONTH(AS5)+12,DAY(AS5))</f>
        <v>#REF!</v>
      </c>
    </row>
    <row r="17" spans="1:16" ht="23.25" customHeight="1">
      <c r="A17" s="455"/>
      <c r="B17" s="457"/>
      <c r="C17" s="459"/>
      <c r="D17" s="291" t="str">
        <f>STATUS!D20</f>
        <v>2 HML</v>
      </c>
      <c r="E17" s="434"/>
      <c r="F17" s="431"/>
      <c r="G17" s="434"/>
      <c r="H17" s="434"/>
      <c r="I17" s="451"/>
      <c r="J17" s="451"/>
      <c r="K17" s="451"/>
      <c r="L17" s="451"/>
      <c r="M17" s="434"/>
      <c r="N17" s="437"/>
      <c r="O17" s="437"/>
      <c r="P17" s="440"/>
    </row>
    <row r="18" spans="1:16" ht="23.25" customHeight="1" thickBot="1">
      <c r="A18" s="286">
        <f>STATUS!A21</f>
        <v>0</v>
      </c>
      <c r="B18" s="453" t="e">
        <f>STATUS!B21</f>
        <v>#N/A</v>
      </c>
      <c r="C18" s="453"/>
      <c r="D18" s="292">
        <f>STATUS!D21</f>
        <v>0</v>
      </c>
      <c r="E18" s="435"/>
      <c r="F18" s="432"/>
      <c r="G18" s="435"/>
      <c r="H18" s="435"/>
      <c r="I18" s="452"/>
      <c r="J18" s="452"/>
      <c r="K18" s="452"/>
      <c r="L18" s="452"/>
      <c r="M18" s="435"/>
      <c r="N18" s="438"/>
      <c r="O18" s="438"/>
      <c r="P18" s="441"/>
    </row>
    <row r="19" spans="1:16" ht="23.25" customHeight="1" thickTop="1">
      <c r="A19" s="454" t="str">
        <f>STATUS!A22</f>
        <v>00-05167</v>
      </c>
      <c r="B19" s="456"/>
      <c r="C19" s="458" t="str">
        <f>STATUS!C22</f>
        <v>N</v>
      </c>
      <c r="D19" s="287" t="str">
        <f>STATUS!D22</f>
        <v>6.3</v>
      </c>
      <c r="E19" s="433" t="e">
        <f>STATUS!E22</f>
        <v>#REF!</v>
      </c>
      <c r="F19" s="430" t="e">
        <f>GETPIVOTDATA("CURR_RNDS",Rounds!$A$3,"EI_ID",A21)</f>
        <v>#REF!</v>
      </c>
      <c r="G19" s="433" t="e">
        <f>VLOOKUP(A21,Table__10.2.1.2_1_4AHB_EIACFT[],38,FALSE)</f>
        <v>#N/A</v>
      </c>
      <c r="H19" s="433" t="e">
        <f>VLOOKUP(A21,Table__10.2.1.2_1_4AHB_EIACFT[],37,FALSE)</f>
        <v>#N/A</v>
      </c>
      <c r="I19" s="450" t="e">
        <f>SUM(GETPIVOTDATA("INSP_DATE",'D PIVOT'!$A$3,"SYS_CODE","W","INSP_NO",401,"EI_ID",A21)+14)</f>
        <v>#REF!</v>
      </c>
      <c r="J19" s="450" t="e">
        <f>SUM(GETPIVOTDATA("INSP_DATE",'D PIVOT'!$A$3,"SYS_CODE","W","INSP_NO",250,"EI_ID",A21)+30)</f>
        <v>#REF!</v>
      </c>
      <c r="K19" s="450" t="e">
        <f>SUM(GETPIVOTDATA("INSP_DATE",'D PIVOT'!$A$3,"SYS_CODE","A","INSP_NO",102,"EI_ID",A21)+30)</f>
        <v>#REF!</v>
      </c>
      <c r="L19" s="450" t="e">
        <f>SUM((MIN(GETPIVOTDATA("INSP_DATE",'D PIVOT'!$A$3,"SYS_CODE","W","INSP_NO",406,"EI_ID",A21),(GETPIVOTDATA("INSP_DATE",'D PIVOT'!$A$3,"SYS_CODE","W","INSP_NO",407,"EI_ID",A21)))+90))</f>
        <v>#REF!</v>
      </c>
      <c r="M19" s="433" t="e">
        <f>SUM((GETPIVOTDATA("INSP_VAL",'H PIVOT'!$A$3,"SYS_CODE","W","INSP_NO",211,"EI_ID",A21)+100)-E19)</f>
        <v>#REF!</v>
      </c>
      <c r="N19" s="436" t="e">
        <f>SUM(GETPIVOTDATA("INSP_DATE",'D PIVOT'!$A$3,"SYS_CODE","W","INSP_NO",405,"EI_ID",A21)+180)</f>
        <v>#REF!</v>
      </c>
      <c r="O19" s="436" t="e">
        <f>DATE(YEAR(AR6),MONTH(AR6)+12,DAY(AR6))</f>
        <v>#REF!</v>
      </c>
      <c r="P19" s="439" t="e">
        <f>DATE(YEAR(AS6),MONTH(AS6)+12,DAY(AS6))</f>
        <v>#REF!</v>
      </c>
    </row>
    <row r="20" spans="1:16" ht="23.25" customHeight="1">
      <c r="A20" s="455"/>
      <c r="B20" s="457"/>
      <c r="C20" s="459"/>
      <c r="D20" s="291" t="str">
        <f>STATUS!D23</f>
        <v>2 HML</v>
      </c>
      <c r="E20" s="434"/>
      <c r="F20" s="431"/>
      <c r="G20" s="434"/>
      <c r="H20" s="434"/>
      <c r="I20" s="451"/>
      <c r="J20" s="451"/>
      <c r="K20" s="451"/>
      <c r="L20" s="451"/>
      <c r="M20" s="434"/>
      <c r="N20" s="437"/>
      <c r="O20" s="437"/>
      <c r="P20" s="440"/>
    </row>
    <row r="21" spans="1:16" ht="23.25" customHeight="1" thickBot="1">
      <c r="A21" s="286">
        <f>STATUS!A24</f>
        <v>0</v>
      </c>
      <c r="B21" s="453" t="e">
        <f>STATUS!B24</f>
        <v>#N/A</v>
      </c>
      <c r="C21" s="453"/>
      <c r="D21" s="292">
        <f>STATUS!D24</f>
        <v>0</v>
      </c>
      <c r="E21" s="435"/>
      <c r="F21" s="432"/>
      <c r="G21" s="435"/>
      <c r="H21" s="435"/>
      <c r="I21" s="452"/>
      <c r="J21" s="452"/>
      <c r="K21" s="452"/>
      <c r="L21" s="452"/>
      <c r="M21" s="435"/>
      <c r="N21" s="438"/>
      <c r="O21" s="438"/>
      <c r="P21" s="441"/>
    </row>
    <row r="22" spans="1:16" ht="23.25" customHeight="1" thickTop="1">
      <c r="A22" s="454" t="str">
        <f>STATUS!A25</f>
        <v>99-05008</v>
      </c>
      <c r="B22" s="456"/>
      <c r="C22" s="458" t="str">
        <f>STATUS!C25</f>
        <v>N</v>
      </c>
      <c r="D22" s="287" t="str">
        <f>STATUS!D25</f>
        <v>6.3</v>
      </c>
      <c r="E22" s="433" t="e">
        <f>STATUS!E25</f>
        <v>#REF!</v>
      </c>
      <c r="F22" s="430" t="e">
        <f>GETPIVOTDATA("CURR_RNDS",Rounds!$A$3,"EI_ID",A24)</f>
        <v>#REF!</v>
      </c>
      <c r="G22" s="433" t="e">
        <f>VLOOKUP(A24,Table__10.2.1.2_1_4AHB_EIACFT[],38,FALSE)</f>
        <v>#N/A</v>
      </c>
      <c r="H22" s="433" t="e">
        <f>VLOOKUP(A24,Table__10.2.1.2_1_4AHB_EIACFT[],37,FALSE)</f>
        <v>#N/A</v>
      </c>
      <c r="I22" s="450" t="e">
        <f>SUM(GETPIVOTDATA("INSP_DATE",'D PIVOT'!$A$3,"SYS_CODE","W","INSP_NO",401,"EI_ID",A24)+14)</f>
        <v>#REF!</v>
      </c>
      <c r="J22" s="450" t="e">
        <f>SUM(GETPIVOTDATA("INSP_DATE",'D PIVOT'!$A$3,"SYS_CODE","W","INSP_NO",250,"EI_ID",A24)+30)</f>
        <v>#REF!</v>
      </c>
      <c r="K22" s="450" t="e">
        <f>SUM(GETPIVOTDATA("INSP_DATE",'D PIVOT'!$A$3,"SYS_CODE","A","INSP_NO",102,"EI_ID",A24)+30)</f>
        <v>#REF!</v>
      </c>
      <c r="L22" s="450" t="e">
        <f>SUM((MIN(GETPIVOTDATA("INSP_DATE",'D PIVOT'!$A$3,"SYS_CODE","W","INSP_NO",406,"EI_ID",A24),(GETPIVOTDATA("INSP_DATE",'D PIVOT'!$A$3,"SYS_CODE","W","INSP_NO",407,"EI_ID",A24)))+90))</f>
        <v>#REF!</v>
      </c>
      <c r="M22" s="433" t="e">
        <f>SUM((GETPIVOTDATA("INSP_VAL",'H PIVOT'!$A$3,"SYS_CODE","W","INSP_NO",211,"EI_ID",A24)+100)-E22)</f>
        <v>#REF!</v>
      </c>
      <c r="N22" s="436" t="e">
        <f>SUM(GETPIVOTDATA("INSP_DATE",'D PIVOT'!$A$3,"SYS_CODE","W","INSP_NO",405,"EI_ID",A24)+180)</f>
        <v>#REF!</v>
      </c>
      <c r="O22" s="436" t="e">
        <f>DATE(YEAR(AR7),MONTH(AR7)+12,DAY(AR7))</f>
        <v>#REF!</v>
      </c>
      <c r="P22" s="439" t="e">
        <f>DATE(YEAR(AS7),MONTH(AS7)+12,DAY(AS7))</f>
        <v>#REF!</v>
      </c>
    </row>
    <row r="23" spans="1:16" ht="23.25" customHeight="1">
      <c r="A23" s="455"/>
      <c r="B23" s="457"/>
      <c r="C23" s="459"/>
      <c r="D23" s="291" t="str">
        <f>STATUS!D26</f>
        <v>2 HML</v>
      </c>
      <c r="E23" s="434"/>
      <c r="F23" s="431"/>
      <c r="G23" s="434"/>
      <c r="H23" s="434"/>
      <c r="I23" s="451"/>
      <c r="J23" s="451"/>
      <c r="K23" s="451"/>
      <c r="L23" s="451"/>
      <c r="M23" s="434"/>
      <c r="N23" s="437"/>
      <c r="O23" s="437"/>
      <c r="P23" s="440"/>
    </row>
    <row r="24" spans="1:16" ht="23.25" customHeight="1" thickBot="1">
      <c r="A24" s="286">
        <f>STATUS!A27</f>
        <v>0</v>
      </c>
      <c r="B24" s="453" t="e">
        <f>STATUS!B27</f>
        <v>#N/A</v>
      </c>
      <c r="C24" s="453"/>
      <c r="D24" s="292">
        <f>STATUS!D27</f>
        <v>0</v>
      </c>
      <c r="E24" s="435"/>
      <c r="F24" s="432"/>
      <c r="G24" s="435"/>
      <c r="H24" s="435"/>
      <c r="I24" s="452"/>
      <c r="J24" s="452"/>
      <c r="K24" s="452"/>
      <c r="L24" s="452"/>
      <c r="M24" s="435"/>
      <c r="N24" s="438"/>
      <c r="O24" s="438"/>
      <c r="P24" s="441"/>
    </row>
    <row r="25" spans="1:16" ht="23.25" customHeight="1" thickTop="1">
      <c r="A25" s="454">
        <f>STATUS!A28</f>
        <v>0</v>
      </c>
      <c r="B25" s="456"/>
      <c r="C25" s="458" t="str">
        <f>STATUS!C28</f>
        <v>Y</v>
      </c>
      <c r="D25" s="287">
        <f>STATUS!D28</f>
        <v>0</v>
      </c>
      <c r="E25" s="433" t="e">
        <f>STATUS!E28</f>
        <v>#REF!</v>
      </c>
      <c r="F25" s="430" t="e">
        <f>GETPIVOTDATA("CURR_RNDS",Rounds!$A$3,"EI_ID",A27)</f>
        <v>#REF!</v>
      </c>
      <c r="G25" s="433" t="e">
        <f>VLOOKUP(A27,Table__10.2.1.2_1_4AHB_EIACFT[],38,FALSE)</f>
        <v>#N/A</v>
      </c>
      <c r="H25" s="433" t="e">
        <f>VLOOKUP(A27,Table__10.2.1.2_1_4AHB_EIACFT[],37,FALSE)</f>
        <v>#N/A</v>
      </c>
      <c r="I25" s="450" t="e">
        <f>SUM(GETPIVOTDATA("INSP_DATE",'D PIVOT'!$A$3,"SYS_CODE","W","INSP_NO",401,"EI_ID",A27)+14)</f>
        <v>#REF!</v>
      </c>
      <c r="J25" s="450" t="e">
        <f>SUM(GETPIVOTDATA("INSP_DATE",'D PIVOT'!$A$3,"SYS_CODE","W","INSP_NO",250,"EI_ID",A27)+30)</f>
        <v>#REF!</v>
      </c>
      <c r="K25" s="450" t="e">
        <f>SUM(GETPIVOTDATA("INSP_DATE",'D PIVOT'!$A$3,"SYS_CODE","A","INSP_NO",102,"EI_ID",A27)+30)</f>
        <v>#REF!</v>
      </c>
      <c r="L25" s="450" t="e">
        <f>SUM((MIN(GETPIVOTDATA("INSP_DATE",'D PIVOT'!$A$3,"SYS_CODE","W","INSP_NO",406,"EI_ID",A27),(GETPIVOTDATA("INSP_DATE",'D PIVOT'!$A$3,"SYS_CODE","W","INSP_NO",407,"EI_ID",A27)))+90))</f>
        <v>#REF!</v>
      </c>
      <c r="M25" s="433" t="e">
        <f>SUM((GETPIVOTDATA("INSP_VAL",'H PIVOT'!$A$3,"SYS_CODE","W","INSP_NO",211,"EI_ID",A27)+100)-E25)</f>
        <v>#REF!</v>
      </c>
      <c r="N25" s="436" t="e">
        <f>SUM(GETPIVOTDATA("INSP_DATE",'D PIVOT'!$A$3,"SYS_CODE","W","INSP_NO",405,"EI_ID",A27)+180)</f>
        <v>#REF!</v>
      </c>
      <c r="O25" s="436" t="e">
        <f>DATE(YEAR(AR7),MONTH(AR7)+12,DAY(AR7))</f>
        <v>#REF!</v>
      </c>
      <c r="P25" s="439" t="e">
        <f>DATE(YEAR(AS7),MONTH(AS7)+12,DAY(AS7))</f>
        <v>#REF!</v>
      </c>
    </row>
    <row r="26" spans="1:16" ht="23.25" customHeight="1">
      <c r="A26" s="455"/>
      <c r="B26" s="457"/>
      <c r="C26" s="459"/>
      <c r="D26" s="291">
        <f>STATUS!D29</f>
        <v>0</v>
      </c>
      <c r="E26" s="434"/>
      <c r="F26" s="431"/>
      <c r="G26" s="434"/>
      <c r="H26" s="434"/>
      <c r="I26" s="451"/>
      <c r="J26" s="451"/>
      <c r="K26" s="451"/>
      <c r="L26" s="451"/>
      <c r="M26" s="434"/>
      <c r="N26" s="437"/>
      <c r="O26" s="437"/>
      <c r="P26" s="440"/>
    </row>
    <row r="27" spans="1:16" ht="24" customHeight="1" thickBot="1">
      <c r="A27" s="286">
        <f>STATUS!A30</f>
        <v>0</v>
      </c>
      <c r="B27" s="453" t="e">
        <f>STATUS!B30</f>
        <v>#N/A</v>
      </c>
      <c r="C27" s="453"/>
      <c r="D27" s="292">
        <f>STATUS!D30</f>
        <v>0</v>
      </c>
      <c r="E27" s="435"/>
      <c r="F27" s="432"/>
      <c r="G27" s="435"/>
      <c r="H27" s="435"/>
      <c r="I27" s="452"/>
      <c r="J27" s="452"/>
      <c r="K27" s="452"/>
      <c r="L27" s="452"/>
      <c r="M27" s="435"/>
      <c r="N27" s="438"/>
      <c r="O27" s="438"/>
      <c r="P27" s="441"/>
    </row>
    <row r="28" spans="1:16" ht="13.5" thickTop="1"/>
  </sheetData>
  <mergeCells count="146">
    <mergeCell ref="L4:L6"/>
    <mergeCell ref="M4:M6"/>
    <mergeCell ref="B6:C6"/>
    <mergeCell ref="A7:A8"/>
    <mergeCell ref="B7:B8"/>
    <mergeCell ref="C7:C8"/>
    <mergeCell ref="E7:E9"/>
    <mergeCell ref="I7:I9"/>
    <mergeCell ref="J7:J9"/>
    <mergeCell ref="A4:A5"/>
    <mergeCell ref="B4:B5"/>
    <mergeCell ref="C4:C5"/>
    <mergeCell ref="E4:E6"/>
    <mergeCell ref="I4:I6"/>
    <mergeCell ref="J4:J6"/>
    <mergeCell ref="F4:F6"/>
    <mergeCell ref="G4:G6"/>
    <mergeCell ref="H4:H6"/>
    <mergeCell ref="A16:A17"/>
    <mergeCell ref="B16:B17"/>
    <mergeCell ref="C16:C17"/>
    <mergeCell ref="E16:E18"/>
    <mergeCell ref="I16:I18"/>
    <mergeCell ref="J16:J18"/>
    <mergeCell ref="K10:K12"/>
    <mergeCell ref="L10:L12"/>
    <mergeCell ref="M10:M12"/>
    <mergeCell ref="B12:C12"/>
    <mergeCell ref="A13:A14"/>
    <mergeCell ref="B13:B14"/>
    <mergeCell ref="C13:C14"/>
    <mergeCell ref="E13:E15"/>
    <mergeCell ref="I13:I15"/>
    <mergeCell ref="J13:J15"/>
    <mergeCell ref="A10:A11"/>
    <mergeCell ref="B10:B11"/>
    <mergeCell ref="C10:C11"/>
    <mergeCell ref="E10:E12"/>
    <mergeCell ref="I10:I12"/>
    <mergeCell ref="J10:J12"/>
    <mergeCell ref="A25:A26"/>
    <mergeCell ref="B25:B26"/>
    <mergeCell ref="C25:C26"/>
    <mergeCell ref="E25:E27"/>
    <mergeCell ref="I25:I27"/>
    <mergeCell ref="J25:J27"/>
    <mergeCell ref="K19:K21"/>
    <mergeCell ref="L19:L21"/>
    <mergeCell ref="M19:M21"/>
    <mergeCell ref="B21:C21"/>
    <mergeCell ref="A22:A23"/>
    <mergeCell ref="B22:B23"/>
    <mergeCell ref="C22:C23"/>
    <mergeCell ref="E22:E24"/>
    <mergeCell ref="I22:I24"/>
    <mergeCell ref="J22:J24"/>
    <mergeCell ref="A19:A20"/>
    <mergeCell ref="B19:B20"/>
    <mergeCell ref="C19:C20"/>
    <mergeCell ref="E19:E21"/>
    <mergeCell ref="I19:I21"/>
    <mergeCell ref="J19:J21"/>
    <mergeCell ref="B1:B2"/>
    <mergeCell ref="C1:C2"/>
    <mergeCell ref="D1:D2"/>
    <mergeCell ref="K25:K27"/>
    <mergeCell ref="L25:L27"/>
    <mergeCell ref="M25:M27"/>
    <mergeCell ref="B27:C27"/>
    <mergeCell ref="K22:K24"/>
    <mergeCell ref="L22:L24"/>
    <mergeCell ref="M22:M24"/>
    <mergeCell ref="B24:C24"/>
    <mergeCell ref="K16:K18"/>
    <mergeCell ref="L16:L18"/>
    <mergeCell ref="M16:M18"/>
    <mergeCell ref="B18:C18"/>
    <mergeCell ref="K13:K15"/>
    <mergeCell ref="L13:L15"/>
    <mergeCell ref="M13:M15"/>
    <mergeCell ref="B15:C15"/>
    <mergeCell ref="K7:K9"/>
    <mergeCell ref="L7:L9"/>
    <mergeCell ref="M7:M9"/>
    <mergeCell ref="B9:C9"/>
    <mergeCell ref="K4:K6"/>
    <mergeCell ref="N1:N2"/>
    <mergeCell ref="O1:O2"/>
    <mergeCell ref="P1:P2"/>
    <mergeCell ref="Q1:Q2"/>
    <mergeCell ref="R1:R2"/>
    <mergeCell ref="S1:S2"/>
    <mergeCell ref="E1:E2"/>
    <mergeCell ref="I1:I2"/>
    <mergeCell ref="J1:J2"/>
    <mergeCell ref="K1:K2"/>
    <mergeCell ref="L1:L2"/>
    <mergeCell ref="M1:M2"/>
    <mergeCell ref="F1:F2"/>
    <mergeCell ref="G1:G2"/>
    <mergeCell ref="H1:H2"/>
    <mergeCell ref="N10:N12"/>
    <mergeCell ref="O10:O12"/>
    <mergeCell ref="P10:P12"/>
    <mergeCell ref="N13:N15"/>
    <mergeCell ref="O13:O15"/>
    <mergeCell ref="P13:P15"/>
    <mergeCell ref="N4:N6"/>
    <mergeCell ref="O4:O6"/>
    <mergeCell ref="P4:P6"/>
    <mergeCell ref="N7:N9"/>
    <mergeCell ref="O7:O9"/>
    <mergeCell ref="P7:P9"/>
    <mergeCell ref="N22:N24"/>
    <mergeCell ref="O22:O24"/>
    <mergeCell ref="P22:P24"/>
    <mergeCell ref="N25:N27"/>
    <mergeCell ref="O25:O27"/>
    <mergeCell ref="P25:P27"/>
    <mergeCell ref="N16:N18"/>
    <mergeCell ref="O16:O18"/>
    <mergeCell ref="P16:P18"/>
    <mergeCell ref="N19:N21"/>
    <mergeCell ref="O19:O21"/>
    <mergeCell ref="P19:P21"/>
    <mergeCell ref="F7:F9"/>
    <mergeCell ref="G7:G9"/>
    <mergeCell ref="H7:H9"/>
    <mergeCell ref="F10:F12"/>
    <mergeCell ref="F13:F15"/>
    <mergeCell ref="F16:F18"/>
    <mergeCell ref="G13:G15"/>
    <mergeCell ref="G10:G12"/>
    <mergeCell ref="H10:H12"/>
    <mergeCell ref="H13:H15"/>
    <mergeCell ref="F25:F27"/>
    <mergeCell ref="G25:G27"/>
    <mergeCell ref="H25:H27"/>
    <mergeCell ref="G16:G18"/>
    <mergeCell ref="H16:H18"/>
    <mergeCell ref="F19:F21"/>
    <mergeCell ref="G19:G21"/>
    <mergeCell ref="H19:H21"/>
    <mergeCell ref="F22:F24"/>
    <mergeCell ref="G22:G24"/>
    <mergeCell ref="H22:H24"/>
  </mergeCells>
  <conditionalFormatting sqref="C4:C5 C7:C8 C10:C11 C13:C14 C16:C17 C19:C20 C22:C23 C25:C26">
    <cfRule type="containsText" dxfId="83" priority="1" operator="containsText" text="N">
      <formula>NOT(ISERROR(SEARCH("N",C4)))</formula>
    </cfRule>
  </conditionalFormatting>
  <conditionalFormatting sqref="B25:C26 B22:C23 B19:C20 B16:C17 B13:C14 B10:C11 B7:C8 B4:C5">
    <cfRule type="containsText" dxfId="82" priority="6" operator="containsText" text="F">
      <formula>NOT(ISERROR(SEARCH("F",B4)))</formula>
    </cfRule>
  </conditionalFormatting>
  <conditionalFormatting sqref="B9:C9 B12:C12 B15:C15 B18:C18 B21:C21 B24:C24 B27:C27 B6:C6">
    <cfRule type="cellIs" dxfId="81" priority="5" operator="lessThanOrEqual">
      <formula>$C$3-0.5</formula>
    </cfRule>
  </conditionalFormatting>
  <dataValidations count="2">
    <dataValidation type="list" allowBlank="1" showInputMessage="1" showErrorMessage="1" sqref="B7:B8 B25:B26 B22:B23 B19:B20 B16:B17 B13:B14 B10:B11">
      <formula1>FLOW!P4:P8</formula1>
    </dataValidation>
    <dataValidation type="list" allowBlank="1" showInputMessage="1" showErrorMessage="1" sqref="C4:C5 C25:C26 C22:C23 C19:C20 C16:C17 C13:C14 C10:C11 C7:C8">
      <formula1>FLOW!Q4:Q5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E7"/>
  <sheetViews>
    <sheetView workbookViewId="0">
      <selection activeCell="D2" sqref="D2"/>
    </sheetView>
  </sheetViews>
  <sheetFormatPr defaultRowHeight="12.75"/>
  <sheetData>
    <row r="1" spans="1:5" ht="15">
      <c r="A1" s="283" t="s">
        <v>1173</v>
      </c>
      <c r="B1" s="282">
        <v>500</v>
      </c>
      <c r="C1" s="282">
        <v>500</v>
      </c>
      <c r="D1" s="282">
        <f t="shared" ref="D1:D7" si="0">-(C1-B1)</f>
        <v>0</v>
      </c>
      <c r="E1" s="135" t="s">
        <v>1171</v>
      </c>
    </row>
    <row r="2" spans="1:5">
      <c r="A2" s="135" t="s">
        <v>1060</v>
      </c>
      <c r="B2" s="282">
        <f>STATUS!J7</f>
        <v>396.90009259259296</v>
      </c>
      <c r="C2" s="282">
        <f>C6*5</f>
        <v>416.66666666666652</v>
      </c>
      <c r="D2" s="282">
        <f t="shared" si="0"/>
        <v>-19.76657407407356</v>
      </c>
      <c r="E2" s="135" t="s">
        <v>1171</v>
      </c>
    </row>
    <row r="3" spans="1:5">
      <c r="A3" s="284" t="s">
        <v>1174</v>
      </c>
      <c r="B3" s="282">
        <v>340.9</v>
      </c>
      <c r="C3" s="282">
        <f>C6*4</f>
        <v>333.3333333333332</v>
      </c>
      <c r="D3" s="282">
        <f t="shared" si="0"/>
        <v>7.5666666666667766</v>
      </c>
      <c r="E3" s="135" t="s">
        <v>1172</v>
      </c>
    </row>
    <row r="4" spans="1:5">
      <c r="A4" s="285" t="s">
        <v>1059</v>
      </c>
      <c r="B4" s="282">
        <f>STATUS!J13</f>
        <v>345.2001967592596</v>
      </c>
      <c r="C4" s="282">
        <f>C6*3</f>
        <v>249.99999999999989</v>
      </c>
      <c r="D4" s="282">
        <f t="shared" si="0"/>
        <v>95.200196759259711</v>
      </c>
      <c r="E4" s="135" t="s">
        <v>1171</v>
      </c>
    </row>
    <row r="5" spans="1:5">
      <c r="A5" s="135" t="s">
        <v>1175</v>
      </c>
      <c r="B5" s="282">
        <v>188.5</v>
      </c>
      <c r="C5" s="282">
        <f>C6*2</f>
        <v>166.6666666666666</v>
      </c>
      <c r="D5" s="282">
        <f t="shared" si="0"/>
        <v>21.8333333333334</v>
      </c>
      <c r="E5" s="135" t="s">
        <v>1172</v>
      </c>
    </row>
    <row r="6" spans="1:5">
      <c r="A6" s="135" t="s">
        <v>1058</v>
      </c>
      <c r="B6" s="282">
        <f>STATUS!J10</f>
        <v>172.20009259259268</v>
      </c>
      <c r="C6" s="282">
        <v>83.3333333333333</v>
      </c>
      <c r="D6" s="282">
        <f t="shared" si="0"/>
        <v>88.866759259259382</v>
      </c>
      <c r="E6" s="135" t="s">
        <v>1171</v>
      </c>
    </row>
    <row r="7" spans="1:5">
      <c r="A7" s="135" t="s">
        <v>1176</v>
      </c>
      <c r="B7" s="282">
        <v>108.7</v>
      </c>
      <c r="C7" s="282">
        <v>0</v>
      </c>
      <c r="D7" s="282">
        <f t="shared" si="0"/>
        <v>108.7</v>
      </c>
      <c r="E7" s="135" t="s">
        <v>1172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V55653"/>
  <sheetViews>
    <sheetView topLeftCell="J55626" workbookViewId="0">
      <selection activeCell="Q1" sqref="Q1:Q1048576"/>
    </sheetView>
  </sheetViews>
  <sheetFormatPr defaultRowHeight="12.75"/>
  <cols>
    <col min="1" max="1" width="21" bestFit="1" customWidth="1"/>
    <col min="2" max="2" width="9" customWidth="1"/>
    <col min="3" max="3" width="14.140625" bestFit="1" customWidth="1"/>
    <col min="4" max="4" width="8.85546875" bestFit="1" customWidth="1"/>
    <col min="5" max="5" width="8" style="278" customWidth="1"/>
    <col min="6" max="6" width="8" style="96" customWidth="1"/>
    <col min="7" max="7" width="9.5703125" style="96" bestFit="1" customWidth="1"/>
    <col min="8" max="8" width="9.85546875" style="96" bestFit="1" customWidth="1"/>
    <col min="9" max="9" width="9.7109375" style="96" bestFit="1" customWidth="1"/>
    <col min="10" max="10" width="15.7109375" style="96" bestFit="1" customWidth="1"/>
    <col min="11" max="11" width="14.7109375" style="96" bestFit="1" customWidth="1"/>
    <col min="12" max="13" width="16.42578125" style="96" bestFit="1" customWidth="1"/>
    <col min="14" max="14" width="14.42578125" style="96" bestFit="1" customWidth="1"/>
    <col min="15" max="15" width="11.28515625" style="96" customWidth="1"/>
    <col min="16" max="16" width="9.140625" style="96" customWidth="1"/>
    <col min="17" max="17" width="8.5703125" style="96" customWidth="1"/>
    <col min="18" max="18" width="15" bestFit="1" customWidth="1"/>
  </cols>
  <sheetData>
    <row r="1" spans="1:18">
      <c r="A1" s="110" t="s">
        <v>656</v>
      </c>
      <c r="B1" t="s">
        <v>657</v>
      </c>
      <c r="C1" t="s">
        <v>14</v>
      </c>
      <c r="D1" t="s">
        <v>18</v>
      </c>
      <c r="E1" s="278" t="s">
        <v>658</v>
      </c>
      <c r="F1" s="96" t="s">
        <v>4</v>
      </c>
      <c r="G1" s="96" t="s">
        <v>1</v>
      </c>
      <c r="H1" s="96" t="s">
        <v>0</v>
      </c>
      <c r="I1" s="96" t="s">
        <v>2</v>
      </c>
      <c r="J1" s="96" t="s">
        <v>659</v>
      </c>
      <c r="K1" s="96" t="s">
        <v>660</v>
      </c>
      <c r="L1" s="96" t="s">
        <v>661</v>
      </c>
      <c r="M1" s="96" t="s">
        <v>662</v>
      </c>
      <c r="N1" s="96" t="s">
        <v>56</v>
      </c>
      <c r="O1" s="96" t="s">
        <v>706</v>
      </c>
      <c r="P1" s="96" t="s">
        <v>1158</v>
      </c>
      <c r="Q1" s="96" t="s">
        <v>1159</v>
      </c>
      <c r="R1" t="s">
        <v>673</v>
      </c>
    </row>
    <row r="2" spans="1:18">
      <c r="A2">
        <v>41713</v>
      </c>
      <c r="B2" t="s">
        <v>768</v>
      </c>
      <c r="C2" t="s">
        <v>25</v>
      </c>
      <c r="D2" t="s">
        <v>748</v>
      </c>
      <c r="E2" s="278">
        <v>1</v>
      </c>
      <c r="F2" s="96">
        <v>24</v>
      </c>
      <c r="G2" s="96">
        <v>0</v>
      </c>
      <c r="H2" s="96">
        <v>0</v>
      </c>
      <c r="I2" s="96">
        <v>0</v>
      </c>
      <c r="J2" s="96">
        <v>0</v>
      </c>
      <c r="K2" s="96">
        <v>0</v>
      </c>
      <c r="L2" s="96">
        <v>0</v>
      </c>
      <c r="M2" s="96">
        <v>0</v>
      </c>
      <c r="N2" s="96">
        <v>0</v>
      </c>
      <c r="O2" s="96">
        <f>IF(Table__10.2.1.2_1_4AHB_READ_DAILY[[#This Row],[PER_DATE]]&gt;SUM(V54196-30), Table__10.2.1.2_1_4AHB_READ_DAILY[[#This Row],[FLY_HOURS]],0)</f>
        <v>0</v>
      </c>
      <c r="P2" s="96">
        <f ca="1">IF(AND(Table__10.2.1.2_1_4AHB_READ_DAILY[[#This Row],[PER_DATE]]&gt;SUM(V54196-30), Table__10.2.1.2_1_4AHB_READ_DAILY[[#This Row],[PER_DATE]]&lt;SUM(TODAY()+1)),Table__10.2.1.2_1_4AHB_READ_DAILY[[#This Row],[FMC]],0)</f>
        <v>24</v>
      </c>
      <c r="Q2" s="96">
        <f ca="1">IF(AND(Table__10.2.1.2_1_4AHB_READ_DAILY[[#This Row],[PER_DATE]]&gt;SUM(V54196-30), Table__10.2.1.2_1_4AHB_READ_DAILY[[#This Row],[PER_DATE]]&lt;SUM(TODAY()+1)),24,0)</f>
        <v>24</v>
      </c>
      <c r="R2">
        <v>41699</v>
      </c>
    </row>
    <row r="3" spans="1:18">
      <c r="A3">
        <v>41713</v>
      </c>
      <c r="B3" t="s">
        <v>768</v>
      </c>
      <c r="C3" t="s">
        <v>25</v>
      </c>
      <c r="D3" t="s">
        <v>750</v>
      </c>
      <c r="E3" s="278">
        <v>1</v>
      </c>
      <c r="F3" s="96">
        <v>0</v>
      </c>
      <c r="G3" s="96">
        <v>0</v>
      </c>
      <c r="H3" s="96">
        <v>0</v>
      </c>
      <c r="I3" s="96">
        <v>0</v>
      </c>
      <c r="J3" s="96">
        <v>0</v>
      </c>
      <c r="K3" s="96">
        <v>0</v>
      </c>
      <c r="L3" s="96">
        <v>24</v>
      </c>
      <c r="M3" s="96">
        <v>0</v>
      </c>
      <c r="N3" s="96">
        <v>0</v>
      </c>
      <c r="O3" s="96">
        <f>IF(Table__10.2.1.2_1_4AHB_READ_DAILY[[#This Row],[PER_DATE]]&gt;SUM(V54197-30), Table__10.2.1.2_1_4AHB_READ_DAILY[[#This Row],[FLY_HOURS]],0)</f>
        <v>0</v>
      </c>
      <c r="P3" s="96">
        <f ca="1">IF(AND(Table__10.2.1.2_1_4AHB_READ_DAILY[[#This Row],[PER_DATE]]&gt;SUM(V54197-30), Table__10.2.1.2_1_4AHB_READ_DAILY[[#This Row],[PER_DATE]]&lt;SUM(TODAY()+1)),Table__10.2.1.2_1_4AHB_READ_DAILY[[#This Row],[FMC]],0)</f>
        <v>0</v>
      </c>
      <c r="Q3" s="96">
        <f ca="1">IF(AND(Table__10.2.1.2_1_4AHB_READ_DAILY[[#This Row],[PER_DATE]]&gt;SUM(V54197-30), Table__10.2.1.2_1_4AHB_READ_DAILY[[#This Row],[PER_DATE]]&lt;SUM(TODAY()+1)),24,0)</f>
        <v>24</v>
      </c>
      <c r="R3">
        <v>41699</v>
      </c>
    </row>
    <row r="4" spans="1:18">
      <c r="A4">
        <v>41713</v>
      </c>
      <c r="B4" t="s">
        <v>768</v>
      </c>
      <c r="C4" t="s">
        <v>25</v>
      </c>
      <c r="D4" t="s">
        <v>752</v>
      </c>
      <c r="E4" s="278">
        <v>1</v>
      </c>
      <c r="F4" s="96">
        <v>24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0</v>
      </c>
      <c r="N4" s="96">
        <v>0</v>
      </c>
      <c r="O4" s="96">
        <f>IF(Table__10.2.1.2_1_4AHB_READ_DAILY[[#This Row],[PER_DATE]]&gt;SUM(V54198-30), Table__10.2.1.2_1_4AHB_READ_DAILY[[#This Row],[FLY_HOURS]],0)</f>
        <v>0</v>
      </c>
      <c r="P4" s="96">
        <f ca="1">IF(AND(Table__10.2.1.2_1_4AHB_READ_DAILY[[#This Row],[PER_DATE]]&gt;SUM(V54198-30), Table__10.2.1.2_1_4AHB_READ_DAILY[[#This Row],[PER_DATE]]&lt;SUM(TODAY()+1)),Table__10.2.1.2_1_4AHB_READ_DAILY[[#This Row],[FMC]],0)</f>
        <v>24</v>
      </c>
      <c r="Q4" s="96">
        <f ca="1">IF(AND(Table__10.2.1.2_1_4AHB_READ_DAILY[[#This Row],[PER_DATE]]&gt;SUM(V54198-30), Table__10.2.1.2_1_4AHB_READ_DAILY[[#This Row],[PER_DATE]]&lt;SUM(TODAY()+1)),24,0)</f>
        <v>24</v>
      </c>
      <c r="R4">
        <v>41699</v>
      </c>
    </row>
    <row r="5" spans="1:18">
      <c r="A5">
        <v>41713</v>
      </c>
      <c r="B5" t="s">
        <v>768</v>
      </c>
      <c r="C5" t="s">
        <v>25</v>
      </c>
      <c r="D5" t="s">
        <v>748</v>
      </c>
      <c r="E5" s="278">
        <v>2</v>
      </c>
      <c r="F5" s="96">
        <v>24</v>
      </c>
      <c r="G5" s="96">
        <v>0</v>
      </c>
      <c r="H5" s="96">
        <v>0</v>
      </c>
      <c r="I5" s="96">
        <v>0</v>
      </c>
      <c r="J5" s="96">
        <v>0</v>
      </c>
      <c r="K5" s="96">
        <v>0</v>
      </c>
      <c r="L5" s="96">
        <v>0</v>
      </c>
      <c r="M5" s="96">
        <v>0</v>
      </c>
      <c r="N5" s="96">
        <v>0</v>
      </c>
      <c r="O5" s="96">
        <f>IF(Table__10.2.1.2_1_4AHB_READ_DAILY[[#This Row],[PER_DATE]]&gt;SUM(V54199-30), Table__10.2.1.2_1_4AHB_READ_DAILY[[#This Row],[FLY_HOURS]],0)</f>
        <v>0</v>
      </c>
      <c r="P5" s="96">
        <f ca="1">IF(AND(Table__10.2.1.2_1_4AHB_READ_DAILY[[#This Row],[PER_DATE]]&gt;SUM(V54199-30), Table__10.2.1.2_1_4AHB_READ_DAILY[[#This Row],[PER_DATE]]&lt;SUM(TODAY()+1)),Table__10.2.1.2_1_4AHB_READ_DAILY[[#This Row],[FMC]],0)</f>
        <v>24</v>
      </c>
      <c r="Q5" s="96">
        <f ca="1">IF(AND(Table__10.2.1.2_1_4AHB_READ_DAILY[[#This Row],[PER_DATE]]&gt;SUM(V54199-30), Table__10.2.1.2_1_4AHB_READ_DAILY[[#This Row],[PER_DATE]]&lt;SUM(TODAY()+1)),24,0)</f>
        <v>24</v>
      </c>
      <c r="R5">
        <v>41700</v>
      </c>
    </row>
    <row r="6" spans="1:18">
      <c r="A6">
        <v>41713</v>
      </c>
      <c r="B6" t="s">
        <v>768</v>
      </c>
      <c r="C6" t="s">
        <v>25</v>
      </c>
      <c r="D6" t="s">
        <v>750</v>
      </c>
      <c r="E6" s="278">
        <v>2</v>
      </c>
      <c r="F6" s="96">
        <v>0</v>
      </c>
      <c r="G6" s="96">
        <v>0</v>
      </c>
      <c r="H6" s="96">
        <v>0</v>
      </c>
      <c r="I6" s="96">
        <v>0</v>
      </c>
      <c r="J6" s="96">
        <v>0</v>
      </c>
      <c r="K6" s="96">
        <v>0</v>
      </c>
      <c r="L6" s="96">
        <v>24</v>
      </c>
      <c r="M6" s="96">
        <v>0</v>
      </c>
      <c r="N6" s="96">
        <v>0</v>
      </c>
      <c r="O6" s="96">
        <f>IF(Table__10.2.1.2_1_4AHB_READ_DAILY[[#This Row],[PER_DATE]]&gt;SUM(V54200-30), Table__10.2.1.2_1_4AHB_READ_DAILY[[#This Row],[FLY_HOURS]],0)</f>
        <v>0</v>
      </c>
      <c r="P6" s="96">
        <f ca="1">IF(AND(Table__10.2.1.2_1_4AHB_READ_DAILY[[#This Row],[PER_DATE]]&gt;SUM(V54200-30), Table__10.2.1.2_1_4AHB_READ_DAILY[[#This Row],[PER_DATE]]&lt;SUM(TODAY()+1)),Table__10.2.1.2_1_4AHB_READ_DAILY[[#This Row],[FMC]],0)</f>
        <v>0</v>
      </c>
      <c r="Q6" s="96">
        <f ca="1">IF(AND(Table__10.2.1.2_1_4AHB_READ_DAILY[[#This Row],[PER_DATE]]&gt;SUM(V54200-30), Table__10.2.1.2_1_4AHB_READ_DAILY[[#This Row],[PER_DATE]]&lt;SUM(TODAY()+1)),24,0)</f>
        <v>24</v>
      </c>
      <c r="R6">
        <v>41700</v>
      </c>
    </row>
    <row r="7" spans="1:18">
      <c r="A7">
        <v>41713</v>
      </c>
      <c r="B7" t="s">
        <v>768</v>
      </c>
      <c r="C7" t="s">
        <v>25</v>
      </c>
      <c r="D7" t="s">
        <v>752</v>
      </c>
      <c r="E7" s="278">
        <v>2</v>
      </c>
      <c r="F7" s="96">
        <v>24</v>
      </c>
      <c r="G7" s="96">
        <v>0</v>
      </c>
      <c r="H7" s="96">
        <v>0</v>
      </c>
      <c r="I7" s="96">
        <v>0</v>
      </c>
      <c r="J7" s="96">
        <v>0</v>
      </c>
      <c r="K7" s="96">
        <v>0</v>
      </c>
      <c r="L7" s="96">
        <v>0</v>
      </c>
      <c r="M7" s="96">
        <v>0</v>
      </c>
      <c r="N7" s="96">
        <v>0</v>
      </c>
      <c r="O7" s="96">
        <f>IF(Table__10.2.1.2_1_4AHB_READ_DAILY[[#This Row],[PER_DATE]]&gt;SUM(V54201-30), Table__10.2.1.2_1_4AHB_READ_DAILY[[#This Row],[FLY_HOURS]],0)</f>
        <v>0</v>
      </c>
      <c r="P7" s="96">
        <f ca="1">IF(AND(Table__10.2.1.2_1_4AHB_READ_DAILY[[#This Row],[PER_DATE]]&gt;SUM(V54201-30), Table__10.2.1.2_1_4AHB_READ_DAILY[[#This Row],[PER_DATE]]&lt;SUM(TODAY()+1)),Table__10.2.1.2_1_4AHB_READ_DAILY[[#This Row],[FMC]],0)</f>
        <v>24</v>
      </c>
      <c r="Q7" s="96">
        <f ca="1">IF(AND(Table__10.2.1.2_1_4AHB_READ_DAILY[[#This Row],[PER_DATE]]&gt;SUM(V54201-30), Table__10.2.1.2_1_4AHB_READ_DAILY[[#This Row],[PER_DATE]]&lt;SUM(TODAY()+1)),24,0)</f>
        <v>24</v>
      </c>
      <c r="R7">
        <v>41700</v>
      </c>
    </row>
    <row r="8" spans="1:18">
      <c r="A8">
        <v>41713</v>
      </c>
      <c r="B8" t="s">
        <v>768</v>
      </c>
      <c r="C8" t="s">
        <v>25</v>
      </c>
      <c r="D8" t="s">
        <v>748</v>
      </c>
      <c r="E8" s="278">
        <v>3</v>
      </c>
      <c r="F8" s="96">
        <v>24</v>
      </c>
      <c r="G8" s="96">
        <v>0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6">
        <f>IF(Table__10.2.1.2_1_4AHB_READ_DAILY[[#This Row],[PER_DATE]]&gt;SUM(V54202-30), Table__10.2.1.2_1_4AHB_READ_DAILY[[#This Row],[FLY_HOURS]],0)</f>
        <v>0</v>
      </c>
      <c r="P8" s="96">
        <f ca="1">IF(AND(Table__10.2.1.2_1_4AHB_READ_DAILY[[#This Row],[PER_DATE]]&gt;SUM(V54202-30), Table__10.2.1.2_1_4AHB_READ_DAILY[[#This Row],[PER_DATE]]&lt;SUM(TODAY()+1)),Table__10.2.1.2_1_4AHB_READ_DAILY[[#This Row],[FMC]],0)</f>
        <v>24</v>
      </c>
      <c r="Q8" s="96">
        <f ca="1">IF(AND(Table__10.2.1.2_1_4AHB_READ_DAILY[[#This Row],[PER_DATE]]&gt;SUM(V54202-30), Table__10.2.1.2_1_4AHB_READ_DAILY[[#This Row],[PER_DATE]]&lt;SUM(TODAY()+1)),24,0)</f>
        <v>24</v>
      </c>
      <c r="R8">
        <v>41701</v>
      </c>
    </row>
    <row r="9" spans="1:18">
      <c r="A9">
        <v>41713</v>
      </c>
      <c r="B9" t="s">
        <v>768</v>
      </c>
      <c r="C9" t="s">
        <v>25</v>
      </c>
      <c r="D9" t="s">
        <v>750</v>
      </c>
      <c r="E9" s="278">
        <v>3</v>
      </c>
      <c r="F9" s="96">
        <v>0</v>
      </c>
      <c r="G9" s="96">
        <v>0</v>
      </c>
      <c r="H9" s="96">
        <v>0</v>
      </c>
      <c r="I9" s="96">
        <v>0</v>
      </c>
      <c r="J9" s="96">
        <v>0</v>
      </c>
      <c r="K9" s="96">
        <v>0</v>
      </c>
      <c r="L9" s="96">
        <v>24</v>
      </c>
      <c r="M9" s="96">
        <v>0</v>
      </c>
      <c r="N9" s="96">
        <v>0</v>
      </c>
      <c r="O9" s="96">
        <f>IF(Table__10.2.1.2_1_4AHB_READ_DAILY[[#This Row],[PER_DATE]]&gt;SUM(V54203-30), Table__10.2.1.2_1_4AHB_READ_DAILY[[#This Row],[FLY_HOURS]],0)</f>
        <v>0</v>
      </c>
      <c r="P9" s="96">
        <f ca="1">IF(AND(Table__10.2.1.2_1_4AHB_READ_DAILY[[#This Row],[PER_DATE]]&gt;SUM(V54203-30), Table__10.2.1.2_1_4AHB_READ_DAILY[[#This Row],[PER_DATE]]&lt;SUM(TODAY()+1)),Table__10.2.1.2_1_4AHB_READ_DAILY[[#This Row],[FMC]],0)</f>
        <v>0</v>
      </c>
      <c r="Q9" s="96">
        <f ca="1">IF(AND(Table__10.2.1.2_1_4AHB_READ_DAILY[[#This Row],[PER_DATE]]&gt;SUM(V54203-30), Table__10.2.1.2_1_4AHB_READ_DAILY[[#This Row],[PER_DATE]]&lt;SUM(TODAY()+1)),24,0)</f>
        <v>24</v>
      </c>
      <c r="R9">
        <v>41701</v>
      </c>
    </row>
    <row r="10" spans="1:18">
      <c r="A10">
        <v>41713</v>
      </c>
      <c r="B10" t="s">
        <v>768</v>
      </c>
      <c r="C10" t="s">
        <v>25</v>
      </c>
      <c r="D10" t="s">
        <v>752</v>
      </c>
      <c r="E10" s="278">
        <v>3</v>
      </c>
      <c r="F10" s="96">
        <v>24</v>
      </c>
      <c r="G10" s="96">
        <v>0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96">
        <v>0</v>
      </c>
      <c r="N10" s="96">
        <v>0</v>
      </c>
      <c r="O10" s="96">
        <f>IF(Table__10.2.1.2_1_4AHB_READ_DAILY[[#This Row],[PER_DATE]]&gt;SUM(V54204-30), Table__10.2.1.2_1_4AHB_READ_DAILY[[#This Row],[FLY_HOURS]],0)</f>
        <v>0</v>
      </c>
      <c r="P10" s="96">
        <f ca="1">IF(AND(Table__10.2.1.2_1_4AHB_READ_DAILY[[#This Row],[PER_DATE]]&gt;SUM(V54204-30), Table__10.2.1.2_1_4AHB_READ_DAILY[[#This Row],[PER_DATE]]&lt;SUM(TODAY()+1)),Table__10.2.1.2_1_4AHB_READ_DAILY[[#This Row],[FMC]],0)</f>
        <v>24</v>
      </c>
      <c r="Q10" s="96">
        <f ca="1">IF(AND(Table__10.2.1.2_1_4AHB_READ_DAILY[[#This Row],[PER_DATE]]&gt;SUM(V54204-30), Table__10.2.1.2_1_4AHB_READ_DAILY[[#This Row],[PER_DATE]]&lt;SUM(TODAY()+1)),24,0)</f>
        <v>24</v>
      </c>
      <c r="R10">
        <v>41701</v>
      </c>
    </row>
    <row r="11" spans="1:18">
      <c r="A11">
        <v>41713</v>
      </c>
      <c r="B11" t="s">
        <v>768</v>
      </c>
      <c r="C11" t="s">
        <v>25</v>
      </c>
      <c r="D11" t="s">
        <v>748</v>
      </c>
      <c r="E11" s="278">
        <v>4</v>
      </c>
      <c r="F11" s="96">
        <v>24</v>
      </c>
      <c r="G11" s="96">
        <v>0</v>
      </c>
      <c r="H11" s="96">
        <v>0</v>
      </c>
      <c r="I11" s="96">
        <v>0</v>
      </c>
      <c r="J11" s="96">
        <v>0</v>
      </c>
      <c r="K11" s="96">
        <v>0</v>
      </c>
      <c r="L11" s="96">
        <v>0</v>
      </c>
      <c r="M11" s="96">
        <v>0</v>
      </c>
      <c r="N11" s="96">
        <v>0</v>
      </c>
      <c r="O11" s="96">
        <f>IF(Table__10.2.1.2_1_4AHB_READ_DAILY[[#This Row],[PER_DATE]]&gt;SUM(V54205-30), Table__10.2.1.2_1_4AHB_READ_DAILY[[#This Row],[FLY_HOURS]],0)</f>
        <v>0</v>
      </c>
      <c r="P11" s="96">
        <f ca="1">IF(AND(Table__10.2.1.2_1_4AHB_READ_DAILY[[#This Row],[PER_DATE]]&gt;SUM(V54205-30), Table__10.2.1.2_1_4AHB_READ_DAILY[[#This Row],[PER_DATE]]&lt;SUM(TODAY()+1)),Table__10.2.1.2_1_4AHB_READ_DAILY[[#This Row],[FMC]],0)</f>
        <v>24</v>
      </c>
      <c r="Q11" s="96">
        <f ca="1">IF(AND(Table__10.2.1.2_1_4AHB_READ_DAILY[[#This Row],[PER_DATE]]&gt;SUM(V54205-30), Table__10.2.1.2_1_4AHB_READ_DAILY[[#This Row],[PER_DATE]]&lt;SUM(TODAY()+1)),24,0)</f>
        <v>24</v>
      </c>
      <c r="R11">
        <v>41702</v>
      </c>
    </row>
    <row r="12" spans="1:18">
      <c r="A12">
        <v>41713</v>
      </c>
      <c r="B12" t="s">
        <v>768</v>
      </c>
      <c r="C12" t="s">
        <v>25</v>
      </c>
      <c r="D12" t="s">
        <v>750</v>
      </c>
      <c r="E12" s="278">
        <v>4</v>
      </c>
      <c r="F12" s="96">
        <v>0</v>
      </c>
      <c r="G12" s="96">
        <v>0</v>
      </c>
      <c r="H12" s="96">
        <v>0</v>
      </c>
      <c r="I12" s="96">
        <v>0</v>
      </c>
      <c r="J12" s="96">
        <v>0</v>
      </c>
      <c r="K12" s="96">
        <v>0</v>
      </c>
      <c r="L12" s="96">
        <v>24</v>
      </c>
      <c r="M12" s="96">
        <v>0</v>
      </c>
      <c r="N12" s="96">
        <v>0</v>
      </c>
      <c r="O12" s="96">
        <f>IF(Table__10.2.1.2_1_4AHB_READ_DAILY[[#This Row],[PER_DATE]]&gt;SUM(V54206-30), Table__10.2.1.2_1_4AHB_READ_DAILY[[#This Row],[FLY_HOURS]],0)</f>
        <v>0</v>
      </c>
      <c r="P12" s="96">
        <f ca="1">IF(AND(Table__10.2.1.2_1_4AHB_READ_DAILY[[#This Row],[PER_DATE]]&gt;SUM(V54206-30), Table__10.2.1.2_1_4AHB_READ_DAILY[[#This Row],[PER_DATE]]&lt;SUM(TODAY()+1)),Table__10.2.1.2_1_4AHB_READ_DAILY[[#This Row],[FMC]],0)</f>
        <v>0</v>
      </c>
      <c r="Q12" s="96">
        <f ca="1">IF(AND(Table__10.2.1.2_1_4AHB_READ_DAILY[[#This Row],[PER_DATE]]&gt;SUM(V54206-30), Table__10.2.1.2_1_4AHB_READ_DAILY[[#This Row],[PER_DATE]]&lt;SUM(TODAY()+1)),24,0)</f>
        <v>24</v>
      </c>
      <c r="R12">
        <v>41702</v>
      </c>
    </row>
    <row r="13" spans="1:18">
      <c r="A13">
        <v>41713</v>
      </c>
      <c r="B13" t="s">
        <v>768</v>
      </c>
      <c r="C13" t="s">
        <v>25</v>
      </c>
      <c r="D13" t="s">
        <v>752</v>
      </c>
      <c r="E13" s="278">
        <v>4</v>
      </c>
      <c r="F13" s="96">
        <v>24</v>
      </c>
      <c r="G13" s="96">
        <v>0</v>
      </c>
      <c r="H13" s="96">
        <v>0</v>
      </c>
      <c r="I13" s="96">
        <v>0</v>
      </c>
      <c r="J13" s="96">
        <v>0</v>
      </c>
      <c r="K13" s="96">
        <v>0</v>
      </c>
      <c r="L13" s="96">
        <v>0</v>
      </c>
      <c r="M13" s="96">
        <v>0</v>
      </c>
      <c r="N13" s="96">
        <v>0</v>
      </c>
      <c r="O13" s="96">
        <f>IF(Table__10.2.1.2_1_4AHB_READ_DAILY[[#This Row],[PER_DATE]]&gt;SUM(V54207-30), Table__10.2.1.2_1_4AHB_READ_DAILY[[#This Row],[FLY_HOURS]],0)</f>
        <v>0</v>
      </c>
      <c r="P13" s="96">
        <f ca="1">IF(AND(Table__10.2.1.2_1_4AHB_READ_DAILY[[#This Row],[PER_DATE]]&gt;SUM(V54207-30), Table__10.2.1.2_1_4AHB_READ_DAILY[[#This Row],[PER_DATE]]&lt;SUM(TODAY()+1)),Table__10.2.1.2_1_4AHB_READ_DAILY[[#This Row],[FMC]],0)</f>
        <v>24</v>
      </c>
      <c r="Q13" s="96">
        <f ca="1">IF(AND(Table__10.2.1.2_1_4AHB_READ_DAILY[[#This Row],[PER_DATE]]&gt;SUM(V54207-30), Table__10.2.1.2_1_4AHB_READ_DAILY[[#This Row],[PER_DATE]]&lt;SUM(TODAY()+1)),24,0)</f>
        <v>24</v>
      </c>
      <c r="R13">
        <v>41702</v>
      </c>
    </row>
    <row r="14" spans="1:18">
      <c r="A14">
        <v>41713</v>
      </c>
      <c r="B14" t="s">
        <v>768</v>
      </c>
      <c r="C14" t="s">
        <v>25</v>
      </c>
      <c r="D14" t="s">
        <v>748</v>
      </c>
      <c r="E14" s="278">
        <v>5</v>
      </c>
      <c r="F14" s="96">
        <v>24</v>
      </c>
      <c r="G14" s="96">
        <v>0</v>
      </c>
      <c r="H14" s="96">
        <v>0</v>
      </c>
      <c r="I14" s="96">
        <v>0</v>
      </c>
      <c r="J14" s="96">
        <v>0</v>
      </c>
      <c r="K14" s="96">
        <v>0</v>
      </c>
      <c r="L14" s="96">
        <v>0</v>
      </c>
      <c r="M14" s="96">
        <v>0</v>
      </c>
      <c r="N14" s="96">
        <v>0</v>
      </c>
      <c r="O14" s="96">
        <f>IF(Table__10.2.1.2_1_4AHB_READ_DAILY[[#This Row],[PER_DATE]]&gt;SUM(V54208-30), Table__10.2.1.2_1_4AHB_READ_DAILY[[#This Row],[FLY_HOURS]],0)</f>
        <v>0</v>
      </c>
      <c r="P14" s="96">
        <f ca="1">IF(AND(Table__10.2.1.2_1_4AHB_READ_DAILY[[#This Row],[PER_DATE]]&gt;SUM(V54208-30), Table__10.2.1.2_1_4AHB_READ_DAILY[[#This Row],[PER_DATE]]&lt;SUM(TODAY()+1)),Table__10.2.1.2_1_4AHB_READ_DAILY[[#This Row],[FMC]],0)</f>
        <v>24</v>
      </c>
      <c r="Q14" s="96">
        <f ca="1">IF(AND(Table__10.2.1.2_1_4AHB_READ_DAILY[[#This Row],[PER_DATE]]&gt;SUM(V54208-30), Table__10.2.1.2_1_4AHB_READ_DAILY[[#This Row],[PER_DATE]]&lt;SUM(TODAY()+1)),24,0)</f>
        <v>24</v>
      </c>
      <c r="R14">
        <v>41703</v>
      </c>
    </row>
    <row r="15" spans="1:18">
      <c r="A15">
        <v>41713</v>
      </c>
      <c r="B15" t="s">
        <v>768</v>
      </c>
      <c r="C15" t="s">
        <v>25</v>
      </c>
      <c r="D15" t="s">
        <v>750</v>
      </c>
      <c r="E15" s="278">
        <v>5</v>
      </c>
      <c r="F15" s="96">
        <v>0</v>
      </c>
      <c r="G15" s="96">
        <v>0</v>
      </c>
      <c r="H15" s="96">
        <v>0</v>
      </c>
      <c r="I15" s="96">
        <v>0</v>
      </c>
      <c r="J15" s="96">
        <v>0</v>
      </c>
      <c r="K15" s="96">
        <v>0</v>
      </c>
      <c r="L15" s="96">
        <v>24</v>
      </c>
      <c r="M15" s="96">
        <v>0</v>
      </c>
      <c r="N15" s="96">
        <v>0</v>
      </c>
      <c r="O15" s="96">
        <f>IF(Table__10.2.1.2_1_4AHB_READ_DAILY[[#This Row],[PER_DATE]]&gt;SUM(V54209-30), Table__10.2.1.2_1_4AHB_READ_DAILY[[#This Row],[FLY_HOURS]],0)</f>
        <v>0</v>
      </c>
      <c r="P15" s="96">
        <f ca="1">IF(AND(Table__10.2.1.2_1_4AHB_READ_DAILY[[#This Row],[PER_DATE]]&gt;SUM(V54209-30), Table__10.2.1.2_1_4AHB_READ_DAILY[[#This Row],[PER_DATE]]&lt;SUM(TODAY()+1)),Table__10.2.1.2_1_4AHB_READ_DAILY[[#This Row],[FMC]],0)</f>
        <v>0</v>
      </c>
      <c r="Q15" s="96">
        <f ca="1">IF(AND(Table__10.2.1.2_1_4AHB_READ_DAILY[[#This Row],[PER_DATE]]&gt;SUM(V54209-30), Table__10.2.1.2_1_4AHB_READ_DAILY[[#This Row],[PER_DATE]]&lt;SUM(TODAY()+1)),24,0)</f>
        <v>24</v>
      </c>
      <c r="R15">
        <v>41703</v>
      </c>
    </row>
    <row r="16" spans="1:18">
      <c r="A16">
        <v>41713</v>
      </c>
      <c r="B16" t="s">
        <v>768</v>
      </c>
      <c r="C16" t="s">
        <v>25</v>
      </c>
      <c r="D16" t="s">
        <v>752</v>
      </c>
      <c r="E16" s="278">
        <v>5</v>
      </c>
      <c r="F16" s="96">
        <v>24</v>
      </c>
      <c r="G16" s="96">
        <v>0</v>
      </c>
      <c r="H16" s="96">
        <v>0</v>
      </c>
      <c r="I16" s="96">
        <v>0</v>
      </c>
      <c r="J16" s="96">
        <v>0</v>
      </c>
      <c r="K16" s="96">
        <v>0</v>
      </c>
      <c r="L16" s="96">
        <v>0</v>
      </c>
      <c r="M16" s="96">
        <v>0</v>
      </c>
      <c r="N16" s="96">
        <v>0</v>
      </c>
      <c r="O16" s="96">
        <f>IF(Table__10.2.1.2_1_4AHB_READ_DAILY[[#This Row],[PER_DATE]]&gt;SUM(V54210-30), Table__10.2.1.2_1_4AHB_READ_DAILY[[#This Row],[FLY_HOURS]],0)</f>
        <v>0</v>
      </c>
      <c r="P16" s="96">
        <f ca="1">IF(AND(Table__10.2.1.2_1_4AHB_READ_DAILY[[#This Row],[PER_DATE]]&gt;SUM(V54210-30), Table__10.2.1.2_1_4AHB_READ_DAILY[[#This Row],[PER_DATE]]&lt;SUM(TODAY()+1)),Table__10.2.1.2_1_4AHB_READ_DAILY[[#This Row],[FMC]],0)</f>
        <v>24</v>
      </c>
      <c r="Q16" s="96">
        <f ca="1">IF(AND(Table__10.2.1.2_1_4AHB_READ_DAILY[[#This Row],[PER_DATE]]&gt;SUM(V54210-30), Table__10.2.1.2_1_4AHB_READ_DAILY[[#This Row],[PER_DATE]]&lt;SUM(TODAY()+1)),24,0)</f>
        <v>24</v>
      </c>
      <c r="R16">
        <v>41703</v>
      </c>
    </row>
    <row r="17" spans="1:18">
      <c r="A17">
        <v>41713</v>
      </c>
      <c r="B17" t="s">
        <v>768</v>
      </c>
      <c r="C17" t="s">
        <v>25</v>
      </c>
      <c r="D17" t="s">
        <v>748</v>
      </c>
      <c r="E17" s="278">
        <v>6</v>
      </c>
      <c r="F17" s="96">
        <v>24</v>
      </c>
      <c r="G17" s="96">
        <v>0</v>
      </c>
      <c r="H17" s="96">
        <v>0</v>
      </c>
      <c r="I17" s="96">
        <v>0</v>
      </c>
      <c r="J17" s="96">
        <v>0</v>
      </c>
      <c r="K17" s="96">
        <v>0</v>
      </c>
      <c r="L17" s="96">
        <v>0</v>
      </c>
      <c r="M17" s="96">
        <v>0</v>
      </c>
      <c r="N17" s="96">
        <v>0</v>
      </c>
      <c r="O17" s="96">
        <f>IF(Table__10.2.1.2_1_4AHB_READ_DAILY[[#This Row],[PER_DATE]]&gt;SUM(V54211-30), Table__10.2.1.2_1_4AHB_READ_DAILY[[#This Row],[FLY_HOURS]],0)</f>
        <v>0</v>
      </c>
      <c r="P17" s="96">
        <f ca="1">IF(AND(Table__10.2.1.2_1_4AHB_READ_DAILY[[#This Row],[PER_DATE]]&gt;SUM(V54211-30), Table__10.2.1.2_1_4AHB_READ_DAILY[[#This Row],[PER_DATE]]&lt;SUM(TODAY()+1)),Table__10.2.1.2_1_4AHB_READ_DAILY[[#This Row],[FMC]],0)</f>
        <v>24</v>
      </c>
      <c r="Q17" s="96">
        <f ca="1">IF(AND(Table__10.2.1.2_1_4AHB_READ_DAILY[[#This Row],[PER_DATE]]&gt;SUM(V54211-30), Table__10.2.1.2_1_4AHB_READ_DAILY[[#This Row],[PER_DATE]]&lt;SUM(TODAY()+1)),24,0)</f>
        <v>24</v>
      </c>
      <c r="R17">
        <v>41704</v>
      </c>
    </row>
    <row r="18" spans="1:18">
      <c r="A18">
        <v>41713</v>
      </c>
      <c r="B18" t="s">
        <v>768</v>
      </c>
      <c r="C18" t="s">
        <v>25</v>
      </c>
      <c r="D18" t="s">
        <v>750</v>
      </c>
      <c r="E18" s="278">
        <v>6</v>
      </c>
      <c r="F18" s="96">
        <v>0</v>
      </c>
      <c r="G18" s="96">
        <v>0</v>
      </c>
      <c r="H18" s="96">
        <v>0</v>
      </c>
      <c r="I18" s="96">
        <v>0</v>
      </c>
      <c r="J18" s="96">
        <v>0</v>
      </c>
      <c r="K18" s="96">
        <v>0</v>
      </c>
      <c r="L18" s="96">
        <v>24</v>
      </c>
      <c r="M18" s="96">
        <v>0</v>
      </c>
      <c r="N18" s="96">
        <v>0</v>
      </c>
      <c r="O18" s="96">
        <f>IF(Table__10.2.1.2_1_4AHB_READ_DAILY[[#This Row],[PER_DATE]]&gt;SUM(V54212-30), Table__10.2.1.2_1_4AHB_READ_DAILY[[#This Row],[FLY_HOURS]],0)</f>
        <v>0</v>
      </c>
      <c r="P18" s="96">
        <f ca="1">IF(AND(Table__10.2.1.2_1_4AHB_READ_DAILY[[#This Row],[PER_DATE]]&gt;SUM(V54212-30), Table__10.2.1.2_1_4AHB_READ_DAILY[[#This Row],[PER_DATE]]&lt;SUM(TODAY()+1)),Table__10.2.1.2_1_4AHB_READ_DAILY[[#This Row],[FMC]],0)</f>
        <v>0</v>
      </c>
      <c r="Q18" s="96">
        <f ca="1">IF(AND(Table__10.2.1.2_1_4AHB_READ_DAILY[[#This Row],[PER_DATE]]&gt;SUM(V54212-30), Table__10.2.1.2_1_4AHB_READ_DAILY[[#This Row],[PER_DATE]]&lt;SUM(TODAY()+1)),24,0)</f>
        <v>24</v>
      </c>
      <c r="R18">
        <v>41704</v>
      </c>
    </row>
    <row r="19" spans="1:18">
      <c r="A19">
        <v>41713</v>
      </c>
      <c r="B19" t="s">
        <v>768</v>
      </c>
      <c r="C19" t="s">
        <v>25</v>
      </c>
      <c r="D19" t="s">
        <v>752</v>
      </c>
      <c r="E19" s="278">
        <v>6</v>
      </c>
      <c r="F19" s="96">
        <v>24</v>
      </c>
      <c r="G19" s="96">
        <v>0</v>
      </c>
      <c r="H19" s="96">
        <v>0</v>
      </c>
      <c r="I19" s="96">
        <v>0</v>
      </c>
      <c r="J19" s="96">
        <v>0</v>
      </c>
      <c r="K19" s="96">
        <v>0</v>
      </c>
      <c r="L19" s="96">
        <v>0</v>
      </c>
      <c r="M19" s="96">
        <v>0</v>
      </c>
      <c r="N19" s="96">
        <v>0</v>
      </c>
      <c r="O19" s="96">
        <f>IF(Table__10.2.1.2_1_4AHB_READ_DAILY[[#This Row],[PER_DATE]]&gt;SUM(V54213-30), Table__10.2.1.2_1_4AHB_READ_DAILY[[#This Row],[FLY_HOURS]],0)</f>
        <v>0</v>
      </c>
      <c r="P19" s="96">
        <f ca="1">IF(AND(Table__10.2.1.2_1_4AHB_READ_DAILY[[#This Row],[PER_DATE]]&gt;SUM(V54213-30), Table__10.2.1.2_1_4AHB_READ_DAILY[[#This Row],[PER_DATE]]&lt;SUM(TODAY()+1)),Table__10.2.1.2_1_4AHB_READ_DAILY[[#This Row],[FMC]],0)</f>
        <v>24</v>
      </c>
      <c r="Q19" s="96">
        <f ca="1">IF(AND(Table__10.2.1.2_1_4AHB_READ_DAILY[[#This Row],[PER_DATE]]&gt;SUM(V54213-30), Table__10.2.1.2_1_4AHB_READ_DAILY[[#This Row],[PER_DATE]]&lt;SUM(TODAY()+1)),24,0)</f>
        <v>24</v>
      </c>
      <c r="R19">
        <v>41704</v>
      </c>
    </row>
    <row r="20" spans="1:18">
      <c r="A20">
        <v>41713</v>
      </c>
      <c r="B20" t="s">
        <v>768</v>
      </c>
      <c r="C20" t="s">
        <v>25</v>
      </c>
      <c r="D20" t="s">
        <v>748</v>
      </c>
      <c r="E20" s="278">
        <v>7</v>
      </c>
      <c r="F20" s="96">
        <v>24</v>
      </c>
      <c r="G20" s="96">
        <v>0</v>
      </c>
      <c r="H20" s="96">
        <v>0</v>
      </c>
      <c r="I20" s="96">
        <v>0</v>
      </c>
      <c r="J20" s="96">
        <v>0</v>
      </c>
      <c r="K20" s="96">
        <v>0</v>
      </c>
      <c r="L20" s="96">
        <v>0</v>
      </c>
      <c r="M20" s="96">
        <v>0</v>
      </c>
      <c r="N20" s="96">
        <v>0</v>
      </c>
      <c r="O20" s="96">
        <f>IF(Table__10.2.1.2_1_4AHB_READ_DAILY[[#This Row],[PER_DATE]]&gt;SUM(V54214-30), Table__10.2.1.2_1_4AHB_READ_DAILY[[#This Row],[FLY_HOURS]],0)</f>
        <v>0</v>
      </c>
      <c r="P20" s="96">
        <f ca="1">IF(AND(Table__10.2.1.2_1_4AHB_READ_DAILY[[#This Row],[PER_DATE]]&gt;SUM(V54214-30), Table__10.2.1.2_1_4AHB_READ_DAILY[[#This Row],[PER_DATE]]&lt;SUM(TODAY()+1)),Table__10.2.1.2_1_4AHB_READ_DAILY[[#This Row],[FMC]],0)</f>
        <v>24</v>
      </c>
      <c r="Q20" s="96">
        <f ca="1">IF(AND(Table__10.2.1.2_1_4AHB_READ_DAILY[[#This Row],[PER_DATE]]&gt;SUM(V54214-30), Table__10.2.1.2_1_4AHB_READ_DAILY[[#This Row],[PER_DATE]]&lt;SUM(TODAY()+1)),24,0)</f>
        <v>24</v>
      </c>
      <c r="R20">
        <v>41705</v>
      </c>
    </row>
    <row r="21" spans="1:18">
      <c r="A21">
        <v>41713</v>
      </c>
      <c r="B21" t="s">
        <v>768</v>
      </c>
      <c r="C21" t="s">
        <v>25</v>
      </c>
      <c r="D21" t="s">
        <v>750</v>
      </c>
      <c r="E21" s="278">
        <v>7</v>
      </c>
      <c r="F21" s="96">
        <v>0</v>
      </c>
      <c r="G21" s="96">
        <v>0</v>
      </c>
      <c r="H21" s="96">
        <v>0</v>
      </c>
      <c r="I21" s="96">
        <v>0</v>
      </c>
      <c r="J21" s="96">
        <v>0</v>
      </c>
      <c r="K21" s="96">
        <v>0</v>
      </c>
      <c r="L21" s="96">
        <v>24</v>
      </c>
      <c r="M21" s="96">
        <v>0</v>
      </c>
      <c r="N21" s="96">
        <v>0</v>
      </c>
      <c r="O21" s="96">
        <f>IF(Table__10.2.1.2_1_4AHB_READ_DAILY[[#This Row],[PER_DATE]]&gt;SUM(V54215-30), Table__10.2.1.2_1_4AHB_READ_DAILY[[#This Row],[FLY_HOURS]],0)</f>
        <v>0</v>
      </c>
      <c r="P21" s="96">
        <f ca="1">IF(AND(Table__10.2.1.2_1_4AHB_READ_DAILY[[#This Row],[PER_DATE]]&gt;SUM(V54215-30), Table__10.2.1.2_1_4AHB_READ_DAILY[[#This Row],[PER_DATE]]&lt;SUM(TODAY()+1)),Table__10.2.1.2_1_4AHB_READ_DAILY[[#This Row],[FMC]],0)</f>
        <v>0</v>
      </c>
      <c r="Q21" s="96">
        <f ca="1">IF(AND(Table__10.2.1.2_1_4AHB_READ_DAILY[[#This Row],[PER_DATE]]&gt;SUM(V54215-30), Table__10.2.1.2_1_4AHB_READ_DAILY[[#This Row],[PER_DATE]]&lt;SUM(TODAY()+1)),24,0)</f>
        <v>24</v>
      </c>
      <c r="R21">
        <v>41705</v>
      </c>
    </row>
    <row r="22" spans="1:18">
      <c r="A22">
        <v>41713</v>
      </c>
      <c r="B22" t="s">
        <v>768</v>
      </c>
      <c r="C22" t="s">
        <v>25</v>
      </c>
      <c r="D22" t="s">
        <v>752</v>
      </c>
      <c r="E22" s="278">
        <v>7</v>
      </c>
      <c r="F22" s="96">
        <v>24</v>
      </c>
      <c r="G22" s="96">
        <v>0</v>
      </c>
      <c r="H22" s="96">
        <v>0</v>
      </c>
      <c r="I22" s="96">
        <v>0</v>
      </c>
      <c r="J22" s="96">
        <v>0</v>
      </c>
      <c r="K22" s="96">
        <v>0</v>
      </c>
      <c r="L22" s="96">
        <v>0</v>
      </c>
      <c r="M22" s="96">
        <v>0</v>
      </c>
      <c r="N22" s="96">
        <v>0</v>
      </c>
      <c r="O22" s="96">
        <f>IF(Table__10.2.1.2_1_4AHB_READ_DAILY[[#This Row],[PER_DATE]]&gt;SUM(V54216-30), Table__10.2.1.2_1_4AHB_READ_DAILY[[#This Row],[FLY_HOURS]],0)</f>
        <v>0</v>
      </c>
      <c r="P22" s="96">
        <f ca="1">IF(AND(Table__10.2.1.2_1_4AHB_READ_DAILY[[#This Row],[PER_DATE]]&gt;SUM(V54216-30), Table__10.2.1.2_1_4AHB_READ_DAILY[[#This Row],[PER_DATE]]&lt;SUM(TODAY()+1)),Table__10.2.1.2_1_4AHB_READ_DAILY[[#This Row],[FMC]],0)</f>
        <v>24</v>
      </c>
      <c r="Q22" s="96">
        <f ca="1">IF(AND(Table__10.2.1.2_1_4AHB_READ_DAILY[[#This Row],[PER_DATE]]&gt;SUM(V54216-30), Table__10.2.1.2_1_4AHB_READ_DAILY[[#This Row],[PER_DATE]]&lt;SUM(TODAY()+1)),24,0)</f>
        <v>24</v>
      </c>
      <c r="R22">
        <v>41705</v>
      </c>
    </row>
    <row r="23" spans="1:18">
      <c r="A23">
        <v>41713</v>
      </c>
      <c r="B23" t="s">
        <v>768</v>
      </c>
      <c r="C23" t="s">
        <v>25</v>
      </c>
      <c r="D23" t="s">
        <v>748</v>
      </c>
      <c r="E23" s="278">
        <v>8</v>
      </c>
      <c r="F23" s="96">
        <v>24</v>
      </c>
      <c r="G23" s="96">
        <v>0</v>
      </c>
      <c r="H23" s="96">
        <v>0</v>
      </c>
      <c r="I23" s="96">
        <v>0</v>
      </c>
      <c r="J23" s="96">
        <v>0</v>
      </c>
      <c r="K23" s="96">
        <v>0</v>
      </c>
      <c r="L23" s="96">
        <v>0</v>
      </c>
      <c r="M23" s="96">
        <v>0</v>
      </c>
      <c r="N23" s="96">
        <v>0</v>
      </c>
      <c r="O23" s="96">
        <f>IF(Table__10.2.1.2_1_4AHB_READ_DAILY[[#This Row],[PER_DATE]]&gt;SUM(V54217-30), Table__10.2.1.2_1_4AHB_READ_DAILY[[#This Row],[FLY_HOURS]],0)</f>
        <v>0</v>
      </c>
      <c r="P23" s="96">
        <f ca="1">IF(AND(Table__10.2.1.2_1_4AHB_READ_DAILY[[#This Row],[PER_DATE]]&gt;SUM(V54217-30), Table__10.2.1.2_1_4AHB_READ_DAILY[[#This Row],[PER_DATE]]&lt;SUM(TODAY()+1)),Table__10.2.1.2_1_4AHB_READ_DAILY[[#This Row],[FMC]],0)</f>
        <v>24</v>
      </c>
      <c r="Q23" s="96">
        <f ca="1">IF(AND(Table__10.2.1.2_1_4AHB_READ_DAILY[[#This Row],[PER_DATE]]&gt;SUM(V54217-30), Table__10.2.1.2_1_4AHB_READ_DAILY[[#This Row],[PER_DATE]]&lt;SUM(TODAY()+1)),24,0)</f>
        <v>24</v>
      </c>
      <c r="R23">
        <v>41706</v>
      </c>
    </row>
    <row r="24" spans="1:18">
      <c r="A24">
        <v>41713</v>
      </c>
      <c r="B24" t="s">
        <v>768</v>
      </c>
      <c r="C24" t="s">
        <v>25</v>
      </c>
      <c r="D24" t="s">
        <v>750</v>
      </c>
      <c r="E24" s="278">
        <v>8</v>
      </c>
      <c r="F24" s="96">
        <v>0</v>
      </c>
      <c r="G24" s="96">
        <v>0</v>
      </c>
      <c r="H24" s="96">
        <v>0</v>
      </c>
      <c r="I24" s="96">
        <v>0</v>
      </c>
      <c r="J24" s="96">
        <v>0</v>
      </c>
      <c r="K24" s="96">
        <v>0</v>
      </c>
      <c r="L24" s="96">
        <v>24</v>
      </c>
      <c r="M24" s="96">
        <v>0</v>
      </c>
      <c r="N24" s="96">
        <v>0</v>
      </c>
      <c r="O24" s="96">
        <f>IF(Table__10.2.1.2_1_4AHB_READ_DAILY[[#This Row],[PER_DATE]]&gt;SUM(V54218-30), Table__10.2.1.2_1_4AHB_READ_DAILY[[#This Row],[FLY_HOURS]],0)</f>
        <v>0</v>
      </c>
      <c r="P24" s="96">
        <f ca="1">IF(AND(Table__10.2.1.2_1_4AHB_READ_DAILY[[#This Row],[PER_DATE]]&gt;SUM(V54218-30), Table__10.2.1.2_1_4AHB_READ_DAILY[[#This Row],[PER_DATE]]&lt;SUM(TODAY()+1)),Table__10.2.1.2_1_4AHB_READ_DAILY[[#This Row],[FMC]],0)</f>
        <v>0</v>
      </c>
      <c r="Q24" s="96">
        <f ca="1">IF(AND(Table__10.2.1.2_1_4AHB_READ_DAILY[[#This Row],[PER_DATE]]&gt;SUM(V54218-30), Table__10.2.1.2_1_4AHB_READ_DAILY[[#This Row],[PER_DATE]]&lt;SUM(TODAY()+1)),24,0)</f>
        <v>24</v>
      </c>
      <c r="R24">
        <v>41706</v>
      </c>
    </row>
    <row r="25" spans="1:18">
      <c r="A25">
        <v>41713</v>
      </c>
      <c r="B25" t="s">
        <v>768</v>
      </c>
      <c r="C25" t="s">
        <v>25</v>
      </c>
      <c r="D25" t="s">
        <v>752</v>
      </c>
      <c r="E25" s="278">
        <v>8</v>
      </c>
      <c r="F25" s="96">
        <v>24</v>
      </c>
      <c r="G25" s="96">
        <v>0</v>
      </c>
      <c r="H25" s="96">
        <v>0</v>
      </c>
      <c r="I25" s="96">
        <v>0</v>
      </c>
      <c r="J25" s="96">
        <v>0</v>
      </c>
      <c r="K25" s="96">
        <v>0</v>
      </c>
      <c r="L25" s="96">
        <v>0</v>
      </c>
      <c r="M25" s="96">
        <v>0</v>
      </c>
      <c r="N25" s="96">
        <v>0</v>
      </c>
      <c r="O25" s="96">
        <f>IF(Table__10.2.1.2_1_4AHB_READ_DAILY[[#This Row],[PER_DATE]]&gt;SUM(V54219-30), Table__10.2.1.2_1_4AHB_READ_DAILY[[#This Row],[FLY_HOURS]],0)</f>
        <v>0</v>
      </c>
      <c r="P25" s="96">
        <f ca="1">IF(AND(Table__10.2.1.2_1_4AHB_READ_DAILY[[#This Row],[PER_DATE]]&gt;SUM(V54219-30), Table__10.2.1.2_1_4AHB_READ_DAILY[[#This Row],[PER_DATE]]&lt;SUM(TODAY()+1)),Table__10.2.1.2_1_4AHB_READ_DAILY[[#This Row],[FMC]],0)</f>
        <v>24</v>
      </c>
      <c r="Q25" s="96">
        <f ca="1">IF(AND(Table__10.2.1.2_1_4AHB_READ_DAILY[[#This Row],[PER_DATE]]&gt;SUM(V54219-30), Table__10.2.1.2_1_4AHB_READ_DAILY[[#This Row],[PER_DATE]]&lt;SUM(TODAY()+1)),24,0)</f>
        <v>24</v>
      </c>
      <c r="R25">
        <v>41706</v>
      </c>
    </row>
    <row r="26" spans="1:18">
      <c r="A26">
        <v>41713</v>
      </c>
      <c r="B26" t="s">
        <v>768</v>
      </c>
      <c r="C26" t="s">
        <v>25</v>
      </c>
      <c r="D26" t="s">
        <v>748</v>
      </c>
      <c r="E26" s="278">
        <v>9</v>
      </c>
      <c r="F26" s="96">
        <v>24</v>
      </c>
      <c r="G26" s="96">
        <v>0</v>
      </c>
      <c r="H26" s="96">
        <v>0</v>
      </c>
      <c r="I26" s="96">
        <v>0</v>
      </c>
      <c r="J26" s="96">
        <v>0</v>
      </c>
      <c r="K26" s="96">
        <v>0</v>
      </c>
      <c r="L26" s="96">
        <v>0</v>
      </c>
      <c r="M26" s="96">
        <v>0</v>
      </c>
      <c r="N26" s="96">
        <v>0</v>
      </c>
      <c r="O26" s="96">
        <f>IF(Table__10.2.1.2_1_4AHB_READ_DAILY[[#This Row],[PER_DATE]]&gt;SUM(V54220-30), Table__10.2.1.2_1_4AHB_READ_DAILY[[#This Row],[FLY_HOURS]],0)</f>
        <v>0</v>
      </c>
      <c r="P26" s="96">
        <f ca="1">IF(AND(Table__10.2.1.2_1_4AHB_READ_DAILY[[#This Row],[PER_DATE]]&gt;SUM(V54220-30), Table__10.2.1.2_1_4AHB_READ_DAILY[[#This Row],[PER_DATE]]&lt;SUM(TODAY()+1)),Table__10.2.1.2_1_4AHB_READ_DAILY[[#This Row],[FMC]],0)</f>
        <v>0</v>
      </c>
      <c r="Q26" s="96">
        <f ca="1">IF(AND(Table__10.2.1.2_1_4AHB_READ_DAILY[[#This Row],[PER_DATE]]&gt;SUM(V54220-30), Table__10.2.1.2_1_4AHB_READ_DAILY[[#This Row],[PER_DATE]]&lt;SUM(TODAY()+1)),24,0)</f>
        <v>0</v>
      </c>
      <c r="R26">
        <v>41707</v>
      </c>
    </row>
    <row r="27" spans="1:18">
      <c r="A27">
        <v>41713</v>
      </c>
      <c r="B27" t="s">
        <v>768</v>
      </c>
      <c r="C27" t="s">
        <v>25</v>
      </c>
      <c r="D27" t="s">
        <v>750</v>
      </c>
      <c r="E27" s="278">
        <v>9</v>
      </c>
      <c r="F27" s="96">
        <v>0</v>
      </c>
      <c r="G27" s="96">
        <v>0</v>
      </c>
      <c r="H27" s="96">
        <v>0</v>
      </c>
      <c r="I27" s="96">
        <v>0</v>
      </c>
      <c r="J27" s="96">
        <v>0</v>
      </c>
      <c r="K27" s="96">
        <v>0</v>
      </c>
      <c r="L27" s="96">
        <v>24</v>
      </c>
      <c r="M27" s="96">
        <v>0</v>
      </c>
      <c r="N27" s="96">
        <v>0</v>
      </c>
      <c r="O27" s="96">
        <f>IF(Table__10.2.1.2_1_4AHB_READ_DAILY[[#This Row],[PER_DATE]]&gt;SUM(V54221-30), Table__10.2.1.2_1_4AHB_READ_DAILY[[#This Row],[FLY_HOURS]],0)</f>
        <v>0</v>
      </c>
      <c r="P27" s="96">
        <f ca="1">IF(AND(Table__10.2.1.2_1_4AHB_READ_DAILY[[#This Row],[PER_DATE]]&gt;SUM(V54221-30), Table__10.2.1.2_1_4AHB_READ_DAILY[[#This Row],[PER_DATE]]&lt;SUM(TODAY()+1)),Table__10.2.1.2_1_4AHB_READ_DAILY[[#This Row],[FMC]],0)</f>
        <v>0</v>
      </c>
      <c r="Q27" s="96">
        <f ca="1">IF(AND(Table__10.2.1.2_1_4AHB_READ_DAILY[[#This Row],[PER_DATE]]&gt;SUM(V54221-30), Table__10.2.1.2_1_4AHB_READ_DAILY[[#This Row],[PER_DATE]]&lt;SUM(TODAY()+1)),24,0)</f>
        <v>0</v>
      </c>
      <c r="R27">
        <v>41707</v>
      </c>
    </row>
    <row r="28" spans="1:18">
      <c r="A28">
        <v>41713</v>
      </c>
      <c r="B28" t="s">
        <v>768</v>
      </c>
      <c r="C28" t="s">
        <v>25</v>
      </c>
      <c r="D28" t="s">
        <v>752</v>
      </c>
      <c r="E28" s="278">
        <v>9</v>
      </c>
      <c r="F28" s="96">
        <v>24</v>
      </c>
      <c r="G28" s="96">
        <v>0</v>
      </c>
      <c r="H28" s="96">
        <v>0</v>
      </c>
      <c r="I28" s="96">
        <v>0</v>
      </c>
      <c r="J28" s="96">
        <v>0</v>
      </c>
      <c r="K28" s="96">
        <v>0</v>
      </c>
      <c r="L28" s="96">
        <v>0</v>
      </c>
      <c r="M28" s="96">
        <v>0</v>
      </c>
      <c r="N28" s="96">
        <v>0</v>
      </c>
      <c r="O28" s="96">
        <f>IF(Table__10.2.1.2_1_4AHB_READ_DAILY[[#This Row],[PER_DATE]]&gt;SUM(V54222-30), Table__10.2.1.2_1_4AHB_READ_DAILY[[#This Row],[FLY_HOURS]],0)</f>
        <v>0</v>
      </c>
      <c r="P28" s="96">
        <f ca="1">IF(AND(Table__10.2.1.2_1_4AHB_READ_DAILY[[#This Row],[PER_DATE]]&gt;SUM(V54222-30), Table__10.2.1.2_1_4AHB_READ_DAILY[[#This Row],[PER_DATE]]&lt;SUM(TODAY()+1)),Table__10.2.1.2_1_4AHB_READ_DAILY[[#This Row],[FMC]],0)</f>
        <v>0</v>
      </c>
      <c r="Q28" s="96">
        <f ca="1">IF(AND(Table__10.2.1.2_1_4AHB_READ_DAILY[[#This Row],[PER_DATE]]&gt;SUM(V54222-30), Table__10.2.1.2_1_4AHB_READ_DAILY[[#This Row],[PER_DATE]]&lt;SUM(TODAY()+1)),24,0)</f>
        <v>0</v>
      </c>
      <c r="R28">
        <v>41707</v>
      </c>
    </row>
    <row r="29" spans="1:18">
      <c r="A29">
        <v>41713</v>
      </c>
      <c r="B29" t="s">
        <v>768</v>
      </c>
      <c r="C29" t="s">
        <v>25</v>
      </c>
      <c r="D29" t="s">
        <v>748</v>
      </c>
      <c r="E29" s="278">
        <v>10</v>
      </c>
      <c r="F29" s="96">
        <v>24</v>
      </c>
      <c r="G29" s="96">
        <v>0</v>
      </c>
      <c r="H29" s="96">
        <v>0</v>
      </c>
      <c r="I29" s="96">
        <v>0</v>
      </c>
      <c r="J29" s="96">
        <v>0</v>
      </c>
      <c r="K29" s="96">
        <v>0</v>
      </c>
      <c r="L29" s="96">
        <v>0</v>
      </c>
      <c r="M29" s="96">
        <v>0</v>
      </c>
      <c r="N29" s="96">
        <v>0</v>
      </c>
      <c r="O29" s="96">
        <f>IF(Table__10.2.1.2_1_4AHB_READ_DAILY[[#This Row],[PER_DATE]]&gt;SUM(V54223-30), Table__10.2.1.2_1_4AHB_READ_DAILY[[#This Row],[FLY_HOURS]],0)</f>
        <v>0</v>
      </c>
      <c r="P29" s="96">
        <f ca="1">IF(AND(Table__10.2.1.2_1_4AHB_READ_DAILY[[#This Row],[PER_DATE]]&gt;SUM(V54223-30), Table__10.2.1.2_1_4AHB_READ_DAILY[[#This Row],[PER_DATE]]&lt;SUM(TODAY()+1)),Table__10.2.1.2_1_4AHB_READ_DAILY[[#This Row],[FMC]],0)</f>
        <v>0</v>
      </c>
      <c r="Q29" s="96">
        <f ca="1">IF(AND(Table__10.2.1.2_1_4AHB_READ_DAILY[[#This Row],[PER_DATE]]&gt;SUM(V54223-30), Table__10.2.1.2_1_4AHB_READ_DAILY[[#This Row],[PER_DATE]]&lt;SUM(TODAY()+1)),24,0)</f>
        <v>0</v>
      </c>
      <c r="R29">
        <v>41708</v>
      </c>
    </row>
    <row r="30" spans="1:18">
      <c r="A30">
        <v>41713</v>
      </c>
      <c r="B30" t="s">
        <v>768</v>
      </c>
      <c r="C30" t="s">
        <v>25</v>
      </c>
      <c r="D30" t="s">
        <v>750</v>
      </c>
      <c r="E30" s="278">
        <v>10</v>
      </c>
      <c r="F30" s="96">
        <v>0</v>
      </c>
      <c r="G30" s="96">
        <v>0</v>
      </c>
      <c r="H30" s="96">
        <v>0</v>
      </c>
      <c r="I30" s="96">
        <v>0</v>
      </c>
      <c r="J30" s="96">
        <v>0</v>
      </c>
      <c r="K30" s="96">
        <v>0</v>
      </c>
      <c r="L30" s="96">
        <v>24</v>
      </c>
      <c r="M30" s="96">
        <v>0</v>
      </c>
      <c r="N30" s="96">
        <v>0</v>
      </c>
      <c r="O30" s="96">
        <f>IF(Table__10.2.1.2_1_4AHB_READ_DAILY[[#This Row],[PER_DATE]]&gt;SUM(V54224-30), Table__10.2.1.2_1_4AHB_READ_DAILY[[#This Row],[FLY_HOURS]],0)</f>
        <v>0</v>
      </c>
      <c r="P30" s="96">
        <f ca="1">IF(AND(Table__10.2.1.2_1_4AHB_READ_DAILY[[#This Row],[PER_DATE]]&gt;SUM(V54224-30), Table__10.2.1.2_1_4AHB_READ_DAILY[[#This Row],[PER_DATE]]&lt;SUM(TODAY()+1)),Table__10.2.1.2_1_4AHB_READ_DAILY[[#This Row],[FMC]],0)</f>
        <v>0</v>
      </c>
      <c r="Q30" s="96">
        <f ca="1">IF(AND(Table__10.2.1.2_1_4AHB_READ_DAILY[[#This Row],[PER_DATE]]&gt;SUM(V54224-30), Table__10.2.1.2_1_4AHB_READ_DAILY[[#This Row],[PER_DATE]]&lt;SUM(TODAY()+1)),24,0)</f>
        <v>0</v>
      </c>
      <c r="R30">
        <v>41708</v>
      </c>
    </row>
    <row r="31" spans="1:18">
      <c r="A31">
        <v>41713</v>
      </c>
      <c r="B31" t="s">
        <v>768</v>
      </c>
      <c r="C31" t="s">
        <v>25</v>
      </c>
      <c r="D31" t="s">
        <v>752</v>
      </c>
      <c r="E31" s="278">
        <v>10</v>
      </c>
      <c r="F31" s="96">
        <v>24</v>
      </c>
      <c r="G31" s="96">
        <v>0</v>
      </c>
      <c r="H31" s="96">
        <v>0</v>
      </c>
      <c r="I31" s="96">
        <v>0</v>
      </c>
      <c r="J31" s="96">
        <v>0</v>
      </c>
      <c r="K31" s="96">
        <v>0</v>
      </c>
      <c r="L31" s="96">
        <v>0</v>
      </c>
      <c r="M31" s="96">
        <v>0</v>
      </c>
      <c r="N31" s="96">
        <v>0</v>
      </c>
      <c r="O31" s="96">
        <f>IF(Table__10.2.1.2_1_4AHB_READ_DAILY[[#This Row],[PER_DATE]]&gt;SUM(V54225-30), Table__10.2.1.2_1_4AHB_READ_DAILY[[#This Row],[FLY_HOURS]],0)</f>
        <v>0</v>
      </c>
      <c r="P31" s="96">
        <f ca="1">IF(AND(Table__10.2.1.2_1_4AHB_READ_DAILY[[#This Row],[PER_DATE]]&gt;SUM(V54225-30), Table__10.2.1.2_1_4AHB_READ_DAILY[[#This Row],[PER_DATE]]&lt;SUM(TODAY()+1)),Table__10.2.1.2_1_4AHB_READ_DAILY[[#This Row],[FMC]],0)</f>
        <v>0</v>
      </c>
      <c r="Q31" s="96">
        <f ca="1">IF(AND(Table__10.2.1.2_1_4AHB_READ_DAILY[[#This Row],[PER_DATE]]&gt;SUM(V54225-30), Table__10.2.1.2_1_4AHB_READ_DAILY[[#This Row],[PER_DATE]]&lt;SUM(TODAY()+1)),24,0)</f>
        <v>0</v>
      </c>
      <c r="R31">
        <v>41708</v>
      </c>
    </row>
    <row r="32" spans="1:18">
      <c r="A32">
        <v>41713</v>
      </c>
      <c r="B32" t="s">
        <v>768</v>
      </c>
      <c r="C32" t="s">
        <v>25</v>
      </c>
      <c r="D32" t="s">
        <v>748</v>
      </c>
      <c r="E32" s="278">
        <v>11</v>
      </c>
      <c r="F32" s="96">
        <v>24</v>
      </c>
      <c r="G32" s="96">
        <v>0</v>
      </c>
      <c r="H32" s="96">
        <v>0</v>
      </c>
      <c r="I32" s="96">
        <v>0</v>
      </c>
      <c r="J32" s="96">
        <v>0</v>
      </c>
      <c r="K32" s="96">
        <v>0</v>
      </c>
      <c r="L32" s="96">
        <v>0</v>
      </c>
      <c r="M32" s="96">
        <v>0</v>
      </c>
      <c r="N32" s="96">
        <v>0</v>
      </c>
      <c r="O32" s="96">
        <f>IF(Table__10.2.1.2_1_4AHB_READ_DAILY[[#This Row],[PER_DATE]]&gt;SUM(V54226-30), Table__10.2.1.2_1_4AHB_READ_DAILY[[#This Row],[FLY_HOURS]],0)</f>
        <v>0</v>
      </c>
      <c r="P32" s="96">
        <f ca="1">IF(AND(Table__10.2.1.2_1_4AHB_READ_DAILY[[#This Row],[PER_DATE]]&gt;SUM(V54226-30), Table__10.2.1.2_1_4AHB_READ_DAILY[[#This Row],[PER_DATE]]&lt;SUM(TODAY()+1)),Table__10.2.1.2_1_4AHB_READ_DAILY[[#This Row],[FMC]],0)</f>
        <v>0</v>
      </c>
      <c r="Q32" s="96">
        <f ca="1">IF(AND(Table__10.2.1.2_1_4AHB_READ_DAILY[[#This Row],[PER_DATE]]&gt;SUM(V54226-30), Table__10.2.1.2_1_4AHB_READ_DAILY[[#This Row],[PER_DATE]]&lt;SUM(TODAY()+1)),24,0)</f>
        <v>0</v>
      </c>
      <c r="R32">
        <v>41709</v>
      </c>
    </row>
    <row r="33" spans="1:18">
      <c r="A33">
        <v>41713</v>
      </c>
      <c r="B33" t="s">
        <v>768</v>
      </c>
      <c r="C33" t="s">
        <v>25</v>
      </c>
      <c r="D33" t="s">
        <v>750</v>
      </c>
      <c r="E33" s="278">
        <v>11</v>
      </c>
      <c r="F33" s="96">
        <v>24</v>
      </c>
      <c r="G33" s="96">
        <v>0</v>
      </c>
      <c r="H33" s="96">
        <v>0</v>
      </c>
      <c r="I33" s="96">
        <v>0</v>
      </c>
      <c r="J33" s="96">
        <v>0</v>
      </c>
      <c r="K33" s="96">
        <v>0</v>
      </c>
      <c r="L33" s="96">
        <v>0</v>
      </c>
      <c r="M33" s="96">
        <v>0</v>
      </c>
      <c r="N33" s="96">
        <v>0</v>
      </c>
      <c r="O33" s="96">
        <f>IF(Table__10.2.1.2_1_4AHB_READ_DAILY[[#This Row],[PER_DATE]]&gt;SUM(V54227-30), Table__10.2.1.2_1_4AHB_READ_DAILY[[#This Row],[FLY_HOURS]],0)</f>
        <v>0</v>
      </c>
      <c r="P33" s="96">
        <f ca="1">IF(AND(Table__10.2.1.2_1_4AHB_READ_DAILY[[#This Row],[PER_DATE]]&gt;SUM(V54227-30), Table__10.2.1.2_1_4AHB_READ_DAILY[[#This Row],[PER_DATE]]&lt;SUM(TODAY()+1)),Table__10.2.1.2_1_4AHB_READ_DAILY[[#This Row],[FMC]],0)</f>
        <v>0</v>
      </c>
      <c r="Q33" s="96">
        <f ca="1">IF(AND(Table__10.2.1.2_1_4AHB_READ_DAILY[[#This Row],[PER_DATE]]&gt;SUM(V54227-30), Table__10.2.1.2_1_4AHB_READ_DAILY[[#This Row],[PER_DATE]]&lt;SUM(TODAY()+1)),24,0)</f>
        <v>0</v>
      </c>
      <c r="R33">
        <v>41709</v>
      </c>
    </row>
    <row r="34" spans="1:18">
      <c r="A34">
        <v>41713</v>
      </c>
      <c r="B34" t="s">
        <v>768</v>
      </c>
      <c r="C34" t="s">
        <v>25</v>
      </c>
      <c r="D34" t="s">
        <v>752</v>
      </c>
      <c r="E34" s="278">
        <v>11</v>
      </c>
      <c r="F34" s="96">
        <v>24</v>
      </c>
      <c r="G34" s="96">
        <v>0</v>
      </c>
      <c r="H34" s="96">
        <v>0</v>
      </c>
      <c r="I34" s="96">
        <v>0</v>
      </c>
      <c r="J34" s="96">
        <v>0</v>
      </c>
      <c r="K34" s="96">
        <v>0</v>
      </c>
      <c r="L34" s="96">
        <v>0</v>
      </c>
      <c r="M34" s="96">
        <v>0</v>
      </c>
      <c r="N34" s="96">
        <v>0</v>
      </c>
      <c r="O34" s="96">
        <f>IF(Table__10.2.1.2_1_4AHB_READ_DAILY[[#This Row],[PER_DATE]]&gt;SUM(V54228-30), Table__10.2.1.2_1_4AHB_READ_DAILY[[#This Row],[FLY_HOURS]],0)</f>
        <v>0</v>
      </c>
      <c r="P34" s="96">
        <f ca="1">IF(AND(Table__10.2.1.2_1_4AHB_READ_DAILY[[#This Row],[PER_DATE]]&gt;SUM(V54228-30), Table__10.2.1.2_1_4AHB_READ_DAILY[[#This Row],[PER_DATE]]&lt;SUM(TODAY()+1)),Table__10.2.1.2_1_4AHB_READ_DAILY[[#This Row],[FMC]],0)</f>
        <v>0</v>
      </c>
      <c r="Q34" s="96">
        <f ca="1">IF(AND(Table__10.2.1.2_1_4AHB_READ_DAILY[[#This Row],[PER_DATE]]&gt;SUM(V54228-30), Table__10.2.1.2_1_4AHB_READ_DAILY[[#This Row],[PER_DATE]]&lt;SUM(TODAY()+1)),24,0)</f>
        <v>0</v>
      </c>
      <c r="R34">
        <v>41709</v>
      </c>
    </row>
    <row r="35" spans="1:18">
      <c r="A35">
        <v>41713</v>
      </c>
      <c r="B35" t="s">
        <v>768</v>
      </c>
      <c r="C35" t="s">
        <v>25</v>
      </c>
      <c r="D35" t="s">
        <v>748</v>
      </c>
      <c r="E35" s="278">
        <v>12</v>
      </c>
      <c r="F35" s="96">
        <v>24</v>
      </c>
      <c r="G35" s="96">
        <v>0</v>
      </c>
      <c r="H35" s="96">
        <v>0</v>
      </c>
      <c r="I35" s="96">
        <v>0</v>
      </c>
      <c r="J35" s="96">
        <v>0</v>
      </c>
      <c r="K35" s="96">
        <v>0</v>
      </c>
      <c r="L35" s="96">
        <v>0</v>
      </c>
      <c r="M35" s="96">
        <v>0</v>
      </c>
      <c r="N35" s="96">
        <v>0</v>
      </c>
      <c r="O35" s="96">
        <f>IF(Table__10.2.1.2_1_4AHB_READ_DAILY[[#This Row],[PER_DATE]]&gt;SUM(V54229-30), Table__10.2.1.2_1_4AHB_READ_DAILY[[#This Row],[FLY_HOURS]],0)</f>
        <v>0</v>
      </c>
      <c r="P35" s="96">
        <f ca="1">IF(AND(Table__10.2.1.2_1_4AHB_READ_DAILY[[#This Row],[PER_DATE]]&gt;SUM(V54229-30), Table__10.2.1.2_1_4AHB_READ_DAILY[[#This Row],[PER_DATE]]&lt;SUM(TODAY()+1)),Table__10.2.1.2_1_4AHB_READ_DAILY[[#This Row],[FMC]],0)</f>
        <v>0</v>
      </c>
      <c r="Q35" s="96">
        <f ca="1">IF(AND(Table__10.2.1.2_1_4AHB_READ_DAILY[[#This Row],[PER_DATE]]&gt;SUM(V54229-30), Table__10.2.1.2_1_4AHB_READ_DAILY[[#This Row],[PER_DATE]]&lt;SUM(TODAY()+1)),24,0)</f>
        <v>0</v>
      </c>
      <c r="R35">
        <v>41710</v>
      </c>
    </row>
    <row r="36" spans="1:18">
      <c r="A36">
        <v>41713</v>
      </c>
      <c r="B36" t="s">
        <v>768</v>
      </c>
      <c r="C36" t="s">
        <v>25</v>
      </c>
      <c r="D36" t="s">
        <v>750</v>
      </c>
      <c r="E36" s="278">
        <v>12</v>
      </c>
      <c r="F36" s="96">
        <v>24</v>
      </c>
      <c r="G36" s="96">
        <v>0</v>
      </c>
      <c r="H36" s="96">
        <v>0</v>
      </c>
      <c r="I36" s="96">
        <v>0</v>
      </c>
      <c r="J36" s="96">
        <v>0</v>
      </c>
      <c r="K36" s="96">
        <v>0</v>
      </c>
      <c r="L36" s="96">
        <v>0</v>
      </c>
      <c r="M36" s="96">
        <v>0</v>
      </c>
      <c r="N36" s="96">
        <v>0</v>
      </c>
      <c r="O36" s="96">
        <f>IF(Table__10.2.1.2_1_4AHB_READ_DAILY[[#This Row],[PER_DATE]]&gt;SUM(V54230-30), Table__10.2.1.2_1_4AHB_READ_DAILY[[#This Row],[FLY_HOURS]],0)</f>
        <v>0</v>
      </c>
      <c r="P36" s="96">
        <f ca="1">IF(AND(Table__10.2.1.2_1_4AHB_READ_DAILY[[#This Row],[PER_DATE]]&gt;SUM(V54230-30), Table__10.2.1.2_1_4AHB_READ_DAILY[[#This Row],[PER_DATE]]&lt;SUM(TODAY()+1)),Table__10.2.1.2_1_4AHB_READ_DAILY[[#This Row],[FMC]],0)</f>
        <v>0</v>
      </c>
      <c r="Q36" s="96">
        <f ca="1">IF(AND(Table__10.2.1.2_1_4AHB_READ_DAILY[[#This Row],[PER_DATE]]&gt;SUM(V54230-30), Table__10.2.1.2_1_4AHB_READ_DAILY[[#This Row],[PER_DATE]]&lt;SUM(TODAY()+1)),24,0)</f>
        <v>0</v>
      </c>
      <c r="R36">
        <v>41710</v>
      </c>
    </row>
    <row r="37" spans="1:18">
      <c r="A37">
        <v>41713</v>
      </c>
      <c r="B37" t="s">
        <v>768</v>
      </c>
      <c r="C37" t="s">
        <v>25</v>
      </c>
      <c r="D37" t="s">
        <v>752</v>
      </c>
      <c r="E37" s="278">
        <v>12</v>
      </c>
      <c r="F37" s="96">
        <v>24</v>
      </c>
      <c r="G37" s="96">
        <v>0</v>
      </c>
      <c r="H37" s="96">
        <v>0</v>
      </c>
      <c r="I37" s="96">
        <v>0</v>
      </c>
      <c r="J37" s="96">
        <v>0</v>
      </c>
      <c r="K37" s="96">
        <v>0</v>
      </c>
      <c r="L37" s="96">
        <v>0</v>
      </c>
      <c r="M37" s="96">
        <v>0</v>
      </c>
      <c r="N37" s="96">
        <v>0</v>
      </c>
      <c r="O37" s="96">
        <f>IF(Table__10.2.1.2_1_4AHB_READ_DAILY[[#This Row],[PER_DATE]]&gt;SUM(V54231-30), Table__10.2.1.2_1_4AHB_READ_DAILY[[#This Row],[FLY_HOURS]],0)</f>
        <v>0</v>
      </c>
      <c r="P37" s="96">
        <f ca="1">IF(AND(Table__10.2.1.2_1_4AHB_READ_DAILY[[#This Row],[PER_DATE]]&gt;SUM(V54231-30), Table__10.2.1.2_1_4AHB_READ_DAILY[[#This Row],[PER_DATE]]&lt;SUM(TODAY()+1)),Table__10.2.1.2_1_4AHB_READ_DAILY[[#This Row],[FMC]],0)</f>
        <v>0</v>
      </c>
      <c r="Q37" s="96">
        <f ca="1">IF(AND(Table__10.2.1.2_1_4AHB_READ_DAILY[[#This Row],[PER_DATE]]&gt;SUM(V54231-30), Table__10.2.1.2_1_4AHB_READ_DAILY[[#This Row],[PER_DATE]]&lt;SUM(TODAY()+1)),24,0)</f>
        <v>0</v>
      </c>
      <c r="R37">
        <v>41710</v>
      </c>
    </row>
    <row r="38" spans="1:18">
      <c r="A38">
        <v>41713</v>
      </c>
      <c r="B38" t="s">
        <v>768</v>
      </c>
      <c r="C38" t="s">
        <v>25</v>
      </c>
      <c r="D38" t="s">
        <v>748</v>
      </c>
      <c r="E38" s="278">
        <v>13</v>
      </c>
      <c r="F38" s="96">
        <v>24</v>
      </c>
      <c r="G38" s="96">
        <v>0</v>
      </c>
      <c r="H38" s="96">
        <v>0</v>
      </c>
      <c r="I38" s="96">
        <v>0</v>
      </c>
      <c r="J38" s="96">
        <v>0</v>
      </c>
      <c r="K38" s="96">
        <v>0</v>
      </c>
      <c r="L38" s="96">
        <v>0</v>
      </c>
      <c r="M38" s="96">
        <v>0</v>
      </c>
      <c r="N38" s="96">
        <v>0</v>
      </c>
      <c r="O38" s="96">
        <f>IF(Table__10.2.1.2_1_4AHB_READ_DAILY[[#This Row],[PER_DATE]]&gt;SUM(V54232-30), Table__10.2.1.2_1_4AHB_READ_DAILY[[#This Row],[FLY_HOURS]],0)</f>
        <v>0</v>
      </c>
      <c r="P38" s="96">
        <f ca="1">IF(AND(Table__10.2.1.2_1_4AHB_READ_DAILY[[#This Row],[PER_DATE]]&gt;SUM(V54232-30), Table__10.2.1.2_1_4AHB_READ_DAILY[[#This Row],[PER_DATE]]&lt;SUM(TODAY()+1)),Table__10.2.1.2_1_4AHB_READ_DAILY[[#This Row],[FMC]],0)</f>
        <v>0</v>
      </c>
      <c r="Q38" s="96">
        <f ca="1">IF(AND(Table__10.2.1.2_1_4AHB_READ_DAILY[[#This Row],[PER_DATE]]&gt;SUM(V54232-30), Table__10.2.1.2_1_4AHB_READ_DAILY[[#This Row],[PER_DATE]]&lt;SUM(TODAY()+1)),24,0)</f>
        <v>0</v>
      </c>
      <c r="R38">
        <v>41711</v>
      </c>
    </row>
    <row r="39" spans="1:18">
      <c r="A39">
        <v>41713</v>
      </c>
      <c r="B39" t="s">
        <v>768</v>
      </c>
      <c r="C39" t="s">
        <v>25</v>
      </c>
      <c r="D39" t="s">
        <v>750</v>
      </c>
      <c r="E39" s="278">
        <v>13</v>
      </c>
      <c r="F39" s="96">
        <v>24</v>
      </c>
      <c r="G39" s="96">
        <v>0</v>
      </c>
      <c r="H39" s="96">
        <v>0</v>
      </c>
      <c r="I39" s="96">
        <v>0</v>
      </c>
      <c r="J39" s="96">
        <v>0</v>
      </c>
      <c r="K39" s="96">
        <v>0</v>
      </c>
      <c r="L39" s="96">
        <v>0</v>
      </c>
      <c r="M39" s="96">
        <v>0</v>
      </c>
      <c r="N39" s="96">
        <v>0</v>
      </c>
      <c r="O39" s="96">
        <f>IF(Table__10.2.1.2_1_4AHB_READ_DAILY[[#This Row],[PER_DATE]]&gt;SUM(V54233-30), Table__10.2.1.2_1_4AHB_READ_DAILY[[#This Row],[FLY_HOURS]],0)</f>
        <v>0</v>
      </c>
      <c r="P39" s="96">
        <f ca="1">IF(AND(Table__10.2.1.2_1_4AHB_READ_DAILY[[#This Row],[PER_DATE]]&gt;SUM(V54233-30), Table__10.2.1.2_1_4AHB_READ_DAILY[[#This Row],[PER_DATE]]&lt;SUM(TODAY()+1)),Table__10.2.1.2_1_4AHB_READ_DAILY[[#This Row],[FMC]],0)</f>
        <v>0</v>
      </c>
      <c r="Q39" s="96">
        <f ca="1">IF(AND(Table__10.2.1.2_1_4AHB_READ_DAILY[[#This Row],[PER_DATE]]&gt;SUM(V54233-30), Table__10.2.1.2_1_4AHB_READ_DAILY[[#This Row],[PER_DATE]]&lt;SUM(TODAY()+1)),24,0)</f>
        <v>0</v>
      </c>
      <c r="R39">
        <v>41711</v>
      </c>
    </row>
    <row r="40" spans="1:18">
      <c r="A40">
        <v>41713</v>
      </c>
      <c r="B40" t="s">
        <v>768</v>
      </c>
      <c r="C40" t="s">
        <v>25</v>
      </c>
      <c r="D40" t="s">
        <v>752</v>
      </c>
      <c r="E40" s="278">
        <v>13</v>
      </c>
      <c r="F40" s="96">
        <v>24</v>
      </c>
      <c r="G40" s="96">
        <v>0</v>
      </c>
      <c r="H40" s="96">
        <v>0</v>
      </c>
      <c r="I40" s="96">
        <v>0</v>
      </c>
      <c r="J40" s="96">
        <v>0</v>
      </c>
      <c r="K40" s="96">
        <v>0</v>
      </c>
      <c r="L40" s="96">
        <v>0</v>
      </c>
      <c r="M40" s="96">
        <v>0</v>
      </c>
      <c r="N40" s="96">
        <v>0</v>
      </c>
      <c r="O40" s="96">
        <f>IF(Table__10.2.1.2_1_4AHB_READ_DAILY[[#This Row],[PER_DATE]]&gt;SUM(V54234-30), Table__10.2.1.2_1_4AHB_READ_DAILY[[#This Row],[FLY_HOURS]],0)</f>
        <v>0</v>
      </c>
      <c r="P40" s="96">
        <f ca="1">IF(AND(Table__10.2.1.2_1_4AHB_READ_DAILY[[#This Row],[PER_DATE]]&gt;SUM(V54234-30), Table__10.2.1.2_1_4AHB_READ_DAILY[[#This Row],[PER_DATE]]&lt;SUM(TODAY()+1)),Table__10.2.1.2_1_4AHB_READ_DAILY[[#This Row],[FMC]],0)</f>
        <v>0</v>
      </c>
      <c r="Q40" s="96">
        <f ca="1">IF(AND(Table__10.2.1.2_1_4AHB_READ_DAILY[[#This Row],[PER_DATE]]&gt;SUM(V54234-30), Table__10.2.1.2_1_4AHB_READ_DAILY[[#This Row],[PER_DATE]]&lt;SUM(TODAY()+1)),24,0)</f>
        <v>0</v>
      </c>
      <c r="R40">
        <v>41711</v>
      </c>
    </row>
    <row r="41" spans="1:18">
      <c r="A41">
        <v>41713</v>
      </c>
      <c r="B41" t="s">
        <v>768</v>
      </c>
      <c r="C41" t="s">
        <v>25</v>
      </c>
      <c r="D41" t="s">
        <v>748</v>
      </c>
      <c r="E41" s="278">
        <v>14</v>
      </c>
      <c r="F41" s="96">
        <v>24</v>
      </c>
      <c r="G41" s="96">
        <v>0</v>
      </c>
      <c r="H41" s="96">
        <v>0</v>
      </c>
      <c r="I41" s="96">
        <v>0</v>
      </c>
      <c r="J41" s="96">
        <v>0</v>
      </c>
      <c r="K41" s="96">
        <v>0</v>
      </c>
      <c r="L41" s="96">
        <v>0</v>
      </c>
      <c r="M41" s="96">
        <v>0</v>
      </c>
      <c r="N41" s="96">
        <v>0</v>
      </c>
      <c r="O41" s="96">
        <f>IF(Table__10.2.1.2_1_4AHB_READ_DAILY[[#This Row],[PER_DATE]]&gt;SUM(V54235-30), Table__10.2.1.2_1_4AHB_READ_DAILY[[#This Row],[FLY_HOURS]],0)</f>
        <v>0</v>
      </c>
      <c r="P41" s="96">
        <f ca="1">IF(AND(Table__10.2.1.2_1_4AHB_READ_DAILY[[#This Row],[PER_DATE]]&gt;SUM(V54235-30), Table__10.2.1.2_1_4AHB_READ_DAILY[[#This Row],[PER_DATE]]&lt;SUM(TODAY()+1)),Table__10.2.1.2_1_4AHB_READ_DAILY[[#This Row],[FMC]],0)</f>
        <v>0</v>
      </c>
      <c r="Q41" s="96">
        <f ca="1">IF(AND(Table__10.2.1.2_1_4AHB_READ_DAILY[[#This Row],[PER_DATE]]&gt;SUM(V54235-30), Table__10.2.1.2_1_4AHB_READ_DAILY[[#This Row],[PER_DATE]]&lt;SUM(TODAY()+1)),24,0)</f>
        <v>0</v>
      </c>
      <c r="R41">
        <v>41712</v>
      </c>
    </row>
    <row r="42" spans="1:18">
      <c r="A42">
        <v>41713</v>
      </c>
      <c r="B42" t="s">
        <v>768</v>
      </c>
      <c r="C42" t="s">
        <v>25</v>
      </c>
      <c r="D42" t="s">
        <v>750</v>
      </c>
      <c r="E42" s="278">
        <v>14</v>
      </c>
      <c r="F42" s="96">
        <v>24</v>
      </c>
      <c r="G42" s="96">
        <v>0</v>
      </c>
      <c r="H42" s="96">
        <v>0</v>
      </c>
      <c r="I42" s="96">
        <v>0</v>
      </c>
      <c r="J42" s="96">
        <v>0</v>
      </c>
      <c r="K42" s="96">
        <v>0</v>
      </c>
      <c r="L42" s="96">
        <v>0</v>
      </c>
      <c r="M42" s="96">
        <v>0</v>
      </c>
      <c r="N42" s="96">
        <v>0</v>
      </c>
      <c r="O42" s="96">
        <f>IF(Table__10.2.1.2_1_4AHB_READ_DAILY[[#This Row],[PER_DATE]]&gt;SUM(V54236-30), Table__10.2.1.2_1_4AHB_READ_DAILY[[#This Row],[FLY_HOURS]],0)</f>
        <v>0</v>
      </c>
      <c r="P42" s="96">
        <f ca="1">IF(AND(Table__10.2.1.2_1_4AHB_READ_DAILY[[#This Row],[PER_DATE]]&gt;SUM(V54236-30), Table__10.2.1.2_1_4AHB_READ_DAILY[[#This Row],[PER_DATE]]&lt;SUM(TODAY()+1)),Table__10.2.1.2_1_4AHB_READ_DAILY[[#This Row],[FMC]],0)</f>
        <v>0</v>
      </c>
      <c r="Q42" s="96">
        <f ca="1">IF(AND(Table__10.2.1.2_1_4AHB_READ_DAILY[[#This Row],[PER_DATE]]&gt;SUM(V54236-30), Table__10.2.1.2_1_4AHB_READ_DAILY[[#This Row],[PER_DATE]]&lt;SUM(TODAY()+1)),24,0)</f>
        <v>0</v>
      </c>
      <c r="R42">
        <v>41712</v>
      </c>
    </row>
    <row r="43" spans="1:18">
      <c r="A43">
        <v>41713</v>
      </c>
      <c r="B43" t="s">
        <v>768</v>
      </c>
      <c r="C43" t="s">
        <v>25</v>
      </c>
      <c r="D43" t="s">
        <v>752</v>
      </c>
      <c r="E43" s="278">
        <v>14</v>
      </c>
      <c r="F43" s="96">
        <v>24</v>
      </c>
      <c r="G43" s="96">
        <v>0</v>
      </c>
      <c r="H43" s="96">
        <v>0</v>
      </c>
      <c r="I43" s="96">
        <v>0</v>
      </c>
      <c r="J43" s="96">
        <v>0</v>
      </c>
      <c r="K43" s="96">
        <v>0</v>
      </c>
      <c r="L43" s="96">
        <v>0</v>
      </c>
      <c r="M43" s="96">
        <v>0</v>
      </c>
      <c r="N43" s="96">
        <v>0</v>
      </c>
      <c r="O43" s="96">
        <f>IF(Table__10.2.1.2_1_4AHB_READ_DAILY[[#This Row],[PER_DATE]]&gt;SUM(V54237-30), Table__10.2.1.2_1_4AHB_READ_DAILY[[#This Row],[FLY_HOURS]],0)</f>
        <v>0</v>
      </c>
      <c r="P43" s="96">
        <f ca="1">IF(AND(Table__10.2.1.2_1_4AHB_READ_DAILY[[#This Row],[PER_DATE]]&gt;SUM(V54237-30), Table__10.2.1.2_1_4AHB_READ_DAILY[[#This Row],[PER_DATE]]&lt;SUM(TODAY()+1)),Table__10.2.1.2_1_4AHB_READ_DAILY[[#This Row],[FMC]],0)</f>
        <v>0</v>
      </c>
      <c r="Q43" s="96">
        <f ca="1">IF(AND(Table__10.2.1.2_1_4AHB_READ_DAILY[[#This Row],[PER_DATE]]&gt;SUM(V54237-30), Table__10.2.1.2_1_4AHB_READ_DAILY[[#This Row],[PER_DATE]]&lt;SUM(TODAY()+1)),24,0)</f>
        <v>0</v>
      </c>
      <c r="R43">
        <v>41712</v>
      </c>
    </row>
    <row r="44" spans="1:18">
      <c r="A44">
        <v>41713</v>
      </c>
      <c r="B44" t="s">
        <v>768</v>
      </c>
      <c r="C44" t="s">
        <v>25</v>
      </c>
      <c r="D44" t="s">
        <v>748</v>
      </c>
      <c r="E44" s="278">
        <v>15</v>
      </c>
      <c r="F44" s="96">
        <v>24</v>
      </c>
      <c r="G44" s="96">
        <v>0</v>
      </c>
      <c r="H44" s="96">
        <v>0</v>
      </c>
      <c r="I44" s="96">
        <v>0</v>
      </c>
      <c r="J44" s="96">
        <v>0</v>
      </c>
      <c r="K44" s="96">
        <v>0</v>
      </c>
      <c r="L44" s="96">
        <v>0</v>
      </c>
      <c r="M44" s="96">
        <v>0</v>
      </c>
      <c r="N44" s="96">
        <v>0</v>
      </c>
      <c r="O44" s="96">
        <f>IF(Table__10.2.1.2_1_4AHB_READ_DAILY[[#This Row],[PER_DATE]]&gt;SUM(V54238-30), Table__10.2.1.2_1_4AHB_READ_DAILY[[#This Row],[FLY_HOURS]],0)</f>
        <v>0</v>
      </c>
      <c r="P44" s="96">
        <f ca="1">IF(AND(Table__10.2.1.2_1_4AHB_READ_DAILY[[#This Row],[PER_DATE]]&gt;SUM(V54238-30), Table__10.2.1.2_1_4AHB_READ_DAILY[[#This Row],[PER_DATE]]&lt;SUM(TODAY()+1)),Table__10.2.1.2_1_4AHB_READ_DAILY[[#This Row],[FMC]],0)</f>
        <v>0</v>
      </c>
      <c r="Q44" s="96">
        <f ca="1">IF(AND(Table__10.2.1.2_1_4AHB_READ_DAILY[[#This Row],[PER_DATE]]&gt;SUM(V54238-30), Table__10.2.1.2_1_4AHB_READ_DAILY[[#This Row],[PER_DATE]]&lt;SUM(TODAY()+1)),24,0)</f>
        <v>0</v>
      </c>
      <c r="R44">
        <v>41713</v>
      </c>
    </row>
    <row r="45" spans="1:18">
      <c r="A45">
        <v>41713</v>
      </c>
      <c r="B45" t="s">
        <v>768</v>
      </c>
      <c r="C45" t="s">
        <v>25</v>
      </c>
      <c r="D45" t="s">
        <v>750</v>
      </c>
      <c r="E45" s="278">
        <v>15</v>
      </c>
      <c r="F45" s="96">
        <v>24</v>
      </c>
      <c r="G45" s="96">
        <v>0</v>
      </c>
      <c r="H45" s="96">
        <v>0</v>
      </c>
      <c r="I45" s="96">
        <v>0</v>
      </c>
      <c r="J45" s="96">
        <v>0</v>
      </c>
      <c r="K45" s="96">
        <v>0</v>
      </c>
      <c r="L45" s="96">
        <v>0</v>
      </c>
      <c r="M45" s="96">
        <v>0</v>
      </c>
      <c r="N45" s="96">
        <v>0</v>
      </c>
      <c r="O45" s="96">
        <f>IF(Table__10.2.1.2_1_4AHB_READ_DAILY[[#This Row],[PER_DATE]]&gt;SUM(V54239-30), Table__10.2.1.2_1_4AHB_READ_DAILY[[#This Row],[FLY_HOURS]],0)</f>
        <v>0</v>
      </c>
      <c r="P45" s="96">
        <f ca="1">IF(AND(Table__10.2.1.2_1_4AHB_READ_DAILY[[#This Row],[PER_DATE]]&gt;SUM(V54239-30), Table__10.2.1.2_1_4AHB_READ_DAILY[[#This Row],[PER_DATE]]&lt;SUM(TODAY()+1)),Table__10.2.1.2_1_4AHB_READ_DAILY[[#This Row],[FMC]],0)</f>
        <v>0</v>
      </c>
      <c r="Q45" s="96">
        <f ca="1">IF(AND(Table__10.2.1.2_1_4AHB_READ_DAILY[[#This Row],[PER_DATE]]&gt;SUM(V54239-30), Table__10.2.1.2_1_4AHB_READ_DAILY[[#This Row],[PER_DATE]]&lt;SUM(TODAY()+1)),24,0)</f>
        <v>0</v>
      </c>
      <c r="R45">
        <v>41713</v>
      </c>
    </row>
    <row r="46" spans="1:18">
      <c r="A46">
        <v>41713</v>
      </c>
      <c r="B46" t="s">
        <v>768</v>
      </c>
      <c r="C46" t="s">
        <v>25</v>
      </c>
      <c r="D46" t="s">
        <v>752</v>
      </c>
      <c r="E46" s="278">
        <v>15</v>
      </c>
      <c r="F46" s="96">
        <v>24</v>
      </c>
      <c r="G46" s="96">
        <v>0</v>
      </c>
      <c r="H46" s="96">
        <v>0</v>
      </c>
      <c r="I46" s="96">
        <v>0</v>
      </c>
      <c r="J46" s="96">
        <v>0</v>
      </c>
      <c r="K46" s="96">
        <v>0</v>
      </c>
      <c r="L46" s="96">
        <v>0</v>
      </c>
      <c r="M46" s="96">
        <v>0</v>
      </c>
      <c r="N46" s="96">
        <v>0</v>
      </c>
      <c r="O46" s="96">
        <f>IF(Table__10.2.1.2_1_4AHB_READ_DAILY[[#This Row],[PER_DATE]]&gt;SUM(V54240-30), Table__10.2.1.2_1_4AHB_READ_DAILY[[#This Row],[FLY_HOURS]],0)</f>
        <v>0</v>
      </c>
      <c r="P46" s="96">
        <f ca="1">IF(AND(Table__10.2.1.2_1_4AHB_READ_DAILY[[#This Row],[PER_DATE]]&gt;SUM(V54240-30), Table__10.2.1.2_1_4AHB_READ_DAILY[[#This Row],[PER_DATE]]&lt;SUM(TODAY()+1)),Table__10.2.1.2_1_4AHB_READ_DAILY[[#This Row],[FMC]],0)</f>
        <v>0</v>
      </c>
      <c r="Q46" s="96">
        <f ca="1">IF(AND(Table__10.2.1.2_1_4AHB_READ_DAILY[[#This Row],[PER_DATE]]&gt;SUM(V54240-30), Table__10.2.1.2_1_4AHB_READ_DAILY[[#This Row],[PER_DATE]]&lt;SUM(TODAY()+1)),24,0)</f>
        <v>0</v>
      </c>
      <c r="R46">
        <v>41713</v>
      </c>
    </row>
    <row r="47" spans="1:18">
      <c r="A47">
        <v>41713</v>
      </c>
      <c r="B47" t="s">
        <v>768</v>
      </c>
      <c r="C47" t="s">
        <v>25</v>
      </c>
      <c r="D47" t="s">
        <v>748</v>
      </c>
      <c r="E47" s="278">
        <v>16</v>
      </c>
      <c r="F47" s="96">
        <v>0</v>
      </c>
      <c r="G47" s="96">
        <v>0</v>
      </c>
      <c r="H47" s="96">
        <v>0</v>
      </c>
      <c r="I47" s="96">
        <v>0</v>
      </c>
      <c r="J47" s="96">
        <v>0</v>
      </c>
      <c r="K47" s="96">
        <v>0</v>
      </c>
      <c r="L47" s="96">
        <v>24</v>
      </c>
      <c r="M47" s="96">
        <v>0</v>
      </c>
      <c r="N47" s="96">
        <v>0</v>
      </c>
      <c r="O47" s="96">
        <f>IF(Table__10.2.1.2_1_4AHB_READ_DAILY[[#This Row],[PER_DATE]]&gt;SUM(V54241-30), Table__10.2.1.2_1_4AHB_READ_DAILY[[#This Row],[FLY_HOURS]],0)</f>
        <v>0</v>
      </c>
      <c r="P47" s="96">
        <f ca="1">IF(AND(Table__10.2.1.2_1_4AHB_READ_DAILY[[#This Row],[PER_DATE]]&gt;SUM(V54241-30), Table__10.2.1.2_1_4AHB_READ_DAILY[[#This Row],[PER_DATE]]&lt;SUM(TODAY()+1)),Table__10.2.1.2_1_4AHB_READ_DAILY[[#This Row],[FMC]],0)</f>
        <v>0</v>
      </c>
      <c r="Q47" s="96">
        <f ca="1">IF(AND(Table__10.2.1.2_1_4AHB_READ_DAILY[[#This Row],[PER_DATE]]&gt;SUM(V54241-30), Table__10.2.1.2_1_4AHB_READ_DAILY[[#This Row],[PER_DATE]]&lt;SUM(TODAY()+1)),24,0)</f>
        <v>24</v>
      </c>
      <c r="R47">
        <v>41686</v>
      </c>
    </row>
    <row r="48" spans="1:18">
      <c r="A48">
        <v>41713</v>
      </c>
      <c r="B48" t="s">
        <v>768</v>
      </c>
      <c r="C48" t="s">
        <v>25</v>
      </c>
      <c r="D48" t="s">
        <v>750</v>
      </c>
      <c r="E48" s="278">
        <v>16</v>
      </c>
      <c r="F48" s="96">
        <v>24</v>
      </c>
      <c r="G48" s="96">
        <v>0</v>
      </c>
      <c r="H48" s="96">
        <v>0</v>
      </c>
      <c r="I48" s="96">
        <v>0</v>
      </c>
      <c r="J48" s="96">
        <v>0</v>
      </c>
      <c r="K48" s="96">
        <v>0</v>
      </c>
      <c r="L48" s="96">
        <v>0</v>
      </c>
      <c r="M48" s="96">
        <v>0</v>
      </c>
      <c r="N48" s="96">
        <v>0</v>
      </c>
      <c r="O48" s="96">
        <f>IF(Table__10.2.1.2_1_4AHB_READ_DAILY[[#This Row],[PER_DATE]]&gt;SUM(V54242-30), Table__10.2.1.2_1_4AHB_READ_DAILY[[#This Row],[FLY_HOURS]],0)</f>
        <v>0</v>
      </c>
      <c r="P48" s="96">
        <f ca="1">IF(AND(Table__10.2.1.2_1_4AHB_READ_DAILY[[#This Row],[PER_DATE]]&gt;SUM(V54242-30), Table__10.2.1.2_1_4AHB_READ_DAILY[[#This Row],[PER_DATE]]&lt;SUM(TODAY()+1)),Table__10.2.1.2_1_4AHB_READ_DAILY[[#This Row],[FMC]],0)</f>
        <v>24</v>
      </c>
      <c r="Q48" s="96">
        <f ca="1">IF(AND(Table__10.2.1.2_1_4AHB_READ_DAILY[[#This Row],[PER_DATE]]&gt;SUM(V54242-30), Table__10.2.1.2_1_4AHB_READ_DAILY[[#This Row],[PER_DATE]]&lt;SUM(TODAY()+1)),24,0)</f>
        <v>24</v>
      </c>
      <c r="R48">
        <v>41686</v>
      </c>
    </row>
    <row r="49" spans="1:18">
      <c r="A49">
        <v>41713</v>
      </c>
      <c r="B49" t="s">
        <v>768</v>
      </c>
      <c r="C49" t="s">
        <v>25</v>
      </c>
      <c r="D49" t="s">
        <v>752</v>
      </c>
      <c r="E49" s="278">
        <v>16</v>
      </c>
      <c r="F49" s="96">
        <v>24</v>
      </c>
      <c r="G49" s="96">
        <v>0</v>
      </c>
      <c r="H49" s="96">
        <v>0</v>
      </c>
      <c r="I49" s="96">
        <v>0</v>
      </c>
      <c r="J49" s="96">
        <v>0</v>
      </c>
      <c r="K49" s="96">
        <v>0</v>
      </c>
      <c r="L49" s="96">
        <v>0</v>
      </c>
      <c r="M49" s="96">
        <v>0</v>
      </c>
      <c r="N49" s="96">
        <v>0</v>
      </c>
      <c r="O49" s="96">
        <f>IF(Table__10.2.1.2_1_4AHB_READ_DAILY[[#This Row],[PER_DATE]]&gt;SUM(V54243-30), Table__10.2.1.2_1_4AHB_READ_DAILY[[#This Row],[FLY_HOURS]],0)</f>
        <v>0</v>
      </c>
      <c r="P49" s="96">
        <f ca="1">IF(AND(Table__10.2.1.2_1_4AHB_READ_DAILY[[#This Row],[PER_DATE]]&gt;SUM(V54243-30), Table__10.2.1.2_1_4AHB_READ_DAILY[[#This Row],[PER_DATE]]&lt;SUM(TODAY()+1)),Table__10.2.1.2_1_4AHB_READ_DAILY[[#This Row],[FMC]],0)</f>
        <v>24</v>
      </c>
      <c r="Q49" s="96">
        <f ca="1">IF(AND(Table__10.2.1.2_1_4AHB_READ_DAILY[[#This Row],[PER_DATE]]&gt;SUM(V54243-30), Table__10.2.1.2_1_4AHB_READ_DAILY[[#This Row],[PER_DATE]]&lt;SUM(TODAY()+1)),24,0)</f>
        <v>24</v>
      </c>
      <c r="R49">
        <v>41686</v>
      </c>
    </row>
    <row r="50" spans="1:18">
      <c r="A50">
        <v>41713</v>
      </c>
      <c r="B50" t="s">
        <v>768</v>
      </c>
      <c r="C50" t="s">
        <v>25</v>
      </c>
      <c r="D50" t="s">
        <v>748</v>
      </c>
      <c r="E50" s="278">
        <v>17</v>
      </c>
      <c r="F50" s="96">
        <v>0</v>
      </c>
      <c r="G50" s="96">
        <v>0</v>
      </c>
      <c r="H50" s="96">
        <v>0</v>
      </c>
      <c r="I50" s="96">
        <v>0</v>
      </c>
      <c r="J50" s="96">
        <v>0</v>
      </c>
      <c r="K50" s="96">
        <v>0</v>
      </c>
      <c r="L50" s="96">
        <v>24</v>
      </c>
      <c r="M50" s="96">
        <v>0</v>
      </c>
      <c r="N50" s="96">
        <v>0</v>
      </c>
      <c r="O50" s="96">
        <f>IF(Table__10.2.1.2_1_4AHB_READ_DAILY[[#This Row],[PER_DATE]]&gt;SUM(V54244-30), Table__10.2.1.2_1_4AHB_READ_DAILY[[#This Row],[FLY_HOURS]],0)</f>
        <v>0</v>
      </c>
      <c r="P50" s="96">
        <f ca="1">IF(AND(Table__10.2.1.2_1_4AHB_READ_DAILY[[#This Row],[PER_DATE]]&gt;SUM(V54244-30), Table__10.2.1.2_1_4AHB_READ_DAILY[[#This Row],[PER_DATE]]&lt;SUM(TODAY()+1)),Table__10.2.1.2_1_4AHB_READ_DAILY[[#This Row],[FMC]],0)</f>
        <v>0</v>
      </c>
      <c r="Q50" s="96">
        <f ca="1">IF(AND(Table__10.2.1.2_1_4AHB_READ_DAILY[[#This Row],[PER_DATE]]&gt;SUM(V54244-30), Table__10.2.1.2_1_4AHB_READ_DAILY[[#This Row],[PER_DATE]]&lt;SUM(TODAY()+1)),24,0)</f>
        <v>24</v>
      </c>
      <c r="R50">
        <v>41687</v>
      </c>
    </row>
    <row r="51" spans="1:18">
      <c r="A51">
        <v>41713</v>
      </c>
      <c r="B51" t="s">
        <v>768</v>
      </c>
      <c r="C51" t="s">
        <v>25</v>
      </c>
      <c r="D51" t="s">
        <v>750</v>
      </c>
      <c r="E51" s="278">
        <v>17</v>
      </c>
      <c r="F51" s="96">
        <v>24</v>
      </c>
      <c r="G51" s="96">
        <v>0</v>
      </c>
      <c r="H51" s="96">
        <v>0</v>
      </c>
      <c r="I51" s="96">
        <v>0</v>
      </c>
      <c r="J51" s="96">
        <v>0</v>
      </c>
      <c r="K51" s="96">
        <v>0</v>
      </c>
      <c r="L51" s="96">
        <v>0</v>
      </c>
      <c r="M51" s="96">
        <v>0</v>
      </c>
      <c r="N51" s="96">
        <v>0</v>
      </c>
      <c r="O51" s="96">
        <f>IF(Table__10.2.1.2_1_4AHB_READ_DAILY[[#This Row],[PER_DATE]]&gt;SUM(V54245-30), Table__10.2.1.2_1_4AHB_READ_DAILY[[#This Row],[FLY_HOURS]],0)</f>
        <v>0</v>
      </c>
      <c r="P51" s="96">
        <f ca="1">IF(AND(Table__10.2.1.2_1_4AHB_READ_DAILY[[#This Row],[PER_DATE]]&gt;SUM(V54245-30), Table__10.2.1.2_1_4AHB_READ_DAILY[[#This Row],[PER_DATE]]&lt;SUM(TODAY()+1)),Table__10.2.1.2_1_4AHB_READ_DAILY[[#This Row],[FMC]],0)</f>
        <v>24</v>
      </c>
      <c r="Q51" s="96">
        <f ca="1">IF(AND(Table__10.2.1.2_1_4AHB_READ_DAILY[[#This Row],[PER_DATE]]&gt;SUM(V54245-30), Table__10.2.1.2_1_4AHB_READ_DAILY[[#This Row],[PER_DATE]]&lt;SUM(TODAY()+1)),24,0)</f>
        <v>24</v>
      </c>
      <c r="R51">
        <v>41687</v>
      </c>
    </row>
    <row r="52" spans="1:18">
      <c r="A52">
        <v>41713</v>
      </c>
      <c r="B52" t="s">
        <v>768</v>
      </c>
      <c r="C52" t="s">
        <v>25</v>
      </c>
      <c r="D52" t="s">
        <v>752</v>
      </c>
      <c r="E52" s="278">
        <v>17</v>
      </c>
      <c r="F52" s="96">
        <v>24</v>
      </c>
      <c r="G52" s="96">
        <v>0</v>
      </c>
      <c r="H52" s="96">
        <v>0</v>
      </c>
      <c r="I52" s="96">
        <v>0</v>
      </c>
      <c r="J52" s="96">
        <v>0</v>
      </c>
      <c r="K52" s="96">
        <v>0</v>
      </c>
      <c r="L52" s="96">
        <v>0</v>
      </c>
      <c r="M52" s="96">
        <v>0</v>
      </c>
      <c r="N52" s="96">
        <v>0</v>
      </c>
      <c r="O52" s="96">
        <f>IF(Table__10.2.1.2_1_4AHB_READ_DAILY[[#This Row],[PER_DATE]]&gt;SUM(V54246-30), Table__10.2.1.2_1_4AHB_READ_DAILY[[#This Row],[FLY_HOURS]],0)</f>
        <v>0</v>
      </c>
      <c r="P52" s="96">
        <f ca="1">IF(AND(Table__10.2.1.2_1_4AHB_READ_DAILY[[#This Row],[PER_DATE]]&gt;SUM(V54246-30), Table__10.2.1.2_1_4AHB_READ_DAILY[[#This Row],[PER_DATE]]&lt;SUM(TODAY()+1)),Table__10.2.1.2_1_4AHB_READ_DAILY[[#This Row],[FMC]],0)</f>
        <v>24</v>
      </c>
      <c r="Q52" s="96">
        <f ca="1">IF(AND(Table__10.2.1.2_1_4AHB_READ_DAILY[[#This Row],[PER_DATE]]&gt;SUM(V54246-30), Table__10.2.1.2_1_4AHB_READ_DAILY[[#This Row],[PER_DATE]]&lt;SUM(TODAY()+1)),24,0)</f>
        <v>24</v>
      </c>
      <c r="R52">
        <v>41687</v>
      </c>
    </row>
    <row r="53" spans="1:18">
      <c r="A53">
        <v>41713</v>
      </c>
      <c r="B53" t="s">
        <v>768</v>
      </c>
      <c r="C53" t="s">
        <v>25</v>
      </c>
      <c r="D53" t="s">
        <v>748</v>
      </c>
      <c r="E53" s="278">
        <v>18</v>
      </c>
      <c r="F53" s="96">
        <v>0</v>
      </c>
      <c r="G53" s="96">
        <v>0</v>
      </c>
      <c r="H53" s="96">
        <v>0</v>
      </c>
      <c r="I53" s="96">
        <v>0</v>
      </c>
      <c r="J53" s="96">
        <v>0</v>
      </c>
      <c r="K53" s="96">
        <v>0</v>
      </c>
      <c r="L53" s="96">
        <v>24</v>
      </c>
      <c r="M53" s="96">
        <v>0</v>
      </c>
      <c r="N53" s="96">
        <v>0</v>
      </c>
      <c r="O53" s="96">
        <f>IF(Table__10.2.1.2_1_4AHB_READ_DAILY[[#This Row],[PER_DATE]]&gt;SUM(V54247-30), Table__10.2.1.2_1_4AHB_READ_DAILY[[#This Row],[FLY_HOURS]],0)</f>
        <v>0</v>
      </c>
      <c r="P53" s="96">
        <f ca="1">IF(AND(Table__10.2.1.2_1_4AHB_READ_DAILY[[#This Row],[PER_DATE]]&gt;SUM(V54247-30), Table__10.2.1.2_1_4AHB_READ_DAILY[[#This Row],[PER_DATE]]&lt;SUM(TODAY()+1)),Table__10.2.1.2_1_4AHB_READ_DAILY[[#This Row],[FMC]],0)</f>
        <v>0</v>
      </c>
      <c r="Q53" s="96">
        <f ca="1">IF(AND(Table__10.2.1.2_1_4AHB_READ_DAILY[[#This Row],[PER_DATE]]&gt;SUM(V54247-30), Table__10.2.1.2_1_4AHB_READ_DAILY[[#This Row],[PER_DATE]]&lt;SUM(TODAY()+1)),24,0)</f>
        <v>24</v>
      </c>
      <c r="R53">
        <v>41688</v>
      </c>
    </row>
    <row r="54" spans="1:18">
      <c r="A54">
        <v>41713</v>
      </c>
      <c r="B54" t="s">
        <v>768</v>
      </c>
      <c r="C54" t="s">
        <v>25</v>
      </c>
      <c r="D54" t="s">
        <v>750</v>
      </c>
      <c r="E54" s="278">
        <v>18</v>
      </c>
      <c r="F54" s="96">
        <v>24</v>
      </c>
      <c r="G54" s="96">
        <v>0</v>
      </c>
      <c r="H54" s="96">
        <v>0</v>
      </c>
      <c r="I54" s="96">
        <v>0</v>
      </c>
      <c r="J54" s="96">
        <v>0</v>
      </c>
      <c r="K54" s="96">
        <v>0</v>
      </c>
      <c r="L54" s="96">
        <v>0</v>
      </c>
      <c r="M54" s="96">
        <v>0</v>
      </c>
      <c r="N54" s="96">
        <v>0</v>
      </c>
      <c r="O54" s="96">
        <f>IF(Table__10.2.1.2_1_4AHB_READ_DAILY[[#This Row],[PER_DATE]]&gt;SUM(V54248-30), Table__10.2.1.2_1_4AHB_READ_DAILY[[#This Row],[FLY_HOURS]],0)</f>
        <v>0</v>
      </c>
      <c r="P54" s="96">
        <f ca="1">IF(AND(Table__10.2.1.2_1_4AHB_READ_DAILY[[#This Row],[PER_DATE]]&gt;SUM(V54248-30), Table__10.2.1.2_1_4AHB_READ_DAILY[[#This Row],[PER_DATE]]&lt;SUM(TODAY()+1)),Table__10.2.1.2_1_4AHB_READ_DAILY[[#This Row],[FMC]],0)</f>
        <v>24</v>
      </c>
      <c r="Q54" s="96">
        <f ca="1">IF(AND(Table__10.2.1.2_1_4AHB_READ_DAILY[[#This Row],[PER_DATE]]&gt;SUM(V54248-30), Table__10.2.1.2_1_4AHB_READ_DAILY[[#This Row],[PER_DATE]]&lt;SUM(TODAY()+1)),24,0)</f>
        <v>24</v>
      </c>
      <c r="R54">
        <v>41688</v>
      </c>
    </row>
    <row r="55" spans="1:18">
      <c r="A55">
        <v>41713</v>
      </c>
      <c r="B55" t="s">
        <v>768</v>
      </c>
      <c r="C55" t="s">
        <v>25</v>
      </c>
      <c r="D55" t="s">
        <v>752</v>
      </c>
      <c r="E55" s="278">
        <v>18</v>
      </c>
      <c r="F55" s="96">
        <v>24</v>
      </c>
      <c r="G55" s="96">
        <v>0</v>
      </c>
      <c r="H55" s="96">
        <v>0</v>
      </c>
      <c r="I55" s="96">
        <v>0</v>
      </c>
      <c r="J55" s="96">
        <v>0</v>
      </c>
      <c r="K55" s="96">
        <v>0</v>
      </c>
      <c r="L55" s="96">
        <v>0</v>
      </c>
      <c r="M55" s="96">
        <v>0</v>
      </c>
      <c r="N55" s="96">
        <v>0</v>
      </c>
      <c r="O55" s="96">
        <f>IF(Table__10.2.1.2_1_4AHB_READ_DAILY[[#This Row],[PER_DATE]]&gt;SUM(V54249-30), Table__10.2.1.2_1_4AHB_READ_DAILY[[#This Row],[FLY_HOURS]],0)</f>
        <v>0</v>
      </c>
      <c r="P55" s="96">
        <f ca="1">IF(AND(Table__10.2.1.2_1_4AHB_READ_DAILY[[#This Row],[PER_DATE]]&gt;SUM(V54249-30), Table__10.2.1.2_1_4AHB_READ_DAILY[[#This Row],[PER_DATE]]&lt;SUM(TODAY()+1)),Table__10.2.1.2_1_4AHB_READ_DAILY[[#This Row],[FMC]],0)</f>
        <v>24</v>
      </c>
      <c r="Q55" s="96">
        <f ca="1">IF(AND(Table__10.2.1.2_1_4AHB_READ_DAILY[[#This Row],[PER_DATE]]&gt;SUM(V54249-30), Table__10.2.1.2_1_4AHB_READ_DAILY[[#This Row],[PER_DATE]]&lt;SUM(TODAY()+1)),24,0)</f>
        <v>24</v>
      </c>
      <c r="R55">
        <v>41688</v>
      </c>
    </row>
    <row r="56" spans="1:18">
      <c r="A56">
        <v>41713</v>
      </c>
      <c r="B56" t="s">
        <v>768</v>
      </c>
      <c r="C56" t="s">
        <v>25</v>
      </c>
      <c r="D56" t="s">
        <v>748</v>
      </c>
      <c r="E56" s="278">
        <v>19</v>
      </c>
      <c r="F56" s="96">
        <v>24</v>
      </c>
      <c r="G56" s="96">
        <v>0</v>
      </c>
      <c r="H56" s="96">
        <v>0</v>
      </c>
      <c r="I56" s="96">
        <v>0</v>
      </c>
      <c r="J56" s="96">
        <v>0</v>
      </c>
      <c r="K56" s="96">
        <v>0</v>
      </c>
      <c r="L56" s="96">
        <v>0</v>
      </c>
      <c r="M56" s="96">
        <v>1</v>
      </c>
      <c r="N56" s="96">
        <v>3</v>
      </c>
      <c r="O56" s="96">
        <f>IF(Table__10.2.1.2_1_4AHB_READ_DAILY[[#This Row],[PER_DATE]]&gt;SUM(V54250-30), Table__10.2.1.2_1_4AHB_READ_DAILY[[#This Row],[FLY_HOURS]],0)</f>
        <v>1</v>
      </c>
      <c r="P56" s="96">
        <f ca="1">IF(AND(Table__10.2.1.2_1_4AHB_READ_DAILY[[#This Row],[PER_DATE]]&gt;SUM(V54250-30), Table__10.2.1.2_1_4AHB_READ_DAILY[[#This Row],[PER_DATE]]&lt;SUM(TODAY()+1)),Table__10.2.1.2_1_4AHB_READ_DAILY[[#This Row],[FMC]],0)</f>
        <v>24</v>
      </c>
      <c r="Q56" s="96">
        <f ca="1">IF(AND(Table__10.2.1.2_1_4AHB_READ_DAILY[[#This Row],[PER_DATE]]&gt;SUM(V54250-30), Table__10.2.1.2_1_4AHB_READ_DAILY[[#This Row],[PER_DATE]]&lt;SUM(TODAY()+1)),24,0)</f>
        <v>24</v>
      </c>
      <c r="R56">
        <v>41689</v>
      </c>
    </row>
    <row r="57" spans="1:18">
      <c r="A57">
        <v>41713</v>
      </c>
      <c r="B57" t="s">
        <v>768</v>
      </c>
      <c r="C57" t="s">
        <v>25</v>
      </c>
      <c r="D57" t="s">
        <v>750</v>
      </c>
      <c r="E57" s="278">
        <v>19</v>
      </c>
      <c r="F57" s="96">
        <v>24</v>
      </c>
      <c r="G57" s="96">
        <v>0</v>
      </c>
      <c r="H57" s="96">
        <v>0</v>
      </c>
      <c r="I57" s="96">
        <v>0</v>
      </c>
      <c r="J57" s="96">
        <v>0</v>
      </c>
      <c r="K57" s="96">
        <v>0</v>
      </c>
      <c r="L57" s="96">
        <v>0</v>
      </c>
      <c r="M57" s="96">
        <v>0</v>
      </c>
      <c r="N57" s="96">
        <v>0</v>
      </c>
      <c r="O57" s="96">
        <f>IF(Table__10.2.1.2_1_4AHB_READ_DAILY[[#This Row],[PER_DATE]]&gt;SUM(V54251-30), Table__10.2.1.2_1_4AHB_READ_DAILY[[#This Row],[FLY_HOURS]],0)</f>
        <v>0</v>
      </c>
      <c r="P57" s="96">
        <f ca="1">IF(AND(Table__10.2.1.2_1_4AHB_READ_DAILY[[#This Row],[PER_DATE]]&gt;SUM(V54251-30), Table__10.2.1.2_1_4AHB_READ_DAILY[[#This Row],[PER_DATE]]&lt;SUM(TODAY()+1)),Table__10.2.1.2_1_4AHB_READ_DAILY[[#This Row],[FMC]],0)</f>
        <v>24</v>
      </c>
      <c r="Q57" s="96">
        <f ca="1">IF(AND(Table__10.2.1.2_1_4AHB_READ_DAILY[[#This Row],[PER_DATE]]&gt;SUM(V54251-30), Table__10.2.1.2_1_4AHB_READ_DAILY[[#This Row],[PER_DATE]]&lt;SUM(TODAY()+1)),24,0)</f>
        <v>24</v>
      </c>
      <c r="R57">
        <v>41689</v>
      </c>
    </row>
    <row r="58" spans="1:18">
      <c r="A58">
        <v>41713</v>
      </c>
      <c r="B58" t="s">
        <v>768</v>
      </c>
      <c r="C58" t="s">
        <v>25</v>
      </c>
      <c r="D58" t="s">
        <v>752</v>
      </c>
      <c r="E58" s="278">
        <v>19</v>
      </c>
      <c r="F58" s="96">
        <v>24</v>
      </c>
      <c r="G58" s="96">
        <v>0</v>
      </c>
      <c r="H58" s="96">
        <v>0</v>
      </c>
      <c r="I58" s="96">
        <v>0</v>
      </c>
      <c r="J58" s="96">
        <v>0</v>
      </c>
      <c r="K58" s="96">
        <v>0</v>
      </c>
      <c r="L58" s="96">
        <v>0</v>
      </c>
      <c r="M58" s="96">
        <v>0</v>
      </c>
      <c r="N58" s="96">
        <v>0</v>
      </c>
      <c r="O58" s="96">
        <f>IF(Table__10.2.1.2_1_4AHB_READ_DAILY[[#This Row],[PER_DATE]]&gt;SUM(V54252-30), Table__10.2.1.2_1_4AHB_READ_DAILY[[#This Row],[FLY_HOURS]],0)</f>
        <v>0</v>
      </c>
      <c r="P58" s="96">
        <f ca="1">IF(AND(Table__10.2.1.2_1_4AHB_READ_DAILY[[#This Row],[PER_DATE]]&gt;SUM(V54252-30), Table__10.2.1.2_1_4AHB_READ_DAILY[[#This Row],[PER_DATE]]&lt;SUM(TODAY()+1)),Table__10.2.1.2_1_4AHB_READ_DAILY[[#This Row],[FMC]],0)</f>
        <v>24</v>
      </c>
      <c r="Q58" s="96">
        <f ca="1">IF(AND(Table__10.2.1.2_1_4AHB_READ_DAILY[[#This Row],[PER_DATE]]&gt;SUM(V54252-30), Table__10.2.1.2_1_4AHB_READ_DAILY[[#This Row],[PER_DATE]]&lt;SUM(TODAY()+1)),24,0)</f>
        <v>24</v>
      </c>
      <c r="R58">
        <v>41689</v>
      </c>
    </row>
    <row r="59" spans="1:18">
      <c r="A59">
        <v>41713</v>
      </c>
      <c r="B59" t="s">
        <v>768</v>
      </c>
      <c r="C59" t="s">
        <v>25</v>
      </c>
      <c r="D59" t="s">
        <v>748</v>
      </c>
      <c r="E59" s="278">
        <v>20</v>
      </c>
      <c r="F59" s="96">
        <v>24</v>
      </c>
      <c r="G59" s="96">
        <v>0</v>
      </c>
      <c r="H59" s="96">
        <v>0</v>
      </c>
      <c r="I59" s="96">
        <v>0</v>
      </c>
      <c r="J59" s="96">
        <v>0</v>
      </c>
      <c r="K59" s="96">
        <v>0</v>
      </c>
      <c r="L59" s="96">
        <v>0</v>
      </c>
      <c r="M59" s="96">
        <v>0</v>
      </c>
      <c r="N59" s="96">
        <v>0</v>
      </c>
      <c r="O59" s="96">
        <f>IF(Table__10.2.1.2_1_4AHB_READ_DAILY[[#This Row],[PER_DATE]]&gt;SUM(V54253-30), Table__10.2.1.2_1_4AHB_READ_DAILY[[#This Row],[FLY_HOURS]],0)</f>
        <v>0</v>
      </c>
      <c r="P59" s="96">
        <f ca="1">IF(AND(Table__10.2.1.2_1_4AHB_READ_DAILY[[#This Row],[PER_DATE]]&gt;SUM(V54253-30), Table__10.2.1.2_1_4AHB_READ_DAILY[[#This Row],[PER_DATE]]&lt;SUM(TODAY()+1)),Table__10.2.1.2_1_4AHB_READ_DAILY[[#This Row],[FMC]],0)</f>
        <v>24</v>
      </c>
      <c r="Q59" s="96">
        <f ca="1">IF(AND(Table__10.2.1.2_1_4AHB_READ_DAILY[[#This Row],[PER_DATE]]&gt;SUM(V54253-30), Table__10.2.1.2_1_4AHB_READ_DAILY[[#This Row],[PER_DATE]]&lt;SUM(TODAY()+1)),24,0)</f>
        <v>24</v>
      </c>
      <c r="R59">
        <v>41690</v>
      </c>
    </row>
    <row r="60" spans="1:18">
      <c r="A60">
        <v>41713</v>
      </c>
      <c r="B60" t="s">
        <v>768</v>
      </c>
      <c r="C60" t="s">
        <v>25</v>
      </c>
      <c r="D60" t="s">
        <v>750</v>
      </c>
      <c r="E60" s="278">
        <v>20</v>
      </c>
      <c r="F60" s="96">
        <v>24</v>
      </c>
      <c r="G60" s="96">
        <v>0</v>
      </c>
      <c r="H60" s="96">
        <v>0</v>
      </c>
      <c r="I60" s="96">
        <v>0</v>
      </c>
      <c r="J60" s="96">
        <v>0</v>
      </c>
      <c r="K60" s="96">
        <v>0</v>
      </c>
      <c r="L60" s="96">
        <v>0</v>
      </c>
      <c r="M60" s="96">
        <v>0</v>
      </c>
      <c r="N60" s="96">
        <v>0</v>
      </c>
      <c r="O60" s="96">
        <f>IF(Table__10.2.1.2_1_4AHB_READ_DAILY[[#This Row],[PER_DATE]]&gt;SUM(V54254-30), Table__10.2.1.2_1_4AHB_READ_DAILY[[#This Row],[FLY_HOURS]],0)</f>
        <v>0</v>
      </c>
      <c r="P60" s="96">
        <f ca="1">IF(AND(Table__10.2.1.2_1_4AHB_READ_DAILY[[#This Row],[PER_DATE]]&gt;SUM(V54254-30), Table__10.2.1.2_1_4AHB_READ_DAILY[[#This Row],[PER_DATE]]&lt;SUM(TODAY()+1)),Table__10.2.1.2_1_4AHB_READ_DAILY[[#This Row],[FMC]],0)</f>
        <v>24</v>
      </c>
      <c r="Q60" s="96">
        <f ca="1">IF(AND(Table__10.2.1.2_1_4AHB_READ_DAILY[[#This Row],[PER_DATE]]&gt;SUM(V54254-30), Table__10.2.1.2_1_4AHB_READ_DAILY[[#This Row],[PER_DATE]]&lt;SUM(TODAY()+1)),24,0)</f>
        <v>24</v>
      </c>
      <c r="R60">
        <v>41690</v>
      </c>
    </row>
    <row r="61" spans="1:18">
      <c r="A61">
        <v>41713</v>
      </c>
      <c r="B61" t="s">
        <v>768</v>
      </c>
      <c r="C61" t="s">
        <v>25</v>
      </c>
      <c r="D61" t="s">
        <v>752</v>
      </c>
      <c r="E61" s="278">
        <v>20</v>
      </c>
      <c r="F61" s="96">
        <v>24</v>
      </c>
      <c r="G61" s="96">
        <v>0</v>
      </c>
      <c r="H61" s="96">
        <v>0</v>
      </c>
      <c r="I61" s="96">
        <v>0</v>
      </c>
      <c r="J61" s="96">
        <v>0</v>
      </c>
      <c r="K61" s="96">
        <v>0</v>
      </c>
      <c r="L61" s="96">
        <v>0</v>
      </c>
      <c r="M61" s="96">
        <v>0</v>
      </c>
      <c r="N61" s="96">
        <v>0</v>
      </c>
      <c r="O61" s="96">
        <f>IF(Table__10.2.1.2_1_4AHB_READ_DAILY[[#This Row],[PER_DATE]]&gt;SUM(V54255-30), Table__10.2.1.2_1_4AHB_READ_DAILY[[#This Row],[FLY_HOURS]],0)</f>
        <v>0</v>
      </c>
      <c r="P61" s="96">
        <f ca="1">IF(AND(Table__10.2.1.2_1_4AHB_READ_DAILY[[#This Row],[PER_DATE]]&gt;SUM(V54255-30), Table__10.2.1.2_1_4AHB_READ_DAILY[[#This Row],[PER_DATE]]&lt;SUM(TODAY()+1)),Table__10.2.1.2_1_4AHB_READ_DAILY[[#This Row],[FMC]],0)</f>
        <v>24</v>
      </c>
      <c r="Q61" s="96">
        <f ca="1">IF(AND(Table__10.2.1.2_1_4AHB_READ_DAILY[[#This Row],[PER_DATE]]&gt;SUM(V54255-30), Table__10.2.1.2_1_4AHB_READ_DAILY[[#This Row],[PER_DATE]]&lt;SUM(TODAY()+1)),24,0)</f>
        <v>24</v>
      </c>
      <c r="R61">
        <v>41690</v>
      </c>
    </row>
    <row r="62" spans="1:18">
      <c r="A62">
        <v>41713</v>
      </c>
      <c r="B62" t="s">
        <v>768</v>
      </c>
      <c r="C62" t="s">
        <v>25</v>
      </c>
      <c r="D62" t="s">
        <v>748</v>
      </c>
      <c r="E62" s="278">
        <v>21</v>
      </c>
      <c r="F62" s="96">
        <v>24</v>
      </c>
      <c r="G62" s="96">
        <v>0</v>
      </c>
      <c r="H62" s="96">
        <v>0</v>
      </c>
      <c r="I62" s="96">
        <v>0</v>
      </c>
      <c r="J62" s="96">
        <v>0</v>
      </c>
      <c r="K62" s="96">
        <v>0</v>
      </c>
      <c r="L62" s="96">
        <v>0</v>
      </c>
      <c r="M62" s="96">
        <v>0</v>
      </c>
      <c r="N62" s="96">
        <v>0</v>
      </c>
      <c r="O62" s="96">
        <f>IF(Table__10.2.1.2_1_4AHB_READ_DAILY[[#This Row],[PER_DATE]]&gt;SUM(V54256-30), Table__10.2.1.2_1_4AHB_READ_DAILY[[#This Row],[FLY_HOURS]],0)</f>
        <v>0</v>
      </c>
      <c r="P62" s="96">
        <f ca="1">IF(AND(Table__10.2.1.2_1_4AHB_READ_DAILY[[#This Row],[PER_DATE]]&gt;SUM(V54256-30), Table__10.2.1.2_1_4AHB_READ_DAILY[[#This Row],[PER_DATE]]&lt;SUM(TODAY()+1)),Table__10.2.1.2_1_4AHB_READ_DAILY[[#This Row],[FMC]],0)</f>
        <v>24</v>
      </c>
      <c r="Q62" s="96">
        <f ca="1">IF(AND(Table__10.2.1.2_1_4AHB_READ_DAILY[[#This Row],[PER_DATE]]&gt;SUM(V54256-30), Table__10.2.1.2_1_4AHB_READ_DAILY[[#This Row],[PER_DATE]]&lt;SUM(TODAY()+1)),24,0)</f>
        <v>24</v>
      </c>
      <c r="R62">
        <v>41691</v>
      </c>
    </row>
    <row r="63" spans="1:18">
      <c r="A63">
        <v>41713</v>
      </c>
      <c r="B63" t="s">
        <v>768</v>
      </c>
      <c r="C63" t="s">
        <v>25</v>
      </c>
      <c r="D63" t="s">
        <v>750</v>
      </c>
      <c r="E63" s="278">
        <v>21</v>
      </c>
      <c r="F63" s="96">
        <v>24</v>
      </c>
      <c r="G63" s="96">
        <v>0</v>
      </c>
      <c r="H63" s="96">
        <v>0</v>
      </c>
      <c r="I63" s="96">
        <v>0</v>
      </c>
      <c r="J63" s="96">
        <v>0</v>
      </c>
      <c r="K63" s="96">
        <v>0</v>
      </c>
      <c r="L63" s="96">
        <v>0</v>
      </c>
      <c r="M63" s="96">
        <v>0</v>
      </c>
      <c r="N63" s="96">
        <v>0</v>
      </c>
      <c r="O63" s="96">
        <f>IF(Table__10.2.1.2_1_4AHB_READ_DAILY[[#This Row],[PER_DATE]]&gt;SUM(V54257-30), Table__10.2.1.2_1_4AHB_READ_DAILY[[#This Row],[FLY_HOURS]],0)</f>
        <v>0</v>
      </c>
      <c r="P63" s="96">
        <f ca="1">IF(AND(Table__10.2.1.2_1_4AHB_READ_DAILY[[#This Row],[PER_DATE]]&gt;SUM(V54257-30), Table__10.2.1.2_1_4AHB_READ_DAILY[[#This Row],[PER_DATE]]&lt;SUM(TODAY()+1)),Table__10.2.1.2_1_4AHB_READ_DAILY[[#This Row],[FMC]],0)</f>
        <v>24</v>
      </c>
      <c r="Q63" s="96">
        <f ca="1">IF(AND(Table__10.2.1.2_1_4AHB_READ_DAILY[[#This Row],[PER_DATE]]&gt;SUM(V54257-30), Table__10.2.1.2_1_4AHB_READ_DAILY[[#This Row],[PER_DATE]]&lt;SUM(TODAY()+1)),24,0)</f>
        <v>24</v>
      </c>
      <c r="R63">
        <v>41691</v>
      </c>
    </row>
    <row r="64" spans="1:18">
      <c r="A64">
        <v>41713</v>
      </c>
      <c r="B64" t="s">
        <v>768</v>
      </c>
      <c r="C64" t="s">
        <v>25</v>
      </c>
      <c r="D64" t="s">
        <v>752</v>
      </c>
      <c r="E64" s="278">
        <v>21</v>
      </c>
      <c r="F64" s="96">
        <v>24</v>
      </c>
      <c r="G64" s="96">
        <v>0</v>
      </c>
      <c r="H64" s="96">
        <v>0</v>
      </c>
      <c r="I64" s="96">
        <v>0</v>
      </c>
      <c r="J64" s="96">
        <v>0</v>
      </c>
      <c r="K64" s="96">
        <v>0</v>
      </c>
      <c r="L64" s="96">
        <v>0</v>
      </c>
      <c r="M64" s="96">
        <v>0</v>
      </c>
      <c r="N64" s="96">
        <v>0</v>
      </c>
      <c r="O64" s="96">
        <f>IF(Table__10.2.1.2_1_4AHB_READ_DAILY[[#This Row],[PER_DATE]]&gt;SUM(V54258-30), Table__10.2.1.2_1_4AHB_READ_DAILY[[#This Row],[FLY_HOURS]],0)</f>
        <v>0</v>
      </c>
      <c r="P64" s="96">
        <f ca="1">IF(AND(Table__10.2.1.2_1_4AHB_READ_DAILY[[#This Row],[PER_DATE]]&gt;SUM(V54258-30), Table__10.2.1.2_1_4AHB_READ_DAILY[[#This Row],[PER_DATE]]&lt;SUM(TODAY()+1)),Table__10.2.1.2_1_4AHB_READ_DAILY[[#This Row],[FMC]],0)</f>
        <v>24</v>
      </c>
      <c r="Q64" s="96">
        <f ca="1">IF(AND(Table__10.2.1.2_1_4AHB_READ_DAILY[[#This Row],[PER_DATE]]&gt;SUM(V54258-30), Table__10.2.1.2_1_4AHB_READ_DAILY[[#This Row],[PER_DATE]]&lt;SUM(TODAY()+1)),24,0)</f>
        <v>24</v>
      </c>
      <c r="R64">
        <v>41691</v>
      </c>
    </row>
    <row r="65" spans="1:18">
      <c r="A65">
        <v>41713</v>
      </c>
      <c r="B65" t="s">
        <v>768</v>
      </c>
      <c r="C65" t="s">
        <v>25</v>
      </c>
      <c r="D65" t="s">
        <v>748</v>
      </c>
      <c r="E65" s="278">
        <v>22</v>
      </c>
      <c r="F65" s="96">
        <v>24</v>
      </c>
      <c r="G65" s="96">
        <v>0</v>
      </c>
      <c r="H65" s="96">
        <v>0</v>
      </c>
      <c r="I65" s="96">
        <v>0</v>
      </c>
      <c r="J65" s="96">
        <v>0</v>
      </c>
      <c r="K65" s="96">
        <v>0</v>
      </c>
      <c r="L65" s="96">
        <v>0</v>
      </c>
      <c r="M65" s="96">
        <v>0</v>
      </c>
      <c r="N65" s="96">
        <v>0</v>
      </c>
      <c r="O65" s="96">
        <f>IF(Table__10.2.1.2_1_4AHB_READ_DAILY[[#This Row],[PER_DATE]]&gt;SUM(V54259-30), Table__10.2.1.2_1_4AHB_READ_DAILY[[#This Row],[FLY_HOURS]],0)</f>
        <v>0</v>
      </c>
      <c r="P65" s="96">
        <f ca="1">IF(AND(Table__10.2.1.2_1_4AHB_READ_DAILY[[#This Row],[PER_DATE]]&gt;SUM(V54259-30), Table__10.2.1.2_1_4AHB_READ_DAILY[[#This Row],[PER_DATE]]&lt;SUM(TODAY()+1)),Table__10.2.1.2_1_4AHB_READ_DAILY[[#This Row],[FMC]],0)</f>
        <v>24</v>
      </c>
      <c r="Q65" s="96">
        <f ca="1">IF(AND(Table__10.2.1.2_1_4AHB_READ_DAILY[[#This Row],[PER_DATE]]&gt;SUM(V54259-30), Table__10.2.1.2_1_4AHB_READ_DAILY[[#This Row],[PER_DATE]]&lt;SUM(TODAY()+1)),24,0)</f>
        <v>24</v>
      </c>
      <c r="R65">
        <v>41692</v>
      </c>
    </row>
    <row r="66" spans="1:18">
      <c r="A66">
        <v>41713</v>
      </c>
      <c r="B66" t="s">
        <v>768</v>
      </c>
      <c r="C66" t="s">
        <v>25</v>
      </c>
      <c r="D66" t="s">
        <v>750</v>
      </c>
      <c r="E66" s="278">
        <v>22</v>
      </c>
      <c r="F66" s="96">
        <v>24</v>
      </c>
      <c r="G66" s="96">
        <v>0</v>
      </c>
      <c r="H66" s="96">
        <v>0</v>
      </c>
      <c r="I66" s="96">
        <v>0</v>
      </c>
      <c r="J66" s="96">
        <v>0</v>
      </c>
      <c r="K66" s="96">
        <v>0</v>
      </c>
      <c r="L66" s="96">
        <v>0</v>
      </c>
      <c r="M66" s="96">
        <v>0</v>
      </c>
      <c r="N66" s="96">
        <v>0</v>
      </c>
      <c r="O66" s="96">
        <f>IF(Table__10.2.1.2_1_4AHB_READ_DAILY[[#This Row],[PER_DATE]]&gt;SUM(V54260-30), Table__10.2.1.2_1_4AHB_READ_DAILY[[#This Row],[FLY_HOURS]],0)</f>
        <v>0</v>
      </c>
      <c r="P66" s="96">
        <f ca="1">IF(AND(Table__10.2.1.2_1_4AHB_READ_DAILY[[#This Row],[PER_DATE]]&gt;SUM(V54260-30), Table__10.2.1.2_1_4AHB_READ_DAILY[[#This Row],[PER_DATE]]&lt;SUM(TODAY()+1)),Table__10.2.1.2_1_4AHB_READ_DAILY[[#This Row],[FMC]],0)</f>
        <v>24</v>
      </c>
      <c r="Q66" s="96">
        <f ca="1">IF(AND(Table__10.2.1.2_1_4AHB_READ_DAILY[[#This Row],[PER_DATE]]&gt;SUM(V54260-30), Table__10.2.1.2_1_4AHB_READ_DAILY[[#This Row],[PER_DATE]]&lt;SUM(TODAY()+1)),24,0)</f>
        <v>24</v>
      </c>
      <c r="R66">
        <v>41692</v>
      </c>
    </row>
    <row r="67" spans="1:18">
      <c r="A67">
        <v>41713</v>
      </c>
      <c r="B67" t="s">
        <v>768</v>
      </c>
      <c r="C67" t="s">
        <v>25</v>
      </c>
      <c r="D67" t="s">
        <v>752</v>
      </c>
      <c r="E67" s="278">
        <v>22</v>
      </c>
      <c r="F67" s="96">
        <v>24</v>
      </c>
      <c r="G67" s="96">
        <v>0</v>
      </c>
      <c r="H67" s="96">
        <v>0</v>
      </c>
      <c r="I67" s="96">
        <v>0</v>
      </c>
      <c r="J67" s="96">
        <v>0</v>
      </c>
      <c r="K67" s="96">
        <v>0</v>
      </c>
      <c r="L67" s="96">
        <v>0</v>
      </c>
      <c r="M67" s="96">
        <v>0</v>
      </c>
      <c r="N67" s="96">
        <v>0</v>
      </c>
      <c r="O67" s="96">
        <f>IF(Table__10.2.1.2_1_4AHB_READ_DAILY[[#This Row],[PER_DATE]]&gt;SUM(V54261-30), Table__10.2.1.2_1_4AHB_READ_DAILY[[#This Row],[FLY_HOURS]],0)</f>
        <v>0</v>
      </c>
      <c r="P67" s="96">
        <f ca="1">IF(AND(Table__10.2.1.2_1_4AHB_READ_DAILY[[#This Row],[PER_DATE]]&gt;SUM(V54261-30), Table__10.2.1.2_1_4AHB_READ_DAILY[[#This Row],[PER_DATE]]&lt;SUM(TODAY()+1)),Table__10.2.1.2_1_4AHB_READ_DAILY[[#This Row],[FMC]],0)</f>
        <v>24</v>
      </c>
      <c r="Q67" s="96">
        <f ca="1">IF(AND(Table__10.2.1.2_1_4AHB_READ_DAILY[[#This Row],[PER_DATE]]&gt;SUM(V54261-30), Table__10.2.1.2_1_4AHB_READ_DAILY[[#This Row],[PER_DATE]]&lt;SUM(TODAY()+1)),24,0)</f>
        <v>24</v>
      </c>
      <c r="R67">
        <v>41692</v>
      </c>
    </row>
    <row r="68" spans="1:18">
      <c r="A68">
        <v>41713</v>
      </c>
      <c r="B68" t="s">
        <v>768</v>
      </c>
      <c r="C68" t="s">
        <v>25</v>
      </c>
      <c r="D68" t="s">
        <v>748</v>
      </c>
      <c r="E68" s="278">
        <v>23</v>
      </c>
      <c r="F68" s="96">
        <v>24</v>
      </c>
      <c r="G68" s="96">
        <v>0</v>
      </c>
      <c r="H68" s="96">
        <v>0</v>
      </c>
      <c r="I68" s="96">
        <v>0</v>
      </c>
      <c r="J68" s="96">
        <v>0</v>
      </c>
      <c r="K68" s="96">
        <v>0</v>
      </c>
      <c r="L68" s="96">
        <v>0</v>
      </c>
      <c r="M68" s="96">
        <v>0</v>
      </c>
      <c r="N68" s="96">
        <v>0</v>
      </c>
      <c r="O68" s="96">
        <f>IF(Table__10.2.1.2_1_4AHB_READ_DAILY[[#This Row],[PER_DATE]]&gt;SUM(V54262-30), Table__10.2.1.2_1_4AHB_READ_DAILY[[#This Row],[FLY_HOURS]],0)</f>
        <v>0</v>
      </c>
      <c r="P68" s="96">
        <f ca="1">IF(AND(Table__10.2.1.2_1_4AHB_READ_DAILY[[#This Row],[PER_DATE]]&gt;SUM(V54262-30), Table__10.2.1.2_1_4AHB_READ_DAILY[[#This Row],[PER_DATE]]&lt;SUM(TODAY()+1)),Table__10.2.1.2_1_4AHB_READ_DAILY[[#This Row],[FMC]],0)</f>
        <v>24</v>
      </c>
      <c r="Q68" s="96">
        <f ca="1">IF(AND(Table__10.2.1.2_1_4AHB_READ_DAILY[[#This Row],[PER_DATE]]&gt;SUM(V54262-30), Table__10.2.1.2_1_4AHB_READ_DAILY[[#This Row],[PER_DATE]]&lt;SUM(TODAY()+1)),24,0)</f>
        <v>24</v>
      </c>
      <c r="R68">
        <v>41693</v>
      </c>
    </row>
    <row r="69" spans="1:18">
      <c r="A69">
        <v>41713</v>
      </c>
      <c r="B69" t="s">
        <v>768</v>
      </c>
      <c r="C69" t="s">
        <v>25</v>
      </c>
      <c r="D69" t="s">
        <v>750</v>
      </c>
      <c r="E69" s="278">
        <v>23</v>
      </c>
      <c r="F69" s="96">
        <v>24</v>
      </c>
      <c r="G69" s="96">
        <v>0</v>
      </c>
      <c r="H69" s="96">
        <v>0</v>
      </c>
      <c r="I69" s="96">
        <v>0</v>
      </c>
      <c r="J69" s="96">
        <v>0</v>
      </c>
      <c r="K69" s="96">
        <v>0</v>
      </c>
      <c r="L69" s="96">
        <v>0</v>
      </c>
      <c r="M69" s="96">
        <v>0</v>
      </c>
      <c r="N69" s="96">
        <v>0</v>
      </c>
      <c r="O69" s="96">
        <f>IF(Table__10.2.1.2_1_4AHB_READ_DAILY[[#This Row],[PER_DATE]]&gt;SUM(V54263-30), Table__10.2.1.2_1_4AHB_READ_DAILY[[#This Row],[FLY_HOURS]],0)</f>
        <v>0</v>
      </c>
      <c r="P69" s="96">
        <f ca="1">IF(AND(Table__10.2.1.2_1_4AHB_READ_DAILY[[#This Row],[PER_DATE]]&gt;SUM(V54263-30), Table__10.2.1.2_1_4AHB_READ_DAILY[[#This Row],[PER_DATE]]&lt;SUM(TODAY()+1)),Table__10.2.1.2_1_4AHB_READ_DAILY[[#This Row],[FMC]],0)</f>
        <v>24</v>
      </c>
      <c r="Q69" s="96">
        <f ca="1">IF(AND(Table__10.2.1.2_1_4AHB_READ_DAILY[[#This Row],[PER_DATE]]&gt;SUM(V54263-30), Table__10.2.1.2_1_4AHB_READ_DAILY[[#This Row],[PER_DATE]]&lt;SUM(TODAY()+1)),24,0)</f>
        <v>24</v>
      </c>
      <c r="R69">
        <v>41693</v>
      </c>
    </row>
    <row r="70" spans="1:18">
      <c r="A70">
        <v>41713</v>
      </c>
      <c r="B70" t="s">
        <v>768</v>
      </c>
      <c r="C70" t="s">
        <v>25</v>
      </c>
      <c r="D70" t="s">
        <v>752</v>
      </c>
      <c r="E70" s="278">
        <v>23</v>
      </c>
      <c r="F70" s="96">
        <v>24</v>
      </c>
      <c r="G70" s="96">
        <v>0</v>
      </c>
      <c r="H70" s="96">
        <v>0</v>
      </c>
      <c r="I70" s="96">
        <v>0</v>
      </c>
      <c r="J70" s="96">
        <v>0</v>
      </c>
      <c r="K70" s="96">
        <v>0</v>
      </c>
      <c r="L70" s="96">
        <v>0</v>
      </c>
      <c r="M70" s="96">
        <v>0</v>
      </c>
      <c r="N70" s="96">
        <v>0</v>
      </c>
      <c r="O70" s="96">
        <f>IF(Table__10.2.1.2_1_4AHB_READ_DAILY[[#This Row],[PER_DATE]]&gt;SUM(V54264-30), Table__10.2.1.2_1_4AHB_READ_DAILY[[#This Row],[FLY_HOURS]],0)</f>
        <v>0</v>
      </c>
      <c r="P70" s="96">
        <f ca="1">IF(AND(Table__10.2.1.2_1_4AHB_READ_DAILY[[#This Row],[PER_DATE]]&gt;SUM(V54264-30), Table__10.2.1.2_1_4AHB_READ_DAILY[[#This Row],[PER_DATE]]&lt;SUM(TODAY()+1)),Table__10.2.1.2_1_4AHB_READ_DAILY[[#This Row],[FMC]],0)</f>
        <v>24</v>
      </c>
      <c r="Q70" s="96">
        <f ca="1">IF(AND(Table__10.2.1.2_1_4AHB_READ_DAILY[[#This Row],[PER_DATE]]&gt;SUM(V54264-30), Table__10.2.1.2_1_4AHB_READ_DAILY[[#This Row],[PER_DATE]]&lt;SUM(TODAY()+1)),24,0)</f>
        <v>24</v>
      </c>
      <c r="R70">
        <v>41693</v>
      </c>
    </row>
    <row r="71" spans="1:18">
      <c r="A71">
        <v>41713</v>
      </c>
      <c r="B71" t="s">
        <v>768</v>
      </c>
      <c r="C71" t="s">
        <v>25</v>
      </c>
      <c r="D71" t="s">
        <v>748</v>
      </c>
      <c r="E71" s="278">
        <v>24</v>
      </c>
      <c r="F71" s="96">
        <v>24</v>
      </c>
      <c r="G71" s="96">
        <v>0</v>
      </c>
      <c r="H71" s="96">
        <v>0</v>
      </c>
      <c r="I71" s="96">
        <v>0</v>
      </c>
      <c r="J71" s="96">
        <v>0</v>
      </c>
      <c r="K71" s="96">
        <v>0</v>
      </c>
      <c r="L71" s="96">
        <v>0</v>
      </c>
      <c r="M71" s="96">
        <v>0</v>
      </c>
      <c r="N71" s="96">
        <v>0</v>
      </c>
      <c r="O71" s="96">
        <f>IF(Table__10.2.1.2_1_4AHB_READ_DAILY[[#This Row],[PER_DATE]]&gt;SUM(V54265-30), Table__10.2.1.2_1_4AHB_READ_DAILY[[#This Row],[FLY_HOURS]],0)</f>
        <v>0</v>
      </c>
      <c r="P71" s="96">
        <f ca="1">IF(AND(Table__10.2.1.2_1_4AHB_READ_DAILY[[#This Row],[PER_DATE]]&gt;SUM(V54265-30), Table__10.2.1.2_1_4AHB_READ_DAILY[[#This Row],[PER_DATE]]&lt;SUM(TODAY()+1)),Table__10.2.1.2_1_4AHB_READ_DAILY[[#This Row],[FMC]],0)</f>
        <v>24</v>
      </c>
      <c r="Q71" s="96">
        <f ca="1">IF(AND(Table__10.2.1.2_1_4AHB_READ_DAILY[[#This Row],[PER_DATE]]&gt;SUM(V54265-30), Table__10.2.1.2_1_4AHB_READ_DAILY[[#This Row],[PER_DATE]]&lt;SUM(TODAY()+1)),24,0)</f>
        <v>24</v>
      </c>
      <c r="R71">
        <v>41694</v>
      </c>
    </row>
    <row r="72" spans="1:18">
      <c r="A72">
        <v>41713</v>
      </c>
      <c r="B72" t="s">
        <v>768</v>
      </c>
      <c r="C72" t="s">
        <v>25</v>
      </c>
      <c r="D72" t="s">
        <v>750</v>
      </c>
      <c r="E72" s="278">
        <v>24</v>
      </c>
      <c r="F72" s="96">
        <v>24</v>
      </c>
      <c r="G72" s="96">
        <v>0</v>
      </c>
      <c r="H72" s="96">
        <v>0</v>
      </c>
      <c r="I72" s="96">
        <v>0</v>
      </c>
      <c r="J72" s="96">
        <v>0</v>
      </c>
      <c r="K72" s="96">
        <v>0</v>
      </c>
      <c r="L72" s="96">
        <v>0</v>
      </c>
      <c r="M72" s="96">
        <v>0</v>
      </c>
      <c r="N72" s="96">
        <v>0</v>
      </c>
      <c r="O72" s="96">
        <f>IF(Table__10.2.1.2_1_4AHB_READ_DAILY[[#This Row],[PER_DATE]]&gt;SUM(V54266-30), Table__10.2.1.2_1_4AHB_READ_DAILY[[#This Row],[FLY_HOURS]],0)</f>
        <v>0</v>
      </c>
      <c r="P72" s="96">
        <f ca="1">IF(AND(Table__10.2.1.2_1_4AHB_READ_DAILY[[#This Row],[PER_DATE]]&gt;SUM(V54266-30), Table__10.2.1.2_1_4AHB_READ_DAILY[[#This Row],[PER_DATE]]&lt;SUM(TODAY()+1)),Table__10.2.1.2_1_4AHB_READ_DAILY[[#This Row],[FMC]],0)</f>
        <v>24</v>
      </c>
      <c r="Q72" s="96">
        <f ca="1">IF(AND(Table__10.2.1.2_1_4AHB_READ_DAILY[[#This Row],[PER_DATE]]&gt;SUM(V54266-30), Table__10.2.1.2_1_4AHB_READ_DAILY[[#This Row],[PER_DATE]]&lt;SUM(TODAY()+1)),24,0)</f>
        <v>24</v>
      </c>
      <c r="R72">
        <v>41694</v>
      </c>
    </row>
    <row r="73" spans="1:18">
      <c r="A73">
        <v>41713</v>
      </c>
      <c r="B73" t="s">
        <v>768</v>
      </c>
      <c r="C73" t="s">
        <v>25</v>
      </c>
      <c r="D73" t="s">
        <v>752</v>
      </c>
      <c r="E73" s="278">
        <v>24</v>
      </c>
      <c r="F73" s="96">
        <v>24</v>
      </c>
      <c r="G73" s="96">
        <v>0</v>
      </c>
      <c r="H73" s="96">
        <v>0</v>
      </c>
      <c r="I73" s="96">
        <v>0</v>
      </c>
      <c r="J73" s="96">
        <v>0</v>
      </c>
      <c r="K73" s="96">
        <v>0</v>
      </c>
      <c r="L73" s="96">
        <v>0</v>
      </c>
      <c r="M73" s="96">
        <v>0</v>
      </c>
      <c r="N73" s="96">
        <v>0</v>
      </c>
      <c r="O73" s="96">
        <f>IF(Table__10.2.1.2_1_4AHB_READ_DAILY[[#This Row],[PER_DATE]]&gt;SUM(V54267-30), Table__10.2.1.2_1_4AHB_READ_DAILY[[#This Row],[FLY_HOURS]],0)</f>
        <v>0</v>
      </c>
      <c r="P73" s="96">
        <f ca="1">IF(AND(Table__10.2.1.2_1_4AHB_READ_DAILY[[#This Row],[PER_DATE]]&gt;SUM(V54267-30), Table__10.2.1.2_1_4AHB_READ_DAILY[[#This Row],[PER_DATE]]&lt;SUM(TODAY()+1)),Table__10.2.1.2_1_4AHB_READ_DAILY[[#This Row],[FMC]],0)</f>
        <v>24</v>
      </c>
      <c r="Q73" s="96">
        <f ca="1">IF(AND(Table__10.2.1.2_1_4AHB_READ_DAILY[[#This Row],[PER_DATE]]&gt;SUM(V54267-30), Table__10.2.1.2_1_4AHB_READ_DAILY[[#This Row],[PER_DATE]]&lt;SUM(TODAY()+1)),24,0)</f>
        <v>24</v>
      </c>
      <c r="R73">
        <v>41694</v>
      </c>
    </row>
    <row r="74" spans="1:18">
      <c r="A74">
        <v>41713</v>
      </c>
      <c r="B74" t="s">
        <v>768</v>
      </c>
      <c r="C74" t="s">
        <v>25</v>
      </c>
      <c r="D74" t="s">
        <v>748</v>
      </c>
      <c r="E74" s="278">
        <v>25</v>
      </c>
      <c r="F74" s="96">
        <v>24</v>
      </c>
      <c r="G74" s="96">
        <v>0</v>
      </c>
      <c r="H74" s="96">
        <v>0</v>
      </c>
      <c r="I74" s="96">
        <v>0</v>
      </c>
      <c r="J74" s="96">
        <v>0</v>
      </c>
      <c r="K74" s="96">
        <v>0</v>
      </c>
      <c r="L74" s="96">
        <v>0</v>
      </c>
      <c r="M74" s="96">
        <v>0</v>
      </c>
      <c r="N74" s="96">
        <v>0</v>
      </c>
      <c r="O74" s="96">
        <f>IF(Table__10.2.1.2_1_4AHB_READ_DAILY[[#This Row],[PER_DATE]]&gt;SUM(V54268-30), Table__10.2.1.2_1_4AHB_READ_DAILY[[#This Row],[FLY_HOURS]],0)</f>
        <v>0</v>
      </c>
      <c r="P74" s="96">
        <f ca="1">IF(AND(Table__10.2.1.2_1_4AHB_READ_DAILY[[#This Row],[PER_DATE]]&gt;SUM(V54268-30), Table__10.2.1.2_1_4AHB_READ_DAILY[[#This Row],[PER_DATE]]&lt;SUM(TODAY()+1)),Table__10.2.1.2_1_4AHB_READ_DAILY[[#This Row],[FMC]],0)</f>
        <v>24</v>
      </c>
      <c r="Q74" s="96">
        <f ca="1">IF(AND(Table__10.2.1.2_1_4AHB_READ_DAILY[[#This Row],[PER_DATE]]&gt;SUM(V54268-30), Table__10.2.1.2_1_4AHB_READ_DAILY[[#This Row],[PER_DATE]]&lt;SUM(TODAY()+1)),24,0)</f>
        <v>24</v>
      </c>
      <c r="R74">
        <v>41695</v>
      </c>
    </row>
    <row r="75" spans="1:18">
      <c r="A75">
        <v>41713</v>
      </c>
      <c r="B75" t="s">
        <v>768</v>
      </c>
      <c r="C75" t="s">
        <v>25</v>
      </c>
      <c r="D75" t="s">
        <v>750</v>
      </c>
      <c r="E75" s="278">
        <v>25</v>
      </c>
      <c r="F75" s="96">
        <v>15</v>
      </c>
      <c r="G75" s="96">
        <v>0</v>
      </c>
      <c r="H75" s="96">
        <v>0</v>
      </c>
      <c r="I75" s="96">
        <v>0</v>
      </c>
      <c r="J75" s="96">
        <v>0</v>
      </c>
      <c r="K75" s="96">
        <v>0</v>
      </c>
      <c r="L75" s="96">
        <v>9</v>
      </c>
      <c r="M75" s="96">
        <v>0</v>
      </c>
      <c r="N75" s="96">
        <v>0</v>
      </c>
      <c r="O75" s="96">
        <f>IF(Table__10.2.1.2_1_4AHB_READ_DAILY[[#This Row],[PER_DATE]]&gt;SUM(V54269-30), Table__10.2.1.2_1_4AHB_READ_DAILY[[#This Row],[FLY_HOURS]],0)</f>
        <v>0</v>
      </c>
      <c r="P75" s="96">
        <f ca="1">IF(AND(Table__10.2.1.2_1_4AHB_READ_DAILY[[#This Row],[PER_DATE]]&gt;SUM(V54269-30), Table__10.2.1.2_1_4AHB_READ_DAILY[[#This Row],[PER_DATE]]&lt;SUM(TODAY()+1)),Table__10.2.1.2_1_4AHB_READ_DAILY[[#This Row],[FMC]],0)</f>
        <v>15</v>
      </c>
      <c r="Q75" s="96">
        <f ca="1">IF(AND(Table__10.2.1.2_1_4AHB_READ_DAILY[[#This Row],[PER_DATE]]&gt;SUM(V54269-30), Table__10.2.1.2_1_4AHB_READ_DAILY[[#This Row],[PER_DATE]]&lt;SUM(TODAY()+1)),24,0)</f>
        <v>24</v>
      </c>
      <c r="R75">
        <v>41695</v>
      </c>
    </row>
    <row r="76" spans="1:18">
      <c r="A76">
        <v>41713</v>
      </c>
      <c r="B76" t="s">
        <v>768</v>
      </c>
      <c r="C76" t="s">
        <v>25</v>
      </c>
      <c r="D76" t="s">
        <v>752</v>
      </c>
      <c r="E76" s="278">
        <v>25</v>
      </c>
      <c r="F76" s="96">
        <v>24</v>
      </c>
      <c r="G76" s="96">
        <v>0</v>
      </c>
      <c r="H76" s="96">
        <v>0</v>
      </c>
      <c r="I76" s="96">
        <v>0</v>
      </c>
      <c r="J76" s="96">
        <v>0</v>
      </c>
      <c r="K76" s="96">
        <v>0</v>
      </c>
      <c r="L76" s="96">
        <v>0</v>
      </c>
      <c r="M76" s="96">
        <v>0</v>
      </c>
      <c r="N76" s="96">
        <v>0</v>
      </c>
      <c r="O76" s="96">
        <f>IF(Table__10.2.1.2_1_4AHB_READ_DAILY[[#This Row],[PER_DATE]]&gt;SUM(V54270-30), Table__10.2.1.2_1_4AHB_READ_DAILY[[#This Row],[FLY_HOURS]],0)</f>
        <v>0</v>
      </c>
      <c r="P76" s="96">
        <f ca="1">IF(AND(Table__10.2.1.2_1_4AHB_READ_DAILY[[#This Row],[PER_DATE]]&gt;SUM(V54270-30), Table__10.2.1.2_1_4AHB_READ_DAILY[[#This Row],[PER_DATE]]&lt;SUM(TODAY()+1)),Table__10.2.1.2_1_4AHB_READ_DAILY[[#This Row],[FMC]],0)</f>
        <v>24</v>
      </c>
      <c r="Q76" s="96">
        <f ca="1">IF(AND(Table__10.2.1.2_1_4AHB_READ_DAILY[[#This Row],[PER_DATE]]&gt;SUM(V54270-30), Table__10.2.1.2_1_4AHB_READ_DAILY[[#This Row],[PER_DATE]]&lt;SUM(TODAY()+1)),24,0)</f>
        <v>24</v>
      </c>
      <c r="R76">
        <v>41695</v>
      </c>
    </row>
    <row r="77" spans="1:18">
      <c r="A77">
        <v>41713</v>
      </c>
      <c r="B77" t="s">
        <v>768</v>
      </c>
      <c r="C77" t="s">
        <v>25</v>
      </c>
      <c r="D77" t="s">
        <v>748</v>
      </c>
      <c r="E77" s="278">
        <v>26</v>
      </c>
      <c r="F77" s="96">
        <v>24</v>
      </c>
      <c r="G77" s="96">
        <v>0</v>
      </c>
      <c r="H77" s="96">
        <v>0</v>
      </c>
      <c r="I77" s="96">
        <v>0</v>
      </c>
      <c r="J77" s="96">
        <v>0</v>
      </c>
      <c r="K77" s="96">
        <v>0</v>
      </c>
      <c r="L77" s="96">
        <v>0</v>
      </c>
      <c r="M77" s="96">
        <v>0</v>
      </c>
      <c r="N77" s="96">
        <v>0</v>
      </c>
      <c r="O77" s="96">
        <f>IF(Table__10.2.1.2_1_4AHB_READ_DAILY[[#This Row],[PER_DATE]]&gt;SUM(V54271-30), Table__10.2.1.2_1_4AHB_READ_DAILY[[#This Row],[FLY_HOURS]],0)</f>
        <v>0</v>
      </c>
      <c r="P77" s="96">
        <f ca="1">IF(AND(Table__10.2.1.2_1_4AHB_READ_DAILY[[#This Row],[PER_DATE]]&gt;SUM(V54271-30), Table__10.2.1.2_1_4AHB_READ_DAILY[[#This Row],[PER_DATE]]&lt;SUM(TODAY()+1)),Table__10.2.1.2_1_4AHB_READ_DAILY[[#This Row],[FMC]],0)</f>
        <v>24</v>
      </c>
      <c r="Q77" s="96">
        <f ca="1">IF(AND(Table__10.2.1.2_1_4AHB_READ_DAILY[[#This Row],[PER_DATE]]&gt;SUM(V54271-30), Table__10.2.1.2_1_4AHB_READ_DAILY[[#This Row],[PER_DATE]]&lt;SUM(TODAY()+1)),24,0)</f>
        <v>24</v>
      </c>
      <c r="R77">
        <v>41696</v>
      </c>
    </row>
    <row r="78" spans="1:18">
      <c r="A78">
        <v>41713</v>
      </c>
      <c r="B78" t="s">
        <v>768</v>
      </c>
      <c r="C78" t="s">
        <v>25</v>
      </c>
      <c r="D78" t="s">
        <v>750</v>
      </c>
      <c r="E78" s="278">
        <v>26</v>
      </c>
      <c r="F78" s="96">
        <v>0</v>
      </c>
      <c r="G78" s="96">
        <v>0</v>
      </c>
      <c r="H78" s="96">
        <v>0</v>
      </c>
      <c r="I78" s="96">
        <v>0</v>
      </c>
      <c r="J78" s="96">
        <v>0</v>
      </c>
      <c r="K78" s="96">
        <v>0</v>
      </c>
      <c r="L78" s="96">
        <v>24</v>
      </c>
      <c r="M78" s="96">
        <v>0</v>
      </c>
      <c r="N78" s="96">
        <v>0</v>
      </c>
      <c r="O78" s="96">
        <f>IF(Table__10.2.1.2_1_4AHB_READ_DAILY[[#This Row],[PER_DATE]]&gt;SUM(V54272-30), Table__10.2.1.2_1_4AHB_READ_DAILY[[#This Row],[FLY_HOURS]],0)</f>
        <v>0</v>
      </c>
      <c r="P78" s="96">
        <f ca="1">IF(AND(Table__10.2.1.2_1_4AHB_READ_DAILY[[#This Row],[PER_DATE]]&gt;SUM(V54272-30), Table__10.2.1.2_1_4AHB_READ_DAILY[[#This Row],[PER_DATE]]&lt;SUM(TODAY()+1)),Table__10.2.1.2_1_4AHB_READ_DAILY[[#This Row],[FMC]],0)</f>
        <v>0</v>
      </c>
      <c r="Q78" s="96">
        <f ca="1">IF(AND(Table__10.2.1.2_1_4AHB_READ_DAILY[[#This Row],[PER_DATE]]&gt;SUM(V54272-30), Table__10.2.1.2_1_4AHB_READ_DAILY[[#This Row],[PER_DATE]]&lt;SUM(TODAY()+1)),24,0)</f>
        <v>24</v>
      </c>
      <c r="R78">
        <v>41696</v>
      </c>
    </row>
    <row r="79" spans="1:18">
      <c r="A79">
        <v>41713</v>
      </c>
      <c r="B79" t="s">
        <v>768</v>
      </c>
      <c r="C79" t="s">
        <v>25</v>
      </c>
      <c r="D79" t="s">
        <v>752</v>
      </c>
      <c r="E79" s="278">
        <v>26</v>
      </c>
      <c r="F79" s="96">
        <v>24</v>
      </c>
      <c r="G79" s="96">
        <v>0</v>
      </c>
      <c r="H79" s="96">
        <v>0</v>
      </c>
      <c r="I79" s="96">
        <v>0</v>
      </c>
      <c r="J79" s="96">
        <v>0</v>
      </c>
      <c r="K79" s="96">
        <v>0</v>
      </c>
      <c r="L79" s="96">
        <v>0</v>
      </c>
      <c r="M79" s="96">
        <v>0</v>
      </c>
      <c r="N79" s="96">
        <v>0</v>
      </c>
      <c r="O79" s="96">
        <f>IF(Table__10.2.1.2_1_4AHB_READ_DAILY[[#This Row],[PER_DATE]]&gt;SUM(V54273-30), Table__10.2.1.2_1_4AHB_READ_DAILY[[#This Row],[FLY_HOURS]],0)</f>
        <v>0</v>
      </c>
      <c r="P79" s="96">
        <f ca="1">IF(AND(Table__10.2.1.2_1_4AHB_READ_DAILY[[#This Row],[PER_DATE]]&gt;SUM(V54273-30), Table__10.2.1.2_1_4AHB_READ_DAILY[[#This Row],[PER_DATE]]&lt;SUM(TODAY()+1)),Table__10.2.1.2_1_4AHB_READ_DAILY[[#This Row],[FMC]],0)</f>
        <v>24</v>
      </c>
      <c r="Q79" s="96">
        <f ca="1">IF(AND(Table__10.2.1.2_1_4AHB_READ_DAILY[[#This Row],[PER_DATE]]&gt;SUM(V54273-30), Table__10.2.1.2_1_4AHB_READ_DAILY[[#This Row],[PER_DATE]]&lt;SUM(TODAY()+1)),24,0)</f>
        <v>24</v>
      </c>
      <c r="R79">
        <v>41696</v>
      </c>
    </row>
    <row r="80" spans="1:18">
      <c r="A80">
        <v>41713</v>
      </c>
      <c r="B80" t="s">
        <v>768</v>
      </c>
      <c r="C80" t="s">
        <v>25</v>
      </c>
      <c r="D80" t="s">
        <v>748</v>
      </c>
      <c r="E80" s="278">
        <v>27</v>
      </c>
      <c r="F80" s="96">
        <v>24</v>
      </c>
      <c r="G80" s="96">
        <v>0</v>
      </c>
      <c r="H80" s="96">
        <v>0</v>
      </c>
      <c r="I80" s="96">
        <v>0</v>
      </c>
      <c r="J80" s="96">
        <v>0</v>
      </c>
      <c r="K80" s="96">
        <v>0</v>
      </c>
      <c r="L80" s="96">
        <v>0</v>
      </c>
      <c r="M80" s="96">
        <v>0</v>
      </c>
      <c r="N80" s="96">
        <v>0</v>
      </c>
      <c r="O80" s="96">
        <f>IF(Table__10.2.1.2_1_4AHB_READ_DAILY[[#This Row],[PER_DATE]]&gt;SUM(V54274-30), Table__10.2.1.2_1_4AHB_READ_DAILY[[#This Row],[FLY_HOURS]],0)</f>
        <v>0</v>
      </c>
      <c r="P80" s="96">
        <f ca="1">IF(AND(Table__10.2.1.2_1_4AHB_READ_DAILY[[#This Row],[PER_DATE]]&gt;SUM(V54274-30), Table__10.2.1.2_1_4AHB_READ_DAILY[[#This Row],[PER_DATE]]&lt;SUM(TODAY()+1)),Table__10.2.1.2_1_4AHB_READ_DAILY[[#This Row],[FMC]],0)</f>
        <v>24</v>
      </c>
      <c r="Q80" s="96">
        <f ca="1">IF(AND(Table__10.2.1.2_1_4AHB_READ_DAILY[[#This Row],[PER_DATE]]&gt;SUM(V54274-30), Table__10.2.1.2_1_4AHB_READ_DAILY[[#This Row],[PER_DATE]]&lt;SUM(TODAY()+1)),24,0)</f>
        <v>24</v>
      </c>
      <c r="R80">
        <v>41697</v>
      </c>
    </row>
    <row r="81" spans="1:18">
      <c r="A81">
        <v>41713</v>
      </c>
      <c r="B81" t="s">
        <v>768</v>
      </c>
      <c r="C81" t="s">
        <v>25</v>
      </c>
      <c r="D81" t="s">
        <v>750</v>
      </c>
      <c r="E81" s="278">
        <v>27</v>
      </c>
      <c r="F81" s="96">
        <v>0</v>
      </c>
      <c r="G81" s="96">
        <v>0</v>
      </c>
      <c r="H81" s="96">
        <v>0</v>
      </c>
      <c r="I81" s="96">
        <v>0</v>
      </c>
      <c r="J81" s="96">
        <v>0</v>
      </c>
      <c r="K81" s="96">
        <v>0</v>
      </c>
      <c r="L81" s="96">
        <v>24</v>
      </c>
      <c r="M81" s="96">
        <v>0</v>
      </c>
      <c r="N81" s="96">
        <v>0</v>
      </c>
      <c r="O81" s="96">
        <f>IF(Table__10.2.1.2_1_4AHB_READ_DAILY[[#This Row],[PER_DATE]]&gt;SUM(V54275-30), Table__10.2.1.2_1_4AHB_READ_DAILY[[#This Row],[FLY_HOURS]],0)</f>
        <v>0</v>
      </c>
      <c r="P81" s="96">
        <f ca="1">IF(AND(Table__10.2.1.2_1_4AHB_READ_DAILY[[#This Row],[PER_DATE]]&gt;SUM(V54275-30), Table__10.2.1.2_1_4AHB_READ_DAILY[[#This Row],[PER_DATE]]&lt;SUM(TODAY()+1)),Table__10.2.1.2_1_4AHB_READ_DAILY[[#This Row],[FMC]],0)</f>
        <v>0</v>
      </c>
      <c r="Q81" s="96">
        <f ca="1">IF(AND(Table__10.2.1.2_1_4AHB_READ_DAILY[[#This Row],[PER_DATE]]&gt;SUM(V54275-30), Table__10.2.1.2_1_4AHB_READ_DAILY[[#This Row],[PER_DATE]]&lt;SUM(TODAY()+1)),24,0)</f>
        <v>24</v>
      </c>
      <c r="R81">
        <v>41697</v>
      </c>
    </row>
    <row r="82" spans="1:18">
      <c r="A82">
        <v>41713</v>
      </c>
      <c r="B82" t="s">
        <v>768</v>
      </c>
      <c r="C82" t="s">
        <v>25</v>
      </c>
      <c r="D82" t="s">
        <v>752</v>
      </c>
      <c r="E82" s="278">
        <v>27</v>
      </c>
      <c r="F82" s="96">
        <v>24</v>
      </c>
      <c r="G82" s="96">
        <v>0</v>
      </c>
      <c r="H82" s="96">
        <v>0</v>
      </c>
      <c r="I82" s="96">
        <v>0</v>
      </c>
      <c r="J82" s="96">
        <v>0</v>
      </c>
      <c r="K82" s="96">
        <v>0</v>
      </c>
      <c r="L82" s="96">
        <v>0</v>
      </c>
      <c r="M82" s="96">
        <v>0</v>
      </c>
      <c r="N82" s="96">
        <v>0</v>
      </c>
      <c r="O82" s="96">
        <f>IF(Table__10.2.1.2_1_4AHB_READ_DAILY[[#This Row],[PER_DATE]]&gt;SUM(V54276-30), Table__10.2.1.2_1_4AHB_READ_DAILY[[#This Row],[FLY_HOURS]],0)</f>
        <v>0</v>
      </c>
      <c r="P82" s="96">
        <f ca="1">IF(AND(Table__10.2.1.2_1_4AHB_READ_DAILY[[#This Row],[PER_DATE]]&gt;SUM(V54276-30), Table__10.2.1.2_1_4AHB_READ_DAILY[[#This Row],[PER_DATE]]&lt;SUM(TODAY()+1)),Table__10.2.1.2_1_4AHB_READ_DAILY[[#This Row],[FMC]],0)</f>
        <v>24</v>
      </c>
      <c r="Q82" s="96">
        <f ca="1">IF(AND(Table__10.2.1.2_1_4AHB_READ_DAILY[[#This Row],[PER_DATE]]&gt;SUM(V54276-30), Table__10.2.1.2_1_4AHB_READ_DAILY[[#This Row],[PER_DATE]]&lt;SUM(TODAY()+1)),24,0)</f>
        <v>24</v>
      </c>
      <c r="R82">
        <v>41697</v>
      </c>
    </row>
    <row r="83" spans="1:18">
      <c r="A83">
        <v>41713</v>
      </c>
      <c r="B83" t="s">
        <v>768</v>
      </c>
      <c r="C83" t="s">
        <v>25</v>
      </c>
      <c r="D83" t="s">
        <v>748</v>
      </c>
      <c r="E83" s="278">
        <v>28</v>
      </c>
      <c r="F83" s="96">
        <v>24</v>
      </c>
      <c r="G83" s="96">
        <v>0</v>
      </c>
      <c r="H83" s="96">
        <v>0</v>
      </c>
      <c r="I83" s="96">
        <v>0</v>
      </c>
      <c r="J83" s="96">
        <v>0</v>
      </c>
      <c r="K83" s="96">
        <v>0</v>
      </c>
      <c r="L83" s="96">
        <v>0</v>
      </c>
      <c r="M83" s="96">
        <v>0</v>
      </c>
      <c r="N83" s="96">
        <v>0</v>
      </c>
      <c r="O83" s="96">
        <f>IF(Table__10.2.1.2_1_4AHB_READ_DAILY[[#This Row],[PER_DATE]]&gt;SUM(V54277-30), Table__10.2.1.2_1_4AHB_READ_DAILY[[#This Row],[FLY_HOURS]],0)</f>
        <v>0</v>
      </c>
      <c r="P83" s="96">
        <f ca="1">IF(AND(Table__10.2.1.2_1_4AHB_READ_DAILY[[#This Row],[PER_DATE]]&gt;SUM(V54277-30), Table__10.2.1.2_1_4AHB_READ_DAILY[[#This Row],[PER_DATE]]&lt;SUM(TODAY()+1)),Table__10.2.1.2_1_4AHB_READ_DAILY[[#This Row],[FMC]],0)</f>
        <v>24</v>
      </c>
      <c r="Q83" s="96">
        <f ca="1">IF(AND(Table__10.2.1.2_1_4AHB_READ_DAILY[[#This Row],[PER_DATE]]&gt;SUM(V54277-30), Table__10.2.1.2_1_4AHB_READ_DAILY[[#This Row],[PER_DATE]]&lt;SUM(TODAY()+1)),24,0)</f>
        <v>24</v>
      </c>
      <c r="R83">
        <v>41698</v>
      </c>
    </row>
    <row r="84" spans="1:18">
      <c r="A84">
        <v>41713</v>
      </c>
      <c r="B84" t="s">
        <v>768</v>
      </c>
      <c r="C84" t="s">
        <v>25</v>
      </c>
      <c r="D84" t="s">
        <v>750</v>
      </c>
      <c r="E84" s="278">
        <v>28</v>
      </c>
      <c r="F84" s="96">
        <v>0</v>
      </c>
      <c r="G84" s="96">
        <v>0</v>
      </c>
      <c r="H84" s="96">
        <v>0</v>
      </c>
      <c r="I84" s="96">
        <v>0</v>
      </c>
      <c r="J84" s="96">
        <v>0</v>
      </c>
      <c r="K84" s="96">
        <v>0</v>
      </c>
      <c r="L84" s="96">
        <v>24</v>
      </c>
      <c r="M84" s="96">
        <v>0</v>
      </c>
      <c r="N84" s="96">
        <v>0</v>
      </c>
      <c r="O84" s="96">
        <f>IF(Table__10.2.1.2_1_4AHB_READ_DAILY[[#This Row],[PER_DATE]]&gt;SUM(V54278-30), Table__10.2.1.2_1_4AHB_READ_DAILY[[#This Row],[FLY_HOURS]],0)</f>
        <v>0</v>
      </c>
      <c r="P84" s="96">
        <f ca="1">IF(AND(Table__10.2.1.2_1_4AHB_READ_DAILY[[#This Row],[PER_DATE]]&gt;SUM(V54278-30), Table__10.2.1.2_1_4AHB_READ_DAILY[[#This Row],[PER_DATE]]&lt;SUM(TODAY()+1)),Table__10.2.1.2_1_4AHB_READ_DAILY[[#This Row],[FMC]],0)</f>
        <v>0</v>
      </c>
      <c r="Q84" s="96">
        <f ca="1">IF(AND(Table__10.2.1.2_1_4AHB_READ_DAILY[[#This Row],[PER_DATE]]&gt;SUM(V54278-30), Table__10.2.1.2_1_4AHB_READ_DAILY[[#This Row],[PER_DATE]]&lt;SUM(TODAY()+1)),24,0)</f>
        <v>24</v>
      </c>
      <c r="R84">
        <v>41698</v>
      </c>
    </row>
    <row r="85" spans="1:18">
      <c r="A85">
        <v>41713</v>
      </c>
      <c r="B85" t="s">
        <v>768</v>
      </c>
      <c r="C85" t="s">
        <v>25</v>
      </c>
      <c r="D85" t="s">
        <v>752</v>
      </c>
      <c r="E85" s="278">
        <v>28</v>
      </c>
      <c r="F85" s="96">
        <v>24</v>
      </c>
      <c r="G85" s="96">
        <v>0</v>
      </c>
      <c r="H85" s="96">
        <v>0</v>
      </c>
      <c r="I85" s="96">
        <v>0</v>
      </c>
      <c r="J85" s="96">
        <v>0</v>
      </c>
      <c r="K85" s="96">
        <v>0</v>
      </c>
      <c r="L85" s="96">
        <v>0</v>
      </c>
      <c r="M85" s="96">
        <v>0</v>
      </c>
      <c r="N85" s="96">
        <v>0</v>
      </c>
      <c r="O85" s="96">
        <f>IF(Table__10.2.1.2_1_4AHB_READ_DAILY[[#This Row],[PER_DATE]]&gt;SUM(V54279-30), Table__10.2.1.2_1_4AHB_READ_DAILY[[#This Row],[FLY_HOURS]],0)</f>
        <v>0</v>
      </c>
      <c r="P85" s="96">
        <f ca="1">IF(AND(Table__10.2.1.2_1_4AHB_READ_DAILY[[#This Row],[PER_DATE]]&gt;SUM(V54279-30), Table__10.2.1.2_1_4AHB_READ_DAILY[[#This Row],[PER_DATE]]&lt;SUM(TODAY()+1)),Table__10.2.1.2_1_4AHB_READ_DAILY[[#This Row],[FMC]],0)</f>
        <v>24</v>
      </c>
      <c r="Q85" s="96">
        <f ca="1">IF(AND(Table__10.2.1.2_1_4AHB_READ_DAILY[[#This Row],[PER_DATE]]&gt;SUM(V54279-30), Table__10.2.1.2_1_4AHB_READ_DAILY[[#This Row],[PER_DATE]]&lt;SUM(TODAY()+1)),24,0)</f>
        <v>24</v>
      </c>
      <c r="R85">
        <v>41698</v>
      </c>
    </row>
    <row r="55653" spans="1:22" s="110" customFormat="1">
      <c r="A55653" s="110" t="s">
        <v>656</v>
      </c>
      <c r="B55653" s="110" t="s">
        <v>657</v>
      </c>
      <c r="C55653" s="110" t="s">
        <v>14</v>
      </c>
      <c r="D55653" s="110" t="s">
        <v>18</v>
      </c>
      <c r="E55653" s="110" t="s">
        <v>658</v>
      </c>
      <c r="F55653" s="110" t="s">
        <v>4</v>
      </c>
      <c r="G55653" s="110" t="s">
        <v>1</v>
      </c>
      <c r="H55653" s="110" t="s">
        <v>0</v>
      </c>
      <c r="I55653" s="110" t="s">
        <v>2</v>
      </c>
      <c r="J55653" s="110" t="s">
        <v>659</v>
      </c>
      <c r="K55653" s="110" t="s">
        <v>660</v>
      </c>
      <c r="L55653" s="110" t="s">
        <v>661</v>
      </c>
      <c r="M55653" s="110" t="s">
        <v>662</v>
      </c>
      <c r="N55653" s="110" t="s">
        <v>56</v>
      </c>
      <c r="O55653" s="96">
        <f>SUM(O2:O55649)</f>
        <v>1</v>
      </c>
      <c r="P55653" s="96">
        <f ca="1">SUM(P2:P55649)</f>
        <v>1167</v>
      </c>
      <c r="Q55653" s="96">
        <f ca="1">SUM(Q2:Q55649)</f>
        <v>1512</v>
      </c>
      <c r="R55653" s="110" t="s">
        <v>673</v>
      </c>
      <c r="V55653" s="14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AK69"/>
  <sheetViews>
    <sheetView zoomScale="70" zoomScaleNormal="70" workbookViewId="0">
      <selection activeCell="H5" sqref="H5"/>
    </sheetView>
  </sheetViews>
  <sheetFormatPr defaultRowHeight="12.75"/>
  <cols>
    <col min="1" max="1" width="1.85546875" style="110" customWidth="1"/>
    <col min="2" max="2" width="5.28515625" style="110" customWidth="1"/>
    <col min="3" max="3" width="12.7109375" style="110" customWidth="1"/>
    <col min="4" max="4" width="10.5703125" style="110" customWidth="1"/>
    <col min="5" max="5" width="23.42578125" style="110" bestFit="1" customWidth="1"/>
    <col min="6" max="6" width="12.42578125" style="110" bestFit="1" customWidth="1"/>
    <col min="7" max="7" width="12.85546875" style="110" customWidth="1"/>
    <col min="8" max="9" width="9.7109375" style="110" customWidth="1"/>
    <col min="10" max="10" width="108.7109375" style="110" customWidth="1"/>
    <col min="11" max="11" width="10.85546875" style="110" customWidth="1"/>
    <col min="12" max="12" width="9.5703125" style="110" bestFit="1" customWidth="1"/>
    <col min="13" max="13" width="11.140625" style="110" bestFit="1" customWidth="1"/>
    <col min="14" max="16384" width="9.140625" style="110"/>
  </cols>
  <sheetData>
    <row r="1" spans="1:37" ht="27" customHeight="1">
      <c r="A1" s="486"/>
      <c r="B1" s="487" t="s">
        <v>711</v>
      </c>
      <c r="C1" s="487"/>
      <c r="D1" s="487"/>
      <c r="E1" s="487"/>
      <c r="F1" s="487"/>
      <c r="G1" s="487"/>
      <c r="H1" s="487"/>
      <c r="I1" s="487"/>
      <c r="J1" s="487"/>
      <c r="K1" s="489">
        <f ca="1">NOW()</f>
        <v>41706.480305092591</v>
      </c>
      <c r="L1" s="489"/>
      <c r="M1" s="192"/>
      <c r="N1" s="193"/>
      <c r="O1" s="193"/>
      <c r="P1" s="193"/>
      <c r="Q1" s="193"/>
      <c r="R1" s="193"/>
      <c r="S1" s="193"/>
      <c r="T1" s="193"/>
      <c r="U1" s="194"/>
      <c r="V1" s="194"/>
      <c r="W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</row>
    <row r="2" spans="1:37" ht="44.25" customHeight="1" thickBot="1">
      <c r="A2" s="486"/>
      <c r="B2" s="488"/>
      <c r="C2" s="488"/>
      <c r="D2" s="488"/>
      <c r="E2" s="488"/>
      <c r="F2" s="488"/>
      <c r="G2" s="488"/>
      <c r="H2" s="488"/>
      <c r="I2" s="488"/>
      <c r="J2" s="488"/>
      <c r="K2" s="490"/>
      <c r="L2" s="490"/>
      <c r="M2" s="491"/>
      <c r="N2" s="193"/>
      <c r="O2" s="193"/>
      <c r="P2" s="193"/>
      <c r="Q2" s="193"/>
      <c r="R2" s="193"/>
      <c r="S2" s="193"/>
      <c r="T2" s="193"/>
      <c r="U2" s="194"/>
      <c r="V2" s="194"/>
      <c r="W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</row>
    <row r="3" spans="1:37" ht="22.5" customHeight="1">
      <c r="A3" s="486"/>
      <c r="B3" s="492" t="s">
        <v>709</v>
      </c>
      <c r="C3" s="492" t="s">
        <v>712</v>
      </c>
      <c r="D3" s="492" t="s">
        <v>713</v>
      </c>
      <c r="E3" s="494" t="s">
        <v>714</v>
      </c>
      <c r="F3" s="496" t="s">
        <v>715</v>
      </c>
      <c r="G3" s="498" t="s">
        <v>716</v>
      </c>
      <c r="H3" s="498" t="s">
        <v>717</v>
      </c>
      <c r="I3" s="498" t="s">
        <v>718</v>
      </c>
      <c r="J3" s="504" t="s">
        <v>88</v>
      </c>
      <c r="K3" s="465" t="s">
        <v>719</v>
      </c>
      <c r="L3" s="466"/>
      <c r="M3" s="467"/>
      <c r="N3" s="193"/>
      <c r="O3" s="193"/>
      <c r="P3" s="193"/>
      <c r="Q3" s="193"/>
      <c r="R3" s="193"/>
      <c r="S3" s="193"/>
      <c r="T3" s="194"/>
      <c r="U3" s="194"/>
      <c r="V3" s="194"/>
      <c r="W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</row>
    <row r="4" spans="1:37" ht="27" customHeight="1" thickBot="1">
      <c r="A4" s="486"/>
      <c r="B4" s="493"/>
      <c r="C4" s="493"/>
      <c r="D4" s="493"/>
      <c r="E4" s="495"/>
      <c r="F4" s="497"/>
      <c r="G4" s="499"/>
      <c r="H4" s="499"/>
      <c r="I4" s="503"/>
      <c r="J4" s="505"/>
      <c r="K4" s="468"/>
      <c r="L4" s="469"/>
      <c r="M4" s="470"/>
      <c r="N4" s="193"/>
      <c r="O4" s="193"/>
      <c r="P4" s="193"/>
      <c r="Q4" s="193"/>
      <c r="R4" s="193"/>
      <c r="S4" s="193"/>
      <c r="T4" s="193"/>
      <c r="U4" s="194"/>
      <c r="V4" s="194"/>
      <c r="W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</row>
    <row r="5" spans="1:37" ht="15.75" customHeight="1">
      <c r="A5" s="486"/>
      <c r="B5" s="475" t="s">
        <v>720</v>
      </c>
      <c r="C5" s="195" t="str">
        <f>STATUS!A7</f>
        <v>00-05187</v>
      </c>
      <c r="D5" s="196" t="str">
        <f>STATUS!B7</f>
        <v>FMC</v>
      </c>
      <c r="E5" s="197">
        <f>STATUS!J7</f>
        <v>396.90009259259296</v>
      </c>
      <c r="F5" s="198">
        <f>STATUS!V7</f>
        <v>0</v>
      </c>
      <c r="G5" s="247">
        <f>STATUS!H7</f>
        <v>26.900092592592955</v>
      </c>
      <c r="H5" s="200">
        <f ca="1">STATUS!V8</f>
        <v>41706.480305092591</v>
      </c>
      <c r="I5" s="201"/>
      <c r="J5" s="247">
        <f>STATUS!K7</f>
        <v>0</v>
      </c>
      <c r="K5" s="202" t="s">
        <v>4</v>
      </c>
      <c r="L5" s="203">
        <v>4326</v>
      </c>
      <c r="M5" s="204">
        <f>L5/L10</f>
        <v>0.8046875</v>
      </c>
      <c r="N5" s="193"/>
      <c r="O5" s="193"/>
      <c r="P5" s="193"/>
      <c r="Q5" s="193"/>
      <c r="R5" s="193"/>
      <c r="S5" s="193"/>
      <c r="T5" s="193"/>
      <c r="U5" s="194"/>
      <c r="V5" s="194"/>
      <c r="W5" s="194"/>
      <c r="AA5" s="194"/>
      <c r="AB5" s="194"/>
      <c r="AC5" s="194"/>
      <c r="AD5" s="194"/>
      <c r="AE5" s="194"/>
      <c r="AF5" s="194"/>
      <c r="AG5" s="194"/>
      <c r="AH5" s="194"/>
      <c r="AI5" s="194"/>
      <c r="AJ5" s="194"/>
      <c r="AK5" s="194"/>
    </row>
    <row r="6" spans="1:37" ht="16.5" thickBot="1">
      <c r="A6" s="486"/>
      <c r="B6" s="476"/>
      <c r="C6" s="205" t="str">
        <f>STATUS!A10</f>
        <v>99-05119</v>
      </c>
      <c r="D6" s="206" t="str">
        <f>STATUS!B10</f>
        <v>NMCM</v>
      </c>
      <c r="E6" s="207">
        <f>STATUS!J10</f>
        <v>172.20009259259268</v>
      </c>
      <c r="F6" s="208">
        <f>STATUS!V10</f>
        <v>41695</v>
      </c>
      <c r="G6" s="246">
        <f>STATUS!H10</f>
        <v>41.599999999999909</v>
      </c>
      <c r="H6" s="210">
        <f ca="1">STATUS!V11</f>
        <v>11.480305092591152</v>
      </c>
      <c r="I6" s="211"/>
      <c r="J6" s="246">
        <f>STATUS!K10</f>
        <v>0</v>
      </c>
      <c r="K6" s="212" t="s">
        <v>2</v>
      </c>
      <c r="L6" s="213">
        <v>326</v>
      </c>
      <c r="M6" s="214">
        <f>L6/L10</f>
        <v>6.0639880952380952E-2</v>
      </c>
      <c r="N6" s="193"/>
      <c r="O6" s="193"/>
      <c r="P6" s="193"/>
      <c r="Q6" s="193"/>
      <c r="R6" s="193"/>
      <c r="S6" s="193"/>
      <c r="T6" s="193"/>
      <c r="U6" s="194"/>
      <c r="V6" s="194"/>
      <c r="W6" s="194"/>
      <c r="AA6" s="194"/>
      <c r="AB6" s="194"/>
      <c r="AC6" s="194"/>
      <c r="AD6" s="194"/>
      <c r="AE6" s="194"/>
      <c r="AF6" s="194"/>
      <c r="AG6" s="194"/>
      <c r="AH6" s="194"/>
      <c r="AI6" s="194"/>
      <c r="AJ6" s="194"/>
      <c r="AK6" s="194"/>
    </row>
    <row r="7" spans="1:37" ht="15.75">
      <c r="A7" s="486"/>
      <c r="B7" s="476"/>
      <c r="C7" s="195" t="str">
        <f>STATUS!A13</f>
        <v>99-05141</v>
      </c>
      <c r="D7" s="215" t="str">
        <f>STATUS!B13</f>
        <v>FMC</v>
      </c>
      <c r="E7" s="207">
        <f>STATUS!J13</f>
        <v>345.2001967592596</v>
      </c>
      <c r="F7" s="216">
        <f>STATUS!V13</f>
        <v>0</v>
      </c>
      <c r="G7" s="246">
        <f>STATUS!H13</f>
        <v>95.200196759259597</v>
      </c>
      <c r="H7" s="210">
        <f ca="1">STATUS!V14</f>
        <v>41706.480305092591</v>
      </c>
      <c r="I7" s="211"/>
      <c r="J7" s="246">
        <f>STATUS!K13</f>
        <v>0</v>
      </c>
      <c r="K7" s="212" t="s">
        <v>3</v>
      </c>
      <c r="L7" s="213">
        <v>23</v>
      </c>
      <c r="M7" s="214">
        <f>L7/L10</f>
        <v>4.2782738095238099E-3</v>
      </c>
      <c r="N7" s="193"/>
      <c r="O7" s="193"/>
      <c r="P7" s="193"/>
      <c r="Q7" s="193"/>
      <c r="R7" s="193"/>
      <c r="S7" s="193"/>
      <c r="T7" s="193"/>
      <c r="U7" s="194"/>
      <c r="V7" s="194"/>
      <c r="W7" s="194"/>
      <c r="AA7" s="194"/>
      <c r="AB7" s="194"/>
      <c r="AC7" s="194"/>
      <c r="AD7" s="194"/>
      <c r="AE7" s="194"/>
      <c r="AF7" s="194"/>
      <c r="AG7" s="194"/>
      <c r="AH7" s="194"/>
      <c r="AI7" s="194"/>
      <c r="AJ7" s="194"/>
      <c r="AK7" s="194"/>
    </row>
    <row r="8" spans="1:37" ht="16.5" thickBot="1">
      <c r="A8" s="486"/>
      <c r="B8" s="476"/>
      <c r="C8" s="205" t="str">
        <f>STATUS!A16</f>
        <v>99-05055</v>
      </c>
      <c r="D8" s="215" t="e">
        <f>STATUS!B16</f>
        <v>#N/A</v>
      </c>
      <c r="E8" s="219" t="e">
        <f>STATUS!J16</f>
        <v>#REF!</v>
      </c>
      <c r="F8" s="216" t="e">
        <f>STATUS!V16</f>
        <v>#N/A</v>
      </c>
      <c r="G8" s="246" t="e">
        <f>STATUS!H16</f>
        <v>#REF!</v>
      </c>
      <c r="H8" s="210" t="e">
        <f ca="1">STATUS!V17</f>
        <v>#N/A</v>
      </c>
      <c r="I8" s="211"/>
      <c r="J8" s="246">
        <f>STATUS!K16</f>
        <v>0</v>
      </c>
      <c r="K8" s="212" t="s">
        <v>0</v>
      </c>
      <c r="L8" s="213">
        <v>173</v>
      </c>
      <c r="M8" s="214">
        <f>L8/L10</f>
        <v>3.2180059523809521E-2</v>
      </c>
      <c r="N8" s="193"/>
      <c r="O8" s="193"/>
      <c r="P8" s="193"/>
      <c r="Q8" s="193"/>
      <c r="R8" s="220" t="s">
        <v>649</v>
      </c>
      <c r="S8" s="193"/>
      <c r="T8" s="193"/>
      <c r="U8" s="194"/>
      <c r="V8" s="194"/>
      <c r="W8" s="194"/>
      <c r="AA8" s="194"/>
      <c r="AB8" s="194"/>
      <c r="AC8" s="194"/>
      <c r="AD8" s="194"/>
      <c r="AE8" s="194"/>
      <c r="AF8" s="194"/>
      <c r="AG8" s="194"/>
      <c r="AH8" s="194"/>
      <c r="AI8" s="194"/>
      <c r="AJ8" s="194"/>
      <c r="AK8" s="194"/>
    </row>
    <row r="9" spans="1:37" ht="15.75">
      <c r="A9" s="486"/>
      <c r="B9" s="476"/>
      <c r="C9" s="195" t="str">
        <f>STATUS!A19</f>
        <v>00-05168</v>
      </c>
      <c r="D9" s="215" t="e">
        <f>STATUS!B19</f>
        <v>#N/A</v>
      </c>
      <c r="E9" s="207" t="e">
        <f>STATUS!J19</f>
        <v>#REF!</v>
      </c>
      <c r="F9" s="216" t="e">
        <f>STATUS!V19</f>
        <v>#N/A</v>
      </c>
      <c r="G9" s="246" t="e">
        <f>STATUS!H19</f>
        <v>#REF!</v>
      </c>
      <c r="H9" s="210" t="e">
        <f ca="1">STATUS!V20</f>
        <v>#N/A</v>
      </c>
      <c r="I9" s="211"/>
      <c r="J9" s="246">
        <f>STATUS!K19</f>
        <v>0</v>
      </c>
      <c r="K9" s="212" t="s">
        <v>1</v>
      </c>
      <c r="L9" s="213">
        <v>528</v>
      </c>
      <c r="M9" s="214">
        <f>L9/L10</f>
        <v>9.8214285714285712E-2</v>
      </c>
      <c r="N9" s="193"/>
      <c r="O9" s="193"/>
      <c r="P9" s="193"/>
      <c r="Q9" s="193"/>
      <c r="R9" s="222" t="s">
        <v>589</v>
      </c>
      <c r="S9" s="193"/>
      <c r="T9" s="193"/>
      <c r="U9" s="194"/>
      <c r="V9" s="223" t="s">
        <v>4</v>
      </c>
      <c r="W9" s="194"/>
      <c r="AA9" s="194"/>
      <c r="AB9" s="194"/>
      <c r="AC9" s="194"/>
      <c r="AD9" s="194"/>
      <c r="AE9" s="194"/>
      <c r="AF9" s="194"/>
      <c r="AG9" s="194"/>
      <c r="AH9" s="194"/>
      <c r="AI9" s="194"/>
      <c r="AJ9" s="194"/>
      <c r="AK9" s="194"/>
    </row>
    <row r="10" spans="1:37" ht="15" customHeight="1" thickBot="1">
      <c r="A10" s="486"/>
      <c r="B10" s="476"/>
      <c r="C10" s="205" t="str">
        <f>STATUS!A22</f>
        <v>00-05167</v>
      </c>
      <c r="D10" s="215" t="e">
        <f>STATUS!B22</f>
        <v>#N/A</v>
      </c>
      <c r="E10" s="219" t="e">
        <f>STATUS!J22</f>
        <v>#REF!</v>
      </c>
      <c r="F10" s="208" t="e">
        <f>STATUS!V22</f>
        <v>#N/A</v>
      </c>
      <c r="G10" s="246" t="e">
        <f>STATUS!H22</f>
        <v>#REF!</v>
      </c>
      <c r="H10" s="210" t="e">
        <f ca="1">STATUS!V23</f>
        <v>#N/A</v>
      </c>
      <c r="I10" s="211"/>
      <c r="J10" s="246">
        <f>STATUS!K22</f>
        <v>0</v>
      </c>
      <c r="K10" s="478" t="s">
        <v>650</v>
      </c>
      <c r="L10" s="479">
        <f>L5+L6+L7+L8+L9</f>
        <v>5376</v>
      </c>
      <c r="M10" s="460">
        <f>M5</f>
        <v>0.8046875</v>
      </c>
      <c r="N10" s="193"/>
      <c r="O10" s="193"/>
      <c r="P10" s="193"/>
      <c r="Q10" s="193"/>
      <c r="R10" s="193"/>
      <c r="S10" s="193"/>
      <c r="T10" s="193"/>
      <c r="U10" s="194"/>
      <c r="V10" s="224" t="s">
        <v>3</v>
      </c>
      <c r="W10" s="194"/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</row>
    <row r="11" spans="1:37" ht="15.75" customHeight="1" thickBot="1">
      <c r="A11" s="486"/>
      <c r="B11" s="476"/>
      <c r="C11" s="195" t="str">
        <f>STATUS!A25</f>
        <v>99-05008</v>
      </c>
      <c r="D11" s="215" t="e">
        <f>STATUS!B25</f>
        <v>#N/A</v>
      </c>
      <c r="E11" s="207" t="e">
        <f>STATUS!J25</f>
        <v>#REF!</v>
      </c>
      <c r="F11" s="208" t="e">
        <f>STATUS!V25</f>
        <v>#N/A</v>
      </c>
      <c r="G11" s="246" t="e">
        <f>STATUS!H25</f>
        <v>#REF!</v>
      </c>
      <c r="H11" s="210" t="e">
        <f ca="1">STATUS!V26</f>
        <v>#N/A</v>
      </c>
      <c r="I11" s="211"/>
      <c r="J11" s="246">
        <f>STATUS!K25</f>
        <v>0</v>
      </c>
      <c r="K11" s="470"/>
      <c r="L11" s="480"/>
      <c r="M11" s="461"/>
      <c r="N11" s="193"/>
      <c r="O11" s="193"/>
      <c r="P11" s="193"/>
      <c r="Q11" s="193"/>
      <c r="R11" s="193"/>
      <c r="S11" s="193"/>
      <c r="T11" s="193"/>
      <c r="U11" s="194"/>
      <c r="V11" s="224" t="s">
        <v>2</v>
      </c>
      <c r="W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</row>
    <row r="12" spans="1:37" ht="15.75">
      <c r="A12" s="486"/>
      <c r="B12" s="476"/>
      <c r="C12" s="205">
        <f>STATUS!A28</f>
        <v>0</v>
      </c>
      <c r="D12" s="226" t="e">
        <f>STATUS!B28</f>
        <v>#N/A</v>
      </c>
      <c r="E12" s="227" t="e">
        <f>STATUS!J28</f>
        <v>#REF!</v>
      </c>
      <c r="F12" s="228" t="e">
        <f>STATUS!V28</f>
        <v>#N/A</v>
      </c>
      <c r="G12" s="246" t="e">
        <f>STATUS!H28</f>
        <v>#REF!</v>
      </c>
      <c r="H12" s="230">
        <f>STATUS!V30</f>
        <v>0</v>
      </c>
      <c r="I12" s="211"/>
      <c r="J12" s="246">
        <f>STATUS!K28</f>
        <v>0</v>
      </c>
      <c r="K12" s="481">
        <v>8</v>
      </c>
      <c r="L12" s="231" t="s">
        <v>706</v>
      </c>
      <c r="M12" s="232" t="e">
        <f>SUM(E5:E12)</f>
        <v>#REF!</v>
      </c>
      <c r="N12" s="193"/>
      <c r="O12" s="193"/>
      <c r="P12" s="193"/>
      <c r="Q12" s="193"/>
      <c r="R12" s="193"/>
      <c r="S12" s="193"/>
      <c r="T12" s="194"/>
      <c r="U12" s="194"/>
      <c r="V12" s="224" t="s">
        <v>0</v>
      </c>
      <c r="W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</row>
    <row r="13" spans="1:37" ht="16.5" thickBot="1">
      <c r="A13" s="486"/>
      <c r="B13" s="477"/>
      <c r="C13" s="474"/>
      <c r="D13" s="474"/>
      <c r="E13" s="474"/>
      <c r="F13" s="474"/>
      <c r="G13" s="474"/>
      <c r="H13" s="474"/>
      <c r="I13" s="474"/>
      <c r="J13" s="474"/>
      <c r="K13" s="482"/>
      <c r="L13" s="233" t="s">
        <v>730</v>
      </c>
      <c r="M13" s="234" t="e">
        <f>M12/(360*K12)</f>
        <v>#REF!</v>
      </c>
      <c r="N13" s="193"/>
      <c r="O13" s="193"/>
      <c r="P13" s="193"/>
      <c r="Q13" s="193"/>
      <c r="R13" s="193"/>
      <c r="S13" s="193"/>
      <c r="T13" s="193"/>
      <c r="U13" s="194"/>
      <c r="V13" s="224" t="s">
        <v>1</v>
      </c>
      <c r="W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</row>
    <row r="14" spans="1:37" ht="16.5" customHeight="1">
      <c r="A14" s="486"/>
      <c r="B14" s="500" t="s">
        <v>731</v>
      </c>
      <c r="C14" s="195" t="s">
        <v>721</v>
      </c>
      <c r="D14" s="196" t="s">
        <v>4</v>
      </c>
      <c r="E14" s="197">
        <v>350.4</v>
      </c>
      <c r="F14" s="198"/>
      <c r="G14" s="247"/>
      <c r="H14" s="200" t="str">
        <f>IF(D14=" "," ",IF((D14="PMCM")+OR(D14="PMCS")+OR(D14="NMCM")+OR(D14="NMCS")+OR(D14="INSP")+OR(D14="MTF")+OR(D14="MOC")+OR(D14="NMCD"),(F14-K11)*-1," " ))</f>
        <v xml:space="preserve"> </v>
      </c>
      <c r="I14" s="201"/>
      <c r="J14" s="247"/>
      <c r="K14" s="202" t="s">
        <v>4</v>
      </c>
      <c r="L14" s="203">
        <v>4326</v>
      </c>
      <c r="M14" s="204">
        <f>L14/L19</f>
        <v>0.8046875</v>
      </c>
      <c r="N14" s="193"/>
      <c r="O14" s="193"/>
      <c r="P14" s="193"/>
      <c r="Q14" s="193"/>
      <c r="R14" s="193"/>
      <c r="S14" s="193"/>
      <c r="T14" s="193"/>
      <c r="U14" s="194"/>
      <c r="V14" s="235" t="s">
        <v>732</v>
      </c>
      <c r="W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</row>
    <row r="15" spans="1:37" ht="15.75">
      <c r="A15" s="486"/>
      <c r="B15" s="501"/>
      <c r="C15" s="205" t="s">
        <v>722</v>
      </c>
      <c r="D15" s="206" t="s">
        <v>4</v>
      </c>
      <c r="E15" s="207">
        <v>52.7</v>
      </c>
      <c r="F15" s="208"/>
      <c r="G15" s="246"/>
      <c r="H15" s="210" t="str">
        <f>IF(D15=" "," ",IF((D15="PMCM")+OR(D15="PMCS")+OR(D15="NMCM")+OR(D15="NMCS")+OR(D15="INSP")+OR(D15="MTF")+OR(D15="MOC")+OR(D15="NMCD"),(F15-K11)*-1," " ))</f>
        <v xml:space="preserve"> </v>
      </c>
      <c r="I15" s="211"/>
      <c r="J15" s="246"/>
      <c r="K15" s="212" t="s">
        <v>2</v>
      </c>
      <c r="L15" s="213">
        <v>326</v>
      </c>
      <c r="M15" s="214">
        <f>L15/L19</f>
        <v>6.0639880952380952E-2</v>
      </c>
      <c r="N15" s="193"/>
      <c r="O15" s="193"/>
      <c r="P15" s="193"/>
      <c r="Q15" s="193"/>
      <c r="R15" s="193"/>
      <c r="S15" s="193"/>
      <c r="T15" s="193"/>
      <c r="U15" s="194"/>
      <c r="V15" s="194"/>
      <c r="W15" s="194"/>
      <c r="AA15" s="194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</row>
    <row r="16" spans="1:37" ht="15.75">
      <c r="A16" s="486"/>
      <c r="B16" s="501"/>
      <c r="C16" s="205" t="s">
        <v>723</v>
      </c>
      <c r="D16" s="215" t="s">
        <v>0</v>
      </c>
      <c r="E16" s="207" t="e">
        <f>#REF!</f>
        <v>#REF!</v>
      </c>
      <c r="F16" s="216">
        <v>41585</v>
      </c>
      <c r="G16" s="246">
        <v>41591</v>
      </c>
      <c r="H16" s="210">
        <f>IF(D16=" "," ",IF((D16="PMCM")+OR(D16="PMCS")+OR(D16="NMCM")+OR(D16="NMCS")+OR(D16="INSP")+OR(D16="MTF")+OR(D16="MOC")+OR(D16="NMCD"),(F16-K11)*-1," " ))</f>
        <v>-41585</v>
      </c>
      <c r="I16" s="211"/>
      <c r="J16" s="246"/>
      <c r="K16" s="212" t="s">
        <v>3</v>
      </c>
      <c r="L16" s="213">
        <v>23</v>
      </c>
      <c r="M16" s="214">
        <f>L16/L19</f>
        <v>4.2782738095238099E-3</v>
      </c>
      <c r="N16" s="193"/>
      <c r="O16" s="193"/>
      <c r="P16" s="193"/>
      <c r="Q16" s="193"/>
      <c r="R16" s="193"/>
      <c r="S16" s="193"/>
      <c r="T16" s="193"/>
      <c r="U16" s="194"/>
      <c r="V16" s="194"/>
      <c r="W16" s="194"/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</row>
    <row r="17" spans="1:37" ht="15.75">
      <c r="A17" s="486"/>
      <c r="B17" s="501"/>
      <c r="C17" s="218" t="s">
        <v>724</v>
      </c>
      <c r="D17" s="215" t="s">
        <v>4</v>
      </c>
      <c r="E17" s="219">
        <v>146.6</v>
      </c>
      <c r="F17" s="216"/>
      <c r="G17" s="246"/>
      <c r="H17" s="210" t="str">
        <f>IF(D17=" "," ",IF((D17="PMCM")+OR(D17="PMCS")+OR(D17="NMCM")+OR(D17="NMCS")+OR(D17="INSP")+OR(D17="MTF")+OR(D17="MOC")+OR(D17="NMCD"),(F17-K11)*-1," " ))</f>
        <v xml:space="preserve"> </v>
      </c>
      <c r="I17" s="211"/>
      <c r="J17" s="246" t="s">
        <v>725</v>
      </c>
      <c r="K17" s="212" t="s">
        <v>0</v>
      </c>
      <c r="L17" s="213">
        <v>173</v>
      </c>
      <c r="M17" s="214">
        <f>L17/L19</f>
        <v>3.2180059523809521E-2</v>
      </c>
      <c r="N17" s="193"/>
      <c r="O17" s="193"/>
      <c r="P17" s="193"/>
      <c r="Q17" s="193"/>
      <c r="R17" s="193"/>
      <c r="S17" s="193"/>
      <c r="T17" s="193"/>
      <c r="U17" s="194"/>
      <c r="V17" s="194"/>
      <c r="W17" s="194"/>
      <c r="AA17" s="194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</row>
    <row r="18" spans="1:37" ht="15.75">
      <c r="A18" s="486"/>
      <c r="B18" s="501"/>
      <c r="C18" s="205" t="s">
        <v>726</v>
      </c>
      <c r="D18" s="215" t="s">
        <v>4</v>
      </c>
      <c r="E18" s="207">
        <v>181</v>
      </c>
      <c r="F18" s="216"/>
      <c r="G18" s="246"/>
      <c r="H18" s="210" t="str">
        <f>IF(D18=" "," ",IF((D18="PMCM")+OR(D18="PMCS")+OR(D18="NMCM")+OR(D18="NMCS")+OR(D18="INSP")+OR(D18="MTF")+OR(D18="MOC")+OR(D18="NMCD"),(F18-K11)*-1," " ))</f>
        <v xml:space="preserve"> </v>
      </c>
      <c r="I18" s="211"/>
      <c r="J18" s="246"/>
      <c r="K18" s="212" t="s">
        <v>1</v>
      </c>
      <c r="L18" s="213">
        <v>528</v>
      </c>
      <c r="M18" s="214">
        <f>L18/L19</f>
        <v>9.8214285714285712E-2</v>
      </c>
      <c r="N18" s="193"/>
      <c r="O18" s="193"/>
      <c r="P18" s="193"/>
      <c r="Q18" s="193"/>
      <c r="R18" s="193"/>
      <c r="S18" s="193"/>
      <c r="T18" s="193"/>
      <c r="U18" s="194"/>
      <c r="V18" s="223"/>
      <c r="W18" s="194"/>
      <c r="AA18" s="194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</row>
    <row r="19" spans="1:37" ht="15" customHeight="1">
      <c r="A19" s="486"/>
      <c r="B19" s="501"/>
      <c r="C19" s="205" t="s">
        <v>727</v>
      </c>
      <c r="D19" s="215" t="s">
        <v>4</v>
      </c>
      <c r="E19" s="219">
        <v>97</v>
      </c>
      <c r="F19" s="208"/>
      <c r="G19" s="246"/>
      <c r="H19" s="210" t="str">
        <f>IF(D19=" "," ",IF((D19="PMCM")+OR(D19="PMCS")+OR(D19="NMCM")+OR(D19="NMCS")+OR(D19="INSP")+OR(D19="MTF")+OR(D19="MOC")+OR(D19="NMCD"),(F19-K11)*-1," " ))</f>
        <v xml:space="preserve"> </v>
      </c>
      <c r="I19" s="211"/>
      <c r="J19" s="246"/>
      <c r="K19" s="478" t="s">
        <v>650</v>
      </c>
      <c r="L19" s="479">
        <f>L14+L15+L16+L17+L18</f>
        <v>5376</v>
      </c>
      <c r="M19" s="460">
        <f>M14</f>
        <v>0.8046875</v>
      </c>
      <c r="N19" s="193"/>
      <c r="O19" s="193"/>
      <c r="P19" s="193"/>
      <c r="Q19" s="193"/>
      <c r="R19" s="193"/>
      <c r="S19" s="193"/>
      <c r="T19" s="193"/>
      <c r="U19" s="194"/>
      <c r="V19" s="223"/>
      <c r="W19" s="194"/>
      <c r="AA19" s="194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</row>
    <row r="20" spans="1:37" ht="15.75" customHeight="1" thickBot="1">
      <c r="A20" s="486"/>
      <c r="B20" s="501"/>
      <c r="C20" s="205" t="s">
        <v>728</v>
      </c>
      <c r="D20" s="215" t="s">
        <v>4</v>
      </c>
      <c r="E20" s="207">
        <v>179.8</v>
      </c>
      <c r="F20" s="208"/>
      <c r="G20" s="246"/>
      <c r="H20" s="210" t="str">
        <f>IF(D20=" "," ",IF((D20="PMCM")+OR(D20="PMCS")+OR(D20="NMCM")+OR(D20="NMCS")+OR(D20="INSP")+OR(D20="MTF")+OR(D20="MOC")+OR(D20="NMCD"),(F20-K11)*-1," " ))</f>
        <v xml:space="preserve"> </v>
      </c>
      <c r="I20" s="211"/>
      <c r="J20" s="246"/>
      <c r="K20" s="470"/>
      <c r="L20" s="480"/>
      <c r="M20" s="461"/>
      <c r="N20" s="193"/>
      <c r="O20" s="193"/>
      <c r="P20" s="193"/>
      <c r="Q20" s="193"/>
      <c r="R20" s="193"/>
      <c r="S20" s="193"/>
      <c r="T20" s="193"/>
      <c r="U20" s="194"/>
      <c r="V20" s="223"/>
      <c r="W20" s="194"/>
      <c r="AA20" s="194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</row>
    <row r="21" spans="1:37" ht="16.5" customHeight="1">
      <c r="A21" s="486"/>
      <c r="B21" s="501"/>
      <c r="C21" s="225" t="s">
        <v>729</v>
      </c>
      <c r="D21" s="226" t="s">
        <v>4</v>
      </c>
      <c r="E21" s="227">
        <v>78.400000000000006</v>
      </c>
      <c r="F21" s="228"/>
      <c r="G21" s="246"/>
      <c r="H21" s="230" t="str">
        <f>IF(D21=" "," ",IF((D21="PMCM")+OR(D21="PMCS")+OR(D21="NMCM")+OR(D21="NMCS")+OR(D21="INSP")+OR(D21="MTF")+OR(D21="MOC")+OR(D21="NMCD"),(F21-K11)*-1," " ))</f>
        <v xml:space="preserve"> </v>
      </c>
      <c r="I21" s="211"/>
      <c r="J21" s="246"/>
      <c r="K21" s="471">
        <v>8</v>
      </c>
      <c r="L21" s="236" t="s">
        <v>706</v>
      </c>
      <c r="M21" s="237" t="e">
        <f>SUM(E14:E21)</f>
        <v>#REF!</v>
      </c>
      <c r="N21" s="193"/>
      <c r="O21" s="193"/>
      <c r="P21" s="193"/>
      <c r="Q21" s="193"/>
      <c r="R21" s="193"/>
      <c r="S21" s="193"/>
      <c r="T21" s="193"/>
      <c r="U21" s="194"/>
      <c r="V21" s="223"/>
      <c r="W21" s="194"/>
      <c r="AA21" s="194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</row>
    <row r="22" spans="1:37" ht="16.5" thickBot="1">
      <c r="A22" s="486"/>
      <c r="B22" s="502"/>
      <c r="C22" s="473"/>
      <c r="D22" s="473"/>
      <c r="E22" s="473"/>
      <c r="F22" s="473"/>
      <c r="G22" s="473"/>
      <c r="H22" s="473"/>
      <c r="I22" s="473"/>
      <c r="J22" s="473"/>
      <c r="K22" s="472"/>
      <c r="L22" s="238" t="s">
        <v>730</v>
      </c>
      <c r="M22" s="239" t="e">
        <f>M21/(360*K21)</f>
        <v>#REF!</v>
      </c>
      <c r="N22" s="193"/>
      <c r="O22" s="193"/>
      <c r="P22" s="193"/>
      <c r="Q22" s="193"/>
      <c r="R22" s="193"/>
      <c r="S22" s="193"/>
      <c r="T22" s="193"/>
      <c r="U22" s="194"/>
      <c r="V22" s="223"/>
      <c r="W22" s="194"/>
      <c r="AA22" s="194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</row>
    <row r="23" spans="1:37" ht="16.5" hidden="1" customHeight="1">
      <c r="A23" s="486"/>
      <c r="B23" s="240"/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193"/>
      <c r="O23" s="193"/>
      <c r="P23" s="193"/>
      <c r="Q23" s="193"/>
      <c r="R23" s="193"/>
      <c r="S23" s="193"/>
      <c r="T23" s="193"/>
      <c r="U23" s="194"/>
      <c r="V23" s="223"/>
      <c r="W23" s="194"/>
      <c r="AA23" s="194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</row>
    <row r="24" spans="1:37" ht="14.25" hidden="1" customHeight="1">
      <c r="A24" s="486"/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193"/>
      <c r="O24" s="193"/>
      <c r="P24" s="193"/>
      <c r="Q24" s="193"/>
      <c r="R24" s="193"/>
      <c r="S24" s="193"/>
      <c r="T24" s="193"/>
      <c r="U24" s="194"/>
      <c r="V24" s="223"/>
      <c r="W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</row>
    <row r="25" spans="1:37" ht="15.75" hidden="1" customHeight="1">
      <c r="A25" s="486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193"/>
      <c r="O25" s="193"/>
      <c r="P25" s="193"/>
      <c r="Q25" s="193"/>
      <c r="R25" s="193"/>
      <c r="S25" s="193"/>
      <c r="T25" s="193"/>
      <c r="U25" s="194"/>
      <c r="V25" s="223"/>
      <c r="W25" s="194"/>
      <c r="AA25" s="194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</row>
    <row r="26" spans="1:37" ht="0.75" hidden="1" customHeight="1">
      <c r="A26" s="486"/>
      <c r="B26" s="240"/>
      <c r="C26" s="240"/>
      <c r="D26" s="240"/>
      <c r="E26" s="240"/>
      <c r="F26" s="240"/>
      <c r="G26" s="240"/>
      <c r="H26" s="240"/>
      <c r="I26" s="240"/>
      <c r="J26" s="240"/>
      <c r="K26" s="240"/>
      <c r="L26" s="240"/>
      <c r="M26" s="240"/>
      <c r="N26" s="193"/>
      <c r="O26" s="193"/>
      <c r="P26" s="193"/>
      <c r="Q26" s="193"/>
      <c r="R26" s="193"/>
      <c r="S26" s="193"/>
      <c r="T26" s="193"/>
      <c r="U26" s="194"/>
      <c r="V26" s="223"/>
      <c r="W26" s="194"/>
      <c r="AA26" s="194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</row>
    <row r="27" spans="1:37" ht="0.75" customHeight="1" thickBot="1">
      <c r="A27" s="486"/>
      <c r="B27" s="240"/>
      <c r="K27" s="240"/>
      <c r="L27" s="240"/>
      <c r="M27" s="240"/>
      <c r="N27" s="193"/>
      <c r="O27" s="193"/>
      <c r="P27" s="193"/>
      <c r="Q27" s="193"/>
      <c r="R27" s="193"/>
      <c r="S27" s="193"/>
      <c r="T27" s="193"/>
      <c r="U27" s="194"/>
      <c r="V27" s="223"/>
      <c r="W27" s="194"/>
      <c r="AA27" s="194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</row>
    <row r="28" spans="1:37" ht="15.75">
      <c r="A28" s="486"/>
      <c r="B28" s="483" t="s">
        <v>733</v>
      </c>
      <c r="C28" s="195" t="s">
        <v>721</v>
      </c>
      <c r="D28" s="196" t="s">
        <v>4</v>
      </c>
      <c r="E28" s="197">
        <v>350.4</v>
      </c>
      <c r="F28" s="198"/>
      <c r="G28" s="199"/>
      <c r="H28" s="200" t="str">
        <f>IF(D28=" "," ",IF((D28="PMCM")+OR(D28="PMCS")+OR(D28="NMCM")+OR(D28="NMCS")+OR(D28="INSP")+OR(D28="MTF")+OR(D28="MOC")+OR(D28="NMCD"),(F28-K25)*-1," " ))</f>
        <v xml:space="preserve"> </v>
      </c>
      <c r="I28" s="201"/>
      <c r="J28" s="247"/>
      <c r="K28" s="202" t="s">
        <v>4</v>
      </c>
      <c r="L28" s="203">
        <v>4326</v>
      </c>
      <c r="M28" s="204">
        <f>L28/L33</f>
        <v>0.8046875</v>
      </c>
      <c r="N28" s="193"/>
      <c r="O28" s="193"/>
      <c r="P28" s="193"/>
      <c r="Q28" s="193"/>
      <c r="R28" s="193"/>
      <c r="S28" s="193"/>
      <c r="T28" s="193"/>
      <c r="U28" s="194"/>
      <c r="V28" s="194"/>
      <c r="W28" s="194"/>
      <c r="AA28" s="194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</row>
    <row r="29" spans="1:37" ht="15.75">
      <c r="A29" s="486"/>
      <c r="B29" s="484"/>
      <c r="C29" s="205" t="s">
        <v>722</v>
      </c>
      <c r="D29" s="206" t="s">
        <v>4</v>
      </c>
      <c r="E29" s="207">
        <v>52.7</v>
      </c>
      <c r="F29" s="208"/>
      <c r="G29" s="209"/>
      <c r="H29" s="210" t="str">
        <f>IF(D29=" "," ",IF((D29="PMCM")+OR(D29="PMCS")+OR(D29="NMCM")+OR(D29="NMCS")+OR(D29="INSP")+OR(D29="MTF")+OR(D29="MOC")+OR(D29="NMCD"),(F29-K25)*-1," " ))</f>
        <v xml:space="preserve"> </v>
      </c>
      <c r="I29" s="211"/>
      <c r="J29" s="246"/>
      <c r="K29" s="212" t="s">
        <v>2</v>
      </c>
      <c r="L29" s="213">
        <v>326</v>
      </c>
      <c r="M29" s="214">
        <f>L29/L33</f>
        <v>6.0639880952380952E-2</v>
      </c>
      <c r="N29" s="193"/>
      <c r="O29" s="193"/>
      <c r="P29" s="193"/>
      <c r="Q29" s="193"/>
      <c r="R29" s="193"/>
      <c r="S29" s="193"/>
      <c r="T29" s="193"/>
      <c r="U29" s="194"/>
      <c r="V29" s="194"/>
      <c r="W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</row>
    <row r="30" spans="1:37" ht="15.75">
      <c r="A30" s="486"/>
      <c r="B30" s="484"/>
      <c r="C30" s="205" t="s">
        <v>723</v>
      </c>
      <c r="D30" s="215" t="s">
        <v>0</v>
      </c>
      <c r="E30" s="207" t="e">
        <f>#REF!</f>
        <v>#REF!</v>
      </c>
      <c r="F30" s="216">
        <v>41585</v>
      </c>
      <c r="G30" s="217">
        <v>41591</v>
      </c>
      <c r="H30" s="210">
        <f>IF(D30=" "," ",IF((D30="PMCM")+OR(D30="PMCS")+OR(D30="NMCM")+OR(D30="NMCS")+OR(D30="INSP")+OR(D30="MTF")+OR(D30="MOC")+OR(D30="NMCD"),(F30-K25)*-1," " ))</f>
        <v>-41585</v>
      </c>
      <c r="I30" s="211"/>
      <c r="J30" s="246"/>
      <c r="K30" s="212" t="s">
        <v>3</v>
      </c>
      <c r="L30" s="213">
        <v>23</v>
      </c>
      <c r="M30" s="214">
        <f>L30/L33</f>
        <v>4.2782738095238099E-3</v>
      </c>
      <c r="N30" s="193"/>
      <c r="O30" s="193"/>
      <c r="P30" s="193"/>
      <c r="Q30" s="193"/>
      <c r="R30" s="193"/>
      <c r="S30" s="193"/>
      <c r="T30" s="193"/>
      <c r="U30" s="194"/>
      <c r="V30" s="194"/>
      <c r="W30" s="194"/>
      <c r="AA30" s="194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</row>
    <row r="31" spans="1:37" ht="15.75">
      <c r="A31" s="486"/>
      <c r="B31" s="484"/>
      <c r="C31" s="218" t="s">
        <v>724</v>
      </c>
      <c r="D31" s="215" t="s">
        <v>4</v>
      </c>
      <c r="E31" s="219">
        <v>146.6</v>
      </c>
      <c r="F31" s="216"/>
      <c r="G31" s="217"/>
      <c r="H31" s="210" t="str">
        <f>IF(D31=" "," ",IF((D31="PMCM")+OR(D31="PMCS")+OR(D31="NMCM")+OR(D31="NMCS")+OR(D31="INSP")+OR(D31="MTF")+OR(D31="MOC")+OR(D31="NMCD"),(F31-K25)*-1," " ))</f>
        <v xml:space="preserve"> </v>
      </c>
      <c r="I31" s="211"/>
      <c r="J31" s="246" t="s">
        <v>725</v>
      </c>
      <c r="K31" s="212" t="s">
        <v>0</v>
      </c>
      <c r="L31" s="213">
        <v>173</v>
      </c>
      <c r="M31" s="214">
        <f>L31/L33</f>
        <v>3.2180059523809521E-2</v>
      </c>
      <c r="N31" s="193"/>
      <c r="O31" s="193"/>
      <c r="P31" s="193"/>
      <c r="Q31" s="193"/>
      <c r="R31" s="193"/>
      <c r="S31" s="193"/>
      <c r="T31" s="193"/>
      <c r="U31" s="194"/>
      <c r="V31" s="194"/>
      <c r="W31" s="194"/>
      <c r="AA31" s="194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</row>
    <row r="32" spans="1:37" ht="15.75" customHeight="1">
      <c r="A32" s="486"/>
      <c r="B32" s="484"/>
      <c r="C32" s="205" t="s">
        <v>726</v>
      </c>
      <c r="D32" s="215" t="s">
        <v>4</v>
      </c>
      <c r="E32" s="207">
        <v>181</v>
      </c>
      <c r="F32" s="216"/>
      <c r="G32" s="221"/>
      <c r="H32" s="210" t="str">
        <f>IF(D32=" "," ",IF((D32="PMCM")+OR(D32="PMCS")+OR(D32="NMCM")+OR(D32="NMCS")+OR(D32="INSP")+OR(D32="MTF")+OR(D32="MOC")+OR(D32="NMCD"),(F32-K25)*-1," " ))</f>
        <v xml:space="preserve"> </v>
      </c>
      <c r="I32" s="211"/>
      <c r="J32" s="246"/>
      <c r="K32" s="212" t="s">
        <v>1</v>
      </c>
      <c r="L32" s="213">
        <v>528</v>
      </c>
      <c r="M32" s="214">
        <f>L32/L33</f>
        <v>9.8214285714285712E-2</v>
      </c>
      <c r="N32" s="193"/>
      <c r="O32" s="193"/>
      <c r="P32" s="193"/>
      <c r="Q32" s="193"/>
      <c r="R32" s="193"/>
      <c r="S32" s="193"/>
      <c r="T32" s="193"/>
      <c r="U32" s="194"/>
      <c r="V32" s="194"/>
      <c r="W32" s="194"/>
      <c r="AA32" s="194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</row>
    <row r="33" spans="1:37" ht="16.5" customHeight="1">
      <c r="A33" s="486"/>
      <c r="B33" s="484"/>
      <c r="C33" s="205" t="s">
        <v>727</v>
      </c>
      <c r="D33" s="215" t="s">
        <v>4</v>
      </c>
      <c r="E33" s="219">
        <v>97</v>
      </c>
      <c r="F33" s="208"/>
      <c r="G33" s="221"/>
      <c r="H33" s="210" t="str">
        <f>IF(D33=" "," ",IF((D33="PMCM")+OR(D33="PMCS")+OR(D33="NMCM")+OR(D33="NMCS")+OR(D33="INSP")+OR(D33="MTF")+OR(D33="MOC")+OR(D33="NMCD"),(F33-K25)*-1," " ))</f>
        <v xml:space="preserve"> </v>
      </c>
      <c r="I33" s="211"/>
      <c r="J33" s="246"/>
      <c r="K33" s="478" t="s">
        <v>650</v>
      </c>
      <c r="L33" s="479">
        <f>L28+L29+L30+L31+L32</f>
        <v>5376</v>
      </c>
      <c r="M33" s="460">
        <f>M28</f>
        <v>0.8046875</v>
      </c>
      <c r="N33" s="193"/>
      <c r="O33" s="193"/>
      <c r="P33" s="193"/>
      <c r="Q33" s="193"/>
      <c r="R33" s="193"/>
      <c r="S33" s="193"/>
      <c r="T33" s="193"/>
      <c r="U33" s="194"/>
      <c r="V33" s="194"/>
      <c r="W33" s="194"/>
      <c r="AA33" s="194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</row>
    <row r="34" spans="1:37" ht="15.75" customHeight="1" thickBot="1">
      <c r="A34" s="486"/>
      <c r="B34" s="484"/>
      <c r="C34" s="205" t="s">
        <v>728</v>
      </c>
      <c r="D34" s="215" t="s">
        <v>4</v>
      </c>
      <c r="E34" s="207">
        <v>179.8</v>
      </c>
      <c r="F34" s="208"/>
      <c r="G34" s="221"/>
      <c r="H34" s="210" t="str">
        <f>IF(D34=" "," ",IF((D34="PMCM")+OR(D34="PMCS")+OR(D34="NMCM")+OR(D34="NMCS")+OR(D34="INSP")+OR(D34="MTF")+OR(D34="MOC")+OR(D34="NMCD"),(F34-K25)*-1," " ))</f>
        <v xml:space="preserve"> </v>
      </c>
      <c r="I34" s="211"/>
      <c r="J34" s="246"/>
      <c r="K34" s="470"/>
      <c r="L34" s="480"/>
      <c r="M34" s="461"/>
      <c r="N34" s="193"/>
      <c r="O34" s="193"/>
      <c r="P34" s="193"/>
      <c r="Q34" s="193"/>
      <c r="R34" s="193"/>
      <c r="S34" s="193"/>
      <c r="T34" s="193"/>
      <c r="U34" s="194"/>
      <c r="V34" s="194"/>
      <c r="W34" s="194"/>
      <c r="AA34" s="194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</row>
    <row r="35" spans="1:37" ht="15.75">
      <c r="A35" s="486"/>
      <c r="B35" s="484"/>
      <c r="C35" s="225" t="s">
        <v>729</v>
      </c>
      <c r="D35" s="226" t="s">
        <v>4</v>
      </c>
      <c r="E35" s="227">
        <v>78.400000000000006</v>
      </c>
      <c r="F35" s="228"/>
      <c r="G35" s="229"/>
      <c r="H35" s="230" t="str">
        <f>IF(D35=" "," ",IF((D35="PMCM")+OR(D35="PMCS")+OR(D35="NMCM")+OR(D35="NMCS")+OR(D35="INSP")+OR(D35="MTF")+OR(D35="MOC")+OR(D35="NMCD"),(F35-K25)*-1," " ))</f>
        <v xml:space="preserve"> </v>
      </c>
      <c r="I35" s="211"/>
      <c r="J35" s="246"/>
      <c r="K35" s="462">
        <v>8</v>
      </c>
      <c r="L35" s="241" t="s">
        <v>706</v>
      </c>
      <c r="M35" s="242" t="e">
        <f>SUM(E28:E35)</f>
        <v>#REF!</v>
      </c>
      <c r="N35" s="193"/>
      <c r="O35" s="193"/>
      <c r="P35" s="193"/>
      <c r="Q35" s="193"/>
      <c r="R35" s="193"/>
      <c r="S35" s="193"/>
      <c r="T35" s="193"/>
      <c r="U35" s="194"/>
      <c r="V35" s="194"/>
      <c r="W35" s="194"/>
      <c r="AA35" s="194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</row>
    <row r="36" spans="1:37" ht="16.5" thickBot="1">
      <c r="A36" s="486"/>
      <c r="B36" s="485"/>
      <c r="C36" s="464"/>
      <c r="D36" s="464"/>
      <c r="E36" s="464"/>
      <c r="F36" s="464"/>
      <c r="G36" s="464"/>
      <c r="H36" s="464"/>
      <c r="I36" s="464"/>
      <c r="J36" s="464"/>
      <c r="K36" s="463"/>
      <c r="L36" s="243" t="s">
        <v>730</v>
      </c>
      <c r="M36" s="244" t="e">
        <f>M35/(360*K35)</f>
        <v>#REF!</v>
      </c>
      <c r="N36" s="193"/>
      <c r="O36" s="193"/>
      <c r="P36" s="193"/>
      <c r="Q36" s="193"/>
      <c r="R36" s="193"/>
      <c r="S36" s="193"/>
      <c r="T36" s="193"/>
      <c r="U36" s="194"/>
      <c r="V36" s="194"/>
      <c r="W36" s="194"/>
      <c r="AA36" s="194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</row>
    <row r="37" spans="1:37">
      <c r="A37" s="486"/>
      <c r="N37" s="193"/>
      <c r="O37" s="193"/>
      <c r="P37" s="193"/>
      <c r="Q37" s="193"/>
      <c r="R37" s="193"/>
      <c r="S37" s="193"/>
      <c r="T37" s="193"/>
      <c r="U37" s="194"/>
      <c r="V37" s="194"/>
      <c r="W37" s="194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</row>
    <row r="38" spans="1:37">
      <c r="A38" s="486"/>
      <c r="N38" s="193"/>
      <c r="O38" s="193"/>
      <c r="P38" s="193"/>
      <c r="Q38" s="193"/>
      <c r="R38" s="193"/>
      <c r="S38" s="193"/>
      <c r="T38" s="193"/>
      <c r="U38" s="194"/>
      <c r="V38" s="194"/>
      <c r="W38" s="194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</row>
    <row r="39" spans="1:37">
      <c r="A39" s="486"/>
      <c r="N39" s="193"/>
      <c r="O39" s="193"/>
      <c r="P39" s="193"/>
      <c r="Q39" s="193"/>
      <c r="R39" s="193"/>
      <c r="S39" s="193"/>
      <c r="T39" s="193"/>
      <c r="U39" s="194"/>
      <c r="V39" s="194"/>
      <c r="W39" s="194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</row>
    <row r="40" spans="1:37">
      <c r="A40" s="486"/>
      <c r="N40" s="193"/>
      <c r="O40" s="193"/>
      <c r="P40" s="193"/>
      <c r="Q40" s="193"/>
      <c r="R40" s="193"/>
      <c r="S40" s="193"/>
      <c r="T40" s="193"/>
      <c r="U40" s="194"/>
      <c r="V40" s="194"/>
      <c r="W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</row>
    <row r="41" spans="1:37">
      <c r="A41" s="486"/>
      <c r="N41" s="193"/>
      <c r="O41" s="193"/>
      <c r="P41" s="193"/>
      <c r="Q41" s="193"/>
      <c r="R41" s="193"/>
      <c r="S41" s="193"/>
      <c r="T41" s="193"/>
      <c r="U41" s="194"/>
      <c r="V41" s="194"/>
      <c r="W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</row>
    <row r="42" spans="1:37">
      <c r="A42" s="486"/>
      <c r="N42" s="193"/>
      <c r="O42" s="193"/>
      <c r="P42" s="193"/>
      <c r="Q42" s="193"/>
      <c r="R42" s="193"/>
      <c r="S42" s="193"/>
      <c r="T42" s="193"/>
      <c r="U42" s="194"/>
      <c r="V42" s="194"/>
      <c r="W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</row>
    <row r="43" spans="1:37">
      <c r="A43" s="486"/>
      <c r="N43" s="193"/>
      <c r="O43" s="193"/>
      <c r="P43" s="193"/>
      <c r="Q43" s="193"/>
      <c r="R43" s="193"/>
      <c r="S43" s="193"/>
      <c r="T43" s="193"/>
      <c r="U43" s="194"/>
      <c r="V43" s="194"/>
      <c r="W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</row>
    <row r="44" spans="1:37">
      <c r="A44" s="486"/>
      <c r="N44" s="193"/>
      <c r="O44" s="193"/>
      <c r="P44" s="193"/>
      <c r="Q44" s="193"/>
      <c r="R44" s="193"/>
      <c r="S44" s="193"/>
      <c r="T44" s="193"/>
      <c r="U44" s="194"/>
      <c r="V44" s="194"/>
      <c r="W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</row>
    <row r="45" spans="1:37">
      <c r="A45" s="486"/>
      <c r="N45" s="193"/>
      <c r="O45" s="193"/>
      <c r="P45" s="193"/>
      <c r="Q45" s="193"/>
      <c r="R45" s="193"/>
      <c r="S45" s="193"/>
      <c r="T45" s="193"/>
      <c r="U45" s="194"/>
      <c r="V45" s="194"/>
      <c r="W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</row>
    <row r="46" spans="1:37">
      <c r="A46" s="486"/>
      <c r="N46" s="193"/>
      <c r="O46" s="193"/>
      <c r="P46" s="193"/>
      <c r="Q46" s="193"/>
      <c r="R46" s="193"/>
      <c r="S46" s="193"/>
      <c r="T46" s="193"/>
      <c r="U46" s="194"/>
      <c r="V46" s="194"/>
      <c r="W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</row>
    <row r="47" spans="1:37">
      <c r="A47" s="486"/>
      <c r="N47" s="193"/>
      <c r="O47" s="193"/>
      <c r="P47" s="193"/>
      <c r="Q47" s="193"/>
      <c r="R47" s="193"/>
      <c r="S47" s="193"/>
      <c r="T47" s="193"/>
      <c r="U47" s="194"/>
      <c r="V47" s="194"/>
      <c r="W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</row>
    <row r="48" spans="1:37">
      <c r="A48" s="486"/>
      <c r="N48" s="193"/>
      <c r="O48" s="193"/>
      <c r="P48" s="193"/>
      <c r="Q48" s="193"/>
      <c r="R48" s="193"/>
      <c r="S48" s="193"/>
      <c r="T48" s="193"/>
      <c r="U48" s="194"/>
      <c r="V48" s="194"/>
      <c r="W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</row>
    <row r="49" spans="1:37">
      <c r="A49" s="486"/>
      <c r="N49" s="193"/>
      <c r="O49" s="193"/>
      <c r="P49" s="193"/>
      <c r="Q49" s="193"/>
      <c r="R49" s="193"/>
      <c r="S49" s="193"/>
      <c r="T49" s="193"/>
      <c r="U49" s="194"/>
      <c r="V49" s="194"/>
      <c r="W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</row>
    <row r="50" spans="1:37">
      <c r="A50" s="486"/>
      <c r="N50" s="193"/>
      <c r="O50" s="193"/>
      <c r="P50" s="193"/>
      <c r="Q50" s="193"/>
      <c r="R50" s="193"/>
      <c r="S50" s="193"/>
      <c r="T50" s="193"/>
      <c r="U50" s="194"/>
      <c r="V50" s="194"/>
      <c r="W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</row>
    <row r="51" spans="1:37">
      <c r="A51" s="486"/>
      <c r="N51" s="193"/>
      <c r="O51" s="193"/>
      <c r="P51" s="193"/>
      <c r="Q51" s="193"/>
      <c r="R51" s="193"/>
      <c r="S51" s="193"/>
      <c r="T51" s="193"/>
      <c r="U51" s="194"/>
      <c r="V51" s="194"/>
      <c r="W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</row>
    <row r="52" spans="1:37">
      <c r="A52" s="486"/>
      <c r="N52" s="193"/>
      <c r="O52" s="193"/>
      <c r="P52" s="193"/>
      <c r="Q52" s="193"/>
      <c r="R52" s="193"/>
      <c r="S52" s="193"/>
      <c r="T52" s="193"/>
      <c r="U52" s="194"/>
      <c r="V52" s="194"/>
      <c r="W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</row>
    <row r="53" spans="1:37">
      <c r="A53" s="486"/>
      <c r="N53" s="193"/>
      <c r="O53" s="193"/>
      <c r="P53" s="193"/>
      <c r="Q53" s="193"/>
      <c r="R53" s="193"/>
      <c r="S53" s="193"/>
      <c r="T53" s="193"/>
      <c r="U53" s="194"/>
      <c r="V53" s="194"/>
      <c r="W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</row>
    <row r="54" spans="1:37">
      <c r="A54" s="486"/>
      <c r="N54" s="193"/>
      <c r="O54" s="193"/>
      <c r="P54" s="193"/>
      <c r="Q54" s="193"/>
      <c r="R54" s="193"/>
      <c r="S54" s="193"/>
      <c r="T54" s="193"/>
      <c r="U54" s="194"/>
      <c r="V54" s="194"/>
      <c r="W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</row>
    <row r="55" spans="1:37">
      <c r="A55" s="245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</row>
    <row r="56" spans="1:37">
      <c r="A56" s="245"/>
      <c r="N56" s="194"/>
      <c r="O56" s="194"/>
      <c r="P56" s="194"/>
      <c r="Q56" s="194"/>
      <c r="R56" s="194"/>
      <c r="S56" s="194"/>
      <c r="T56" s="194"/>
      <c r="U56" s="194"/>
      <c r="V56" s="194"/>
      <c r="W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</row>
    <row r="57" spans="1:37">
      <c r="A57" s="245"/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</row>
    <row r="58" spans="1:37">
      <c r="A58" s="245"/>
      <c r="N58" s="194"/>
      <c r="O58" s="194"/>
      <c r="P58" s="194"/>
      <c r="Q58" s="194"/>
      <c r="R58" s="194"/>
      <c r="S58" s="194"/>
      <c r="T58" s="194"/>
      <c r="U58" s="194"/>
      <c r="V58" s="194"/>
      <c r="W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</row>
    <row r="59" spans="1:37">
      <c r="A59" s="245"/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</row>
    <row r="60" spans="1:37">
      <c r="A60" s="245"/>
      <c r="N60" s="194"/>
      <c r="O60" s="194"/>
      <c r="P60" s="194"/>
      <c r="Q60" s="194"/>
      <c r="R60" s="194"/>
      <c r="S60" s="194"/>
      <c r="T60" s="194"/>
      <c r="U60" s="194"/>
      <c r="V60" s="194"/>
      <c r="W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</row>
    <row r="61" spans="1:37">
      <c r="A61" s="245"/>
      <c r="N61" s="194"/>
      <c r="O61" s="194"/>
      <c r="P61" s="194"/>
      <c r="Q61" s="194"/>
      <c r="R61" s="194"/>
      <c r="S61" s="194"/>
      <c r="T61" s="194"/>
      <c r="U61" s="194"/>
      <c r="V61" s="194"/>
      <c r="W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</row>
    <row r="62" spans="1:37">
      <c r="A62" s="245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</row>
    <row r="63" spans="1:37">
      <c r="A63" s="245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</row>
    <row r="64" spans="1:37">
      <c r="A64" s="245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</row>
    <row r="65" spans="1:37">
      <c r="A65" s="245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</row>
    <row r="66" spans="1:37">
      <c r="A66" s="245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</row>
    <row r="67" spans="1:37">
      <c r="A67" s="245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</row>
    <row r="68" spans="1:37">
      <c r="A68" s="245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</row>
    <row r="69" spans="1:37">
      <c r="A69" s="245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</row>
  </sheetData>
  <mergeCells count="32">
    <mergeCell ref="A1:A54"/>
    <mergeCell ref="B1:J2"/>
    <mergeCell ref="K1:L1"/>
    <mergeCell ref="K2:M2"/>
    <mergeCell ref="B3:B4"/>
    <mergeCell ref="C3:C4"/>
    <mergeCell ref="D3:D4"/>
    <mergeCell ref="E3:E4"/>
    <mergeCell ref="F3:F4"/>
    <mergeCell ref="G3:G4"/>
    <mergeCell ref="B14:B22"/>
    <mergeCell ref="K19:K20"/>
    <mergeCell ref="L19:L20"/>
    <mergeCell ref="H3:H4"/>
    <mergeCell ref="I3:I4"/>
    <mergeCell ref="J3:J4"/>
    <mergeCell ref="B5:B13"/>
    <mergeCell ref="K10:K11"/>
    <mergeCell ref="L10:L11"/>
    <mergeCell ref="K12:K13"/>
    <mergeCell ref="B28:B36"/>
    <mergeCell ref="K33:K34"/>
    <mergeCell ref="L33:L34"/>
    <mergeCell ref="M33:M34"/>
    <mergeCell ref="K35:K36"/>
    <mergeCell ref="C36:J36"/>
    <mergeCell ref="K3:M4"/>
    <mergeCell ref="M19:M20"/>
    <mergeCell ref="K21:K22"/>
    <mergeCell ref="C22:J22"/>
    <mergeCell ref="C13:J13"/>
    <mergeCell ref="M10:M11"/>
  </mergeCells>
  <conditionalFormatting sqref="D28:D35 D14:D21 D5:D12">
    <cfRule type="containsText" dxfId="80" priority="18" stopIfTrue="1" operator="containsText" text="MTF">
      <formula>NOT(ISERROR(SEARCH("MTF",D5)))</formula>
    </cfRule>
    <cfRule type="cellIs" dxfId="79" priority="19" stopIfTrue="1" operator="equal">
      <formula>"PMCS"</formula>
    </cfRule>
    <cfRule type="cellIs" dxfId="78" priority="20" stopIfTrue="1" operator="equal">
      <formula>"PMCM"</formula>
    </cfRule>
    <cfRule type="cellIs" dxfId="77" priority="21" stopIfTrue="1" operator="equal">
      <formula>"NMCS"</formula>
    </cfRule>
    <cfRule type="cellIs" dxfId="76" priority="22" stopIfTrue="1" operator="equal">
      <formula>"NMCM"</formula>
    </cfRule>
  </conditionalFormatting>
  <conditionalFormatting sqref="D28:D35 D14:D21 D5:D12">
    <cfRule type="cellIs" dxfId="75" priority="17" stopIfTrue="1" operator="equal">
      <formula>"FMC"</formula>
    </cfRule>
  </conditionalFormatting>
  <conditionalFormatting sqref="E28:E30 E32 E34:E35 E14:E16 E18 E20:E21 E5:E7 E9 E11:E12">
    <cfRule type="cellIs" dxfId="74" priority="15" stopIfTrue="1" operator="between">
      <formula>20</formula>
      <formula>40</formula>
    </cfRule>
    <cfRule type="cellIs" dxfId="73" priority="16" stopIfTrue="1" operator="between">
      <formula>0</formula>
      <formula>19</formula>
    </cfRule>
  </conditionalFormatting>
  <conditionalFormatting sqref="D28:D35 D14:D21 D5:D12">
    <cfRule type="cellIs" dxfId="72" priority="14" stopIfTrue="1" operator="equal">
      <formula>"MOC"</formula>
    </cfRule>
  </conditionalFormatting>
  <conditionalFormatting sqref="J5">
    <cfRule type="expression" dxfId="71" priority="12">
      <formula>IF(ISBLANK(J5),FALSE,TRUE)</formula>
    </cfRule>
  </conditionalFormatting>
  <conditionalFormatting sqref="J6:J12">
    <cfRule type="expression" dxfId="70" priority="11">
      <formula>IF(ISBLANK(J11),FALSE,TRUE)</formula>
    </cfRule>
  </conditionalFormatting>
  <conditionalFormatting sqref="J14">
    <cfRule type="expression" dxfId="69" priority="10">
      <formula>IF(ISBLANK(J14),FALSE,TRUE)</formula>
    </cfRule>
  </conditionalFormatting>
  <conditionalFormatting sqref="J15:J21">
    <cfRule type="expression" dxfId="68" priority="9">
      <formula>IF(ISBLANK(J15),FALSE,TRUE)</formula>
    </cfRule>
  </conditionalFormatting>
  <conditionalFormatting sqref="J28">
    <cfRule type="expression" dxfId="67" priority="8">
      <formula>IF(ISBLANK(J28),FALSE,TRUE)</formula>
    </cfRule>
  </conditionalFormatting>
  <conditionalFormatting sqref="J29:J35">
    <cfRule type="expression" dxfId="66" priority="7">
      <formula>IF(ISBLANK(J29),FALSE,TRUE)</formula>
    </cfRule>
  </conditionalFormatting>
  <conditionalFormatting sqref="G5">
    <cfRule type="expression" dxfId="65" priority="6">
      <formula>IF(ISBLANK(G5),FALSE,TRUE)</formula>
    </cfRule>
  </conditionalFormatting>
  <conditionalFormatting sqref="G5">
    <cfRule type="expression" dxfId="64" priority="5">
      <formula>IF(ISBLANK(G5),FALSE,TRUE)</formula>
    </cfRule>
  </conditionalFormatting>
  <conditionalFormatting sqref="G6:G12">
    <cfRule type="expression" dxfId="63" priority="4">
      <formula>IF(ISBLANK(G6),FALSE,TRUE)</formula>
    </cfRule>
  </conditionalFormatting>
  <conditionalFormatting sqref="G14">
    <cfRule type="expression" dxfId="62" priority="3">
      <formula>IF(ISBLANK(G14),FALSE,TRUE)</formula>
    </cfRule>
  </conditionalFormatting>
  <conditionalFormatting sqref="G14">
    <cfRule type="expression" dxfId="61" priority="2">
      <formula>IF(ISBLANK(G14),FALSE,TRUE)</formula>
    </cfRule>
  </conditionalFormatting>
  <conditionalFormatting sqref="G15:G21">
    <cfRule type="expression" dxfId="60" priority="1">
      <formula>IF(ISBLANK(G15),FALSE,TRUE)</formula>
    </cfRule>
  </conditionalFormatting>
  <dataValidations disablePrompts="1" count="2">
    <dataValidation type="list" showInputMessage="1" showErrorMessage="1" sqref="D32:D35 D28:D29 D5:D6 D9:D12 D18:D21 D14:D15">
      <formula1>$V$9:$V$17</formula1>
    </dataValidation>
    <dataValidation type="list" showInputMessage="1" showErrorMessage="1" sqref="D30:D31 D7:D8 D16:D17">
      <formula1>$V$9:$V$15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2.75"/>
  <sheetData/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2.75"/>
  <sheetData/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2.75"/>
  <sheetData/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2.75"/>
  <sheetData/>
  <phoneticPr fontId="1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AV4"/>
  <sheetViews>
    <sheetView workbookViewId="0">
      <selection activeCell="F17" sqref="F17"/>
    </sheetView>
  </sheetViews>
  <sheetFormatPr defaultRowHeight="12.75"/>
  <cols>
    <col min="1" max="1" width="9" bestFit="1" customWidth="1"/>
    <col min="2" max="2" width="8.28515625" bestFit="1" customWidth="1"/>
    <col min="3" max="3" width="9.28515625" bestFit="1" customWidth="1"/>
    <col min="4" max="4" width="9.5703125" bestFit="1" customWidth="1"/>
    <col min="5" max="5" width="9.85546875" bestFit="1" customWidth="1"/>
    <col min="6" max="6" width="9.7109375" bestFit="1" customWidth="1"/>
    <col min="7" max="7" width="15.7109375" bestFit="1" customWidth="1"/>
    <col min="8" max="8" width="14.7109375" bestFit="1" customWidth="1"/>
    <col min="9" max="10" width="16.42578125" bestFit="1" customWidth="1"/>
    <col min="11" max="11" width="14.42578125" bestFit="1" customWidth="1"/>
    <col min="12" max="12" width="9.5703125" bestFit="1" customWidth="1"/>
    <col min="13" max="13" width="16.85546875" bestFit="1" customWidth="1"/>
    <col min="14" max="14" width="17.140625" bestFit="1" customWidth="1"/>
    <col min="15" max="15" width="28.5703125" bestFit="1" customWidth="1"/>
    <col min="16" max="16" width="13.140625" bestFit="1" customWidth="1"/>
    <col min="17" max="17" width="17.42578125" bestFit="1" customWidth="1"/>
    <col min="18" max="18" width="13.7109375" bestFit="1" customWidth="1"/>
    <col min="19" max="19" width="13.28515625" bestFit="1" customWidth="1"/>
    <col min="20" max="20" width="14.28515625" bestFit="1" customWidth="1"/>
    <col min="21" max="21" width="28.5703125" bestFit="1" customWidth="1"/>
    <col min="22" max="22" width="15" bestFit="1" customWidth="1"/>
    <col min="23" max="23" width="24.7109375" bestFit="1" customWidth="1"/>
    <col min="24" max="24" width="37.42578125" bestFit="1" customWidth="1"/>
    <col min="25" max="25" width="14.28515625" bestFit="1" customWidth="1"/>
    <col min="26" max="26" width="19.140625" bestFit="1" customWidth="1"/>
    <col min="27" max="27" width="10.140625" bestFit="1" customWidth="1"/>
    <col min="28" max="28" width="17" bestFit="1" customWidth="1"/>
    <col min="29" max="29" width="26.28515625" bestFit="1" customWidth="1"/>
    <col min="30" max="30" width="23.42578125" bestFit="1" customWidth="1"/>
    <col min="31" max="31" width="23.28515625" bestFit="1" customWidth="1"/>
    <col min="32" max="32" width="20.42578125" bestFit="1" customWidth="1"/>
    <col min="33" max="33" width="20.5703125" bestFit="1" customWidth="1"/>
    <col min="34" max="34" width="15.5703125" bestFit="1" customWidth="1"/>
    <col min="35" max="35" width="14.28515625" bestFit="1" customWidth="1"/>
    <col min="36" max="36" width="11.28515625" bestFit="1" customWidth="1"/>
    <col min="37" max="37" width="26.7109375" bestFit="1" customWidth="1"/>
    <col min="38" max="38" width="9.7109375" bestFit="1" customWidth="1"/>
    <col min="39" max="39" width="16.7109375" bestFit="1" customWidth="1"/>
    <col min="40" max="40" width="14.140625" bestFit="1" customWidth="1"/>
    <col min="41" max="41" width="22.42578125" bestFit="1" customWidth="1"/>
    <col min="42" max="42" width="8.7109375" bestFit="1" customWidth="1"/>
    <col min="43" max="43" width="15.5703125" bestFit="1" customWidth="1"/>
    <col min="44" max="44" width="24.140625" bestFit="1" customWidth="1"/>
    <col min="45" max="45" width="21.28515625" bestFit="1" customWidth="1"/>
    <col min="46" max="46" width="18.140625" bestFit="1" customWidth="1"/>
    <col min="47" max="47" width="14.85546875" bestFit="1" customWidth="1"/>
    <col min="48" max="48" width="19.85546875" bestFit="1" customWidth="1"/>
  </cols>
  <sheetData>
    <row r="1" spans="1:48">
      <c r="A1" t="s">
        <v>18</v>
      </c>
      <c r="B1" t="s">
        <v>658</v>
      </c>
      <c r="C1" t="s">
        <v>4</v>
      </c>
      <c r="D1" t="s">
        <v>1</v>
      </c>
      <c r="E1" t="s">
        <v>0</v>
      </c>
      <c r="F1" t="s">
        <v>2</v>
      </c>
      <c r="G1" t="s">
        <v>659</v>
      </c>
      <c r="H1" t="s">
        <v>660</v>
      </c>
      <c r="I1" t="s">
        <v>661</v>
      </c>
      <c r="J1" t="s">
        <v>662</v>
      </c>
      <c r="K1" t="s">
        <v>56</v>
      </c>
      <c r="L1" t="s">
        <v>663</v>
      </c>
      <c r="M1" t="s">
        <v>664</v>
      </c>
      <c r="N1" t="s">
        <v>665</v>
      </c>
      <c r="O1" t="s">
        <v>666</v>
      </c>
      <c r="P1" t="s">
        <v>667</v>
      </c>
      <c r="Q1" t="s">
        <v>668</v>
      </c>
      <c r="R1" t="s">
        <v>669</v>
      </c>
      <c r="S1" t="s">
        <v>670</v>
      </c>
      <c r="T1" t="s">
        <v>671</v>
      </c>
      <c r="U1" t="s">
        <v>672</v>
      </c>
      <c r="V1" t="s">
        <v>673</v>
      </c>
      <c r="W1" t="s">
        <v>21</v>
      </c>
      <c r="X1" t="s">
        <v>22</v>
      </c>
      <c r="Y1" t="s">
        <v>23</v>
      </c>
      <c r="Z1" t="s">
        <v>24</v>
      </c>
      <c r="AA1" t="s">
        <v>674</v>
      </c>
      <c r="AB1" t="s">
        <v>675</v>
      </c>
      <c r="AC1" t="s">
        <v>676</v>
      </c>
      <c r="AD1" t="s">
        <v>677</v>
      </c>
      <c r="AE1" t="s">
        <v>678</v>
      </c>
      <c r="AF1" t="s">
        <v>679</v>
      </c>
      <c r="AG1" t="s">
        <v>680</v>
      </c>
      <c r="AH1" t="s">
        <v>681</v>
      </c>
      <c r="AI1" t="s">
        <v>81</v>
      </c>
      <c r="AJ1" t="s">
        <v>682</v>
      </c>
      <c r="AK1" t="s">
        <v>683</v>
      </c>
      <c r="AL1" t="s">
        <v>35</v>
      </c>
      <c r="AM1" t="s">
        <v>46</v>
      </c>
      <c r="AN1" t="s">
        <v>684</v>
      </c>
      <c r="AO1" t="s">
        <v>685</v>
      </c>
      <c r="AP1" t="s">
        <v>686</v>
      </c>
      <c r="AQ1" t="s">
        <v>687</v>
      </c>
      <c r="AR1" t="s">
        <v>688</v>
      </c>
      <c r="AS1" t="s">
        <v>689</v>
      </c>
      <c r="AT1" t="s">
        <v>690</v>
      </c>
      <c r="AU1" t="s">
        <v>79</v>
      </c>
      <c r="AV1" t="s">
        <v>80</v>
      </c>
    </row>
    <row r="2" spans="1:48">
      <c r="A2" t="s">
        <v>748</v>
      </c>
      <c r="B2">
        <v>8</v>
      </c>
      <c r="C2">
        <v>24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V2">
        <v>41706</v>
      </c>
      <c r="W2">
        <v>41701.958437499998</v>
      </c>
      <c r="X2" t="s">
        <v>781</v>
      </c>
      <c r="Y2" t="b">
        <v>0</v>
      </c>
      <c r="Z2" t="b">
        <v>0</v>
      </c>
      <c r="AA2" t="s">
        <v>4</v>
      </c>
      <c r="AH2" t="s">
        <v>38</v>
      </c>
      <c r="AI2" t="s">
        <v>655</v>
      </c>
      <c r="AJ2">
        <v>5314.7</v>
      </c>
      <c r="AL2" t="s">
        <v>749</v>
      </c>
      <c r="AM2">
        <v>5711.60009765625</v>
      </c>
      <c r="AO2">
        <v>0</v>
      </c>
      <c r="AP2">
        <v>0</v>
      </c>
      <c r="AQ2">
        <v>0</v>
      </c>
      <c r="AU2" t="b">
        <v>0</v>
      </c>
      <c r="AV2" t="s">
        <v>655</v>
      </c>
    </row>
    <row r="3" spans="1:48">
      <c r="A3" t="s">
        <v>750</v>
      </c>
      <c r="B3">
        <v>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24</v>
      </c>
      <c r="J3">
        <v>0</v>
      </c>
      <c r="K3">
        <v>0</v>
      </c>
      <c r="L3">
        <v>0</v>
      </c>
      <c r="O3" t="s">
        <v>1201</v>
      </c>
      <c r="P3" t="s">
        <v>1177</v>
      </c>
      <c r="Q3">
        <v>41695</v>
      </c>
      <c r="R3">
        <v>41708</v>
      </c>
      <c r="U3" t="s">
        <v>1201</v>
      </c>
      <c r="V3">
        <v>41706</v>
      </c>
      <c r="W3">
        <v>41695</v>
      </c>
      <c r="X3" t="s">
        <v>1163</v>
      </c>
      <c r="Y3" t="b">
        <v>0</v>
      </c>
      <c r="Z3" t="b">
        <v>1</v>
      </c>
      <c r="AA3" t="s">
        <v>3</v>
      </c>
      <c r="AH3" t="s">
        <v>38</v>
      </c>
      <c r="AI3" t="s">
        <v>655</v>
      </c>
      <c r="AJ3">
        <v>3973.9</v>
      </c>
      <c r="AL3" t="s">
        <v>751</v>
      </c>
      <c r="AM3">
        <v>4146.10009765625</v>
      </c>
      <c r="AO3">
        <v>0</v>
      </c>
      <c r="AP3">
        <v>0</v>
      </c>
      <c r="AQ3">
        <v>0</v>
      </c>
      <c r="AU3" t="b">
        <v>0</v>
      </c>
      <c r="AV3" t="s">
        <v>655</v>
      </c>
    </row>
    <row r="4" spans="1:48">
      <c r="A4" t="s">
        <v>752</v>
      </c>
      <c r="B4">
        <v>8</v>
      </c>
      <c r="C4">
        <v>24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V4">
        <v>41706</v>
      </c>
      <c r="W4">
        <v>41701.958460648151</v>
      </c>
      <c r="X4" t="s">
        <v>781</v>
      </c>
      <c r="Y4" t="b">
        <v>0</v>
      </c>
      <c r="Z4" t="b">
        <v>0</v>
      </c>
      <c r="AA4" t="s">
        <v>4</v>
      </c>
      <c r="AH4" t="s">
        <v>38</v>
      </c>
      <c r="AI4" t="s">
        <v>655</v>
      </c>
      <c r="AJ4">
        <v>4733.5</v>
      </c>
      <c r="AL4" t="s">
        <v>753</v>
      </c>
      <c r="AM4">
        <v>5078.7001953125</v>
      </c>
      <c r="AO4">
        <v>0</v>
      </c>
      <c r="AP4">
        <v>0</v>
      </c>
      <c r="AQ4">
        <v>0</v>
      </c>
      <c r="AU4" t="b">
        <v>0</v>
      </c>
      <c r="AV4" t="s">
        <v>655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3:DI17"/>
  <sheetViews>
    <sheetView workbookViewId="0">
      <selection activeCell="B6" sqref="B6"/>
    </sheetView>
  </sheetViews>
  <sheetFormatPr defaultRowHeight="12.75"/>
  <cols>
    <col min="1" max="1" width="19.5703125" bestFit="1" customWidth="1"/>
    <col min="2" max="2" width="18.28515625" bestFit="1" customWidth="1"/>
    <col min="3" max="6" width="8.7109375" customWidth="1"/>
    <col min="7" max="10" width="4.7109375" customWidth="1"/>
    <col min="11" max="14" width="8.7109375" customWidth="1"/>
    <col min="15" max="15" width="4.7109375" customWidth="1"/>
    <col min="16" max="20" width="8.7109375" customWidth="1"/>
    <col min="21" max="21" width="4.7109375" customWidth="1"/>
    <col min="22" max="36" width="8.7109375" customWidth="1"/>
    <col min="37" max="41" width="4.7109375" customWidth="1"/>
    <col min="42" max="42" width="8.7109375" customWidth="1"/>
    <col min="43" max="73" width="4.7109375" customWidth="1"/>
    <col min="74" max="77" width="8.7109375" bestFit="1" customWidth="1"/>
    <col min="78" max="78" width="8.7109375" customWidth="1"/>
    <col min="79" max="81" width="4.7109375" bestFit="1" customWidth="1"/>
    <col min="82" max="82" width="3.5703125" bestFit="1" customWidth="1"/>
    <col min="83" max="85" width="4.7109375" customWidth="1"/>
    <col min="86" max="86" width="4.7109375" bestFit="1" customWidth="1"/>
    <col min="87" max="88" width="4.7109375" customWidth="1"/>
    <col min="89" max="91" width="9.85546875" bestFit="1" customWidth="1"/>
    <col min="92" max="92" width="4.7109375" customWidth="1"/>
    <col min="93" max="93" width="9.85546875" bestFit="1" customWidth="1"/>
    <col min="94" max="96" width="9.85546875" customWidth="1"/>
    <col min="97" max="97" width="9.85546875" bestFit="1" customWidth="1"/>
    <col min="98" max="98" width="9.85546875" customWidth="1"/>
    <col min="99" max="103" width="8.7109375" bestFit="1" customWidth="1"/>
    <col min="104" max="106" width="4.7109375" bestFit="1" customWidth="1"/>
    <col min="107" max="108" width="11.140625" bestFit="1" customWidth="1"/>
    <col min="109" max="109" width="11.28515625" bestFit="1" customWidth="1"/>
    <col min="110" max="110" width="13" bestFit="1" customWidth="1"/>
    <col min="111" max="112" width="4.7109375" customWidth="1"/>
    <col min="113" max="113" width="13" bestFit="1" customWidth="1"/>
    <col min="114" max="114" width="10.7109375" bestFit="1" customWidth="1"/>
    <col min="115" max="115" width="10.85546875" bestFit="1" customWidth="1"/>
    <col min="116" max="118" width="10.7109375" bestFit="1" customWidth="1"/>
    <col min="119" max="119" width="10.28515625" bestFit="1" customWidth="1"/>
    <col min="120" max="120" width="9.5703125" bestFit="1" customWidth="1"/>
    <col min="121" max="121" width="10.7109375" bestFit="1" customWidth="1"/>
    <col min="122" max="122" width="10" bestFit="1" customWidth="1"/>
    <col min="123" max="123" width="10.140625" bestFit="1" customWidth="1"/>
    <col min="124" max="124" width="11" bestFit="1" customWidth="1"/>
    <col min="125" max="125" width="10.7109375" bestFit="1" customWidth="1"/>
    <col min="126" max="126" width="11.140625" bestFit="1" customWidth="1"/>
    <col min="127" max="127" width="10.7109375" bestFit="1" customWidth="1"/>
    <col min="128" max="128" width="10.140625" bestFit="1" customWidth="1"/>
    <col min="129" max="129" width="10" bestFit="1" customWidth="1"/>
    <col min="130" max="130" width="11.140625" bestFit="1" customWidth="1"/>
    <col min="131" max="132" width="11.28515625" bestFit="1" customWidth="1"/>
    <col min="133" max="133" width="11.140625" bestFit="1" customWidth="1"/>
    <col min="134" max="139" width="11.28515625" bestFit="1" customWidth="1"/>
    <col min="140" max="140" width="11" bestFit="1" customWidth="1"/>
    <col min="141" max="143" width="11.28515625" bestFit="1" customWidth="1"/>
    <col min="144" max="144" width="11" bestFit="1" customWidth="1"/>
    <col min="145" max="145" width="13" bestFit="1" customWidth="1"/>
    <col min="146" max="151" width="4.7109375" bestFit="1" customWidth="1"/>
    <col min="152" max="152" width="2.42578125" bestFit="1" customWidth="1"/>
    <col min="153" max="153" width="14" bestFit="1" customWidth="1"/>
    <col min="154" max="155" width="12" bestFit="1" customWidth="1"/>
    <col min="156" max="156" width="14" bestFit="1" customWidth="1"/>
    <col min="157" max="157" width="4.7109375" customWidth="1"/>
    <col min="158" max="159" width="14" bestFit="1" customWidth="1"/>
    <col min="160" max="160" width="12" bestFit="1" customWidth="1"/>
    <col min="161" max="161" width="14" bestFit="1" customWidth="1"/>
    <col min="162" max="162" width="4.7109375" customWidth="1"/>
    <col min="163" max="168" width="4.7109375" bestFit="1" customWidth="1"/>
    <col min="169" max="169" width="14" bestFit="1" customWidth="1"/>
    <col min="170" max="170" width="4.7109375" bestFit="1" customWidth="1"/>
    <col min="171" max="171" width="3.5703125" bestFit="1" customWidth="1"/>
    <col min="172" max="174" width="4.7109375" bestFit="1" customWidth="1"/>
    <col min="175" max="177" width="14" bestFit="1" customWidth="1"/>
    <col min="178" max="178" width="12" bestFit="1" customWidth="1"/>
    <col min="179" max="181" width="14" bestFit="1" customWidth="1"/>
    <col min="182" max="185" width="4.7109375" bestFit="1" customWidth="1"/>
    <col min="186" max="186" width="14" bestFit="1" customWidth="1"/>
    <col min="187" max="188" width="7" bestFit="1" customWidth="1"/>
    <col min="189" max="189" width="14" bestFit="1" customWidth="1"/>
    <col min="190" max="196" width="5.85546875" customWidth="1"/>
    <col min="197" max="228" width="7" customWidth="1"/>
    <col min="229" max="229" width="8.140625" customWidth="1"/>
    <col min="230" max="230" width="13" bestFit="1" customWidth="1"/>
  </cols>
  <sheetData>
    <row r="3" spans="1:113">
      <c r="A3" s="95" t="s">
        <v>34</v>
      </c>
      <c r="B3" s="95" t="s">
        <v>33</v>
      </c>
    </row>
    <row r="4" spans="1:113" s="135" customFormat="1">
      <c r="A4" s="272" t="s">
        <v>31</v>
      </c>
      <c r="B4" s="135">
        <v>35</v>
      </c>
      <c r="C4" s="135">
        <v>41</v>
      </c>
      <c r="D4" s="135">
        <v>45</v>
      </c>
      <c r="E4" s="135">
        <v>62</v>
      </c>
      <c r="F4" s="135">
        <v>79</v>
      </c>
      <c r="G4" s="135">
        <v>100</v>
      </c>
      <c r="H4" s="135">
        <v>101</v>
      </c>
      <c r="I4" s="135">
        <v>102</v>
      </c>
      <c r="J4" s="135">
        <v>103</v>
      </c>
      <c r="K4" s="135">
        <v>130</v>
      </c>
      <c r="L4" s="135">
        <v>135</v>
      </c>
      <c r="M4" s="135">
        <v>145</v>
      </c>
      <c r="N4" s="135">
        <v>152</v>
      </c>
      <c r="O4" s="135">
        <v>177</v>
      </c>
      <c r="P4" s="135">
        <v>192</v>
      </c>
      <c r="Q4" s="135">
        <v>195</v>
      </c>
      <c r="R4" s="135">
        <v>198</v>
      </c>
      <c r="S4" s="135">
        <v>200</v>
      </c>
      <c r="T4" s="135">
        <v>211</v>
      </c>
      <c r="U4" s="135">
        <v>222</v>
      </c>
      <c r="V4" s="135">
        <v>223</v>
      </c>
      <c r="W4" s="135">
        <v>224</v>
      </c>
      <c r="X4" s="135">
        <v>226</v>
      </c>
      <c r="Y4" s="135">
        <v>230</v>
      </c>
      <c r="Z4" s="135">
        <v>231</v>
      </c>
      <c r="AA4" s="135">
        <v>234</v>
      </c>
      <c r="AB4" s="135">
        <v>261</v>
      </c>
      <c r="AC4" s="135">
        <v>270</v>
      </c>
      <c r="AD4" s="135">
        <v>275</v>
      </c>
      <c r="AE4" s="135">
        <v>290</v>
      </c>
      <c r="AF4" s="135">
        <v>291</v>
      </c>
      <c r="AG4" s="135">
        <v>295</v>
      </c>
      <c r="AH4" s="135">
        <v>300</v>
      </c>
      <c r="AI4" s="135">
        <v>400</v>
      </c>
      <c r="AJ4" s="135">
        <v>465</v>
      </c>
      <c r="AK4" s="135">
        <v>496</v>
      </c>
      <c r="AL4" s="135">
        <v>500</v>
      </c>
      <c r="AM4" s="135">
        <v>530</v>
      </c>
      <c r="AN4" s="135">
        <v>531</v>
      </c>
      <c r="AO4" s="135">
        <v>532</v>
      </c>
      <c r="AP4" s="135">
        <v>533</v>
      </c>
      <c r="AQ4" s="135">
        <v>534</v>
      </c>
      <c r="AR4" s="135">
        <v>535</v>
      </c>
      <c r="AS4" s="135">
        <v>542</v>
      </c>
      <c r="AT4" s="135">
        <v>551</v>
      </c>
      <c r="AU4" s="135">
        <v>553</v>
      </c>
      <c r="AV4" s="135">
        <v>570</v>
      </c>
      <c r="AW4" s="135">
        <v>580</v>
      </c>
      <c r="AX4" s="135">
        <v>649</v>
      </c>
      <c r="AY4" s="135">
        <v>680</v>
      </c>
      <c r="AZ4" s="135">
        <v>681</v>
      </c>
      <c r="BA4" s="135">
        <v>682</v>
      </c>
      <c r="BB4" s="135">
        <v>683</v>
      </c>
      <c r="BC4" s="135">
        <v>684</v>
      </c>
      <c r="BD4" s="135">
        <v>685</v>
      </c>
      <c r="BE4" s="135">
        <v>700</v>
      </c>
      <c r="BF4" s="135">
        <v>703</v>
      </c>
      <c r="BG4" s="135">
        <v>705</v>
      </c>
      <c r="BH4" s="135">
        <v>708</v>
      </c>
      <c r="BI4" s="135">
        <v>709</v>
      </c>
      <c r="BJ4" s="135">
        <v>710</v>
      </c>
      <c r="BK4" s="135">
        <v>711</v>
      </c>
      <c r="BL4" s="135">
        <v>712</v>
      </c>
      <c r="BM4" s="135">
        <v>714</v>
      </c>
      <c r="BN4" s="135">
        <v>716</v>
      </c>
      <c r="BO4" s="135">
        <v>718</v>
      </c>
      <c r="BP4" s="135">
        <v>720</v>
      </c>
      <c r="BQ4" s="135">
        <v>725</v>
      </c>
      <c r="BR4" s="135">
        <v>730</v>
      </c>
      <c r="BS4" s="135">
        <v>735</v>
      </c>
      <c r="BT4" s="135">
        <v>740</v>
      </c>
      <c r="BU4" s="135">
        <v>745</v>
      </c>
      <c r="BV4" s="135">
        <v>751</v>
      </c>
      <c r="BW4" s="135">
        <v>752</v>
      </c>
      <c r="BX4" s="135">
        <v>754</v>
      </c>
      <c r="BY4" s="135">
        <v>755</v>
      </c>
      <c r="BZ4" s="135">
        <v>757</v>
      </c>
      <c r="CA4" s="135">
        <v>760</v>
      </c>
      <c r="CB4" s="135">
        <v>775</v>
      </c>
      <c r="CC4" s="135">
        <v>780</v>
      </c>
      <c r="CD4" s="135">
        <v>15</v>
      </c>
      <c r="CE4" s="135">
        <v>108</v>
      </c>
      <c r="CF4" s="135">
        <v>110</v>
      </c>
      <c r="CG4" s="135">
        <v>125</v>
      </c>
      <c r="CH4" s="135">
        <v>155</v>
      </c>
      <c r="CI4" s="135">
        <v>105</v>
      </c>
      <c r="CJ4" s="135">
        <v>401</v>
      </c>
      <c r="CK4" s="135">
        <v>406</v>
      </c>
      <c r="CL4" s="135">
        <v>408</v>
      </c>
      <c r="CM4" s="135">
        <v>409</v>
      </c>
      <c r="CN4" s="135">
        <v>415</v>
      </c>
      <c r="CO4" s="135">
        <v>420</v>
      </c>
      <c r="CP4" s="135">
        <v>424</v>
      </c>
      <c r="CQ4" s="135">
        <v>428</v>
      </c>
      <c r="CR4" s="135">
        <v>432</v>
      </c>
      <c r="CS4" s="135">
        <v>436</v>
      </c>
      <c r="CT4" s="135">
        <v>440</v>
      </c>
      <c r="CU4" s="135">
        <v>520</v>
      </c>
      <c r="CV4" s="135">
        <v>525</v>
      </c>
      <c r="CW4" s="135">
        <v>25</v>
      </c>
      <c r="CX4" s="135">
        <v>85</v>
      </c>
      <c r="CY4" s="135">
        <v>150</v>
      </c>
      <c r="CZ4" s="135">
        <v>160</v>
      </c>
      <c r="DA4" s="135">
        <v>405</v>
      </c>
      <c r="DB4" s="135">
        <v>407</v>
      </c>
      <c r="DC4" s="145">
        <v>55</v>
      </c>
      <c r="DD4" s="145">
        <v>591</v>
      </c>
      <c r="DE4" s="145">
        <v>351</v>
      </c>
      <c r="DF4" s="135" t="s">
        <v>32</v>
      </c>
      <c r="DG4"/>
      <c r="DH4"/>
      <c r="DI4"/>
    </row>
    <row r="5" spans="1:113">
      <c r="A5" s="270" t="s">
        <v>26</v>
      </c>
      <c r="B5" s="273">
        <v>5211.6000925925928</v>
      </c>
      <c r="C5" s="273">
        <v>5314.8999074074072</v>
      </c>
      <c r="D5" s="273">
        <v>5314.7001967592596</v>
      </c>
      <c r="E5" s="273">
        <v>5313.7001967592596</v>
      </c>
      <c r="F5" s="273">
        <v>5314.7001967592596</v>
      </c>
      <c r="G5" s="273"/>
      <c r="H5" s="273"/>
      <c r="I5" s="273"/>
      <c r="J5" s="273"/>
      <c r="K5" s="273">
        <v>5314.8999074074072</v>
      </c>
      <c r="L5" s="273">
        <v>5314.8999074074072</v>
      </c>
      <c r="M5" s="273">
        <v>5314.8999074074072</v>
      </c>
      <c r="N5" s="273">
        <v>5211.6000925925928</v>
      </c>
      <c r="O5" s="273"/>
      <c r="P5" s="273">
        <v>5216.6000925925928</v>
      </c>
      <c r="Q5" s="273">
        <v>5216.6000925925928</v>
      </c>
      <c r="R5" s="273">
        <v>5216.6000925925928</v>
      </c>
      <c r="S5" s="273">
        <v>5216.6000925925928</v>
      </c>
      <c r="T5" s="273"/>
      <c r="U5" s="273"/>
      <c r="V5" s="273">
        <v>5216.6000925925928</v>
      </c>
      <c r="W5" s="273">
        <v>5216.6000925925928</v>
      </c>
      <c r="X5" s="273">
        <v>5216.6000925925928</v>
      </c>
      <c r="Y5" s="273">
        <v>5216.6000925925928</v>
      </c>
      <c r="Z5" s="273">
        <v>5216.6000925925928</v>
      </c>
      <c r="AA5" s="273">
        <v>5216.6000925925928</v>
      </c>
      <c r="AB5" s="273">
        <v>5211.6000925925928</v>
      </c>
      <c r="AC5" s="273">
        <v>5216.6000925925928</v>
      </c>
      <c r="AD5" s="273">
        <v>5216.6000925925928</v>
      </c>
      <c r="AE5" s="273">
        <v>5216.6000925925928</v>
      </c>
      <c r="AF5" s="273">
        <v>5216.6000925925928</v>
      </c>
      <c r="AG5" s="273">
        <v>5216.6000925925928</v>
      </c>
      <c r="AH5" s="273">
        <v>5216.6000925925928</v>
      </c>
      <c r="AI5" s="273">
        <v>5211.6000925925928</v>
      </c>
      <c r="AJ5" s="273">
        <v>5216.6000925925928</v>
      </c>
      <c r="AK5" s="273"/>
      <c r="AL5" s="273"/>
      <c r="AM5" s="273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273"/>
      <c r="BG5" s="273"/>
      <c r="BH5" s="273"/>
      <c r="BI5" s="273"/>
      <c r="BJ5" s="273"/>
      <c r="BK5" s="273"/>
      <c r="BL5" s="273"/>
      <c r="BM5" s="273"/>
      <c r="BN5" s="273"/>
      <c r="BO5" s="273"/>
      <c r="BP5" s="273"/>
      <c r="BQ5" s="273"/>
      <c r="BR5" s="273"/>
      <c r="BS5" s="273"/>
      <c r="BT5" s="273"/>
      <c r="BU5" s="273"/>
      <c r="BV5" s="273">
        <v>5216.6000925925928</v>
      </c>
      <c r="BW5" s="273">
        <v>5211.6000925925928</v>
      </c>
      <c r="BX5" s="273">
        <v>5211.6000925925928</v>
      </c>
      <c r="BY5" s="273">
        <v>5211.6000925925928</v>
      </c>
      <c r="BZ5" s="273">
        <v>5216.6000925925928</v>
      </c>
      <c r="CA5" s="273"/>
      <c r="CB5" s="273"/>
      <c r="CC5" s="273"/>
      <c r="CD5" s="273"/>
      <c r="CE5" s="273"/>
      <c r="CF5" s="273"/>
      <c r="CG5" s="273"/>
      <c r="CH5" s="273"/>
      <c r="CI5" s="273"/>
      <c r="CJ5" s="273"/>
      <c r="CK5" s="273"/>
      <c r="CL5" s="273"/>
      <c r="CM5" s="273"/>
      <c r="CN5" s="273"/>
      <c r="CO5" s="273"/>
      <c r="CP5" s="273"/>
      <c r="CQ5" s="273"/>
      <c r="CR5" s="273"/>
      <c r="CS5" s="273"/>
      <c r="CT5" s="273"/>
      <c r="CU5" s="273"/>
      <c r="CV5" s="273"/>
      <c r="CW5" s="273">
        <v>5314.7001967592596</v>
      </c>
      <c r="CX5" s="273">
        <v>5314.7001967592596</v>
      </c>
      <c r="CY5" s="273">
        <v>5216.6000925925928</v>
      </c>
      <c r="CZ5" s="273"/>
      <c r="DA5" s="273"/>
      <c r="DB5" s="273"/>
      <c r="DC5" s="273">
        <v>5314.7001967592596</v>
      </c>
      <c r="DD5" s="273"/>
      <c r="DE5" s="273"/>
      <c r="DF5" s="273">
        <v>5314.8999074074072</v>
      </c>
    </row>
    <row r="6" spans="1:113">
      <c r="A6" s="271" t="s">
        <v>748</v>
      </c>
      <c r="B6" s="273">
        <v>5211.6000925925928</v>
      </c>
      <c r="C6" s="273">
        <v>5314.8999074074072</v>
      </c>
      <c r="D6" s="273">
        <v>5314.7001967592596</v>
      </c>
      <c r="E6" s="273">
        <v>5313.7001967592596</v>
      </c>
      <c r="F6" s="273">
        <v>5314.7001967592596</v>
      </c>
      <c r="G6" s="273"/>
      <c r="H6" s="273"/>
      <c r="I6" s="273"/>
      <c r="J6" s="273"/>
      <c r="K6" s="273">
        <v>5314.8999074074072</v>
      </c>
      <c r="L6" s="273">
        <v>5314.8999074074072</v>
      </c>
      <c r="M6" s="273">
        <v>5314.8999074074072</v>
      </c>
      <c r="N6" s="273">
        <v>5211.6000925925928</v>
      </c>
      <c r="O6" s="273"/>
      <c r="P6" s="273">
        <v>5216.6000925925928</v>
      </c>
      <c r="Q6" s="273">
        <v>5216.6000925925928</v>
      </c>
      <c r="R6" s="273">
        <v>5216.6000925925928</v>
      </c>
      <c r="S6" s="273">
        <v>5216.6000925925928</v>
      </c>
      <c r="T6" s="273"/>
      <c r="U6" s="273"/>
      <c r="V6" s="273">
        <v>5216.6000925925928</v>
      </c>
      <c r="W6" s="273">
        <v>5216.6000925925928</v>
      </c>
      <c r="X6" s="273">
        <v>5216.6000925925928</v>
      </c>
      <c r="Y6" s="273">
        <v>5216.6000925925928</v>
      </c>
      <c r="Z6" s="273">
        <v>5216.6000925925928</v>
      </c>
      <c r="AA6" s="273">
        <v>5216.6000925925928</v>
      </c>
      <c r="AB6" s="273">
        <v>5211.6000925925928</v>
      </c>
      <c r="AC6" s="273">
        <v>5216.6000925925928</v>
      </c>
      <c r="AD6" s="273">
        <v>5216.6000925925928</v>
      </c>
      <c r="AE6" s="273">
        <v>5216.6000925925928</v>
      </c>
      <c r="AF6" s="273">
        <v>5216.6000925925928</v>
      </c>
      <c r="AG6" s="273">
        <v>5216.6000925925928</v>
      </c>
      <c r="AH6" s="273">
        <v>5216.6000925925928</v>
      </c>
      <c r="AI6" s="273">
        <v>5211.6000925925928</v>
      </c>
      <c r="AJ6" s="273">
        <v>5216.6000925925928</v>
      </c>
      <c r="AK6" s="273"/>
      <c r="AL6" s="273"/>
      <c r="AM6" s="273"/>
      <c r="AN6" s="273"/>
      <c r="AO6" s="273"/>
      <c r="AP6" s="273"/>
      <c r="AQ6" s="273"/>
      <c r="AR6" s="273"/>
      <c r="AS6" s="273"/>
      <c r="AT6" s="273"/>
      <c r="AU6" s="273"/>
      <c r="AV6" s="273"/>
      <c r="AW6" s="273"/>
      <c r="AX6" s="273"/>
      <c r="AY6" s="273"/>
      <c r="AZ6" s="273"/>
      <c r="BA6" s="273"/>
      <c r="BB6" s="273"/>
      <c r="BC6" s="273"/>
      <c r="BD6" s="273"/>
      <c r="BE6" s="273"/>
      <c r="BF6" s="273"/>
      <c r="BG6" s="273"/>
      <c r="BH6" s="273"/>
      <c r="BI6" s="273"/>
      <c r="BJ6" s="273"/>
      <c r="BK6" s="273"/>
      <c r="BL6" s="273"/>
      <c r="BM6" s="273"/>
      <c r="BN6" s="273"/>
      <c r="BO6" s="273"/>
      <c r="BP6" s="273"/>
      <c r="BQ6" s="273"/>
      <c r="BR6" s="273"/>
      <c r="BS6" s="273"/>
      <c r="BT6" s="273"/>
      <c r="BU6" s="273"/>
      <c r="BV6" s="273">
        <v>5216.6000925925928</v>
      </c>
      <c r="BW6" s="273">
        <v>5211.6000925925928</v>
      </c>
      <c r="BX6" s="273">
        <v>5211.6000925925928</v>
      </c>
      <c r="BY6" s="273">
        <v>5211.6000925925928</v>
      </c>
      <c r="BZ6" s="273">
        <v>5216.6000925925928</v>
      </c>
      <c r="CA6" s="273"/>
      <c r="CB6" s="273"/>
      <c r="CC6" s="273"/>
      <c r="CD6" s="273"/>
      <c r="CE6" s="273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  <c r="CQ6" s="273"/>
      <c r="CR6" s="273"/>
      <c r="CS6" s="273"/>
      <c r="CT6" s="273"/>
      <c r="CU6" s="273"/>
      <c r="CV6" s="273"/>
      <c r="CW6" s="273">
        <v>5314.7001967592596</v>
      </c>
      <c r="CX6" s="273">
        <v>5314.7001967592596</v>
      </c>
      <c r="CY6" s="273">
        <v>5216.6000925925928</v>
      </c>
      <c r="CZ6" s="273"/>
      <c r="DA6" s="273"/>
      <c r="DB6" s="273"/>
      <c r="DC6" s="273">
        <v>5314.7001967592596</v>
      </c>
      <c r="DD6" s="273"/>
      <c r="DE6" s="273"/>
      <c r="DF6" s="273">
        <v>5314.8999074074072</v>
      </c>
    </row>
    <row r="7" spans="1:113">
      <c r="A7" s="271" t="s">
        <v>750</v>
      </c>
      <c r="B7" s="273">
        <v>3646.1000925925928</v>
      </c>
      <c r="C7" s="273">
        <v>3939.1000925925928</v>
      </c>
      <c r="D7" s="273">
        <v>3973.8999074074072</v>
      </c>
      <c r="E7" s="273">
        <v>3971.8999074074072</v>
      </c>
      <c r="F7" s="273">
        <v>3973.8999074074072</v>
      </c>
      <c r="G7" s="273"/>
      <c r="H7" s="273"/>
      <c r="I7" s="273"/>
      <c r="J7" s="273"/>
      <c r="K7" s="273">
        <v>3939.1000925925928</v>
      </c>
      <c r="L7" s="273">
        <v>3939.1000925925928</v>
      </c>
      <c r="M7" s="273">
        <v>3939.1000925925928</v>
      </c>
      <c r="N7" s="273">
        <v>3890.5</v>
      </c>
      <c r="O7" s="273"/>
      <c r="P7" s="273">
        <v>3890.5</v>
      </c>
      <c r="Q7" s="273">
        <v>3890.5</v>
      </c>
      <c r="R7" s="273">
        <v>3890.5</v>
      </c>
      <c r="S7" s="273">
        <v>3890.5</v>
      </c>
      <c r="T7" s="273"/>
      <c r="U7" s="273"/>
      <c r="V7" s="273">
        <v>3890.6999537037036</v>
      </c>
      <c r="W7" s="273">
        <v>3890.6999537037036</v>
      </c>
      <c r="X7" s="273">
        <v>3646.1000925925928</v>
      </c>
      <c r="Y7" s="273">
        <v>3646.1000925925928</v>
      </c>
      <c r="Z7" s="273">
        <v>3890.6999537037036</v>
      </c>
      <c r="AA7" s="273">
        <v>3890.6999537037036</v>
      </c>
      <c r="AB7" s="273">
        <v>3890.6999537037036</v>
      </c>
      <c r="AC7" s="273">
        <v>3890.6999537037036</v>
      </c>
      <c r="AD7" s="273">
        <v>3890.6999537037036</v>
      </c>
      <c r="AE7" s="273">
        <v>3890.6999537037036</v>
      </c>
      <c r="AF7" s="273">
        <v>3890.6999537037036</v>
      </c>
      <c r="AG7" s="273">
        <v>3890.6999537037036</v>
      </c>
      <c r="AH7" s="273">
        <v>3890.6999537037036</v>
      </c>
      <c r="AI7" s="273">
        <v>3646.1000925925928</v>
      </c>
      <c r="AJ7" s="273">
        <v>3890.6999537037036</v>
      </c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>
        <v>3890.6999537037036</v>
      </c>
      <c r="BW7" s="273">
        <v>3646.1000925925928</v>
      </c>
      <c r="BX7" s="273">
        <v>3646.1000925925928</v>
      </c>
      <c r="BY7" s="273">
        <v>3646.1000925925928</v>
      </c>
      <c r="BZ7" s="273">
        <v>3890.6999537037036</v>
      </c>
      <c r="CA7" s="273"/>
      <c r="CB7" s="273"/>
      <c r="CC7" s="273"/>
      <c r="CD7" s="273"/>
      <c r="CE7" s="273"/>
      <c r="CF7" s="273"/>
      <c r="CG7" s="273"/>
      <c r="CH7" s="273"/>
      <c r="CI7" s="273"/>
      <c r="CJ7" s="273"/>
      <c r="CK7" s="273"/>
      <c r="CL7" s="273"/>
      <c r="CM7" s="273"/>
      <c r="CN7" s="273"/>
      <c r="CO7" s="273"/>
      <c r="CP7" s="273"/>
      <c r="CQ7" s="273"/>
      <c r="CR7" s="273"/>
      <c r="CS7" s="273"/>
      <c r="CT7" s="273"/>
      <c r="CU7" s="273"/>
      <c r="CV7" s="273"/>
      <c r="CW7" s="273">
        <v>3973.8999074074072</v>
      </c>
      <c r="CX7" s="273">
        <v>3973.8999074074072</v>
      </c>
      <c r="CY7" s="273">
        <v>3890.5</v>
      </c>
      <c r="CZ7" s="273"/>
      <c r="DA7" s="273"/>
      <c r="DB7" s="273"/>
      <c r="DC7" s="273">
        <v>3973.8999074074072</v>
      </c>
      <c r="DD7" s="273"/>
      <c r="DE7" s="273"/>
      <c r="DF7" s="273">
        <v>3973.8999074074072</v>
      </c>
    </row>
    <row r="8" spans="1:113">
      <c r="A8" s="271" t="s">
        <v>752</v>
      </c>
      <c r="B8" s="273">
        <v>4578.7001967592596</v>
      </c>
      <c r="C8" s="273">
        <v>4733.7001967592596</v>
      </c>
      <c r="D8" s="273">
        <v>4733.5</v>
      </c>
      <c r="E8" s="273">
        <v>4733.5</v>
      </c>
      <c r="F8" s="273">
        <v>4733.5</v>
      </c>
      <c r="G8" s="273"/>
      <c r="H8" s="273"/>
      <c r="I8" s="273"/>
      <c r="J8" s="273"/>
      <c r="K8" s="273">
        <v>4731.8999074074072</v>
      </c>
      <c r="L8" s="273">
        <v>4733.7001967592596</v>
      </c>
      <c r="M8" s="273">
        <v>4733.7001967592596</v>
      </c>
      <c r="N8" s="273">
        <v>4703.7001967592596</v>
      </c>
      <c r="O8" s="273"/>
      <c r="P8" s="273">
        <v>4703.7001967592596</v>
      </c>
      <c r="Q8" s="273">
        <v>4703.7001967592596</v>
      </c>
      <c r="R8" s="273">
        <v>4703.7001967592596</v>
      </c>
      <c r="S8" s="273">
        <v>4703.7001967592596</v>
      </c>
      <c r="T8" s="273"/>
      <c r="U8" s="273"/>
      <c r="V8" s="273">
        <v>4578.7001967592596</v>
      </c>
      <c r="W8" s="273">
        <v>4703.7001967592596</v>
      </c>
      <c r="X8" s="273">
        <v>4578.7001967592596</v>
      </c>
      <c r="Y8" s="273">
        <v>4578.7001967592596</v>
      </c>
      <c r="Z8" s="273">
        <v>4578.7001967592596</v>
      </c>
      <c r="AA8" s="273">
        <v>4578.7001967592596</v>
      </c>
      <c r="AB8" s="273">
        <v>4637.6000925925928</v>
      </c>
      <c r="AC8" s="273">
        <v>4578.7001967592596</v>
      </c>
      <c r="AD8" s="273">
        <v>4578.7001967592596</v>
      </c>
      <c r="AE8" s="273">
        <v>4578.7001967592596</v>
      </c>
      <c r="AF8" s="273">
        <v>4578.7001967592596</v>
      </c>
      <c r="AG8" s="273">
        <v>4578.7001967592596</v>
      </c>
      <c r="AH8" s="273">
        <v>4578.7001967592596</v>
      </c>
      <c r="AI8" s="273">
        <v>4578.7001967592596</v>
      </c>
      <c r="AJ8" s="273">
        <v>4578.7001967592596</v>
      </c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>
        <v>4578.7001967592596</v>
      </c>
      <c r="BW8" s="273">
        <v>4578.7001967592596</v>
      </c>
      <c r="BX8" s="273">
        <v>4578.7001967592596</v>
      </c>
      <c r="BY8" s="273">
        <v>4578.7001967592596</v>
      </c>
      <c r="BZ8" s="273">
        <v>4578.7001967592596</v>
      </c>
      <c r="CA8" s="273"/>
      <c r="CB8" s="273"/>
      <c r="CC8" s="273"/>
      <c r="CD8" s="273"/>
      <c r="CE8" s="273"/>
      <c r="CF8" s="273"/>
      <c r="CG8" s="273"/>
      <c r="CH8" s="273"/>
      <c r="CI8" s="273"/>
      <c r="CJ8" s="273"/>
      <c r="CK8" s="273"/>
      <c r="CL8" s="273"/>
      <c r="CM8" s="273"/>
      <c r="CN8" s="273"/>
      <c r="CO8" s="273"/>
      <c r="CP8" s="273"/>
      <c r="CQ8" s="273"/>
      <c r="CR8" s="273"/>
      <c r="CS8" s="273"/>
      <c r="CT8" s="273"/>
      <c r="CU8" s="273"/>
      <c r="CV8" s="273"/>
      <c r="CW8" s="273">
        <v>4733.5</v>
      </c>
      <c r="CX8" s="273">
        <v>4733.5</v>
      </c>
      <c r="CY8" s="273">
        <v>4703.7001967592596</v>
      </c>
      <c r="CZ8" s="273"/>
      <c r="DA8" s="273"/>
      <c r="DB8" s="273"/>
      <c r="DC8" s="273">
        <v>4733.5</v>
      </c>
      <c r="DD8" s="273"/>
      <c r="DE8" s="273"/>
      <c r="DF8" s="273">
        <v>4733.7001967592596</v>
      </c>
    </row>
    <row r="9" spans="1:113">
      <c r="A9" s="270" t="s">
        <v>29</v>
      </c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3"/>
      <c r="AJ9" s="273"/>
      <c r="AK9" s="273"/>
      <c r="AL9" s="273"/>
      <c r="AM9" s="273"/>
      <c r="AN9" s="273"/>
      <c r="AO9" s="273"/>
      <c r="AP9" s="273"/>
      <c r="AQ9" s="273"/>
      <c r="AR9" s="273"/>
      <c r="AS9" s="273"/>
      <c r="AT9" s="273"/>
      <c r="AU9" s="273"/>
      <c r="AV9" s="273"/>
      <c r="AW9" s="273"/>
      <c r="AX9" s="273"/>
      <c r="AY9" s="273"/>
      <c r="AZ9" s="273"/>
      <c r="BA9" s="273"/>
      <c r="BB9" s="273"/>
      <c r="BC9" s="273"/>
      <c r="BD9" s="273"/>
      <c r="BE9" s="273"/>
      <c r="BF9" s="273"/>
      <c r="BG9" s="273"/>
      <c r="BH9" s="273"/>
      <c r="BI9" s="273"/>
      <c r="BJ9" s="273"/>
      <c r="BK9" s="273"/>
      <c r="BL9" s="273"/>
      <c r="BM9" s="273"/>
      <c r="BN9" s="273"/>
      <c r="BO9" s="273"/>
      <c r="BP9" s="273"/>
      <c r="BQ9" s="273"/>
      <c r="BR9" s="273"/>
      <c r="BS9" s="273"/>
      <c r="BT9" s="273"/>
      <c r="BU9" s="273"/>
      <c r="BV9" s="273"/>
      <c r="BW9" s="273"/>
      <c r="BX9" s="273"/>
      <c r="BY9" s="273"/>
      <c r="BZ9" s="273"/>
      <c r="CA9" s="273"/>
      <c r="CB9" s="273"/>
      <c r="CC9" s="273"/>
      <c r="CD9" s="273"/>
      <c r="CE9" s="273"/>
      <c r="CF9" s="273"/>
      <c r="CG9" s="273"/>
      <c r="CH9" s="273"/>
      <c r="CI9" s="273"/>
      <c r="CJ9" s="273"/>
      <c r="CK9" s="273"/>
      <c r="CL9" s="273"/>
      <c r="CM9" s="273"/>
      <c r="CN9" s="273"/>
      <c r="CO9" s="273"/>
      <c r="CP9" s="273"/>
      <c r="CQ9" s="273"/>
      <c r="CR9" s="273"/>
      <c r="CS9" s="273"/>
      <c r="CT9" s="273"/>
      <c r="CU9" s="273"/>
      <c r="CV9" s="273"/>
      <c r="CW9" s="273"/>
      <c r="CX9" s="273"/>
      <c r="CY9" s="273"/>
      <c r="CZ9" s="273"/>
      <c r="DA9" s="273"/>
      <c r="DB9" s="273"/>
      <c r="DC9" s="273"/>
      <c r="DD9" s="273"/>
      <c r="DE9" s="273"/>
      <c r="DF9" s="273"/>
    </row>
    <row r="10" spans="1:113">
      <c r="A10" s="271" t="s">
        <v>748</v>
      </c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3"/>
      <c r="V10" s="273"/>
      <c r="W10" s="273"/>
      <c r="X10" s="273"/>
      <c r="Y10" s="273"/>
      <c r="Z10" s="273"/>
      <c r="AA10" s="273"/>
      <c r="AB10" s="273"/>
      <c r="AC10" s="273"/>
      <c r="AD10" s="273"/>
      <c r="AE10" s="273"/>
      <c r="AF10" s="273"/>
      <c r="AG10" s="273"/>
      <c r="AH10" s="273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3"/>
      <c r="AT10" s="273"/>
      <c r="AU10" s="273"/>
      <c r="AV10" s="273"/>
      <c r="AW10" s="273"/>
      <c r="AX10" s="273"/>
      <c r="AY10" s="273"/>
      <c r="AZ10" s="273"/>
      <c r="BA10" s="273"/>
      <c r="BB10" s="273"/>
      <c r="BC10" s="273"/>
      <c r="BD10" s="273"/>
      <c r="BE10" s="273"/>
      <c r="BF10" s="273"/>
      <c r="BG10" s="273"/>
      <c r="BH10" s="273"/>
      <c r="BI10" s="273"/>
      <c r="BJ10" s="273"/>
      <c r="BK10" s="273"/>
      <c r="BL10" s="273"/>
      <c r="BM10" s="273"/>
      <c r="BN10" s="273"/>
      <c r="BO10" s="273"/>
      <c r="BP10" s="273"/>
      <c r="BQ10" s="273"/>
      <c r="BR10" s="273"/>
      <c r="BS10" s="273"/>
      <c r="BT10" s="273"/>
      <c r="BU10" s="273"/>
      <c r="BV10" s="273"/>
      <c r="BW10" s="273"/>
      <c r="BX10" s="273"/>
      <c r="BY10" s="273"/>
      <c r="BZ10" s="273"/>
      <c r="CA10" s="273"/>
      <c r="CB10" s="273"/>
      <c r="CC10" s="273"/>
      <c r="CD10" s="273"/>
      <c r="CE10" s="273"/>
      <c r="CF10" s="273"/>
      <c r="CG10" s="273"/>
      <c r="CH10" s="273"/>
      <c r="CI10" s="273"/>
      <c r="CJ10" s="273"/>
      <c r="CK10" s="273"/>
      <c r="CL10" s="273"/>
      <c r="CM10" s="273"/>
      <c r="CN10" s="273"/>
      <c r="CO10" s="273"/>
      <c r="CP10" s="273"/>
      <c r="CQ10" s="273"/>
      <c r="CR10" s="273"/>
      <c r="CS10" s="273"/>
      <c r="CT10" s="273"/>
      <c r="CU10" s="273"/>
      <c r="CV10" s="273"/>
      <c r="CW10" s="273"/>
      <c r="CX10" s="273"/>
      <c r="CY10" s="273"/>
      <c r="CZ10" s="273"/>
      <c r="DA10" s="273"/>
      <c r="DB10" s="273"/>
      <c r="DC10" s="273"/>
      <c r="DD10" s="273"/>
      <c r="DE10" s="273"/>
      <c r="DF10" s="273"/>
    </row>
    <row r="11" spans="1:113">
      <c r="A11" s="271" t="s">
        <v>750</v>
      </c>
      <c r="B11" s="273"/>
      <c r="C11" s="273"/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273"/>
      <c r="AJ11" s="273"/>
      <c r="AK11" s="273"/>
      <c r="AL11" s="273"/>
      <c r="AM11" s="273"/>
      <c r="AN11" s="273"/>
      <c r="AO11" s="273"/>
      <c r="AP11" s="273"/>
      <c r="AQ11" s="273"/>
      <c r="AR11" s="273"/>
      <c r="AS11" s="273"/>
      <c r="AT11" s="273"/>
      <c r="AU11" s="273"/>
      <c r="AV11" s="273"/>
      <c r="AW11" s="273"/>
      <c r="AX11" s="273"/>
      <c r="AY11" s="273"/>
      <c r="AZ11" s="273"/>
      <c r="BA11" s="273"/>
      <c r="BB11" s="273"/>
      <c r="BC11" s="273"/>
      <c r="BD11" s="273"/>
      <c r="BE11" s="273"/>
      <c r="BF11" s="273"/>
      <c r="BG11" s="273"/>
      <c r="BH11" s="273"/>
      <c r="BI11" s="273"/>
      <c r="BJ11" s="273"/>
      <c r="BK11" s="273"/>
      <c r="BL11" s="273"/>
      <c r="BM11" s="273"/>
      <c r="BN11" s="273"/>
      <c r="BO11" s="273"/>
      <c r="BP11" s="273"/>
      <c r="BQ11" s="273"/>
      <c r="BR11" s="273"/>
      <c r="BS11" s="273"/>
      <c r="BT11" s="273"/>
      <c r="BU11" s="273"/>
      <c r="BV11" s="273"/>
      <c r="BW11" s="273"/>
      <c r="BX11" s="273"/>
      <c r="BY11" s="273"/>
      <c r="BZ11" s="273"/>
      <c r="CA11" s="273"/>
      <c r="CB11" s="273"/>
      <c r="CC11" s="273"/>
      <c r="CD11" s="273"/>
      <c r="CE11" s="273"/>
      <c r="CF11" s="273"/>
      <c r="CG11" s="273"/>
      <c r="CH11" s="273"/>
      <c r="CI11" s="273"/>
      <c r="CJ11" s="273"/>
      <c r="CK11" s="273"/>
      <c r="CL11" s="273"/>
      <c r="CM11" s="273"/>
      <c r="CN11" s="273"/>
      <c r="CO11" s="273"/>
      <c r="CP11" s="273"/>
      <c r="CQ11" s="273"/>
      <c r="CR11" s="273"/>
      <c r="CS11" s="273"/>
      <c r="CT11" s="273"/>
      <c r="CU11" s="273"/>
      <c r="CV11" s="273"/>
      <c r="CW11" s="273"/>
      <c r="CX11" s="273"/>
      <c r="CY11" s="273"/>
      <c r="CZ11" s="273"/>
      <c r="DA11" s="273"/>
      <c r="DB11" s="273"/>
      <c r="DC11" s="273"/>
      <c r="DD11" s="273"/>
      <c r="DE11" s="273"/>
      <c r="DF11" s="273"/>
    </row>
    <row r="12" spans="1:113">
      <c r="A12" s="271" t="s">
        <v>752</v>
      </c>
      <c r="B12" s="273"/>
      <c r="C12" s="273"/>
      <c r="D12" s="273"/>
      <c r="E12" s="273"/>
      <c r="F12" s="273"/>
      <c r="G12" s="273"/>
      <c r="H12" s="273"/>
      <c r="I12" s="273"/>
      <c r="J12" s="273"/>
      <c r="K12" s="273"/>
      <c r="L12" s="273"/>
      <c r="M12" s="273"/>
      <c r="N12" s="273"/>
      <c r="O12" s="273"/>
      <c r="P12" s="273"/>
      <c r="Q12" s="273"/>
      <c r="R12" s="273"/>
      <c r="S12" s="273"/>
      <c r="T12" s="273"/>
      <c r="U12" s="273"/>
      <c r="V12" s="273"/>
      <c r="W12" s="273"/>
      <c r="X12" s="273"/>
      <c r="Y12" s="273"/>
      <c r="Z12" s="273"/>
      <c r="AA12" s="273"/>
      <c r="AB12" s="273"/>
      <c r="AC12" s="273"/>
      <c r="AD12" s="273"/>
      <c r="AE12" s="273"/>
      <c r="AF12" s="273"/>
      <c r="AG12" s="273"/>
      <c r="AH12" s="273"/>
      <c r="AI12" s="273"/>
      <c r="AJ12" s="273"/>
      <c r="AK12" s="273"/>
      <c r="AL12" s="273"/>
      <c r="AM12" s="273"/>
      <c r="AN12" s="273"/>
      <c r="AO12" s="273"/>
      <c r="AP12" s="273"/>
      <c r="AQ12" s="273"/>
      <c r="AR12" s="273"/>
      <c r="AS12" s="273"/>
      <c r="AT12" s="273"/>
      <c r="AU12" s="273"/>
      <c r="AV12" s="273"/>
      <c r="AW12" s="273"/>
      <c r="AX12" s="273"/>
      <c r="AY12" s="273"/>
      <c r="AZ12" s="273"/>
      <c r="BA12" s="273"/>
      <c r="BB12" s="273"/>
      <c r="BC12" s="273"/>
      <c r="BD12" s="273"/>
      <c r="BE12" s="273"/>
      <c r="BF12" s="273"/>
      <c r="BG12" s="273"/>
      <c r="BH12" s="273"/>
      <c r="BI12" s="273"/>
      <c r="BJ12" s="273"/>
      <c r="BK12" s="273"/>
      <c r="BL12" s="273"/>
      <c r="BM12" s="273"/>
      <c r="BN12" s="273"/>
      <c r="BO12" s="273"/>
      <c r="BP12" s="273"/>
      <c r="BQ12" s="273"/>
      <c r="BR12" s="273"/>
      <c r="BS12" s="273"/>
      <c r="BT12" s="273"/>
      <c r="BU12" s="273"/>
      <c r="BV12" s="273"/>
      <c r="BW12" s="273"/>
      <c r="BX12" s="273"/>
      <c r="BY12" s="273"/>
      <c r="BZ12" s="273"/>
      <c r="CA12" s="273"/>
      <c r="CB12" s="273"/>
      <c r="CC12" s="273"/>
      <c r="CD12" s="273"/>
      <c r="CE12" s="273"/>
      <c r="CF12" s="273"/>
      <c r="CG12" s="273"/>
      <c r="CH12" s="273"/>
      <c r="CI12" s="273"/>
      <c r="CJ12" s="273"/>
      <c r="CK12" s="273"/>
      <c r="CL12" s="273"/>
      <c r="CM12" s="273"/>
      <c r="CN12" s="273"/>
      <c r="CO12" s="273"/>
      <c r="CP12" s="273"/>
      <c r="CQ12" s="273"/>
      <c r="CR12" s="273"/>
      <c r="CS12" s="273"/>
      <c r="CT12" s="273"/>
      <c r="CU12" s="273"/>
      <c r="CV12" s="273"/>
      <c r="CW12" s="273"/>
      <c r="CX12" s="273"/>
      <c r="CY12" s="273"/>
      <c r="CZ12" s="273"/>
      <c r="DA12" s="273"/>
      <c r="DB12" s="273"/>
      <c r="DC12" s="273"/>
      <c r="DD12" s="273"/>
      <c r="DE12" s="273"/>
      <c r="DF12" s="273"/>
    </row>
    <row r="13" spans="1:113">
      <c r="A13" s="270" t="s">
        <v>30</v>
      </c>
      <c r="B13" s="273"/>
      <c r="C13" s="273"/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>
        <v>5316.6000925925928</v>
      </c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>
        <v>5216.6000925925928</v>
      </c>
      <c r="AQ13" s="273"/>
      <c r="AR13" s="273"/>
      <c r="AS13" s="273"/>
      <c r="AT13" s="273"/>
      <c r="AU13" s="273"/>
      <c r="AV13" s="273"/>
      <c r="AW13" s="273"/>
      <c r="AX13" s="273"/>
      <c r="AY13" s="273"/>
      <c r="AZ13" s="273"/>
      <c r="BA13" s="273"/>
      <c r="BB13" s="273"/>
      <c r="BC13" s="273"/>
      <c r="BD13" s="273"/>
      <c r="BE13" s="273"/>
      <c r="BF13" s="273"/>
      <c r="BG13" s="273"/>
      <c r="BH13" s="273"/>
      <c r="BI13" s="273"/>
      <c r="BJ13" s="273"/>
      <c r="BK13" s="273"/>
      <c r="BL13" s="273"/>
      <c r="BM13" s="273"/>
      <c r="BN13" s="273"/>
      <c r="BO13" s="273"/>
      <c r="BP13" s="273"/>
      <c r="BQ13" s="273"/>
      <c r="BR13" s="273"/>
      <c r="BS13" s="273"/>
      <c r="BT13" s="273"/>
      <c r="BU13" s="273"/>
      <c r="BV13" s="273"/>
      <c r="BW13" s="273"/>
      <c r="BX13" s="273"/>
      <c r="BY13" s="273"/>
      <c r="BZ13" s="273"/>
      <c r="CA13" s="273"/>
      <c r="CB13" s="273"/>
      <c r="CC13" s="273"/>
      <c r="CD13" s="273"/>
      <c r="CE13" s="273"/>
      <c r="CF13" s="273"/>
      <c r="CG13" s="273"/>
      <c r="CH13" s="273"/>
      <c r="CI13" s="273"/>
      <c r="CJ13" s="273"/>
      <c r="CK13" s="273">
        <v>26475</v>
      </c>
      <c r="CL13" s="273">
        <v>26167</v>
      </c>
      <c r="CM13" s="273">
        <v>26167</v>
      </c>
      <c r="CN13" s="273"/>
      <c r="CO13" s="273">
        <v>26167</v>
      </c>
      <c r="CP13" s="273">
        <v>26167</v>
      </c>
      <c r="CQ13" s="273">
        <v>26167</v>
      </c>
      <c r="CR13" s="273">
        <v>26167</v>
      </c>
      <c r="CS13" s="273">
        <v>26167</v>
      </c>
      <c r="CT13" s="273">
        <v>26167</v>
      </c>
      <c r="CU13" s="273">
        <v>5216.6000925925928</v>
      </c>
      <c r="CV13" s="273">
        <v>5216.6000925925928</v>
      </c>
      <c r="CW13" s="273"/>
      <c r="CX13" s="273"/>
      <c r="CY13" s="273"/>
      <c r="CZ13" s="273"/>
      <c r="DA13" s="273"/>
      <c r="DB13" s="273"/>
      <c r="DC13" s="273"/>
      <c r="DD13" s="273"/>
      <c r="DE13" s="273"/>
      <c r="DF13" s="273">
        <v>26475</v>
      </c>
    </row>
    <row r="14" spans="1:113">
      <c r="A14" s="271" t="s">
        <v>748</v>
      </c>
      <c r="B14" s="273"/>
      <c r="C14" s="273"/>
      <c r="D14" s="273"/>
      <c r="E14" s="273"/>
      <c r="F14" s="273"/>
      <c r="G14" s="273"/>
      <c r="H14" s="273"/>
      <c r="I14" s="273"/>
      <c r="J14" s="273"/>
      <c r="K14" s="273"/>
      <c r="L14" s="273"/>
      <c r="M14" s="273"/>
      <c r="N14" s="273"/>
      <c r="O14" s="273"/>
      <c r="P14" s="273"/>
      <c r="Q14" s="273"/>
      <c r="R14" s="273"/>
      <c r="S14" s="273"/>
      <c r="T14" s="273">
        <v>5316.6000925925928</v>
      </c>
      <c r="U14" s="273"/>
      <c r="V14" s="273"/>
      <c r="W14" s="273"/>
      <c r="X14" s="273"/>
      <c r="Y14" s="273"/>
      <c r="Z14" s="273"/>
      <c r="AA14" s="273"/>
      <c r="AB14" s="273"/>
      <c r="AC14" s="273"/>
      <c r="AD14" s="273"/>
      <c r="AE14" s="273"/>
      <c r="AF14" s="273"/>
      <c r="AG14" s="273"/>
      <c r="AH14" s="273"/>
      <c r="AI14" s="273"/>
      <c r="AJ14" s="273"/>
      <c r="AK14" s="273"/>
      <c r="AL14" s="273"/>
      <c r="AM14" s="273"/>
      <c r="AN14" s="273"/>
      <c r="AO14" s="273"/>
      <c r="AP14" s="273">
        <v>5216.6000925925928</v>
      </c>
      <c r="AQ14" s="273"/>
      <c r="AR14" s="273"/>
      <c r="AS14" s="273"/>
      <c r="AT14" s="273"/>
      <c r="AU14" s="273"/>
      <c r="AV14" s="273"/>
      <c r="AW14" s="273"/>
      <c r="AX14" s="273"/>
      <c r="AY14" s="273"/>
      <c r="AZ14" s="273"/>
      <c r="BA14" s="273"/>
      <c r="BB14" s="273"/>
      <c r="BC14" s="273"/>
      <c r="BD14" s="273"/>
      <c r="BE14" s="273"/>
      <c r="BF14" s="273"/>
      <c r="BG14" s="273"/>
      <c r="BH14" s="273"/>
      <c r="BI14" s="273"/>
      <c r="BJ14" s="273"/>
      <c r="BK14" s="273"/>
      <c r="BL14" s="273"/>
      <c r="BM14" s="273"/>
      <c r="BN14" s="273"/>
      <c r="BO14" s="273"/>
      <c r="BP14" s="273"/>
      <c r="BQ14" s="273"/>
      <c r="BR14" s="273"/>
      <c r="BS14" s="273"/>
      <c r="BT14" s="273"/>
      <c r="BU14" s="273"/>
      <c r="BV14" s="273"/>
      <c r="BW14" s="273"/>
      <c r="BX14" s="273"/>
      <c r="BY14" s="273"/>
      <c r="BZ14" s="273"/>
      <c r="CA14" s="273"/>
      <c r="CB14" s="273"/>
      <c r="CC14" s="273"/>
      <c r="CD14" s="273"/>
      <c r="CE14" s="273"/>
      <c r="CF14" s="273"/>
      <c r="CG14" s="273"/>
      <c r="CH14" s="273"/>
      <c r="CI14" s="273"/>
      <c r="CJ14" s="273"/>
      <c r="CK14" s="273">
        <v>26475</v>
      </c>
      <c r="CL14" s="273">
        <v>26167</v>
      </c>
      <c r="CM14" s="273">
        <v>26167</v>
      </c>
      <c r="CN14" s="273"/>
      <c r="CO14" s="273">
        <v>26167</v>
      </c>
      <c r="CP14" s="273">
        <v>26167</v>
      </c>
      <c r="CQ14" s="273">
        <v>26167</v>
      </c>
      <c r="CR14" s="273">
        <v>26167</v>
      </c>
      <c r="CS14" s="273">
        <v>26167</v>
      </c>
      <c r="CT14" s="273">
        <v>26167</v>
      </c>
      <c r="CU14" s="273">
        <v>5216.6000925925928</v>
      </c>
      <c r="CV14" s="273">
        <v>5216.6000925925928</v>
      </c>
      <c r="CW14" s="273"/>
      <c r="CX14" s="273"/>
      <c r="CY14" s="273"/>
      <c r="CZ14" s="273"/>
      <c r="DA14" s="273"/>
      <c r="DB14" s="273"/>
      <c r="DC14" s="273"/>
      <c r="DD14" s="273"/>
      <c r="DE14" s="273"/>
      <c r="DF14" s="273">
        <v>26475</v>
      </c>
    </row>
    <row r="15" spans="1:113">
      <c r="A15" s="271" t="s">
        <v>750</v>
      </c>
      <c r="B15" s="273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>
        <v>3961.5</v>
      </c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273"/>
      <c r="AJ15" s="273"/>
      <c r="AK15" s="273"/>
      <c r="AL15" s="273"/>
      <c r="AM15" s="273"/>
      <c r="AN15" s="273"/>
      <c r="AO15" s="273"/>
      <c r="AP15" s="273">
        <v>3890.5</v>
      </c>
      <c r="AQ15" s="273"/>
      <c r="AR15" s="273"/>
      <c r="AS15" s="273"/>
      <c r="AT15" s="273"/>
      <c r="AU15" s="273"/>
      <c r="AV15" s="273"/>
      <c r="AW15" s="273"/>
      <c r="AX15" s="273"/>
      <c r="AY15" s="273"/>
      <c r="AZ15" s="273"/>
      <c r="BA15" s="273"/>
      <c r="BB15" s="273"/>
      <c r="BC15" s="273"/>
      <c r="BD15" s="273"/>
      <c r="BE15" s="273"/>
      <c r="BF15" s="273"/>
      <c r="BG15" s="273"/>
      <c r="BH15" s="273"/>
      <c r="BI15" s="273"/>
      <c r="BJ15" s="273"/>
      <c r="BK15" s="273"/>
      <c r="BL15" s="273"/>
      <c r="BM15" s="273"/>
      <c r="BN15" s="273"/>
      <c r="BO15" s="273"/>
      <c r="BP15" s="273"/>
      <c r="BQ15" s="273"/>
      <c r="BR15" s="273"/>
      <c r="BS15" s="273"/>
      <c r="BT15" s="273"/>
      <c r="BU15" s="273"/>
      <c r="BV15" s="273"/>
      <c r="BW15" s="273"/>
      <c r="BX15" s="273"/>
      <c r="BY15" s="273"/>
      <c r="BZ15" s="273"/>
      <c r="CA15" s="273"/>
      <c r="CB15" s="273"/>
      <c r="CC15" s="273"/>
      <c r="CD15" s="273"/>
      <c r="CE15" s="273"/>
      <c r="CF15" s="273"/>
      <c r="CG15" s="273"/>
      <c r="CH15" s="273"/>
      <c r="CI15" s="273"/>
      <c r="CJ15" s="273"/>
      <c r="CK15" s="273">
        <v>18916</v>
      </c>
      <c r="CL15" s="273">
        <v>17805</v>
      </c>
      <c r="CM15" s="273">
        <v>17805</v>
      </c>
      <c r="CN15" s="273"/>
      <c r="CO15" s="273">
        <v>17805</v>
      </c>
      <c r="CP15" s="273">
        <v>17805</v>
      </c>
      <c r="CQ15" s="273">
        <v>17805</v>
      </c>
      <c r="CR15" s="273">
        <v>17805</v>
      </c>
      <c r="CS15" s="273">
        <v>17805</v>
      </c>
      <c r="CT15" s="273">
        <v>17805</v>
      </c>
      <c r="CU15" s="273">
        <v>3890.6999537037036</v>
      </c>
      <c r="CV15" s="273">
        <v>3646.1000925925928</v>
      </c>
      <c r="CW15" s="273"/>
      <c r="CX15" s="273"/>
      <c r="CY15" s="273"/>
      <c r="CZ15" s="273"/>
      <c r="DA15" s="273"/>
      <c r="DB15" s="273"/>
      <c r="DC15" s="273"/>
      <c r="DD15" s="273"/>
      <c r="DE15" s="273"/>
      <c r="DF15" s="273">
        <v>18916</v>
      </c>
    </row>
    <row r="16" spans="1:113">
      <c r="A16" s="271" t="s">
        <v>752</v>
      </c>
      <c r="B16" s="273"/>
      <c r="C16" s="273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  <c r="O16" s="273"/>
      <c r="P16" s="273"/>
      <c r="Q16" s="273"/>
      <c r="R16" s="273"/>
      <c r="S16" s="273"/>
      <c r="T16" s="273">
        <v>4695.2001967592596</v>
      </c>
      <c r="U16" s="273"/>
      <c r="V16" s="273"/>
      <c r="W16" s="273"/>
      <c r="X16" s="273"/>
      <c r="Y16" s="273"/>
      <c r="Z16" s="273"/>
      <c r="AA16" s="273"/>
      <c r="AB16" s="273"/>
      <c r="AC16" s="273"/>
      <c r="AD16" s="273"/>
      <c r="AE16" s="273"/>
      <c r="AF16" s="273"/>
      <c r="AG16" s="273"/>
      <c r="AH16" s="273"/>
      <c r="AI16" s="273"/>
      <c r="AJ16" s="273"/>
      <c r="AK16" s="273"/>
      <c r="AL16" s="273"/>
      <c r="AM16" s="273"/>
      <c r="AN16" s="273"/>
      <c r="AO16" s="273"/>
      <c r="AP16" s="273">
        <v>4703.7001967592596</v>
      </c>
      <c r="AQ16" s="273"/>
      <c r="AR16" s="273"/>
      <c r="AS16" s="273"/>
      <c r="AT16" s="273"/>
      <c r="AU16" s="273"/>
      <c r="AV16" s="273"/>
      <c r="AW16" s="273"/>
      <c r="AX16" s="273"/>
      <c r="AY16" s="273"/>
      <c r="AZ16" s="273"/>
      <c r="BA16" s="273"/>
      <c r="BB16" s="273"/>
      <c r="BC16" s="273"/>
      <c r="BD16" s="273"/>
      <c r="BE16" s="273"/>
      <c r="BF16" s="273"/>
      <c r="BG16" s="273"/>
      <c r="BH16" s="273"/>
      <c r="BI16" s="273"/>
      <c r="BJ16" s="273"/>
      <c r="BK16" s="273"/>
      <c r="BL16" s="273"/>
      <c r="BM16" s="273"/>
      <c r="BN16" s="273"/>
      <c r="BO16" s="273"/>
      <c r="BP16" s="273"/>
      <c r="BQ16" s="273"/>
      <c r="BR16" s="273"/>
      <c r="BS16" s="273"/>
      <c r="BT16" s="273"/>
      <c r="BU16" s="273"/>
      <c r="BV16" s="273"/>
      <c r="BW16" s="273"/>
      <c r="BX16" s="273"/>
      <c r="BY16" s="273"/>
      <c r="BZ16" s="273"/>
      <c r="CA16" s="273"/>
      <c r="CB16" s="273"/>
      <c r="CC16" s="273"/>
      <c r="CD16" s="273"/>
      <c r="CE16" s="273"/>
      <c r="CF16" s="273"/>
      <c r="CG16" s="273"/>
      <c r="CH16" s="273"/>
      <c r="CI16" s="273"/>
      <c r="CJ16" s="273"/>
      <c r="CK16" s="273">
        <v>7331</v>
      </c>
      <c r="CL16" s="273">
        <v>6721</v>
      </c>
      <c r="CM16" s="273">
        <v>6721</v>
      </c>
      <c r="CN16" s="273"/>
      <c r="CO16" s="273">
        <v>5855</v>
      </c>
      <c r="CP16" s="273">
        <v>5855</v>
      </c>
      <c r="CQ16" s="273">
        <v>5855</v>
      </c>
      <c r="CR16" s="273">
        <v>5855</v>
      </c>
      <c r="CS16" s="273">
        <v>5855</v>
      </c>
      <c r="CT16" s="273">
        <v>5855</v>
      </c>
      <c r="CU16" s="273">
        <v>4583.7001967592596</v>
      </c>
      <c r="CV16" s="273">
        <v>4583.7001967592596</v>
      </c>
      <c r="CW16" s="273"/>
      <c r="CX16" s="273"/>
      <c r="CY16" s="273"/>
      <c r="CZ16" s="273"/>
      <c r="DA16" s="273"/>
      <c r="DB16" s="273"/>
      <c r="DC16" s="273"/>
      <c r="DD16" s="273"/>
      <c r="DE16" s="273"/>
      <c r="DF16" s="273">
        <v>7331</v>
      </c>
    </row>
    <row r="17" spans="1:110">
      <c r="A17" s="270" t="s">
        <v>32</v>
      </c>
      <c r="B17" s="273">
        <v>5211.6000925925928</v>
      </c>
      <c r="C17" s="273">
        <v>5314.8999074074072</v>
      </c>
      <c r="D17" s="273">
        <v>5314.7001967592596</v>
      </c>
      <c r="E17" s="273">
        <v>5313.7001967592596</v>
      </c>
      <c r="F17" s="273">
        <v>5314.7001967592596</v>
      </c>
      <c r="G17" s="273"/>
      <c r="H17" s="273"/>
      <c r="I17" s="273"/>
      <c r="J17" s="273"/>
      <c r="K17" s="273">
        <v>5314.8999074074072</v>
      </c>
      <c r="L17" s="273">
        <v>5314.8999074074072</v>
      </c>
      <c r="M17" s="273">
        <v>5314.8999074074072</v>
      </c>
      <c r="N17" s="273">
        <v>5211.6000925925928</v>
      </c>
      <c r="O17" s="273"/>
      <c r="P17" s="273">
        <v>5216.6000925925928</v>
      </c>
      <c r="Q17" s="273">
        <v>5216.6000925925928</v>
      </c>
      <c r="R17" s="273">
        <v>5216.6000925925928</v>
      </c>
      <c r="S17" s="273">
        <v>5216.6000925925928</v>
      </c>
      <c r="T17" s="273">
        <v>5316.6000925925928</v>
      </c>
      <c r="U17" s="273"/>
      <c r="V17" s="273">
        <v>5216.6000925925928</v>
      </c>
      <c r="W17" s="273">
        <v>5216.6000925925928</v>
      </c>
      <c r="X17" s="273">
        <v>5216.6000925925928</v>
      </c>
      <c r="Y17" s="273">
        <v>5216.6000925925928</v>
      </c>
      <c r="Z17" s="273">
        <v>5216.6000925925928</v>
      </c>
      <c r="AA17" s="273">
        <v>5216.6000925925928</v>
      </c>
      <c r="AB17" s="273">
        <v>5211.6000925925928</v>
      </c>
      <c r="AC17" s="273">
        <v>5216.6000925925928</v>
      </c>
      <c r="AD17" s="273">
        <v>5216.6000925925928</v>
      </c>
      <c r="AE17" s="273">
        <v>5216.6000925925928</v>
      </c>
      <c r="AF17" s="273">
        <v>5216.6000925925928</v>
      </c>
      <c r="AG17" s="273">
        <v>5216.6000925925928</v>
      </c>
      <c r="AH17" s="273">
        <v>5216.6000925925928</v>
      </c>
      <c r="AI17" s="273">
        <v>5211.6000925925928</v>
      </c>
      <c r="AJ17" s="273">
        <v>5216.6000925925928</v>
      </c>
      <c r="AK17" s="273"/>
      <c r="AL17" s="273"/>
      <c r="AM17" s="273"/>
      <c r="AN17" s="273"/>
      <c r="AO17" s="273"/>
      <c r="AP17" s="273">
        <v>5216.6000925925928</v>
      </c>
      <c r="AQ17" s="273"/>
      <c r="AR17" s="273"/>
      <c r="AS17" s="273"/>
      <c r="AT17" s="273"/>
      <c r="AU17" s="273"/>
      <c r="AV17" s="273"/>
      <c r="AW17" s="273"/>
      <c r="AX17" s="273"/>
      <c r="AY17" s="273"/>
      <c r="AZ17" s="273"/>
      <c r="BA17" s="273"/>
      <c r="BB17" s="273"/>
      <c r="BC17" s="273"/>
      <c r="BD17" s="273"/>
      <c r="BE17" s="273"/>
      <c r="BF17" s="273"/>
      <c r="BG17" s="273"/>
      <c r="BH17" s="273"/>
      <c r="BI17" s="273"/>
      <c r="BJ17" s="273"/>
      <c r="BK17" s="273"/>
      <c r="BL17" s="273"/>
      <c r="BM17" s="273"/>
      <c r="BN17" s="273"/>
      <c r="BO17" s="273"/>
      <c r="BP17" s="273"/>
      <c r="BQ17" s="273"/>
      <c r="BR17" s="273"/>
      <c r="BS17" s="273"/>
      <c r="BT17" s="273"/>
      <c r="BU17" s="273"/>
      <c r="BV17" s="273">
        <v>5216.6000925925928</v>
      </c>
      <c r="BW17" s="273">
        <v>5211.6000925925928</v>
      </c>
      <c r="BX17" s="273">
        <v>5211.6000925925928</v>
      </c>
      <c r="BY17" s="273">
        <v>5211.6000925925928</v>
      </c>
      <c r="BZ17" s="273">
        <v>5216.6000925925928</v>
      </c>
      <c r="CA17" s="273"/>
      <c r="CB17" s="273"/>
      <c r="CC17" s="273"/>
      <c r="CD17" s="273"/>
      <c r="CE17" s="273"/>
      <c r="CF17" s="273"/>
      <c r="CG17" s="273"/>
      <c r="CH17" s="273"/>
      <c r="CI17" s="273"/>
      <c r="CJ17" s="273"/>
      <c r="CK17" s="273">
        <v>26475</v>
      </c>
      <c r="CL17" s="273">
        <v>26167</v>
      </c>
      <c r="CM17" s="273">
        <v>26167</v>
      </c>
      <c r="CN17" s="273"/>
      <c r="CO17" s="273">
        <v>26167</v>
      </c>
      <c r="CP17" s="273">
        <v>26167</v>
      </c>
      <c r="CQ17" s="273">
        <v>26167</v>
      </c>
      <c r="CR17" s="273">
        <v>26167</v>
      </c>
      <c r="CS17" s="273">
        <v>26167</v>
      </c>
      <c r="CT17" s="273">
        <v>26167</v>
      </c>
      <c r="CU17" s="273">
        <v>5216.6000925925928</v>
      </c>
      <c r="CV17" s="273">
        <v>5216.6000925925928</v>
      </c>
      <c r="CW17" s="273">
        <v>5314.7001967592596</v>
      </c>
      <c r="CX17" s="273">
        <v>5314.7001967592596</v>
      </c>
      <c r="CY17" s="273">
        <v>5216.6000925925928</v>
      </c>
      <c r="CZ17" s="273"/>
      <c r="DA17" s="273"/>
      <c r="DB17" s="273"/>
      <c r="DC17" s="273">
        <v>5314.7001967592596</v>
      </c>
      <c r="DD17" s="273"/>
      <c r="DE17" s="273"/>
      <c r="DF17" s="273">
        <v>26475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9"/>
  <dimension ref="A3:B176"/>
  <sheetViews>
    <sheetView workbookViewId="0">
      <selection activeCell="B3" sqref="B3"/>
      <pivotSelection pane="bottomRight" showHeader="1" extendable="1" activeRow="2" activeCol="1" click="1" r:id="rId1">
        <pivotArea dataOnly="0" outline="0" axis="axisValues" fieldPosition="0"/>
      </pivotSelection>
    </sheetView>
  </sheetViews>
  <sheetFormatPr defaultRowHeight="12.75"/>
  <cols>
    <col min="1" max="1" width="15.140625" customWidth="1"/>
    <col min="2" max="2" width="22.140625" style="96" bestFit="1" customWidth="1"/>
  </cols>
  <sheetData>
    <row r="3" spans="1:2">
      <c r="A3" s="95" t="s">
        <v>31</v>
      </c>
      <c r="B3" s="96" t="s">
        <v>628</v>
      </c>
    </row>
    <row r="4" spans="1:2">
      <c r="A4" s="270" t="s">
        <v>748</v>
      </c>
      <c r="B4" s="96">
        <v>5314.7</v>
      </c>
    </row>
    <row r="5" spans="1:2">
      <c r="A5" s="270" t="s">
        <v>750</v>
      </c>
      <c r="B5" s="96">
        <v>3973.9</v>
      </c>
    </row>
    <row r="6" spans="1:2">
      <c r="A6" s="270" t="s">
        <v>752</v>
      </c>
      <c r="B6" s="96">
        <v>4733.5</v>
      </c>
    </row>
    <row r="7" spans="1:2">
      <c r="A7" s="270" t="s">
        <v>769</v>
      </c>
    </row>
    <row r="8" spans="1:2">
      <c r="A8" s="270" t="s">
        <v>32</v>
      </c>
      <c r="B8" s="96">
        <v>14022.1</v>
      </c>
    </row>
    <row r="9" spans="1:2">
      <c r="B9"/>
    </row>
    <row r="10" spans="1:2">
      <c r="B10"/>
    </row>
    <row r="11" spans="1:2">
      <c r="B11"/>
    </row>
    <row r="12" spans="1:2">
      <c r="B12"/>
    </row>
    <row r="13" spans="1:2">
      <c r="B13"/>
    </row>
    <row r="14" spans="1:2">
      <c r="B14"/>
    </row>
    <row r="15" spans="1:2">
      <c r="B15"/>
    </row>
    <row r="16" spans="1:2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R5"/>
  <sheetViews>
    <sheetView topLeftCell="B1" workbookViewId="0">
      <selection activeCell="F24" sqref="F24"/>
    </sheetView>
  </sheetViews>
  <sheetFormatPr defaultRowHeight="12.75"/>
  <cols>
    <col min="1" max="1" width="9" bestFit="1" customWidth="1"/>
    <col min="2" max="2" width="13.42578125" bestFit="1" customWidth="1"/>
    <col min="3" max="3" width="12.42578125" bestFit="1" customWidth="1"/>
    <col min="4" max="4" width="14.85546875" bestFit="1" customWidth="1"/>
    <col min="5" max="5" width="19.85546875" bestFit="1" customWidth="1"/>
    <col min="6" max="6" width="14.28515625" bestFit="1" customWidth="1"/>
    <col min="7" max="7" width="19" bestFit="1" customWidth="1"/>
    <col min="8" max="8" width="16.85546875" bestFit="1" customWidth="1"/>
    <col min="9" max="9" width="19.85546875" bestFit="1" customWidth="1"/>
    <col min="10" max="10" width="12.28515625" bestFit="1" customWidth="1"/>
    <col min="11" max="11" width="21.85546875" bestFit="1" customWidth="1"/>
    <col min="12" max="12" width="12.85546875" bestFit="1" customWidth="1"/>
    <col min="13" max="13" width="14" bestFit="1" customWidth="1"/>
    <col min="14" max="14" width="17" bestFit="1" customWidth="1"/>
    <col min="15" max="15" width="24.7109375" bestFit="1" customWidth="1"/>
    <col min="16" max="16" width="15.85546875" bestFit="1" customWidth="1"/>
    <col min="17" max="17" width="14.28515625" bestFit="1" customWidth="1"/>
    <col min="18" max="18" width="19.140625" bestFit="1" customWidth="1"/>
  </cols>
  <sheetData>
    <row r="1" spans="1:18">
      <c r="A1" s="110" t="s">
        <v>18</v>
      </c>
      <c r="B1" t="s">
        <v>39</v>
      </c>
      <c r="C1" t="s">
        <v>40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21</v>
      </c>
      <c r="P1" t="s">
        <v>22</v>
      </c>
      <c r="Q1" t="s">
        <v>23</v>
      </c>
      <c r="R1" t="s">
        <v>24</v>
      </c>
    </row>
    <row r="2" spans="1:18">
      <c r="A2" t="s">
        <v>748</v>
      </c>
      <c r="B2" t="s">
        <v>768</v>
      </c>
      <c r="C2" t="s">
        <v>26</v>
      </c>
      <c r="D2" t="b">
        <v>0</v>
      </c>
      <c r="E2" t="s">
        <v>655</v>
      </c>
      <c r="F2" t="s">
        <v>655</v>
      </c>
      <c r="G2" t="s">
        <v>655</v>
      </c>
      <c r="H2">
        <v>5314.7</v>
      </c>
      <c r="I2">
        <v>0</v>
      </c>
      <c r="J2" t="s">
        <v>38</v>
      </c>
      <c r="K2">
        <v>41689</v>
      </c>
      <c r="L2">
        <v>41705.563093715275</v>
      </c>
      <c r="M2" t="s">
        <v>655</v>
      </c>
      <c r="N2" t="b">
        <v>0</v>
      </c>
      <c r="O2">
        <v>41705.563093715275</v>
      </c>
      <c r="P2" t="s">
        <v>78</v>
      </c>
      <c r="Q2" t="b">
        <v>0</v>
      </c>
      <c r="R2" t="b">
        <v>1</v>
      </c>
    </row>
    <row r="3" spans="1:18">
      <c r="A3" t="s">
        <v>750</v>
      </c>
      <c r="B3" t="s">
        <v>768</v>
      </c>
      <c r="C3" t="s">
        <v>26</v>
      </c>
      <c r="D3" t="b">
        <v>0</v>
      </c>
      <c r="E3" t="s">
        <v>655</v>
      </c>
      <c r="F3" t="s">
        <v>655</v>
      </c>
      <c r="G3" t="s">
        <v>655</v>
      </c>
      <c r="H3">
        <v>3973.9</v>
      </c>
      <c r="I3">
        <v>2779</v>
      </c>
      <c r="J3" t="s">
        <v>38</v>
      </c>
      <c r="K3">
        <v>41682</v>
      </c>
      <c r="L3">
        <v>41705.565213113427</v>
      </c>
      <c r="M3" t="s">
        <v>655</v>
      </c>
      <c r="N3" t="b">
        <v>0</v>
      </c>
      <c r="O3">
        <v>41705.565213113427</v>
      </c>
      <c r="P3" t="s">
        <v>78</v>
      </c>
      <c r="Q3" t="b">
        <v>0</v>
      </c>
      <c r="R3" t="b">
        <v>1</v>
      </c>
    </row>
    <row r="4" spans="1:18">
      <c r="A4" t="s">
        <v>752</v>
      </c>
      <c r="B4" t="s">
        <v>768</v>
      </c>
      <c r="C4" t="s">
        <v>26</v>
      </c>
      <c r="D4" t="b">
        <v>0</v>
      </c>
      <c r="E4" t="s">
        <v>655</v>
      </c>
      <c r="F4" t="s">
        <v>655</v>
      </c>
      <c r="G4" t="s">
        <v>655</v>
      </c>
      <c r="H4">
        <v>4733.5</v>
      </c>
      <c r="I4">
        <v>3761.1</v>
      </c>
      <c r="J4" t="s">
        <v>38</v>
      </c>
      <c r="K4">
        <v>41652</v>
      </c>
      <c r="L4">
        <v>41705.571686574076</v>
      </c>
      <c r="M4" t="s">
        <v>655</v>
      </c>
      <c r="N4" t="b">
        <v>0</v>
      </c>
      <c r="O4">
        <v>41705.571686574076</v>
      </c>
      <c r="P4" t="s">
        <v>78</v>
      </c>
      <c r="Q4" t="b">
        <v>0</v>
      </c>
      <c r="R4" t="b">
        <v>1</v>
      </c>
    </row>
    <row r="5" spans="1:18">
      <c r="A5" t="s">
        <v>769</v>
      </c>
      <c r="B5" t="s">
        <v>768</v>
      </c>
      <c r="C5" t="s">
        <v>26</v>
      </c>
      <c r="D5" t="b">
        <v>0</v>
      </c>
      <c r="I5">
        <v>0</v>
      </c>
      <c r="N5" t="b">
        <v>0</v>
      </c>
      <c r="Q5" t="b">
        <v>1</v>
      </c>
      <c r="R5" t="b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1"/>
  <dimension ref="A3:DI17"/>
  <sheetViews>
    <sheetView topLeftCell="H1" workbookViewId="0">
      <selection activeCell="AB5" sqref="AB5"/>
    </sheetView>
  </sheetViews>
  <sheetFormatPr defaultRowHeight="12.75"/>
  <cols>
    <col min="1" max="1" width="20.5703125" customWidth="1"/>
    <col min="2" max="2" width="18.28515625" bestFit="1" customWidth="1"/>
    <col min="3" max="3" width="3.5703125" customWidth="1"/>
    <col min="4" max="4" width="11.140625" bestFit="1" customWidth="1"/>
    <col min="5" max="5" width="3.5703125" customWidth="1"/>
    <col min="6" max="10" width="11.140625" bestFit="1" customWidth="1"/>
    <col min="11" max="11" width="4.7109375" customWidth="1"/>
    <col min="12" max="12" width="4.7109375" bestFit="1" customWidth="1"/>
    <col min="13" max="13" width="10.85546875" customWidth="1"/>
    <col min="14" max="14" width="4.7109375" customWidth="1"/>
    <col min="15" max="15" width="10.85546875" bestFit="1" customWidth="1"/>
    <col min="16" max="20" width="4.7109375" customWidth="1"/>
    <col min="21" max="21" width="9.7109375" customWidth="1"/>
    <col min="22" max="24" width="4.7109375" customWidth="1"/>
    <col min="25" max="25" width="4.7109375" bestFit="1" customWidth="1"/>
    <col min="26" max="27" width="4.7109375" customWidth="1"/>
    <col min="28" max="28" width="11.140625" customWidth="1"/>
    <col min="29" max="36" width="4.7109375" customWidth="1"/>
    <col min="37" max="37" width="11.140625" customWidth="1"/>
    <col min="38" max="38" width="10.85546875" customWidth="1"/>
    <col min="39" max="39" width="10.140625" customWidth="1"/>
    <col min="40" max="40" width="9.85546875" customWidth="1"/>
    <col min="41" max="41" width="10.5703125" customWidth="1"/>
    <col min="42" max="42" width="9.85546875" customWidth="1"/>
    <col min="43" max="43" width="9.85546875" bestFit="1" customWidth="1"/>
    <col min="44" max="44" width="11.28515625" bestFit="1" customWidth="1"/>
    <col min="45" max="45" width="9.85546875" customWidth="1"/>
    <col min="46" max="46" width="11.140625" customWidth="1"/>
    <col min="47" max="47" width="11.28515625" customWidth="1"/>
    <col min="48" max="49" width="10.5703125" customWidth="1"/>
    <col min="50" max="50" width="10" customWidth="1"/>
    <col min="51" max="51" width="9" bestFit="1" customWidth="1"/>
    <col min="52" max="55" width="10" bestFit="1" customWidth="1"/>
    <col min="56" max="56" width="10" customWidth="1"/>
    <col min="57" max="57" width="9.85546875" bestFit="1" customWidth="1"/>
    <col min="58" max="59" width="10" customWidth="1"/>
    <col min="60" max="60" width="9.5703125" bestFit="1" customWidth="1"/>
    <col min="61" max="63" width="10.140625" bestFit="1" customWidth="1"/>
    <col min="64" max="64" width="10" bestFit="1" customWidth="1"/>
    <col min="65" max="65" width="9.85546875" bestFit="1" customWidth="1"/>
    <col min="66" max="66" width="9" bestFit="1" customWidth="1"/>
    <col min="67" max="67" width="10" bestFit="1" customWidth="1"/>
    <col min="68" max="68" width="10" customWidth="1"/>
    <col min="69" max="69" width="10" bestFit="1" customWidth="1"/>
    <col min="70" max="71" width="9.7109375" bestFit="1" customWidth="1"/>
    <col min="72" max="72" width="10.7109375" bestFit="1" customWidth="1"/>
    <col min="73" max="73" width="9.5703125" bestFit="1" customWidth="1"/>
    <col min="74" max="77" width="4.7109375" bestFit="1" customWidth="1"/>
    <col min="78" max="78" width="4.7109375" customWidth="1"/>
    <col min="79" max="79" width="9.85546875" bestFit="1" customWidth="1"/>
    <col min="80" max="81" width="9.7109375" bestFit="1" customWidth="1"/>
    <col min="82" max="83" width="11.140625" bestFit="1" customWidth="1"/>
    <col min="84" max="85" width="10" bestFit="1" customWidth="1"/>
    <col min="86" max="86" width="10.85546875" bestFit="1" customWidth="1"/>
    <col min="87" max="87" width="9.85546875" bestFit="1" customWidth="1"/>
    <col min="88" max="88" width="11.140625" bestFit="1" customWidth="1"/>
    <col min="89" max="89" width="10" customWidth="1"/>
    <col min="90" max="91" width="4.7109375" bestFit="1" customWidth="1"/>
    <col min="92" max="92" width="11.42578125" bestFit="1" customWidth="1"/>
    <col min="93" max="94" width="4.7109375" bestFit="1" customWidth="1"/>
    <col min="95" max="96" width="4.7109375" customWidth="1"/>
    <col min="97" max="97" width="4.7109375" bestFit="1" customWidth="1"/>
    <col min="98" max="100" width="4.7109375" customWidth="1"/>
    <col min="101" max="102" width="11.140625" bestFit="1" customWidth="1"/>
    <col min="103" max="103" width="4.7109375" customWidth="1"/>
    <col min="104" max="105" width="9.85546875" bestFit="1" customWidth="1"/>
    <col min="106" max="106" width="10" bestFit="1" customWidth="1"/>
    <col min="107" max="108" width="11.140625" bestFit="1" customWidth="1"/>
    <col min="109" max="109" width="11.28515625" bestFit="1" customWidth="1"/>
    <col min="110" max="110" width="13" bestFit="1" customWidth="1"/>
    <col min="111" max="111" width="10.140625" customWidth="1"/>
    <col min="112" max="112" width="10" customWidth="1"/>
    <col min="113" max="113" width="13" bestFit="1" customWidth="1"/>
    <col min="114" max="114" width="10.7109375" bestFit="1" customWidth="1"/>
    <col min="115" max="115" width="10.85546875" bestFit="1" customWidth="1"/>
    <col min="116" max="118" width="10.7109375" bestFit="1" customWidth="1"/>
    <col min="119" max="120" width="10.5703125" bestFit="1" customWidth="1"/>
    <col min="121" max="121" width="10.7109375" bestFit="1" customWidth="1"/>
    <col min="122" max="123" width="10.5703125" bestFit="1" customWidth="1"/>
    <col min="124" max="124" width="11" bestFit="1" customWidth="1"/>
    <col min="125" max="125" width="9.7109375" bestFit="1" customWidth="1"/>
    <col min="126" max="126" width="11.140625" bestFit="1" customWidth="1"/>
    <col min="127" max="127" width="10.7109375" bestFit="1" customWidth="1"/>
    <col min="128" max="130" width="10.5703125" bestFit="1" customWidth="1"/>
    <col min="131" max="132" width="11.140625" bestFit="1" customWidth="1"/>
    <col min="133" max="133" width="11.28515625" bestFit="1" customWidth="1"/>
    <col min="134" max="135" width="11.140625" bestFit="1" customWidth="1"/>
    <col min="136" max="137" width="9.85546875" bestFit="1" customWidth="1"/>
    <col min="138" max="140" width="11" bestFit="1" customWidth="1"/>
    <col min="141" max="142" width="9.5703125" bestFit="1" customWidth="1"/>
    <col min="143" max="144" width="10.7109375" bestFit="1" customWidth="1"/>
    <col min="145" max="145" width="13" bestFit="1" customWidth="1"/>
    <col min="146" max="147" width="7" bestFit="1" customWidth="1"/>
    <col min="148" max="148" width="7" customWidth="1"/>
    <col min="149" max="153" width="7" bestFit="1" customWidth="1"/>
    <col min="154" max="154" width="7" customWidth="1"/>
    <col min="155" max="155" width="4.7109375" bestFit="1" customWidth="1"/>
    <col min="156" max="157" width="7" customWidth="1"/>
    <col min="158" max="161" width="4.7109375" bestFit="1" customWidth="1"/>
    <col min="162" max="162" width="7" customWidth="1"/>
    <col min="163" max="168" width="7" bestFit="1" customWidth="1"/>
    <col min="169" max="169" width="4.7109375" bestFit="1" customWidth="1"/>
    <col min="170" max="174" width="7" bestFit="1" customWidth="1"/>
    <col min="175" max="181" width="4.7109375" bestFit="1" customWidth="1"/>
    <col min="182" max="185" width="7" bestFit="1" customWidth="1"/>
    <col min="186" max="186" width="4.7109375" bestFit="1" customWidth="1"/>
    <col min="187" max="187" width="2.42578125" bestFit="1" customWidth="1"/>
    <col min="188" max="188" width="4.7109375" bestFit="1" customWidth="1"/>
    <col min="189" max="189" width="13" bestFit="1" customWidth="1"/>
  </cols>
  <sheetData>
    <row r="3" spans="1:113">
      <c r="A3" s="95" t="s">
        <v>92</v>
      </c>
      <c r="B3" s="95" t="s">
        <v>33</v>
      </c>
    </row>
    <row r="4" spans="1:113" s="135" customFormat="1">
      <c r="A4" s="272" t="s">
        <v>31</v>
      </c>
      <c r="B4" s="135">
        <v>35</v>
      </c>
      <c r="C4" s="135">
        <v>41</v>
      </c>
      <c r="D4" s="135">
        <v>45</v>
      </c>
      <c r="E4" s="135">
        <v>62</v>
      </c>
      <c r="F4" s="135">
        <v>79</v>
      </c>
      <c r="G4" s="135">
        <v>100</v>
      </c>
      <c r="H4" s="135">
        <v>101</v>
      </c>
      <c r="I4" s="135">
        <v>102</v>
      </c>
      <c r="J4" s="135">
        <v>103</v>
      </c>
      <c r="K4" s="135">
        <v>130</v>
      </c>
      <c r="L4" s="135">
        <v>135</v>
      </c>
      <c r="M4" s="135">
        <v>145</v>
      </c>
      <c r="N4" s="135">
        <v>152</v>
      </c>
      <c r="O4" s="135">
        <v>177</v>
      </c>
      <c r="P4" s="135">
        <v>192</v>
      </c>
      <c r="Q4" s="135">
        <v>195</v>
      </c>
      <c r="R4" s="135">
        <v>198</v>
      </c>
      <c r="S4" s="135">
        <v>200</v>
      </c>
      <c r="T4" s="135">
        <v>211</v>
      </c>
      <c r="U4" s="135">
        <v>222</v>
      </c>
      <c r="V4" s="135">
        <v>223</v>
      </c>
      <c r="W4" s="135">
        <v>224</v>
      </c>
      <c r="X4" s="135">
        <v>226</v>
      </c>
      <c r="Y4" s="135">
        <v>230</v>
      </c>
      <c r="Z4" s="135">
        <v>231</v>
      </c>
      <c r="AA4" s="135">
        <v>234</v>
      </c>
      <c r="AB4" s="135">
        <v>261</v>
      </c>
      <c r="AC4" s="135">
        <v>270</v>
      </c>
      <c r="AD4" s="135">
        <v>275</v>
      </c>
      <c r="AE4" s="135">
        <v>290</v>
      </c>
      <c r="AF4" s="135">
        <v>291</v>
      </c>
      <c r="AG4" s="135">
        <v>295</v>
      </c>
      <c r="AH4" s="135">
        <v>300</v>
      </c>
      <c r="AI4" s="135">
        <v>400</v>
      </c>
      <c r="AJ4" s="135">
        <v>465</v>
      </c>
      <c r="AK4" s="135">
        <v>496</v>
      </c>
      <c r="AL4" s="135">
        <v>500</v>
      </c>
      <c r="AM4" s="135">
        <v>530</v>
      </c>
      <c r="AN4" s="135">
        <v>531</v>
      </c>
      <c r="AO4" s="135">
        <v>532</v>
      </c>
      <c r="AP4" s="135">
        <v>533</v>
      </c>
      <c r="AQ4" s="135">
        <v>534</v>
      </c>
      <c r="AR4" s="135">
        <v>535</v>
      </c>
      <c r="AS4" s="135">
        <v>542</v>
      </c>
      <c r="AT4" s="135">
        <v>551</v>
      </c>
      <c r="AU4" s="135">
        <v>553</v>
      </c>
      <c r="AV4" s="135">
        <v>570</v>
      </c>
      <c r="AW4" s="135">
        <v>580</v>
      </c>
      <c r="AX4" s="135">
        <v>649</v>
      </c>
      <c r="AY4" s="135">
        <v>680</v>
      </c>
      <c r="AZ4" s="135">
        <v>681</v>
      </c>
      <c r="BA4" s="135">
        <v>682</v>
      </c>
      <c r="BB4" s="135">
        <v>683</v>
      </c>
      <c r="BC4" s="135">
        <v>684</v>
      </c>
      <c r="BD4" s="135">
        <v>685</v>
      </c>
      <c r="BE4" s="135">
        <v>700</v>
      </c>
      <c r="BF4" s="135">
        <v>703</v>
      </c>
      <c r="BG4" s="135">
        <v>705</v>
      </c>
      <c r="BH4" s="135">
        <v>708</v>
      </c>
      <c r="BI4" s="135">
        <v>709</v>
      </c>
      <c r="BJ4" s="135">
        <v>710</v>
      </c>
      <c r="BK4" s="135">
        <v>711</v>
      </c>
      <c r="BL4" s="135">
        <v>712</v>
      </c>
      <c r="BM4" s="135">
        <v>714</v>
      </c>
      <c r="BN4" s="135">
        <v>716</v>
      </c>
      <c r="BO4" s="135">
        <v>718</v>
      </c>
      <c r="BP4" s="135">
        <v>720</v>
      </c>
      <c r="BQ4" s="135">
        <v>725</v>
      </c>
      <c r="BR4" s="135">
        <v>730</v>
      </c>
      <c r="BS4" s="135">
        <v>735</v>
      </c>
      <c r="BT4" s="135">
        <v>740</v>
      </c>
      <c r="BU4" s="135">
        <v>745</v>
      </c>
      <c r="BV4" s="135">
        <v>751</v>
      </c>
      <c r="BW4" s="135">
        <v>752</v>
      </c>
      <c r="BX4" s="135">
        <v>754</v>
      </c>
      <c r="BY4" s="135">
        <v>755</v>
      </c>
      <c r="BZ4" s="135">
        <v>757</v>
      </c>
      <c r="CA4" s="135">
        <v>760</v>
      </c>
      <c r="CB4" s="135">
        <v>775</v>
      </c>
      <c r="CC4" s="135">
        <v>780</v>
      </c>
      <c r="CD4" s="135">
        <v>15</v>
      </c>
      <c r="CE4" s="135">
        <v>108</v>
      </c>
      <c r="CF4" s="135">
        <v>110</v>
      </c>
      <c r="CG4" s="135">
        <v>125</v>
      </c>
      <c r="CH4" s="135">
        <v>155</v>
      </c>
      <c r="CI4" s="135">
        <v>105</v>
      </c>
      <c r="CJ4" s="135">
        <v>401</v>
      </c>
      <c r="CK4" s="135">
        <v>406</v>
      </c>
      <c r="CL4" s="135">
        <v>408</v>
      </c>
      <c r="CM4" s="135">
        <v>409</v>
      </c>
      <c r="CN4" s="135">
        <v>415</v>
      </c>
      <c r="CO4" s="135">
        <v>420</v>
      </c>
      <c r="CP4" s="135">
        <v>424</v>
      </c>
      <c r="CQ4" s="135">
        <v>428</v>
      </c>
      <c r="CR4" s="135">
        <v>432</v>
      </c>
      <c r="CS4" s="135">
        <v>436</v>
      </c>
      <c r="CT4" s="135">
        <v>440</v>
      </c>
      <c r="CU4" s="135">
        <v>520</v>
      </c>
      <c r="CV4" s="135">
        <v>525</v>
      </c>
      <c r="CW4" s="135">
        <v>25</v>
      </c>
      <c r="CX4" s="135">
        <v>85</v>
      </c>
      <c r="CY4" s="135">
        <v>150</v>
      </c>
      <c r="CZ4" s="135">
        <v>160</v>
      </c>
      <c r="DA4" s="135">
        <v>405</v>
      </c>
      <c r="DB4" s="135">
        <v>407</v>
      </c>
      <c r="DC4" s="145">
        <v>55</v>
      </c>
      <c r="DD4" s="145">
        <v>591</v>
      </c>
      <c r="DE4" s="145">
        <v>351</v>
      </c>
      <c r="DF4" s="135" t="s">
        <v>32</v>
      </c>
      <c r="DG4"/>
      <c r="DH4"/>
      <c r="DI4"/>
    </row>
    <row r="5" spans="1:113">
      <c r="A5" s="270" t="s">
        <v>26</v>
      </c>
      <c r="B5" s="145"/>
      <c r="C5" s="145"/>
      <c r="D5" s="145">
        <v>41698</v>
      </c>
      <c r="E5" s="145"/>
      <c r="F5" s="145">
        <v>41698</v>
      </c>
      <c r="G5" s="145">
        <v>41688</v>
      </c>
      <c r="H5" s="145">
        <v>41688</v>
      </c>
      <c r="I5" s="145">
        <v>41688</v>
      </c>
      <c r="J5" s="145">
        <v>41683</v>
      </c>
      <c r="K5" s="145"/>
      <c r="L5" s="145"/>
      <c r="M5" s="145"/>
      <c r="N5" s="145"/>
      <c r="O5" s="145">
        <v>41663</v>
      </c>
      <c r="P5" s="145"/>
      <c r="Q5" s="145"/>
      <c r="R5" s="145"/>
      <c r="S5" s="145"/>
      <c r="T5" s="145"/>
      <c r="U5" s="145">
        <v>41648</v>
      </c>
      <c r="V5" s="145"/>
      <c r="W5" s="145"/>
      <c r="X5" s="145"/>
      <c r="Y5" s="145"/>
      <c r="Z5" s="145"/>
      <c r="AA5" s="145"/>
      <c r="AB5" s="145">
        <v>41513</v>
      </c>
      <c r="AC5" s="145"/>
      <c r="AD5" s="145"/>
      <c r="AE5" s="145"/>
      <c r="AF5" s="145"/>
      <c r="AG5" s="145"/>
      <c r="AH5" s="145"/>
      <c r="AI5" s="145"/>
      <c r="AJ5" s="145"/>
      <c r="AK5" s="145">
        <v>41680</v>
      </c>
      <c r="AL5" s="145">
        <v>41655</v>
      </c>
      <c r="AM5" s="145">
        <v>41523</v>
      </c>
      <c r="AN5" s="145">
        <v>41702</v>
      </c>
      <c r="AO5" s="145">
        <v>41565</v>
      </c>
      <c r="AP5" s="145">
        <v>41702</v>
      </c>
      <c r="AQ5" s="145">
        <v>41702</v>
      </c>
      <c r="AR5" s="145">
        <v>41591</v>
      </c>
      <c r="AS5" s="145">
        <v>41702</v>
      </c>
      <c r="AT5" s="145">
        <v>41502</v>
      </c>
      <c r="AU5" s="145">
        <v>41536</v>
      </c>
      <c r="AV5" s="145">
        <v>41563</v>
      </c>
      <c r="AW5" s="145">
        <v>41563</v>
      </c>
      <c r="AX5" s="145">
        <v>41495</v>
      </c>
      <c r="AY5" s="145">
        <v>41091</v>
      </c>
      <c r="AZ5" s="145">
        <v>41122</v>
      </c>
      <c r="BA5" s="145">
        <v>41122</v>
      </c>
      <c r="BB5" s="145">
        <v>41122</v>
      </c>
      <c r="BC5" s="145">
        <v>41122</v>
      </c>
      <c r="BD5" s="145">
        <v>41122</v>
      </c>
      <c r="BE5" s="145">
        <v>39873</v>
      </c>
      <c r="BF5" s="145">
        <v>40391</v>
      </c>
      <c r="BG5" s="145">
        <v>40391</v>
      </c>
      <c r="BH5" s="145">
        <v>40269</v>
      </c>
      <c r="BI5" s="145">
        <v>39692</v>
      </c>
      <c r="BJ5" s="145">
        <v>39692</v>
      </c>
      <c r="BK5" s="145">
        <v>39692</v>
      </c>
      <c r="BL5" s="145">
        <v>40210</v>
      </c>
      <c r="BM5" s="145">
        <v>41334</v>
      </c>
      <c r="BN5" s="145">
        <v>41456</v>
      </c>
      <c r="BO5" s="145">
        <v>41122</v>
      </c>
      <c r="BP5" s="145">
        <v>41122</v>
      </c>
      <c r="BQ5" s="145">
        <v>41122</v>
      </c>
      <c r="BR5" s="145">
        <v>41275</v>
      </c>
      <c r="BS5" s="145">
        <v>41275</v>
      </c>
      <c r="BT5" s="145">
        <v>40660</v>
      </c>
      <c r="BU5" s="145">
        <v>40634</v>
      </c>
      <c r="BV5" s="145"/>
      <c r="BW5" s="145"/>
      <c r="BX5" s="145"/>
      <c r="BY5" s="145"/>
      <c r="BZ5" s="145"/>
      <c r="CA5" s="145">
        <v>41702</v>
      </c>
      <c r="CB5" s="145">
        <v>41275</v>
      </c>
      <c r="CC5" s="145">
        <v>41275</v>
      </c>
      <c r="CD5" s="145">
        <v>41690</v>
      </c>
      <c r="CE5" s="145"/>
      <c r="CF5" s="145"/>
      <c r="CG5" s="145"/>
      <c r="CH5" s="145"/>
      <c r="CI5" s="145"/>
      <c r="CJ5" s="145"/>
      <c r="CK5" s="145"/>
      <c r="CL5" s="145"/>
      <c r="CM5" s="145"/>
      <c r="CN5" s="145"/>
      <c r="CO5" s="145"/>
      <c r="CP5" s="145"/>
      <c r="CQ5" s="145"/>
      <c r="CR5" s="145"/>
      <c r="CS5" s="145"/>
      <c r="CT5" s="145"/>
      <c r="CU5" s="145"/>
      <c r="CV5" s="145"/>
      <c r="CW5" s="145">
        <v>41698</v>
      </c>
      <c r="CX5" s="145">
        <v>41698</v>
      </c>
      <c r="CY5" s="145"/>
      <c r="CZ5" s="145">
        <v>41702</v>
      </c>
      <c r="DA5" s="145"/>
      <c r="DB5" s="145"/>
      <c r="DC5" s="145"/>
      <c r="DD5" s="145">
        <v>41579</v>
      </c>
      <c r="DE5" s="145"/>
      <c r="DF5" s="145">
        <v>41702</v>
      </c>
    </row>
    <row r="6" spans="1:113">
      <c r="A6" s="271" t="s">
        <v>748</v>
      </c>
      <c r="B6" s="145"/>
      <c r="C6" s="145"/>
      <c r="D6" s="145">
        <v>41698</v>
      </c>
      <c r="E6" s="145"/>
      <c r="F6" s="145">
        <v>41698</v>
      </c>
      <c r="G6" s="145">
        <v>41688</v>
      </c>
      <c r="H6" s="145">
        <v>41688</v>
      </c>
      <c r="I6" s="145">
        <v>41688</v>
      </c>
      <c r="J6" s="145">
        <v>41683</v>
      </c>
      <c r="K6" s="145"/>
      <c r="L6" s="145"/>
      <c r="M6" s="145"/>
      <c r="N6" s="145"/>
      <c r="O6" s="145">
        <v>41653</v>
      </c>
      <c r="P6" s="145"/>
      <c r="Q6" s="145"/>
      <c r="R6" s="145"/>
      <c r="S6" s="145"/>
      <c r="T6" s="145"/>
      <c r="U6" s="145">
        <v>41502</v>
      </c>
      <c r="V6" s="145"/>
      <c r="W6" s="145"/>
      <c r="X6" s="145"/>
      <c r="Y6" s="145"/>
      <c r="Z6" s="145"/>
      <c r="AA6" s="145"/>
      <c r="AB6" s="145">
        <v>41493</v>
      </c>
      <c r="AC6" s="145"/>
      <c r="AD6" s="145"/>
      <c r="AE6" s="145"/>
      <c r="AF6" s="145"/>
      <c r="AG6" s="145"/>
      <c r="AH6" s="145"/>
      <c r="AI6" s="145"/>
      <c r="AJ6" s="145"/>
      <c r="AK6" s="145">
        <v>41533</v>
      </c>
      <c r="AL6" s="145">
        <v>41542</v>
      </c>
      <c r="AM6" s="145">
        <v>41467</v>
      </c>
      <c r="AN6" s="145">
        <v>41702</v>
      </c>
      <c r="AO6" s="145">
        <v>41325</v>
      </c>
      <c r="AP6" s="145">
        <v>41702</v>
      </c>
      <c r="AQ6" s="145">
        <v>41702</v>
      </c>
      <c r="AR6" s="145">
        <v>41471</v>
      </c>
      <c r="AS6" s="145">
        <v>41702</v>
      </c>
      <c r="AT6" s="145">
        <v>41428</v>
      </c>
      <c r="AU6" s="145">
        <v>41387</v>
      </c>
      <c r="AV6" s="145">
        <v>41358</v>
      </c>
      <c r="AW6" s="145">
        <v>41358</v>
      </c>
      <c r="AX6" s="145">
        <v>41022</v>
      </c>
      <c r="AY6" s="145">
        <v>39965</v>
      </c>
      <c r="AZ6" s="145">
        <v>41122</v>
      </c>
      <c r="BA6" s="145">
        <v>41122</v>
      </c>
      <c r="BB6" s="145">
        <v>41122</v>
      </c>
      <c r="BC6" s="145">
        <v>41122</v>
      </c>
      <c r="BD6" s="145">
        <v>41122</v>
      </c>
      <c r="BE6" s="145">
        <v>39264</v>
      </c>
      <c r="BF6" s="145">
        <v>40391</v>
      </c>
      <c r="BG6" s="145">
        <v>39264</v>
      </c>
      <c r="BH6" s="145">
        <v>40210</v>
      </c>
      <c r="BI6" s="145">
        <v>39692</v>
      </c>
      <c r="BJ6" s="145">
        <v>39692</v>
      </c>
      <c r="BK6" s="145">
        <v>39692</v>
      </c>
      <c r="BL6" s="145">
        <v>39692</v>
      </c>
      <c r="BM6" s="145">
        <v>38899</v>
      </c>
      <c r="BN6" s="145">
        <v>40391</v>
      </c>
      <c r="BO6" s="145">
        <v>40026</v>
      </c>
      <c r="BP6" s="145">
        <v>40026</v>
      </c>
      <c r="BQ6" s="145">
        <v>40026</v>
      </c>
      <c r="BR6" s="145">
        <v>37803</v>
      </c>
      <c r="BS6" s="145">
        <v>37803</v>
      </c>
      <c r="BT6" s="145">
        <v>37681</v>
      </c>
      <c r="BU6" s="145">
        <v>37803</v>
      </c>
      <c r="BV6" s="145"/>
      <c r="BW6" s="145"/>
      <c r="BX6" s="145"/>
      <c r="BY6" s="145"/>
      <c r="BZ6" s="145"/>
      <c r="CA6" s="145">
        <v>41337</v>
      </c>
      <c r="CB6" s="145">
        <v>37681</v>
      </c>
      <c r="CC6" s="145">
        <v>37803</v>
      </c>
      <c r="CD6" s="145">
        <v>41690</v>
      </c>
      <c r="CE6" s="145"/>
      <c r="CF6" s="145"/>
      <c r="CG6" s="145"/>
      <c r="CH6" s="145"/>
      <c r="CI6" s="145"/>
      <c r="CJ6" s="145"/>
      <c r="CK6" s="145"/>
      <c r="CL6" s="145"/>
      <c r="CM6" s="145"/>
      <c r="CN6" s="145"/>
      <c r="CO6" s="145"/>
      <c r="CP6" s="145"/>
      <c r="CQ6" s="145"/>
      <c r="CR6" s="145"/>
      <c r="CS6" s="145"/>
      <c r="CT6" s="145"/>
      <c r="CU6" s="145"/>
      <c r="CV6" s="145"/>
      <c r="CW6" s="145">
        <v>41698</v>
      </c>
      <c r="CX6" s="145">
        <v>41698</v>
      </c>
      <c r="CY6" s="145"/>
      <c r="CZ6" s="145">
        <v>41683</v>
      </c>
      <c r="DA6" s="145"/>
      <c r="DB6" s="145"/>
      <c r="DC6" s="145"/>
      <c r="DD6" s="145">
        <v>41579</v>
      </c>
      <c r="DE6" s="145"/>
      <c r="DF6" s="145">
        <v>41702</v>
      </c>
    </row>
    <row r="7" spans="1:113">
      <c r="A7" s="271" t="s">
        <v>750</v>
      </c>
      <c r="B7" s="145"/>
      <c r="C7" s="145"/>
      <c r="D7" s="145">
        <v>41698</v>
      </c>
      <c r="E7" s="145"/>
      <c r="F7" s="145">
        <v>41698</v>
      </c>
      <c r="G7" s="145">
        <v>41685</v>
      </c>
      <c r="H7" s="145">
        <v>41685</v>
      </c>
      <c r="I7" s="145">
        <v>41681</v>
      </c>
      <c r="J7" s="145">
        <v>41649</v>
      </c>
      <c r="K7" s="145"/>
      <c r="L7" s="145"/>
      <c r="M7" s="145"/>
      <c r="N7" s="145"/>
      <c r="O7" s="145">
        <v>41663</v>
      </c>
      <c r="P7" s="145"/>
      <c r="Q7" s="145"/>
      <c r="R7" s="145"/>
      <c r="S7" s="145"/>
      <c r="T7" s="145"/>
      <c r="U7" s="145">
        <v>41648</v>
      </c>
      <c r="V7" s="145"/>
      <c r="W7" s="145"/>
      <c r="X7" s="145"/>
      <c r="Y7" s="145"/>
      <c r="Z7" s="145"/>
      <c r="AA7" s="145"/>
      <c r="AB7" s="145">
        <v>41513</v>
      </c>
      <c r="AC7" s="145"/>
      <c r="AD7" s="145"/>
      <c r="AE7" s="145"/>
      <c r="AF7" s="145"/>
      <c r="AG7" s="145"/>
      <c r="AH7" s="145"/>
      <c r="AI7" s="145"/>
      <c r="AJ7" s="145"/>
      <c r="AK7" s="145">
        <v>41680</v>
      </c>
      <c r="AL7" s="145">
        <v>41634</v>
      </c>
      <c r="AM7" s="145">
        <v>41523</v>
      </c>
      <c r="AN7" s="145">
        <v>41643</v>
      </c>
      <c r="AO7" s="145">
        <v>41457</v>
      </c>
      <c r="AP7" s="145">
        <v>41643</v>
      </c>
      <c r="AQ7" s="145">
        <v>41664</v>
      </c>
      <c r="AR7" s="145">
        <v>41499</v>
      </c>
      <c r="AS7" s="145">
        <v>41643</v>
      </c>
      <c r="AT7" s="145">
        <v>41502</v>
      </c>
      <c r="AU7" s="145">
        <v>41536</v>
      </c>
      <c r="AV7" s="145">
        <v>41374</v>
      </c>
      <c r="AW7" s="145">
        <v>41374</v>
      </c>
      <c r="AX7" s="145">
        <v>41172</v>
      </c>
      <c r="AY7" s="145">
        <v>40210</v>
      </c>
      <c r="AZ7" s="145">
        <v>40210</v>
      </c>
      <c r="BA7" s="145">
        <v>40210</v>
      </c>
      <c r="BB7" s="145">
        <v>40210</v>
      </c>
      <c r="BC7" s="145">
        <v>40210</v>
      </c>
      <c r="BD7" s="145">
        <v>40210</v>
      </c>
      <c r="BE7" s="145">
        <v>39114</v>
      </c>
      <c r="BF7" s="145">
        <v>40179</v>
      </c>
      <c r="BG7" s="145">
        <v>40391</v>
      </c>
      <c r="BH7" s="145">
        <v>40269</v>
      </c>
      <c r="BI7" s="145">
        <v>39630</v>
      </c>
      <c r="BJ7" s="145">
        <v>39508</v>
      </c>
      <c r="BK7" s="145">
        <v>39508</v>
      </c>
      <c r="BL7" s="145">
        <v>40210</v>
      </c>
      <c r="BM7" s="145">
        <v>41334</v>
      </c>
      <c r="BN7" s="145">
        <v>41456</v>
      </c>
      <c r="BO7" s="145">
        <v>40210</v>
      </c>
      <c r="BP7" s="145">
        <v>40210</v>
      </c>
      <c r="BQ7" s="145">
        <v>40210</v>
      </c>
      <c r="BR7" s="145">
        <v>40057</v>
      </c>
      <c r="BS7" s="145">
        <v>40057</v>
      </c>
      <c r="BT7" s="145">
        <v>40057</v>
      </c>
      <c r="BU7" s="145">
        <v>37681</v>
      </c>
      <c r="BV7" s="145"/>
      <c r="BW7" s="145"/>
      <c r="BX7" s="145"/>
      <c r="BY7" s="145"/>
      <c r="BZ7" s="145"/>
      <c r="CA7" s="145">
        <v>41630</v>
      </c>
      <c r="CB7" s="145">
        <v>40057</v>
      </c>
      <c r="CC7" s="145">
        <v>40057</v>
      </c>
      <c r="CD7" s="145">
        <v>41681</v>
      </c>
      <c r="CE7" s="145"/>
      <c r="CF7" s="145"/>
      <c r="CG7" s="145"/>
      <c r="CH7" s="145"/>
      <c r="CI7" s="145"/>
      <c r="CJ7" s="145"/>
      <c r="CK7" s="145"/>
      <c r="CL7" s="145"/>
      <c r="CM7" s="145"/>
      <c r="CN7" s="145"/>
      <c r="CO7" s="145"/>
      <c r="CP7" s="145"/>
      <c r="CQ7" s="145"/>
      <c r="CR7" s="145"/>
      <c r="CS7" s="145"/>
      <c r="CT7" s="145"/>
      <c r="CU7" s="145"/>
      <c r="CV7" s="145"/>
      <c r="CW7" s="145">
        <v>41698</v>
      </c>
      <c r="CX7" s="145">
        <v>41698</v>
      </c>
      <c r="CY7" s="145"/>
      <c r="CZ7" s="145">
        <v>41702</v>
      </c>
      <c r="DA7" s="145"/>
      <c r="DB7" s="145"/>
      <c r="DC7" s="145"/>
      <c r="DD7" s="145">
        <v>41518</v>
      </c>
      <c r="DE7" s="145"/>
      <c r="DF7" s="145">
        <v>41702</v>
      </c>
    </row>
    <row r="8" spans="1:113">
      <c r="A8" s="271" t="s">
        <v>752</v>
      </c>
      <c r="B8" s="145"/>
      <c r="C8" s="145"/>
      <c r="D8" s="145">
        <v>41698</v>
      </c>
      <c r="E8" s="145"/>
      <c r="F8" s="145">
        <v>41698</v>
      </c>
      <c r="G8" s="145">
        <v>41684</v>
      </c>
      <c r="H8" s="145">
        <v>41684</v>
      </c>
      <c r="I8" s="145">
        <v>41688</v>
      </c>
      <c r="J8" s="145">
        <v>41636</v>
      </c>
      <c r="K8" s="145"/>
      <c r="L8" s="145"/>
      <c r="M8" s="145"/>
      <c r="N8" s="145"/>
      <c r="O8" s="145">
        <v>41663</v>
      </c>
      <c r="P8" s="145"/>
      <c r="Q8" s="145"/>
      <c r="R8" s="145"/>
      <c r="S8" s="145"/>
      <c r="T8" s="145"/>
      <c r="U8" s="145">
        <v>41460</v>
      </c>
      <c r="V8" s="145"/>
      <c r="W8" s="145"/>
      <c r="X8" s="145"/>
      <c r="Y8" s="145"/>
      <c r="Z8" s="145"/>
      <c r="AA8" s="145"/>
      <c r="AB8" s="145">
        <v>41472</v>
      </c>
      <c r="AC8" s="145"/>
      <c r="AD8" s="145"/>
      <c r="AE8" s="145"/>
      <c r="AF8" s="145"/>
      <c r="AG8" s="145"/>
      <c r="AH8" s="145"/>
      <c r="AI8" s="145"/>
      <c r="AJ8" s="145"/>
      <c r="AK8" s="145">
        <v>41546</v>
      </c>
      <c r="AL8" s="145">
        <v>41655</v>
      </c>
      <c r="AM8" s="145">
        <v>41361</v>
      </c>
      <c r="AN8" s="145">
        <v>41404</v>
      </c>
      <c r="AO8" s="145">
        <v>41565</v>
      </c>
      <c r="AP8" s="145">
        <v>41404</v>
      </c>
      <c r="AQ8" s="145">
        <v>41404</v>
      </c>
      <c r="AR8" s="145">
        <v>41591</v>
      </c>
      <c r="AS8" s="145">
        <v>41404</v>
      </c>
      <c r="AT8" s="145">
        <v>41446</v>
      </c>
      <c r="AU8" s="145">
        <v>41495</v>
      </c>
      <c r="AV8" s="145">
        <v>41563</v>
      </c>
      <c r="AW8" s="145">
        <v>41563</v>
      </c>
      <c r="AX8" s="145">
        <v>41495</v>
      </c>
      <c r="AY8" s="145">
        <v>41091</v>
      </c>
      <c r="AZ8" s="145">
        <v>41091</v>
      </c>
      <c r="BA8" s="145">
        <v>41091</v>
      </c>
      <c r="BB8" s="145">
        <v>41091</v>
      </c>
      <c r="BC8" s="145">
        <v>41091</v>
      </c>
      <c r="BD8" s="145">
        <v>41091</v>
      </c>
      <c r="BE8" s="145">
        <v>39873</v>
      </c>
      <c r="BF8" s="145">
        <v>39203</v>
      </c>
      <c r="BG8" s="145">
        <v>39114</v>
      </c>
      <c r="BH8" s="145">
        <v>39203</v>
      </c>
      <c r="BI8" s="145">
        <v>39600</v>
      </c>
      <c r="BJ8" s="145">
        <v>39600</v>
      </c>
      <c r="BK8" s="145">
        <v>39600</v>
      </c>
      <c r="BL8" s="145">
        <v>39264</v>
      </c>
      <c r="BM8" s="145">
        <v>39203</v>
      </c>
      <c r="BN8" s="145">
        <v>40885</v>
      </c>
      <c r="BO8" s="145">
        <v>41122</v>
      </c>
      <c r="BP8" s="145">
        <v>41122</v>
      </c>
      <c r="BQ8" s="145">
        <v>41122</v>
      </c>
      <c r="BR8" s="145">
        <v>41275</v>
      </c>
      <c r="BS8" s="145">
        <v>41275</v>
      </c>
      <c r="BT8" s="145">
        <v>40660</v>
      </c>
      <c r="BU8" s="145">
        <v>40634</v>
      </c>
      <c r="BV8" s="145"/>
      <c r="BW8" s="145"/>
      <c r="BX8" s="145"/>
      <c r="BY8" s="145"/>
      <c r="BZ8" s="145"/>
      <c r="CA8" s="145">
        <v>41702</v>
      </c>
      <c r="CB8" s="145">
        <v>41275</v>
      </c>
      <c r="CC8" s="145">
        <v>41275</v>
      </c>
      <c r="CD8" s="145">
        <v>41680</v>
      </c>
      <c r="CE8" s="145"/>
      <c r="CF8" s="145"/>
      <c r="CG8" s="145"/>
      <c r="CH8" s="145"/>
      <c r="CI8" s="145"/>
      <c r="CJ8" s="145"/>
      <c r="CK8" s="145"/>
      <c r="CL8" s="145"/>
      <c r="CM8" s="145"/>
      <c r="CN8" s="145"/>
      <c r="CO8" s="145"/>
      <c r="CP8" s="145"/>
      <c r="CQ8" s="145"/>
      <c r="CR8" s="145"/>
      <c r="CS8" s="145"/>
      <c r="CT8" s="145"/>
      <c r="CU8" s="145"/>
      <c r="CV8" s="145"/>
      <c r="CW8" s="145">
        <v>41698</v>
      </c>
      <c r="CX8" s="145">
        <v>41698</v>
      </c>
      <c r="CY8" s="145"/>
      <c r="CZ8" s="145">
        <v>41657</v>
      </c>
      <c r="DA8" s="145"/>
      <c r="DB8" s="145"/>
      <c r="DC8" s="145"/>
      <c r="DD8" s="145">
        <v>41548</v>
      </c>
      <c r="DE8" s="145"/>
      <c r="DF8" s="145">
        <v>41702</v>
      </c>
    </row>
    <row r="9" spans="1:113">
      <c r="A9" s="270" t="s">
        <v>29</v>
      </c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>
        <v>41668</v>
      </c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5"/>
      <c r="BN9" s="145"/>
      <c r="BO9" s="145"/>
      <c r="BP9" s="145"/>
      <c r="BQ9" s="145"/>
      <c r="BR9" s="145"/>
      <c r="BS9" s="145"/>
      <c r="BT9" s="145"/>
      <c r="BU9" s="145"/>
      <c r="BV9" s="145"/>
      <c r="BW9" s="145"/>
      <c r="BX9" s="145"/>
      <c r="BY9" s="145"/>
      <c r="BZ9" s="145"/>
      <c r="CA9" s="145"/>
      <c r="CB9" s="145"/>
      <c r="CC9" s="145"/>
      <c r="CD9" s="145"/>
      <c r="CE9" s="145">
        <v>41681</v>
      </c>
      <c r="CF9" s="145">
        <v>41673</v>
      </c>
      <c r="CG9" s="145">
        <v>41678</v>
      </c>
      <c r="CH9" s="145">
        <v>41664</v>
      </c>
      <c r="CI9" s="145"/>
      <c r="CJ9" s="145"/>
      <c r="CK9" s="145"/>
      <c r="CL9" s="145"/>
      <c r="CM9" s="145"/>
      <c r="CN9" s="145"/>
      <c r="CO9" s="145"/>
      <c r="CP9" s="145"/>
      <c r="CQ9" s="145"/>
      <c r="CR9" s="145"/>
      <c r="CS9" s="145"/>
      <c r="CT9" s="145"/>
      <c r="CU9" s="145"/>
      <c r="CV9" s="145"/>
      <c r="CW9" s="145"/>
      <c r="CX9" s="145"/>
      <c r="CY9" s="145"/>
      <c r="CZ9" s="145"/>
      <c r="DA9" s="145"/>
      <c r="DB9" s="145"/>
      <c r="DC9" s="145"/>
      <c r="DD9" s="145"/>
      <c r="DE9" s="145">
        <v>41682</v>
      </c>
      <c r="DF9" s="145">
        <v>41682</v>
      </c>
    </row>
    <row r="10" spans="1:113">
      <c r="A10" s="271" t="s">
        <v>748</v>
      </c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>
        <v>41557</v>
      </c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/>
      <c r="BA10" s="145"/>
      <c r="BB10" s="145"/>
      <c r="BC10" s="145"/>
      <c r="BD10" s="145"/>
      <c r="BE10" s="145"/>
      <c r="BF10" s="145"/>
      <c r="BG10" s="145"/>
      <c r="BH10" s="145"/>
      <c r="BI10" s="145"/>
      <c r="BJ10" s="145"/>
      <c r="BK10" s="145"/>
      <c r="BL10" s="145"/>
      <c r="BM10" s="145"/>
      <c r="BN10" s="145"/>
      <c r="BO10" s="145"/>
      <c r="BP10" s="145"/>
      <c r="BQ10" s="145"/>
      <c r="BR10" s="145"/>
      <c r="BS10" s="145"/>
      <c r="BT10" s="145"/>
      <c r="BU10" s="145"/>
      <c r="BV10" s="145"/>
      <c r="BW10" s="145"/>
      <c r="BX10" s="145"/>
      <c r="BY10" s="145"/>
      <c r="BZ10" s="145"/>
      <c r="CA10" s="145"/>
      <c r="CB10" s="145"/>
      <c r="CC10" s="145"/>
      <c r="CD10" s="145"/>
      <c r="CE10" s="145">
        <v>41678</v>
      </c>
      <c r="CF10" s="145">
        <v>41673</v>
      </c>
      <c r="CG10" s="145">
        <v>41678</v>
      </c>
      <c r="CH10" s="145">
        <v>41540</v>
      </c>
      <c r="CI10" s="145"/>
      <c r="CJ10" s="145"/>
      <c r="CK10" s="145"/>
      <c r="CL10" s="145"/>
      <c r="CM10" s="145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>
        <v>41678</v>
      </c>
      <c r="DF10" s="145">
        <v>41678</v>
      </c>
    </row>
    <row r="11" spans="1:113">
      <c r="A11" s="271" t="s">
        <v>750</v>
      </c>
      <c r="B11" s="145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>
        <v>41596</v>
      </c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145"/>
      <c r="AR11" s="145"/>
      <c r="AS11" s="145"/>
      <c r="AT11" s="145"/>
      <c r="AU11" s="145"/>
      <c r="AV11" s="145"/>
      <c r="AW11" s="145"/>
      <c r="AX11" s="145"/>
      <c r="AY11" s="145"/>
      <c r="AZ11" s="145"/>
      <c r="BA11" s="145"/>
      <c r="BB11" s="145"/>
      <c r="BC11" s="145"/>
      <c r="BD11" s="145"/>
      <c r="BE11" s="145"/>
      <c r="BF11" s="145"/>
      <c r="BG11" s="145"/>
      <c r="BH11" s="145"/>
      <c r="BI11" s="145"/>
      <c r="BJ11" s="145"/>
      <c r="BK11" s="145"/>
      <c r="BL11" s="145"/>
      <c r="BM11" s="145"/>
      <c r="BN11" s="145"/>
      <c r="BO11" s="145"/>
      <c r="BP11" s="145"/>
      <c r="BQ11" s="145"/>
      <c r="BR11" s="145"/>
      <c r="BS11" s="145"/>
      <c r="BT11" s="145"/>
      <c r="BU11" s="145"/>
      <c r="BV11" s="145"/>
      <c r="BW11" s="145"/>
      <c r="BX11" s="145"/>
      <c r="BY11" s="145"/>
      <c r="BZ11" s="145"/>
      <c r="CA11" s="145"/>
      <c r="CB11" s="145"/>
      <c r="CC11" s="145"/>
      <c r="CD11" s="145"/>
      <c r="CE11" s="145">
        <v>41681</v>
      </c>
      <c r="CF11" s="145">
        <v>41649</v>
      </c>
      <c r="CG11" s="145">
        <v>41623</v>
      </c>
      <c r="CH11" s="145">
        <v>41664</v>
      </c>
      <c r="CI11" s="145"/>
      <c r="CJ11" s="145"/>
      <c r="CK11" s="145"/>
      <c r="CL11" s="145"/>
      <c r="CM11" s="145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145"/>
      <c r="DC11" s="145"/>
      <c r="DD11" s="145"/>
      <c r="DE11" s="145">
        <v>41682</v>
      </c>
      <c r="DF11" s="145">
        <v>41682</v>
      </c>
    </row>
    <row r="12" spans="1:113">
      <c r="A12" s="271" t="s">
        <v>752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>
        <v>41668</v>
      </c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5"/>
      <c r="AP12" s="145"/>
      <c r="AQ12" s="145"/>
      <c r="AR12" s="145"/>
      <c r="AS12" s="145"/>
      <c r="AT12" s="145"/>
      <c r="AU12" s="145"/>
      <c r="AV12" s="145"/>
      <c r="AW12" s="145"/>
      <c r="AX12" s="145"/>
      <c r="AY12" s="145"/>
      <c r="AZ12" s="145"/>
      <c r="BA12" s="145"/>
      <c r="BB12" s="145"/>
      <c r="BC12" s="145"/>
      <c r="BD12" s="145"/>
      <c r="BE12" s="145"/>
      <c r="BF12" s="145"/>
      <c r="BG12" s="145"/>
      <c r="BH12" s="145"/>
      <c r="BI12" s="145"/>
      <c r="BJ12" s="145"/>
      <c r="BK12" s="145"/>
      <c r="BL12" s="145"/>
      <c r="BM12" s="145"/>
      <c r="BN12" s="145"/>
      <c r="BO12" s="145"/>
      <c r="BP12" s="145"/>
      <c r="BQ12" s="145"/>
      <c r="BR12" s="145"/>
      <c r="BS12" s="145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/>
      <c r="CD12" s="145"/>
      <c r="CE12" s="145">
        <v>41676</v>
      </c>
      <c r="CF12" s="145">
        <v>41558</v>
      </c>
      <c r="CG12" s="145">
        <v>41648</v>
      </c>
      <c r="CH12" s="145">
        <v>41558</v>
      </c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>
        <v>41544</v>
      </c>
      <c r="DF12" s="145">
        <v>41676</v>
      </c>
    </row>
    <row r="13" spans="1:113">
      <c r="A13" s="270" t="s">
        <v>30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5"/>
      <c r="AQ13" s="145"/>
      <c r="AR13" s="145"/>
      <c r="AS13" s="145"/>
      <c r="AT13" s="145"/>
      <c r="AU13" s="145"/>
      <c r="AV13" s="145"/>
      <c r="AW13" s="145"/>
      <c r="AX13" s="145"/>
      <c r="AY13" s="145"/>
      <c r="AZ13" s="145"/>
      <c r="BA13" s="145"/>
      <c r="BB13" s="145"/>
      <c r="BC13" s="145"/>
      <c r="BD13" s="145"/>
      <c r="BE13" s="145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5"/>
      <c r="BS13" s="145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5"/>
      <c r="CG13" s="145"/>
      <c r="CH13" s="145"/>
      <c r="CI13" s="145">
        <v>41702</v>
      </c>
      <c r="CJ13" s="145">
        <v>41698</v>
      </c>
      <c r="CK13" s="145">
        <v>41674</v>
      </c>
      <c r="CL13" s="145"/>
      <c r="CM13" s="145"/>
      <c r="CN13" s="145">
        <v>41410</v>
      </c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>
        <v>41702</v>
      </c>
      <c r="DB13" s="145">
        <v>41674</v>
      </c>
      <c r="DC13" s="145"/>
      <c r="DD13" s="145"/>
      <c r="DE13" s="145"/>
      <c r="DF13" s="145">
        <v>41702</v>
      </c>
    </row>
    <row r="14" spans="1:113">
      <c r="A14" s="271" t="s">
        <v>748</v>
      </c>
      <c r="B14" s="145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  <c r="AH14" s="145"/>
      <c r="AI14" s="145"/>
      <c r="AJ14" s="145"/>
      <c r="AK14" s="145"/>
      <c r="AL14" s="145"/>
      <c r="AM14" s="145"/>
      <c r="AN14" s="145"/>
      <c r="AO14" s="145"/>
      <c r="AP14" s="145"/>
      <c r="AQ14" s="145"/>
      <c r="AR14" s="145"/>
      <c r="AS14" s="145"/>
      <c r="AT14" s="145"/>
      <c r="AU14" s="145"/>
      <c r="AV14" s="145"/>
      <c r="AW14" s="145"/>
      <c r="AX14" s="145"/>
      <c r="AY14" s="145"/>
      <c r="AZ14" s="145"/>
      <c r="BA14" s="145"/>
      <c r="BB14" s="145"/>
      <c r="BC14" s="145"/>
      <c r="BD14" s="145"/>
      <c r="BE14" s="145"/>
      <c r="BF14" s="145"/>
      <c r="BG14" s="145"/>
      <c r="BH14" s="145"/>
      <c r="BI14" s="145"/>
      <c r="BJ14" s="145"/>
      <c r="BK14" s="145"/>
      <c r="BL14" s="145"/>
      <c r="BM14" s="145"/>
      <c r="BN14" s="145"/>
      <c r="BO14" s="145"/>
      <c r="BP14" s="145"/>
      <c r="BQ14" s="145"/>
      <c r="BR14" s="145"/>
      <c r="BS14" s="145"/>
      <c r="BT14" s="145"/>
      <c r="BU14" s="145"/>
      <c r="BV14" s="145"/>
      <c r="BW14" s="145"/>
      <c r="BX14" s="145"/>
      <c r="BY14" s="145"/>
      <c r="BZ14" s="145"/>
      <c r="CA14" s="145"/>
      <c r="CB14" s="145"/>
      <c r="CC14" s="145"/>
      <c r="CD14" s="145"/>
      <c r="CE14" s="145"/>
      <c r="CF14" s="145"/>
      <c r="CG14" s="145"/>
      <c r="CH14" s="145"/>
      <c r="CI14" s="145">
        <v>41702</v>
      </c>
      <c r="CJ14" s="145">
        <v>41698</v>
      </c>
      <c r="CK14" s="145">
        <v>41674</v>
      </c>
      <c r="CL14" s="145"/>
      <c r="CM14" s="145"/>
      <c r="CN14" s="145">
        <v>41410</v>
      </c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>
        <v>41702</v>
      </c>
      <c r="DB14" s="145">
        <v>41674</v>
      </c>
      <c r="DC14" s="145"/>
      <c r="DD14" s="145"/>
      <c r="DE14" s="145"/>
      <c r="DF14" s="145">
        <v>41702</v>
      </c>
    </row>
    <row r="15" spans="1:113">
      <c r="A15" s="271" t="s">
        <v>750</v>
      </c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5"/>
      <c r="AQ15" s="145"/>
      <c r="AR15" s="145"/>
      <c r="AS15" s="145"/>
      <c r="AT15" s="145"/>
      <c r="AU15" s="145"/>
      <c r="AV15" s="145"/>
      <c r="AW15" s="145"/>
      <c r="AX15" s="145"/>
      <c r="AY15" s="145"/>
      <c r="AZ15" s="145"/>
      <c r="BA15" s="145"/>
      <c r="BB15" s="145"/>
      <c r="BC15" s="145"/>
      <c r="BD15" s="145"/>
      <c r="BE15" s="145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5"/>
      <c r="BS15" s="145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5"/>
      <c r="CG15" s="145"/>
      <c r="CH15" s="145"/>
      <c r="CI15" s="145">
        <v>41681</v>
      </c>
      <c r="CJ15" s="145">
        <v>41698</v>
      </c>
      <c r="CK15" s="145">
        <v>41621</v>
      </c>
      <c r="CL15" s="145"/>
      <c r="CM15" s="145"/>
      <c r="CN15" s="145">
        <v>41404</v>
      </c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>
        <v>41584</v>
      </c>
      <c r="DB15" s="145">
        <v>41624</v>
      </c>
      <c r="DC15" s="145"/>
      <c r="DD15" s="145"/>
      <c r="DE15" s="145"/>
      <c r="DF15" s="145">
        <v>41698</v>
      </c>
    </row>
    <row r="16" spans="1:113">
      <c r="A16" s="271" t="s">
        <v>752</v>
      </c>
      <c r="B16" s="145"/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  <c r="AH16" s="145"/>
      <c r="AI16" s="145"/>
      <c r="AJ16" s="145"/>
      <c r="AK16" s="145"/>
      <c r="AL16" s="145"/>
      <c r="AM16" s="145"/>
      <c r="AN16" s="145"/>
      <c r="AO16" s="145"/>
      <c r="AP16" s="145"/>
      <c r="AQ16" s="145"/>
      <c r="AR16" s="145"/>
      <c r="AS16" s="145"/>
      <c r="AT16" s="145"/>
      <c r="AU16" s="145"/>
      <c r="AV16" s="145"/>
      <c r="AW16" s="145"/>
      <c r="AX16" s="145"/>
      <c r="AY16" s="145"/>
      <c r="AZ16" s="145"/>
      <c r="BA16" s="145"/>
      <c r="BB16" s="145"/>
      <c r="BC16" s="145"/>
      <c r="BD16" s="145"/>
      <c r="BE16" s="145"/>
      <c r="BF16" s="145"/>
      <c r="BG16" s="145"/>
      <c r="BH16" s="145"/>
      <c r="BI16" s="145"/>
      <c r="BJ16" s="145"/>
      <c r="BK16" s="145"/>
      <c r="BL16" s="145"/>
      <c r="BM16" s="145"/>
      <c r="BN16" s="145"/>
      <c r="BO16" s="145"/>
      <c r="BP16" s="145"/>
      <c r="BQ16" s="145"/>
      <c r="BR16" s="145"/>
      <c r="BS16" s="145"/>
      <c r="BT16" s="145"/>
      <c r="BU16" s="145"/>
      <c r="BV16" s="145"/>
      <c r="BW16" s="145"/>
      <c r="BX16" s="145"/>
      <c r="BY16" s="145"/>
      <c r="BZ16" s="145"/>
      <c r="CA16" s="145"/>
      <c r="CB16" s="145"/>
      <c r="CC16" s="145"/>
      <c r="CD16" s="145"/>
      <c r="CE16" s="145"/>
      <c r="CF16" s="145"/>
      <c r="CG16" s="145"/>
      <c r="CH16" s="145"/>
      <c r="CI16" s="145">
        <v>41702</v>
      </c>
      <c r="CJ16" s="145">
        <v>41698</v>
      </c>
      <c r="CK16" s="145">
        <v>41632</v>
      </c>
      <c r="CL16" s="145"/>
      <c r="CM16" s="145"/>
      <c r="CN16" s="145">
        <v>41383</v>
      </c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>
        <v>41563</v>
      </c>
      <c r="DB16" s="145">
        <v>41632</v>
      </c>
      <c r="DC16" s="145"/>
      <c r="DD16" s="145"/>
      <c r="DE16" s="145"/>
      <c r="DF16" s="145">
        <v>41702</v>
      </c>
    </row>
    <row r="17" spans="1:110">
      <c r="A17" s="270" t="s">
        <v>32</v>
      </c>
      <c r="B17" s="145"/>
      <c r="C17" s="145"/>
      <c r="D17" s="145">
        <v>41698</v>
      </c>
      <c r="E17" s="145"/>
      <c r="F17" s="145">
        <v>41698</v>
      </c>
      <c r="G17" s="145">
        <v>41688</v>
      </c>
      <c r="H17" s="145">
        <v>41688</v>
      </c>
      <c r="I17" s="145">
        <v>41688</v>
      </c>
      <c r="J17" s="145">
        <v>41683</v>
      </c>
      <c r="K17" s="145"/>
      <c r="L17" s="145"/>
      <c r="M17" s="145">
        <v>41668</v>
      </c>
      <c r="N17" s="145"/>
      <c r="O17" s="145">
        <v>41663</v>
      </c>
      <c r="P17" s="145"/>
      <c r="Q17" s="145"/>
      <c r="R17" s="145"/>
      <c r="S17" s="145"/>
      <c r="T17" s="145"/>
      <c r="U17" s="145">
        <v>41648</v>
      </c>
      <c r="V17" s="145"/>
      <c r="W17" s="145"/>
      <c r="X17" s="145"/>
      <c r="Y17" s="145"/>
      <c r="Z17" s="145"/>
      <c r="AA17" s="145"/>
      <c r="AB17" s="145">
        <v>41513</v>
      </c>
      <c r="AC17" s="145"/>
      <c r="AD17" s="145"/>
      <c r="AE17" s="145"/>
      <c r="AF17" s="145"/>
      <c r="AG17" s="145"/>
      <c r="AH17" s="145"/>
      <c r="AI17" s="145"/>
      <c r="AJ17" s="145"/>
      <c r="AK17" s="145">
        <v>41680</v>
      </c>
      <c r="AL17" s="145">
        <v>41655</v>
      </c>
      <c r="AM17" s="145">
        <v>41523</v>
      </c>
      <c r="AN17" s="145">
        <v>41702</v>
      </c>
      <c r="AO17" s="145">
        <v>41565</v>
      </c>
      <c r="AP17" s="145">
        <v>41702</v>
      </c>
      <c r="AQ17" s="145">
        <v>41702</v>
      </c>
      <c r="AR17" s="145">
        <v>41591</v>
      </c>
      <c r="AS17" s="145">
        <v>41702</v>
      </c>
      <c r="AT17" s="145">
        <v>41502</v>
      </c>
      <c r="AU17" s="145">
        <v>41536</v>
      </c>
      <c r="AV17" s="145">
        <v>41563</v>
      </c>
      <c r="AW17" s="145">
        <v>41563</v>
      </c>
      <c r="AX17" s="145">
        <v>41495</v>
      </c>
      <c r="AY17" s="145">
        <v>41091</v>
      </c>
      <c r="AZ17" s="145">
        <v>41122</v>
      </c>
      <c r="BA17" s="145">
        <v>41122</v>
      </c>
      <c r="BB17" s="145">
        <v>41122</v>
      </c>
      <c r="BC17" s="145">
        <v>41122</v>
      </c>
      <c r="BD17" s="145">
        <v>41122</v>
      </c>
      <c r="BE17" s="145">
        <v>39873</v>
      </c>
      <c r="BF17" s="145">
        <v>40391</v>
      </c>
      <c r="BG17" s="145">
        <v>40391</v>
      </c>
      <c r="BH17" s="145">
        <v>40269</v>
      </c>
      <c r="BI17" s="145">
        <v>39692</v>
      </c>
      <c r="BJ17" s="145">
        <v>39692</v>
      </c>
      <c r="BK17" s="145">
        <v>39692</v>
      </c>
      <c r="BL17" s="145">
        <v>40210</v>
      </c>
      <c r="BM17" s="145">
        <v>41334</v>
      </c>
      <c r="BN17" s="145">
        <v>41456</v>
      </c>
      <c r="BO17" s="145">
        <v>41122</v>
      </c>
      <c r="BP17" s="145">
        <v>41122</v>
      </c>
      <c r="BQ17" s="145">
        <v>41122</v>
      </c>
      <c r="BR17" s="145">
        <v>41275</v>
      </c>
      <c r="BS17" s="145">
        <v>41275</v>
      </c>
      <c r="BT17" s="145">
        <v>40660</v>
      </c>
      <c r="BU17" s="145">
        <v>40634</v>
      </c>
      <c r="BV17" s="145"/>
      <c r="BW17" s="145"/>
      <c r="BX17" s="145"/>
      <c r="BY17" s="145"/>
      <c r="BZ17" s="145"/>
      <c r="CA17" s="145">
        <v>41702</v>
      </c>
      <c r="CB17" s="145">
        <v>41275</v>
      </c>
      <c r="CC17" s="145">
        <v>41275</v>
      </c>
      <c r="CD17" s="145">
        <v>41690</v>
      </c>
      <c r="CE17" s="145">
        <v>41681</v>
      </c>
      <c r="CF17" s="145">
        <v>41673</v>
      </c>
      <c r="CG17" s="145">
        <v>41678</v>
      </c>
      <c r="CH17" s="145">
        <v>41664</v>
      </c>
      <c r="CI17" s="145">
        <v>41702</v>
      </c>
      <c r="CJ17" s="145">
        <v>41698</v>
      </c>
      <c r="CK17" s="145">
        <v>41674</v>
      </c>
      <c r="CL17" s="145"/>
      <c r="CM17" s="145"/>
      <c r="CN17" s="145">
        <v>41410</v>
      </c>
      <c r="CO17" s="145"/>
      <c r="CP17" s="145"/>
      <c r="CQ17" s="145"/>
      <c r="CR17" s="145"/>
      <c r="CS17" s="145"/>
      <c r="CT17" s="145"/>
      <c r="CU17" s="145"/>
      <c r="CV17" s="145"/>
      <c r="CW17" s="145">
        <v>41698</v>
      </c>
      <c r="CX17" s="145">
        <v>41698</v>
      </c>
      <c r="CY17" s="145"/>
      <c r="CZ17" s="145">
        <v>41702</v>
      </c>
      <c r="DA17" s="145">
        <v>41702</v>
      </c>
      <c r="DB17" s="145">
        <v>41674</v>
      </c>
      <c r="DC17" s="145"/>
      <c r="DD17" s="145">
        <v>41579</v>
      </c>
      <c r="DE17" s="145">
        <v>41682</v>
      </c>
      <c r="DF17" s="145">
        <v>41702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dimension ref="A1:N702"/>
  <sheetViews>
    <sheetView topLeftCell="E5" workbookViewId="0">
      <selection activeCell="F11" sqref="F10:F11"/>
    </sheetView>
  </sheetViews>
  <sheetFormatPr defaultRowHeight="12.75"/>
  <cols>
    <col min="1" max="1" width="9.140625" style="110"/>
    <col min="2" max="2" width="9.85546875" bestFit="1" customWidth="1"/>
    <col min="3" max="3" width="7.140625" style="110" bestFit="1" customWidth="1"/>
    <col min="4" max="4" width="16.28515625" bestFit="1" customWidth="1"/>
    <col min="5" max="5" width="28.7109375" style="110" bestFit="1" customWidth="1"/>
    <col min="6" max="6" width="36.7109375" bestFit="1" customWidth="1"/>
    <col min="7" max="7" width="11.5703125" style="110" bestFit="1" customWidth="1"/>
    <col min="8" max="8" width="14.42578125" bestFit="1" customWidth="1"/>
    <col min="9" max="9" width="11.28515625" style="96" bestFit="1" customWidth="1"/>
    <col min="10" max="10" width="16.85546875" style="96" bestFit="1" customWidth="1"/>
    <col min="11" max="11" width="11.28515625" style="110" bestFit="1" customWidth="1"/>
    <col min="12" max="12" width="15" bestFit="1" customWidth="1"/>
    <col min="13" max="13" width="13.7109375" bestFit="1" customWidth="1"/>
    <col min="14" max="14" width="17.28515625" bestFit="1" customWidth="1"/>
    <col min="16" max="16" width="9.5703125" bestFit="1" customWidth="1"/>
  </cols>
  <sheetData>
    <row r="1" spans="1:14">
      <c r="A1" s="110" t="s">
        <v>591</v>
      </c>
      <c r="B1" t="s">
        <v>35</v>
      </c>
      <c r="C1" s="110" t="s">
        <v>1055</v>
      </c>
      <c r="D1" t="s">
        <v>400</v>
      </c>
      <c r="E1" s="110" t="s">
        <v>1054</v>
      </c>
      <c r="F1" t="s">
        <v>98</v>
      </c>
      <c r="G1" s="110" t="s">
        <v>398</v>
      </c>
      <c r="H1" t="s">
        <v>99</v>
      </c>
      <c r="I1" s="96" t="s">
        <v>1056</v>
      </c>
      <c r="J1" s="96" t="s">
        <v>83</v>
      </c>
      <c r="K1" s="110" t="s">
        <v>1057</v>
      </c>
      <c r="L1" t="s">
        <v>401</v>
      </c>
      <c r="M1" t="s">
        <v>100</v>
      </c>
      <c r="N1" t="s">
        <v>101</v>
      </c>
    </row>
    <row r="2" spans="1:14" hidden="1">
      <c r="B2" t="s">
        <v>751</v>
      </c>
      <c r="C2" s="110" t="str">
        <f>RIGHT(B2,3)</f>
        <v>119</v>
      </c>
      <c r="D2" t="s">
        <v>549</v>
      </c>
      <c r="E2" s="110" t="str">
        <f>LEFT(F2,22)</f>
        <v>ROD END BEARING</v>
      </c>
      <c r="F2" t="s">
        <v>341</v>
      </c>
      <c r="G2" s="110" t="str">
        <f>RIGHT(H2,9)</f>
        <v>012700706</v>
      </c>
      <c r="H2" t="s">
        <v>342</v>
      </c>
      <c r="I2" s="110">
        <f>Table__10.2.1.2_1_4AHB_v_gen_TBO[[#This Row],[REALDUE]]-Table__10.2.1.2_1_4AHB_v_gen_TBO[[#This Row],[EI_BEG_AGE]]</f>
        <v>-3973.9</v>
      </c>
      <c r="J2">
        <v>3973.9</v>
      </c>
      <c r="K2" s="110" t="str">
        <f>IF(Table__10.2.1.2_1_4AHB_v_gen_TBO[[#This Row],[NO_OVHLS]]="RC","RC","LC")</f>
        <v>RC</v>
      </c>
      <c r="L2" t="s">
        <v>405</v>
      </c>
      <c r="N2" t="b">
        <v>0</v>
      </c>
    </row>
    <row r="3" spans="1:14" hidden="1">
      <c r="B3" t="s">
        <v>753</v>
      </c>
      <c r="C3" s="110" t="str">
        <f>RIGHT(B3,3)</f>
        <v>141</v>
      </c>
      <c r="D3" t="s">
        <v>561</v>
      </c>
      <c r="E3" s="110" t="str">
        <f>LEFT(F3,22)</f>
        <v>LATERAL LINK</v>
      </c>
      <c r="F3" t="s">
        <v>358</v>
      </c>
      <c r="G3" s="110" t="str">
        <f>RIGHT(H3,9)</f>
        <v>012629482</v>
      </c>
      <c r="H3" t="s">
        <v>359</v>
      </c>
      <c r="I3" s="110">
        <f>Table__10.2.1.2_1_4AHB_v_gen_TBO[[#This Row],[REALDUE]]-Table__10.2.1.2_1_4AHB_v_gen_TBO[[#This Row],[EI_BEG_AGE]]</f>
        <v>-225.5</v>
      </c>
      <c r="J3">
        <v>4733.5</v>
      </c>
      <c r="K3" s="110" t="str">
        <f>IF(Table__10.2.1.2_1_4AHB_v_gen_TBO[[#This Row],[NO_OVHLS]]="RC","RC","LC")</f>
        <v>RC</v>
      </c>
      <c r="L3" t="s">
        <v>405</v>
      </c>
      <c r="M3" t="s">
        <v>205</v>
      </c>
      <c r="N3" t="b">
        <v>0</v>
      </c>
    </row>
    <row r="4" spans="1:14" hidden="1">
      <c r="B4" t="s">
        <v>753</v>
      </c>
      <c r="C4" s="110" t="str">
        <f>RIGHT(B4,3)</f>
        <v>141</v>
      </c>
      <c r="D4" t="s">
        <v>561</v>
      </c>
      <c r="E4" s="110" t="str">
        <f>LEFT(F4,22)</f>
        <v>LATERAL LINK</v>
      </c>
      <c r="F4" t="s">
        <v>358</v>
      </c>
      <c r="G4" s="110" t="str">
        <f>RIGHT(H4,9)</f>
        <v>012629482</v>
      </c>
      <c r="H4" t="s">
        <v>359</v>
      </c>
      <c r="I4" s="110">
        <f>Table__10.2.1.2_1_4AHB_v_gen_TBO[[#This Row],[REALDUE]]-Table__10.2.1.2_1_4AHB_v_gen_TBO[[#This Row],[EI_BEG_AGE]]</f>
        <v>-225.5</v>
      </c>
      <c r="J4">
        <v>4733.5</v>
      </c>
      <c r="K4" s="110" t="str">
        <f>IF(Table__10.2.1.2_1_4AHB_v_gen_TBO[[#This Row],[NO_OVHLS]]="RC","RC","LC")</f>
        <v>RC</v>
      </c>
      <c r="L4" t="s">
        <v>405</v>
      </c>
      <c r="M4" t="s">
        <v>205</v>
      </c>
      <c r="N4" t="b">
        <v>0</v>
      </c>
    </row>
    <row r="5" spans="1:14">
      <c r="B5" t="s">
        <v>749</v>
      </c>
      <c r="C5" s="110" t="str">
        <f>RIGHT(B5,3)</f>
        <v>187</v>
      </c>
      <c r="D5" t="s">
        <v>449</v>
      </c>
      <c r="E5" s="110" t="str">
        <f>LEFT(F5,22)</f>
        <v>MAIN ROTOR BLADE</v>
      </c>
      <c r="F5" t="s">
        <v>181</v>
      </c>
      <c r="G5" s="110" t="str">
        <f>RIGHT(H5,9)</f>
        <v>013320702</v>
      </c>
      <c r="H5" t="s">
        <v>183</v>
      </c>
      <c r="I5" s="110">
        <f>Table__10.2.1.2_1_4AHB_v_gen_TBO[[#This Row],[REALDUE]]-Table__10.2.1.2_1_4AHB_v_gen_TBO[[#This Row],[EI_BEG_AGE]]</f>
        <v>142.30000000000018</v>
      </c>
      <c r="J5">
        <v>5314.7</v>
      </c>
      <c r="K5" s="110" t="str">
        <f>IF(Table__10.2.1.2_1_4AHB_v_gen_TBO[[#This Row],[NO_OVHLS]]="RC","RC","LC")</f>
        <v>RC</v>
      </c>
      <c r="L5" t="s">
        <v>405</v>
      </c>
      <c r="M5" t="s">
        <v>982</v>
      </c>
      <c r="N5" t="b">
        <v>0</v>
      </c>
    </row>
    <row r="6" spans="1:14">
      <c r="B6" t="s">
        <v>753</v>
      </c>
      <c r="C6" s="110" t="str">
        <f>RIGHT(B6,3)</f>
        <v>141</v>
      </c>
      <c r="D6" t="s">
        <v>446</v>
      </c>
      <c r="E6" s="110" t="str">
        <f>LEFT(F6,22)</f>
        <v>LEAD LAG DAMPER</v>
      </c>
      <c r="F6" t="s">
        <v>177</v>
      </c>
      <c r="G6" s="110" t="str">
        <f>RIGHT(H6,9)</f>
        <v>012198658</v>
      </c>
      <c r="H6" t="s">
        <v>178</v>
      </c>
      <c r="I6" s="110">
        <f>Table__10.2.1.2_1_4AHB_v_gen_TBO[[#This Row],[REALDUE]]-Table__10.2.1.2_1_4AHB_v_gen_TBO[[#This Row],[EI_BEG_AGE]]</f>
        <v>152.5</v>
      </c>
      <c r="J6">
        <v>4733.5</v>
      </c>
      <c r="K6" s="110" t="str">
        <f>IF(Table__10.2.1.2_1_4AHB_v_gen_TBO[[#This Row],[NO_OVHLS]]="RC","RC","LC")</f>
        <v>RC</v>
      </c>
      <c r="L6" t="s">
        <v>405</v>
      </c>
      <c r="M6" t="s">
        <v>956</v>
      </c>
      <c r="N6" t="b">
        <v>0</v>
      </c>
    </row>
    <row r="7" spans="1:14">
      <c r="B7" t="s">
        <v>753</v>
      </c>
      <c r="C7" s="110" t="str">
        <f>RIGHT(B7,3)</f>
        <v>141</v>
      </c>
      <c r="D7" t="s">
        <v>446</v>
      </c>
      <c r="E7" s="110" t="str">
        <f>LEFT(F7,22)</f>
        <v>LEAD LAG DAMPER</v>
      </c>
      <c r="F7" t="s">
        <v>177</v>
      </c>
      <c r="G7" s="110" t="str">
        <f>RIGHT(H7,9)</f>
        <v>012198658</v>
      </c>
      <c r="H7" t="s">
        <v>178</v>
      </c>
      <c r="I7" s="110">
        <f>Table__10.2.1.2_1_4AHB_v_gen_TBO[[#This Row],[REALDUE]]-Table__10.2.1.2_1_4AHB_v_gen_TBO[[#This Row],[EI_BEG_AGE]]</f>
        <v>152.5</v>
      </c>
      <c r="J7">
        <v>4733.5</v>
      </c>
      <c r="K7" s="110" t="str">
        <f>IF(Table__10.2.1.2_1_4AHB_v_gen_TBO[[#This Row],[NO_OVHLS]]="RC","RC","LC")</f>
        <v>RC</v>
      </c>
      <c r="L7" t="s">
        <v>405</v>
      </c>
      <c r="M7" t="s">
        <v>956</v>
      </c>
      <c r="N7" t="b">
        <v>0</v>
      </c>
    </row>
    <row r="8" spans="1:14">
      <c r="B8" t="s">
        <v>749</v>
      </c>
      <c r="C8" s="110" t="str">
        <f>RIGHT(B8,3)</f>
        <v>187</v>
      </c>
      <c r="D8" t="s">
        <v>560</v>
      </c>
      <c r="E8" s="110" t="str">
        <f>LEFT(F8,22)</f>
        <v>LATERAL LINK</v>
      </c>
      <c r="F8" t="s">
        <v>358</v>
      </c>
      <c r="G8" s="110" t="str">
        <f>RIGHT(H8,9)</f>
        <v>012629482</v>
      </c>
      <c r="H8" t="s">
        <v>359</v>
      </c>
      <c r="I8" s="110">
        <f>Table__10.2.1.2_1_4AHB_v_gen_TBO[[#This Row],[REALDUE]]-Table__10.2.1.2_1_4AHB_v_gen_TBO[[#This Row],[EI_BEG_AGE]]</f>
        <v>208.30000000000018</v>
      </c>
      <c r="J8">
        <v>5314.7</v>
      </c>
      <c r="K8" s="110" t="str">
        <f>IF(Table__10.2.1.2_1_4AHB_v_gen_TBO[[#This Row],[NO_OVHLS]]="RC","RC","LC")</f>
        <v>RC</v>
      </c>
      <c r="L8" t="s">
        <v>405</v>
      </c>
      <c r="M8" t="s">
        <v>842</v>
      </c>
      <c r="N8" t="b">
        <v>0</v>
      </c>
    </row>
    <row r="9" spans="1:14">
      <c r="B9" t="s">
        <v>753</v>
      </c>
      <c r="C9" s="110" t="str">
        <f>RIGHT(B9,3)</f>
        <v>141</v>
      </c>
      <c r="D9" t="s">
        <v>443</v>
      </c>
      <c r="E9" s="110" t="str">
        <f>LEFT(F9,22)</f>
        <v>TRUNNION, DAMPER</v>
      </c>
      <c r="F9" t="s">
        <v>171</v>
      </c>
      <c r="G9" s="110" t="str">
        <f>RIGHT(H9,9)</f>
        <v>011705243</v>
      </c>
      <c r="H9" t="s">
        <v>172</v>
      </c>
      <c r="I9" s="110">
        <f>Table__10.2.1.2_1_4AHB_v_gen_TBO[[#This Row],[REALDUE]]-Table__10.2.1.2_1_4AHB_v_gen_TBO[[#This Row],[EI_BEG_AGE]]</f>
        <v>222.5</v>
      </c>
      <c r="J9">
        <v>4733.5</v>
      </c>
      <c r="K9" s="110" t="str">
        <f>IF(Table__10.2.1.2_1_4AHB_v_gen_TBO[[#This Row],[NO_OVHLS]]="RC","RC","LC")</f>
        <v>RC</v>
      </c>
      <c r="L9" t="s">
        <v>405</v>
      </c>
      <c r="M9" t="s">
        <v>974</v>
      </c>
      <c r="N9" t="b">
        <v>0</v>
      </c>
    </row>
    <row r="10" spans="1:14">
      <c r="B10" t="s">
        <v>751</v>
      </c>
      <c r="C10" s="110" t="str">
        <f>RIGHT(B10,3)</f>
        <v>119</v>
      </c>
      <c r="D10" t="s">
        <v>485</v>
      </c>
      <c r="E10" s="110" t="str">
        <f>LEFT(F10,22)</f>
        <v>ACC MOD CLUTCH</v>
      </c>
      <c r="F10" t="s">
        <v>248</v>
      </c>
      <c r="G10" s="110" t="str">
        <f>RIGHT(H10,9)</f>
        <v>015217009</v>
      </c>
      <c r="H10" t="s">
        <v>249</v>
      </c>
      <c r="I10" s="110">
        <f>Table__10.2.1.2_1_4AHB_v_gen_TBO[[#This Row],[REALDUE]]-Table__10.2.1.2_1_4AHB_v_gen_TBO[[#This Row],[EI_BEG_AGE]]</f>
        <v>234.09999999999991</v>
      </c>
      <c r="J10">
        <v>3973.9</v>
      </c>
      <c r="K10" s="110" t="str">
        <f>IF(Table__10.2.1.2_1_4AHB_v_gen_TBO[[#This Row],[NO_OVHLS]]="RC","RC","LC")</f>
        <v>RC</v>
      </c>
      <c r="L10" t="s">
        <v>405</v>
      </c>
      <c r="M10" t="s">
        <v>853</v>
      </c>
      <c r="N10" t="b">
        <v>0</v>
      </c>
    </row>
    <row r="11" spans="1:14">
      <c r="B11" t="s">
        <v>751</v>
      </c>
      <c r="C11" s="110" t="str">
        <f>RIGHT(B11,3)</f>
        <v>119</v>
      </c>
      <c r="D11" t="s">
        <v>485</v>
      </c>
      <c r="E11" s="110" t="str">
        <f>LEFT(F11,22)</f>
        <v>ACC MOD CLUTCH, SECOND</v>
      </c>
      <c r="F11" t="s">
        <v>251</v>
      </c>
      <c r="G11" s="110" t="str">
        <f>RIGHT(H11,9)</f>
        <v>015217009</v>
      </c>
      <c r="H11" t="s">
        <v>249</v>
      </c>
      <c r="I11" s="96">
        <f>Table__10.2.1.2_1_4AHB_v_gen_TBO[[#This Row],[REALDUE]]-Table__10.2.1.2_1_4AHB_v_gen_TBO[[#This Row],[EI_BEG_AGE]]</f>
        <v>234.09999999999991</v>
      </c>
      <c r="J11" s="96">
        <v>3973.9</v>
      </c>
      <c r="K11" s="110" t="str">
        <f>IF(Table__10.2.1.2_1_4AHB_v_gen_TBO[[#This Row],[NO_OVHLS]]="RC","RC","LC")</f>
        <v>RC</v>
      </c>
      <c r="L11" t="s">
        <v>405</v>
      </c>
      <c r="M11" t="s">
        <v>853</v>
      </c>
      <c r="N11" t="b">
        <v>0</v>
      </c>
    </row>
    <row r="12" spans="1:14">
      <c r="B12" t="s">
        <v>749</v>
      </c>
      <c r="C12" s="110" t="str">
        <f>RIGHT(B12,3)</f>
        <v>187</v>
      </c>
      <c r="D12" t="s">
        <v>434</v>
      </c>
      <c r="E12" s="110" t="str">
        <f>LEFT(F12,22)</f>
        <v>STRETCHED STRAP</v>
      </c>
      <c r="F12" t="s">
        <v>151</v>
      </c>
      <c r="G12" s="110" t="str">
        <f>RIGHT(H12,9)</f>
        <v>015017715</v>
      </c>
      <c r="H12" t="s">
        <v>152</v>
      </c>
      <c r="I12" s="96">
        <f>Table__10.2.1.2_1_4AHB_v_gen_TBO[[#This Row],[REALDUE]]-Table__10.2.1.2_1_4AHB_v_gen_TBO[[#This Row],[EI_BEG_AGE]]</f>
        <v>252.30000000000018</v>
      </c>
      <c r="J12" s="96">
        <v>5314.7</v>
      </c>
      <c r="K12" s="110" t="str">
        <f>IF(Table__10.2.1.2_1_4AHB_v_gen_TBO[[#This Row],[NO_OVHLS]]="RC","RC","LC")</f>
        <v>RC</v>
      </c>
      <c r="L12" t="s">
        <v>405</v>
      </c>
      <c r="M12" t="s">
        <v>1024</v>
      </c>
      <c r="N12" t="b">
        <v>0</v>
      </c>
    </row>
    <row r="13" spans="1:14">
      <c r="B13" t="s">
        <v>749</v>
      </c>
      <c r="C13" s="110" t="str">
        <f>RIGHT(B13,3)</f>
        <v>187</v>
      </c>
      <c r="D13" t="s">
        <v>542</v>
      </c>
      <c r="E13" s="110" t="str">
        <f>LEFT(F13,22)</f>
        <v>GENERATOR</v>
      </c>
      <c r="F13" t="s">
        <v>332</v>
      </c>
      <c r="G13" s="110" t="str">
        <f>RIGHT(H13,9)</f>
        <v>014955122</v>
      </c>
      <c r="H13" t="s">
        <v>331</v>
      </c>
      <c r="I13" s="96">
        <f>Table__10.2.1.2_1_4AHB_v_gen_TBO[[#This Row],[REALDUE]]-Table__10.2.1.2_1_4AHB_v_gen_TBO[[#This Row],[EI_BEG_AGE]]</f>
        <v>285.30000000000018</v>
      </c>
      <c r="J13" s="96">
        <v>5314.7</v>
      </c>
      <c r="K13" s="110" t="str">
        <f>IF(Table__10.2.1.2_1_4AHB_v_gen_TBO[[#This Row],[NO_OVHLS]]="RC","RC","LC")</f>
        <v>LC</v>
      </c>
      <c r="L13" t="s">
        <v>427</v>
      </c>
      <c r="M13" t="s">
        <v>1030</v>
      </c>
      <c r="N13" t="b">
        <v>0</v>
      </c>
    </row>
    <row r="14" spans="1:14">
      <c r="B14" t="s">
        <v>749</v>
      </c>
      <c r="C14" s="110" t="str">
        <f>RIGHT(B14,3)</f>
        <v>187</v>
      </c>
      <c r="D14" t="s">
        <v>429</v>
      </c>
      <c r="E14" s="110" t="str">
        <f>LEFT(F14,22)</f>
        <v>MAIN ROTOR HEAD ASSY</v>
      </c>
      <c r="F14" t="s">
        <v>145</v>
      </c>
      <c r="G14" s="110" t="str">
        <f>RIGHT(H14,9)</f>
        <v>015120889</v>
      </c>
      <c r="H14" t="s">
        <v>146</v>
      </c>
      <c r="I14" s="110">
        <f>Table__10.2.1.2_1_4AHB_v_gen_TBO[[#This Row],[REALDUE]]-Table__10.2.1.2_1_4AHB_v_gen_TBO[[#This Row],[EI_BEG_AGE]]</f>
        <v>304.30000000000018</v>
      </c>
      <c r="J14">
        <v>5314.7</v>
      </c>
      <c r="K14" s="110" t="str">
        <f>IF(Table__10.2.1.2_1_4AHB_v_gen_TBO[[#This Row],[NO_OVHLS]]="RC","RC","LC")</f>
        <v>LC</v>
      </c>
      <c r="L14" t="s">
        <v>430</v>
      </c>
      <c r="M14" t="s">
        <v>930</v>
      </c>
      <c r="N14" t="b">
        <v>0</v>
      </c>
    </row>
    <row r="15" spans="1:14">
      <c r="B15" t="s">
        <v>749</v>
      </c>
      <c r="C15" s="110" t="str">
        <f>RIGHT(B15,3)</f>
        <v>187</v>
      </c>
      <c r="D15" t="s">
        <v>439</v>
      </c>
      <c r="E15" s="110" t="str">
        <f>LEFT(F15,22)</f>
        <v>FEATHERING BEARING STU</v>
      </c>
      <c r="F15" t="s">
        <v>162</v>
      </c>
      <c r="G15" s="110" t="str">
        <f>RIGHT(H15,9)</f>
        <v>011634676</v>
      </c>
      <c r="H15" t="s">
        <v>163</v>
      </c>
      <c r="I15" s="96">
        <f>Table__10.2.1.2_1_4AHB_v_gen_TBO[[#This Row],[REALDUE]]-Table__10.2.1.2_1_4AHB_v_gen_TBO[[#This Row],[EI_BEG_AGE]]</f>
        <v>304.30000000000018</v>
      </c>
      <c r="J15" s="96">
        <v>5314.7</v>
      </c>
      <c r="K15" s="110" t="str">
        <f>IF(Table__10.2.1.2_1_4AHB_v_gen_TBO[[#This Row],[NO_OVHLS]]="RC","RC","LC")</f>
        <v>RC</v>
      </c>
      <c r="L15" t="s">
        <v>405</v>
      </c>
      <c r="M15" t="s">
        <v>930</v>
      </c>
      <c r="N15" t="b">
        <v>0</v>
      </c>
    </row>
    <row r="16" spans="1:14">
      <c r="B16" t="s">
        <v>749</v>
      </c>
      <c r="C16" s="110" t="str">
        <f>RIGHT(B16,3)</f>
        <v>187</v>
      </c>
      <c r="D16" t="s">
        <v>439</v>
      </c>
      <c r="E16" s="110" t="str">
        <f>LEFT(F16,22)</f>
        <v>FEATHERING BEARING STU</v>
      </c>
      <c r="F16" t="s">
        <v>162</v>
      </c>
      <c r="G16" s="110" t="str">
        <f>RIGHT(H16,9)</f>
        <v>011634676</v>
      </c>
      <c r="H16" t="s">
        <v>163</v>
      </c>
      <c r="I16" s="96">
        <f>Table__10.2.1.2_1_4AHB_v_gen_TBO[[#This Row],[REALDUE]]-Table__10.2.1.2_1_4AHB_v_gen_TBO[[#This Row],[EI_BEG_AGE]]</f>
        <v>304.30000000000018</v>
      </c>
      <c r="J16" s="96">
        <v>5314.7</v>
      </c>
      <c r="K16" s="110" t="str">
        <f>IF(Table__10.2.1.2_1_4AHB_v_gen_TBO[[#This Row],[NO_OVHLS]]="RC","RC","LC")</f>
        <v>RC</v>
      </c>
      <c r="L16" t="s">
        <v>405</v>
      </c>
      <c r="M16" t="s">
        <v>930</v>
      </c>
      <c r="N16" t="b">
        <v>0</v>
      </c>
    </row>
    <row r="17" spans="2:14">
      <c r="B17" t="s">
        <v>749</v>
      </c>
      <c r="C17" s="110" t="str">
        <f>RIGHT(B17,3)</f>
        <v>187</v>
      </c>
      <c r="D17" t="s">
        <v>444</v>
      </c>
      <c r="E17" s="110" t="str">
        <f>LEFT(F17,22)</f>
        <v>BEARING, UPPER</v>
      </c>
      <c r="F17" t="s">
        <v>173</v>
      </c>
      <c r="G17" s="110" t="str">
        <f>RIGHT(H17,9)</f>
        <v>012154794</v>
      </c>
      <c r="H17" t="s">
        <v>174</v>
      </c>
      <c r="I17" s="96">
        <f>Table__10.2.1.2_1_4AHB_v_gen_TBO[[#This Row],[REALDUE]]-Table__10.2.1.2_1_4AHB_v_gen_TBO[[#This Row],[EI_BEG_AGE]]</f>
        <v>304.30000000000018</v>
      </c>
      <c r="J17" s="96">
        <v>5314.7</v>
      </c>
      <c r="K17" s="110" t="str">
        <f>IF(Table__10.2.1.2_1_4AHB_v_gen_TBO[[#This Row],[NO_OVHLS]]="RC","RC","LC")</f>
        <v>RC</v>
      </c>
      <c r="L17" t="s">
        <v>405</v>
      </c>
      <c r="M17" t="s">
        <v>930</v>
      </c>
      <c r="N17" t="b">
        <v>0</v>
      </c>
    </row>
    <row r="18" spans="2:14">
      <c r="B18" t="s">
        <v>749</v>
      </c>
      <c r="C18" s="110" t="str">
        <f>RIGHT(B18,3)</f>
        <v>187</v>
      </c>
      <c r="D18" t="s">
        <v>451</v>
      </c>
      <c r="E18" s="110" t="str">
        <f>LEFT(F18,22)</f>
        <v>SWEPT TIP CAP</v>
      </c>
      <c r="F18" t="s">
        <v>187</v>
      </c>
      <c r="G18" s="110" t="str">
        <f>RIGHT(H18,9)</f>
        <v>011705256</v>
      </c>
      <c r="H18" t="s">
        <v>188</v>
      </c>
      <c r="I18" s="96">
        <f>Table__10.2.1.2_1_4AHB_v_gen_TBO[[#This Row],[REALDUE]]-Table__10.2.1.2_1_4AHB_v_gen_TBO[[#This Row],[EI_BEG_AGE]]</f>
        <v>365.30000000000018</v>
      </c>
      <c r="J18" s="96">
        <v>5314.7</v>
      </c>
      <c r="K18" s="110" t="str">
        <f>IF(Table__10.2.1.2_1_4AHB_v_gen_TBO[[#This Row],[NO_OVHLS]]="RC","RC","LC")</f>
        <v>RC</v>
      </c>
      <c r="L18" t="s">
        <v>405</v>
      </c>
      <c r="M18" t="s">
        <v>993</v>
      </c>
      <c r="N18" t="b">
        <v>0</v>
      </c>
    </row>
    <row r="19" spans="2:14">
      <c r="B19" t="s">
        <v>753</v>
      </c>
      <c r="C19" s="110" t="str">
        <f>RIGHT(B19,3)</f>
        <v>141</v>
      </c>
      <c r="D19" t="s">
        <v>553</v>
      </c>
      <c r="E19" s="110" t="str">
        <f>LEFT(F19,22)</f>
        <v>ACTUATOR SUPPORT</v>
      </c>
      <c r="F19" t="s">
        <v>349</v>
      </c>
      <c r="G19" s="110" t="str">
        <f>RIGHT(H19,9)</f>
        <v>012629471</v>
      </c>
      <c r="H19" t="s">
        <v>351</v>
      </c>
      <c r="I19" s="96">
        <f>Table__10.2.1.2_1_4AHB_v_gen_TBO[[#This Row],[REALDUE]]-Table__10.2.1.2_1_4AHB_v_gen_TBO[[#This Row],[EI_BEG_AGE]]</f>
        <v>379.5</v>
      </c>
      <c r="J19" s="96">
        <v>4733.5</v>
      </c>
      <c r="K19" s="110" t="str">
        <f>IF(Table__10.2.1.2_1_4AHB_v_gen_TBO[[#This Row],[NO_OVHLS]]="RC","RC","LC")</f>
        <v>RC</v>
      </c>
      <c r="L19" t="s">
        <v>405</v>
      </c>
      <c r="M19" t="s">
        <v>350</v>
      </c>
      <c r="N19" t="b">
        <v>0</v>
      </c>
    </row>
    <row r="20" spans="2:14">
      <c r="B20" t="s">
        <v>753</v>
      </c>
      <c r="C20" s="110" t="str">
        <f>RIGHT(B20,3)</f>
        <v>141</v>
      </c>
      <c r="D20" t="s">
        <v>485</v>
      </c>
      <c r="E20" s="110" t="str">
        <f>LEFT(F20,22)</f>
        <v>ACC MOD CLUTCH</v>
      </c>
      <c r="F20" t="s">
        <v>248</v>
      </c>
      <c r="G20" s="110" t="str">
        <f>RIGHT(H20,9)</f>
        <v>015217009</v>
      </c>
      <c r="H20" t="s">
        <v>249</v>
      </c>
      <c r="I20" s="96">
        <f>Table__10.2.1.2_1_4AHB_v_gen_TBO[[#This Row],[REALDUE]]-Table__10.2.1.2_1_4AHB_v_gen_TBO[[#This Row],[EI_BEG_AGE]]</f>
        <v>389.5</v>
      </c>
      <c r="J20" s="96">
        <v>4733.5</v>
      </c>
      <c r="K20" s="110" t="str">
        <f>IF(Table__10.2.1.2_1_4AHB_v_gen_TBO[[#This Row],[NO_OVHLS]]="RC","RC","LC")</f>
        <v>RC</v>
      </c>
      <c r="L20" t="s">
        <v>405</v>
      </c>
      <c r="M20" t="s">
        <v>852</v>
      </c>
      <c r="N20" t="b">
        <v>0</v>
      </c>
    </row>
    <row r="21" spans="2:14">
      <c r="B21" t="s">
        <v>753</v>
      </c>
      <c r="C21" s="110" t="str">
        <f>RIGHT(B21,3)</f>
        <v>141</v>
      </c>
      <c r="D21" t="s">
        <v>485</v>
      </c>
      <c r="E21" s="110" t="str">
        <f>LEFT(F21,22)</f>
        <v>ACC MOD CLUTCH, SECOND</v>
      </c>
      <c r="F21" t="s">
        <v>251</v>
      </c>
      <c r="G21" s="110" t="str">
        <f>RIGHT(H21,9)</f>
        <v>015217009</v>
      </c>
      <c r="H21" t="s">
        <v>249</v>
      </c>
      <c r="I21" s="96">
        <f>Table__10.2.1.2_1_4AHB_v_gen_TBO[[#This Row],[REALDUE]]-Table__10.2.1.2_1_4AHB_v_gen_TBO[[#This Row],[EI_BEG_AGE]]</f>
        <v>389.5</v>
      </c>
      <c r="J21" s="96">
        <v>4733.5</v>
      </c>
      <c r="K21" s="110" t="str">
        <f>IF(Table__10.2.1.2_1_4AHB_v_gen_TBO[[#This Row],[NO_OVHLS]]="RC","RC","LC")</f>
        <v>RC</v>
      </c>
      <c r="L21" t="s">
        <v>405</v>
      </c>
      <c r="M21" t="s">
        <v>852</v>
      </c>
      <c r="N21" t="b">
        <v>0</v>
      </c>
    </row>
    <row r="22" spans="2:14">
      <c r="B22" t="s">
        <v>749</v>
      </c>
      <c r="C22" s="110" t="str">
        <f>RIGHT(B22,3)</f>
        <v>187</v>
      </c>
      <c r="D22" t="s">
        <v>443</v>
      </c>
      <c r="E22" s="110" t="str">
        <f>LEFT(F22,22)</f>
        <v>TRUNNION, DAMPER</v>
      </c>
      <c r="F22" t="s">
        <v>171</v>
      </c>
      <c r="G22" s="110" t="str">
        <f>RIGHT(H22,9)</f>
        <v>011705243</v>
      </c>
      <c r="H22" t="s">
        <v>172</v>
      </c>
      <c r="I22" s="96">
        <f>Table__10.2.1.2_1_4AHB_v_gen_TBO[[#This Row],[REALDUE]]-Table__10.2.1.2_1_4AHB_v_gen_TBO[[#This Row],[EI_BEG_AGE]]</f>
        <v>429.30000000000018</v>
      </c>
      <c r="J22" s="96">
        <v>5314.7</v>
      </c>
      <c r="K22" s="110" t="str">
        <f>IF(Table__10.2.1.2_1_4AHB_v_gen_TBO[[#This Row],[NO_OVHLS]]="RC","RC","LC")</f>
        <v>RC</v>
      </c>
      <c r="L22" t="s">
        <v>405</v>
      </c>
      <c r="M22" t="s">
        <v>970</v>
      </c>
      <c r="N22" t="b">
        <v>0</v>
      </c>
    </row>
    <row r="23" spans="2:14">
      <c r="B23" t="s">
        <v>753</v>
      </c>
      <c r="C23" s="110" t="str">
        <f>RIGHT(B23,3)</f>
        <v>141</v>
      </c>
      <c r="D23" t="s">
        <v>583</v>
      </c>
      <c r="E23" s="110" t="str">
        <f>LEFT(F23,22)</f>
        <v>APU CLUTCH</v>
      </c>
      <c r="F23" t="s">
        <v>387</v>
      </c>
      <c r="G23" s="110" t="str">
        <f>RIGHT(H23,9)</f>
        <v>015158483</v>
      </c>
      <c r="H23" t="s">
        <v>388</v>
      </c>
      <c r="I23" s="96">
        <f>Table__10.2.1.2_1_4AHB_v_gen_TBO[[#This Row],[REALDUE]]-Table__10.2.1.2_1_4AHB_v_gen_TBO[[#This Row],[EI_BEG_AGE]]</f>
        <v>500.5</v>
      </c>
      <c r="J23" s="96">
        <v>4733.5</v>
      </c>
      <c r="K23" s="110" t="str">
        <f>IF(Table__10.2.1.2_1_4AHB_v_gen_TBO[[#This Row],[NO_OVHLS]]="RC","RC","LC")</f>
        <v>LC</v>
      </c>
      <c r="L23" t="s">
        <v>428</v>
      </c>
      <c r="M23" t="s">
        <v>846</v>
      </c>
      <c r="N23" t="b">
        <v>0</v>
      </c>
    </row>
    <row r="24" spans="2:14">
      <c r="B24" t="s">
        <v>751</v>
      </c>
      <c r="C24" s="110" t="str">
        <f>RIGHT(B24,3)</f>
        <v>119</v>
      </c>
      <c r="D24" t="s">
        <v>560</v>
      </c>
      <c r="E24" s="110" t="str">
        <f>LEFT(F24,22)</f>
        <v>LATERAL LINK</v>
      </c>
      <c r="F24" t="s">
        <v>358</v>
      </c>
      <c r="G24" s="110" t="str">
        <f>RIGHT(H24,9)</f>
        <v>012629482</v>
      </c>
      <c r="H24" t="s">
        <v>359</v>
      </c>
      <c r="I24" s="96">
        <f>Table__10.2.1.2_1_4AHB_v_gen_TBO[[#This Row],[REALDUE]]-Table__10.2.1.2_1_4AHB_v_gen_TBO[[#This Row],[EI_BEG_AGE]]</f>
        <v>534.09999999999991</v>
      </c>
      <c r="J24" s="96">
        <v>3973.9</v>
      </c>
      <c r="K24" s="110" t="str">
        <f>IF(Table__10.2.1.2_1_4AHB_v_gen_TBO[[#This Row],[NO_OVHLS]]="RC","RC","LC")</f>
        <v>RC</v>
      </c>
      <c r="L24" t="s">
        <v>405</v>
      </c>
      <c r="M24" t="s">
        <v>205</v>
      </c>
      <c r="N24" t="b">
        <v>0</v>
      </c>
    </row>
    <row r="25" spans="2:14">
      <c r="B25" t="s">
        <v>751</v>
      </c>
      <c r="C25" s="110" t="str">
        <f>RIGHT(B25,3)</f>
        <v>119</v>
      </c>
      <c r="D25" t="s">
        <v>562</v>
      </c>
      <c r="E25" s="110" t="str">
        <f>LEFT(F25,22)</f>
        <v>LATERAL LINK</v>
      </c>
      <c r="F25" t="s">
        <v>358</v>
      </c>
      <c r="G25" s="110" t="str">
        <f>RIGHT(H25,9)</f>
        <v>012242257</v>
      </c>
      <c r="H25" t="s">
        <v>360</v>
      </c>
      <c r="I25" s="96">
        <f>Table__10.2.1.2_1_4AHB_v_gen_TBO[[#This Row],[REALDUE]]-Table__10.2.1.2_1_4AHB_v_gen_TBO[[#This Row],[EI_BEG_AGE]]</f>
        <v>534.09999999999991</v>
      </c>
      <c r="J25" s="96">
        <v>3973.9</v>
      </c>
      <c r="K25" s="110" t="str">
        <f>IF(Table__10.2.1.2_1_4AHB_v_gen_TBO[[#This Row],[NO_OVHLS]]="RC","RC","LC")</f>
        <v>RC</v>
      </c>
      <c r="L25" t="s">
        <v>405</v>
      </c>
      <c r="M25" t="s">
        <v>205</v>
      </c>
      <c r="N25" t="b">
        <v>0</v>
      </c>
    </row>
    <row r="26" spans="2:14">
      <c r="B26" t="s">
        <v>753</v>
      </c>
      <c r="C26" s="110" t="str">
        <f>RIGHT(B26,3)</f>
        <v>141</v>
      </c>
      <c r="D26" t="s">
        <v>489</v>
      </c>
      <c r="E26" s="110" t="str">
        <f>LEFT(F26,22)</f>
        <v>GEARSHAFT, SPUR</v>
      </c>
      <c r="F26" t="s">
        <v>256</v>
      </c>
      <c r="G26" s="110" t="str">
        <f>RIGHT(H26,9)</f>
        <v>011611212</v>
      </c>
      <c r="H26" t="s">
        <v>257</v>
      </c>
      <c r="I26" s="96">
        <f>Table__10.2.1.2_1_4AHB_v_gen_TBO[[#This Row],[REALDUE]]-Table__10.2.1.2_1_4AHB_v_gen_TBO[[#This Row],[EI_BEG_AGE]]</f>
        <v>562.5</v>
      </c>
      <c r="J26" s="96">
        <v>4733.5</v>
      </c>
      <c r="K26" s="110" t="str">
        <f>IF(Table__10.2.1.2_1_4AHB_v_gen_TBO[[#This Row],[NO_OVHLS]]="RC","RC","LC")</f>
        <v>RC</v>
      </c>
      <c r="L26" t="s">
        <v>405</v>
      </c>
      <c r="M26" t="s">
        <v>859</v>
      </c>
      <c r="N26" t="b">
        <v>0</v>
      </c>
    </row>
    <row r="27" spans="2:14">
      <c r="B27" t="s">
        <v>749</v>
      </c>
      <c r="C27" s="110" t="str">
        <f>RIGHT(B27,3)</f>
        <v>187</v>
      </c>
      <c r="D27" t="s">
        <v>443</v>
      </c>
      <c r="E27" s="110" t="str">
        <f>LEFT(F27,22)</f>
        <v>TRUNNION, DAMPER</v>
      </c>
      <c r="F27" t="s">
        <v>171</v>
      </c>
      <c r="G27" s="110" t="str">
        <f>RIGHT(H27,9)</f>
        <v>011705243</v>
      </c>
      <c r="H27" t="s">
        <v>172</v>
      </c>
      <c r="I27" s="110">
        <f>Table__10.2.1.2_1_4AHB_v_gen_TBO[[#This Row],[REALDUE]]-Table__10.2.1.2_1_4AHB_v_gen_TBO[[#This Row],[EI_BEG_AGE]]</f>
        <v>602.30000000000018</v>
      </c>
      <c r="J27">
        <v>5314.7</v>
      </c>
      <c r="K27" s="110" t="str">
        <f>IF(Table__10.2.1.2_1_4AHB_v_gen_TBO[[#This Row],[NO_OVHLS]]="RC","RC","LC")</f>
        <v>RC</v>
      </c>
      <c r="L27" t="s">
        <v>405</v>
      </c>
      <c r="M27" t="s">
        <v>975</v>
      </c>
      <c r="N27" t="b">
        <v>0</v>
      </c>
    </row>
    <row r="28" spans="2:14">
      <c r="B28" t="s">
        <v>749</v>
      </c>
      <c r="C28" s="110" t="str">
        <f>RIGHT(B28,3)</f>
        <v>187</v>
      </c>
      <c r="D28" t="s">
        <v>443</v>
      </c>
      <c r="E28" s="110" t="str">
        <f>LEFT(F28,22)</f>
        <v>TRUNNION, DAMPER</v>
      </c>
      <c r="F28" t="s">
        <v>171</v>
      </c>
      <c r="G28" s="110" t="str">
        <f>RIGHT(H28,9)</f>
        <v>011705243</v>
      </c>
      <c r="H28" t="s">
        <v>172</v>
      </c>
      <c r="I28" s="110">
        <f>Table__10.2.1.2_1_4AHB_v_gen_TBO[[#This Row],[REALDUE]]-Table__10.2.1.2_1_4AHB_v_gen_TBO[[#This Row],[EI_BEG_AGE]]</f>
        <v>602.30000000000018</v>
      </c>
      <c r="J28">
        <v>5314.7</v>
      </c>
      <c r="K28" s="110" t="str">
        <f>IF(Table__10.2.1.2_1_4AHB_v_gen_TBO[[#This Row],[NO_OVHLS]]="RC","RC","LC")</f>
        <v>RC</v>
      </c>
      <c r="L28" t="s">
        <v>405</v>
      </c>
      <c r="M28" t="s">
        <v>975</v>
      </c>
      <c r="N28" t="b">
        <v>0</v>
      </c>
    </row>
    <row r="29" spans="2:14">
      <c r="B29" t="s">
        <v>751</v>
      </c>
      <c r="C29" s="110" t="str">
        <f>RIGHT(B29,3)</f>
        <v>119</v>
      </c>
      <c r="D29" t="s">
        <v>429</v>
      </c>
      <c r="E29" s="110" t="str">
        <f>LEFT(F29,22)</f>
        <v>MAIN ROTOR HEAD ASSY</v>
      </c>
      <c r="F29" t="s">
        <v>145</v>
      </c>
      <c r="G29" s="110" t="str">
        <f>RIGHT(H29,9)</f>
        <v>015120889</v>
      </c>
      <c r="H29" t="s">
        <v>146</v>
      </c>
      <c r="I29" s="110">
        <f>Table__10.2.1.2_1_4AHB_v_gen_TBO[[#This Row],[REALDUE]]-Table__10.2.1.2_1_4AHB_v_gen_TBO[[#This Row],[EI_BEG_AGE]]</f>
        <v>693.09999999999991</v>
      </c>
      <c r="J29">
        <v>3973.9</v>
      </c>
      <c r="K29" s="110" t="str">
        <f>IF(Table__10.2.1.2_1_4AHB_v_gen_TBO[[#This Row],[NO_OVHLS]]="RC","RC","LC")</f>
        <v>LC</v>
      </c>
      <c r="L29" t="s">
        <v>430</v>
      </c>
      <c r="M29" t="s">
        <v>621</v>
      </c>
      <c r="N29" t="b">
        <v>0</v>
      </c>
    </row>
    <row r="30" spans="2:14">
      <c r="B30" t="s">
        <v>753</v>
      </c>
      <c r="C30" s="110" t="str">
        <f>RIGHT(B30,3)</f>
        <v>141</v>
      </c>
      <c r="D30" t="s">
        <v>446</v>
      </c>
      <c r="E30" s="110" t="str">
        <f>LEFT(F30,22)</f>
        <v>LEAD LAG DAMPER</v>
      </c>
      <c r="F30" t="s">
        <v>177</v>
      </c>
      <c r="G30" s="110" t="str">
        <f>RIGHT(H30,9)</f>
        <v>012198658</v>
      </c>
      <c r="H30" t="s">
        <v>178</v>
      </c>
      <c r="I30" s="110">
        <f>Table__10.2.1.2_1_4AHB_v_gen_TBO[[#This Row],[REALDUE]]-Table__10.2.1.2_1_4AHB_v_gen_TBO[[#This Row],[EI_BEG_AGE]]</f>
        <v>698.5</v>
      </c>
      <c r="J30">
        <v>4733.5</v>
      </c>
      <c r="K30" s="110" t="str">
        <f>IF(Table__10.2.1.2_1_4AHB_v_gen_TBO[[#This Row],[NO_OVHLS]]="RC","RC","LC")</f>
        <v>RC</v>
      </c>
      <c r="L30" t="s">
        <v>405</v>
      </c>
      <c r="M30" t="s">
        <v>950</v>
      </c>
      <c r="N30" t="b">
        <v>0</v>
      </c>
    </row>
    <row r="31" spans="2:14">
      <c r="B31" t="s">
        <v>753</v>
      </c>
      <c r="C31" s="110" t="str">
        <f>RIGHT(B31,3)</f>
        <v>141</v>
      </c>
      <c r="D31" t="s">
        <v>446</v>
      </c>
      <c r="E31" s="110" t="str">
        <f>LEFT(F31,22)</f>
        <v>LEAD LAG DAMPER</v>
      </c>
      <c r="F31" t="s">
        <v>177</v>
      </c>
      <c r="G31" s="110" t="str">
        <f>RIGHT(H31,9)</f>
        <v>012198658</v>
      </c>
      <c r="H31" t="s">
        <v>178</v>
      </c>
      <c r="I31" s="110">
        <f>Table__10.2.1.2_1_4AHB_v_gen_TBO[[#This Row],[REALDUE]]-Table__10.2.1.2_1_4AHB_v_gen_TBO[[#This Row],[EI_BEG_AGE]]</f>
        <v>739.5</v>
      </c>
      <c r="J31">
        <v>4733.5</v>
      </c>
      <c r="K31" s="110" t="str">
        <f>IF(Table__10.2.1.2_1_4AHB_v_gen_TBO[[#This Row],[NO_OVHLS]]="RC","RC","LC")</f>
        <v>RC</v>
      </c>
      <c r="L31" t="s">
        <v>405</v>
      </c>
      <c r="M31" t="s">
        <v>953</v>
      </c>
      <c r="N31" t="b">
        <v>0</v>
      </c>
    </row>
    <row r="32" spans="2:14">
      <c r="B32" t="s">
        <v>753</v>
      </c>
      <c r="C32" s="110" t="str">
        <f>RIGHT(B32,3)</f>
        <v>141</v>
      </c>
      <c r="D32" t="s">
        <v>443</v>
      </c>
      <c r="E32" s="110" t="str">
        <f>LEFT(F32,22)</f>
        <v>TRUNNION, DAMPER</v>
      </c>
      <c r="F32" t="s">
        <v>171</v>
      </c>
      <c r="G32" s="110" t="str">
        <f>RIGHT(H32,9)</f>
        <v>011705243</v>
      </c>
      <c r="H32" t="s">
        <v>172</v>
      </c>
      <c r="I32" s="110">
        <f>Table__10.2.1.2_1_4AHB_v_gen_TBO[[#This Row],[REALDUE]]-Table__10.2.1.2_1_4AHB_v_gen_TBO[[#This Row],[EI_BEG_AGE]]</f>
        <v>807.5</v>
      </c>
      <c r="J32">
        <v>4733.5</v>
      </c>
      <c r="K32" s="110" t="str">
        <f>IF(Table__10.2.1.2_1_4AHB_v_gen_TBO[[#This Row],[NO_OVHLS]]="RC","RC","LC")</f>
        <v>RC</v>
      </c>
      <c r="L32" t="s">
        <v>405</v>
      </c>
      <c r="M32" t="s">
        <v>971</v>
      </c>
      <c r="N32" t="b">
        <v>0</v>
      </c>
    </row>
    <row r="33" spans="2:14">
      <c r="B33" t="s">
        <v>749</v>
      </c>
      <c r="C33" s="110" t="str">
        <f>RIGHT(B33,3)</f>
        <v>187</v>
      </c>
      <c r="D33" t="s">
        <v>485</v>
      </c>
      <c r="E33" s="110" t="str">
        <f>LEFT(F33,22)</f>
        <v>ACC MOD CLUTCH, PRIMAR</v>
      </c>
      <c r="F33" t="s">
        <v>250</v>
      </c>
      <c r="G33" s="110" t="str">
        <f>RIGHT(H33,9)</f>
        <v>015217009</v>
      </c>
      <c r="H33" t="s">
        <v>249</v>
      </c>
      <c r="I33" s="110">
        <f>Table__10.2.1.2_1_4AHB_v_gen_TBO[[#This Row],[REALDUE]]-Table__10.2.1.2_1_4AHB_v_gen_TBO[[#This Row],[EI_BEG_AGE]]</f>
        <v>844.30000000000018</v>
      </c>
      <c r="J33">
        <v>5314.7</v>
      </c>
      <c r="K33" s="110" t="str">
        <f>IF(Table__10.2.1.2_1_4AHB_v_gen_TBO[[#This Row],[NO_OVHLS]]="RC","RC","LC")</f>
        <v>RC</v>
      </c>
      <c r="L33" t="s">
        <v>405</v>
      </c>
      <c r="M33" t="s">
        <v>854</v>
      </c>
      <c r="N33" t="b">
        <v>0</v>
      </c>
    </row>
    <row r="34" spans="2:14">
      <c r="B34" t="s">
        <v>749</v>
      </c>
      <c r="C34" s="110" t="str">
        <f>RIGHT(B34,3)</f>
        <v>187</v>
      </c>
      <c r="D34" t="s">
        <v>485</v>
      </c>
      <c r="E34" s="110" t="str">
        <f>LEFT(F34,22)</f>
        <v>ACC MOD CLUTCH, SECOND</v>
      </c>
      <c r="F34" t="s">
        <v>251</v>
      </c>
      <c r="G34" s="110" t="str">
        <f>RIGHT(H34,9)</f>
        <v>015217009</v>
      </c>
      <c r="H34" t="s">
        <v>249</v>
      </c>
      <c r="I34" s="110">
        <f>Table__10.2.1.2_1_4AHB_v_gen_TBO[[#This Row],[REALDUE]]-Table__10.2.1.2_1_4AHB_v_gen_TBO[[#This Row],[EI_BEG_AGE]]</f>
        <v>844.30000000000018</v>
      </c>
      <c r="J34">
        <v>5314.7</v>
      </c>
      <c r="K34" s="110" t="str">
        <f>IF(Table__10.2.1.2_1_4AHB_v_gen_TBO[[#This Row],[NO_OVHLS]]="RC","RC","LC")</f>
        <v>RC</v>
      </c>
      <c r="L34" t="s">
        <v>405</v>
      </c>
      <c r="M34" t="s">
        <v>854</v>
      </c>
      <c r="N34" t="b">
        <v>0</v>
      </c>
    </row>
    <row r="35" spans="2:14">
      <c r="B35" t="s">
        <v>749</v>
      </c>
      <c r="C35" s="110" t="str">
        <f>RIGHT(B35,3)</f>
        <v>187</v>
      </c>
      <c r="D35" t="s">
        <v>542</v>
      </c>
      <c r="E35" s="110" t="str">
        <f>LEFT(F35,22)</f>
        <v>GENERATOR</v>
      </c>
      <c r="F35" t="s">
        <v>332</v>
      </c>
      <c r="G35" s="110" t="str">
        <f>RIGHT(H35,9)</f>
        <v>014955122</v>
      </c>
      <c r="H35" t="s">
        <v>331</v>
      </c>
      <c r="I35" s="110">
        <f>Table__10.2.1.2_1_4AHB_v_gen_TBO[[#This Row],[REALDUE]]-Table__10.2.1.2_1_4AHB_v_gen_TBO[[#This Row],[EI_BEG_AGE]]</f>
        <v>902.30000000000018</v>
      </c>
      <c r="J35">
        <v>5314.7</v>
      </c>
      <c r="K35" s="110" t="str">
        <f>IF(Table__10.2.1.2_1_4AHB_v_gen_TBO[[#This Row],[NO_OVHLS]]="RC","RC","LC")</f>
        <v>LC</v>
      </c>
      <c r="L35" t="s">
        <v>427</v>
      </c>
      <c r="M35" t="s">
        <v>1031</v>
      </c>
      <c r="N35" t="b">
        <v>0</v>
      </c>
    </row>
    <row r="36" spans="2:14">
      <c r="B36" t="s">
        <v>749</v>
      </c>
      <c r="C36" s="110" t="str">
        <f>RIGHT(B36,3)</f>
        <v>187</v>
      </c>
      <c r="D36" t="s">
        <v>476</v>
      </c>
      <c r="E36" s="110" t="str">
        <f>LEFT(F36,22)</f>
        <v>BEARING, T/R SWASHPLAT</v>
      </c>
      <c r="F36" t="s">
        <v>229</v>
      </c>
      <c r="G36" s="110" t="str">
        <f>RIGHT(H36,9)</f>
        <v>013192168</v>
      </c>
      <c r="H36" t="s">
        <v>230</v>
      </c>
      <c r="I36" s="96">
        <f>Table__10.2.1.2_1_4AHB_v_gen_TBO[[#This Row],[REALDUE]]-Table__10.2.1.2_1_4AHB_v_gen_TBO[[#This Row],[EI_BEG_AGE]]</f>
        <v>918.30000000000018</v>
      </c>
      <c r="J36" s="96">
        <v>5314.7</v>
      </c>
      <c r="K36" s="110" t="str">
        <f>IF(Table__10.2.1.2_1_4AHB_v_gen_TBO[[#This Row],[NO_OVHLS]]="RC","RC","LC")</f>
        <v>RC</v>
      </c>
      <c r="L36" t="s">
        <v>405</v>
      </c>
      <c r="M36" t="s">
        <v>1017</v>
      </c>
      <c r="N36" t="b">
        <v>0</v>
      </c>
    </row>
    <row r="37" spans="2:14">
      <c r="B37" t="s">
        <v>749</v>
      </c>
      <c r="C37" s="110" t="str">
        <f>RIGHT(B37,3)</f>
        <v>187</v>
      </c>
      <c r="D37" t="s">
        <v>474</v>
      </c>
      <c r="E37" s="110" t="str">
        <f>LEFT(F37,22)</f>
        <v>T/R SWASHPLATE ASSY</v>
      </c>
      <c r="F37" t="s">
        <v>227</v>
      </c>
      <c r="G37" s="110" t="str">
        <f>RIGHT(H37,9)</f>
        <v>015084118</v>
      </c>
      <c r="H37" t="s">
        <v>228</v>
      </c>
      <c r="I37" s="96">
        <f>Table__10.2.1.2_1_4AHB_v_gen_TBO[[#This Row],[REALDUE]]-Table__10.2.1.2_1_4AHB_v_gen_TBO[[#This Row],[EI_BEG_AGE]]</f>
        <v>918.30000000000018</v>
      </c>
      <c r="J37" s="96">
        <v>5314.7</v>
      </c>
      <c r="K37" s="110" t="str">
        <f>IF(Table__10.2.1.2_1_4AHB_v_gen_TBO[[#This Row],[NO_OVHLS]]="RC","RC","LC")</f>
        <v>LC</v>
      </c>
      <c r="L37" t="s">
        <v>475</v>
      </c>
      <c r="M37" t="s">
        <v>1017</v>
      </c>
      <c r="N37" t="b">
        <v>0</v>
      </c>
    </row>
    <row r="38" spans="2:14">
      <c r="B38" t="s">
        <v>753</v>
      </c>
      <c r="C38" s="110" t="str">
        <f>RIGHT(B38,3)</f>
        <v>141</v>
      </c>
      <c r="D38" t="s">
        <v>449</v>
      </c>
      <c r="E38" s="110" t="str">
        <f>LEFT(F38,22)</f>
        <v>MAIN ROTOR BLADE</v>
      </c>
      <c r="F38" t="s">
        <v>181</v>
      </c>
      <c r="G38" s="110" t="str">
        <f>RIGHT(H38,9)</f>
        <v>013320702</v>
      </c>
      <c r="H38" t="s">
        <v>183</v>
      </c>
      <c r="I38" s="96">
        <f>Table__10.2.1.2_1_4AHB_v_gen_TBO[[#This Row],[REALDUE]]-Table__10.2.1.2_1_4AHB_v_gen_TBO[[#This Row],[EI_BEG_AGE]]</f>
        <v>948.5</v>
      </c>
      <c r="J38" s="96">
        <v>4733.5</v>
      </c>
      <c r="K38" s="110" t="str">
        <f>IF(Table__10.2.1.2_1_4AHB_v_gen_TBO[[#This Row],[NO_OVHLS]]="RC","RC","LC")</f>
        <v>RC</v>
      </c>
      <c r="L38" t="s">
        <v>405</v>
      </c>
      <c r="M38" t="s">
        <v>983</v>
      </c>
      <c r="N38" t="b">
        <v>0</v>
      </c>
    </row>
    <row r="39" spans="2:14">
      <c r="B39" t="s">
        <v>753</v>
      </c>
      <c r="C39" s="110" t="str">
        <f>RIGHT(B39,3)</f>
        <v>141</v>
      </c>
      <c r="D39" t="s">
        <v>443</v>
      </c>
      <c r="E39" s="110" t="str">
        <f>LEFT(F39,22)</f>
        <v>TRUNNION, DAMPER</v>
      </c>
      <c r="F39" t="s">
        <v>171</v>
      </c>
      <c r="G39" s="110" t="str">
        <f>RIGHT(H39,9)</f>
        <v>011705243</v>
      </c>
      <c r="H39" t="s">
        <v>172</v>
      </c>
      <c r="I39" s="110">
        <f>Table__10.2.1.2_1_4AHB_v_gen_TBO[[#This Row],[REALDUE]]-Table__10.2.1.2_1_4AHB_v_gen_TBO[[#This Row],[EI_BEG_AGE]]</f>
        <v>977.5</v>
      </c>
      <c r="J39">
        <v>4733.5</v>
      </c>
      <c r="K39" s="110" t="str">
        <f>IF(Table__10.2.1.2_1_4AHB_v_gen_TBO[[#This Row],[NO_OVHLS]]="RC","RC","LC")</f>
        <v>RC</v>
      </c>
      <c r="L39" t="s">
        <v>405</v>
      </c>
      <c r="M39" t="s">
        <v>184</v>
      </c>
      <c r="N39" t="b">
        <v>0</v>
      </c>
    </row>
    <row r="40" spans="2:14">
      <c r="B40" t="s">
        <v>749</v>
      </c>
      <c r="C40" s="110" t="str">
        <f>RIGHT(B40,3)</f>
        <v>187</v>
      </c>
      <c r="D40" t="s">
        <v>446</v>
      </c>
      <c r="E40" s="110" t="str">
        <f>LEFT(F40,22)</f>
        <v>LEAD LAG DAMPER</v>
      </c>
      <c r="F40" t="s">
        <v>177</v>
      </c>
      <c r="G40" s="110" t="str">
        <f>RIGHT(H40,9)</f>
        <v>012198658</v>
      </c>
      <c r="H40" t="s">
        <v>178</v>
      </c>
      <c r="I40" s="110">
        <f>Table__10.2.1.2_1_4AHB_v_gen_TBO[[#This Row],[REALDUE]]-Table__10.2.1.2_1_4AHB_v_gen_TBO[[#This Row],[EI_BEG_AGE]]</f>
        <v>979.30000000000018</v>
      </c>
      <c r="J40">
        <v>5314.7</v>
      </c>
      <c r="K40" s="110" t="str">
        <f>IF(Table__10.2.1.2_1_4AHB_v_gen_TBO[[#This Row],[NO_OVHLS]]="RC","RC","LC")</f>
        <v>RC</v>
      </c>
      <c r="L40" t="s">
        <v>405</v>
      </c>
      <c r="M40" t="s">
        <v>947</v>
      </c>
      <c r="N40" t="b">
        <v>0</v>
      </c>
    </row>
    <row r="41" spans="2:14">
      <c r="B41" t="s">
        <v>749</v>
      </c>
      <c r="C41" s="110" t="str">
        <f>RIGHT(B41,3)</f>
        <v>187</v>
      </c>
      <c r="D41" t="s">
        <v>446</v>
      </c>
      <c r="E41" s="110" t="str">
        <f>LEFT(F41,22)</f>
        <v>LEAD LAG DAMPER</v>
      </c>
      <c r="F41" t="s">
        <v>177</v>
      </c>
      <c r="G41" s="110" t="str">
        <f>RIGHT(H41,9)</f>
        <v>012198658</v>
      </c>
      <c r="H41" t="s">
        <v>178</v>
      </c>
      <c r="I41" s="110">
        <f>Table__10.2.1.2_1_4AHB_v_gen_TBO[[#This Row],[REALDUE]]-Table__10.2.1.2_1_4AHB_v_gen_TBO[[#This Row],[EI_BEG_AGE]]</f>
        <v>979.30000000000018</v>
      </c>
      <c r="J41">
        <v>5314.7</v>
      </c>
      <c r="K41" s="110" t="str">
        <f>IF(Table__10.2.1.2_1_4AHB_v_gen_TBO[[#This Row],[NO_OVHLS]]="RC","RC","LC")</f>
        <v>RC</v>
      </c>
      <c r="L41" t="s">
        <v>405</v>
      </c>
      <c r="M41" t="s">
        <v>947</v>
      </c>
      <c r="N41" t="b">
        <v>0</v>
      </c>
    </row>
    <row r="42" spans="2:14">
      <c r="B42" t="s">
        <v>749</v>
      </c>
      <c r="C42" s="110" t="str">
        <f>RIGHT(B42,3)</f>
        <v>187</v>
      </c>
      <c r="D42" t="s">
        <v>446</v>
      </c>
      <c r="E42" s="110" t="str">
        <f>LEFT(F42,22)</f>
        <v>LEAD LAG DAMPER</v>
      </c>
      <c r="F42" t="s">
        <v>177</v>
      </c>
      <c r="G42" s="110" t="str">
        <f>RIGHT(H42,9)</f>
        <v>012198658</v>
      </c>
      <c r="H42" t="s">
        <v>178</v>
      </c>
      <c r="I42" s="110">
        <f>Table__10.2.1.2_1_4AHB_v_gen_TBO[[#This Row],[REALDUE]]-Table__10.2.1.2_1_4AHB_v_gen_TBO[[#This Row],[EI_BEG_AGE]]</f>
        <v>979.30000000000018</v>
      </c>
      <c r="J42">
        <v>5314.7</v>
      </c>
      <c r="K42" s="110" t="str">
        <f>IF(Table__10.2.1.2_1_4AHB_v_gen_TBO[[#This Row],[NO_OVHLS]]="RC","RC","LC")</f>
        <v>RC</v>
      </c>
      <c r="L42" t="s">
        <v>405</v>
      </c>
      <c r="M42" t="s">
        <v>947</v>
      </c>
      <c r="N42" t="b">
        <v>0</v>
      </c>
    </row>
    <row r="43" spans="2:14">
      <c r="B43" t="s">
        <v>749</v>
      </c>
      <c r="C43" s="110" t="str">
        <f>RIGHT(B43,3)</f>
        <v>187</v>
      </c>
      <c r="D43" t="s">
        <v>446</v>
      </c>
      <c r="E43" s="110" t="str">
        <f>LEFT(F43,22)</f>
        <v>LEAD LAG DAMPER</v>
      </c>
      <c r="F43" t="s">
        <v>177</v>
      </c>
      <c r="G43" s="110" t="str">
        <f>RIGHT(H43,9)</f>
        <v>012198658</v>
      </c>
      <c r="H43" t="s">
        <v>178</v>
      </c>
      <c r="I43" s="96">
        <f>Table__10.2.1.2_1_4AHB_v_gen_TBO[[#This Row],[REALDUE]]-Table__10.2.1.2_1_4AHB_v_gen_TBO[[#This Row],[EI_BEG_AGE]]</f>
        <v>979.30000000000018</v>
      </c>
      <c r="J43" s="96">
        <v>5314.7</v>
      </c>
      <c r="K43" s="110" t="str">
        <f>IF(Table__10.2.1.2_1_4AHB_v_gen_TBO[[#This Row],[NO_OVHLS]]="RC","RC","LC")</f>
        <v>RC</v>
      </c>
      <c r="L43" t="s">
        <v>405</v>
      </c>
      <c r="M43" t="s">
        <v>947</v>
      </c>
      <c r="N43" t="b">
        <v>0</v>
      </c>
    </row>
    <row r="44" spans="2:14">
      <c r="B44" t="s">
        <v>749</v>
      </c>
      <c r="C44" s="110" t="str">
        <f>RIGHT(B44,3)</f>
        <v>187</v>
      </c>
      <c r="D44" t="s">
        <v>446</v>
      </c>
      <c r="E44" s="110" t="str">
        <f>LEFT(F44,22)</f>
        <v>LEAD LAG DAMPER</v>
      </c>
      <c r="F44" t="s">
        <v>177</v>
      </c>
      <c r="G44" s="110" t="str">
        <f>RIGHT(H44,9)</f>
        <v>012198658</v>
      </c>
      <c r="H44" t="s">
        <v>178</v>
      </c>
      <c r="I44" s="96">
        <f>Table__10.2.1.2_1_4AHB_v_gen_TBO[[#This Row],[REALDUE]]-Table__10.2.1.2_1_4AHB_v_gen_TBO[[#This Row],[EI_BEG_AGE]]</f>
        <v>979.30000000000018</v>
      </c>
      <c r="J44" s="96">
        <v>5314.7</v>
      </c>
      <c r="K44" s="110" t="str">
        <f>IF(Table__10.2.1.2_1_4AHB_v_gen_TBO[[#This Row],[NO_OVHLS]]="RC","RC","LC")</f>
        <v>RC</v>
      </c>
      <c r="L44" t="s">
        <v>405</v>
      </c>
      <c r="M44" t="s">
        <v>947</v>
      </c>
      <c r="N44" t="b">
        <v>0</v>
      </c>
    </row>
    <row r="45" spans="2:14">
      <c r="B45" t="s">
        <v>751</v>
      </c>
      <c r="C45" s="110" t="str">
        <f>RIGHT(B45,3)</f>
        <v>119</v>
      </c>
      <c r="D45" t="s">
        <v>476</v>
      </c>
      <c r="E45" s="110" t="str">
        <f>LEFT(F45,22)</f>
        <v>BEARING, T/R SWASHPLAT</v>
      </c>
      <c r="F45" t="s">
        <v>229</v>
      </c>
      <c r="G45" s="110" t="str">
        <f>RIGHT(H45,9)</f>
        <v>013192168</v>
      </c>
      <c r="H45" t="s">
        <v>230</v>
      </c>
      <c r="I45" s="96">
        <f>Table__10.2.1.2_1_4AHB_v_gen_TBO[[#This Row],[REALDUE]]-Table__10.2.1.2_1_4AHB_v_gen_TBO[[#This Row],[EI_BEG_AGE]]</f>
        <v>984.09999999999991</v>
      </c>
      <c r="J45" s="96">
        <v>3973.9</v>
      </c>
      <c r="K45" s="110" t="str">
        <f>IF(Table__10.2.1.2_1_4AHB_v_gen_TBO[[#This Row],[NO_OVHLS]]="RC","RC","LC")</f>
        <v>RC</v>
      </c>
      <c r="L45" t="s">
        <v>405</v>
      </c>
      <c r="M45" t="s">
        <v>1016</v>
      </c>
      <c r="N45" t="b">
        <v>0</v>
      </c>
    </row>
    <row r="46" spans="2:14">
      <c r="B46" t="s">
        <v>751</v>
      </c>
      <c r="C46" s="110" t="str">
        <f>RIGHT(B46,3)</f>
        <v>119</v>
      </c>
      <c r="D46" t="s">
        <v>474</v>
      </c>
      <c r="E46" s="110" t="str">
        <f>LEFT(F46,22)</f>
        <v>T/R SWASHPLATE ASSY</v>
      </c>
      <c r="F46" t="s">
        <v>227</v>
      </c>
      <c r="G46" s="110" t="str">
        <f>RIGHT(H46,9)</f>
        <v>015084118</v>
      </c>
      <c r="H46" t="s">
        <v>228</v>
      </c>
      <c r="I46" s="96">
        <f>Table__10.2.1.2_1_4AHB_v_gen_TBO[[#This Row],[REALDUE]]-Table__10.2.1.2_1_4AHB_v_gen_TBO[[#This Row],[EI_BEG_AGE]]</f>
        <v>984.09999999999991</v>
      </c>
      <c r="J46" s="96">
        <v>3973.9</v>
      </c>
      <c r="K46" s="110" t="str">
        <f>IF(Table__10.2.1.2_1_4AHB_v_gen_TBO[[#This Row],[NO_OVHLS]]="RC","RC","LC")</f>
        <v>LC</v>
      </c>
      <c r="L46" t="s">
        <v>430</v>
      </c>
      <c r="M46" t="s">
        <v>1016</v>
      </c>
      <c r="N46" t="b">
        <v>0</v>
      </c>
    </row>
    <row r="47" spans="2:14">
      <c r="B47" t="s">
        <v>749</v>
      </c>
      <c r="C47" s="110" t="str">
        <f>RIGHT(B47,3)</f>
        <v>187</v>
      </c>
      <c r="D47" t="s">
        <v>419</v>
      </c>
      <c r="E47" s="110" t="str">
        <f>LEFT(F47,22)</f>
        <v>ELASTOMERIC MOUNT</v>
      </c>
      <c r="F47" t="s">
        <v>891</v>
      </c>
      <c r="G47" s="110" t="str">
        <f>RIGHT(H47,9)</f>
        <v>014710947</v>
      </c>
      <c r="H47" t="s">
        <v>135</v>
      </c>
      <c r="I47" s="96">
        <f>Table__10.2.1.2_1_4AHB_v_gen_TBO[[#This Row],[REALDUE]]-Table__10.2.1.2_1_4AHB_v_gen_TBO[[#This Row],[EI_BEG_AGE]]</f>
        <v>984.30000000000018</v>
      </c>
      <c r="J47" s="96">
        <v>5314.7</v>
      </c>
      <c r="K47" s="110" t="str">
        <f>IF(Table__10.2.1.2_1_4AHB_v_gen_TBO[[#This Row],[NO_OVHLS]]="RC","RC","LC")</f>
        <v>RC</v>
      </c>
      <c r="L47" t="s">
        <v>405</v>
      </c>
      <c r="M47" t="s">
        <v>654</v>
      </c>
      <c r="N47" t="b">
        <v>0</v>
      </c>
    </row>
    <row r="48" spans="2:14">
      <c r="B48" t="s">
        <v>749</v>
      </c>
      <c r="C48" s="110" t="str">
        <f>RIGHT(B48,3)</f>
        <v>187</v>
      </c>
      <c r="D48" t="s">
        <v>420</v>
      </c>
      <c r="E48" s="110" t="str">
        <f>LEFT(F48,22)</f>
        <v>ELASTOMERIC MOUNT</v>
      </c>
      <c r="F48" t="s">
        <v>891</v>
      </c>
      <c r="G48" s="110" t="str">
        <f>RIGHT(H48,9)</f>
        <v>014712791</v>
      </c>
      <c r="H48" t="s">
        <v>136</v>
      </c>
      <c r="I48" s="96">
        <f>Table__10.2.1.2_1_4AHB_v_gen_TBO[[#This Row],[REALDUE]]-Table__10.2.1.2_1_4AHB_v_gen_TBO[[#This Row],[EI_BEG_AGE]]</f>
        <v>984.30000000000018</v>
      </c>
      <c r="J48" s="96">
        <v>5314.7</v>
      </c>
      <c r="K48" s="110" t="str">
        <f>IF(Table__10.2.1.2_1_4AHB_v_gen_TBO[[#This Row],[NO_OVHLS]]="RC","RC","LC")</f>
        <v>RC</v>
      </c>
      <c r="L48" t="s">
        <v>405</v>
      </c>
      <c r="M48" t="s">
        <v>654</v>
      </c>
      <c r="N48" t="b">
        <v>0</v>
      </c>
    </row>
    <row r="49" spans="2:14">
      <c r="B49" t="s">
        <v>749</v>
      </c>
      <c r="C49" s="110" t="str">
        <f>RIGHT(B49,3)</f>
        <v>187</v>
      </c>
      <c r="D49" t="s">
        <v>421</v>
      </c>
      <c r="E49" s="110" t="str">
        <f>LEFT(F49,22)</f>
        <v>ELASTOMERIC MOUNT</v>
      </c>
      <c r="F49" t="s">
        <v>891</v>
      </c>
      <c r="G49" s="110" t="str">
        <f>RIGHT(H49,9)</f>
        <v>014712793</v>
      </c>
      <c r="H49" t="s">
        <v>137</v>
      </c>
      <c r="I49" s="96">
        <f>Table__10.2.1.2_1_4AHB_v_gen_TBO[[#This Row],[REALDUE]]-Table__10.2.1.2_1_4AHB_v_gen_TBO[[#This Row],[EI_BEG_AGE]]</f>
        <v>984.30000000000018</v>
      </c>
      <c r="J49" s="96">
        <v>5314.7</v>
      </c>
      <c r="K49" s="110" t="str">
        <f>IF(Table__10.2.1.2_1_4AHB_v_gen_TBO[[#This Row],[NO_OVHLS]]="RC","RC","LC")</f>
        <v>RC</v>
      </c>
      <c r="L49" t="s">
        <v>405</v>
      </c>
      <c r="M49" t="s">
        <v>654</v>
      </c>
      <c r="N49" t="b">
        <v>0</v>
      </c>
    </row>
    <row r="50" spans="2:14">
      <c r="B50" t="s">
        <v>749</v>
      </c>
      <c r="C50" s="110" t="str">
        <f>RIGHT(B50,3)</f>
        <v>187</v>
      </c>
      <c r="D50" t="s">
        <v>422</v>
      </c>
      <c r="E50" s="110" t="str">
        <f>LEFT(F50,22)</f>
        <v>ELASTOMERIC MOUNT</v>
      </c>
      <c r="F50" t="s">
        <v>891</v>
      </c>
      <c r="G50" s="110" t="str">
        <f>RIGHT(H50,9)</f>
        <v>014712797</v>
      </c>
      <c r="H50" t="s">
        <v>138</v>
      </c>
      <c r="I50" s="96">
        <f>Table__10.2.1.2_1_4AHB_v_gen_TBO[[#This Row],[REALDUE]]-Table__10.2.1.2_1_4AHB_v_gen_TBO[[#This Row],[EI_BEG_AGE]]</f>
        <v>984.30000000000018</v>
      </c>
      <c r="J50" s="96">
        <v>5314.7</v>
      </c>
      <c r="K50" s="110" t="str">
        <f>IF(Table__10.2.1.2_1_4AHB_v_gen_TBO[[#This Row],[NO_OVHLS]]="RC","RC","LC")</f>
        <v>RC</v>
      </c>
      <c r="L50" t="s">
        <v>405</v>
      </c>
      <c r="M50" t="s">
        <v>654</v>
      </c>
      <c r="N50" t="b">
        <v>0</v>
      </c>
    </row>
    <row r="51" spans="2:14">
      <c r="B51" t="s">
        <v>753</v>
      </c>
      <c r="C51" s="110" t="str">
        <f>RIGHT(B51,3)</f>
        <v>141</v>
      </c>
      <c r="D51" t="s">
        <v>443</v>
      </c>
      <c r="E51" s="110" t="str">
        <f>LEFT(F51,22)</f>
        <v>TRUNNION, DAMPER</v>
      </c>
      <c r="F51" t="s">
        <v>171</v>
      </c>
      <c r="G51" s="110" t="str">
        <f>RIGHT(H51,9)</f>
        <v>011705243</v>
      </c>
      <c r="H51" t="s">
        <v>172</v>
      </c>
      <c r="I51" s="96">
        <f>Table__10.2.1.2_1_4AHB_v_gen_TBO[[#This Row],[REALDUE]]-Table__10.2.1.2_1_4AHB_v_gen_TBO[[#This Row],[EI_BEG_AGE]]</f>
        <v>1007.5</v>
      </c>
      <c r="J51" s="96">
        <v>4733.5</v>
      </c>
      <c r="K51" s="110" t="str">
        <f>IF(Table__10.2.1.2_1_4AHB_v_gen_TBO[[#This Row],[NO_OVHLS]]="RC","RC","LC")</f>
        <v>RC</v>
      </c>
      <c r="L51" t="s">
        <v>405</v>
      </c>
      <c r="M51" t="s">
        <v>973</v>
      </c>
      <c r="N51" t="b">
        <v>0</v>
      </c>
    </row>
    <row r="52" spans="2:14">
      <c r="B52" t="s">
        <v>751</v>
      </c>
      <c r="C52" s="110" t="str">
        <f>RIGHT(B52,3)</f>
        <v>119</v>
      </c>
      <c r="D52" t="s">
        <v>478</v>
      </c>
      <c r="E52" s="110" t="str">
        <f>LEFT(F52,22)</f>
        <v>MAIN TRANSMISSION ASSY</v>
      </c>
      <c r="F52" t="s">
        <v>231</v>
      </c>
      <c r="G52" s="110" t="str">
        <f>RIGHT(H52,9)</f>
        <v>015209744</v>
      </c>
      <c r="H52" t="s">
        <v>234</v>
      </c>
      <c r="I52" s="96">
        <f>Table__10.2.1.2_1_4AHB_v_gen_TBO[[#This Row],[REALDUE]]-Table__10.2.1.2_1_4AHB_v_gen_TBO[[#This Row],[EI_BEG_AGE]]</f>
        <v>1021.0999999999999</v>
      </c>
      <c r="J52" s="96">
        <v>3973.9</v>
      </c>
      <c r="K52" s="110" t="str">
        <f>IF(Table__10.2.1.2_1_4AHB_v_gen_TBO[[#This Row],[NO_OVHLS]]="RC","RC","LC")</f>
        <v>LC</v>
      </c>
      <c r="L52" t="s">
        <v>431</v>
      </c>
      <c r="M52" t="s">
        <v>914</v>
      </c>
      <c r="N52" t="b">
        <v>0</v>
      </c>
    </row>
    <row r="53" spans="2:14">
      <c r="B53" t="s">
        <v>753</v>
      </c>
      <c r="C53" s="110" t="str">
        <f>RIGHT(B53,3)</f>
        <v>141</v>
      </c>
      <c r="D53" t="s">
        <v>443</v>
      </c>
      <c r="E53" s="110" t="str">
        <f>LEFT(F53,22)</f>
        <v>TRUNNION, DAMPER</v>
      </c>
      <c r="F53" t="s">
        <v>171</v>
      </c>
      <c r="G53" s="110" t="str">
        <f>RIGHT(H53,9)</f>
        <v>011705243</v>
      </c>
      <c r="H53" t="s">
        <v>172</v>
      </c>
      <c r="I53" s="96">
        <f>Table__10.2.1.2_1_4AHB_v_gen_TBO[[#This Row],[REALDUE]]-Table__10.2.1.2_1_4AHB_v_gen_TBO[[#This Row],[EI_BEG_AGE]]</f>
        <v>1035.5</v>
      </c>
      <c r="J53" s="96">
        <v>4733.5</v>
      </c>
      <c r="K53" s="110" t="str">
        <f>IF(Table__10.2.1.2_1_4AHB_v_gen_TBO[[#This Row],[NO_OVHLS]]="RC","RC","LC")</f>
        <v>RC</v>
      </c>
      <c r="L53" t="s">
        <v>405</v>
      </c>
      <c r="M53" t="s">
        <v>969</v>
      </c>
      <c r="N53" t="b">
        <v>0</v>
      </c>
    </row>
    <row r="54" spans="2:14">
      <c r="B54" t="s">
        <v>753</v>
      </c>
      <c r="C54" s="110" t="str">
        <f>RIGHT(B54,3)</f>
        <v>141</v>
      </c>
      <c r="D54" t="s">
        <v>446</v>
      </c>
      <c r="E54" s="110" t="str">
        <f>LEFT(F54,22)</f>
        <v>LEAD LAG DAMPER</v>
      </c>
      <c r="F54" t="s">
        <v>177</v>
      </c>
      <c r="G54" s="110" t="str">
        <f>RIGHT(H54,9)</f>
        <v>012198658</v>
      </c>
      <c r="H54" t="s">
        <v>178</v>
      </c>
      <c r="I54" s="96">
        <f>Table__10.2.1.2_1_4AHB_v_gen_TBO[[#This Row],[REALDUE]]-Table__10.2.1.2_1_4AHB_v_gen_TBO[[#This Row],[EI_BEG_AGE]]</f>
        <v>1053.5</v>
      </c>
      <c r="J54" s="96">
        <v>4733.5</v>
      </c>
      <c r="K54" s="110" t="str">
        <f>IF(Table__10.2.1.2_1_4AHB_v_gen_TBO[[#This Row],[NO_OVHLS]]="RC","RC","LC")</f>
        <v>RC</v>
      </c>
      <c r="L54" t="s">
        <v>405</v>
      </c>
      <c r="M54" t="s">
        <v>949</v>
      </c>
      <c r="N54" t="b">
        <v>0</v>
      </c>
    </row>
    <row r="55" spans="2:14">
      <c r="B55" t="s">
        <v>753</v>
      </c>
      <c r="C55" s="110" t="str">
        <f>RIGHT(B55,3)</f>
        <v>141</v>
      </c>
      <c r="D55" t="s">
        <v>443</v>
      </c>
      <c r="E55" s="110" t="str">
        <f>LEFT(F55,22)</f>
        <v>TRUNNION, DAMPER</v>
      </c>
      <c r="F55" t="s">
        <v>171</v>
      </c>
      <c r="G55" s="110" t="str">
        <f>RIGHT(H55,9)</f>
        <v>011705243</v>
      </c>
      <c r="H55" t="s">
        <v>172</v>
      </c>
      <c r="I55" s="110">
        <f>Table__10.2.1.2_1_4AHB_v_gen_TBO[[#This Row],[REALDUE]]-Table__10.2.1.2_1_4AHB_v_gen_TBO[[#This Row],[EI_BEG_AGE]]</f>
        <v>1053.5</v>
      </c>
      <c r="J55">
        <v>4733.5</v>
      </c>
      <c r="K55" s="110" t="str">
        <f>IF(Table__10.2.1.2_1_4AHB_v_gen_TBO[[#This Row],[NO_OVHLS]]="RC","RC","LC")</f>
        <v>RC</v>
      </c>
      <c r="L55" t="s">
        <v>405</v>
      </c>
      <c r="M55" t="s">
        <v>949</v>
      </c>
      <c r="N55" t="b">
        <v>0</v>
      </c>
    </row>
    <row r="56" spans="2:14">
      <c r="B56" t="s">
        <v>753</v>
      </c>
      <c r="C56" s="110" t="str">
        <f>RIGHT(B56,3)</f>
        <v>141</v>
      </c>
      <c r="D56" t="s">
        <v>443</v>
      </c>
      <c r="E56" s="110" t="str">
        <f>LEFT(F56,22)</f>
        <v>TRUNNION, DAMPER</v>
      </c>
      <c r="F56" t="s">
        <v>171</v>
      </c>
      <c r="G56" s="110" t="str">
        <f>RIGHT(H56,9)</f>
        <v>011705243</v>
      </c>
      <c r="H56" t="s">
        <v>172</v>
      </c>
      <c r="I56" s="110">
        <f>Table__10.2.1.2_1_4AHB_v_gen_TBO[[#This Row],[REALDUE]]-Table__10.2.1.2_1_4AHB_v_gen_TBO[[#This Row],[EI_BEG_AGE]]</f>
        <v>1054.5</v>
      </c>
      <c r="J56">
        <v>4733.5</v>
      </c>
      <c r="K56" s="110" t="str">
        <f>IF(Table__10.2.1.2_1_4AHB_v_gen_TBO[[#This Row],[NO_OVHLS]]="RC","RC","LC")</f>
        <v>RC</v>
      </c>
      <c r="L56" t="s">
        <v>405</v>
      </c>
      <c r="M56" t="s">
        <v>972</v>
      </c>
      <c r="N56" t="b">
        <v>0</v>
      </c>
    </row>
    <row r="57" spans="2:14">
      <c r="B57" t="s">
        <v>751</v>
      </c>
      <c r="C57" s="110" t="str">
        <f>RIGHT(B57,3)</f>
        <v>119</v>
      </c>
      <c r="D57" t="s">
        <v>583</v>
      </c>
      <c r="E57" s="110" t="str">
        <f>LEFT(F57,22)</f>
        <v>APU CLUTCH</v>
      </c>
      <c r="F57" t="s">
        <v>387</v>
      </c>
      <c r="G57" s="110" t="str">
        <f>RIGHT(H57,9)</f>
        <v>015158483</v>
      </c>
      <c r="H57" t="s">
        <v>388</v>
      </c>
      <c r="I57" s="96">
        <f>Table__10.2.1.2_1_4AHB_v_gen_TBO[[#This Row],[REALDUE]]-Table__10.2.1.2_1_4AHB_v_gen_TBO[[#This Row],[EI_BEG_AGE]]</f>
        <v>1059.0999999999999</v>
      </c>
      <c r="J57" s="96">
        <v>3973.9</v>
      </c>
      <c r="K57" s="110" t="str">
        <f>IF(Table__10.2.1.2_1_4AHB_v_gen_TBO[[#This Row],[NO_OVHLS]]="RC","RC","LC")</f>
        <v>LC</v>
      </c>
      <c r="L57" t="s">
        <v>427</v>
      </c>
      <c r="M57" t="s">
        <v>848</v>
      </c>
      <c r="N57" t="b">
        <v>0</v>
      </c>
    </row>
    <row r="58" spans="2:14">
      <c r="B58" t="s">
        <v>751</v>
      </c>
      <c r="C58" s="110" t="str">
        <f>RIGHT(B58,3)</f>
        <v>119</v>
      </c>
      <c r="D58" t="s">
        <v>446</v>
      </c>
      <c r="E58" s="110" t="str">
        <f>LEFT(F58,22)</f>
        <v>LEAD LAG DAMPER</v>
      </c>
      <c r="F58" t="s">
        <v>177</v>
      </c>
      <c r="G58" s="110" t="str">
        <f>RIGHT(H58,9)</f>
        <v>012198658</v>
      </c>
      <c r="H58" t="s">
        <v>178</v>
      </c>
      <c r="I58" s="96">
        <f>Table__10.2.1.2_1_4AHB_v_gen_TBO[[#This Row],[REALDUE]]-Table__10.2.1.2_1_4AHB_v_gen_TBO[[#This Row],[EI_BEG_AGE]]</f>
        <v>1061.0999999999999</v>
      </c>
      <c r="J58" s="96">
        <v>3973.9</v>
      </c>
      <c r="K58" s="110" t="str">
        <f>IF(Table__10.2.1.2_1_4AHB_v_gen_TBO[[#This Row],[NO_OVHLS]]="RC","RC","LC")</f>
        <v>RC</v>
      </c>
      <c r="L58" t="s">
        <v>405</v>
      </c>
      <c r="M58" t="s">
        <v>951</v>
      </c>
      <c r="N58" t="b">
        <v>0</v>
      </c>
    </row>
    <row r="59" spans="2:14">
      <c r="B59" t="s">
        <v>751</v>
      </c>
      <c r="C59" s="110" t="str">
        <f>RIGHT(B59,3)</f>
        <v>119</v>
      </c>
      <c r="D59" t="s">
        <v>1012</v>
      </c>
      <c r="E59" s="110" t="str">
        <f>LEFT(F59,22)</f>
        <v>ACTUATOR SUPPORT</v>
      </c>
      <c r="F59" t="s">
        <v>349</v>
      </c>
      <c r="G59" s="110" t="str">
        <f>RIGHT(H59,9)</f>
        <v>N PENDING</v>
      </c>
      <c r="H59" t="s">
        <v>106</v>
      </c>
      <c r="I59" s="96">
        <f>Table__10.2.1.2_1_4AHB_v_gen_TBO[[#This Row],[REALDUE]]-Table__10.2.1.2_1_4AHB_v_gen_TBO[[#This Row],[EI_BEG_AGE]]</f>
        <v>1139.0999999999999</v>
      </c>
      <c r="J59" s="96">
        <v>3973.9</v>
      </c>
      <c r="K59" s="110" t="str">
        <f>IF(Table__10.2.1.2_1_4AHB_v_gen_TBO[[#This Row],[NO_OVHLS]]="RC","RC","LC")</f>
        <v>RC</v>
      </c>
      <c r="L59" t="s">
        <v>405</v>
      </c>
      <c r="M59" t="s">
        <v>350</v>
      </c>
      <c r="N59" t="b">
        <v>0</v>
      </c>
    </row>
    <row r="60" spans="2:14">
      <c r="B60" t="s">
        <v>749</v>
      </c>
      <c r="C60" s="110" t="str">
        <f>RIGHT(B60,3)</f>
        <v>187</v>
      </c>
      <c r="D60" t="s">
        <v>446</v>
      </c>
      <c r="E60" s="110" t="str">
        <f>LEFT(F60,22)</f>
        <v>LEAD LAG DAMPER</v>
      </c>
      <c r="F60" t="s">
        <v>177</v>
      </c>
      <c r="G60" s="110" t="str">
        <f>RIGHT(H60,9)</f>
        <v>012198658</v>
      </c>
      <c r="H60" t="s">
        <v>178</v>
      </c>
      <c r="I60" s="96">
        <f>Table__10.2.1.2_1_4AHB_v_gen_TBO[[#This Row],[REALDUE]]-Table__10.2.1.2_1_4AHB_v_gen_TBO[[#This Row],[EI_BEG_AGE]]</f>
        <v>1139.3000000000002</v>
      </c>
      <c r="J60" s="96">
        <v>5314.7</v>
      </c>
      <c r="K60" s="110" t="str">
        <f>IF(Table__10.2.1.2_1_4AHB_v_gen_TBO[[#This Row],[NO_OVHLS]]="RC","RC","LC")</f>
        <v>RC</v>
      </c>
      <c r="L60" t="s">
        <v>405</v>
      </c>
      <c r="M60" t="s">
        <v>958</v>
      </c>
      <c r="N60" t="b">
        <v>0</v>
      </c>
    </row>
    <row r="61" spans="2:14">
      <c r="B61" t="s">
        <v>753</v>
      </c>
      <c r="C61" s="110" t="str">
        <f>RIGHT(B61,3)</f>
        <v>141</v>
      </c>
      <c r="D61" t="s">
        <v>476</v>
      </c>
      <c r="E61" s="110" t="str">
        <f>LEFT(F61,22)</f>
        <v>BEARING, T/R SWASHPLAT</v>
      </c>
      <c r="F61" t="s">
        <v>229</v>
      </c>
      <c r="G61" s="110" t="str">
        <f>RIGHT(H61,9)</f>
        <v>013192168</v>
      </c>
      <c r="H61" t="s">
        <v>230</v>
      </c>
      <c r="I61" s="96">
        <f>Table__10.2.1.2_1_4AHB_v_gen_TBO[[#This Row],[REALDUE]]-Table__10.2.1.2_1_4AHB_v_gen_TBO[[#This Row],[EI_BEG_AGE]]</f>
        <v>1139.5</v>
      </c>
      <c r="J61" s="96">
        <v>4733.5</v>
      </c>
      <c r="K61" s="110" t="str">
        <f>IF(Table__10.2.1.2_1_4AHB_v_gen_TBO[[#This Row],[NO_OVHLS]]="RC","RC","LC")</f>
        <v>RC</v>
      </c>
      <c r="L61" t="s">
        <v>405</v>
      </c>
      <c r="M61" t="s">
        <v>1015</v>
      </c>
      <c r="N61" t="b">
        <v>0</v>
      </c>
    </row>
    <row r="62" spans="2:14">
      <c r="B62" t="s">
        <v>753</v>
      </c>
      <c r="C62" s="110" t="str">
        <f>RIGHT(B62,3)</f>
        <v>141</v>
      </c>
      <c r="D62" t="s">
        <v>474</v>
      </c>
      <c r="E62" s="110" t="str">
        <f>LEFT(F62,22)</f>
        <v>T/R SWASHPLATE ASSY</v>
      </c>
      <c r="F62" t="s">
        <v>227</v>
      </c>
      <c r="G62" s="110" t="str">
        <f>RIGHT(H62,9)</f>
        <v>015084118</v>
      </c>
      <c r="H62" t="s">
        <v>228</v>
      </c>
      <c r="I62" s="96">
        <f>Table__10.2.1.2_1_4AHB_v_gen_TBO[[#This Row],[REALDUE]]-Table__10.2.1.2_1_4AHB_v_gen_TBO[[#This Row],[EI_BEG_AGE]]</f>
        <v>1139.5</v>
      </c>
      <c r="J62" s="96">
        <v>4733.5</v>
      </c>
      <c r="K62" s="110" t="str">
        <f>IF(Table__10.2.1.2_1_4AHB_v_gen_TBO[[#This Row],[NO_OVHLS]]="RC","RC","LC")</f>
        <v>LC</v>
      </c>
      <c r="L62" t="s">
        <v>430</v>
      </c>
      <c r="M62" t="s">
        <v>1015</v>
      </c>
      <c r="N62" t="b">
        <v>0</v>
      </c>
    </row>
    <row r="63" spans="2:14">
      <c r="B63" t="s">
        <v>751</v>
      </c>
      <c r="C63" s="110" t="str">
        <f>RIGHT(B63,3)</f>
        <v>119</v>
      </c>
      <c r="D63" t="s">
        <v>834</v>
      </c>
      <c r="E63" s="110" t="str">
        <f>LEFT(F63,22)</f>
        <v>TRUNNION, DAMPER</v>
      </c>
      <c r="F63" t="s">
        <v>171</v>
      </c>
      <c r="G63" s="110" t="str">
        <f>RIGHT(H63,9)</f>
        <v>011705243</v>
      </c>
      <c r="H63" t="s">
        <v>172</v>
      </c>
      <c r="I63" s="110">
        <f>Table__10.2.1.2_1_4AHB_v_gen_TBO[[#This Row],[REALDUE]]-Table__10.2.1.2_1_4AHB_v_gen_TBO[[#This Row],[EI_BEG_AGE]]</f>
        <v>1145.0999999999999</v>
      </c>
      <c r="J63">
        <v>3973.9</v>
      </c>
      <c r="K63" s="110" t="str">
        <f>IF(Table__10.2.1.2_1_4AHB_v_gen_TBO[[#This Row],[NO_OVHLS]]="RC","RC","LC")</f>
        <v>RC</v>
      </c>
      <c r="L63" t="s">
        <v>405</v>
      </c>
      <c r="M63" t="s">
        <v>835</v>
      </c>
      <c r="N63" t="b">
        <v>0</v>
      </c>
    </row>
    <row r="64" spans="2:14">
      <c r="B64" t="s">
        <v>751</v>
      </c>
      <c r="C64" s="110" t="str">
        <f>RIGHT(B64,3)</f>
        <v>119</v>
      </c>
      <c r="D64" t="s">
        <v>443</v>
      </c>
      <c r="E64" s="110" t="str">
        <f>LEFT(F64,22)</f>
        <v>TRUNNION, DAMPER</v>
      </c>
      <c r="F64" t="s">
        <v>171</v>
      </c>
      <c r="G64" s="110" t="str">
        <f>RIGHT(H64,9)</f>
        <v>011705243</v>
      </c>
      <c r="H64" t="s">
        <v>172</v>
      </c>
      <c r="I64" s="110">
        <f>Table__10.2.1.2_1_4AHB_v_gen_TBO[[#This Row],[REALDUE]]-Table__10.2.1.2_1_4AHB_v_gen_TBO[[#This Row],[EI_BEG_AGE]]</f>
        <v>1145.0999999999999</v>
      </c>
      <c r="J64">
        <v>3973.9</v>
      </c>
      <c r="K64" s="110" t="str">
        <f>IF(Table__10.2.1.2_1_4AHB_v_gen_TBO[[#This Row],[NO_OVHLS]]="RC","RC","LC")</f>
        <v>RC</v>
      </c>
      <c r="L64" t="s">
        <v>405</v>
      </c>
      <c r="M64" t="s">
        <v>835</v>
      </c>
      <c r="N64" t="b">
        <v>0</v>
      </c>
    </row>
    <row r="65" spans="2:14">
      <c r="B65" t="s">
        <v>751</v>
      </c>
      <c r="C65" s="110" t="str">
        <f>RIGHT(B65,3)</f>
        <v>119</v>
      </c>
      <c r="D65" t="s">
        <v>443</v>
      </c>
      <c r="E65" s="110" t="str">
        <f>LEFT(F65,22)</f>
        <v>TRUNNION, DAMPER</v>
      </c>
      <c r="F65" t="s">
        <v>171</v>
      </c>
      <c r="G65" s="110" t="str">
        <f>RIGHT(H65,9)</f>
        <v>011705243</v>
      </c>
      <c r="H65" t="s">
        <v>172</v>
      </c>
      <c r="I65" s="110">
        <f>Table__10.2.1.2_1_4AHB_v_gen_TBO[[#This Row],[REALDUE]]-Table__10.2.1.2_1_4AHB_v_gen_TBO[[#This Row],[EI_BEG_AGE]]</f>
        <v>1145.0999999999999</v>
      </c>
      <c r="J65">
        <v>3973.9</v>
      </c>
      <c r="K65" s="110" t="str">
        <f>IF(Table__10.2.1.2_1_4AHB_v_gen_TBO[[#This Row],[NO_OVHLS]]="RC","RC","LC")</f>
        <v>RC</v>
      </c>
      <c r="L65" t="s">
        <v>405</v>
      </c>
      <c r="M65" t="s">
        <v>835</v>
      </c>
      <c r="N65" t="b">
        <v>0</v>
      </c>
    </row>
    <row r="66" spans="2:14">
      <c r="B66" t="s">
        <v>751</v>
      </c>
      <c r="C66" s="110" t="str">
        <f>RIGHT(B66,3)</f>
        <v>119</v>
      </c>
      <c r="D66" t="s">
        <v>443</v>
      </c>
      <c r="E66" s="110" t="str">
        <f>LEFT(F66,22)</f>
        <v>TRUNNION, DAMPER</v>
      </c>
      <c r="F66" t="s">
        <v>171</v>
      </c>
      <c r="G66" s="110" t="str">
        <f>RIGHT(H66,9)</f>
        <v>011705243</v>
      </c>
      <c r="H66" t="s">
        <v>172</v>
      </c>
      <c r="I66" s="110">
        <f>Table__10.2.1.2_1_4AHB_v_gen_TBO[[#This Row],[REALDUE]]-Table__10.2.1.2_1_4AHB_v_gen_TBO[[#This Row],[EI_BEG_AGE]]</f>
        <v>1145.0999999999999</v>
      </c>
      <c r="J66">
        <v>3973.9</v>
      </c>
      <c r="K66" s="110" t="str">
        <f>IF(Table__10.2.1.2_1_4AHB_v_gen_TBO[[#This Row],[NO_OVHLS]]="RC","RC","LC")</f>
        <v>RC</v>
      </c>
      <c r="L66" t="s">
        <v>405</v>
      </c>
      <c r="M66" t="s">
        <v>835</v>
      </c>
      <c r="N66" t="b">
        <v>0</v>
      </c>
    </row>
    <row r="67" spans="2:14">
      <c r="B67" t="s">
        <v>751</v>
      </c>
      <c r="C67" s="110" t="str">
        <f>RIGHT(B67,3)</f>
        <v>119</v>
      </c>
      <c r="D67" t="s">
        <v>443</v>
      </c>
      <c r="E67" s="110" t="str">
        <f>LEFT(F67,22)</f>
        <v>TRUNNION, DAMPER</v>
      </c>
      <c r="F67" t="s">
        <v>171</v>
      </c>
      <c r="G67" s="110" t="str">
        <f>RIGHT(H67,9)</f>
        <v>011705243</v>
      </c>
      <c r="H67" t="s">
        <v>172</v>
      </c>
      <c r="I67" s="110">
        <f>Table__10.2.1.2_1_4AHB_v_gen_TBO[[#This Row],[REALDUE]]-Table__10.2.1.2_1_4AHB_v_gen_TBO[[#This Row],[EI_BEG_AGE]]</f>
        <v>1145.0999999999999</v>
      </c>
      <c r="J67">
        <v>3973.9</v>
      </c>
      <c r="K67" s="110" t="str">
        <f>IF(Table__10.2.1.2_1_4AHB_v_gen_TBO[[#This Row],[NO_OVHLS]]="RC","RC","LC")</f>
        <v>RC</v>
      </c>
      <c r="L67" t="s">
        <v>405</v>
      </c>
      <c r="M67" t="s">
        <v>835</v>
      </c>
      <c r="N67" t="b">
        <v>0</v>
      </c>
    </row>
    <row r="68" spans="2:14">
      <c r="B68" t="s">
        <v>751</v>
      </c>
      <c r="C68" s="110" t="str">
        <f>RIGHT(B68,3)</f>
        <v>119</v>
      </c>
      <c r="D68" t="s">
        <v>443</v>
      </c>
      <c r="E68" s="110" t="str">
        <f>LEFT(F68,22)</f>
        <v>TRUNNION, DAMPER</v>
      </c>
      <c r="F68" t="s">
        <v>171</v>
      </c>
      <c r="G68" s="110" t="str">
        <f>RIGHT(H68,9)</f>
        <v>011705243</v>
      </c>
      <c r="H68" t="s">
        <v>172</v>
      </c>
      <c r="I68" s="110">
        <f>Table__10.2.1.2_1_4AHB_v_gen_TBO[[#This Row],[REALDUE]]-Table__10.2.1.2_1_4AHB_v_gen_TBO[[#This Row],[EI_BEG_AGE]]</f>
        <v>1145.0999999999999</v>
      </c>
      <c r="J68">
        <v>3973.9</v>
      </c>
      <c r="K68" s="110" t="str">
        <f>IF(Table__10.2.1.2_1_4AHB_v_gen_TBO[[#This Row],[NO_OVHLS]]="RC","RC","LC")</f>
        <v>RC</v>
      </c>
      <c r="L68" t="s">
        <v>405</v>
      </c>
      <c r="M68" t="s">
        <v>835</v>
      </c>
      <c r="N68" t="b">
        <v>0</v>
      </c>
    </row>
    <row r="69" spans="2:14">
      <c r="B69" t="s">
        <v>751</v>
      </c>
      <c r="C69" s="110" t="str">
        <f>RIGHT(B69,3)</f>
        <v>119</v>
      </c>
      <c r="D69" t="s">
        <v>443</v>
      </c>
      <c r="E69" s="110" t="str">
        <f>LEFT(F69,22)</f>
        <v>TRUNNION, DAMPER</v>
      </c>
      <c r="F69" t="s">
        <v>171</v>
      </c>
      <c r="G69" s="110" t="str">
        <f>RIGHT(H69,9)</f>
        <v>011705243</v>
      </c>
      <c r="H69" t="s">
        <v>172</v>
      </c>
      <c r="I69" s="110">
        <f>Table__10.2.1.2_1_4AHB_v_gen_TBO[[#This Row],[REALDUE]]-Table__10.2.1.2_1_4AHB_v_gen_TBO[[#This Row],[EI_BEG_AGE]]</f>
        <v>1145.0999999999999</v>
      </c>
      <c r="J69">
        <v>3973.9</v>
      </c>
      <c r="K69" s="110" t="str">
        <f>IF(Table__10.2.1.2_1_4AHB_v_gen_TBO[[#This Row],[NO_OVHLS]]="RC","RC","LC")</f>
        <v>RC</v>
      </c>
      <c r="L69" t="s">
        <v>405</v>
      </c>
      <c r="M69" t="s">
        <v>835</v>
      </c>
      <c r="N69" t="b">
        <v>0</v>
      </c>
    </row>
    <row r="70" spans="2:14">
      <c r="B70" t="s">
        <v>751</v>
      </c>
      <c r="C70" s="110" t="str">
        <f>RIGHT(B70,3)</f>
        <v>119</v>
      </c>
      <c r="D70" t="s">
        <v>443</v>
      </c>
      <c r="E70" s="110" t="str">
        <f>LEFT(F70,22)</f>
        <v>TRUNNION, DAMPER</v>
      </c>
      <c r="F70" t="s">
        <v>171</v>
      </c>
      <c r="G70" s="110" t="str">
        <f>RIGHT(H70,9)</f>
        <v>011705243</v>
      </c>
      <c r="H70" t="s">
        <v>172</v>
      </c>
      <c r="I70" s="110">
        <f>Table__10.2.1.2_1_4AHB_v_gen_TBO[[#This Row],[REALDUE]]-Table__10.2.1.2_1_4AHB_v_gen_TBO[[#This Row],[EI_BEG_AGE]]</f>
        <v>1145.0999999999999</v>
      </c>
      <c r="J70">
        <v>3973.9</v>
      </c>
      <c r="K70" s="110" t="str">
        <f>IF(Table__10.2.1.2_1_4AHB_v_gen_TBO[[#This Row],[NO_OVHLS]]="RC","RC","LC")</f>
        <v>RC</v>
      </c>
      <c r="L70" t="s">
        <v>405</v>
      </c>
      <c r="M70" t="s">
        <v>835</v>
      </c>
      <c r="N70" t="b">
        <v>0</v>
      </c>
    </row>
    <row r="71" spans="2:14">
      <c r="B71" t="s">
        <v>753</v>
      </c>
      <c r="C71" s="110" t="str">
        <f>RIGHT(B71,3)</f>
        <v>141</v>
      </c>
      <c r="D71" t="s">
        <v>481</v>
      </c>
      <c r="E71" s="110" t="str">
        <f>LEFT(F71,22)</f>
        <v>CARRIER ASSEMBLY</v>
      </c>
      <c r="F71" t="s">
        <v>239</v>
      </c>
      <c r="G71" s="110" t="str">
        <f>RIGHT(H71,9)</f>
        <v>N PENDING</v>
      </c>
      <c r="H71" t="s">
        <v>106</v>
      </c>
      <c r="I71" s="110">
        <f>Table__10.2.1.2_1_4AHB_v_gen_TBO[[#This Row],[REALDUE]]-Table__10.2.1.2_1_4AHB_v_gen_TBO[[#This Row],[EI_BEG_AGE]]</f>
        <v>1151.5</v>
      </c>
      <c r="J71">
        <v>4733.5</v>
      </c>
      <c r="K71" s="110" t="str">
        <f>IF(Table__10.2.1.2_1_4AHB_v_gen_TBO[[#This Row],[NO_OVHLS]]="RC","RC","LC")</f>
        <v>RC</v>
      </c>
      <c r="L71" t="s">
        <v>405</v>
      </c>
      <c r="M71" t="s">
        <v>916</v>
      </c>
      <c r="N71" t="b">
        <v>0</v>
      </c>
    </row>
    <row r="72" spans="2:14">
      <c r="B72" t="s">
        <v>751</v>
      </c>
      <c r="C72" s="110" t="str">
        <f>RIGHT(B72,3)</f>
        <v>119</v>
      </c>
      <c r="D72" t="s">
        <v>542</v>
      </c>
      <c r="E72" s="110" t="str">
        <f>LEFT(F72,22)</f>
        <v>GENERATOR</v>
      </c>
      <c r="F72" t="s">
        <v>332</v>
      </c>
      <c r="G72" s="110" t="str">
        <f>RIGHT(H72,9)</f>
        <v>014955122</v>
      </c>
      <c r="H72" t="s">
        <v>331</v>
      </c>
      <c r="I72" s="110">
        <f>Table__10.2.1.2_1_4AHB_v_gen_TBO[[#This Row],[REALDUE]]-Table__10.2.1.2_1_4AHB_v_gen_TBO[[#This Row],[EI_BEG_AGE]]</f>
        <v>1172.0999999999999</v>
      </c>
      <c r="J72">
        <v>3973.9</v>
      </c>
      <c r="K72" s="110" t="str">
        <f>IF(Table__10.2.1.2_1_4AHB_v_gen_TBO[[#This Row],[NO_OVHLS]]="RC","RC","LC")</f>
        <v>LC</v>
      </c>
      <c r="L72" t="s">
        <v>430</v>
      </c>
      <c r="M72" t="s">
        <v>1028</v>
      </c>
      <c r="N72" t="b">
        <v>0</v>
      </c>
    </row>
    <row r="73" spans="2:14">
      <c r="B73" t="s">
        <v>751</v>
      </c>
      <c r="C73" s="110" t="str">
        <f>RIGHT(B73,3)</f>
        <v>119</v>
      </c>
      <c r="D73" t="s">
        <v>542</v>
      </c>
      <c r="E73" s="110" t="str">
        <f>LEFT(F73,22)</f>
        <v>GENERATOR</v>
      </c>
      <c r="F73" t="s">
        <v>332</v>
      </c>
      <c r="G73" s="110" t="str">
        <f>RIGHT(H73,9)</f>
        <v>014955122</v>
      </c>
      <c r="H73" t="s">
        <v>331</v>
      </c>
      <c r="I73" s="110">
        <f>Table__10.2.1.2_1_4AHB_v_gen_TBO[[#This Row],[REALDUE]]-Table__10.2.1.2_1_4AHB_v_gen_TBO[[#This Row],[EI_BEG_AGE]]</f>
        <v>1172.0999999999999</v>
      </c>
      <c r="J73">
        <v>3973.9</v>
      </c>
      <c r="K73" s="110" t="str">
        <f>IF(Table__10.2.1.2_1_4AHB_v_gen_TBO[[#This Row],[NO_OVHLS]]="RC","RC","LC")</f>
        <v>LC</v>
      </c>
      <c r="L73" t="s">
        <v>427</v>
      </c>
      <c r="M73" t="s">
        <v>1028</v>
      </c>
      <c r="N73" t="b">
        <v>0</v>
      </c>
    </row>
    <row r="74" spans="2:14">
      <c r="B74" t="s">
        <v>753</v>
      </c>
      <c r="C74" s="110" t="str">
        <f>RIGHT(B74,3)</f>
        <v>141</v>
      </c>
      <c r="D74" t="s">
        <v>446</v>
      </c>
      <c r="E74" s="110" t="str">
        <f>LEFT(F74,22)</f>
        <v>LEAD LAG DAMPER</v>
      </c>
      <c r="F74" t="s">
        <v>177</v>
      </c>
      <c r="G74" s="110" t="str">
        <f>RIGHT(H74,9)</f>
        <v>012198658</v>
      </c>
      <c r="H74" t="s">
        <v>178</v>
      </c>
      <c r="I74" s="110">
        <f>Table__10.2.1.2_1_4AHB_v_gen_TBO[[#This Row],[REALDUE]]-Table__10.2.1.2_1_4AHB_v_gen_TBO[[#This Row],[EI_BEG_AGE]]</f>
        <v>1179.5</v>
      </c>
      <c r="J74">
        <v>4733.5</v>
      </c>
      <c r="K74" s="110" t="str">
        <f>IF(Table__10.2.1.2_1_4AHB_v_gen_TBO[[#This Row],[NO_OVHLS]]="RC","RC","LC")</f>
        <v>RC</v>
      </c>
      <c r="L74" t="s">
        <v>405</v>
      </c>
      <c r="M74" t="s">
        <v>952</v>
      </c>
      <c r="N74" t="b">
        <v>0</v>
      </c>
    </row>
    <row r="75" spans="2:14">
      <c r="B75" t="s">
        <v>751</v>
      </c>
      <c r="C75" s="110" t="str">
        <f>RIGHT(B75,3)</f>
        <v>119</v>
      </c>
      <c r="D75" t="s">
        <v>467</v>
      </c>
      <c r="E75" s="110" t="str">
        <f>LEFT(F75,22)</f>
        <v>TAIL ROTOR FORK ASSY</v>
      </c>
      <c r="F75" t="s">
        <v>217</v>
      </c>
      <c r="G75" s="110" t="str">
        <f>RIGHT(H75,9)</f>
        <v>012212932</v>
      </c>
      <c r="H75" t="s">
        <v>218</v>
      </c>
      <c r="I75" s="110">
        <f>Table__10.2.1.2_1_4AHB_v_gen_TBO[[#This Row],[REALDUE]]-Table__10.2.1.2_1_4AHB_v_gen_TBO[[#This Row],[EI_BEG_AGE]]</f>
        <v>1190.0999999999999</v>
      </c>
      <c r="J75">
        <v>3973.9</v>
      </c>
      <c r="K75" s="110" t="str">
        <f>IF(Table__10.2.1.2_1_4AHB_v_gen_TBO[[#This Row],[NO_OVHLS]]="RC","RC","LC")</f>
        <v>RC</v>
      </c>
      <c r="L75" t="s">
        <v>405</v>
      </c>
      <c r="M75" t="s">
        <v>876</v>
      </c>
      <c r="N75" t="b">
        <v>0</v>
      </c>
    </row>
    <row r="76" spans="2:14">
      <c r="B76" t="s">
        <v>749</v>
      </c>
      <c r="C76" s="110" t="str">
        <f>RIGHT(B76,3)</f>
        <v>187</v>
      </c>
      <c r="D76" t="s">
        <v>443</v>
      </c>
      <c r="E76" s="110" t="str">
        <f>LEFT(F76,22)</f>
        <v>TRUNNION, DAMPER</v>
      </c>
      <c r="F76" t="s">
        <v>171</v>
      </c>
      <c r="G76" s="110" t="str">
        <f>RIGHT(H76,9)</f>
        <v>011705243</v>
      </c>
      <c r="H76" t="s">
        <v>172</v>
      </c>
      <c r="I76" s="110">
        <f>Table__10.2.1.2_1_4AHB_v_gen_TBO[[#This Row],[REALDUE]]-Table__10.2.1.2_1_4AHB_v_gen_TBO[[#This Row],[EI_BEG_AGE]]</f>
        <v>1226.3000000000002</v>
      </c>
      <c r="J76">
        <v>5314.7</v>
      </c>
      <c r="K76" s="110" t="str">
        <f>IF(Table__10.2.1.2_1_4AHB_v_gen_TBO[[#This Row],[NO_OVHLS]]="RC","RC","LC")</f>
        <v>RC</v>
      </c>
      <c r="L76" t="s">
        <v>405</v>
      </c>
      <c r="M76" t="s">
        <v>605</v>
      </c>
      <c r="N76" t="b">
        <v>0</v>
      </c>
    </row>
    <row r="77" spans="2:14">
      <c r="B77" t="s">
        <v>749</v>
      </c>
      <c r="C77" s="110" t="str">
        <f>RIGHT(B77,3)</f>
        <v>187</v>
      </c>
      <c r="D77" t="s">
        <v>443</v>
      </c>
      <c r="E77" s="110" t="str">
        <f>LEFT(F77,22)</f>
        <v>TRUNNION, DAMPER</v>
      </c>
      <c r="F77" t="s">
        <v>171</v>
      </c>
      <c r="G77" s="110" t="str">
        <f>RIGHT(H77,9)</f>
        <v>011705243</v>
      </c>
      <c r="H77" t="s">
        <v>172</v>
      </c>
      <c r="I77" s="110">
        <f>Table__10.2.1.2_1_4AHB_v_gen_TBO[[#This Row],[REALDUE]]-Table__10.2.1.2_1_4AHB_v_gen_TBO[[#This Row],[EI_BEG_AGE]]</f>
        <v>1226.3000000000002</v>
      </c>
      <c r="J77">
        <v>5314.7</v>
      </c>
      <c r="K77" s="110" t="str">
        <f>IF(Table__10.2.1.2_1_4AHB_v_gen_TBO[[#This Row],[NO_OVHLS]]="RC","RC","LC")</f>
        <v>RC</v>
      </c>
      <c r="L77" t="s">
        <v>405</v>
      </c>
      <c r="M77" t="s">
        <v>605</v>
      </c>
      <c r="N77" t="b">
        <v>0</v>
      </c>
    </row>
    <row r="78" spans="2:14">
      <c r="B78" t="s">
        <v>749</v>
      </c>
      <c r="C78" s="110" t="str">
        <f>RIGHT(B78,3)</f>
        <v>187</v>
      </c>
      <c r="D78" t="s">
        <v>443</v>
      </c>
      <c r="E78" s="110" t="str">
        <f>LEFT(F78,22)</f>
        <v>TRUNNION, DAMPER</v>
      </c>
      <c r="F78" t="s">
        <v>171</v>
      </c>
      <c r="G78" s="110" t="str">
        <f>RIGHT(H78,9)</f>
        <v>011705243</v>
      </c>
      <c r="H78" t="s">
        <v>172</v>
      </c>
      <c r="I78" s="110">
        <f>Table__10.2.1.2_1_4AHB_v_gen_TBO[[#This Row],[REALDUE]]-Table__10.2.1.2_1_4AHB_v_gen_TBO[[#This Row],[EI_BEG_AGE]]</f>
        <v>1226.3000000000002</v>
      </c>
      <c r="J78">
        <v>5314.7</v>
      </c>
      <c r="K78" s="110" t="str">
        <f>IF(Table__10.2.1.2_1_4AHB_v_gen_TBO[[#This Row],[NO_OVHLS]]="RC","RC","LC")</f>
        <v>RC</v>
      </c>
      <c r="L78" t="s">
        <v>405</v>
      </c>
      <c r="M78" t="s">
        <v>605</v>
      </c>
      <c r="N78" t="b">
        <v>0</v>
      </c>
    </row>
    <row r="79" spans="2:14">
      <c r="B79" t="s">
        <v>749</v>
      </c>
      <c r="C79" s="110" t="str">
        <f>RIGHT(B79,3)</f>
        <v>187</v>
      </c>
      <c r="D79" t="s">
        <v>443</v>
      </c>
      <c r="E79" s="110" t="str">
        <f>LEFT(F79,22)</f>
        <v>TRUNNION, DAMPER</v>
      </c>
      <c r="F79" t="s">
        <v>171</v>
      </c>
      <c r="G79" s="110" t="str">
        <f>RIGHT(H79,9)</f>
        <v>011705243</v>
      </c>
      <c r="H79" t="s">
        <v>172</v>
      </c>
      <c r="I79" s="110">
        <f>Table__10.2.1.2_1_4AHB_v_gen_TBO[[#This Row],[REALDUE]]-Table__10.2.1.2_1_4AHB_v_gen_TBO[[#This Row],[EI_BEG_AGE]]</f>
        <v>1226.3000000000002</v>
      </c>
      <c r="J79">
        <v>5314.7</v>
      </c>
      <c r="K79" s="110" t="str">
        <f>IF(Table__10.2.1.2_1_4AHB_v_gen_TBO[[#This Row],[NO_OVHLS]]="RC","RC","LC")</f>
        <v>RC</v>
      </c>
      <c r="L79" t="s">
        <v>405</v>
      </c>
      <c r="M79" t="s">
        <v>605</v>
      </c>
      <c r="N79" t="b">
        <v>0</v>
      </c>
    </row>
    <row r="80" spans="2:14">
      <c r="B80" t="s">
        <v>753</v>
      </c>
      <c r="C80" s="110" t="str">
        <f>RIGHT(B80,3)</f>
        <v>141</v>
      </c>
      <c r="D80" t="s">
        <v>477</v>
      </c>
      <c r="E80" s="110" t="str">
        <f>LEFT(F80,22)</f>
        <v>MAIN TRANSMISSION ASSY</v>
      </c>
      <c r="F80" t="s">
        <v>231</v>
      </c>
      <c r="G80" s="110" t="str">
        <f>RIGHT(H80,9)</f>
        <v>015209742</v>
      </c>
      <c r="H80" t="s">
        <v>232</v>
      </c>
      <c r="I80" s="110">
        <f>Table__10.2.1.2_1_4AHB_v_gen_TBO[[#This Row],[REALDUE]]-Table__10.2.1.2_1_4AHB_v_gen_TBO[[#This Row],[EI_BEG_AGE]]</f>
        <v>1240.5</v>
      </c>
      <c r="J80">
        <v>4733.5</v>
      </c>
      <c r="K80" s="110" t="str">
        <f>IF(Table__10.2.1.2_1_4AHB_v_gen_TBO[[#This Row],[NO_OVHLS]]="RC","RC","LC")</f>
        <v>LC</v>
      </c>
      <c r="L80" t="s">
        <v>431</v>
      </c>
      <c r="M80" t="s">
        <v>913</v>
      </c>
      <c r="N80" t="b">
        <v>0</v>
      </c>
    </row>
    <row r="81" spans="2:14">
      <c r="B81" t="s">
        <v>753</v>
      </c>
      <c r="C81" s="110" t="str">
        <f>RIGHT(B81,3)</f>
        <v>141</v>
      </c>
      <c r="D81" t="s">
        <v>443</v>
      </c>
      <c r="E81" s="110" t="str">
        <f>LEFT(F81,22)</f>
        <v>TRUNNION, DAMPER</v>
      </c>
      <c r="F81" t="s">
        <v>171</v>
      </c>
      <c r="G81" s="110" t="str">
        <f>RIGHT(H81,9)</f>
        <v>011705243</v>
      </c>
      <c r="H81" t="s">
        <v>172</v>
      </c>
      <c r="I81" s="110">
        <f>Table__10.2.1.2_1_4AHB_v_gen_TBO[[#This Row],[REALDUE]]-Table__10.2.1.2_1_4AHB_v_gen_TBO[[#This Row],[EI_BEG_AGE]]</f>
        <v>1240.5</v>
      </c>
      <c r="J81">
        <v>4733.5</v>
      </c>
      <c r="K81" s="110" t="str">
        <f>IF(Table__10.2.1.2_1_4AHB_v_gen_TBO[[#This Row],[NO_OVHLS]]="RC","RC","LC")</f>
        <v>RC</v>
      </c>
      <c r="L81" t="s">
        <v>405</v>
      </c>
      <c r="M81" t="s">
        <v>913</v>
      </c>
      <c r="N81" t="b">
        <v>0</v>
      </c>
    </row>
    <row r="82" spans="2:14">
      <c r="B82" t="s">
        <v>751</v>
      </c>
      <c r="C82" s="110" t="str">
        <f>RIGHT(B82,3)</f>
        <v>119</v>
      </c>
      <c r="D82" t="s">
        <v>434</v>
      </c>
      <c r="E82" s="110" t="str">
        <f>LEFT(F82,22)</f>
        <v>STRETCHED STRAP</v>
      </c>
      <c r="F82" t="s">
        <v>151</v>
      </c>
      <c r="G82" s="110" t="str">
        <f>RIGHT(H82,9)</f>
        <v>015017715</v>
      </c>
      <c r="H82" t="s">
        <v>152</v>
      </c>
      <c r="I82" s="110">
        <f>Table__10.2.1.2_1_4AHB_v_gen_TBO[[#This Row],[REALDUE]]-Table__10.2.1.2_1_4AHB_v_gen_TBO[[#This Row],[EI_BEG_AGE]]</f>
        <v>1270.0999999999999</v>
      </c>
      <c r="J82">
        <v>3973.9</v>
      </c>
      <c r="K82" s="110" t="str">
        <f>IF(Table__10.2.1.2_1_4AHB_v_gen_TBO[[#This Row],[NO_OVHLS]]="RC","RC","LC")</f>
        <v>RC</v>
      </c>
      <c r="L82" t="s">
        <v>405</v>
      </c>
      <c r="M82" t="s">
        <v>1026</v>
      </c>
      <c r="N82" t="b">
        <v>0</v>
      </c>
    </row>
    <row r="83" spans="2:14">
      <c r="B83" t="s">
        <v>753</v>
      </c>
      <c r="C83" s="110" t="str">
        <f>RIGHT(B83,3)</f>
        <v>141</v>
      </c>
      <c r="D83" t="s">
        <v>537</v>
      </c>
      <c r="E83" s="110" t="str">
        <f>LEFT(F83,22)</f>
        <v>HANGER BEARING AFT</v>
      </c>
      <c r="F83" t="s">
        <v>321</v>
      </c>
      <c r="G83" s="110" t="str">
        <f>RIGHT(H83,9)</f>
        <v>013338490</v>
      </c>
      <c r="H83" t="s">
        <v>322</v>
      </c>
      <c r="I83" s="110">
        <f>Table__10.2.1.2_1_4AHB_v_gen_TBO[[#This Row],[REALDUE]]-Table__10.2.1.2_1_4AHB_v_gen_TBO[[#This Row],[EI_BEG_AGE]]</f>
        <v>1278.5</v>
      </c>
      <c r="J83">
        <v>4733.5</v>
      </c>
      <c r="K83" s="110" t="str">
        <f>IF(Table__10.2.1.2_1_4AHB_v_gen_TBO[[#This Row],[NO_OVHLS]]="RC","RC","LC")</f>
        <v>LC</v>
      </c>
      <c r="L83" t="s">
        <v>427</v>
      </c>
      <c r="M83" t="s">
        <v>856</v>
      </c>
      <c r="N83" t="b">
        <v>0</v>
      </c>
    </row>
    <row r="84" spans="2:14">
      <c r="B84" t="s">
        <v>751</v>
      </c>
      <c r="C84" s="110" t="str">
        <f>RIGHT(B84,3)</f>
        <v>119</v>
      </c>
      <c r="D84" t="s">
        <v>434</v>
      </c>
      <c r="E84" s="110" t="str">
        <f>LEFT(F84,22)</f>
        <v>STRETCHED STRAP</v>
      </c>
      <c r="F84" t="s">
        <v>151</v>
      </c>
      <c r="G84" s="110" t="str">
        <f>RIGHT(H84,9)</f>
        <v>015017715</v>
      </c>
      <c r="H84" t="s">
        <v>152</v>
      </c>
      <c r="I84" s="110">
        <f>Table__10.2.1.2_1_4AHB_v_gen_TBO[[#This Row],[REALDUE]]-Table__10.2.1.2_1_4AHB_v_gen_TBO[[#This Row],[EI_BEG_AGE]]</f>
        <v>1347.1</v>
      </c>
      <c r="J84">
        <v>3973.9</v>
      </c>
      <c r="K84" s="110" t="str">
        <f>IF(Table__10.2.1.2_1_4AHB_v_gen_TBO[[#This Row],[NO_OVHLS]]="RC","RC","LC")</f>
        <v>RC</v>
      </c>
      <c r="L84" t="s">
        <v>405</v>
      </c>
      <c r="M84" t="s">
        <v>1027</v>
      </c>
      <c r="N84" t="b">
        <v>0</v>
      </c>
    </row>
    <row r="85" spans="2:14">
      <c r="B85" t="s">
        <v>749</v>
      </c>
      <c r="C85" s="110" t="str">
        <f>RIGHT(B85,3)</f>
        <v>187</v>
      </c>
      <c r="D85" t="s">
        <v>446</v>
      </c>
      <c r="E85" s="110" t="str">
        <f>LEFT(F85,22)</f>
        <v>LEAD LAG DAMPER</v>
      </c>
      <c r="F85" t="s">
        <v>177</v>
      </c>
      <c r="G85" s="110" t="str">
        <f>RIGHT(H85,9)</f>
        <v>012198658</v>
      </c>
      <c r="H85" t="s">
        <v>178</v>
      </c>
      <c r="I85" s="110">
        <f>Table__10.2.1.2_1_4AHB_v_gen_TBO[[#This Row],[REALDUE]]-Table__10.2.1.2_1_4AHB_v_gen_TBO[[#This Row],[EI_BEG_AGE]]</f>
        <v>1380.3000000000002</v>
      </c>
      <c r="J85">
        <v>5314.7</v>
      </c>
      <c r="K85" s="110" t="str">
        <f>IF(Table__10.2.1.2_1_4AHB_v_gen_TBO[[#This Row],[NO_OVHLS]]="RC","RC","LC")</f>
        <v>RC</v>
      </c>
      <c r="L85" t="s">
        <v>405</v>
      </c>
      <c r="M85" t="s">
        <v>957</v>
      </c>
      <c r="N85" t="b">
        <v>0</v>
      </c>
    </row>
    <row r="86" spans="2:14">
      <c r="B86" t="s">
        <v>751</v>
      </c>
      <c r="C86" s="110" t="str">
        <f>RIGHT(B86,3)</f>
        <v>119</v>
      </c>
      <c r="D86" t="s">
        <v>444</v>
      </c>
      <c r="E86" s="110" t="str">
        <f>LEFT(F86,22)</f>
        <v>BEARING, UPPER</v>
      </c>
      <c r="F86" t="s">
        <v>173</v>
      </c>
      <c r="G86" s="110" t="str">
        <f>RIGHT(H86,9)</f>
        <v>012154794</v>
      </c>
      <c r="H86" t="s">
        <v>174</v>
      </c>
      <c r="I86" s="110">
        <f>Table__10.2.1.2_1_4AHB_v_gen_TBO[[#This Row],[REALDUE]]-Table__10.2.1.2_1_4AHB_v_gen_TBO[[#This Row],[EI_BEG_AGE]]</f>
        <v>1422.1</v>
      </c>
      <c r="J86">
        <v>3973.9</v>
      </c>
      <c r="K86" s="110" t="str">
        <f>IF(Table__10.2.1.2_1_4AHB_v_gen_TBO[[#This Row],[NO_OVHLS]]="RC","RC","LC")</f>
        <v>RC</v>
      </c>
      <c r="L86" t="s">
        <v>405</v>
      </c>
      <c r="M86" t="s">
        <v>976</v>
      </c>
      <c r="N86" t="b">
        <v>0</v>
      </c>
    </row>
    <row r="87" spans="2:14">
      <c r="B87" t="s">
        <v>749</v>
      </c>
      <c r="C87" s="110" t="str">
        <f>RIGHT(B87,3)</f>
        <v>187</v>
      </c>
      <c r="D87" t="s">
        <v>583</v>
      </c>
      <c r="E87" s="110" t="str">
        <f>LEFT(F87,22)</f>
        <v>APU CLUTCH</v>
      </c>
      <c r="F87" t="s">
        <v>387</v>
      </c>
      <c r="G87" s="110" t="str">
        <f>RIGHT(H87,9)</f>
        <v>015158483</v>
      </c>
      <c r="H87" t="s">
        <v>388</v>
      </c>
      <c r="I87" s="110">
        <f>Table__10.2.1.2_1_4AHB_v_gen_TBO[[#This Row],[REALDUE]]-Table__10.2.1.2_1_4AHB_v_gen_TBO[[#This Row],[EI_BEG_AGE]]</f>
        <v>1435.3000000000002</v>
      </c>
      <c r="J87">
        <v>5314.7</v>
      </c>
      <c r="K87" s="110" t="str">
        <f>IF(Table__10.2.1.2_1_4AHB_v_gen_TBO[[#This Row],[NO_OVHLS]]="RC","RC","LC")</f>
        <v>LC</v>
      </c>
      <c r="L87" t="s">
        <v>427</v>
      </c>
      <c r="M87" t="s">
        <v>847</v>
      </c>
      <c r="N87" t="b">
        <v>0</v>
      </c>
    </row>
    <row r="88" spans="2:14">
      <c r="B88" t="s">
        <v>753</v>
      </c>
      <c r="C88" s="110" t="str">
        <f>RIGHT(B88,3)</f>
        <v>141</v>
      </c>
      <c r="D88" t="s">
        <v>446</v>
      </c>
      <c r="E88" s="110" t="str">
        <f>LEFT(F88,22)</f>
        <v>LEAD LAG DAMPER</v>
      </c>
      <c r="F88" t="s">
        <v>177</v>
      </c>
      <c r="G88" s="110" t="str">
        <f>RIGHT(H88,9)</f>
        <v>012198658</v>
      </c>
      <c r="H88" t="s">
        <v>178</v>
      </c>
      <c r="I88" s="110">
        <f>Table__10.2.1.2_1_4AHB_v_gen_TBO[[#This Row],[REALDUE]]-Table__10.2.1.2_1_4AHB_v_gen_TBO[[#This Row],[EI_BEG_AGE]]</f>
        <v>1441.5</v>
      </c>
      <c r="J88">
        <v>4733.5</v>
      </c>
      <c r="K88" s="110" t="str">
        <f>IF(Table__10.2.1.2_1_4AHB_v_gen_TBO[[#This Row],[NO_OVHLS]]="RC","RC","LC")</f>
        <v>RC</v>
      </c>
      <c r="L88" t="s">
        <v>405</v>
      </c>
      <c r="M88" t="s">
        <v>948</v>
      </c>
      <c r="N88" t="b">
        <v>0</v>
      </c>
    </row>
    <row r="89" spans="2:14">
      <c r="B89" t="s">
        <v>753</v>
      </c>
      <c r="C89" s="110" t="str">
        <f>RIGHT(B89,3)</f>
        <v>141</v>
      </c>
      <c r="D89" t="s">
        <v>542</v>
      </c>
      <c r="E89" s="110" t="str">
        <f>LEFT(F89,22)</f>
        <v>GENERATOR</v>
      </c>
      <c r="F89" t="s">
        <v>332</v>
      </c>
      <c r="G89" s="110" t="str">
        <f>RIGHT(H89,9)</f>
        <v>014955122</v>
      </c>
      <c r="H89" t="s">
        <v>331</v>
      </c>
      <c r="I89" s="110">
        <f>Table__10.2.1.2_1_4AHB_v_gen_TBO[[#This Row],[REALDUE]]-Table__10.2.1.2_1_4AHB_v_gen_TBO[[#This Row],[EI_BEG_AGE]]</f>
        <v>1457.5</v>
      </c>
      <c r="J89">
        <v>4733.5</v>
      </c>
      <c r="K89" s="110" t="str">
        <f>IF(Table__10.2.1.2_1_4AHB_v_gen_TBO[[#This Row],[NO_OVHLS]]="RC","RC","LC")</f>
        <v>LC</v>
      </c>
      <c r="L89" t="s">
        <v>427</v>
      </c>
      <c r="M89" t="s">
        <v>1029</v>
      </c>
      <c r="N89" t="b">
        <v>0</v>
      </c>
    </row>
    <row r="90" spans="2:14">
      <c r="B90" t="s">
        <v>753</v>
      </c>
      <c r="C90" s="110" t="str">
        <f>RIGHT(B90,3)</f>
        <v>141</v>
      </c>
      <c r="D90" t="s">
        <v>542</v>
      </c>
      <c r="E90" s="110" t="str">
        <f>LEFT(F90,22)</f>
        <v>GENERATOR</v>
      </c>
      <c r="F90" t="s">
        <v>332</v>
      </c>
      <c r="G90" s="110" t="str">
        <f>RIGHT(H90,9)</f>
        <v>014955122</v>
      </c>
      <c r="H90" t="s">
        <v>331</v>
      </c>
      <c r="I90" s="110">
        <f>Table__10.2.1.2_1_4AHB_v_gen_TBO[[#This Row],[REALDUE]]-Table__10.2.1.2_1_4AHB_v_gen_TBO[[#This Row],[EI_BEG_AGE]]</f>
        <v>1457.5</v>
      </c>
      <c r="J90">
        <v>4733.5</v>
      </c>
      <c r="K90" s="110" t="str">
        <f>IF(Table__10.2.1.2_1_4AHB_v_gen_TBO[[#This Row],[NO_OVHLS]]="RC","RC","LC")</f>
        <v>LC</v>
      </c>
      <c r="L90" t="s">
        <v>428</v>
      </c>
      <c r="M90" t="s">
        <v>1029</v>
      </c>
      <c r="N90" t="b">
        <v>0</v>
      </c>
    </row>
    <row r="91" spans="2:14">
      <c r="B91" t="s">
        <v>749</v>
      </c>
      <c r="C91" s="110" t="str">
        <f>RIGHT(B91,3)</f>
        <v>187</v>
      </c>
      <c r="D91" t="s">
        <v>443</v>
      </c>
      <c r="E91" s="110" t="str">
        <f>LEFT(F91,22)</f>
        <v>TRUNNION, DAMPER</v>
      </c>
      <c r="F91" t="s">
        <v>171</v>
      </c>
      <c r="G91" s="110" t="str">
        <f>RIGHT(H91,9)</f>
        <v>011705243</v>
      </c>
      <c r="H91" t="s">
        <v>172</v>
      </c>
      <c r="I91" s="110">
        <f>Table__10.2.1.2_1_4AHB_v_gen_TBO[[#This Row],[REALDUE]]-Table__10.2.1.2_1_4AHB_v_gen_TBO[[#This Row],[EI_BEG_AGE]]</f>
        <v>1472.3000000000002</v>
      </c>
      <c r="J91">
        <v>5314.7</v>
      </c>
      <c r="K91" s="110" t="str">
        <f>IF(Table__10.2.1.2_1_4AHB_v_gen_TBO[[#This Row],[NO_OVHLS]]="RC","RC","LC")</f>
        <v>RC</v>
      </c>
      <c r="L91" t="s">
        <v>405</v>
      </c>
      <c r="M91" t="s">
        <v>185</v>
      </c>
      <c r="N91" t="b">
        <v>0</v>
      </c>
    </row>
    <row r="92" spans="2:14">
      <c r="B92" t="s">
        <v>753</v>
      </c>
      <c r="C92" s="110" t="str">
        <f>RIGHT(B92,3)</f>
        <v>141</v>
      </c>
      <c r="D92" t="s">
        <v>449</v>
      </c>
      <c r="E92" s="110" t="str">
        <f>LEFT(F92,22)</f>
        <v>MAIN ROTOR BLADE</v>
      </c>
      <c r="F92" t="s">
        <v>181</v>
      </c>
      <c r="G92" s="110" t="str">
        <f>RIGHT(H92,9)</f>
        <v>013320702</v>
      </c>
      <c r="H92" t="s">
        <v>183</v>
      </c>
      <c r="I92" s="110">
        <f>Table__10.2.1.2_1_4AHB_v_gen_TBO[[#This Row],[REALDUE]]-Table__10.2.1.2_1_4AHB_v_gen_TBO[[#This Row],[EI_BEG_AGE]]</f>
        <v>1477.5</v>
      </c>
      <c r="J92">
        <v>4733.5</v>
      </c>
      <c r="K92" s="110" t="str">
        <f>IF(Table__10.2.1.2_1_4AHB_v_gen_TBO[[#This Row],[NO_OVHLS]]="RC","RC","LC")</f>
        <v>RC</v>
      </c>
      <c r="L92" t="s">
        <v>405</v>
      </c>
      <c r="M92" t="s">
        <v>233</v>
      </c>
      <c r="N92" t="b">
        <v>0</v>
      </c>
    </row>
    <row r="93" spans="2:14">
      <c r="B93" t="s">
        <v>749</v>
      </c>
      <c r="C93" s="110" t="str">
        <f>RIGHT(B93,3)</f>
        <v>187</v>
      </c>
      <c r="D93" t="s">
        <v>489</v>
      </c>
      <c r="E93" s="110" t="str">
        <f>LEFT(F93,22)</f>
        <v>GEARSHAFT, SPUR</v>
      </c>
      <c r="F93" t="s">
        <v>256</v>
      </c>
      <c r="G93" s="110" t="str">
        <f>RIGHT(H93,9)</f>
        <v>011611212</v>
      </c>
      <c r="H93" t="s">
        <v>257</v>
      </c>
      <c r="I93" s="110">
        <f>Table__10.2.1.2_1_4AHB_v_gen_TBO[[#This Row],[REALDUE]]-Table__10.2.1.2_1_4AHB_v_gen_TBO[[#This Row],[EI_BEG_AGE]]</f>
        <v>1554.3000000000002</v>
      </c>
      <c r="J93">
        <v>5314.7</v>
      </c>
      <c r="K93" s="110" t="str">
        <f>IF(Table__10.2.1.2_1_4AHB_v_gen_TBO[[#This Row],[NO_OVHLS]]="RC","RC","LC")</f>
        <v>RC</v>
      </c>
      <c r="L93" t="s">
        <v>405</v>
      </c>
      <c r="M93" t="s">
        <v>861</v>
      </c>
      <c r="N93" t="b">
        <v>0</v>
      </c>
    </row>
    <row r="94" spans="2:14">
      <c r="B94" t="s">
        <v>749</v>
      </c>
      <c r="C94" s="110" t="str">
        <f>RIGHT(B94,3)</f>
        <v>187</v>
      </c>
      <c r="D94" t="s">
        <v>434</v>
      </c>
      <c r="E94" s="110" t="str">
        <f>LEFT(F94,22)</f>
        <v>STRETCHED STRAP</v>
      </c>
      <c r="F94" t="s">
        <v>151</v>
      </c>
      <c r="G94" s="110" t="str">
        <f>RIGHT(H94,9)</f>
        <v>015017715</v>
      </c>
      <c r="H94" t="s">
        <v>152</v>
      </c>
      <c r="I94" s="110">
        <f>Table__10.2.1.2_1_4AHB_v_gen_TBO[[#This Row],[REALDUE]]-Table__10.2.1.2_1_4AHB_v_gen_TBO[[#This Row],[EI_BEG_AGE]]</f>
        <v>1573.3000000000002</v>
      </c>
      <c r="J94">
        <v>5314.7</v>
      </c>
      <c r="K94" s="110" t="str">
        <f>IF(Table__10.2.1.2_1_4AHB_v_gen_TBO[[#This Row],[NO_OVHLS]]="RC","RC","LC")</f>
        <v>RC</v>
      </c>
      <c r="L94" t="s">
        <v>405</v>
      </c>
      <c r="M94" t="s">
        <v>604</v>
      </c>
      <c r="N94" t="b">
        <v>0</v>
      </c>
    </row>
    <row r="95" spans="2:14">
      <c r="B95" t="s">
        <v>753</v>
      </c>
      <c r="C95" s="110" t="str">
        <f>RIGHT(B95,3)</f>
        <v>141</v>
      </c>
      <c r="D95" t="s">
        <v>429</v>
      </c>
      <c r="E95" s="110" t="str">
        <f>LEFT(F95,22)</f>
        <v>MAIN ROTOR HEAD ASSY</v>
      </c>
      <c r="F95" t="s">
        <v>145</v>
      </c>
      <c r="G95" s="110" t="str">
        <f>RIGHT(H95,9)</f>
        <v>015120889</v>
      </c>
      <c r="H95" t="s">
        <v>146</v>
      </c>
      <c r="I95" s="110">
        <f>Table__10.2.1.2_1_4AHB_v_gen_TBO[[#This Row],[REALDUE]]-Table__10.2.1.2_1_4AHB_v_gen_TBO[[#This Row],[EI_BEG_AGE]]</f>
        <v>1595.5</v>
      </c>
      <c r="J95">
        <v>4733.5</v>
      </c>
      <c r="K95" s="110" t="str">
        <f>IF(Table__10.2.1.2_1_4AHB_v_gen_TBO[[#This Row],[NO_OVHLS]]="RC","RC","LC")</f>
        <v>LC</v>
      </c>
      <c r="L95" t="s">
        <v>431</v>
      </c>
      <c r="M95" t="s">
        <v>931</v>
      </c>
      <c r="N95" t="b">
        <v>0</v>
      </c>
    </row>
    <row r="96" spans="2:14">
      <c r="B96" t="s">
        <v>753</v>
      </c>
      <c r="C96" s="110" t="str">
        <f>RIGHT(B96,3)</f>
        <v>141</v>
      </c>
      <c r="D96" t="s">
        <v>444</v>
      </c>
      <c r="E96" s="110" t="str">
        <f>LEFT(F96,22)</f>
        <v>BEARING, UPPER</v>
      </c>
      <c r="F96" t="s">
        <v>173</v>
      </c>
      <c r="G96" s="110" t="str">
        <f>RIGHT(H96,9)</f>
        <v>012154794</v>
      </c>
      <c r="H96" t="s">
        <v>174</v>
      </c>
      <c r="I96" s="110">
        <f>Table__10.2.1.2_1_4AHB_v_gen_TBO[[#This Row],[REALDUE]]-Table__10.2.1.2_1_4AHB_v_gen_TBO[[#This Row],[EI_BEG_AGE]]</f>
        <v>1595.5</v>
      </c>
      <c r="J96">
        <v>4733.5</v>
      </c>
      <c r="K96" s="110" t="str">
        <f>IF(Table__10.2.1.2_1_4AHB_v_gen_TBO[[#This Row],[NO_OVHLS]]="RC","RC","LC")</f>
        <v>RC</v>
      </c>
      <c r="L96" t="s">
        <v>405</v>
      </c>
      <c r="M96" t="s">
        <v>931</v>
      </c>
      <c r="N96" t="b">
        <v>0</v>
      </c>
    </row>
    <row r="97" spans="2:14">
      <c r="B97" t="s">
        <v>749</v>
      </c>
      <c r="C97" s="110" t="str">
        <f>RIGHT(B97,3)</f>
        <v>187</v>
      </c>
      <c r="D97" t="s">
        <v>451</v>
      </c>
      <c r="E97" s="110" t="str">
        <f>LEFT(F97,22)</f>
        <v>SWEPT TIP CAP</v>
      </c>
      <c r="F97" t="s">
        <v>187</v>
      </c>
      <c r="G97" s="110" t="str">
        <f>RIGHT(H97,9)</f>
        <v>011705256</v>
      </c>
      <c r="H97" t="s">
        <v>188</v>
      </c>
      <c r="I97" s="110">
        <f>Table__10.2.1.2_1_4AHB_v_gen_TBO[[#This Row],[REALDUE]]-Table__10.2.1.2_1_4AHB_v_gen_TBO[[#This Row],[EI_BEG_AGE]]</f>
        <v>1633.3000000000002</v>
      </c>
      <c r="J97">
        <v>5314.7</v>
      </c>
      <c r="K97" s="110" t="str">
        <f>IF(Table__10.2.1.2_1_4AHB_v_gen_TBO[[#This Row],[NO_OVHLS]]="RC","RC","LC")</f>
        <v>RC</v>
      </c>
      <c r="L97" t="s">
        <v>405</v>
      </c>
      <c r="M97" t="s">
        <v>990</v>
      </c>
      <c r="N97" t="b">
        <v>0</v>
      </c>
    </row>
    <row r="98" spans="2:14">
      <c r="B98" t="s">
        <v>749</v>
      </c>
      <c r="C98" s="110" t="str">
        <f>RIGHT(B98,3)</f>
        <v>187</v>
      </c>
      <c r="D98" t="s">
        <v>434</v>
      </c>
      <c r="E98" s="110" t="str">
        <f>LEFT(F98,22)</f>
        <v>STRETCHED STRAP</v>
      </c>
      <c r="F98" t="s">
        <v>151</v>
      </c>
      <c r="G98" s="110" t="str">
        <f>RIGHT(H98,9)</f>
        <v>015017715</v>
      </c>
      <c r="H98" t="s">
        <v>152</v>
      </c>
      <c r="I98" s="110">
        <f>Table__10.2.1.2_1_4AHB_v_gen_TBO[[#This Row],[REALDUE]]-Table__10.2.1.2_1_4AHB_v_gen_TBO[[#This Row],[EI_BEG_AGE]]</f>
        <v>1652.3000000000002</v>
      </c>
      <c r="J98">
        <v>5314.7</v>
      </c>
      <c r="K98" s="110" t="str">
        <f>IF(Table__10.2.1.2_1_4AHB_v_gen_TBO[[#This Row],[NO_OVHLS]]="RC","RC","LC")</f>
        <v>RC</v>
      </c>
      <c r="L98" t="s">
        <v>405</v>
      </c>
      <c r="M98" t="s">
        <v>1025</v>
      </c>
      <c r="N98" t="b">
        <v>0</v>
      </c>
    </row>
    <row r="99" spans="2:14">
      <c r="B99" t="s">
        <v>753</v>
      </c>
      <c r="C99" s="110" t="str">
        <f>RIGHT(B99,3)</f>
        <v>141</v>
      </c>
      <c r="D99" t="s">
        <v>446</v>
      </c>
      <c r="E99" s="110" t="str">
        <f>LEFT(F99,22)</f>
        <v>LEAD LAG DAMPER</v>
      </c>
      <c r="F99" t="s">
        <v>177</v>
      </c>
      <c r="G99" s="110" t="str">
        <f>RIGHT(H99,9)</f>
        <v>012198658</v>
      </c>
      <c r="H99" t="s">
        <v>178</v>
      </c>
      <c r="I99" s="110">
        <f>Table__10.2.1.2_1_4AHB_v_gen_TBO[[#This Row],[REALDUE]]-Table__10.2.1.2_1_4AHB_v_gen_TBO[[#This Row],[EI_BEG_AGE]]</f>
        <v>1675.5</v>
      </c>
      <c r="J99">
        <v>4733.5</v>
      </c>
      <c r="K99" s="110" t="str">
        <f>IF(Table__10.2.1.2_1_4AHB_v_gen_TBO[[#This Row],[NO_OVHLS]]="RC","RC","LC")</f>
        <v>RC</v>
      </c>
      <c r="L99" t="s">
        <v>405</v>
      </c>
      <c r="M99" t="s">
        <v>955</v>
      </c>
      <c r="N99" t="b">
        <v>0</v>
      </c>
    </row>
    <row r="100" spans="2:14">
      <c r="B100" t="s">
        <v>751</v>
      </c>
      <c r="C100" s="110" t="str">
        <f>RIGHT(B100,3)</f>
        <v>119</v>
      </c>
      <c r="D100" t="s">
        <v>419</v>
      </c>
      <c r="E100" s="110" t="str">
        <f>LEFT(F100,22)</f>
        <v>ELASTOMERIC MOUNT</v>
      </c>
      <c r="F100" t="s">
        <v>891</v>
      </c>
      <c r="G100" s="110" t="str">
        <f>RIGHT(H100,9)</f>
        <v>014710947</v>
      </c>
      <c r="H100" t="s">
        <v>135</v>
      </c>
      <c r="I100" s="110">
        <f>Table__10.2.1.2_1_4AHB_v_gen_TBO[[#This Row],[REALDUE]]-Table__10.2.1.2_1_4AHB_v_gen_TBO[[#This Row],[EI_BEG_AGE]]</f>
        <v>1677.1</v>
      </c>
      <c r="J100">
        <v>3973.9</v>
      </c>
      <c r="K100" s="110" t="str">
        <f>IF(Table__10.2.1.2_1_4AHB_v_gen_TBO[[#This Row],[NO_OVHLS]]="RC","RC","LC")</f>
        <v>RC</v>
      </c>
      <c r="L100" t="s">
        <v>405</v>
      </c>
      <c r="M100" t="s">
        <v>892</v>
      </c>
      <c r="N100" t="b">
        <v>0</v>
      </c>
    </row>
    <row r="101" spans="2:14">
      <c r="B101" t="s">
        <v>751</v>
      </c>
      <c r="C101" s="110" t="str">
        <f>RIGHT(B101,3)</f>
        <v>119</v>
      </c>
      <c r="D101" t="s">
        <v>420</v>
      </c>
      <c r="E101" s="110" t="str">
        <f>LEFT(F101,22)</f>
        <v>ELASTOMERIC MOUNT</v>
      </c>
      <c r="F101" t="s">
        <v>891</v>
      </c>
      <c r="G101" s="110" t="str">
        <f>RIGHT(H101,9)</f>
        <v>014712791</v>
      </c>
      <c r="H101" t="s">
        <v>136</v>
      </c>
      <c r="I101" s="110">
        <f>Table__10.2.1.2_1_4AHB_v_gen_TBO[[#This Row],[REALDUE]]-Table__10.2.1.2_1_4AHB_v_gen_TBO[[#This Row],[EI_BEG_AGE]]</f>
        <v>1677.1</v>
      </c>
      <c r="J101">
        <v>3973.9</v>
      </c>
      <c r="K101" s="110" t="str">
        <f>IF(Table__10.2.1.2_1_4AHB_v_gen_TBO[[#This Row],[NO_OVHLS]]="RC","RC","LC")</f>
        <v>RC</v>
      </c>
      <c r="L101" t="s">
        <v>405</v>
      </c>
      <c r="M101" t="s">
        <v>892</v>
      </c>
      <c r="N101" t="b">
        <v>0</v>
      </c>
    </row>
    <row r="102" spans="2:14">
      <c r="B102" t="s">
        <v>751</v>
      </c>
      <c r="C102" s="110" t="str">
        <f>RIGHT(B102,3)</f>
        <v>119</v>
      </c>
      <c r="D102" t="s">
        <v>421</v>
      </c>
      <c r="E102" s="110" t="str">
        <f>LEFT(F102,22)</f>
        <v>ELASTOMERIC MOUNT</v>
      </c>
      <c r="F102" t="s">
        <v>891</v>
      </c>
      <c r="G102" s="110" t="str">
        <f>RIGHT(H102,9)</f>
        <v>014712793</v>
      </c>
      <c r="H102" t="s">
        <v>137</v>
      </c>
      <c r="I102" s="110">
        <f>Table__10.2.1.2_1_4AHB_v_gen_TBO[[#This Row],[REALDUE]]-Table__10.2.1.2_1_4AHB_v_gen_TBO[[#This Row],[EI_BEG_AGE]]</f>
        <v>1677.1</v>
      </c>
      <c r="J102">
        <v>3973.9</v>
      </c>
      <c r="K102" s="110" t="str">
        <f>IF(Table__10.2.1.2_1_4AHB_v_gen_TBO[[#This Row],[NO_OVHLS]]="RC","RC","LC")</f>
        <v>RC</v>
      </c>
      <c r="L102" t="s">
        <v>405</v>
      </c>
      <c r="M102" t="s">
        <v>892</v>
      </c>
      <c r="N102" t="b">
        <v>0</v>
      </c>
    </row>
    <row r="103" spans="2:14">
      <c r="B103" t="s">
        <v>751</v>
      </c>
      <c r="C103" s="110" t="str">
        <f>RIGHT(B103,3)</f>
        <v>119</v>
      </c>
      <c r="D103" t="s">
        <v>422</v>
      </c>
      <c r="E103" s="110" t="str">
        <f>LEFT(F103,22)</f>
        <v>ELASTOMERIC MOUNT</v>
      </c>
      <c r="F103" t="s">
        <v>891</v>
      </c>
      <c r="G103" s="110" t="str">
        <f>RIGHT(H103,9)</f>
        <v>014712797</v>
      </c>
      <c r="H103" t="s">
        <v>138</v>
      </c>
      <c r="I103" s="110">
        <f>Table__10.2.1.2_1_4AHB_v_gen_TBO[[#This Row],[REALDUE]]-Table__10.2.1.2_1_4AHB_v_gen_TBO[[#This Row],[EI_BEG_AGE]]</f>
        <v>1677.1</v>
      </c>
      <c r="J103">
        <v>3973.9</v>
      </c>
      <c r="K103" s="110" t="str">
        <f>IF(Table__10.2.1.2_1_4AHB_v_gen_TBO[[#This Row],[NO_OVHLS]]="RC","RC","LC")</f>
        <v>RC</v>
      </c>
      <c r="L103" t="s">
        <v>405</v>
      </c>
      <c r="M103" t="s">
        <v>892</v>
      </c>
      <c r="N103" t="b">
        <v>0</v>
      </c>
    </row>
    <row r="104" spans="2:14">
      <c r="B104" t="s">
        <v>749</v>
      </c>
      <c r="C104" s="110" t="str">
        <f>RIGHT(B104,3)</f>
        <v>187</v>
      </c>
      <c r="D104" t="s">
        <v>534</v>
      </c>
      <c r="E104" s="110" t="str">
        <f>LEFT(F104,22)</f>
        <v>HANGER BEARING FWD / C</v>
      </c>
      <c r="F104" t="s">
        <v>319</v>
      </c>
      <c r="G104" s="110" t="str">
        <f>RIGHT(H104,9)</f>
        <v>013338491</v>
      </c>
      <c r="H104" t="s">
        <v>318</v>
      </c>
      <c r="I104" s="110">
        <f>Table__10.2.1.2_1_4AHB_v_gen_TBO[[#This Row],[REALDUE]]-Table__10.2.1.2_1_4AHB_v_gen_TBO[[#This Row],[EI_BEG_AGE]]</f>
        <v>1696.3000000000002</v>
      </c>
      <c r="J104">
        <v>5314.7</v>
      </c>
      <c r="K104" s="110" t="str">
        <f>IF(Table__10.2.1.2_1_4AHB_v_gen_TBO[[#This Row],[NO_OVHLS]]="RC","RC","LC")</f>
        <v>LC</v>
      </c>
      <c r="L104" t="s">
        <v>427</v>
      </c>
      <c r="M104" t="s">
        <v>615</v>
      </c>
      <c r="N104" t="b">
        <v>0</v>
      </c>
    </row>
    <row r="105" spans="2:14">
      <c r="B105" t="s">
        <v>751</v>
      </c>
      <c r="C105" s="110" t="str">
        <f>RIGHT(B105,3)</f>
        <v>119</v>
      </c>
      <c r="D105" t="s">
        <v>446</v>
      </c>
      <c r="E105" s="110" t="str">
        <f>LEFT(F105,22)</f>
        <v>LEAD LAG DAMPER</v>
      </c>
      <c r="F105" t="s">
        <v>177</v>
      </c>
      <c r="G105" s="110" t="str">
        <f>RIGHT(H105,9)</f>
        <v>012198658</v>
      </c>
      <c r="H105" t="s">
        <v>178</v>
      </c>
      <c r="I105" s="96">
        <f>Table__10.2.1.2_1_4AHB_v_gen_TBO[[#This Row],[REALDUE]]-Table__10.2.1.2_1_4AHB_v_gen_TBO[[#This Row],[EI_BEG_AGE]]</f>
        <v>1729.1</v>
      </c>
      <c r="J105" s="96">
        <v>3973.9</v>
      </c>
      <c r="K105" s="110" t="str">
        <f>IF(Table__10.2.1.2_1_4AHB_v_gen_TBO[[#This Row],[NO_OVHLS]]="RC","RC","LC")</f>
        <v>RC</v>
      </c>
      <c r="L105" t="s">
        <v>405</v>
      </c>
      <c r="M105" t="s">
        <v>954</v>
      </c>
      <c r="N105" t="b">
        <v>0</v>
      </c>
    </row>
    <row r="106" spans="2:14">
      <c r="B106" t="s">
        <v>751</v>
      </c>
      <c r="C106" s="110" t="str">
        <f>RIGHT(B106,3)</f>
        <v>119</v>
      </c>
      <c r="D106" t="s">
        <v>446</v>
      </c>
      <c r="E106" s="110" t="str">
        <f>LEFT(F106,22)</f>
        <v>LEAD LAG DAMPER</v>
      </c>
      <c r="F106" t="s">
        <v>177</v>
      </c>
      <c r="G106" s="110" t="str">
        <f>RIGHT(H106,9)</f>
        <v>012198658</v>
      </c>
      <c r="H106" t="s">
        <v>178</v>
      </c>
      <c r="I106" s="96">
        <f>Table__10.2.1.2_1_4AHB_v_gen_TBO[[#This Row],[REALDUE]]-Table__10.2.1.2_1_4AHB_v_gen_TBO[[#This Row],[EI_BEG_AGE]]</f>
        <v>1729.1</v>
      </c>
      <c r="J106" s="96">
        <v>3973.9</v>
      </c>
      <c r="K106" s="110" t="str">
        <f>IF(Table__10.2.1.2_1_4AHB_v_gen_TBO[[#This Row],[NO_OVHLS]]="RC","RC","LC")</f>
        <v>RC</v>
      </c>
      <c r="L106" t="s">
        <v>405</v>
      </c>
      <c r="M106" t="s">
        <v>954</v>
      </c>
      <c r="N106" t="b">
        <v>0</v>
      </c>
    </row>
    <row r="107" spans="2:14">
      <c r="B107" t="s">
        <v>751</v>
      </c>
      <c r="C107" s="110" t="str">
        <f>RIGHT(B107,3)</f>
        <v>119</v>
      </c>
      <c r="D107" t="s">
        <v>446</v>
      </c>
      <c r="E107" s="110" t="str">
        <f>LEFT(F107,22)</f>
        <v>LEAD LAG DAMPER</v>
      </c>
      <c r="F107" t="s">
        <v>177</v>
      </c>
      <c r="G107" s="110" t="str">
        <f>RIGHT(H107,9)</f>
        <v>012198658</v>
      </c>
      <c r="H107" t="s">
        <v>178</v>
      </c>
      <c r="I107" s="96">
        <f>Table__10.2.1.2_1_4AHB_v_gen_TBO[[#This Row],[REALDUE]]-Table__10.2.1.2_1_4AHB_v_gen_TBO[[#This Row],[EI_BEG_AGE]]</f>
        <v>1729.1</v>
      </c>
      <c r="J107" s="96">
        <v>3973.9</v>
      </c>
      <c r="K107" s="110" t="str">
        <f>IF(Table__10.2.1.2_1_4AHB_v_gen_TBO[[#This Row],[NO_OVHLS]]="RC","RC","LC")</f>
        <v>RC</v>
      </c>
      <c r="L107" t="s">
        <v>405</v>
      </c>
      <c r="M107" t="s">
        <v>954</v>
      </c>
      <c r="N107" t="b">
        <v>0</v>
      </c>
    </row>
    <row r="108" spans="2:14">
      <c r="B108" t="s">
        <v>751</v>
      </c>
      <c r="C108" s="110" t="str">
        <f>RIGHT(B108,3)</f>
        <v>119</v>
      </c>
      <c r="D108" t="s">
        <v>446</v>
      </c>
      <c r="E108" s="110" t="str">
        <f>LEFT(F108,22)</f>
        <v>LEAD LAG DAMPER</v>
      </c>
      <c r="F108" t="s">
        <v>177</v>
      </c>
      <c r="G108" s="110" t="str">
        <f>RIGHT(H108,9)</f>
        <v>012198658</v>
      </c>
      <c r="H108" t="s">
        <v>178</v>
      </c>
      <c r="I108" s="96">
        <f>Table__10.2.1.2_1_4AHB_v_gen_TBO[[#This Row],[REALDUE]]-Table__10.2.1.2_1_4AHB_v_gen_TBO[[#This Row],[EI_BEG_AGE]]</f>
        <v>1729.1</v>
      </c>
      <c r="J108" s="96">
        <v>3973.9</v>
      </c>
      <c r="K108" s="110" t="str">
        <f>IF(Table__10.2.1.2_1_4AHB_v_gen_TBO[[#This Row],[NO_OVHLS]]="RC","RC","LC")</f>
        <v>RC</v>
      </c>
      <c r="L108" t="s">
        <v>405</v>
      </c>
      <c r="M108" t="s">
        <v>954</v>
      </c>
      <c r="N108" t="b">
        <v>0</v>
      </c>
    </row>
    <row r="109" spans="2:14">
      <c r="B109" t="s">
        <v>751</v>
      </c>
      <c r="C109" s="110" t="str">
        <f>RIGHT(B109,3)</f>
        <v>119</v>
      </c>
      <c r="D109" t="s">
        <v>446</v>
      </c>
      <c r="E109" s="110" t="str">
        <f>LEFT(F109,22)</f>
        <v>LEAD LAG DAMPER</v>
      </c>
      <c r="F109" t="s">
        <v>177</v>
      </c>
      <c r="G109" s="110" t="str">
        <f>RIGHT(H109,9)</f>
        <v>012198658</v>
      </c>
      <c r="H109" t="s">
        <v>178</v>
      </c>
      <c r="I109" s="96">
        <f>Table__10.2.1.2_1_4AHB_v_gen_TBO[[#This Row],[REALDUE]]-Table__10.2.1.2_1_4AHB_v_gen_TBO[[#This Row],[EI_BEG_AGE]]</f>
        <v>1729.1</v>
      </c>
      <c r="J109" s="96">
        <v>3973.9</v>
      </c>
      <c r="K109" s="110" t="str">
        <f>IF(Table__10.2.1.2_1_4AHB_v_gen_TBO[[#This Row],[NO_OVHLS]]="RC","RC","LC")</f>
        <v>RC</v>
      </c>
      <c r="L109" t="s">
        <v>405</v>
      </c>
      <c r="M109" t="s">
        <v>954</v>
      </c>
      <c r="N109" t="b">
        <v>0</v>
      </c>
    </row>
    <row r="110" spans="2:14">
      <c r="B110" t="s">
        <v>751</v>
      </c>
      <c r="C110" s="110" t="str">
        <f>RIGHT(B110,3)</f>
        <v>119</v>
      </c>
      <c r="D110" t="s">
        <v>446</v>
      </c>
      <c r="E110" s="110" t="str">
        <f>LEFT(F110,22)</f>
        <v>LEAD LAG DAMPER</v>
      </c>
      <c r="F110" t="s">
        <v>177</v>
      </c>
      <c r="G110" s="110" t="str">
        <f>RIGHT(H110,9)</f>
        <v>012198658</v>
      </c>
      <c r="H110" t="s">
        <v>178</v>
      </c>
      <c r="I110" s="96">
        <f>Table__10.2.1.2_1_4AHB_v_gen_TBO[[#This Row],[REALDUE]]-Table__10.2.1.2_1_4AHB_v_gen_TBO[[#This Row],[EI_BEG_AGE]]</f>
        <v>1729.1</v>
      </c>
      <c r="J110" s="96">
        <v>3973.9</v>
      </c>
      <c r="K110" s="110" t="str">
        <f>IF(Table__10.2.1.2_1_4AHB_v_gen_TBO[[#This Row],[NO_OVHLS]]="RC","RC","LC")</f>
        <v>RC</v>
      </c>
      <c r="L110" t="s">
        <v>405</v>
      </c>
      <c r="M110" t="s">
        <v>954</v>
      </c>
      <c r="N110" t="b">
        <v>0</v>
      </c>
    </row>
    <row r="111" spans="2:14">
      <c r="B111" t="s">
        <v>751</v>
      </c>
      <c r="C111" s="110" t="str">
        <f>RIGHT(B111,3)</f>
        <v>119</v>
      </c>
      <c r="D111" t="s">
        <v>446</v>
      </c>
      <c r="E111" s="110" t="str">
        <f>LEFT(F111,22)</f>
        <v>LEAD LAG DAMPER</v>
      </c>
      <c r="F111" t="s">
        <v>177</v>
      </c>
      <c r="G111" s="110" t="str">
        <f>RIGHT(H111,9)</f>
        <v>012198658</v>
      </c>
      <c r="H111" t="s">
        <v>178</v>
      </c>
      <c r="I111" s="96">
        <f>Table__10.2.1.2_1_4AHB_v_gen_TBO[[#This Row],[REALDUE]]-Table__10.2.1.2_1_4AHB_v_gen_TBO[[#This Row],[EI_BEG_AGE]]</f>
        <v>1729.1</v>
      </c>
      <c r="J111" s="96">
        <v>3973.9</v>
      </c>
      <c r="K111" s="110" t="str">
        <f>IF(Table__10.2.1.2_1_4AHB_v_gen_TBO[[#This Row],[NO_OVHLS]]="RC","RC","LC")</f>
        <v>RC</v>
      </c>
      <c r="L111" t="s">
        <v>405</v>
      </c>
      <c r="M111" t="s">
        <v>954</v>
      </c>
      <c r="N111" t="b">
        <v>0</v>
      </c>
    </row>
    <row r="112" spans="2:14">
      <c r="B112" t="s">
        <v>751</v>
      </c>
      <c r="C112" s="110" t="str">
        <f>RIGHT(B112,3)</f>
        <v>119</v>
      </c>
      <c r="D112" t="s">
        <v>565</v>
      </c>
      <c r="E112" s="110" t="str">
        <f>LEFT(F112,22)</f>
        <v>FWD LONGITUDE BELLCRAN</v>
      </c>
      <c r="F112" t="s">
        <v>363</v>
      </c>
      <c r="G112" s="110" t="str">
        <f>RIGHT(H112,9)</f>
        <v>012242263</v>
      </c>
      <c r="H112" t="s">
        <v>364</v>
      </c>
      <c r="I112" s="96">
        <f>Table__10.2.1.2_1_4AHB_v_gen_TBO[[#This Row],[REALDUE]]-Table__10.2.1.2_1_4AHB_v_gen_TBO[[#This Row],[EI_BEG_AGE]]</f>
        <v>1739.1</v>
      </c>
      <c r="J112" s="96">
        <v>3973.9</v>
      </c>
      <c r="K112" s="110" t="str">
        <f>IF(Table__10.2.1.2_1_4AHB_v_gen_TBO[[#This Row],[NO_OVHLS]]="RC","RC","LC")</f>
        <v>RC</v>
      </c>
      <c r="L112" t="s">
        <v>405</v>
      </c>
      <c r="M112" t="s">
        <v>1009</v>
      </c>
      <c r="N112" t="b">
        <v>0</v>
      </c>
    </row>
    <row r="113" spans="2:14">
      <c r="B113" t="s">
        <v>749</v>
      </c>
      <c r="C113" s="110" t="str">
        <f>RIGHT(B113,3)</f>
        <v>187</v>
      </c>
      <c r="D113" t="s">
        <v>497</v>
      </c>
      <c r="E113" s="110" t="str">
        <f>LEFT(F113,22)</f>
        <v xml:space="preserve">NOSE GEARBOX ASSEMBLY </v>
      </c>
      <c r="F113" t="s">
        <v>269</v>
      </c>
      <c r="G113" s="110" t="str">
        <f>RIGHT(H113,9)</f>
        <v>014940685</v>
      </c>
      <c r="H113" t="s">
        <v>270</v>
      </c>
      <c r="I113" s="96">
        <f>Table__10.2.1.2_1_4AHB_v_gen_TBO[[#This Row],[REALDUE]]-Table__10.2.1.2_1_4AHB_v_gen_TBO[[#This Row],[EI_BEG_AGE]]</f>
        <v>1742.3000000000002</v>
      </c>
      <c r="J113" s="96">
        <v>5314.7</v>
      </c>
      <c r="K113" s="110" t="str">
        <f>IF(Table__10.2.1.2_1_4AHB_v_gen_TBO[[#This Row],[NO_OVHLS]]="RC","RC","LC")</f>
        <v>LC</v>
      </c>
      <c r="L113" t="s">
        <v>427</v>
      </c>
      <c r="M113" t="s">
        <v>192</v>
      </c>
      <c r="N113" t="b">
        <v>0</v>
      </c>
    </row>
    <row r="114" spans="2:14">
      <c r="B114" t="s">
        <v>751</v>
      </c>
      <c r="C114" s="110" t="str">
        <f>RIGHT(B114,3)</f>
        <v>119</v>
      </c>
      <c r="D114" t="s">
        <v>449</v>
      </c>
      <c r="E114" s="110" t="str">
        <f>LEFT(F114,22)</f>
        <v>MAIN ROTOR BLADE</v>
      </c>
      <c r="F114" t="s">
        <v>181</v>
      </c>
      <c r="G114" s="110" t="str">
        <f>RIGHT(H114,9)</f>
        <v>013320702</v>
      </c>
      <c r="H114" t="s">
        <v>183</v>
      </c>
      <c r="I114" s="96">
        <f>Table__10.2.1.2_1_4AHB_v_gen_TBO[[#This Row],[REALDUE]]-Table__10.2.1.2_1_4AHB_v_gen_TBO[[#This Row],[EI_BEG_AGE]]</f>
        <v>1752.1</v>
      </c>
      <c r="J114" s="96">
        <v>3973.9</v>
      </c>
      <c r="K114" s="110" t="str">
        <f>IF(Table__10.2.1.2_1_4AHB_v_gen_TBO[[#This Row],[NO_OVHLS]]="RC","RC","LC")</f>
        <v>RC</v>
      </c>
      <c r="L114" t="s">
        <v>405</v>
      </c>
      <c r="M114" t="s">
        <v>979</v>
      </c>
      <c r="N114" t="b">
        <v>0</v>
      </c>
    </row>
    <row r="115" spans="2:14">
      <c r="B115" t="s">
        <v>753</v>
      </c>
      <c r="C115" s="110" t="str">
        <f>RIGHT(B115,3)</f>
        <v>141</v>
      </c>
      <c r="D115" t="s">
        <v>467</v>
      </c>
      <c r="E115" s="110" t="str">
        <f>LEFT(F115,22)</f>
        <v>TAIL ROTOR FORK ASSY</v>
      </c>
      <c r="F115" t="s">
        <v>217</v>
      </c>
      <c r="G115" s="110" t="str">
        <f>RIGHT(H115,9)</f>
        <v>012212932</v>
      </c>
      <c r="H115" t="s">
        <v>218</v>
      </c>
      <c r="I115" s="96">
        <f>Table__10.2.1.2_1_4AHB_v_gen_TBO[[#This Row],[REALDUE]]-Table__10.2.1.2_1_4AHB_v_gen_TBO[[#This Row],[EI_BEG_AGE]]</f>
        <v>1783.5</v>
      </c>
      <c r="J115" s="96">
        <v>4733.5</v>
      </c>
      <c r="K115" s="110" t="str">
        <f>IF(Table__10.2.1.2_1_4AHB_v_gen_TBO[[#This Row],[NO_OVHLS]]="RC","RC","LC")</f>
        <v>RC</v>
      </c>
      <c r="L115" t="s">
        <v>405</v>
      </c>
      <c r="M115" t="s">
        <v>877</v>
      </c>
      <c r="N115" t="b">
        <v>0</v>
      </c>
    </row>
    <row r="116" spans="2:14">
      <c r="B116" t="s">
        <v>749</v>
      </c>
      <c r="C116" s="110" t="str">
        <f>RIGHT(B116,3)</f>
        <v>187</v>
      </c>
      <c r="D116" t="s">
        <v>434</v>
      </c>
      <c r="E116" s="110" t="str">
        <f>LEFT(F116,22)</f>
        <v>STRETCHED STRAP</v>
      </c>
      <c r="F116" t="s">
        <v>151</v>
      </c>
      <c r="G116" s="110" t="str">
        <f>RIGHT(H116,9)</f>
        <v>015017715</v>
      </c>
      <c r="H116" t="s">
        <v>152</v>
      </c>
      <c r="I116" s="96">
        <f>Table__10.2.1.2_1_4AHB_v_gen_TBO[[#This Row],[REALDUE]]-Table__10.2.1.2_1_4AHB_v_gen_TBO[[#This Row],[EI_BEG_AGE]]</f>
        <v>1824.3000000000002</v>
      </c>
      <c r="J116" s="96">
        <v>5314.7</v>
      </c>
      <c r="K116" s="110" t="str">
        <f>IF(Table__10.2.1.2_1_4AHB_v_gen_TBO[[#This Row],[NO_OVHLS]]="RC","RC","LC")</f>
        <v>RC</v>
      </c>
      <c r="L116" t="s">
        <v>405</v>
      </c>
      <c r="M116" t="s">
        <v>1023</v>
      </c>
      <c r="N116" t="b">
        <v>0</v>
      </c>
    </row>
    <row r="117" spans="2:14">
      <c r="B117" t="s">
        <v>751</v>
      </c>
      <c r="C117" s="110" t="str">
        <f>RIGHT(B117,3)</f>
        <v>119</v>
      </c>
      <c r="D117" t="s">
        <v>449</v>
      </c>
      <c r="E117" s="110" t="str">
        <f>LEFT(F117,22)</f>
        <v>MAIN ROTOR BLADE</v>
      </c>
      <c r="F117" t="s">
        <v>181</v>
      </c>
      <c r="G117" s="110" t="str">
        <f>RIGHT(H117,9)</f>
        <v>013320702</v>
      </c>
      <c r="H117" t="s">
        <v>183</v>
      </c>
      <c r="I117" s="96">
        <f>Table__10.2.1.2_1_4AHB_v_gen_TBO[[#This Row],[REALDUE]]-Table__10.2.1.2_1_4AHB_v_gen_TBO[[#This Row],[EI_BEG_AGE]]</f>
        <v>1826.1</v>
      </c>
      <c r="J117" s="96">
        <v>3973.9</v>
      </c>
      <c r="K117" s="110" t="str">
        <f>IF(Table__10.2.1.2_1_4AHB_v_gen_TBO[[#This Row],[NO_OVHLS]]="RC","RC","LC")</f>
        <v>RC</v>
      </c>
      <c r="L117" t="s">
        <v>405</v>
      </c>
      <c r="M117" t="s">
        <v>978</v>
      </c>
      <c r="N117" t="b">
        <v>0</v>
      </c>
    </row>
    <row r="118" spans="2:14">
      <c r="B118" t="s">
        <v>749</v>
      </c>
      <c r="C118" s="110" t="str">
        <f>RIGHT(B118,3)</f>
        <v>187</v>
      </c>
      <c r="D118" t="s">
        <v>478</v>
      </c>
      <c r="E118" s="110" t="str">
        <f>LEFT(F118,22)</f>
        <v>MAIN TRANSMISSION ASSY</v>
      </c>
      <c r="F118" t="s">
        <v>231</v>
      </c>
      <c r="G118" s="110" t="str">
        <f>RIGHT(H118,9)</f>
        <v>015209744</v>
      </c>
      <c r="H118" t="s">
        <v>234</v>
      </c>
      <c r="I118" s="96">
        <f>Table__10.2.1.2_1_4AHB_v_gen_TBO[[#This Row],[REALDUE]]-Table__10.2.1.2_1_4AHB_v_gen_TBO[[#This Row],[EI_BEG_AGE]]</f>
        <v>1844.3000000000002</v>
      </c>
      <c r="J118" s="96">
        <v>5314.7</v>
      </c>
      <c r="K118" s="110" t="str">
        <f>IF(Table__10.2.1.2_1_4AHB_v_gen_TBO[[#This Row],[NO_OVHLS]]="RC","RC","LC")</f>
        <v>LC</v>
      </c>
      <c r="L118" t="s">
        <v>430</v>
      </c>
      <c r="M118" t="s">
        <v>271</v>
      </c>
      <c r="N118" t="b">
        <v>0</v>
      </c>
    </row>
    <row r="119" spans="2:14">
      <c r="B119" t="s">
        <v>751</v>
      </c>
      <c r="C119" s="110" t="str">
        <f>RIGHT(B119,3)</f>
        <v>119</v>
      </c>
      <c r="D119" t="s">
        <v>533</v>
      </c>
      <c r="E119" s="110" t="str">
        <f>LEFT(F119,22)</f>
        <v>SHAFT APU</v>
      </c>
      <c r="F119" t="s">
        <v>316</v>
      </c>
      <c r="G119" s="110" t="str">
        <f>RIGHT(H119,9)</f>
        <v>011547122</v>
      </c>
      <c r="H119" t="s">
        <v>317</v>
      </c>
      <c r="I119" s="96">
        <f>Table__10.2.1.2_1_4AHB_v_gen_TBO[[#This Row],[REALDUE]]-Table__10.2.1.2_1_4AHB_v_gen_TBO[[#This Row],[EI_BEG_AGE]]</f>
        <v>1860.1</v>
      </c>
      <c r="J119" s="96">
        <v>3973.9</v>
      </c>
      <c r="K119" s="110" t="str">
        <f>IF(Table__10.2.1.2_1_4AHB_v_gen_TBO[[#This Row],[NO_OVHLS]]="RC","RC","LC")</f>
        <v>RC</v>
      </c>
      <c r="L119" t="s">
        <v>405</v>
      </c>
      <c r="M119" t="s">
        <v>243</v>
      </c>
      <c r="N119" t="b">
        <v>0</v>
      </c>
    </row>
    <row r="120" spans="2:14">
      <c r="B120" t="s">
        <v>751</v>
      </c>
      <c r="C120" s="110" t="str">
        <f>RIGHT(B120,3)</f>
        <v>119</v>
      </c>
      <c r="D120" t="s">
        <v>481</v>
      </c>
      <c r="E120" s="110" t="str">
        <f>LEFT(F120,22)</f>
        <v>CARRIER ASSEMBLY</v>
      </c>
      <c r="F120" t="s">
        <v>239</v>
      </c>
      <c r="G120" s="110" t="str">
        <f>RIGHT(H120,9)</f>
        <v>N PENDING</v>
      </c>
      <c r="H120" t="s">
        <v>106</v>
      </c>
      <c r="I120" s="96">
        <f>Table__10.2.1.2_1_4AHB_v_gen_TBO[[#This Row],[REALDUE]]-Table__10.2.1.2_1_4AHB_v_gen_TBO[[#This Row],[EI_BEG_AGE]]</f>
        <v>1901.1</v>
      </c>
      <c r="J120" s="96">
        <v>3973.9</v>
      </c>
      <c r="K120" s="110" t="str">
        <f>IF(Table__10.2.1.2_1_4AHB_v_gen_TBO[[#This Row],[NO_OVHLS]]="RC","RC","LC")</f>
        <v>RC</v>
      </c>
      <c r="L120" t="s">
        <v>405</v>
      </c>
      <c r="M120" t="s">
        <v>915</v>
      </c>
      <c r="N120" t="b">
        <v>0</v>
      </c>
    </row>
    <row r="121" spans="2:14">
      <c r="B121" t="s">
        <v>749</v>
      </c>
      <c r="C121" s="110" t="str">
        <f>RIGHT(B121,3)</f>
        <v>187</v>
      </c>
      <c r="D121" t="s">
        <v>446</v>
      </c>
      <c r="E121" s="110" t="str">
        <f>LEFT(F121,22)</f>
        <v>LEAD LAG DAMPER</v>
      </c>
      <c r="F121" t="s">
        <v>177</v>
      </c>
      <c r="G121" s="110" t="str">
        <f>RIGHT(H121,9)</f>
        <v>012198658</v>
      </c>
      <c r="H121" t="s">
        <v>178</v>
      </c>
      <c r="I121" s="96">
        <f>Table__10.2.1.2_1_4AHB_v_gen_TBO[[#This Row],[REALDUE]]-Table__10.2.1.2_1_4AHB_v_gen_TBO[[#This Row],[EI_BEG_AGE]]</f>
        <v>1915.3000000000002</v>
      </c>
      <c r="J121" s="96">
        <v>5314.7</v>
      </c>
      <c r="K121" s="110" t="str">
        <f>IF(Table__10.2.1.2_1_4AHB_v_gen_TBO[[#This Row],[NO_OVHLS]]="RC","RC","LC")</f>
        <v>RC</v>
      </c>
      <c r="L121" t="s">
        <v>405</v>
      </c>
      <c r="M121" t="s">
        <v>240</v>
      </c>
      <c r="N121" t="b">
        <v>0</v>
      </c>
    </row>
    <row r="122" spans="2:14">
      <c r="B122" t="s">
        <v>751</v>
      </c>
      <c r="C122" s="110" t="str">
        <f>RIGHT(B122,3)</f>
        <v>119</v>
      </c>
      <c r="D122" t="s">
        <v>457</v>
      </c>
      <c r="E122" s="110" t="str">
        <f>LEFT(F122,22)</f>
        <v>M/R SWASHPLATE BALL BR</v>
      </c>
      <c r="F122" t="s">
        <v>201</v>
      </c>
      <c r="G122" s="110" t="str">
        <f>RIGHT(H122,9)</f>
        <v>013363525</v>
      </c>
      <c r="H122" t="s">
        <v>202</v>
      </c>
      <c r="I122" s="96">
        <f>Table__10.2.1.2_1_4AHB_v_gen_TBO[[#This Row],[REALDUE]]-Table__10.2.1.2_1_4AHB_v_gen_TBO[[#This Row],[EI_BEG_AGE]]</f>
        <v>1922.1</v>
      </c>
      <c r="J122" s="96">
        <v>3973.9</v>
      </c>
      <c r="K122" s="110" t="str">
        <f>IF(Table__10.2.1.2_1_4AHB_v_gen_TBO[[#This Row],[NO_OVHLS]]="RC","RC","LC")</f>
        <v>RC</v>
      </c>
      <c r="L122" t="s">
        <v>405</v>
      </c>
      <c r="M122" t="s">
        <v>1002</v>
      </c>
      <c r="N122" t="b">
        <v>0</v>
      </c>
    </row>
    <row r="123" spans="2:14">
      <c r="B123" t="s">
        <v>751</v>
      </c>
      <c r="C123" s="110" t="str">
        <f>RIGHT(B123,3)</f>
        <v>119</v>
      </c>
      <c r="D123" t="s">
        <v>434</v>
      </c>
      <c r="E123" s="110" t="str">
        <f>LEFT(F123,22)</f>
        <v>STRETCHED STRAP</v>
      </c>
      <c r="F123" t="s">
        <v>151</v>
      </c>
      <c r="G123" s="110" t="str">
        <f>RIGHT(H123,9)</f>
        <v>015017715</v>
      </c>
      <c r="H123" t="s">
        <v>152</v>
      </c>
      <c r="I123" s="96">
        <f>Table__10.2.1.2_1_4AHB_v_gen_TBO[[#This Row],[REALDUE]]-Table__10.2.1.2_1_4AHB_v_gen_TBO[[#This Row],[EI_BEG_AGE]]</f>
        <v>1922.1</v>
      </c>
      <c r="J123" s="96">
        <v>3973.9</v>
      </c>
      <c r="K123" s="110" t="str">
        <f>IF(Table__10.2.1.2_1_4AHB_v_gen_TBO[[#This Row],[NO_OVHLS]]="RC","RC","LC")</f>
        <v>RC</v>
      </c>
      <c r="L123" t="s">
        <v>405</v>
      </c>
      <c r="M123" t="s">
        <v>1002</v>
      </c>
      <c r="N123" t="b">
        <v>0</v>
      </c>
    </row>
    <row r="124" spans="2:14">
      <c r="B124" t="s">
        <v>751</v>
      </c>
      <c r="C124" s="110" t="str">
        <f>RIGHT(B124,3)</f>
        <v>119</v>
      </c>
      <c r="D124" t="s">
        <v>434</v>
      </c>
      <c r="E124" s="110" t="str">
        <f>LEFT(F124,22)</f>
        <v>STRETCHED STRAP</v>
      </c>
      <c r="F124" t="s">
        <v>151</v>
      </c>
      <c r="G124" s="110" t="str">
        <f>RIGHT(H124,9)</f>
        <v>015017715</v>
      </c>
      <c r="H124" t="s">
        <v>152</v>
      </c>
      <c r="I124" s="96">
        <f>Table__10.2.1.2_1_4AHB_v_gen_TBO[[#This Row],[REALDUE]]-Table__10.2.1.2_1_4AHB_v_gen_TBO[[#This Row],[EI_BEG_AGE]]</f>
        <v>1922.1</v>
      </c>
      <c r="J124" s="96">
        <v>3973.9</v>
      </c>
      <c r="K124" s="110" t="str">
        <f>IF(Table__10.2.1.2_1_4AHB_v_gen_TBO[[#This Row],[NO_OVHLS]]="RC","RC","LC")</f>
        <v>RC</v>
      </c>
      <c r="L124" t="s">
        <v>405</v>
      </c>
      <c r="M124" t="s">
        <v>1002</v>
      </c>
      <c r="N124" t="b">
        <v>0</v>
      </c>
    </row>
    <row r="125" spans="2:14">
      <c r="B125" t="s">
        <v>751</v>
      </c>
      <c r="C125" s="110" t="str">
        <f>RIGHT(B125,3)</f>
        <v>119</v>
      </c>
      <c r="D125" t="s">
        <v>489</v>
      </c>
      <c r="E125" s="110" t="str">
        <f>LEFT(F125,22)</f>
        <v>GEARSHAFT, SPUR</v>
      </c>
      <c r="F125" t="s">
        <v>256</v>
      </c>
      <c r="G125" s="110" t="str">
        <f>RIGHT(H125,9)</f>
        <v>011611212</v>
      </c>
      <c r="H125" t="s">
        <v>257</v>
      </c>
      <c r="I125" s="96">
        <f>Table__10.2.1.2_1_4AHB_v_gen_TBO[[#This Row],[REALDUE]]-Table__10.2.1.2_1_4AHB_v_gen_TBO[[#This Row],[EI_BEG_AGE]]</f>
        <v>1930.1</v>
      </c>
      <c r="J125" s="96">
        <v>3973.9</v>
      </c>
      <c r="K125" s="110" t="str">
        <f>IF(Table__10.2.1.2_1_4AHB_v_gen_TBO[[#This Row],[NO_OVHLS]]="RC","RC","LC")</f>
        <v>RC</v>
      </c>
      <c r="L125" t="s">
        <v>405</v>
      </c>
      <c r="M125" t="s">
        <v>860</v>
      </c>
      <c r="N125" t="b">
        <v>0</v>
      </c>
    </row>
    <row r="126" spans="2:14">
      <c r="B126" t="s">
        <v>751</v>
      </c>
      <c r="C126" s="110" t="str">
        <f>RIGHT(B126,3)</f>
        <v>119</v>
      </c>
      <c r="D126" t="s">
        <v>536</v>
      </c>
      <c r="E126" s="110" t="str">
        <f>LEFT(F126,22)</f>
        <v>HANGER BEARING AFT / C</v>
      </c>
      <c r="F126" t="s">
        <v>323</v>
      </c>
      <c r="G126" s="110" t="str">
        <f>RIGHT(H126,9)</f>
        <v>015375778</v>
      </c>
      <c r="H126" t="s">
        <v>324</v>
      </c>
      <c r="I126" s="96">
        <f>Table__10.2.1.2_1_4AHB_v_gen_TBO[[#This Row],[REALDUE]]-Table__10.2.1.2_1_4AHB_v_gen_TBO[[#This Row],[EI_BEG_AGE]]</f>
        <v>2017.1</v>
      </c>
      <c r="J126" s="96">
        <v>3973.9</v>
      </c>
      <c r="K126" s="110" t="str">
        <f>IF(Table__10.2.1.2_1_4AHB_v_gen_TBO[[#This Row],[NO_OVHLS]]="RC","RC","LC")</f>
        <v>LC</v>
      </c>
      <c r="L126" t="s">
        <v>428</v>
      </c>
      <c r="M126" t="s">
        <v>606</v>
      </c>
      <c r="N126" t="b">
        <v>0</v>
      </c>
    </row>
    <row r="127" spans="2:14">
      <c r="B127" t="s">
        <v>751</v>
      </c>
      <c r="C127" s="110" t="str">
        <f>RIGHT(B127,3)</f>
        <v>119</v>
      </c>
      <c r="D127" t="s">
        <v>535</v>
      </c>
      <c r="E127" s="110" t="str">
        <f>LEFT(F127,22)</f>
        <v>HANGER BEARING FWD / C</v>
      </c>
      <c r="F127" t="s">
        <v>319</v>
      </c>
      <c r="G127" s="110" t="str">
        <f>RIGHT(H127,9)</f>
        <v>015377237</v>
      </c>
      <c r="H127" t="s">
        <v>320</v>
      </c>
      <c r="I127" s="96">
        <f>Table__10.2.1.2_1_4AHB_v_gen_TBO[[#This Row],[REALDUE]]-Table__10.2.1.2_1_4AHB_v_gen_TBO[[#This Row],[EI_BEG_AGE]]</f>
        <v>2017.1</v>
      </c>
      <c r="J127" s="96">
        <v>3973.9</v>
      </c>
      <c r="K127" s="110" t="str">
        <f>IF(Table__10.2.1.2_1_4AHB_v_gen_TBO[[#This Row],[NO_OVHLS]]="RC","RC","LC")</f>
        <v>LC</v>
      </c>
      <c r="L127" t="s">
        <v>428</v>
      </c>
      <c r="M127" t="s">
        <v>606</v>
      </c>
      <c r="N127" t="b">
        <v>0</v>
      </c>
    </row>
    <row r="128" spans="2:14">
      <c r="B128" t="s">
        <v>753</v>
      </c>
      <c r="C128" s="110" t="str">
        <f>RIGHT(B128,3)</f>
        <v>141</v>
      </c>
      <c r="D128" t="s">
        <v>457</v>
      </c>
      <c r="E128" s="110" t="str">
        <f>LEFT(F128,22)</f>
        <v>M/R SWASHPLATE BALL BR</v>
      </c>
      <c r="F128" t="s">
        <v>201</v>
      </c>
      <c r="G128" s="110" t="str">
        <f>RIGHT(H128,9)</f>
        <v>013363525</v>
      </c>
      <c r="H128" t="s">
        <v>202</v>
      </c>
      <c r="I128" s="96">
        <f>Table__10.2.1.2_1_4AHB_v_gen_TBO[[#This Row],[REALDUE]]-Table__10.2.1.2_1_4AHB_v_gen_TBO[[#This Row],[EI_BEG_AGE]]</f>
        <v>2095.5</v>
      </c>
      <c r="J128" s="96">
        <v>4733.5</v>
      </c>
      <c r="K128" s="110" t="str">
        <f>IF(Table__10.2.1.2_1_4AHB_v_gen_TBO[[#This Row],[NO_OVHLS]]="RC","RC","LC")</f>
        <v>RC</v>
      </c>
      <c r="L128" t="s">
        <v>405</v>
      </c>
      <c r="M128" t="s">
        <v>1004</v>
      </c>
      <c r="N128" t="b">
        <v>0</v>
      </c>
    </row>
    <row r="129" spans="2:14">
      <c r="B129" t="s">
        <v>753</v>
      </c>
      <c r="C129" s="110" t="str">
        <f>RIGHT(B129,3)</f>
        <v>141</v>
      </c>
      <c r="D129" t="s">
        <v>434</v>
      </c>
      <c r="E129" s="110" t="str">
        <f>LEFT(F129,22)</f>
        <v>STRETCHED STRAP</v>
      </c>
      <c r="F129" t="s">
        <v>151</v>
      </c>
      <c r="G129" s="110" t="str">
        <f>RIGHT(H129,9)</f>
        <v>015017715</v>
      </c>
      <c r="H129" t="s">
        <v>152</v>
      </c>
      <c r="I129" s="96">
        <f>Table__10.2.1.2_1_4AHB_v_gen_TBO[[#This Row],[REALDUE]]-Table__10.2.1.2_1_4AHB_v_gen_TBO[[#This Row],[EI_BEG_AGE]]</f>
        <v>2095.5</v>
      </c>
      <c r="J129" s="96">
        <v>4733.5</v>
      </c>
      <c r="K129" s="110" t="str">
        <f>IF(Table__10.2.1.2_1_4AHB_v_gen_TBO[[#This Row],[NO_OVHLS]]="RC","RC","LC")</f>
        <v>RC</v>
      </c>
      <c r="L129" t="s">
        <v>405</v>
      </c>
      <c r="M129" t="s">
        <v>1004</v>
      </c>
      <c r="N129" t="b">
        <v>0</v>
      </c>
    </row>
    <row r="130" spans="2:14">
      <c r="B130" t="s">
        <v>753</v>
      </c>
      <c r="C130" s="110" t="str">
        <f>RIGHT(B130,3)</f>
        <v>141</v>
      </c>
      <c r="D130" t="s">
        <v>434</v>
      </c>
      <c r="E130" s="110" t="str">
        <f>LEFT(F130,22)</f>
        <v>STRETCHED STRAP</v>
      </c>
      <c r="F130" t="s">
        <v>151</v>
      </c>
      <c r="G130" s="110" t="str">
        <f>RIGHT(H130,9)</f>
        <v>015017715</v>
      </c>
      <c r="H130" t="s">
        <v>152</v>
      </c>
      <c r="I130" s="96">
        <f>Table__10.2.1.2_1_4AHB_v_gen_TBO[[#This Row],[REALDUE]]-Table__10.2.1.2_1_4AHB_v_gen_TBO[[#This Row],[EI_BEG_AGE]]</f>
        <v>2095.5</v>
      </c>
      <c r="J130" s="96">
        <v>4733.5</v>
      </c>
      <c r="K130" s="110" t="str">
        <f>IF(Table__10.2.1.2_1_4AHB_v_gen_TBO[[#This Row],[NO_OVHLS]]="RC","RC","LC")</f>
        <v>RC</v>
      </c>
      <c r="L130" t="s">
        <v>405</v>
      </c>
      <c r="M130" t="s">
        <v>1004</v>
      </c>
      <c r="N130" t="b">
        <v>0</v>
      </c>
    </row>
    <row r="131" spans="2:14">
      <c r="B131" t="s">
        <v>753</v>
      </c>
      <c r="C131" s="110" t="str">
        <f>RIGHT(B131,3)</f>
        <v>141</v>
      </c>
      <c r="D131" t="s">
        <v>434</v>
      </c>
      <c r="E131" s="110" t="str">
        <f>LEFT(F131,22)</f>
        <v>STRETCHED STRAP</v>
      </c>
      <c r="F131" t="s">
        <v>151</v>
      </c>
      <c r="G131" s="110" t="str">
        <f>RIGHT(H131,9)</f>
        <v>015017715</v>
      </c>
      <c r="H131" t="s">
        <v>152</v>
      </c>
      <c r="I131" s="96">
        <f>Table__10.2.1.2_1_4AHB_v_gen_TBO[[#This Row],[REALDUE]]-Table__10.2.1.2_1_4AHB_v_gen_TBO[[#This Row],[EI_BEG_AGE]]</f>
        <v>2095.5</v>
      </c>
      <c r="J131" s="96">
        <v>4733.5</v>
      </c>
      <c r="K131" s="110" t="str">
        <f>IF(Table__10.2.1.2_1_4AHB_v_gen_TBO[[#This Row],[NO_OVHLS]]="RC","RC","LC")</f>
        <v>RC</v>
      </c>
      <c r="L131" t="s">
        <v>405</v>
      </c>
      <c r="M131" t="s">
        <v>1004</v>
      </c>
      <c r="N131" t="b">
        <v>0</v>
      </c>
    </row>
    <row r="132" spans="2:14">
      <c r="B132" t="s">
        <v>753</v>
      </c>
      <c r="C132" s="110" t="str">
        <f>RIGHT(B132,3)</f>
        <v>141</v>
      </c>
      <c r="D132" t="s">
        <v>434</v>
      </c>
      <c r="E132" s="110" t="str">
        <f>LEFT(F132,22)</f>
        <v>STRETCHED STRAP</v>
      </c>
      <c r="F132" t="s">
        <v>151</v>
      </c>
      <c r="G132" s="110" t="str">
        <f>RIGHT(H132,9)</f>
        <v>015017715</v>
      </c>
      <c r="H132" t="s">
        <v>152</v>
      </c>
      <c r="I132" s="96">
        <f>Table__10.2.1.2_1_4AHB_v_gen_TBO[[#This Row],[REALDUE]]-Table__10.2.1.2_1_4AHB_v_gen_TBO[[#This Row],[EI_BEG_AGE]]</f>
        <v>2095.5</v>
      </c>
      <c r="J132" s="96">
        <v>4733.5</v>
      </c>
      <c r="K132" s="110" t="str">
        <f>IF(Table__10.2.1.2_1_4AHB_v_gen_TBO[[#This Row],[NO_OVHLS]]="RC","RC","LC")</f>
        <v>RC</v>
      </c>
      <c r="L132" t="s">
        <v>405</v>
      </c>
      <c r="M132" t="s">
        <v>1004</v>
      </c>
      <c r="N132" t="b">
        <v>0</v>
      </c>
    </row>
    <row r="133" spans="2:14">
      <c r="B133" t="s">
        <v>751</v>
      </c>
      <c r="C133" s="110" t="str">
        <f>RIGHT(B133,3)</f>
        <v>119</v>
      </c>
      <c r="D133" t="s">
        <v>497</v>
      </c>
      <c r="E133" s="110" t="str">
        <f>LEFT(F133,22)</f>
        <v xml:space="preserve">NOSE GEARBOX ASSEMBLY </v>
      </c>
      <c r="F133" t="s">
        <v>269</v>
      </c>
      <c r="G133" s="110" t="str">
        <f>RIGHT(H133,9)</f>
        <v>014940685</v>
      </c>
      <c r="H133" t="s">
        <v>270</v>
      </c>
      <c r="I133" s="96">
        <f>Table__10.2.1.2_1_4AHB_v_gen_TBO[[#This Row],[REALDUE]]-Table__10.2.1.2_1_4AHB_v_gen_TBO[[#This Row],[EI_BEG_AGE]]</f>
        <v>2130.1</v>
      </c>
      <c r="J133" s="96">
        <v>3973.9</v>
      </c>
      <c r="K133" s="110" t="str">
        <f>IF(Table__10.2.1.2_1_4AHB_v_gen_TBO[[#This Row],[NO_OVHLS]]="RC","RC","LC")</f>
        <v>LC</v>
      </c>
      <c r="L133" t="s">
        <v>428</v>
      </c>
      <c r="M133" t="s">
        <v>921</v>
      </c>
      <c r="N133" t="b">
        <v>0</v>
      </c>
    </row>
    <row r="134" spans="2:14">
      <c r="B134" t="s">
        <v>749</v>
      </c>
      <c r="C134" s="110" t="str">
        <f>RIGHT(B134,3)</f>
        <v>187</v>
      </c>
      <c r="D134" t="s">
        <v>457</v>
      </c>
      <c r="E134" s="110" t="str">
        <f>LEFT(F134,22)</f>
        <v>M/R SWASHPLATE BALL BR</v>
      </c>
      <c r="F134" t="s">
        <v>201</v>
      </c>
      <c r="G134" s="110" t="str">
        <f>RIGHT(H134,9)</f>
        <v>013363525</v>
      </c>
      <c r="H134" t="s">
        <v>202</v>
      </c>
      <c r="I134" s="96">
        <f>Table__10.2.1.2_1_4AHB_v_gen_TBO[[#This Row],[REALDUE]]-Table__10.2.1.2_1_4AHB_v_gen_TBO[[#This Row],[EI_BEG_AGE]]</f>
        <v>2147.3000000000002</v>
      </c>
      <c r="J134" s="96">
        <v>5314.7</v>
      </c>
      <c r="K134" s="110" t="str">
        <f>IF(Table__10.2.1.2_1_4AHB_v_gen_TBO[[#This Row],[NO_OVHLS]]="RC","RC","LC")</f>
        <v>RC</v>
      </c>
      <c r="L134" t="s">
        <v>405</v>
      </c>
      <c r="M134" t="s">
        <v>1003</v>
      </c>
      <c r="N134" t="b">
        <v>0</v>
      </c>
    </row>
    <row r="135" spans="2:14">
      <c r="B135" t="s">
        <v>753</v>
      </c>
      <c r="C135" s="110" t="str">
        <f>RIGHT(B135,3)</f>
        <v>141</v>
      </c>
      <c r="D135" t="s">
        <v>565</v>
      </c>
      <c r="E135" s="110" t="str">
        <f>LEFT(F135,22)</f>
        <v>FWD LONGITUDE BELLCRAN</v>
      </c>
      <c r="F135" t="s">
        <v>363</v>
      </c>
      <c r="G135" s="110" t="str">
        <f>RIGHT(H135,9)</f>
        <v>012242263</v>
      </c>
      <c r="H135" t="s">
        <v>364</v>
      </c>
      <c r="I135" s="96">
        <f>Table__10.2.1.2_1_4AHB_v_gen_TBO[[#This Row],[REALDUE]]-Table__10.2.1.2_1_4AHB_v_gen_TBO[[#This Row],[EI_BEG_AGE]]</f>
        <v>2182.5</v>
      </c>
      <c r="J135" s="96">
        <v>4733.5</v>
      </c>
      <c r="K135" s="110" t="str">
        <f>IF(Table__10.2.1.2_1_4AHB_v_gen_TBO[[#This Row],[NO_OVHLS]]="RC","RC","LC")</f>
        <v>RC</v>
      </c>
      <c r="L135" t="s">
        <v>405</v>
      </c>
      <c r="M135" t="s">
        <v>1010</v>
      </c>
      <c r="N135" t="b">
        <v>0</v>
      </c>
    </row>
    <row r="136" spans="2:14">
      <c r="B136" t="s">
        <v>749</v>
      </c>
      <c r="C136" s="110" t="str">
        <f>RIGHT(B136,3)</f>
        <v>187</v>
      </c>
      <c r="D136" t="s">
        <v>458</v>
      </c>
      <c r="E136" s="110" t="str">
        <f>LEFT(F136,22)</f>
        <v>RETAINER UPPER SWSH PL</v>
      </c>
      <c r="F136" t="s">
        <v>203</v>
      </c>
      <c r="G136" s="110" t="str">
        <f>RIGHT(H136,9)</f>
        <v>013344856</v>
      </c>
      <c r="H136" t="s">
        <v>204</v>
      </c>
      <c r="I136" s="96">
        <f>Table__10.2.1.2_1_4AHB_v_gen_TBO[[#This Row],[REALDUE]]-Table__10.2.1.2_1_4AHB_v_gen_TBO[[#This Row],[EI_BEG_AGE]]</f>
        <v>2211.3000000000002</v>
      </c>
      <c r="J136" s="96">
        <v>5314.7</v>
      </c>
      <c r="K136" s="110" t="str">
        <f>IF(Table__10.2.1.2_1_4AHB_v_gen_TBO[[#This Row],[NO_OVHLS]]="RC","RC","LC")</f>
        <v>RC</v>
      </c>
      <c r="L136" t="s">
        <v>405</v>
      </c>
      <c r="M136" t="s">
        <v>641</v>
      </c>
      <c r="N136" t="b">
        <v>0</v>
      </c>
    </row>
    <row r="137" spans="2:14">
      <c r="B137" t="s">
        <v>751</v>
      </c>
      <c r="C137" s="110" t="str">
        <f>RIGHT(B137,3)</f>
        <v>119</v>
      </c>
      <c r="D137" t="s">
        <v>496</v>
      </c>
      <c r="E137" s="110" t="str">
        <f>LEFT(F137,22)</f>
        <v xml:space="preserve">NOSE GEARBOX ASSEMBLY </v>
      </c>
      <c r="F137" t="s">
        <v>267</v>
      </c>
      <c r="G137" s="110" t="str">
        <f>RIGHT(H137,9)</f>
        <v>014940683</v>
      </c>
      <c r="H137" t="s">
        <v>268</v>
      </c>
      <c r="I137" s="96">
        <f>Table__10.2.1.2_1_4AHB_v_gen_TBO[[#This Row],[REALDUE]]-Table__10.2.1.2_1_4AHB_v_gen_TBO[[#This Row],[EI_BEG_AGE]]</f>
        <v>2306.1</v>
      </c>
      <c r="J137" s="96">
        <v>3973.9</v>
      </c>
      <c r="K137" s="110" t="str">
        <f>IF(Table__10.2.1.2_1_4AHB_v_gen_TBO[[#This Row],[NO_OVHLS]]="RC","RC","LC")</f>
        <v>LC</v>
      </c>
      <c r="L137" t="s">
        <v>428</v>
      </c>
      <c r="M137" t="s">
        <v>623</v>
      </c>
      <c r="N137" t="b">
        <v>0</v>
      </c>
    </row>
    <row r="138" spans="2:14">
      <c r="B138" t="s">
        <v>749</v>
      </c>
      <c r="C138" s="110" t="str">
        <f>RIGHT(B138,3)</f>
        <v>187</v>
      </c>
      <c r="D138" t="s">
        <v>410</v>
      </c>
      <c r="E138" s="110" t="str">
        <f>LEFT(F138,22)</f>
        <v>STRUT AFT CENTER LH</v>
      </c>
      <c r="F138" t="s">
        <v>117</v>
      </c>
      <c r="G138" s="110" t="str">
        <f>RIGHT(H138,9)</f>
        <v>011639508</v>
      </c>
      <c r="H138" t="s">
        <v>118</v>
      </c>
      <c r="I138" s="96">
        <f>Table__10.2.1.2_1_4AHB_v_gen_TBO[[#This Row],[REALDUE]]-Table__10.2.1.2_1_4AHB_v_gen_TBO[[#This Row],[EI_BEG_AGE]]</f>
        <v>2333.3000000000002</v>
      </c>
      <c r="J138" s="96">
        <v>5314.7</v>
      </c>
      <c r="K138" s="110" t="str">
        <f>IF(Table__10.2.1.2_1_4AHB_v_gen_TBO[[#This Row],[NO_OVHLS]]="RC","RC","LC")</f>
        <v>RC</v>
      </c>
      <c r="L138" t="s">
        <v>405</v>
      </c>
      <c r="M138" t="s">
        <v>911</v>
      </c>
      <c r="N138" t="b">
        <v>0</v>
      </c>
    </row>
    <row r="139" spans="2:14">
      <c r="B139" t="s">
        <v>751</v>
      </c>
      <c r="C139" s="110" t="str">
        <f>RIGHT(B139,3)</f>
        <v>119</v>
      </c>
      <c r="D139" t="s">
        <v>520</v>
      </c>
      <c r="E139" s="110" t="str">
        <f>LEFT(F139,22)</f>
        <v>TAIL ROTOR GEARBOX ASS</v>
      </c>
      <c r="F139" t="s">
        <v>299</v>
      </c>
      <c r="G139" s="110" t="str">
        <f>RIGHT(H139,9)</f>
        <v>012547793</v>
      </c>
      <c r="H139" t="s">
        <v>300</v>
      </c>
      <c r="I139" s="96">
        <f>Table__10.2.1.2_1_4AHB_v_gen_TBO[[#This Row],[REALDUE]]-Table__10.2.1.2_1_4AHB_v_gen_TBO[[#This Row],[EI_BEG_AGE]]</f>
        <v>2341.1</v>
      </c>
      <c r="J139" s="96">
        <v>3973.9</v>
      </c>
      <c r="K139" s="110" t="str">
        <f>IF(Table__10.2.1.2_1_4AHB_v_gen_TBO[[#This Row],[NO_OVHLS]]="RC","RC","LC")</f>
        <v>LC</v>
      </c>
      <c r="L139" t="s">
        <v>427</v>
      </c>
      <c r="M139" t="s">
        <v>612</v>
      </c>
      <c r="N139" t="b">
        <v>0</v>
      </c>
    </row>
    <row r="140" spans="2:14">
      <c r="B140" t="s">
        <v>753</v>
      </c>
      <c r="C140" s="110" t="str">
        <f>RIGHT(B140,3)</f>
        <v>141</v>
      </c>
      <c r="D140" t="s">
        <v>419</v>
      </c>
      <c r="E140" s="110" t="str">
        <f>LEFT(F140,22)</f>
        <v>ELASTOMERIC MOUNT</v>
      </c>
      <c r="F140" t="s">
        <v>891</v>
      </c>
      <c r="G140" s="110" t="str">
        <f>RIGHT(H140,9)</f>
        <v>014710947</v>
      </c>
      <c r="H140" t="s">
        <v>135</v>
      </c>
      <c r="I140" s="96">
        <f>Table__10.2.1.2_1_4AHB_v_gen_TBO[[#This Row],[REALDUE]]-Table__10.2.1.2_1_4AHB_v_gen_TBO[[#This Row],[EI_BEG_AGE]]</f>
        <v>2383.5</v>
      </c>
      <c r="J140" s="96">
        <v>4733.5</v>
      </c>
      <c r="K140" s="110" t="str">
        <f>IF(Table__10.2.1.2_1_4AHB_v_gen_TBO[[#This Row],[NO_OVHLS]]="RC","RC","LC")</f>
        <v>RC</v>
      </c>
      <c r="L140" t="s">
        <v>405</v>
      </c>
      <c r="M140" t="s">
        <v>893</v>
      </c>
      <c r="N140" t="b">
        <v>0</v>
      </c>
    </row>
    <row r="141" spans="2:14">
      <c r="B141" t="s">
        <v>753</v>
      </c>
      <c r="C141" s="110" t="str">
        <f>RIGHT(B141,3)</f>
        <v>141</v>
      </c>
      <c r="D141" t="s">
        <v>420</v>
      </c>
      <c r="E141" s="110" t="str">
        <f>LEFT(F141,22)</f>
        <v>ELASTOMERIC MOUNT</v>
      </c>
      <c r="F141" t="s">
        <v>891</v>
      </c>
      <c r="G141" s="110" t="str">
        <f>RIGHT(H141,9)</f>
        <v>014712791</v>
      </c>
      <c r="H141" t="s">
        <v>136</v>
      </c>
      <c r="I141" s="96">
        <f>Table__10.2.1.2_1_4AHB_v_gen_TBO[[#This Row],[REALDUE]]-Table__10.2.1.2_1_4AHB_v_gen_TBO[[#This Row],[EI_BEG_AGE]]</f>
        <v>2383.5</v>
      </c>
      <c r="J141" s="96">
        <v>4733.5</v>
      </c>
      <c r="K141" s="110" t="str">
        <f>IF(Table__10.2.1.2_1_4AHB_v_gen_TBO[[#This Row],[NO_OVHLS]]="RC","RC","LC")</f>
        <v>RC</v>
      </c>
      <c r="L141" t="s">
        <v>405</v>
      </c>
      <c r="M141" t="s">
        <v>893</v>
      </c>
      <c r="N141" t="b">
        <v>0</v>
      </c>
    </row>
    <row r="142" spans="2:14">
      <c r="B142" t="s">
        <v>753</v>
      </c>
      <c r="C142" s="110" t="str">
        <f>RIGHT(B142,3)</f>
        <v>141</v>
      </c>
      <c r="D142" t="s">
        <v>421</v>
      </c>
      <c r="E142" s="110" t="str">
        <f>LEFT(F142,22)</f>
        <v>ELASTOMERIC MOUNT</v>
      </c>
      <c r="F142" t="s">
        <v>891</v>
      </c>
      <c r="G142" s="110" t="str">
        <f>RIGHT(H142,9)</f>
        <v>014712793</v>
      </c>
      <c r="H142" t="s">
        <v>137</v>
      </c>
      <c r="I142" s="96">
        <f>Table__10.2.1.2_1_4AHB_v_gen_TBO[[#This Row],[REALDUE]]-Table__10.2.1.2_1_4AHB_v_gen_TBO[[#This Row],[EI_BEG_AGE]]</f>
        <v>2383.5</v>
      </c>
      <c r="J142" s="96">
        <v>4733.5</v>
      </c>
      <c r="K142" s="110" t="str">
        <f>IF(Table__10.2.1.2_1_4AHB_v_gen_TBO[[#This Row],[NO_OVHLS]]="RC","RC","LC")</f>
        <v>RC</v>
      </c>
      <c r="L142" t="s">
        <v>405</v>
      </c>
      <c r="M142" t="s">
        <v>893</v>
      </c>
      <c r="N142" t="b">
        <v>0</v>
      </c>
    </row>
    <row r="143" spans="2:14">
      <c r="B143" t="s">
        <v>753</v>
      </c>
      <c r="C143" s="110" t="str">
        <f>RIGHT(B143,3)</f>
        <v>141</v>
      </c>
      <c r="D143" t="s">
        <v>422</v>
      </c>
      <c r="E143" s="110" t="str">
        <f>LEFT(F143,22)</f>
        <v>ELASTOMERIC MOUNT</v>
      </c>
      <c r="F143" t="s">
        <v>891</v>
      </c>
      <c r="G143" s="110" t="str">
        <f>RIGHT(H143,9)</f>
        <v>014712797</v>
      </c>
      <c r="H143" t="s">
        <v>138</v>
      </c>
      <c r="I143" s="110">
        <f>Table__10.2.1.2_1_4AHB_v_gen_TBO[[#This Row],[REALDUE]]-Table__10.2.1.2_1_4AHB_v_gen_TBO[[#This Row],[EI_BEG_AGE]]</f>
        <v>2383.5</v>
      </c>
      <c r="J143">
        <v>4733.5</v>
      </c>
      <c r="K143" s="110" t="str">
        <f>IF(Table__10.2.1.2_1_4AHB_v_gen_TBO[[#This Row],[NO_OVHLS]]="RC","RC","LC")</f>
        <v>RC</v>
      </c>
      <c r="L143" t="s">
        <v>405</v>
      </c>
      <c r="M143" t="s">
        <v>893</v>
      </c>
      <c r="N143" t="b">
        <v>0</v>
      </c>
    </row>
    <row r="144" spans="2:14">
      <c r="B144" t="s">
        <v>751</v>
      </c>
      <c r="C144" s="110" t="str">
        <f>RIGHT(B144,3)</f>
        <v>119</v>
      </c>
      <c r="D144" t="s">
        <v>449</v>
      </c>
      <c r="E144" s="110" t="str">
        <f>LEFT(F144,22)</f>
        <v>MAIN ROTOR BLADE</v>
      </c>
      <c r="F144" t="s">
        <v>181</v>
      </c>
      <c r="G144" s="110" t="str">
        <f>RIGHT(H144,9)</f>
        <v>013320702</v>
      </c>
      <c r="H144" t="s">
        <v>183</v>
      </c>
      <c r="I144" s="110">
        <f>Table__10.2.1.2_1_4AHB_v_gen_TBO[[#This Row],[REALDUE]]-Table__10.2.1.2_1_4AHB_v_gen_TBO[[#This Row],[EI_BEG_AGE]]</f>
        <v>2516.1</v>
      </c>
      <c r="J144">
        <v>3973.9</v>
      </c>
      <c r="K144" s="110" t="str">
        <f>IF(Table__10.2.1.2_1_4AHB_v_gen_TBO[[#This Row],[NO_OVHLS]]="RC","RC","LC")</f>
        <v>RC</v>
      </c>
      <c r="L144" t="s">
        <v>405</v>
      </c>
      <c r="M144" t="s">
        <v>980</v>
      </c>
      <c r="N144" t="b">
        <v>0</v>
      </c>
    </row>
    <row r="145" spans="2:14">
      <c r="B145" t="s">
        <v>751</v>
      </c>
      <c r="C145" s="110" t="str">
        <f>RIGHT(B145,3)</f>
        <v>119</v>
      </c>
      <c r="D145" t="s">
        <v>451</v>
      </c>
      <c r="E145" s="110" t="str">
        <f>LEFT(F145,22)</f>
        <v>SWEPT TIP CAP</v>
      </c>
      <c r="F145" t="s">
        <v>187</v>
      </c>
      <c r="G145" s="110" t="str">
        <f>RIGHT(H145,9)</f>
        <v>011705256</v>
      </c>
      <c r="H145" t="s">
        <v>188</v>
      </c>
      <c r="I145" s="110">
        <f>Table__10.2.1.2_1_4AHB_v_gen_TBO[[#This Row],[REALDUE]]-Table__10.2.1.2_1_4AHB_v_gen_TBO[[#This Row],[EI_BEG_AGE]]</f>
        <v>2516.1</v>
      </c>
      <c r="J145">
        <v>3973.9</v>
      </c>
      <c r="K145" s="110" t="str">
        <f>IF(Table__10.2.1.2_1_4AHB_v_gen_TBO[[#This Row],[NO_OVHLS]]="RC","RC","LC")</f>
        <v>RC</v>
      </c>
      <c r="L145" t="s">
        <v>405</v>
      </c>
      <c r="M145" t="s">
        <v>980</v>
      </c>
      <c r="N145" t="b">
        <v>0</v>
      </c>
    </row>
    <row r="146" spans="2:14">
      <c r="B146" t="s">
        <v>749</v>
      </c>
      <c r="C146" s="110" t="str">
        <f>RIGHT(B146,3)</f>
        <v>187</v>
      </c>
      <c r="D146" t="s">
        <v>537</v>
      </c>
      <c r="E146" s="110" t="str">
        <f>LEFT(F146,22)</f>
        <v>HANGER BEARING AFT / C</v>
      </c>
      <c r="F146" t="s">
        <v>323</v>
      </c>
      <c r="G146" s="110" t="str">
        <f>RIGHT(H146,9)</f>
        <v>013338490</v>
      </c>
      <c r="H146" t="s">
        <v>322</v>
      </c>
      <c r="I146" s="110">
        <f>Table__10.2.1.2_1_4AHB_v_gen_TBO[[#This Row],[REALDUE]]-Table__10.2.1.2_1_4AHB_v_gen_TBO[[#This Row],[EI_BEG_AGE]]</f>
        <v>2572.3000000000002</v>
      </c>
      <c r="J146">
        <v>5314.7</v>
      </c>
      <c r="K146" s="110" t="str">
        <f>IF(Table__10.2.1.2_1_4AHB_v_gen_TBO[[#This Row],[NO_OVHLS]]="RC","RC","LC")</f>
        <v>LC</v>
      </c>
      <c r="L146" t="s">
        <v>431</v>
      </c>
      <c r="M146" t="s">
        <v>857</v>
      </c>
      <c r="N146" t="b">
        <v>0</v>
      </c>
    </row>
    <row r="147" spans="2:14">
      <c r="B147" t="s">
        <v>751</v>
      </c>
      <c r="C147" s="110" t="str">
        <f>RIGHT(B147,3)</f>
        <v>119</v>
      </c>
      <c r="D147" t="s">
        <v>448</v>
      </c>
      <c r="E147" s="110" t="str">
        <f>LEFT(F147,22)</f>
        <v>MAIN ROTOR BLADE</v>
      </c>
      <c r="F147" t="s">
        <v>181</v>
      </c>
      <c r="G147" s="110" t="str">
        <f>RIGHT(H147,9)</f>
        <v>013305098</v>
      </c>
      <c r="H147" t="s">
        <v>182</v>
      </c>
      <c r="I147" s="110">
        <f>Table__10.2.1.2_1_4AHB_v_gen_TBO[[#This Row],[REALDUE]]-Table__10.2.1.2_1_4AHB_v_gen_TBO[[#This Row],[EI_BEG_AGE]]</f>
        <v>2590.1</v>
      </c>
      <c r="J147">
        <v>3973.9</v>
      </c>
      <c r="K147" s="110" t="str">
        <f>IF(Table__10.2.1.2_1_4AHB_v_gen_TBO[[#This Row],[NO_OVHLS]]="RC","RC","LC")</f>
        <v>RC</v>
      </c>
      <c r="L147" t="s">
        <v>405</v>
      </c>
      <c r="M147" t="s">
        <v>977</v>
      </c>
      <c r="N147" t="b">
        <v>0</v>
      </c>
    </row>
    <row r="148" spans="2:14">
      <c r="B148" t="s">
        <v>751</v>
      </c>
      <c r="C148" s="110" t="str">
        <f>RIGHT(B148,3)</f>
        <v>119</v>
      </c>
      <c r="D148" t="s">
        <v>451</v>
      </c>
      <c r="E148" s="110" t="str">
        <f>LEFT(F148,22)</f>
        <v>SWEPT TIP CAP</v>
      </c>
      <c r="F148" t="s">
        <v>187</v>
      </c>
      <c r="G148" s="110" t="str">
        <f>RIGHT(H148,9)</f>
        <v>011705256</v>
      </c>
      <c r="H148" t="s">
        <v>188</v>
      </c>
      <c r="I148" s="110">
        <f>Table__10.2.1.2_1_4AHB_v_gen_TBO[[#This Row],[REALDUE]]-Table__10.2.1.2_1_4AHB_v_gen_TBO[[#This Row],[EI_BEG_AGE]]</f>
        <v>2590.1</v>
      </c>
      <c r="J148">
        <v>3973.9</v>
      </c>
      <c r="K148" s="110" t="str">
        <f>IF(Table__10.2.1.2_1_4AHB_v_gen_TBO[[#This Row],[NO_OVHLS]]="RC","RC","LC")</f>
        <v>RC</v>
      </c>
      <c r="L148" t="s">
        <v>405</v>
      </c>
      <c r="M148" t="s">
        <v>977</v>
      </c>
      <c r="N148" t="b">
        <v>0</v>
      </c>
    </row>
    <row r="149" spans="2:14">
      <c r="B149" t="s">
        <v>749</v>
      </c>
      <c r="C149" s="110" t="str">
        <f>RIGHT(B149,3)</f>
        <v>187</v>
      </c>
      <c r="D149" t="s">
        <v>450</v>
      </c>
      <c r="E149" s="110" t="str">
        <f>LEFT(F149,22)</f>
        <v>MAIN ROTOR BLADE ASSEM</v>
      </c>
      <c r="F149" t="s">
        <v>186</v>
      </c>
      <c r="G149" s="110" t="str">
        <f>RIGHT(H149,9)</f>
        <v>015532053</v>
      </c>
      <c r="H149" t="s">
        <v>987</v>
      </c>
      <c r="I149" s="110">
        <f>Table__10.2.1.2_1_4AHB_v_gen_TBO[[#This Row],[REALDUE]]-Table__10.2.1.2_1_4AHB_v_gen_TBO[[#This Row],[EI_BEG_AGE]]</f>
        <v>2592.3000000000002</v>
      </c>
      <c r="J149">
        <v>5314.7</v>
      </c>
      <c r="K149" s="110" t="str">
        <f>IF(Table__10.2.1.2_1_4AHB_v_gen_TBO[[#This Row],[NO_OVHLS]]="RC","RC","LC")</f>
        <v>RC</v>
      </c>
      <c r="L149" t="s">
        <v>405</v>
      </c>
      <c r="M149" t="s">
        <v>643</v>
      </c>
      <c r="N149" t="b">
        <v>0</v>
      </c>
    </row>
    <row r="150" spans="2:14">
      <c r="B150" t="s">
        <v>753</v>
      </c>
      <c r="C150" s="110" t="str">
        <f>RIGHT(B150,3)</f>
        <v>141</v>
      </c>
      <c r="D150" t="s">
        <v>412</v>
      </c>
      <c r="E150" s="110" t="str">
        <f>LEFT(F150,22)</f>
        <v>REACTION BAR</v>
      </c>
      <c r="F150" t="s">
        <v>121</v>
      </c>
      <c r="G150" s="110" t="str">
        <f>RIGHT(H150,9)</f>
        <v>014389284</v>
      </c>
      <c r="H150" t="s">
        <v>122</v>
      </c>
      <c r="I150" s="110">
        <f>Table__10.2.1.2_1_4AHB_v_gen_TBO[[#This Row],[REALDUE]]-Table__10.2.1.2_1_4AHB_v_gen_TBO[[#This Row],[EI_BEG_AGE]]</f>
        <v>2723.5</v>
      </c>
      <c r="J150">
        <v>4733.5</v>
      </c>
      <c r="K150" s="110" t="str">
        <f>IF(Table__10.2.1.2_1_4AHB_v_gen_TBO[[#This Row],[NO_OVHLS]]="RC","RC","LC")</f>
        <v>RC</v>
      </c>
      <c r="L150" t="s">
        <v>405</v>
      </c>
      <c r="M150" t="s">
        <v>1022</v>
      </c>
      <c r="N150" t="b">
        <v>0</v>
      </c>
    </row>
    <row r="151" spans="2:14">
      <c r="B151" t="s">
        <v>751</v>
      </c>
      <c r="C151" s="110" t="str">
        <f>RIGHT(B151,3)</f>
        <v>119</v>
      </c>
      <c r="D151" t="s">
        <v>404</v>
      </c>
      <c r="E151" s="110" t="str">
        <f>LEFT(F151,22)</f>
        <v>MAST, M/R SUPPORT</v>
      </c>
      <c r="F151" t="s">
        <v>108</v>
      </c>
      <c r="G151" s="110" t="str">
        <f>RIGHT(H151,9)</f>
        <v>011661963</v>
      </c>
      <c r="H151" t="s">
        <v>109</v>
      </c>
      <c r="I151" s="96">
        <f>Table__10.2.1.2_1_4AHB_v_gen_TBO[[#This Row],[REALDUE]]-Table__10.2.1.2_1_4AHB_v_gen_TBO[[#This Row],[EI_BEG_AGE]]</f>
        <v>2846.1</v>
      </c>
      <c r="J151" s="96">
        <v>3973.9</v>
      </c>
      <c r="K151" s="110" t="str">
        <f>IF(Table__10.2.1.2_1_4AHB_v_gen_TBO[[#This Row],[NO_OVHLS]]="RC","RC","LC")</f>
        <v>RC</v>
      </c>
      <c r="L151" t="s">
        <v>405</v>
      </c>
      <c r="M151" t="s">
        <v>902</v>
      </c>
      <c r="N151" t="b">
        <v>0</v>
      </c>
    </row>
    <row r="152" spans="2:14">
      <c r="B152" t="s">
        <v>749</v>
      </c>
      <c r="C152" s="110" t="str">
        <f>RIGHT(B152,3)</f>
        <v>187</v>
      </c>
      <c r="D152" t="s">
        <v>481</v>
      </c>
      <c r="E152" s="110" t="str">
        <f>LEFT(F152,22)</f>
        <v>CARRIER ASSEMBLY</v>
      </c>
      <c r="F152" t="s">
        <v>239</v>
      </c>
      <c r="G152" s="110" t="str">
        <f>RIGHT(H152,9)</f>
        <v>N PENDING</v>
      </c>
      <c r="H152" t="s">
        <v>106</v>
      </c>
      <c r="I152" s="96">
        <f>Table__10.2.1.2_1_4AHB_v_gen_TBO[[#This Row],[REALDUE]]-Table__10.2.1.2_1_4AHB_v_gen_TBO[[#This Row],[EI_BEG_AGE]]</f>
        <v>2872.3</v>
      </c>
      <c r="J152" s="96">
        <v>5314.7</v>
      </c>
      <c r="K152" s="110" t="str">
        <f>IF(Table__10.2.1.2_1_4AHB_v_gen_TBO[[#This Row],[NO_OVHLS]]="RC","RC","LC")</f>
        <v>RC</v>
      </c>
      <c r="L152" t="s">
        <v>405</v>
      </c>
      <c r="M152" t="s">
        <v>603</v>
      </c>
      <c r="N152" t="b">
        <v>0</v>
      </c>
    </row>
    <row r="153" spans="2:14">
      <c r="B153" t="s">
        <v>749</v>
      </c>
      <c r="C153" s="110" t="str">
        <f>RIGHT(B153,3)</f>
        <v>187</v>
      </c>
      <c r="D153" t="s">
        <v>412</v>
      </c>
      <c r="E153" s="110" t="str">
        <f>LEFT(F153,22)</f>
        <v>REACTION BAR</v>
      </c>
      <c r="F153" t="s">
        <v>121</v>
      </c>
      <c r="G153" s="110" t="str">
        <f>RIGHT(H153,9)</f>
        <v>014543810</v>
      </c>
      <c r="H153" t="s">
        <v>123</v>
      </c>
      <c r="I153" s="110">
        <f>Table__10.2.1.2_1_4AHB_v_gen_TBO[[#This Row],[REALDUE]]-Table__10.2.1.2_1_4AHB_v_gen_TBO[[#This Row],[EI_BEG_AGE]]</f>
        <v>2946.3</v>
      </c>
      <c r="J153">
        <v>5314.7</v>
      </c>
      <c r="K153" s="110" t="str">
        <f>IF(Table__10.2.1.2_1_4AHB_v_gen_TBO[[#This Row],[NO_OVHLS]]="RC","RC","LC")</f>
        <v>RC</v>
      </c>
      <c r="L153" t="s">
        <v>405</v>
      </c>
      <c r="M153" t="s">
        <v>1020</v>
      </c>
      <c r="N153" t="b">
        <v>0</v>
      </c>
    </row>
    <row r="154" spans="2:14">
      <c r="B154" t="s">
        <v>751</v>
      </c>
      <c r="C154" s="110" t="str">
        <f>RIGHT(B154,3)</f>
        <v>119</v>
      </c>
      <c r="D154" t="s">
        <v>451</v>
      </c>
      <c r="E154" s="110" t="str">
        <f>LEFT(F154,22)</f>
        <v>SWEPT TIP CAP</v>
      </c>
      <c r="F154" t="s">
        <v>187</v>
      </c>
      <c r="G154" s="110" t="str">
        <f>RIGHT(H154,9)</f>
        <v>011705256</v>
      </c>
      <c r="H154" t="s">
        <v>188</v>
      </c>
      <c r="I154" s="96">
        <f>Table__10.2.1.2_1_4AHB_v_gen_TBO[[#This Row],[REALDUE]]-Table__10.2.1.2_1_4AHB_v_gen_TBO[[#This Row],[EI_BEG_AGE]]</f>
        <v>2959.1</v>
      </c>
      <c r="J154" s="96">
        <v>3973.9</v>
      </c>
      <c r="K154" s="110" t="str">
        <f>IF(Table__10.2.1.2_1_4AHB_v_gen_TBO[[#This Row],[NO_OVHLS]]="RC","RC","LC")</f>
        <v>RC</v>
      </c>
      <c r="L154" t="s">
        <v>405</v>
      </c>
      <c r="M154" t="s">
        <v>992</v>
      </c>
      <c r="N154" t="b">
        <v>0</v>
      </c>
    </row>
    <row r="155" spans="2:14">
      <c r="B155" t="s">
        <v>749</v>
      </c>
      <c r="C155" s="110" t="str">
        <f>RIGHT(B155,3)</f>
        <v>187</v>
      </c>
      <c r="D155" t="s">
        <v>472</v>
      </c>
      <c r="E155" s="110" t="str">
        <f>LEFT(F155,22)</f>
        <v>TAIL ROTOR BLADE ASSY</v>
      </c>
      <c r="F155" t="s">
        <v>224</v>
      </c>
      <c r="G155" s="110" t="str">
        <f>RIGHT(H155,9)</f>
        <v>015994521</v>
      </c>
      <c r="H155" t="s">
        <v>611</v>
      </c>
      <c r="I155" s="96">
        <f>Table__10.2.1.2_1_4AHB_v_gen_TBO[[#This Row],[REALDUE]]-Table__10.2.1.2_1_4AHB_v_gen_TBO[[#This Row],[EI_BEG_AGE]]</f>
        <v>2986.3</v>
      </c>
      <c r="J155" s="96">
        <v>5314.7</v>
      </c>
      <c r="K155" s="110" t="str">
        <f>IF(Table__10.2.1.2_1_4AHB_v_gen_TBO[[#This Row],[NO_OVHLS]]="RC","RC","LC")</f>
        <v>RC</v>
      </c>
      <c r="L155" t="s">
        <v>405</v>
      </c>
      <c r="M155" t="s">
        <v>289</v>
      </c>
      <c r="N155" t="b">
        <v>0</v>
      </c>
    </row>
    <row r="156" spans="2:14">
      <c r="B156" t="s">
        <v>749</v>
      </c>
      <c r="C156" s="110" t="str">
        <f>RIGHT(B156,3)</f>
        <v>187</v>
      </c>
      <c r="D156" t="s">
        <v>432</v>
      </c>
      <c r="E156" s="110" t="str">
        <f>LEFT(F156,22)</f>
        <v>HUB SUB ASSY</v>
      </c>
      <c r="F156" t="s">
        <v>147</v>
      </c>
      <c r="G156" s="110" t="str">
        <f>RIGHT(H156,9)</f>
        <v>013234381</v>
      </c>
      <c r="H156" t="s">
        <v>148</v>
      </c>
      <c r="I156" s="96">
        <f>Table__10.2.1.2_1_4AHB_v_gen_TBO[[#This Row],[REALDUE]]-Table__10.2.1.2_1_4AHB_v_gen_TBO[[#This Row],[EI_BEG_AGE]]</f>
        <v>2988.3</v>
      </c>
      <c r="J156" s="96">
        <v>5314.7</v>
      </c>
      <c r="K156" s="110" t="str">
        <f>IF(Table__10.2.1.2_1_4AHB_v_gen_TBO[[#This Row],[NO_OVHLS]]="RC","RC","LC")</f>
        <v>RC</v>
      </c>
      <c r="L156" t="s">
        <v>405</v>
      </c>
      <c r="M156" t="s">
        <v>702</v>
      </c>
      <c r="N156" t="b">
        <v>0</v>
      </c>
    </row>
    <row r="157" spans="2:14">
      <c r="B157" t="s">
        <v>753</v>
      </c>
      <c r="C157" s="110" t="str">
        <f>RIGHT(B157,3)</f>
        <v>141</v>
      </c>
      <c r="D157" t="s">
        <v>458</v>
      </c>
      <c r="E157" s="110" t="str">
        <f>LEFT(F157,22)</f>
        <v>RETAINER UPPER SWSH PL</v>
      </c>
      <c r="F157" t="s">
        <v>203</v>
      </c>
      <c r="G157" s="110" t="str">
        <f>RIGHT(H157,9)</f>
        <v>013344856</v>
      </c>
      <c r="H157" t="s">
        <v>204</v>
      </c>
      <c r="I157" s="96">
        <f>Table__10.2.1.2_1_4AHB_v_gen_TBO[[#This Row],[REALDUE]]-Table__10.2.1.2_1_4AHB_v_gen_TBO[[#This Row],[EI_BEG_AGE]]</f>
        <v>2989.5</v>
      </c>
      <c r="J157" s="96">
        <v>4733.5</v>
      </c>
      <c r="K157" s="110" t="str">
        <f>IF(Table__10.2.1.2_1_4AHB_v_gen_TBO[[#This Row],[NO_OVHLS]]="RC","RC","LC")</f>
        <v>RC</v>
      </c>
      <c r="L157" t="s">
        <v>405</v>
      </c>
      <c r="M157" t="s">
        <v>880</v>
      </c>
      <c r="N157" t="b">
        <v>0</v>
      </c>
    </row>
    <row r="158" spans="2:14">
      <c r="B158" t="s">
        <v>749</v>
      </c>
      <c r="C158" s="110" t="str">
        <f>RIGHT(B158,3)</f>
        <v>187</v>
      </c>
      <c r="D158" t="s">
        <v>449</v>
      </c>
      <c r="E158" s="110" t="str">
        <f>LEFT(F158,22)</f>
        <v>MAIN ROTOR BLADE</v>
      </c>
      <c r="F158" t="s">
        <v>181</v>
      </c>
      <c r="G158" s="110" t="str">
        <f>RIGHT(H158,9)</f>
        <v>013320702</v>
      </c>
      <c r="H158" t="s">
        <v>183</v>
      </c>
      <c r="I158" s="96">
        <f>Table__10.2.1.2_1_4AHB_v_gen_TBO[[#This Row],[REALDUE]]-Table__10.2.1.2_1_4AHB_v_gen_TBO[[#This Row],[EI_BEG_AGE]]</f>
        <v>3024.3</v>
      </c>
      <c r="J158" s="96">
        <v>5314.7</v>
      </c>
      <c r="K158" s="110" t="str">
        <f>IF(Table__10.2.1.2_1_4AHB_v_gen_TBO[[#This Row],[NO_OVHLS]]="RC","RC","LC")</f>
        <v>RC</v>
      </c>
      <c r="L158" t="s">
        <v>405</v>
      </c>
      <c r="M158" t="s">
        <v>985</v>
      </c>
      <c r="N158" t="b">
        <v>0</v>
      </c>
    </row>
    <row r="159" spans="2:14">
      <c r="B159" t="s">
        <v>753</v>
      </c>
      <c r="C159" s="110" t="str">
        <f>RIGHT(B159,3)</f>
        <v>141</v>
      </c>
      <c r="D159" t="s">
        <v>534</v>
      </c>
      <c r="E159" s="110" t="str">
        <f>LEFT(F159,22)</f>
        <v>HANGER BEARING FWD / C</v>
      </c>
      <c r="F159" t="s">
        <v>319</v>
      </c>
      <c r="G159" s="110" t="str">
        <f>RIGHT(H159,9)</f>
        <v>013338491</v>
      </c>
      <c r="H159" t="s">
        <v>318</v>
      </c>
      <c r="I159" s="96">
        <f>Table__10.2.1.2_1_4AHB_v_gen_TBO[[#This Row],[REALDUE]]-Table__10.2.1.2_1_4AHB_v_gen_TBO[[#This Row],[EI_BEG_AGE]]</f>
        <v>3095.5</v>
      </c>
      <c r="J159" s="96">
        <v>4733.5</v>
      </c>
      <c r="K159" s="110" t="str">
        <f>IF(Table__10.2.1.2_1_4AHB_v_gen_TBO[[#This Row],[NO_OVHLS]]="RC","RC","LC")</f>
        <v>LC</v>
      </c>
      <c r="L159" t="s">
        <v>431</v>
      </c>
      <c r="M159" t="s">
        <v>929</v>
      </c>
      <c r="N159" t="b">
        <v>0</v>
      </c>
    </row>
    <row r="160" spans="2:14">
      <c r="B160" t="s">
        <v>751</v>
      </c>
      <c r="C160" s="110" t="str">
        <f>RIGHT(B160,3)</f>
        <v>119</v>
      </c>
      <c r="D160" t="s">
        <v>442</v>
      </c>
      <c r="E160" s="110" t="str">
        <f>LEFT(F160,22)</f>
        <v>LOWER SHOE ASSEMBLY</v>
      </c>
      <c r="F160" t="s">
        <v>170</v>
      </c>
      <c r="G160" s="110" t="str">
        <f>RIGHT(H160,9)</f>
        <v>012459826</v>
      </c>
      <c r="H160" t="s">
        <v>169</v>
      </c>
      <c r="I160" s="110">
        <f>Table__10.2.1.2_1_4AHB_v_gen_TBO[[#This Row],[REALDUE]]-Table__10.2.1.2_1_4AHB_v_gen_TBO[[#This Row],[EI_BEG_AGE]]</f>
        <v>3114.1</v>
      </c>
      <c r="J160">
        <v>3973.9</v>
      </c>
      <c r="K160" s="110" t="str">
        <f>IF(Table__10.2.1.2_1_4AHB_v_gen_TBO[[#This Row],[NO_OVHLS]]="RC","RC","LC")</f>
        <v>RC</v>
      </c>
      <c r="L160" t="s">
        <v>405</v>
      </c>
      <c r="M160" t="s">
        <v>944</v>
      </c>
      <c r="N160" t="b">
        <v>0</v>
      </c>
    </row>
    <row r="161" spans="2:14">
      <c r="B161" t="s">
        <v>749</v>
      </c>
      <c r="C161" s="110" t="str">
        <f>RIGHT(B161,3)</f>
        <v>187</v>
      </c>
      <c r="D161" t="s">
        <v>494</v>
      </c>
      <c r="E161" s="110" t="str">
        <f>LEFT(F161,22)</f>
        <v>GEAR SPUR</v>
      </c>
      <c r="F161" t="s">
        <v>259</v>
      </c>
      <c r="G161" s="110" t="str">
        <f>RIGHT(H161,9)</f>
        <v>013765667</v>
      </c>
      <c r="H161" t="s">
        <v>264</v>
      </c>
      <c r="I161" s="110">
        <f>Table__10.2.1.2_1_4AHB_v_gen_TBO[[#This Row],[REALDUE]]-Table__10.2.1.2_1_4AHB_v_gen_TBO[[#This Row],[EI_BEG_AGE]]</f>
        <v>3115.3</v>
      </c>
      <c r="J161">
        <v>5314.7</v>
      </c>
      <c r="K161" s="110" t="str">
        <f>IF(Table__10.2.1.2_1_4AHB_v_gen_TBO[[#This Row],[NO_OVHLS]]="RC","RC","LC")</f>
        <v>RC</v>
      </c>
      <c r="L161" t="s">
        <v>405</v>
      </c>
      <c r="M161" t="s">
        <v>850</v>
      </c>
      <c r="N161" t="b">
        <v>0</v>
      </c>
    </row>
    <row r="162" spans="2:14">
      <c r="B162" t="s">
        <v>749</v>
      </c>
      <c r="C162" s="110" t="str">
        <f>RIGHT(B162,3)</f>
        <v>187</v>
      </c>
      <c r="D162" t="s">
        <v>494</v>
      </c>
      <c r="E162" s="110" t="str">
        <f>LEFT(F162,22)</f>
        <v>GEAR SPUR</v>
      </c>
      <c r="F162" t="s">
        <v>259</v>
      </c>
      <c r="G162" s="110" t="str">
        <f>RIGHT(H162,9)</f>
        <v>013765667</v>
      </c>
      <c r="H162" t="s">
        <v>264</v>
      </c>
      <c r="I162" s="110">
        <f>Table__10.2.1.2_1_4AHB_v_gen_TBO[[#This Row],[REALDUE]]-Table__10.2.1.2_1_4AHB_v_gen_TBO[[#This Row],[EI_BEG_AGE]]</f>
        <v>3115.3</v>
      </c>
      <c r="J162">
        <v>5314.7</v>
      </c>
      <c r="K162" s="110" t="str">
        <f>IF(Table__10.2.1.2_1_4AHB_v_gen_TBO[[#This Row],[NO_OVHLS]]="RC","RC","LC")</f>
        <v>RC</v>
      </c>
      <c r="L162" t="s">
        <v>405</v>
      </c>
      <c r="M162" t="s">
        <v>850</v>
      </c>
      <c r="N162" t="b">
        <v>0</v>
      </c>
    </row>
    <row r="163" spans="2:14">
      <c r="B163" t="s">
        <v>749</v>
      </c>
      <c r="C163" s="110" t="str">
        <f>RIGHT(B163,3)</f>
        <v>187</v>
      </c>
      <c r="D163" t="s">
        <v>494</v>
      </c>
      <c r="E163" s="110" t="str">
        <f>LEFT(F163,22)</f>
        <v>GEAR SPUR</v>
      </c>
      <c r="F163" t="s">
        <v>259</v>
      </c>
      <c r="G163" s="110" t="str">
        <f>RIGHT(H163,9)</f>
        <v>013765667</v>
      </c>
      <c r="H163" t="s">
        <v>264</v>
      </c>
      <c r="I163" s="110">
        <f>Table__10.2.1.2_1_4AHB_v_gen_TBO[[#This Row],[REALDUE]]-Table__10.2.1.2_1_4AHB_v_gen_TBO[[#This Row],[EI_BEG_AGE]]</f>
        <v>3115.3</v>
      </c>
      <c r="J163">
        <v>5314.7</v>
      </c>
      <c r="K163" s="110" t="str">
        <f>IF(Table__10.2.1.2_1_4AHB_v_gen_TBO[[#This Row],[NO_OVHLS]]="RC","RC","LC")</f>
        <v>RC</v>
      </c>
      <c r="L163" t="s">
        <v>405</v>
      </c>
      <c r="M163" t="s">
        <v>850</v>
      </c>
      <c r="N163" t="b">
        <v>0</v>
      </c>
    </row>
    <row r="164" spans="2:14">
      <c r="B164" t="s">
        <v>749</v>
      </c>
      <c r="C164" s="110" t="str">
        <f>RIGHT(B164,3)</f>
        <v>187</v>
      </c>
      <c r="D164" t="s">
        <v>494</v>
      </c>
      <c r="E164" s="110" t="str">
        <f>LEFT(F164,22)</f>
        <v>GEAR SPUR</v>
      </c>
      <c r="F164" t="s">
        <v>259</v>
      </c>
      <c r="G164" s="110" t="str">
        <f>RIGHT(H164,9)</f>
        <v>013765667</v>
      </c>
      <c r="H164" t="s">
        <v>264</v>
      </c>
      <c r="I164" s="110">
        <f>Table__10.2.1.2_1_4AHB_v_gen_TBO[[#This Row],[REALDUE]]-Table__10.2.1.2_1_4AHB_v_gen_TBO[[#This Row],[EI_BEG_AGE]]</f>
        <v>3115.3</v>
      </c>
      <c r="J164">
        <v>5314.7</v>
      </c>
      <c r="K164" s="110" t="str">
        <f>IF(Table__10.2.1.2_1_4AHB_v_gen_TBO[[#This Row],[NO_OVHLS]]="RC","RC","LC")</f>
        <v>RC</v>
      </c>
      <c r="L164" t="s">
        <v>405</v>
      </c>
      <c r="M164" t="s">
        <v>850</v>
      </c>
      <c r="N164" t="b">
        <v>0</v>
      </c>
    </row>
    <row r="165" spans="2:14">
      <c r="B165" t="s">
        <v>753</v>
      </c>
      <c r="C165" s="110" t="str">
        <f>RIGHT(B165,3)</f>
        <v>141</v>
      </c>
      <c r="D165" t="s">
        <v>451</v>
      </c>
      <c r="E165" s="110" t="str">
        <f>LEFT(F165,22)</f>
        <v>SWEPT TIP CAP</v>
      </c>
      <c r="F165" t="s">
        <v>187</v>
      </c>
      <c r="G165" s="110" t="str">
        <f>RIGHT(H165,9)</f>
        <v>011705256</v>
      </c>
      <c r="H165" t="s">
        <v>188</v>
      </c>
      <c r="I165" s="110">
        <f>Table__10.2.1.2_1_4AHB_v_gen_TBO[[#This Row],[REALDUE]]-Table__10.2.1.2_1_4AHB_v_gen_TBO[[#This Row],[EI_BEG_AGE]]</f>
        <v>3116.5</v>
      </c>
      <c r="J165">
        <v>4733.5</v>
      </c>
      <c r="K165" s="110" t="str">
        <f>IF(Table__10.2.1.2_1_4AHB_v_gen_TBO[[#This Row],[NO_OVHLS]]="RC","RC","LC")</f>
        <v>RC</v>
      </c>
      <c r="L165" t="s">
        <v>405</v>
      </c>
      <c r="M165" t="s">
        <v>994</v>
      </c>
      <c r="N165" t="b">
        <v>0</v>
      </c>
    </row>
    <row r="166" spans="2:14">
      <c r="B166" t="s">
        <v>751</v>
      </c>
      <c r="C166" s="110" t="str">
        <f>RIGHT(B166,3)</f>
        <v>119</v>
      </c>
      <c r="D166" t="s">
        <v>451</v>
      </c>
      <c r="E166" s="110" t="str">
        <f>LEFT(F166,22)</f>
        <v>SWEPT TIP CAP</v>
      </c>
      <c r="F166" t="s">
        <v>187</v>
      </c>
      <c r="G166" s="110" t="str">
        <f>RIGHT(H166,9)</f>
        <v>011705256</v>
      </c>
      <c r="H166" t="s">
        <v>188</v>
      </c>
      <c r="I166" s="96">
        <f>Table__10.2.1.2_1_4AHB_v_gen_TBO[[#This Row],[REALDUE]]-Table__10.2.1.2_1_4AHB_v_gen_TBO[[#This Row],[EI_BEG_AGE]]</f>
        <v>3155.1</v>
      </c>
      <c r="J166" s="96">
        <v>3973.9</v>
      </c>
      <c r="K166" s="110" t="str">
        <f>IF(Table__10.2.1.2_1_4AHB_v_gen_TBO[[#This Row],[NO_OVHLS]]="RC","RC","LC")</f>
        <v>RC</v>
      </c>
      <c r="L166" t="s">
        <v>405</v>
      </c>
      <c r="M166" t="s">
        <v>991</v>
      </c>
      <c r="N166" t="b">
        <v>0</v>
      </c>
    </row>
    <row r="167" spans="2:14">
      <c r="B167" t="s">
        <v>749</v>
      </c>
      <c r="C167" s="110" t="str">
        <f>RIGHT(B167,3)</f>
        <v>187</v>
      </c>
      <c r="D167" t="s">
        <v>439</v>
      </c>
      <c r="E167" s="110" t="str">
        <f>LEFT(F167,22)</f>
        <v>FEATHERING BEARING STU</v>
      </c>
      <c r="F167" t="s">
        <v>162</v>
      </c>
      <c r="G167" s="110" t="str">
        <f>RIGHT(H167,9)</f>
        <v>011634676</v>
      </c>
      <c r="H167" t="s">
        <v>163</v>
      </c>
      <c r="I167" s="96">
        <f>Table__10.2.1.2_1_4AHB_v_gen_TBO[[#This Row],[REALDUE]]-Table__10.2.1.2_1_4AHB_v_gen_TBO[[#This Row],[EI_BEG_AGE]]</f>
        <v>3201.3</v>
      </c>
      <c r="J167" s="96">
        <v>5314.7</v>
      </c>
      <c r="K167" s="110" t="str">
        <f>IF(Table__10.2.1.2_1_4AHB_v_gen_TBO[[#This Row],[NO_OVHLS]]="RC","RC","LC")</f>
        <v>RC</v>
      </c>
      <c r="L167" t="s">
        <v>405</v>
      </c>
      <c r="M167" t="s">
        <v>194</v>
      </c>
      <c r="N167" t="b">
        <v>0</v>
      </c>
    </row>
    <row r="168" spans="2:14">
      <c r="B168" t="s">
        <v>749</v>
      </c>
      <c r="C168" s="110" t="str">
        <f>RIGHT(B168,3)</f>
        <v>187</v>
      </c>
      <c r="D168" t="s">
        <v>439</v>
      </c>
      <c r="E168" s="110" t="str">
        <f>LEFT(F168,22)</f>
        <v>FEATHERING BEARING STU</v>
      </c>
      <c r="F168" t="s">
        <v>162</v>
      </c>
      <c r="G168" s="110" t="str">
        <f>RIGHT(H168,9)</f>
        <v>011634676</v>
      </c>
      <c r="H168" t="s">
        <v>163</v>
      </c>
      <c r="I168" s="96">
        <f>Table__10.2.1.2_1_4AHB_v_gen_TBO[[#This Row],[REALDUE]]-Table__10.2.1.2_1_4AHB_v_gen_TBO[[#This Row],[EI_BEG_AGE]]</f>
        <v>3201.3</v>
      </c>
      <c r="J168" s="96">
        <v>5314.7</v>
      </c>
      <c r="K168" s="110" t="str">
        <f>IF(Table__10.2.1.2_1_4AHB_v_gen_TBO[[#This Row],[NO_OVHLS]]="RC","RC","LC")</f>
        <v>RC</v>
      </c>
      <c r="L168" t="s">
        <v>405</v>
      </c>
      <c r="M168" t="s">
        <v>194</v>
      </c>
      <c r="N168" t="b">
        <v>0</v>
      </c>
    </row>
    <row r="169" spans="2:14">
      <c r="B169" t="s">
        <v>753</v>
      </c>
      <c r="C169" s="110" t="str">
        <f>RIGHT(B169,3)</f>
        <v>141</v>
      </c>
      <c r="D169" t="s">
        <v>406</v>
      </c>
      <c r="E169" s="110" t="str">
        <f>LEFT(F169,22)</f>
        <v>MAST, M/R SUPPORT</v>
      </c>
      <c r="F169" t="s">
        <v>108</v>
      </c>
      <c r="G169" s="110" t="str">
        <f>RIGHT(H169,9)</f>
        <v>011661963</v>
      </c>
      <c r="H169" t="s">
        <v>109</v>
      </c>
      <c r="I169" s="96">
        <f>Table__10.2.1.2_1_4AHB_v_gen_TBO[[#This Row],[REALDUE]]-Table__10.2.1.2_1_4AHB_v_gen_TBO[[#This Row],[EI_BEG_AGE]]</f>
        <v>3206.5</v>
      </c>
      <c r="J169" s="96">
        <v>4733.5</v>
      </c>
      <c r="K169" s="110" t="str">
        <f>IF(Table__10.2.1.2_1_4AHB_v_gen_TBO[[#This Row],[NO_OVHLS]]="RC","RC","LC")</f>
        <v>RC</v>
      </c>
      <c r="L169" t="s">
        <v>405</v>
      </c>
      <c r="M169" t="s">
        <v>903</v>
      </c>
      <c r="N169" t="b">
        <v>0</v>
      </c>
    </row>
    <row r="170" spans="2:14">
      <c r="B170" t="s">
        <v>749</v>
      </c>
      <c r="C170" s="110" t="str">
        <f>RIGHT(B170,3)</f>
        <v>187</v>
      </c>
      <c r="D170" t="s">
        <v>451</v>
      </c>
      <c r="E170" s="110" t="str">
        <f>LEFT(F170,22)</f>
        <v>SWEPT TIP CAP</v>
      </c>
      <c r="F170" t="s">
        <v>187</v>
      </c>
      <c r="G170" s="110" t="str">
        <f>RIGHT(H170,9)</f>
        <v>011705256</v>
      </c>
      <c r="H170" t="s">
        <v>188</v>
      </c>
      <c r="I170" s="96">
        <f>Table__10.2.1.2_1_4AHB_v_gen_TBO[[#This Row],[REALDUE]]-Table__10.2.1.2_1_4AHB_v_gen_TBO[[#This Row],[EI_BEG_AGE]]</f>
        <v>3490.3</v>
      </c>
      <c r="J170" s="96">
        <v>5314.7</v>
      </c>
      <c r="K170" s="110" t="str">
        <f>IF(Table__10.2.1.2_1_4AHB_v_gen_TBO[[#This Row],[NO_OVHLS]]="RC","RC","LC")</f>
        <v>RC</v>
      </c>
      <c r="L170" t="s">
        <v>405</v>
      </c>
      <c r="M170" t="s">
        <v>989</v>
      </c>
      <c r="N170" t="b">
        <v>0</v>
      </c>
    </row>
    <row r="171" spans="2:14">
      <c r="B171" t="s">
        <v>753</v>
      </c>
      <c r="C171" s="110" t="str">
        <f>RIGHT(B171,3)</f>
        <v>141</v>
      </c>
      <c r="D171" t="s">
        <v>449</v>
      </c>
      <c r="E171" s="110" t="str">
        <f>LEFT(F171,22)</f>
        <v>MAIN ROTOR BLADE</v>
      </c>
      <c r="F171" t="s">
        <v>181</v>
      </c>
      <c r="G171" s="110" t="str">
        <f>RIGHT(H171,9)</f>
        <v>013320702</v>
      </c>
      <c r="H171" t="s">
        <v>183</v>
      </c>
      <c r="I171" s="96">
        <f>Table__10.2.1.2_1_4AHB_v_gen_TBO[[#This Row],[REALDUE]]-Table__10.2.1.2_1_4AHB_v_gen_TBO[[#This Row],[EI_BEG_AGE]]</f>
        <v>3500.5</v>
      </c>
      <c r="J171" s="96">
        <v>4733.5</v>
      </c>
      <c r="K171" s="110" t="str">
        <f>IF(Table__10.2.1.2_1_4AHB_v_gen_TBO[[#This Row],[NO_OVHLS]]="RC","RC","LC")</f>
        <v>RC</v>
      </c>
      <c r="L171" t="s">
        <v>405</v>
      </c>
      <c r="M171" t="s">
        <v>981</v>
      </c>
      <c r="N171" t="b">
        <v>0</v>
      </c>
    </row>
    <row r="172" spans="2:14">
      <c r="B172" t="s">
        <v>753</v>
      </c>
      <c r="C172" s="110" t="str">
        <f>RIGHT(B172,3)</f>
        <v>141</v>
      </c>
      <c r="D172" t="s">
        <v>442</v>
      </c>
      <c r="E172" s="110" t="str">
        <f>LEFT(F172,22)</f>
        <v>LOWER SHOE ASSY</v>
      </c>
      <c r="F172" t="s">
        <v>168</v>
      </c>
      <c r="G172" s="110" t="str">
        <f>RIGHT(H172,9)</f>
        <v>012459826</v>
      </c>
      <c r="H172" t="s">
        <v>169</v>
      </c>
      <c r="I172" s="96">
        <f>Table__10.2.1.2_1_4AHB_v_gen_TBO[[#This Row],[REALDUE]]-Table__10.2.1.2_1_4AHB_v_gen_TBO[[#This Row],[EI_BEG_AGE]]</f>
        <v>3664.5</v>
      </c>
      <c r="J172" s="96">
        <v>4733.5</v>
      </c>
      <c r="K172" s="110" t="str">
        <f>IF(Table__10.2.1.2_1_4AHB_v_gen_TBO[[#This Row],[NO_OVHLS]]="RC","RC","LC")</f>
        <v>RC</v>
      </c>
      <c r="L172" t="s">
        <v>405</v>
      </c>
      <c r="M172" t="s">
        <v>943</v>
      </c>
      <c r="N172" t="b">
        <v>0</v>
      </c>
    </row>
    <row r="173" spans="2:14">
      <c r="B173" t="s">
        <v>753</v>
      </c>
      <c r="C173" s="110" t="str">
        <f>RIGHT(B173,3)</f>
        <v>141</v>
      </c>
      <c r="D173" t="s">
        <v>556</v>
      </c>
      <c r="E173" s="110" t="str">
        <f>LEFT(F173,22)</f>
        <v>ACTUATOR SUPPORT</v>
      </c>
      <c r="F173" t="s">
        <v>349</v>
      </c>
      <c r="G173" s="110" t="str">
        <f>RIGHT(H173,9)</f>
        <v>012639844</v>
      </c>
      <c r="H173" t="s">
        <v>354</v>
      </c>
      <c r="I173" s="96">
        <f>Table__10.2.1.2_1_4AHB_v_gen_TBO[[#This Row],[REALDUE]]-Table__10.2.1.2_1_4AHB_v_gen_TBO[[#This Row],[EI_BEG_AGE]]</f>
        <v>3683.5</v>
      </c>
      <c r="J173" s="96">
        <v>4733.5</v>
      </c>
      <c r="K173" s="110" t="str">
        <f>IF(Table__10.2.1.2_1_4AHB_v_gen_TBO[[#This Row],[NO_OVHLS]]="RC","RC","LC")</f>
        <v>RC</v>
      </c>
      <c r="L173" t="s">
        <v>405</v>
      </c>
      <c r="M173" t="s">
        <v>355</v>
      </c>
      <c r="N173" t="b">
        <v>0</v>
      </c>
    </row>
    <row r="174" spans="2:14">
      <c r="B174" t="s">
        <v>749</v>
      </c>
      <c r="C174" s="110" t="str">
        <f>RIGHT(B174,3)</f>
        <v>187</v>
      </c>
      <c r="D174" t="s">
        <v>406</v>
      </c>
      <c r="E174" s="110" t="str">
        <f>LEFT(F174,22)</f>
        <v>MAST, M/R SUPPORT</v>
      </c>
      <c r="F174" t="s">
        <v>108</v>
      </c>
      <c r="G174" s="110" t="str">
        <f>RIGHT(H174,9)</f>
        <v>011661963</v>
      </c>
      <c r="H174" t="s">
        <v>109</v>
      </c>
      <c r="I174" s="96">
        <f>Table__10.2.1.2_1_4AHB_v_gen_TBO[[#This Row],[REALDUE]]-Table__10.2.1.2_1_4AHB_v_gen_TBO[[#This Row],[EI_BEG_AGE]]</f>
        <v>3732.3</v>
      </c>
      <c r="J174" s="96">
        <v>5314.7</v>
      </c>
      <c r="K174" s="110" t="str">
        <f>IF(Table__10.2.1.2_1_4AHB_v_gen_TBO[[#This Row],[NO_OVHLS]]="RC","RC","LC")</f>
        <v>RC</v>
      </c>
      <c r="L174" t="s">
        <v>405</v>
      </c>
      <c r="M174" t="s">
        <v>904</v>
      </c>
      <c r="N174" t="b">
        <v>0</v>
      </c>
    </row>
    <row r="175" spans="2:14">
      <c r="B175" t="s">
        <v>749</v>
      </c>
      <c r="C175" s="110" t="str">
        <f>RIGHT(B175,3)</f>
        <v>187</v>
      </c>
      <c r="D175" t="s">
        <v>510</v>
      </c>
      <c r="E175" s="110" t="str">
        <f>LEFT(F175,22)</f>
        <v>INTERMEDIATE GEARBOX A</v>
      </c>
      <c r="F175" t="s">
        <v>287</v>
      </c>
      <c r="G175" s="110" t="str">
        <f>RIGHT(H175,9)</f>
        <v>015301625</v>
      </c>
      <c r="H175" t="s">
        <v>290</v>
      </c>
      <c r="I175" s="96">
        <f>Table__10.2.1.2_1_4AHB_v_gen_TBO[[#This Row],[REALDUE]]-Table__10.2.1.2_1_4AHB_v_gen_TBO[[#This Row],[EI_BEG_AGE]]</f>
        <v>3732.3</v>
      </c>
      <c r="J175" s="96">
        <v>5314.7</v>
      </c>
      <c r="K175" s="110" t="str">
        <f>IF(Table__10.2.1.2_1_4AHB_v_gen_TBO[[#This Row],[NO_OVHLS]]="RC","RC","LC")</f>
        <v>LC</v>
      </c>
      <c r="L175" t="s">
        <v>428</v>
      </c>
      <c r="M175" t="s">
        <v>904</v>
      </c>
      <c r="N175" t="b">
        <v>0</v>
      </c>
    </row>
    <row r="176" spans="2:14">
      <c r="B176" t="s">
        <v>751</v>
      </c>
      <c r="C176" s="110" t="str">
        <f>RIGHT(B176,3)</f>
        <v>119</v>
      </c>
      <c r="D176" t="s">
        <v>412</v>
      </c>
      <c r="E176" s="110" t="str">
        <f>LEFT(F176,22)</f>
        <v>REACTION BAR</v>
      </c>
      <c r="F176" t="s">
        <v>121</v>
      </c>
      <c r="G176" s="110" t="str">
        <f>RIGHT(H176,9)</f>
        <v>014543810</v>
      </c>
      <c r="H176" t="s">
        <v>123</v>
      </c>
      <c r="I176" s="96">
        <f>Table__10.2.1.2_1_4AHB_v_gen_TBO[[#This Row],[REALDUE]]-Table__10.2.1.2_1_4AHB_v_gen_TBO[[#This Row],[EI_BEG_AGE]]</f>
        <v>3734.1</v>
      </c>
      <c r="J176" s="96">
        <v>3973.9</v>
      </c>
      <c r="K176" s="110" t="str">
        <f>IF(Table__10.2.1.2_1_4AHB_v_gen_TBO[[#This Row],[NO_OVHLS]]="RC","RC","LC")</f>
        <v>RC</v>
      </c>
      <c r="L176" t="s">
        <v>405</v>
      </c>
      <c r="M176" t="s">
        <v>1021</v>
      </c>
      <c r="N176" t="b">
        <v>0</v>
      </c>
    </row>
    <row r="177" spans="2:14">
      <c r="B177" t="s">
        <v>753</v>
      </c>
      <c r="C177" s="110" t="str">
        <f>RIGHT(B177,3)</f>
        <v>141</v>
      </c>
      <c r="D177" t="s">
        <v>410</v>
      </c>
      <c r="E177" s="110" t="str">
        <f>LEFT(F177,22)</f>
        <v>STRUT AFT CENTER LH</v>
      </c>
      <c r="F177" t="s">
        <v>117</v>
      </c>
      <c r="G177" s="110" t="str">
        <f>RIGHT(H177,9)</f>
        <v>011639508</v>
      </c>
      <c r="H177" t="s">
        <v>118</v>
      </c>
      <c r="I177" s="96">
        <f>Table__10.2.1.2_1_4AHB_v_gen_TBO[[#This Row],[REALDUE]]-Table__10.2.1.2_1_4AHB_v_gen_TBO[[#This Row],[EI_BEG_AGE]]</f>
        <v>3861.5</v>
      </c>
      <c r="J177" s="96">
        <v>4733.5</v>
      </c>
      <c r="K177" s="110" t="str">
        <f>IF(Table__10.2.1.2_1_4AHB_v_gen_TBO[[#This Row],[NO_OVHLS]]="RC","RC","LC")</f>
        <v>RC</v>
      </c>
      <c r="L177" t="s">
        <v>405</v>
      </c>
      <c r="M177" t="s">
        <v>910</v>
      </c>
      <c r="N177" t="b">
        <v>0</v>
      </c>
    </row>
    <row r="178" spans="2:14">
      <c r="B178" t="s">
        <v>753</v>
      </c>
      <c r="C178" s="110" t="str">
        <f>RIGHT(B178,3)</f>
        <v>141</v>
      </c>
      <c r="D178" t="s">
        <v>532</v>
      </c>
      <c r="E178" s="110" t="str">
        <f>LEFT(F178,22)</f>
        <v>SHAFT APU</v>
      </c>
      <c r="F178" t="s">
        <v>316</v>
      </c>
      <c r="G178" s="110" t="str">
        <f>RIGHT(H178,9)</f>
        <v>011547122</v>
      </c>
      <c r="H178" t="s">
        <v>317</v>
      </c>
      <c r="I178" s="110">
        <f>Table__10.2.1.2_1_4AHB_v_gen_TBO[[#This Row],[REALDUE]]-Table__10.2.1.2_1_4AHB_v_gen_TBO[[#This Row],[EI_BEG_AGE]]</f>
        <v>3889.5</v>
      </c>
      <c r="J178">
        <v>4733.5</v>
      </c>
      <c r="K178" s="110" t="str">
        <f>IF(Table__10.2.1.2_1_4AHB_v_gen_TBO[[#This Row],[NO_OVHLS]]="RC","RC","LC")</f>
        <v>RC</v>
      </c>
      <c r="L178" t="s">
        <v>405</v>
      </c>
      <c r="M178" t="s">
        <v>836</v>
      </c>
      <c r="N178" t="b">
        <v>0</v>
      </c>
    </row>
    <row r="179" spans="2:14">
      <c r="B179" t="s">
        <v>749</v>
      </c>
      <c r="C179" s="110" t="str">
        <f>RIGHT(B179,3)</f>
        <v>187</v>
      </c>
      <c r="D179" t="s">
        <v>449</v>
      </c>
      <c r="E179" s="110" t="str">
        <f>LEFT(F179,22)</f>
        <v>MAIN ROTOR BLADE</v>
      </c>
      <c r="F179" t="s">
        <v>181</v>
      </c>
      <c r="G179" s="110" t="str">
        <f>RIGHT(H179,9)</f>
        <v>013320702</v>
      </c>
      <c r="H179" t="s">
        <v>183</v>
      </c>
      <c r="I179" s="110">
        <f>Table__10.2.1.2_1_4AHB_v_gen_TBO[[#This Row],[REALDUE]]-Table__10.2.1.2_1_4AHB_v_gen_TBO[[#This Row],[EI_BEG_AGE]]</f>
        <v>3902.3</v>
      </c>
      <c r="J179">
        <v>5314.7</v>
      </c>
      <c r="K179" s="110" t="str">
        <f>IF(Table__10.2.1.2_1_4AHB_v_gen_TBO[[#This Row],[NO_OVHLS]]="RC","RC","LC")</f>
        <v>RC</v>
      </c>
      <c r="L179" t="s">
        <v>405</v>
      </c>
      <c r="M179" t="s">
        <v>984</v>
      </c>
      <c r="N179" t="b">
        <v>0</v>
      </c>
    </row>
    <row r="180" spans="2:14">
      <c r="B180" t="s">
        <v>749</v>
      </c>
      <c r="C180" s="110" t="str">
        <f>RIGHT(B180,3)</f>
        <v>187</v>
      </c>
      <c r="D180" t="s">
        <v>561</v>
      </c>
      <c r="E180" s="110" t="str">
        <f>LEFT(F180,22)</f>
        <v>LATERAL LINK</v>
      </c>
      <c r="F180" t="s">
        <v>358</v>
      </c>
      <c r="G180" s="110" t="str">
        <f>RIGHT(H180,9)</f>
        <v>012629482</v>
      </c>
      <c r="H180" t="s">
        <v>359</v>
      </c>
      <c r="I180" s="110">
        <f>Table__10.2.1.2_1_4AHB_v_gen_TBO[[#This Row],[REALDUE]]-Table__10.2.1.2_1_4AHB_v_gen_TBO[[#This Row],[EI_BEG_AGE]]</f>
        <v>3910.3</v>
      </c>
      <c r="J180">
        <v>5314.7</v>
      </c>
      <c r="K180" s="110" t="str">
        <f>IF(Table__10.2.1.2_1_4AHB_v_gen_TBO[[#This Row],[NO_OVHLS]]="RC","RC","LC")</f>
        <v>RC</v>
      </c>
      <c r="L180" t="s">
        <v>405</v>
      </c>
      <c r="M180" t="s">
        <v>1014</v>
      </c>
      <c r="N180" t="b">
        <v>0</v>
      </c>
    </row>
    <row r="181" spans="2:14">
      <c r="B181" t="s">
        <v>749</v>
      </c>
      <c r="C181" s="110" t="str">
        <f>RIGHT(B181,3)</f>
        <v>187</v>
      </c>
      <c r="D181" t="s">
        <v>453</v>
      </c>
      <c r="E181" s="110" t="str">
        <f>LEFT(F181,22)</f>
        <v>MAIN ROTOR BLADE ATTAC</v>
      </c>
      <c r="F181" t="s">
        <v>193</v>
      </c>
      <c r="G181" s="110" t="str">
        <f>RIGHT(H181,9)</f>
        <v>011643917</v>
      </c>
      <c r="H181" t="s">
        <v>190</v>
      </c>
      <c r="I181" s="110">
        <f>Table__10.2.1.2_1_4AHB_v_gen_TBO[[#This Row],[REALDUE]]-Table__10.2.1.2_1_4AHB_v_gen_TBO[[#This Row],[EI_BEG_AGE]]</f>
        <v>3940.3</v>
      </c>
      <c r="J181">
        <v>5314.7</v>
      </c>
      <c r="K181" s="110" t="str">
        <f>IF(Table__10.2.1.2_1_4AHB_v_gen_TBO[[#This Row],[NO_OVHLS]]="RC","RC","LC")</f>
        <v>RC</v>
      </c>
      <c r="L181" t="s">
        <v>405</v>
      </c>
      <c r="M181" t="s">
        <v>1043</v>
      </c>
      <c r="N181" t="b">
        <v>0</v>
      </c>
    </row>
    <row r="182" spans="2:14">
      <c r="B182" t="s">
        <v>749</v>
      </c>
      <c r="C182" s="110" t="str">
        <f>RIGHT(B182,3)</f>
        <v>187</v>
      </c>
      <c r="D182" t="s">
        <v>533</v>
      </c>
      <c r="E182" s="110" t="str">
        <f>LEFT(F182,22)</f>
        <v>SHAFT APU</v>
      </c>
      <c r="F182" t="s">
        <v>316</v>
      </c>
      <c r="G182" s="110" t="str">
        <f>RIGHT(H182,9)</f>
        <v>011547122</v>
      </c>
      <c r="H182" t="s">
        <v>317</v>
      </c>
      <c r="I182" s="110">
        <f>Table__10.2.1.2_1_4AHB_v_gen_TBO[[#This Row],[REALDUE]]-Table__10.2.1.2_1_4AHB_v_gen_TBO[[#This Row],[EI_BEG_AGE]]</f>
        <v>3942.3</v>
      </c>
      <c r="J182">
        <v>5314.7</v>
      </c>
      <c r="K182" s="110" t="str">
        <f>IF(Table__10.2.1.2_1_4AHB_v_gen_TBO[[#This Row],[NO_OVHLS]]="RC","RC","LC")</f>
        <v>RC</v>
      </c>
      <c r="L182" t="s">
        <v>405</v>
      </c>
      <c r="M182" t="s">
        <v>858</v>
      </c>
      <c r="N182" t="b">
        <v>0</v>
      </c>
    </row>
    <row r="183" spans="2:14">
      <c r="B183" t="s">
        <v>753</v>
      </c>
      <c r="C183" s="110" t="str">
        <f>RIGHT(B183,3)</f>
        <v>141</v>
      </c>
      <c r="D183" t="s">
        <v>497</v>
      </c>
      <c r="E183" s="110" t="str">
        <f>LEFT(F183,22)</f>
        <v xml:space="preserve">NOSE GEARBOX ASSEMBLY </v>
      </c>
      <c r="F183" t="s">
        <v>269</v>
      </c>
      <c r="G183" s="110" t="str">
        <f>RIGHT(H183,9)</f>
        <v>014940685</v>
      </c>
      <c r="H183" t="s">
        <v>270</v>
      </c>
      <c r="I183" s="110">
        <f>Table__10.2.1.2_1_4AHB_v_gen_TBO[[#This Row],[REALDUE]]-Table__10.2.1.2_1_4AHB_v_gen_TBO[[#This Row],[EI_BEG_AGE]]</f>
        <v>3991.5</v>
      </c>
      <c r="J183">
        <v>4733.5</v>
      </c>
      <c r="K183" s="110" t="str">
        <f>IF(Table__10.2.1.2_1_4AHB_v_gen_TBO[[#This Row],[NO_OVHLS]]="RC","RC","LC")</f>
        <v>LC</v>
      </c>
      <c r="L183" t="s">
        <v>427</v>
      </c>
      <c r="M183" t="s">
        <v>920</v>
      </c>
      <c r="N183" t="b">
        <v>0</v>
      </c>
    </row>
    <row r="184" spans="2:14">
      <c r="B184" t="s">
        <v>751</v>
      </c>
      <c r="C184" s="110" t="str">
        <f>RIGHT(B184,3)</f>
        <v>119</v>
      </c>
      <c r="D184" t="s">
        <v>472</v>
      </c>
      <c r="E184" s="110" t="str">
        <f>LEFT(F184,22)</f>
        <v>TAIL ROTOR BLADE ASSY</v>
      </c>
      <c r="F184" t="s">
        <v>224</v>
      </c>
      <c r="G184" s="110" t="str">
        <f>RIGHT(H184,9)</f>
        <v>015994521</v>
      </c>
      <c r="H184" t="s">
        <v>611</v>
      </c>
      <c r="I184" s="110">
        <f>Table__10.2.1.2_1_4AHB_v_gen_TBO[[#This Row],[REALDUE]]-Table__10.2.1.2_1_4AHB_v_gen_TBO[[#This Row],[EI_BEG_AGE]]</f>
        <v>4168.1000000000004</v>
      </c>
      <c r="J184">
        <v>3973.9</v>
      </c>
      <c r="K184" s="110" t="str">
        <f>IF(Table__10.2.1.2_1_4AHB_v_gen_TBO[[#This Row],[NO_OVHLS]]="RC","RC","LC")</f>
        <v>RC</v>
      </c>
      <c r="L184" t="s">
        <v>405</v>
      </c>
      <c r="M184" t="s">
        <v>607</v>
      </c>
      <c r="N184" t="b">
        <v>0</v>
      </c>
    </row>
    <row r="185" spans="2:14">
      <c r="B185" t="s">
        <v>751</v>
      </c>
      <c r="C185" s="110" t="str">
        <f>RIGHT(B185,3)</f>
        <v>119</v>
      </c>
      <c r="D185" t="s">
        <v>472</v>
      </c>
      <c r="E185" s="110" t="str">
        <f>LEFT(F185,22)</f>
        <v>TAIL ROTOR BLADE ASSY</v>
      </c>
      <c r="F185" t="s">
        <v>224</v>
      </c>
      <c r="G185" s="110" t="str">
        <f>RIGHT(H185,9)</f>
        <v>015994521</v>
      </c>
      <c r="H185" t="s">
        <v>611</v>
      </c>
      <c r="I185" s="110">
        <f>Table__10.2.1.2_1_4AHB_v_gen_TBO[[#This Row],[REALDUE]]-Table__10.2.1.2_1_4AHB_v_gen_TBO[[#This Row],[EI_BEG_AGE]]</f>
        <v>4168.1000000000004</v>
      </c>
      <c r="J185">
        <v>3973.9</v>
      </c>
      <c r="K185" s="110" t="str">
        <f>IF(Table__10.2.1.2_1_4AHB_v_gen_TBO[[#This Row],[NO_OVHLS]]="RC","RC","LC")</f>
        <v>RC</v>
      </c>
      <c r="L185" t="s">
        <v>405</v>
      </c>
      <c r="M185" t="s">
        <v>607</v>
      </c>
      <c r="N185" t="b">
        <v>0</v>
      </c>
    </row>
    <row r="186" spans="2:14">
      <c r="B186" t="s">
        <v>751</v>
      </c>
      <c r="C186" s="110" t="str">
        <f>RIGHT(B186,3)</f>
        <v>119</v>
      </c>
      <c r="D186" t="s">
        <v>472</v>
      </c>
      <c r="E186" s="110" t="str">
        <f>LEFT(F186,22)</f>
        <v>TAIL ROTOR BLADE ASSY</v>
      </c>
      <c r="F186" t="s">
        <v>224</v>
      </c>
      <c r="G186" s="110" t="str">
        <f>RIGHT(H186,9)</f>
        <v>015994521</v>
      </c>
      <c r="H186" t="s">
        <v>611</v>
      </c>
      <c r="I186" s="110">
        <f>Table__10.2.1.2_1_4AHB_v_gen_TBO[[#This Row],[REALDUE]]-Table__10.2.1.2_1_4AHB_v_gen_TBO[[#This Row],[EI_BEG_AGE]]</f>
        <v>4168.1000000000004</v>
      </c>
      <c r="J186">
        <v>3973.9</v>
      </c>
      <c r="K186" s="110" t="str">
        <f>IF(Table__10.2.1.2_1_4AHB_v_gen_TBO[[#This Row],[NO_OVHLS]]="RC","RC","LC")</f>
        <v>RC</v>
      </c>
      <c r="L186" t="s">
        <v>405</v>
      </c>
      <c r="M186" t="s">
        <v>607</v>
      </c>
      <c r="N186" t="b">
        <v>0</v>
      </c>
    </row>
    <row r="187" spans="2:14">
      <c r="B187" t="s">
        <v>751</v>
      </c>
      <c r="C187" s="110" t="str">
        <f>RIGHT(B187,3)</f>
        <v>119</v>
      </c>
      <c r="D187" t="s">
        <v>458</v>
      </c>
      <c r="E187" s="110" t="str">
        <f>LEFT(F187,22)</f>
        <v>RETAINER UPPER SWSH PL</v>
      </c>
      <c r="F187" t="s">
        <v>203</v>
      </c>
      <c r="G187" s="110" t="str">
        <f>RIGHT(H187,9)</f>
        <v>013344856</v>
      </c>
      <c r="H187" t="s">
        <v>204</v>
      </c>
      <c r="I187" s="110">
        <f>Table__10.2.1.2_1_4AHB_v_gen_TBO[[#This Row],[REALDUE]]-Table__10.2.1.2_1_4AHB_v_gen_TBO[[#This Row],[EI_BEG_AGE]]</f>
        <v>4180.1000000000004</v>
      </c>
      <c r="J187">
        <v>3973.9</v>
      </c>
      <c r="K187" s="110" t="str">
        <f>IF(Table__10.2.1.2_1_4AHB_v_gen_TBO[[#This Row],[NO_OVHLS]]="RC","RC","LC")</f>
        <v>RC</v>
      </c>
      <c r="L187" t="s">
        <v>405</v>
      </c>
      <c r="M187" t="s">
        <v>881</v>
      </c>
      <c r="N187" t="b">
        <v>0</v>
      </c>
    </row>
    <row r="188" spans="2:14">
      <c r="B188" t="s">
        <v>749</v>
      </c>
      <c r="C188" s="110" t="str">
        <f>RIGHT(B188,3)</f>
        <v>187</v>
      </c>
      <c r="D188" t="s">
        <v>472</v>
      </c>
      <c r="E188" s="110" t="str">
        <f>LEFT(F188,22)</f>
        <v>TAIL ROTOR BLADE ASSY</v>
      </c>
      <c r="F188" t="s">
        <v>224</v>
      </c>
      <c r="G188" s="110" t="str">
        <f>RIGHT(H188,9)</f>
        <v>015994521</v>
      </c>
      <c r="H188" t="s">
        <v>611</v>
      </c>
      <c r="I188" s="110">
        <f>Table__10.2.1.2_1_4AHB_v_gen_TBO[[#This Row],[REALDUE]]-Table__10.2.1.2_1_4AHB_v_gen_TBO[[#This Row],[EI_BEG_AGE]]</f>
        <v>4183.3</v>
      </c>
      <c r="J188">
        <v>5314.7</v>
      </c>
      <c r="K188" s="110" t="str">
        <f>IF(Table__10.2.1.2_1_4AHB_v_gen_TBO[[#This Row],[NO_OVHLS]]="RC","RC","LC")</f>
        <v>RC</v>
      </c>
      <c r="L188" t="s">
        <v>405</v>
      </c>
      <c r="M188" t="s">
        <v>998</v>
      </c>
      <c r="N188" t="b">
        <v>0</v>
      </c>
    </row>
    <row r="189" spans="2:14">
      <c r="B189" t="s">
        <v>751</v>
      </c>
      <c r="C189" s="110" t="str">
        <f>RIGHT(B189,3)</f>
        <v>119</v>
      </c>
      <c r="D189" t="s">
        <v>549</v>
      </c>
      <c r="E189" s="110" t="str">
        <f>LEFT(F189,22)</f>
        <v>ROD END BEARING</v>
      </c>
      <c r="F189" t="s">
        <v>341</v>
      </c>
      <c r="G189" s="110" t="str">
        <f>RIGHT(H189,9)</f>
        <v>012700706</v>
      </c>
      <c r="H189" t="s">
        <v>342</v>
      </c>
      <c r="I189" s="110">
        <f>Table__10.2.1.2_1_4AHB_v_gen_TBO[[#This Row],[REALDUE]]-Table__10.2.1.2_1_4AHB_v_gen_TBO[[#This Row],[EI_BEG_AGE]]</f>
        <v>4184.1000000000004</v>
      </c>
      <c r="J189">
        <v>3973.9</v>
      </c>
      <c r="K189" s="110" t="str">
        <f>IF(Table__10.2.1.2_1_4AHB_v_gen_TBO[[#This Row],[NO_OVHLS]]="RC","RC","LC")</f>
        <v>RC</v>
      </c>
      <c r="L189" t="s">
        <v>405</v>
      </c>
      <c r="M189" t="s">
        <v>844</v>
      </c>
      <c r="N189" t="b">
        <v>0</v>
      </c>
    </row>
    <row r="190" spans="2:14">
      <c r="B190" t="s">
        <v>753</v>
      </c>
      <c r="C190" s="110" t="str">
        <f>RIGHT(B190,3)</f>
        <v>141</v>
      </c>
      <c r="D190" t="s">
        <v>496</v>
      </c>
      <c r="E190" s="110" t="str">
        <f>LEFT(F190,22)</f>
        <v xml:space="preserve">NOSE GEARBOX ASSEMBLY </v>
      </c>
      <c r="F190" t="s">
        <v>267</v>
      </c>
      <c r="G190" s="110" t="str">
        <f>RIGHT(H190,9)</f>
        <v>014940683</v>
      </c>
      <c r="H190" t="s">
        <v>268</v>
      </c>
      <c r="I190" s="110">
        <f>Table__10.2.1.2_1_4AHB_v_gen_TBO[[#This Row],[REALDUE]]-Table__10.2.1.2_1_4AHB_v_gen_TBO[[#This Row],[EI_BEG_AGE]]</f>
        <v>4214.5</v>
      </c>
      <c r="J190">
        <v>4733.5</v>
      </c>
      <c r="K190" s="110" t="str">
        <f>IF(Table__10.2.1.2_1_4AHB_v_gen_TBO[[#This Row],[NO_OVHLS]]="RC","RC","LC")</f>
        <v>LC</v>
      </c>
      <c r="L190" t="s">
        <v>427</v>
      </c>
      <c r="M190" t="s">
        <v>919</v>
      </c>
      <c r="N190" t="b">
        <v>0</v>
      </c>
    </row>
    <row r="191" spans="2:14">
      <c r="B191" t="s">
        <v>749</v>
      </c>
      <c r="C191" s="110" t="str">
        <f>RIGHT(B191,3)</f>
        <v>187</v>
      </c>
      <c r="D191" t="s">
        <v>519</v>
      </c>
      <c r="E191" s="110" t="str">
        <f>LEFT(F191,22)</f>
        <v>TAIL ROTOR GEARBOX ASS</v>
      </c>
      <c r="F191" t="s">
        <v>299</v>
      </c>
      <c r="G191" s="110" t="str">
        <f>RIGHT(H191,9)</f>
        <v>012547793</v>
      </c>
      <c r="H191" t="s">
        <v>300</v>
      </c>
      <c r="I191" s="110">
        <f>Table__10.2.1.2_1_4AHB_v_gen_TBO[[#This Row],[REALDUE]]-Table__10.2.1.2_1_4AHB_v_gen_TBO[[#This Row],[EI_BEG_AGE]]</f>
        <v>4232.3</v>
      </c>
      <c r="J191">
        <v>5314.7</v>
      </c>
      <c r="K191" s="110" t="str">
        <f>IF(Table__10.2.1.2_1_4AHB_v_gen_TBO[[#This Row],[NO_OVHLS]]="RC","RC","LC")</f>
        <v>LC</v>
      </c>
      <c r="L191" t="s">
        <v>427</v>
      </c>
      <c r="M191" t="s">
        <v>191</v>
      </c>
      <c r="N191" t="b">
        <v>0</v>
      </c>
    </row>
    <row r="192" spans="2:14">
      <c r="B192" t="s">
        <v>749</v>
      </c>
      <c r="C192" s="110" t="str">
        <f>RIGHT(B192,3)</f>
        <v>187</v>
      </c>
      <c r="D192" t="s">
        <v>494</v>
      </c>
      <c r="E192" s="110" t="str">
        <f>LEFT(F192,22)</f>
        <v>GEAR SPUR</v>
      </c>
      <c r="F192" t="s">
        <v>259</v>
      </c>
      <c r="G192" s="110" t="str">
        <f>RIGHT(H192,9)</f>
        <v>013765667</v>
      </c>
      <c r="H192" t="s">
        <v>264</v>
      </c>
      <c r="I192" s="110">
        <f>Table__10.2.1.2_1_4AHB_v_gen_TBO[[#This Row],[REALDUE]]-Table__10.2.1.2_1_4AHB_v_gen_TBO[[#This Row],[EI_BEG_AGE]]</f>
        <v>4259.3</v>
      </c>
      <c r="J192">
        <v>5314.7</v>
      </c>
      <c r="K192" s="110" t="str">
        <f>IF(Table__10.2.1.2_1_4AHB_v_gen_TBO[[#This Row],[NO_OVHLS]]="RC","RC","LC")</f>
        <v>RC</v>
      </c>
      <c r="L192" t="s">
        <v>405</v>
      </c>
      <c r="M192" t="s">
        <v>851</v>
      </c>
      <c r="N192" t="b">
        <v>0</v>
      </c>
    </row>
    <row r="193" spans="2:14">
      <c r="B193" t="s">
        <v>749</v>
      </c>
      <c r="C193" s="110" t="str">
        <f>RIGHT(B193,3)</f>
        <v>187</v>
      </c>
      <c r="D193" t="s">
        <v>494</v>
      </c>
      <c r="E193" s="110" t="str">
        <f>LEFT(F193,22)</f>
        <v>GEAR SPUR</v>
      </c>
      <c r="F193" t="s">
        <v>259</v>
      </c>
      <c r="G193" s="110" t="str">
        <f>RIGHT(H193,9)</f>
        <v>013765667</v>
      </c>
      <c r="H193" t="s">
        <v>264</v>
      </c>
      <c r="I193" s="110">
        <f>Table__10.2.1.2_1_4AHB_v_gen_TBO[[#This Row],[REALDUE]]-Table__10.2.1.2_1_4AHB_v_gen_TBO[[#This Row],[EI_BEG_AGE]]</f>
        <v>4259.3</v>
      </c>
      <c r="J193">
        <v>5314.7</v>
      </c>
      <c r="K193" s="110" t="str">
        <f>IF(Table__10.2.1.2_1_4AHB_v_gen_TBO[[#This Row],[NO_OVHLS]]="RC","RC","LC")</f>
        <v>RC</v>
      </c>
      <c r="L193" t="s">
        <v>405</v>
      </c>
      <c r="M193" t="s">
        <v>851</v>
      </c>
      <c r="N193" t="b">
        <v>0</v>
      </c>
    </row>
    <row r="194" spans="2:14">
      <c r="B194" t="s">
        <v>749</v>
      </c>
      <c r="C194" s="110" t="str">
        <f>RIGHT(B194,3)</f>
        <v>187</v>
      </c>
      <c r="D194" t="s">
        <v>451</v>
      </c>
      <c r="E194" s="110" t="str">
        <f>LEFT(F194,22)</f>
        <v>SWEPT TIP CAP</v>
      </c>
      <c r="F194" t="s">
        <v>187</v>
      </c>
      <c r="G194" s="110" t="str">
        <f>RIGHT(H194,9)</f>
        <v>011705256</v>
      </c>
      <c r="H194" t="s">
        <v>188</v>
      </c>
      <c r="I194" s="110">
        <f>Table__10.2.1.2_1_4AHB_v_gen_TBO[[#This Row],[REALDUE]]-Table__10.2.1.2_1_4AHB_v_gen_TBO[[#This Row],[EI_BEG_AGE]]</f>
        <v>4260.3</v>
      </c>
      <c r="J194">
        <v>5314.7</v>
      </c>
      <c r="K194" s="110" t="str">
        <f>IF(Table__10.2.1.2_1_4AHB_v_gen_TBO[[#This Row],[NO_OVHLS]]="RC","RC","LC")</f>
        <v>RC</v>
      </c>
      <c r="L194" t="s">
        <v>405</v>
      </c>
      <c r="M194" t="s">
        <v>988</v>
      </c>
      <c r="N194" t="b">
        <v>0</v>
      </c>
    </row>
    <row r="195" spans="2:14">
      <c r="B195" t="s">
        <v>753</v>
      </c>
      <c r="C195" s="110" t="str">
        <f>RIGHT(B195,3)</f>
        <v>141</v>
      </c>
      <c r="D195" t="s">
        <v>472</v>
      </c>
      <c r="E195" s="110" t="str">
        <f>LEFT(F195,22)</f>
        <v>TAIL ROTOR BLADE ASSY</v>
      </c>
      <c r="F195" t="s">
        <v>224</v>
      </c>
      <c r="G195" s="110" t="str">
        <f>RIGHT(H195,9)</f>
        <v>015994521</v>
      </c>
      <c r="H195" t="s">
        <v>611</v>
      </c>
      <c r="I195" s="110">
        <f>Table__10.2.1.2_1_4AHB_v_gen_TBO[[#This Row],[REALDUE]]-Table__10.2.1.2_1_4AHB_v_gen_TBO[[#This Row],[EI_BEG_AGE]]</f>
        <v>4265.5</v>
      </c>
      <c r="J195">
        <v>4733.5</v>
      </c>
      <c r="K195" s="110" t="str">
        <f>IF(Table__10.2.1.2_1_4AHB_v_gen_TBO[[#This Row],[NO_OVHLS]]="RC","RC","LC")</f>
        <v>RC</v>
      </c>
      <c r="L195" t="s">
        <v>405</v>
      </c>
      <c r="M195" t="s">
        <v>996</v>
      </c>
      <c r="N195" t="b">
        <v>0</v>
      </c>
    </row>
    <row r="196" spans="2:14">
      <c r="B196" t="s">
        <v>751</v>
      </c>
      <c r="C196" s="110" t="str">
        <f>RIGHT(B196,3)</f>
        <v>119</v>
      </c>
      <c r="D196" t="s">
        <v>453</v>
      </c>
      <c r="E196" s="110" t="str">
        <f>LEFT(F196,22)</f>
        <v>MAIN ROTOR BLADE ATTAC</v>
      </c>
      <c r="F196" t="s">
        <v>193</v>
      </c>
      <c r="G196" s="110" t="str">
        <f>RIGHT(H196,9)</f>
        <v>011643917</v>
      </c>
      <c r="H196" t="s">
        <v>190</v>
      </c>
      <c r="I196" s="96">
        <f>Table__10.2.1.2_1_4AHB_v_gen_TBO[[#This Row],[REALDUE]]-Table__10.2.1.2_1_4AHB_v_gen_TBO[[#This Row],[EI_BEG_AGE]]</f>
        <v>4277.1000000000004</v>
      </c>
      <c r="J196" s="96">
        <v>3973.9</v>
      </c>
      <c r="K196" s="110" t="str">
        <f>IF(Table__10.2.1.2_1_4AHB_v_gen_TBO[[#This Row],[NO_OVHLS]]="RC","RC","LC")</f>
        <v>RC</v>
      </c>
      <c r="L196" t="s">
        <v>405</v>
      </c>
      <c r="M196" t="s">
        <v>1044</v>
      </c>
      <c r="N196" t="b">
        <v>0</v>
      </c>
    </row>
    <row r="197" spans="2:14">
      <c r="B197" t="s">
        <v>751</v>
      </c>
      <c r="C197" s="110" t="str">
        <f>RIGHT(B197,3)</f>
        <v>119</v>
      </c>
      <c r="D197" t="s">
        <v>453</v>
      </c>
      <c r="E197" s="110" t="str">
        <f>LEFT(F197,22)</f>
        <v>MAIN ROTOR BLADE ATTAC</v>
      </c>
      <c r="F197" t="s">
        <v>193</v>
      </c>
      <c r="G197" s="110" t="str">
        <f>RIGHT(H197,9)</f>
        <v>011643917</v>
      </c>
      <c r="H197" t="s">
        <v>190</v>
      </c>
      <c r="I197" s="96">
        <f>Table__10.2.1.2_1_4AHB_v_gen_TBO[[#This Row],[REALDUE]]-Table__10.2.1.2_1_4AHB_v_gen_TBO[[#This Row],[EI_BEG_AGE]]</f>
        <v>4277.1000000000004</v>
      </c>
      <c r="J197" s="96">
        <v>3973.9</v>
      </c>
      <c r="K197" s="110" t="str">
        <f>IF(Table__10.2.1.2_1_4AHB_v_gen_TBO[[#This Row],[NO_OVHLS]]="RC","RC","LC")</f>
        <v>RC</v>
      </c>
      <c r="L197" t="s">
        <v>405</v>
      </c>
      <c r="M197" t="s">
        <v>1044</v>
      </c>
      <c r="N197" t="b">
        <v>0</v>
      </c>
    </row>
    <row r="198" spans="2:14">
      <c r="B198" t="s">
        <v>751</v>
      </c>
      <c r="C198" s="110" t="str">
        <f>RIGHT(B198,3)</f>
        <v>119</v>
      </c>
      <c r="D198" t="s">
        <v>453</v>
      </c>
      <c r="E198" s="110" t="str">
        <f>LEFT(F198,22)</f>
        <v>MAIN ROTOR BLADE ATTAC</v>
      </c>
      <c r="F198" t="s">
        <v>193</v>
      </c>
      <c r="G198" s="110" t="str">
        <f>RIGHT(H198,9)</f>
        <v>011643917</v>
      </c>
      <c r="H198" t="s">
        <v>190</v>
      </c>
      <c r="I198" s="96">
        <f>Table__10.2.1.2_1_4AHB_v_gen_TBO[[#This Row],[REALDUE]]-Table__10.2.1.2_1_4AHB_v_gen_TBO[[#This Row],[EI_BEG_AGE]]</f>
        <v>4277.1000000000004</v>
      </c>
      <c r="J198" s="96">
        <v>3973.9</v>
      </c>
      <c r="K198" s="110" t="str">
        <f>IF(Table__10.2.1.2_1_4AHB_v_gen_TBO[[#This Row],[NO_OVHLS]]="RC","RC","LC")</f>
        <v>RC</v>
      </c>
      <c r="L198" t="s">
        <v>405</v>
      </c>
      <c r="M198" t="s">
        <v>1044</v>
      </c>
      <c r="N198" t="b">
        <v>0</v>
      </c>
    </row>
    <row r="199" spans="2:14">
      <c r="B199" t="s">
        <v>753</v>
      </c>
      <c r="C199" s="110" t="str">
        <f>RIGHT(B199,3)</f>
        <v>141</v>
      </c>
      <c r="D199" t="s">
        <v>449</v>
      </c>
      <c r="E199" s="110" t="str">
        <f>LEFT(F199,22)</f>
        <v>MAIN ROTOR BLADE</v>
      </c>
      <c r="F199" t="s">
        <v>181</v>
      </c>
      <c r="G199" s="110" t="str">
        <f>RIGHT(H199,9)</f>
        <v>013320702</v>
      </c>
      <c r="H199" t="s">
        <v>183</v>
      </c>
      <c r="I199" s="96">
        <f>Table__10.2.1.2_1_4AHB_v_gen_TBO[[#This Row],[REALDUE]]-Table__10.2.1.2_1_4AHB_v_gen_TBO[[#This Row],[EI_BEG_AGE]]</f>
        <v>4334.5</v>
      </c>
      <c r="J199" s="96">
        <v>4733.5</v>
      </c>
      <c r="K199" s="110" t="str">
        <f>IF(Table__10.2.1.2_1_4AHB_v_gen_TBO[[#This Row],[NO_OVHLS]]="RC","RC","LC")</f>
        <v>RC</v>
      </c>
      <c r="L199" t="s">
        <v>405</v>
      </c>
      <c r="M199" t="s">
        <v>986</v>
      </c>
      <c r="N199" t="b">
        <v>0</v>
      </c>
    </row>
    <row r="200" spans="2:14">
      <c r="B200" t="s">
        <v>753</v>
      </c>
      <c r="C200" s="110" t="str">
        <f>RIGHT(B200,3)</f>
        <v>141</v>
      </c>
      <c r="D200" t="s">
        <v>451</v>
      </c>
      <c r="E200" s="110" t="str">
        <f>LEFT(F200,22)</f>
        <v>SWEPT TIP CAP</v>
      </c>
      <c r="F200" t="s">
        <v>187</v>
      </c>
      <c r="G200" s="110" t="str">
        <f>RIGHT(H200,9)</f>
        <v>011705256</v>
      </c>
      <c r="H200" t="s">
        <v>188</v>
      </c>
      <c r="I200" s="96">
        <f>Table__10.2.1.2_1_4AHB_v_gen_TBO[[#This Row],[REALDUE]]-Table__10.2.1.2_1_4AHB_v_gen_TBO[[#This Row],[EI_BEG_AGE]]</f>
        <v>4334.5</v>
      </c>
      <c r="J200" s="96">
        <v>4733.5</v>
      </c>
      <c r="K200" s="110" t="str">
        <f>IF(Table__10.2.1.2_1_4AHB_v_gen_TBO[[#This Row],[NO_OVHLS]]="RC","RC","LC")</f>
        <v>RC</v>
      </c>
      <c r="L200" t="s">
        <v>405</v>
      </c>
      <c r="M200" t="s">
        <v>986</v>
      </c>
      <c r="N200" t="b">
        <v>0</v>
      </c>
    </row>
    <row r="201" spans="2:14">
      <c r="B201" t="s">
        <v>753</v>
      </c>
      <c r="C201" s="110" t="str">
        <f>RIGHT(B201,3)</f>
        <v>141</v>
      </c>
      <c r="D201" t="s">
        <v>451</v>
      </c>
      <c r="E201" s="110" t="str">
        <f>LEFT(F201,22)</f>
        <v>SWEPT TIP CAP</v>
      </c>
      <c r="F201" t="s">
        <v>187</v>
      </c>
      <c r="G201" s="110" t="str">
        <f>RIGHT(H201,9)</f>
        <v>011705256</v>
      </c>
      <c r="H201" t="s">
        <v>188</v>
      </c>
      <c r="I201" s="96">
        <f>Table__10.2.1.2_1_4AHB_v_gen_TBO[[#This Row],[REALDUE]]-Table__10.2.1.2_1_4AHB_v_gen_TBO[[#This Row],[EI_BEG_AGE]]</f>
        <v>4345.5</v>
      </c>
      <c r="J201" s="96">
        <v>4733.5</v>
      </c>
      <c r="K201" s="110" t="str">
        <f>IF(Table__10.2.1.2_1_4AHB_v_gen_TBO[[#This Row],[NO_OVHLS]]="RC","RC","LC")</f>
        <v>RC</v>
      </c>
      <c r="L201" t="s">
        <v>405</v>
      </c>
      <c r="M201" t="s">
        <v>995</v>
      </c>
      <c r="N201" t="b">
        <v>0</v>
      </c>
    </row>
    <row r="202" spans="2:14">
      <c r="B202" t="s">
        <v>753</v>
      </c>
      <c r="C202" s="110" t="str">
        <f>RIGHT(B202,3)</f>
        <v>141</v>
      </c>
      <c r="D202" t="s">
        <v>451</v>
      </c>
      <c r="E202" s="110" t="str">
        <f>LEFT(F202,22)</f>
        <v>SWEPT TIP CAP</v>
      </c>
      <c r="F202" t="s">
        <v>187</v>
      </c>
      <c r="G202" s="110" t="str">
        <f>RIGHT(H202,9)</f>
        <v>011705256</v>
      </c>
      <c r="H202" t="s">
        <v>188</v>
      </c>
      <c r="I202" s="96">
        <f>Table__10.2.1.2_1_4AHB_v_gen_TBO[[#This Row],[REALDUE]]-Table__10.2.1.2_1_4AHB_v_gen_TBO[[#This Row],[EI_BEG_AGE]]</f>
        <v>4345.5</v>
      </c>
      <c r="J202" s="96">
        <v>4733.5</v>
      </c>
      <c r="K202" s="110" t="str">
        <f>IF(Table__10.2.1.2_1_4AHB_v_gen_TBO[[#This Row],[NO_OVHLS]]="RC","RC","LC")</f>
        <v>RC</v>
      </c>
      <c r="L202" t="s">
        <v>405</v>
      </c>
      <c r="M202" t="s">
        <v>995</v>
      </c>
      <c r="N202" t="b">
        <v>0</v>
      </c>
    </row>
    <row r="203" spans="2:14">
      <c r="B203" t="s">
        <v>753</v>
      </c>
      <c r="C203" s="110" t="str">
        <f>RIGHT(B203,3)</f>
        <v>141</v>
      </c>
      <c r="D203" t="s">
        <v>439</v>
      </c>
      <c r="E203" s="110" t="str">
        <f>LEFT(F203,22)</f>
        <v>FEATHERING BEARING STU</v>
      </c>
      <c r="F203" t="s">
        <v>162</v>
      </c>
      <c r="G203" s="110" t="str">
        <f>RIGHT(H203,9)</f>
        <v>011634676</v>
      </c>
      <c r="H203" t="s">
        <v>163</v>
      </c>
      <c r="I203" s="96">
        <f>Table__10.2.1.2_1_4AHB_v_gen_TBO[[#This Row],[REALDUE]]-Table__10.2.1.2_1_4AHB_v_gen_TBO[[#This Row],[EI_BEG_AGE]]</f>
        <v>4379.5</v>
      </c>
      <c r="J203" s="96">
        <v>4733.5</v>
      </c>
      <c r="K203" s="110" t="str">
        <f>IF(Table__10.2.1.2_1_4AHB_v_gen_TBO[[#This Row],[NO_OVHLS]]="RC","RC","LC")</f>
        <v>RC</v>
      </c>
      <c r="L203" t="s">
        <v>405</v>
      </c>
      <c r="M203" t="s">
        <v>936</v>
      </c>
      <c r="N203" t="b">
        <v>0</v>
      </c>
    </row>
    <row r="204" spans="2:14">
      <c r="B204" t="s">
        <v>753</v>
      </c>
      <c r="C204" s="110" t="str">
        <f>RIGHT(B204,3)</f>
        <v>141</v>
      </c>
      <c r="D204" t="s">
        <v>520</v>
      </c>
      <c r="E204" s="110" t="str">
        <f>LEFT(F204,22)</f>
        <v>TAIL ROTOR GEARBOX ASS</v>
      </c>
      <c r="F204" t="s">
        <v>299</v>
      </c>
      <c r="G204" s="110" t="str">
        <f>RIGHT(H204,9)</f>
        <v>012547793</v>
      </c>
      <c r="H204" t="s">
        <v>300</v>
      </c>
      <c r="I204" s="96">
        <f>Table__10.2.1.2_1_4AHB_v_gen_TBO[[#This Row],[REALDUE]]-Table__10.2.1.2_1_4AHB_v_gen_TBO[[#This Row],[EI_BEG_AGE]]</f>
        <v>4389.5</v>
      </c>
      <c r="J204" s="96">
        <v>4733.5</v>
      </c>
      <c r="K204" s="110" t="str">
        <f>IF(Table__10.2.1.2_1_4AHB_v_gen_TBO[[#This Row],[NO_OVHLS]]="RC","RC","LC")</f>
        <v>LC</v>
      </c>
      <c r="L204" t="s">
        <v>428</v>
      </c>
      <c r="M204" t="s">
        <v>926</v>
      </c>
      <c r="N204" t="b">
        <v>0</v>
      </c>
    </row>
    <row r="205" spans="2:14">
      <c r="B205" t="s">
        <v>751</v>
      </c>
      <c r="C205" s="110" t="str">
        <f>RIGHT(B205,3)</f>
        <v>119</v>
      </c>
      <c r="D205" t="s">
        <v>626</v>
      </c>
      <c r="E205" s="110" t="str">
        <f>LEFT(F205,22)</f>
        <v>ACTUATOR SUPPORT</v>
      </c>
      <c r="F205" t="s">
        <v>349</v>
      </c>
      <c r="G205" s="110" t="str">
        <f>RIGHT(H205,9)</f>
        <v>012639844</v>
      </c>
      <c r="H205" t="s">
        <v>354</v>
      </c>
      <c r="I205" s="96">
        <f>Table__10.2.1.2_1_4AHB_v_gen_TBO[[#This Row],[REALDUE]]-Table__10.2.1.2_1_4AHB_v_gen_TBO[[#This Row],[EI_BEG_AGE]]</f>
        <v>4443.1000000000004</v>
      </c>
      <c r="J205" s="96">
        <v>3973.9</v>
      </c>
      <c r="K205" s="110" t="str">
        <f>IF(Table__10.2.1.2_1_4AHB_v_gen_TBO[[#This Row],[NO_OVHLS]]="RC","RC","LC")</f>
        <v>RC</v>
      </c>
      <c r="L205" t="s">
        <v>405</v>
      </c>
      <c r="M205" t="s">
        <v>355</v>
      </c>
      <c r="N205" t="b">
        <v>0</v>
      </c>
    </row>
    <row r="206" spans="2:14">
      <c r="B206" t="s">
        <v>753</v>
      </c>
      <c r="C206" s="110" t="str">
        <f>RIGHT(B206,3)</f>
        <v>141</v>
      </c>
      <c r="D206" t="s">
        <v>509</v>
      </c>
      <c r="E206" s="110" t="str">
        <f>LEFT(F206,22)</f>
        <v>INTERMEDIATE GEARBOX A</v>
      </c>
      <c r="F206" t="s">
        <v>287</v>
      </c>
      <c r="G206" s="110" t="str">
        <f>RIGHT(H206,9)</f>
        <v>014787102</v>
      </c>
      <c r="H206" t="s">
        <v>288</v>
      </c>
      <c r="I206" s="96">
        <f>Table__10.2.1.2_1_4AHB_v_gen_TBO[[#This Row],[REALDUE]]-Table__10.2.1.2_1_4AHB_v_gen_TBO[[#This Row],[EI_BEG_AGE]]</f>
        <v>4579.5</v>
      </c>
      <c r="J206" s="96">
        <v>4733.5</v>
      </c>
      <c r="K206" s="110" t="str">
        <f>IF(Table__10.2.1.2_1_4AHB_v_gen_TBO[[#This Row],[NO_OVHLS]]="RC","RC","LC")</f>
        <v>LC</v>
      </c>
      <c r="L206" t="s">
        <v>427</v>
      </c>
      <c r="M206" t="s">
        <v>923</v>
      </c>
      <c r="N206" t="b">
        <v>0</v>
      </c>
    </row>
    <row r="207" spans="2:14">
      <c r="B207" t="s">
        <v>753</v>
      </c>
      <c r="C207" s="110" t="str">
        <f>RIGHT(B207,3)</f>
        <v>141</v>
      </c>
      <c r="D207" t="s">
        <v>473</v>
      </c>
      <c r="E207" s="110" t="str">
        <f>LEFT(F207,22)</f>
        <v>BOLT</v>
      </c>
      <c r="F207" t="s">
        <v>225</v>
      </c>
      <c r="G207" s="110" t="str">
        <f>RIGHT(H207,9)</f>
        <v>011775717</v>
      </c>
      <c r="H207" t="s">
        <v>226</v>
      </c>
      <c r="I207" s="96">
        <f>Table__10.2.1.2_1_4AHB_v_gen_TBO[[#This Row],[REALDUE]]-Table__10.2.1.2_1_4AHB_v_gen_TBO[[#This Row],[EI_BEG_AGE]]</f>
        <v>4624.5</v>
      </c>
      <c r="J207" s="96">
        <v>4733.5</v>
      </c>
      <c r="K207" s="110" t="str">
        <f>IF(Table__10.2.1.2_1_4AHB_v_gen_TBO[[#This Row],[NO_OVHLS]]="RC","RC","LC")</f>
        <v>RC</v>
      </c>
      <c r="L207" t="s">
        <v>405</v>
      </c>
      <c r="M207" t="s">
        <v>616</v>
      </c>
      <c r="N207" t="b">
        <v>0</v>
      </c>
    </row>
    <row r="208" spans="2:14">
      <c r="B208" t="s">
        <v>753</v>
      </c>
      <c r="C208" s="110" t="str">
        <f>RIGHT(B208,3)</f>
        <v>141</v>
      </c>
      <c r="D208" t="s">
        <v>473</v>
      </c>
      <c r="E208" s="110" t="str">
        <f>LEFT(F208,22)</f>
        <v>BOLT</v>
      </c>
      <c r="F208" t="s">
        <v>225</v>
      </c>
      <c r="G208" s="110" t="str">
        <f>RIGHT(H208,9)</f>
        <v>011775717</v>
      </c>
      <c r="H208" t="s">
        <v>226</v>
      </c>
      <c r="I208" s="96">
        <f>Table__10.2.1.2_1_4AHB_v_gen_TBO[[#This Row],[REALDUE]]-Table__10.2.1.2_1_4AHB_v_gen_TBO[[#This Row],[EI_BEG_AGE]]</f>
        <v>4624.5</v>
      </c>
      <c r="J208" s="96">
        <v>4733.5</v>
      </c>
      <c r="K208" s="110" t="str">
        <f>IF(Table__10.2.1.2_1_4AHB_v_gen_TBO[[#This Row],[NO_OVHLS]]="RC","RC","LC")</f>
        <v>RC</v>
      </c>
      <c r="L208" t="s">
        <v>405</v>
      </c>
      <c r="M208" t="s">
        <v>616</v>
      </c>
      <c r="N208" t="b">
        <v>0</v>
      </c>
    </row>
    <row r="209" spans="2:14">
      <c r="B209" t="s">
        <v>749</v>
      </c>
      <c r="C209" s="110" t="str">
        <f>RIGHT(B209,3)</f>
        <v>187</v>
      </c>
      <c r="D209" t="s">
        <v>453</v>
      </c>
      <c r="E209" s="110" t="str">
        <f>LEFT(F209,22)</f>
        <v>MAIN ROTOR BLADE ATTAC</v>
      </c>
      <c r="F209" t="s">
        <v>193</v>
      </c>
      <c r="G209" s="110" t="str">
        <f>RIGHT(H209,9)</f>
        <v>011643917</v>
      </c>
      <c r="H209" t="s">
        <v>190</v>
      </c>
      <c r="I209" s="96">
        <f>Table__10.2.1.2_1_4AHB_v_gen_TBO[[#This Row],[REALDUE]]-Table__10.2.1.2_1_4AHB_v_gen_TBO[[#This Row],[EI_BEG_AGE]]</f>
        <v>4637.3</v>
      </c>
      <c r="J209" s="96">
        <v>5314.7</v>
      </c>
      <c r="K209" s="110" t="str">
        <f>IF(Table__10.2.1.2_1_4AHB_v_gen_TBO[[#This Row],[NO_OVHLS]]="RC","RC","LC")</f>
        <v>RC</v>
      </c>
      <c r="L209" t="s">
        <v>405</v>
      </c>
      <c r="M209" t="s">
        <v>1046</v>
      </c>
      <c r="N209" t="b">
        <v>0</v>
      </c>
    </row>
    <row r="210" spans="2:14">
      <c r="B210" t="s">
        <v>749</v>
      </c>
      <c r="C210" s="110" t="str">
        <f>RIGHT(B210,3)</f>
        <v>187</v>
      </c>
      <c r="D210" t="s">
        <v>442</v>
      </c>
      <c r="E210" s="110" t="str">
        <f>LEFT(F210,22)</f>
        <v>LOWER SHOE ASSY</v>
      </c>
      <c r="F210" t="s">
        <v>168</v>
      </c>
      <c r="G210" s="110" t="str">
        <f>RIGHT(H210,9)</f>
        <v>012459826</v>
      </c>
      <c r="H210" t="s">
        <v>169</v>
      </c>
      <c r="I210" s="96">
        <f>Table__10.2.1.2_1_4AHB_v_gen_TBO[[#This Row],[REALDUE]]-Table__10.2.1.2_1_4AHB_v_gen_TBO[[#This Row],[EI_BEG_AGE]]</f>
        <v>4655.3</v>
      </c>
      <c r="J210" s="96">
        <v>5314.7</v>
      </c>
      <c r="K210" s="110" t="str">
        <f>IF(Table__10.2.1.2_1_4AHB_v_gen_TBO[[#This Row],[NO_OVHLS]]="RC","RC","LC")</f>
        <v>RC</v>
      </c>
      <c r="L210" t="s">
        <v>405</v>
      </c>
      <c r="M210" t="s">
        <v>942</v>
      </c>
      <c r="N210" t="b">
        <v>0</v>
      </c>
    </row>
    <row r="211" spans="2:14">
      <c r="B211" t="s">
        <v>751</v>
      </c>
      <c r="C211" s="110" t="str">
        <f>RIGHT(B211,3)</f>
        <v>119</v>
      </c>
      <c r="D211" t="s">
        <v>510</v>
      </c>
      <c r="E211" s="110" t="str">
        <f>LEFT(F211,22)</f>
        <v>INTERMEDIATE GEARBOX A</v>
      </c>
      <c r="F211" t="s">
        <v>287</v>
      </c>
      <c r="G211" s="110" t="str">
        <f>RIGHT(H211,9)</f>
        <v>015301625</v>
      </c>
      <c r="H211" t="s">
        <v>290</v>
      </c>
      <c r="I211" s="96">
        <f>Table__10.2.1.2_1_4AHB_v_gen_TBO[[#This Row],[REALDUE]]-Table__10.2.1.2_1_4AHB_v_gen_TBO[[#This Row],[EI_BEG_AGE]]</f>
        <v>4672.1000000000004</v>
      </c>
      <c r="J211" s="96">
        <v>3973.9</v>
      </c>
      <c r="K211" s="110" t="str">
        <f>IF(Table__10.2.1.2_1_4AHB_v_gen_TBO[[#This Row],[NO_OVHLS]]="RC","RC","LC")</f>
        <v>LC</v>
      </c>
      <c r="L211" t="s">
        <v>428</v>
      </c>
      <c r="M211" t="s">
        <v>924</v>
      </c>
      <c r="N211" t="b">
        <v>0</v>
      </c>
    </row>
    <row r="212" spans="2:14">
      <c r="B212" t="s">
        <v>753</v>
      </c>
      <c r="C212" s="110" t="str">
        <f>RIGHT(B212,3)</f>
        <v>141</v>
      </c>
      <c r="D212" t="s">
        <v>472</v>
      </c>
      <c r="E212" s="110" t="str">
        <f>LEFT(F212,22)</f>
        <v>TAIL ROTOR BLADE ASSY</v>
      </c>
      <c r="F212" t="s">
        <v>224</v>
      </c>
      <c r="G212" s="110" t="str">
        <f>RIGHT(H212,9)</f>
        <v>015994521</v>
      </c>
      <c r="H212" t="s">
        <v>611</v>
      </c>
      <c r="I212" s="96">
        <f>Table__10.2.1.2_1_4AHB_v_gen_TBO[[#This Row],[REALDUE]]-Table__10.2.1.2_1_4AHB_v_gen_TBO[[#This Row],[EI_BEG_AGE]]</f>
        <v>4682.5</v>
      </c>
      <c r="J212" s="96">
        <v>4733.5</v>
      </c>
      <c r="K212" s="110" t="str">
        <f>IF(Table__10.2.1.2_1_4AHB_v_gen_TBO[[#This Row],[NO_OVHLS]]="RC","RC","LC")</f>
        <v>RC</v>
      </c>
      <c r="L212" t="s">
        <v>405</v>
      </c>
      <c r="M212" t="s">
        <v>997</v>
      </c>
      <c r="N212" t="b">
        <v>0</v>
      </c>
    </row>
    <row r="213" spans="2:14">
      <c r="B213" t="s">
        <v>749</v>
      </c>
      <c r="C213" s="110" t="str">
        <f>RIGHT(B213,3)</f>
        <v>187</v>
      </c>
      <c r="D213" t="s">
        <v>554</v>
      </c>
      <c r="E213" s="110" t="str">
        <f>LEFT(F213,22)</f>
        <v>ACTUATOR SUPPORT</v>
      </c>
      <c r="F213" t="s">
        <v>349</v>
      </c>
      <c r="G213" s="110" t="str">
        <f>RIGHT(H213,9)</f>
        <v>013750815</v>
      </c>
      <c r="H213" t="s">
        <v>352</v>
      </c>
      <c r="I213" s="96">
        <f>Table__10.2.1.2_1_4AHB_v_gen_TBO[[#This Row],[REALDUE]]-Table__10.2.1.2_1_4AHB_v_gen_TBO[[#This Row],[EI_BEG_AGE]]</f>
        <v>4833.3</v>
      </c>
      <c r="J213" s="96">
        <v>5314.7</v>
      </c>
      <c r="K213" s="110" t="str">
        <f>IF(Table__10.2.1.2_1_4AHB_v_gen_TBO[[#This Row],[NO_OVHLS]]="RC","RC","LC")</f>
        <v>RC</v>
      </c>
      <c r="L213" t="s">
        <v>405</v>
      </c>
      <c r="M213" t="s">
        <v>1013</v>
      </c>
      <c r="N213" t="b">
        <v>0</v>
      </c>
    </row>
    <row r="214" spans="2:14">
      <c r="B214" t="s">
        <v>749</v>
      </c>
      <c r="C214" s="110" t="str">
        <f>RIGHT(B214,3)</f>
        <v>187</v>
      </c>
      <c r="D214" t="s">
        <v>453</v>
      </c>
      <c r="E214" s="110" t="str">
        <f>LEFT(F214,22)</f>
        <v>MAIN ROTOR BLADE ATTAC</v>
      </c>
      <c r="F214" t="s">
        <v>193</v>
      </c>
      <c r="G214" s="110" t="str">
        <f>RIGHT(H214,9)</f>
        <v>011643917</v>
      </c>
      <c r="H214" t="s">
        <v>190</v>
      </c>
      <c r="I214" s="96">
        <f>Table__10.2.1.2_1_4AHB_v_gen_TBO[[#This Row],[REALDUE]]-Table__10.2.1.2_1_4AHB_v_gen_TBO[[#This Row],[EI_BEG_AGE]]</f>
        <v>4857.3</v>
      </c>
      <c r="J214" s="96">
        <v>5314.7</v>
      </c>
      <c r="K214" s="110" t="str">
        <f>IF(Table__10.2.1.2_1_4AHB_v_gen_TBO[[#This Row],[NO_OVHLS]]="RC","RC","LC")</f>
        <v>RC</v>
      </c>
      <c r="L214" t="s">
        <v>405</v>
      </c>
      <c r="M214" t="s">
        <v>1048</v>
      </c>
      <c r="N214" t="b">
        <v>0</v>
      </c>
    </row>
    <row r="215" spans="2:14">
      <c r="B215" t="s">
        <v>751</v>
      </c>
      <c r="C215" s="110" t="str">
        <f>RIGHT(B215,3)</f>
        <v>119</v>
      </c>
      <c r="D215" t="s">
        <v>410</v>
      </c>
      <c r="E215" s="110" t="str">
        <f>LEFT(F215,22)</f>
        <v>STRUT AFT CENTER LH</v>
      </c>
      <c r="F215" t="s">
        <v>117</v>
      </c>
      <c r="G215" s="110" t="str">
        <f>RIGHT(H215,9)</f>
        <v>011639508</v>
      </c>
      <c r="H215" t="s">
        <v>118</v>
      </c>
      <c r="I215" s="96">
        <f>Table__10.2.1.2_1_4AHB_v_gen_TBO[[#This Row],[REALDUE]]-Table__10.2.1.2_1_4AHB_v_gen_TBO[[#This Row],[EI_BEG_AGE]]</f>
        <v>4866.1000000000004</v>
      </c>
      <c r="J215" s="96">
        <v>3973.9</v>
      </c>
      <c r="K215" s="110" t="str">
        <f>IF(Table__10.2.1.2_1_4AHB_v_gen_TBO[[#This Row],[NO_OVHLS]]="RC","RC","LC")</f>
        <v>RC</v>
      </c>
      <c r="L215" t="s">
        <v>405</v>
      </c>
      <c r="M215" t="s">
        <v>912</v>
      </c>
      <c r="N215" t="b">
        <v>0</v>
      </c>
    </row>
    <row r="216" spans="2:14">
      <c r="B216" t="s">
        <v>749</v>
      </c>
      <c r="C216" s="110" t="str">
        <f>RIGHT(B216,3)</f>
        <v>187</v>
      </c>
      <c r="D216" t="s">
        <v>498</v>
      </c>
      <c r="E216" s="110" t="str">
        <f>LEFT(F216,22)</f>
        <v>NOSE GEARBOX ASSY LH</v>
      </c>
      <c r="F216" t="s">
        <v>272</v>
      </c>
      <c r="G216" s="110" t="str">
        <f>RIGHT(H216,9)</f>
        <v>015197677</v>
      </c>
      <c r="H216" t="s">
        <v>273</v>
      </c>
      <c r="I216" s="96">
        <f>Table__10.2.1.2_1_4AHB_v_gen_TBO[[#This Row],[REALDUE]]-Table__10.2.1.2_1_4AHB_v_gen_TBO[[#This Row],[EI_BEG_AGE]]</f>
        <v>4897.3</v>
      </c>
      <c r="J216" s="96">
        <v>5314.7</v>
      </c>
      <c r="K216" s="110" t="str">
        <f>IF(Table__10.2.1.2_1_4AHB_v_gen_TBO[[#This Row],[NO_OVHLS]]="RC","RC","LC")</f>
        <v>LC</v>
      </c>
      <c r="L216" t="s">
        <v>428</v>
      </c>
      <c r="M216" t="s">
        <v>922</v>
      </c>
      <c r="N216" t="b">
        <v>0</v>
      </c>
    </row>
    <row r="217" spans="2:14">
      <c r="B217" t="s">
        <v>749</v>
      </c>
      <c r="C217" s="110" t="str">
        <f>RIGHT(B217,3)</f>
        <v>187</v>
      </c>
      <c r="D217" t="s">
        <v>484</v>
      </c>
      <c r="E217" s="110" t="str">
        <f>LEFT(F217,22)</f>
        <v>MAIN ROTOR DRIVE PLATE</v>
      </c>
      <c r="F217" t="s">
        <v>246</v>
      </c>
      <c r="G217" s="110" t="str">
        <f>RIGHT(H217,9)</f>
        <v>014393739</v>
      </c>
      <c r="H217" t="s">
        <v>247</v>
      </c>
      <c r="I217" s="96">
        <f>Table__10.2.1.2_1_4AHB_v_gen_TBO[[#This Row],[REALDUE]]-Table__10.2.1.2_1_4AHB_v_gen_TBO[[#This Row],[EI_BEG_AGE]]</f>
        <v>5025.3</v>
      </c>
      <c r="J217" s="96">
        <v>5314.7</v>
      </c>
      <c r="K217" s="110" t="str">
        <f>IF(Table__10.2.1.2_1_4AHB_v_gen_TBO[[#This Row],[NO_OVHLS]]="RC","RC","LC")</f>
        <v>RC</v>
      </c>
      <c r="L217" t="s">
        <v>405</v>
      </c>
      <c r="M217" t="s">
        <v>159</v>
      </c>
      <c r="N217" t="b">
        <v>0</v>
      </c>
    </row>
    <row r="218" spans="2:14">
      <c r="B218" t="s">
        <v>749</v>
      </c>
      <c r="C218" s="110" t="str">
        <f>RIGHT(B218,3)</f>
        <v>187</v>
      </c>
      <c r="D218" t="s">
        <v>453</v>
      </c>
      <c r="E218" s="110" t="str">
        <f>LEFT(F218,22)</f>
        <v>MAIN ROTOR BLADE ATTAC</v>
      </c>
      <c r="F218" t="s">
        <v>193</v>
      </c>
      <c r="G218" s="110" t="str">
        <f>RIGHT(H218,9)</f>
        <v>011643917</v>
      </c>
      <c r="H218" t="s">
        <v>190</v>
      </c>
      <c r="I218" s="96">
        <f>Table__10.2.1.2_1_4AHB_v_gen_TBO[[#This Row],[REALDUE]]-Table__10.2.1.2_1_4AHB_v_gen_TBO[[#This Row],[EI_BEG_AGE]]</f>
        <v>5042.3</v>
      </c>
      <c r="J218" s="96">
        <v>5314.7</v>
      </c>
      <c r="K218" s="110" t="str">
        <f>IF(Table__10.2.1.2_1_4AHB_v_gen_TBO[[#This Row],[NO_OVHLS]]="RC","RC","LC")</f>
        <v>RC</v>
      </c>
      <c r="L218" t="s">
        <v>405</v>
      </c>
      <c r="M218" t="s">
        <v>631</v>
      </c>
      <c r="N218" t="b">
        <v>0</v>
      </c>
    </row>
    <row r="219" spans="2:14">
      <c r="B219" t="s">
        <v>753</v>
      </c>
      <c r="C219" s="110" t="str">
        <f>RIGHT(B219,3)</f>
        <v>141</v>
      </c>
      <c r="D219" t="s">
        <v>453</v>
      </c>
      <c r="E219" s="110" t="str">
        <f>LEFT(F219,22)</f>
        <v>MAIN ROTOR BLADE ATTAC</v>
      </c>
      <c r="F219" t="s">
        <v>193</v>
      </c>
      <c r="G219" s="110" t="str">
        <f>RIGHT(H219,9)</f>
        <v>011643917</v>
      </c>
      <c r="H219" t="s">
        <v>190</v>
      </c>
      <c r="I219" s="96">
        <f>Table__10.2.1.2_1_4AHB_v_gen_TBO[[#This Row],[REALDUE]]-Table__10.2.1.2_1_4AHB_v_gen_TBO[[#This Row],[EI_BEG_AGE]]</f>
        <v>5070.5</v>
      </c>
      <c r="J219" s="96">
        <v>4733.5</v>
      </c>
      <c r="K219" s="110" t="str">
        <f>IF(Table__10.2.1.2_1_4AHB_v_gen_TBO[[#This Row],[NO_OVHLS]]="RC","RC","LC")</f>
        <v>RC</v>
      </c>
      <c r="L219" t="s">
        <v>405</v>
      </c>
      <c r="M219" t="s">
        <v>1045</v>
      </c>
      <c r="N219" t="b">
        <v>0</v>
      </c>
    </row>
    <row r="220" spans="2:14">
      <c r="B220" t="s">
        <v>751</v>
      </c>
      <c r="C220" s="110" t="str">
        <f>RIGHT(B220,3)</f>
        <v>119</v>
      </c>
      <c r="D220" t="s">
        <v>432</v>
      </c>
      <c r="E220" s="110" t="str">
        <f>LEFT(F220,22)</f>
        <v>HUB SUB ASSY</v>
      </c>
      <c r="F220" t="s">
        <v>147</v>
      </c>
      <c r="G220" s="110" t="str">
        <f>RIGHT(H220,9)</f>
        <v>013234381</v>
      </c>
      <c r="H220" t="s">
        <v>148</v>
      </c>
      <c r="I220" s="96">
        <f>Table__10.2.1.2_1_4AHB_v_gen_TBO[[#This Row],[REALDUE]]-Table__10.2.1.2_1_4AHB_v_gen_TBO[[#This Row],[EI_BEG_AGE]]</f>
        <v>5119.1000000000004</v>
      </c>
      <c r="J220" s="96">
        <v>3973.9</v>
      </c>
      <c r="K220" s="110" t="str">
        <f>IF(Table__10.2.1.2_1_4AHB_v_gen_TBO[[#This Row],[NO_OVHLS]]="RC","RC","LC")</f>
        <v>RC</v>
      </c>
      <c r="L220" t="s">
        <v>405</v>
      </c>
      <c r="M220" t="s">
        <v>933</v>
      </c>
      <c r="N220" t="b">
        <v>0</v>
      </c>
    </row>
    <row r="221" spans="2:14">
      <c r="B221" t="s">
        <v>749</v>
      </c>
      <c r="C221" s="110" t="str">
        <f>RIGHT(B221,3)</f>
        <v>187</v>
      </c>
      <c r="D221" t="s">
        <v>472</v>
      </c>
      <c r="E221" s="110" t="str">
        <f>LEFT(F221,22)</f>
        <v>TAIL ROTOR BLADE ASSY</v>
      </c>
      <c r="F221" t="s">
        <v>224</v>
      </c>
      <c r="G221" s="110" t="str">
        <f>RIGHT(H221,9)</f>
        <v>015994521</v>
      </c>
      <c r="H221" t="s">
        <v>611</v>
      </c>
      <c r="I221" s="96">
        <f>Table__10.2.1.2_1_4AHB_v_gen_TBO[[#This Row],[REALDUE]]-Table__10.2.1.2_1_4AHB_v_gen_TBO[[#This Row],[EI_BEG_AGE]]</f>
        <v>5129.3</v>
      </c>
      <c r="J221" s="96">
        <v>5314.7</v>
      </c>
      <c r="K221" s="110" t="str">
        <f>IF(Table__10.2.1.2_1_4AHB_v_gen_TBO[[#This Row],[NO_OVHLS]]="RC","RC","LC")</f>
        <v>RC</v>
      </c>
      <c r="L221" t="s">
        <v>405</v>
      </c>
      <c r="M221" t="s">
        <v>158</v>
      </c>
      <c r="N221" t="b">
        <v>0</v>
      </c>
    </row>
    <row r="222" spans="2:14">
      <c r="B222" t="s">
        <v>749</v>
      </c>
      <c r="C222" s="110" t="str">
        <f>RIGHT(B222,3)</f>
        <v>187</v>
      </c>
      <c r="D222" t="s">
        <v>565</v>
      </c>
      <c r="E222" s="110" t="str">
        <f>LEFT(F222,22)</f>
        <v>FWD LONGITUDE BELLCRAN</v>
      </c>
      <c r="F222" t="s">
        <v>363</v>
      </c>
      <c r="G222" s="110" t="str">
        <f>RIGHT(H222,9)</f>
        <v>012242263</v>
      </c>
      <c r="H222" t="s">
        <v>364</v>
      </c>
      <c r="I222" s="96">
        <f>Table__10.2.1.2_1_4AHB_v_gen_TBO[[#This Row],[REALDUE]]-Table__10.2.1.2_1_4AHB_v_gen_TBO[[#This Row],[EI_BEG_AGE]]</f>
        <v>5217.3</v>
      </c>
      <c r="J222" s="96">
        <v>5314.7</v>
      </c>
      <c r="K222" s="110" t="str">
        <f>IF(Table__10.2.1.2_1_4AHB_v_gen_TBO[[#This Row],[NO_OVHLS]]="RC","RC","LC")</f>
        <v>RC</v>
      </c>
      <c r="L222" t="s">
        <v>405</v>
      </c>
      <c r="M222" t="s">
        <v>609</v>
      </c>
      <c r="N222" t="b">
        <v>0</v>
      </c>
    </row>
    <row r="223" spans="2:14">
      <c r="B223" t="s">
        <v>753</v>
      </c>
      <c r="C223" s="110" t="str">
        <f>RIGHT(B223,3)</f>
        <v>141</v>
      </c>
      <c r="D223" t="s">
        <v>432</v>
      </c>
      <c r="E223" s="110" t="str">
        <f>LEFT(F223,22)</f>
        <v>HUB SUB ASSY</v>
      </c>
      <c r="F223" t="s">
        <v>147</v>
      </c>
      <c r="G223" s="110" t="str">
        <f>RIGHT(H223,9)</f>
        <v>013234381</v>
      </c>
      <c r="H223" t="s">
        <v>148</v>
      </c>
      <c r="I223" s="96">
        <f>Table__10.2.1.2_1_4AHB_v_gen_TBO[[#This Row],[REALDUE]]-Table__10.2.1.2_1_4AHB_v_gen_TBO[[#This Row],[EI_BEG_AGE]]</f>
        <v>5221.5</v>
      </c>
      <c r="J223" s="96">
        <v>4733.5</v>
      </c>
      <c r="K223" s="110" t="str">
        <f>IF(Table__10.2.1.2_1_4AHB_v_gen_TBO[[#This Row],[NO_OVHLS]]="RC","RC","LC")</f>
        <v>RC</v>
      </c>
      <c r="L223" t="s">
        <v>405</v>
      </c>
      <c r="M223" t="s">
        <v>932</v>
      </c>
      <c r="N223" t="b">
        <v>0</v>
      </c>
    </row>
    <row r="224" spans="2:14">
      <c r="B224" t="s">
        <v>751</v>
      </c>
      <c r="C224" s="110" t="str">
        <f>RIGHT(B224,3)</f>
        <v>119</v>
      </c>
      <c r="D224" t="s">
        <v>494</v>
      </c>
      <c r="E224" s="110" t="str">
        <f>LEFT(F224,22)</f>
        <v>GEAR SPUR</v>
      </c>
      <c r="F224" t="s">
        <v>259</v>
      </c>
      <c r="G224" s="110" t="str">
        <f>RIGHT(H224,9)</f>
        <v>013765667</v>
      </c>
      <c r="H224" t="s">
        <v>264</v>
      </c>
      <c r="I224" s="96">
        <f>Table__10.2.1.2_1_4AHB_v_gen_TBO[[#This Row],[REALDUE]]-Table__10.2.1.2_1_4AHB_v_gen_TBO[[#This Row],[EI_BEG_AGE]]</f>
        <v>5234.1000000000004</v>
      </c>
      <c r="J224" s="96">
        <v>3973.9</v>
      </c>
      <c r="K224" s="110" t="str">
        <f>IF(Table__10.2.1.2_1_4AHB_v_gen_TBO[[#This Row],[NO_OVHLS]]="RC","RC","LC")</f>
        <v>RC</v>
      </c>
      <c r="L224" t="s">
        <v>405</v>
      </c>
      <c r="M224" t="s">
        <v>849</v>
      </c>
      <c r="N224" t="b">
        <v>0</v>
      </c>
    </row>
    <row r="225" spans="2:14">
      <c r="B225" t="s">
        <v>751</v>
      </c>
      <c r="C225" s="110" t="str">
        <f>RIGHT(B225,3)</f>
        <v>119</v>
      </c>
      <c r="D225" t="s">
        <v>494</v>
      </c>
      <c r="E225" s="110" t="str">
        <f>LEFT(F225,22)</f>
        <v>GEAR SPUR</v>
      </c>
      <c r="F225" t="s">
        <v>259</v>
      </c>
      <c r="G225" s="110" t="str">
        <f>RIGHT(H225,9)</f>
        <v>013765667</v>
      </c>
      <c r="H225" t="s">
        <v>264</v>
      </c>
      <c r="I225" s="96">
        <f>Table__10.2.1.2_1_4AHB_v_gen_TBO[[#This Row],[REALDUE]]-Table__10.2.1.2_1_4AHB_v_gen_TBO[[#This Row],[EI_BEG_AGE]]</f>
        <v>5234.1000000000004</v>
      </c>
      <c r="J225" s="96">
        <v>3973.9</v>
      </c>
      <c r="K225" s="110" t="str">
        <f>IF(Table__10.2.1.2_1_4AHB_v_gen_TBO[[#This Row],[NO_OVHLS]]="RC","RC","LC")</f>
        <v>RC</v>
      </c>
      <c r="L225" t="s">
        <v>405</v>
      </c>
      <c r="M225" t="s">
        <v>849</v>
      </c>
      <c r="N225" t="b">
        <v>0</v>
      </c>
    </row>
    <row r="226" spans="2:14">
      <c r="B226" t="s">
        <v>751</v>
      </c>
      <c r="C226" s="110" t="str">
        <f>RIGHT(B226,3)</f>
        <v>119</v>
      </c>
      <c r="D226" t="s">
        <v>494</v>
      </c>
      <c r="E226" s="110" t="str">
        <f>LEFT(F226,22)</f>
        <v>GEAR SPUR</v>
      </c>
      <c r="F226" t="s">
        <v>259</v>
      </c>
      <c r="G226" s="110" t="str">
        <f>RIGHT(H226,9)</f>
        <v>013765667</v>
      </c>
      <c r="H226" t="s">
        <v>264</v>
      </c>
      <c r="I226" s="96">
        <f>Table__10.2.1.2_1_4AHB_v_gen_TBO[[#This Row],[REALDUE]]-Table__10.2.1.2_1_4AHB_v_gen_TBO[[#This Row],[EI_BEG_AGE]]</f>
        <v>5234.1000000000004</v>
      </c>
      <c r="J226" s="96">
        <v>3973.9</v>
      </c>
      <c r="K226" s="110" t="str">
        <f>IF(Table__10.2.1.2_1_4AHB_v_gen_TBO[[#This Row],[NO_OVHLS]]="RC","RC","LC")</f>
        <v>RC</v>
      </c>
      <c r="L226" t="s">
        <v>405</v>
      </c>
      <c r="M226" t="s">
        <v>849</v>
      </c>
      <c r="N226" t="b">
        <v>0</v>
      </c>
    </row>
    <row r="227" spans="2:14">
      <c r="B227" t="s">
        <v>751</v>
      </c>
      <c r="C227" s="110" t="str">
        <f>RIGHT(B227,3)</f>
        <v>119</v>
      </c>
      <c r="D227" t="s">
        <v>494</v>
      </c>
      <c r="E227" s="110" t="str">
        <f>LEFT(F227,22)</f>
        <v>GEAR SPUR</v>
      </c>
      <c r="F227" t="s">
        <v>259</v>
      </c>
      <c r="G227" s="110" t="str">
        <f>RIGHT(H227,9)</f>
        <v>013765667</v>
      </c>
      <c r="H227" t="s">
        <v>264</v>
      </c>
      <c r="I227" s="96">
        <f>Table__10.2.1.2_1_4AHB_v_gen_TBO[[#This Row],[REALDUE]]-Table__10.2.1.2_1_4AHB_v_gen_TBO[[#This Row],[EI_BEG_AGE]]</f>
        <v>5234.1000000000004</v>
      </c>
      <c r="J227" s="96">
        <v>3973.9</v>
      </c>
      <c r="K227" s="110" t="str">
        <f>IF(Table__10.2.1.2_1_4AHB_v_gen_TBO[[#This Row],[NO_OVHLS]]="RC","RC","LC")</f>
        <v>RC</v>
      </c>
      <c r="L227" t="s">
        <v>405</v>
      </c>
      <c r="M227" t="s">
        <v>849</v>
      </c>
      <c r="N227" t="b">
        <v>0</v>
      </c>
    </row>
    <row r="228" spans="2:14">
      <c r="B228" t="s">
        <v>751</v>
      </c>
      <c r="C228" s="110" t="str">
        <f>RIGHT(B228,3)</f>
        <v>119</v>
      </c>
      <c r="D228" t="s">
        <v>494</v>
      </c>
      <c r="E228" s="110" t="str">
        <f>LEFT(F228,22)</f>
        <v>GEAR SPUR</v>
      </c>
      <c r="F228" t="s">
        <v>259</v>
      </c>
      <c r="G228" s="110" t="str">
        <f>RIGHT(H228,9)</f>
        <v>013765667</v>
      </c>
      <c r="H228" t="s">
        <v>264</v>
      </c>
      <c r="I228" s="96">
        <f>Table__10.2.1.2_1_4AHB_v_gen_TBO[[#This Row],[REALDUE]]-Table__10.2.1.2_1_4AHB_v_gen_TBO[[#This Row],[EI_BEG_AGE]]</f>
        <v>5234.1000000000004</v>
      </c>
      <c r="J228" s="96">
        <v>3973.9</v>
      </c>
      <c r="K228" s="110" t="str">
        <f>IF(Table__10.2.1.2_1_4AHB_v_gen_TBO[[#This Row],[NO_OVHLS]]="RC","RC","LC")</f>
        <v>RC</v>
      </c>
      <c r="L228" t="s">
        <v>405</v>
      </c>
      <c r="M228" t="s">
        <v>849</v>
      </c>
      <c r="N228" t="b">
        <v>0</v>
      </c>
    </row>
    <row r="229" spans="2:14">
      <c r="B229" t="s">
        <v>751</v>
      </c>
      <c r="C229" s="110" t="str">
        <f>RIGHT(B229,3)</f>
        <v>119</v>
      </c>
      <c r="D229" t="s">
        <v>494</v>
      </c>
      <c r="E229" s="110" t="str">
        <f>LEFT(F229,22)</f>
        <v>GEAR SPUR</v>
      </c>
      <c r="F229" t="s">
        <v>259</v>
      </c>
      <c r="G229" s="110" t="str">
        <f>RIGHT(H229,9)</f>
        <v>013765667</v>
      </c>
      <c r="H229" t="s">
        <v>264</v>
      </c>
      <c r="I229" s="96">
        <f>Table__10.2.1.2_1_4AHB_v_gen_TBO[[#This Row],[REALDUE]]-Table__10.2.1.2_1_4AHB_v_gen_TBO[[#This Row],[EI_BEG_AGE]]</f>
        <v>5234.1000000000004</v>
      </c>
      <c r="J229" s="96">
        <v>3973.9</v>
      </c>
      <c r="K229" s="110" t="str">
        <f>IF(Table__10.2.1.2_1_4AHB_v_gen_TBO[[#This Row],[NO_OVHLS]]="RC","RC","LC")</f>
        <v>RC</v>
      </c>
      <c r="L229" t="s">
        <v>405</v>
      </c>
      <c r="M229" t="s">
        <v>849</v>
      </c>
      <c r="N229" t="b">
        <v>0</v>
      </c>
    </row>
    <row r="230" spans="2:14">
      <c r="B230" t="s">
        <v>751</v>
      </c>
      <c r="C230" s="110" t="str">
        <f>RIGHT(B230,3)</f>
        <v>119</v>
      </c>
      <c r="D230" t="s">
        <v>453</v>
      </c>
      <c r="E230" s="110" t="str">
        <f>LEFT(F230,22)</f>
        <v>MAIN ROTOR BLADE ATTAC</v>
      </c>
      <c r="F230" t="s">
        <v>193</v>
      </c>
      <c r="G230" s="110" t="str">
        <f>RIGHT(H230,9)</f>
        <v>011643917</v>
      </c>
      <c r="H230" t="s">
        <v>190</v>
      </c>
      <c r="I230" s="96">
        <f>Table__10.2.1.2_1_4AHB_v_gen_TBO[[#This Row],[REALDUE]]-Table__10.2.1.2_1_4AHB_v_gen_TBO[[#This Row],[EI_BEG_AGE]]</f>
        <v>5449.1</v>
      </c>
      <c r="J230" s="96">
        <v>3973.9</v>
      </c>
      <c r="K230" s="110" t="str">
        <f>IF(Table__10.2.1.2_1_4AHB_v_gen_TBO[[#This Row],[NO_OVHLS]]="RC","RC","LC")</f>
        <v>RC</v>
      </c>
      <c r="L230" t="s">
        <v>405</v>
      </c>
      <c r="M230" t="s">
        <v>1049</v>
      </c>
      <c r="N230" t="b">
        <v>0</v>
      </c>
    </row>
    <row r="231" spans="2:14">
      <c r="B231" t="s">
        <v>751</v>
      </c>
      <c r="C231" s="110" t="str">
        <f>RIGHT(B231,3)</f>
        <v>119</v>
      </c>
      <c r="D231" t="s">
        <v>453</v>
      </c>
      <c r="E231" s="110" t="str">
        <f>LEFT(F231,22)</f>
        <v>MAIN ROTOR BLADE ATTAC</v>
      </c>
      <c r="F231" t="s">
        <v>193</v>
      </c>
      <c r="G231" s="110" t="str">
        <f>RIGHT(H231,9)</f>
        <v>011643917</v>
      </c>
      <c r="H231" t="s">
        <v>190</v>
      </c>
      <c r="I231" s="96">
        <f>Table__10.2.1.2_1_4AHB_v_gen_TBO[[#This Row],[REALDUE]]-Table__10.2.1.2_1_4AHB_v_gen_TBO[[#This Row],[EI_BEG_AGE]]</f>
        <v>5449.1</v>
      </c>
      <c r="J231" s="96">
        <v>3973.9</v>
      </c>
      <c r="K231" s="110" t="str">
        <f>IF(Table__10.2.1.2_1_4AHB_v_gen_TBO[[#This Row],[NO_OVHLS]]="RC","RC","LC")</f>
        <v>RC</v>
      </c>
      <c r="L231" t="s">
        <v>405</v>
      </c>
      <c r="M231" t="s">
        <v>1049</v>
      </c>
      <c r="N231" t="b">
        <v>0</v>
      </c>
    </row>
    <row r="232" spans="2:14">
      <c r="B232" t="s">
        <v>751</v>
      </c>
      <c r="C232" s="110" t="str">
        <f>RIGHT(B232,3)</f>
        <v>119</v>
      </c>
      <c r="D232" t="s">
        <v>453</v>
      </c>
      <c r="E232" s="110" t="str">
        <f>LEFT(F232,22)</f>
        <v>MAIN ROTOR BLADE ATTAC</v>
      </c>
      <c r="F232" t="s">
        <v>193</v>
      </c>
      <c r="G232" s="110" t="str">
        <f>RIGHT(H232,9)</f>
        <v>011643917</v>
      </c>
      <c r="H232" t="s">
        <v>190</v>
      </c>
      <c r="I232" s="96">
        <f>Table__10.2.1.2_1_4AHB_v_gen_TBO[[#This Row],[REALDUE]]-Table__10.2.1.2_1_4AHB_v_gen_TBO[[#This Row],[EI_BEG_AGE]]</f>
        <v>5449.1</v>
      </c>
      <c r="J232" s="96">
        <v>3973.9</v>
      </c>
      <c r="K232" s="110" t="str">
        <f>IF(Table__10.2.1.2_1_4AHB_v_gen_TBO[[#This Row],[NO_OVHLS]]="RC","RC","LC")</f>
        <v>RC</v>
      </c>
      <c r="L232" t="s">
        <v>405</v>
      </c>
      <c r="M232" t="s">
        <v>1049</v>
      </c>
      <c r="N232" t="b">
        <v>0</v>
      </c>
    </row>
    <row r="233" spans="2:14">
      <c r="B233" t="s">
        <v>751</v>
      </c>
      <c r="C233" s="110" t="str">
        <f>RIGHT(B233,3)</f>
        <v>119</v>
      </c>
      <c r="D233" t="s">
        <v>453</v>
      </c>
      <c r="E233" s="110" t="str">
        <f>LEFT(F233,22)</f>
        <v>MAIN ROTOR BLADE ATTAC</v>
      </c>
      <c r="F233" t="s">
        <v>193</v>
      </c>
      <c r="G233" s="110" t="str">
        <f>RIGHT(H233,9)</f>
        <v>011643917</v>
      </c>
      <c r="H233" t="s">
        <v>190</v>
      </c>
      <c r="I233" s="96">
        <f>Table__10.2.1.2_1_4AHB_v_gen_TBO[[#This Row],[REALDUE]]-Table__10.2.1.2_1_4AHB_v_gen_TBO[[#This Row],[EI_BEG_AGE]]</f>
        <v>5449.1</v>
      </c>
      <c r="J233" s="96">
        <v>3973.9</v>
      </c>
      <c r="K233" s="110" t="str">
        <f>IF(Table__10.2.1.2_1_4AHB_v_gen_TBO[[#This Row],[NO_OVHLS]]="RC","RC","LC")</f>
        <v>RC</v>
      </c>
      <c r="L233" t="s">
        <v>405</v>
      </c>
      <c r="M233" t="s">
        <v>1049</v>
      </c>
      <c r="N233" t="b">
        <v>0</v>
      </c>
    </row>
    <row r="234" spans="2:14">
      <c r="B234" t="s">
        <v>751</v>
      </c>
      <c r="C234" s="110" t="str">
        <f>RIGHT(B234,3)</f>
        <v>119</v>
      </c>
      <c r="D234" t="s">
        <v>453</v>
      </c>
      <c r="E234" s="110" t="str">
        <f>LEFT(F234,22)</f>
        <v>MAIN ROTOR BLADE ATTAC</v>
      </c>
      <c r="F234" t="s">
        <v>193</v>
      </c>
      <c r="G234" s="110" t="str">
        <f>RIGHT(H234,9)</f>
        <v>011643917</v>
      </c>
      <c r="H234" t="s">
        <v>190</v>
      </c>
      <c r="I234" s="110">
        <f>Table__10.2.1.2_1_4AHB_v_gen_TBO[[#This Row],[REALDUE]]-Table__10.2.1.2_1_4AHB_v_gen_TBO[[#This Row],[EI_BEG_AGE]]</f>
        <v>5449.1</v>
      </c>
      <c r="J234">
        <v>3973.9</v>
      </c>
      <c r="K234" s="110" t="str">
        <f>IF(Table__10.2.1.2_1_4AHB_v_gen_TBO[[#This Row],[NO_OVHLS]]="RC","RC","LC")</f>
        <v>RC</v>
      </c>
      <c r="L234" t="s">
        <v>405</v>
      </c>
      <c r="M234" t="s">
        <v>1049</v>
      </c>
      <c r="N234" t="b">
        <v>0</v>
      </c>
    </row>
    <row r="235" spans="2:14">
      <c r="B235" t="s">
        <v>751</v>
      </c>
      <c r="C235" s="110" t="str">
        <f>RIGHT(B235,3)</f>
        <v>119</v>
      </c>
      <c r="D235" t="s">
        <v>472</v>
      </c>
      <c r="E235" s="110" t="str">
        <f>LEFT(F235,22)</f>
        <v>TAIL ROTOR BLADE ASSY</v>
      </c>
      <c r="F235" t="s">
        <v>224</v>
      </c>
      <c r="G235" s="110" t="str">
        <f>RIGHT(H235,9)</f>
        <v>015994521</v>
      </c>
      <c r="H235" t="s">
        <v>611</v>
      </c>
      <c r="I235" s="110">
        <f>Table__10.2.1.2_1_4AHB_v_gen_TBO[[#This Row],[REALDUE]]-Table__10.2.1.2_1_4AHB_v_gen_TBO[[#This Row],[EI_BEG_AGE]]</f>
        <v>5531.1</v>
      </c>
      <c r="J235">
        <v>3973.9</v>
      </c>
      <c r="K235" s="110" t="str">
        <f>IF(Table__10.2.1.2_1_4AHB_v_gen_TBO[[#This Row],[NO_OVHLS]]="RC","RC","LC")</f>
        <v>RC</v>
      </c>
      <c r="L235" t="s">
        <v>405</v>
      </c>
      <c r="M235" t="s">
        <v>999</v>
      </c>
      <c r="N235" t="b">
        <v>0</v>
      </c>
    </row>
    <row r="236" spans="2:14">
      <c r="B236" t="s">
        <v>753</v>
      </c>
      <c r="C236" s="110" t="str">
        <f>RIGHT(B236,3)</f>
        <v>141</v>
      </c>
      <c r="D236" t="s">
        <v>452</v>
      </c>
      <c r="E236" s="110" t="str">
        <f>LEFT(F236,22)</f>
        <v>M/R BLADE ATTACH PIN</v>
      </c>
      <c r="F236" t="s">
        <v>189</v>
      </c>
      <c r="G236" s="110" t="str">
        <f>RIGHT(H236,9)</f>
        <v>011643917</v>
      </c>
      <c r="H236" t="s">
        <v>190</v>
      </c>
      <c r="I236" s="110">
        <f>Table__10.2.1.2_1_4AHB_v_gen_TBO[[#This Row],[REALDUE]]-Table__10.2.1.2_1_4AHB_v_gen_TBO[[#This Row],[EI_BEG_AGE]]</f>
        <v>5542.5</v>
      </c>
      <c r="J236">
        <v>4733.5</v>
      </c>
      <c r="K236" s="110" t="str">
        <f>IF(Table__10.2.1.2_1_4AHB_v_gen_TBO[[#This Row],[NO_OVHLS]]="RC","RC","LC")</f>
        <v>RC</v>
      </c>
      <c r="L236" t="s">
        <v>405</v>
      </c>
      <c r="M236" t="s">
        <v>864</v>
      </c>
      <c r="N236" t="b">
        <v>0</v>
      </c>
    </row>
    <row r="237" spans="2:14">
      <c r="B237" t="s">
        <v>749</v>
      </c>
      <c r="C237" s="110" t="str">
        <f>RIGHT(B237,3)</f>
        <v>187</v>
      </c>
      <c r="D237" t="s">
        <v>453</v>
      </c>
      <c r="E237" s="110" t="str">
        <f>LEFT(F237,22)</f>
        <v>MAIN ROTOR BLADE ATTAC</v>
      </c>
      <c r="F237" t="s">
        <v>193</v>
      </c>
      <c r="G237" s="110" t="str">
        <f>RIGHT(H237,9)</f>
        <v>011643917</v>
      </c>
      <c r="H237" t="s">
        <v>190</v>
      </c>
      <c r="I237" s="96">
        <f>Table__10.2.1.2_1_4AHB_v_gen_TBO[[#This Row],[REALDUE]]-Table__10.2.1.2_1_4AHB_v_gen_TBO[[#This Row],[EI_BEG_AGE]]</f>
        <v>5654.3</v>
      </c>
      <c r="J237" s="96">
        <v>5314.7</v>
      </c>
      <c r="K237" s="110" t="str">
        <f>IF(Table__10.2.1.2_1_4AHB_v_gen_TBO[[#This Row],[NO_OVHLS]]="RC","RC","LC")</f>
        <v>RC</v>
      </c>
      <c r="L237" t="s">
        <v>405</v>
      </c>
      <c r="M237" t="s">
        <v>1047</v>
      </c>
      <c r="N237" t="b">
        <v>0</v>
      </c>
    </row>
    <row r="238" spans="2:14">
      <c r="B238" t="s">
        <v>749</v>
      </c>
      <c r="C238" s="110" t="str">
        <f>RIGHT(B238,3)</f>
        <v>187</v>
      </c>
      <c r="D238" t="s">
        <v>453</v>
      </c>
      <c r="E238" s="110" t="str">
        <f>LEFT(F238,22)</f>
        <v>MAIN ROTOR BLADE ATTAC</v>
      </c>
      <c r="F238" t="s">
        <v>193</v>
      </c>
      <c r="G238" s="110" t="str">
        <f>RIGHT(H238,9)</f>
        <v>011643917</v>
      </c>
      <c r="H238" t="s">
        <v>190</v>
      </c>
      <c r="I238" s="96">
        <f>Table__10.2.1.2_1_4AHB_v_gen_TBO[[#This Row],[REALDUE]]-Table__10.2.1.2_1_4AHB_v_gen_TBO[[#This Row],[EI_BEG_AGE]]</f>
        <v>5654.3</v>
      </c>
      <c r="J238" s="96">
        <v>5314.7</v>
      </c>
      <c r="K238" s="110" t="str">
        <f>IF(Table__10.2.1.2_1_4AHB_v_gen_TBO[[#This Row],[NO_OVHLS]]="RC","RC","LC")</f>
        <v>RC</v>
      </c>
      <c r="L238" t="s">
        <v>405</v>
      </c>
      <c r="M238" t="s">
        <v>1047</v>
      </c>
      <c r="N238" t="b">
        <v>0</v>
      </c>
    </row>
    <row r="239" spans="2:14">
      <c r="B239" t="s">
        <v>749</v>
      </c>
      <c r="C239" s="110" t="str">
        <f>RIGHT(B239,3)</f>
        <v>187</v>
      </c>
      <c r="D239" t="s">
        <v>453</v>
      </c>
      <c r="E239" s="110" t="str">
        <f>LEFT(F239,22)</f>
        <v>MAIN ROTOR BLADE ATTAC</v>
      </c>
      <c r="F239" t="s">
        <v>193</v>
      </c>
      <c r="G239" s="110" t="str">
        <f>RIGHT(H239,9)</f>
        <v>011643917</v>
      </c>
      <c r="H239" t="s">
        <v>190</v>
      </c>
      <c r="I239" s="96">
        <f>Table__10.2.1.2_1_4AHB_v_gen_TBO[[#This Row],[REALDUE]]-Table__10.2.1.2_1_4AHB_v_gen_TBO[[#This Row],[EI_BEG_AGE]]</f>
        <v>5654.3</v>
      </c>
      <c r="J239" s="96">
        <v>5314.7</v>
      </c>
      <c r="K239" s="110" t="str">
        <f>IF(Table__10.2.1.2_1_4AHB_v_gen_TBO[[#This Row],[NO_OVHLS]]="RC","RC","LC")</f>
        <v>RC</v>
      </c>
      <c r="L239" t="s">
        <v>405</v>
      </c>
      <c r="M239" t="s">
        <v>1047</v>
      </c>
      <c r="N239" t="b">
        <v>0</v>
      </c>
    </row>
    <row r="240" spans="2:14">
      <c r="B240" t="s">
        <v>749</v>
      </c>
      <c r="C240" s="110" t="str">
        <f>RIGHT(B240,3)</f>
        <v>187</v>
      </c>
      <c r="D240" t="s">
        <v>453</v>
      </c>
      <c r="E240" s="110" t="str">
        <f>LEFT(F240,22)</f>
        <v>MAIN ROTOR BLADE ATTAC</v>
      </c>
      <c r="F240" t="s">
        <v>193</v>
      </c>
      <c r="G240" s="110" t="str">
        <f>RIGHT(H240,9)</f>
        <v>011643917</v>
      </c>
      <c r="H240" t="s">
        <v>190</v>
      </c>
      <c r="I240" s="110">
        <f>Table__10.2.1.2_1_4AHB_v_gen_TBO[[#This Row],[REALDUE]]-Table__10.2.1.2_1_4AHB_v_gen_TBO[[#This Row],[EI_BEG_AGE]]</f>
        <v>5654.3</v>
      </c>
      <c r="J240">
        <v>5314.7</v>
      </c>
      <c r="K240" s="110" t="str">
        <f>IF(Table__10.2.1.2_1_4AHB_v_gen_TBO[[#This Row],[NO_OVHLS]]="RC","RC","LC")</f>
        <v>RC</v>
      </c>
      <c r="L240" t="s">
        <v>405</v>
      </c>
      <c r="M240" t="s">
        <v>1047</v>
      </c>
      <c r="N240" t="b">
        <v>0</v>
      </c>
    </row>
    <row r="241" spans="2:14">
      <c r="B241" t="s">
        <v>753</v>
      </c>
      <c r="C241" s="110" t="str">
        <f>RIGHT(B241,3)</f>
        <v>141</v>
      </c>
      <c r="D241" t="s">
        <v>452</v>
      </c>
      <c r="E241" s="110" t="str">
        <f>LEFT(F241,22)</f>
        <v>M/R BLADE ATTACH PIN</v>
      </c>
      <c r="F241" t="s">
        <v>189</v>
      </c>
      <c r="G241" s="110" t="str">
        <f>RIGHT(H241,9)</f>
        <v>011643917</v>
      </c>
      <c r="H241" t="s">
        <v>190</v>
      </c>
      <c r="I241" s="110">
        <f>Table__10.2.1.2_1_4AHB_v_gen_TBO[[#This Row],[REALDUE]]-Table__10.2.1.2_1_4AHB_v_gen_TBO[[#This Row],[EI_BEG_AGE]]</f>
        <v>5654.5</v>
      </c>
      <c r="J241">
        <v>4733.5</v>
      </c>
      <c r="K241" s="110" t="str">
        <f>IF(Table__10.2.1.2_1_4AHB_v_gen_TBO[[#This Row],[NO_OVHLS]]="RC","RC","LC")</f>
        <v>RC</v>
      </c>
      <c r="L241" t="s">
        <v>405</v>
      </c>
      <c r="M241" t="s">
        <v>867</v>
      </c>
      <c r="N241" t="b">
        <v>0</v>
      </c>
    </row>
    <row r="242" spans="2:14">
      <c r="B242" t="s">
        <v>751</v>
      </c>
      <c r="C242" s="110" t="str">
        <f>RIGHT(B242,3)</f>
        <v>119</v>
      </c>
      <c r="D242" t="s">
        <v>895</v>
      </c>
      <c r="E242" s="110" t="str">
        <f>LEFT(F242,22)</f>
        <v>STABILATOR ASSY</v>
      </c>
      <c r="F242" t="s">
        <v>128</v>
      </c>
      <c r="G242" s="110" t="str">
        <f>RIGHT(H242,9)</f>
        <v>011797264</v>
      </c>
      <c r="H242" t="s">
        <v>896</v>
      </c>
      <c r="I242" s="110">
        <f>Table__10.2.1.2_1_4AHB_v_gen_TBO[[#This Row],[REALDUE]]-Table__10.2.1.2_1_4AHB_v_gen_TBO[[#This Row],[EI_BEG_AGE]]</f>
        <v>5666.1</v>
      </c>
      <c r="J242">
        <v>3973.9</v>
      </c>
      <c r="K242" s="110" t="str">
        <f>IF(Table__10.2.1.2_1_4AHB_v_gen_TBO[[#This Row],[NO_OVHLS]]="RC","RC","LC")</f>
        <v>RC</v>
      </c>
      <c r="L242" t="s">
        <v>405</v>
      </c>
      <c r="M242" t="s">
        <v>897</v>
      </c>
      <c r="N242" t="b">
        <v>0</v>
      </c>
    </row>
    <row r="243" spans="2:14">
      <c r="B243" t="s">
        <v>753</v>
      </c>
      <c r="C243" s="110" t="str">
        <f>RIGHT(B243,3)</f>
        <v>141</v>
      </c>
      <c r="D243" t="s">
        <v>452</v>
      </c>
      <c r="E243" s="110" t="str">
        <f>LEFT(F243,22)</f>
        <v>M/R BLADE ATTACH PIN</v>
      </c>
      <c r="F243" t="s">
        <v>189</v>
      </c>
      <c r="G243" s="110" t="str">
        <f>RIGHT(H243,9)</f>
        <v>011643917</v>
      </c>
      <c r="H243" t="s">
        <v>190</v>
      </c>
      <c r="I243" s="96">
        <f>Table__10.2.1.2_1_4AHB_v_gen_TBO[[#This Row],[REALDUE]]-Table__10.2.1.2_1_4AHB_v_gen_TBO[[#This Row],[EI_BEG_AGE]]</f>
        <v>5699.5</v>
      </c>
      <c r="J243" s="96">
        <v>4733.5</v>
      </c>
      <c r="K243" s="110" t="str">
        <f>IF(Table__10.2.1.2_1_4AHB_v_gen_TBO[[#This Row],[NO_OVHLS]]="RC","RC","LC")</f>
        <v>RC</v>
      </c>
      <c r="L243" t="s">
        <v>405</v>
      </c>
      <c r="M243" t="s">
        <v>862</v>
      </c>
      <c r="N243" t="b">
        <v>0</v>
      </c>
    </row>
    <row r="244" spans="2:14">
      <c r="B244" t="s">
        <v>749</v>
      </c>
      <c r="C244" s="110" t="str">
        <f>RIGHT(B244,3)</f>
        <v>187</v>
      </c>
      <c r="D244" t="s">
        <v>549</v>
      </c>
      <c r="E244" s="110" t="str">
        <f>LEFT(F244,22)</f>
        <v>ROD END BEARING</v>
      </c>
      <c r="F244" t="s">
        <v>341</v>
      </c>
      <c r="G244" s="110" t="str">
        <f>RIGHT(H244,9)</f>
        <v>012700706</v>
      </c>
      <c r="H244" t="s">
        <v>342</v>
      </c>
      <c r="I244" s="96">
        <f>Table__10.2.1.2_1_4AHB_v_gen_TBO[[#This Row],[REALDUE]]-Table__10.2.1.2_1_4AHB_v_gen_TBO[[#This Row],[EI_BEG_AGE]]</f>
        <v>5719.3</v>
      </c>
      <c r="J244" s="96">
        <v>5314.7</v>
      </c>
      <c r="K244" s="110" t="str">
        <f>IF(Table__10.2.1.2_1_4AHB_v_gen_TBO[[#This Row],[NO_OVHLS]]="RC","RC","LC")</f>
        <v>RC</v>
      </c>
      <c r="L244" t="s">
        <v>405</v>
      </c>
      <c r="M244" t="s">
        <v>645</v>
      </c>
      <c r="N244" t="b">
        <v>0</v>
      </c>
    </row>
    <row r="245" spans="2:14">
      <c r="B245" t="s">
        <v>753</v>
      </c>
      <c r="C245" s="110" t="str">
        <f>RIGHT(B245,3)</f>
        <v>141</v>
      </c>
      <c r="D245" t="s">
        <v>472</v>
      </c>
      <c r="E245" s="110" t="str">
        <f>LEFT(F245,22)</f>
        <v>TAIL ROTOR BLADE ASSY</v>
      </c>
      <c r="F245" t="s">
        <v>224</v>
      </c>
      <c r="G245" s="110" t="str">
        <f>RIGHT(H245,9)</f>
        <v>015994521</v>
      </c>
      <c r="H245" t="s">
        <v>611</v>
      </c>
      <c r="I245" s="96">
        <f>Table__10.2.1.2_1_4AHB_v_gen_TBO[[#This Row],[REALDUE]]-Table__10.2.1.2_1_4AHB_v_gen_TBO[[#This Row],[EI_BEG_AGE]]</f>
        <v>5747.5</v>
      </c>
      <c r="J245" s="96">
        <v>4733.5</v>
      </c>
      <c r="K245" s="110" t="str">
        <f>IF(Table__10.2.1.2_1_4AHB_v_gen_TBO[[#This Row],[NO_OVHLS]]="RC","RC","LC")</f>
        <v>RC</v>
      </c>
      <c r="L245" t="s">
        <v>405</v>
      </c>
      <c r="M245" t="s">
        <v>1000</v>
      </c>
      <c r="N245" t="b">
        <v>0</v>
      </c>
    </row>
    <row r="246" spans="2:14">
      <c r="B246" t="s">
        <v>753</v>
      </c>
      <c r="C246" s="110" t="str">
        <f>RIGHT(B246,3)</f>
        <v>141</v>
      </c>
      <c r="D246" t="s">
        <v>452</v>
      </c>
      <c r="E246" s="110" t="str">
        <f>LEFT(F246,22)</f>
        <v>M/R BLADE ATTACH PIN</v>
      </c>
      <c r="F246" t="s">
        <v>189</v>
      </c>
      <c r="G246" s="110" t="str">
        <f>RIGHT(H246,9)</f>
        <v>011643917</v>
      </c>
      <c r="H246" t="s">
        <v>190</v>
      </c>
      <c r="I246" s="96">
        <f>Table__10.2.1.2_1_4AHB_v_gen_TBO[[#This Row],[REALDUE]]-Table__10.2.1.2_1_4AHB_v_gen_TBO[[#This Row],[EI_BEG_AGE]]</f>
        <v>5761.5</v>
      </c>
      <c r="J246" s="96">
        <v>4733.5</v>
      </c>
      <c r="K246" s="110" t="str">
        <f>IF(Table__10.2.1.2_1_4AHB_v_gen_TBO[[#This Row],[NO_OVHLS]]="RC","RC","LC")</f>
        <v>RC</v>
      </c>
      <c r="L246" t="s">
        <v>405</v>
      </c>
      <c r="M246" t="s">
        <v>863</v>
      </c>
      <c r="N246" t="b">
        <v>0</v>
      </c>
    </row>
    <row r="247" spans="2:14">
      <c r="B247" t="s">
        <v>753</v>
      </c>
      <c r="C247" s="110" t="str">
        <f>RIGHT(B247,3)</f>
        <v>141</v>
      </c>
      <c r="D247" t="s">
        <v>439</v>
      </c>
      <c r="E247" s="110" t="str">
        <f>LEFT(F247,22)</f>
        <v>FEATHERING BEARING STU</v>
      </c>
      <c r="F247" t="s">
        <v>162</v>
      </c>
      <c r="G247" s="110" t="str">
        <f>RIGHT(H247,9)</f>
        <v>011634676</v>
      </c>
      <c r="H247" t="s">
        <v>163</v>
      </c>
      <c r="I247" s="96">
        <f>Table__10.2.1.2_1_4AHB_v_gen_TBO[[#This Row],[REALDUE]]-Table__10.2.1.2_1_4AHB_v_gen_TBO[[#This Row],[EI_BEG_AGE]]</f>
        <v>6037.5</v>
      </c>
      <c r="J247" s="96">
        <v>4733.5</v>
      </c>
      <c r="K247" s="110" t="str">
        <f>IF(Table__10.2.1.2_1_4AHB_v_gen_TBO[[#This Row],[NO_OVHLS]]="RC","RC","LC")</f>
        <v>RC</v>
      </c>
      <c r="L247" t="s">
        <v>405</v>
      </c>
      <c r="M247" t="s">
        <v>937</v>
      </c>
      <c r="N247" t="b">
        <v>0</v>
      </c>
    </row>
    <row r="248" spans="2:14">
      <c r="B248" t="s">
        <v>753</v>
      </c>
      <c r="C248" s="110" t="str">
        <f>RIGHT(B248,3)</f>
        <v>141</v>
      </c>
      <c r="D248" t="s">
        <v>472</v>
      </c>
      <c r="E248" s="110" t="str">
        <f>LEFT(F248,22)</f>
        <v>TAIL ROTOR BLADE ASSY</v>
      </c>
      <c r="F248" t="s">
        <v>224</v>
      </c>
      <c r="G248" s="110" t="str">
        <f>RIGHT(H248,9)</f>
        <v>015994521</v>
      </c>
      <c r="H248" t="s">
        <v>611</v>
      </c>
      <c r="I248" s="96">
        <f>Table__10.2.1.2_1_4AHB_v_gen_TBO[[#This Row],[REALDUE]]-Table__10.2.1.2_1_4AHB_v_gen_TBO[[#This Row],[EI_BEG_AGE]]</f>
        <v>6046.5</v>
      </c>
      <c r="J248" s="96">
        <v>4733.5</v>
      </c>
      <c r="K248" s="110" t="str">
        <f>IF(Table__10.2.1.2_1_4AHB_v_gen_TBO[[#This Row],[NO_OVHLS]]="RC","RC","LC")</f>
        <v>RC</v>
      </c>
      <c r="L248" t="s">
        <v>405</v>
      </c>
      <c r="M248" t="s">
        <v>642</v>
      </c>
      <c r="N248" t="b">
        <v>0</v>
      </c>
    </row>
    <row r="249" spans="2:14">
      <c r="B249" t="s">
        <v>749</v>
      </c>
      <c r="C249" s="110" t="str">
        <f>RIGHT(B249,3)</f>
        <v>187</v>
      </c>
      <c r="D249" t="s">
        <v>472</v>
      </c>
      <c r="E249" s="110" t="str">
        <f>LEFT(F249,22)</f>
        <v>TAIL ROTOR BLADE ASSY</v>
      </c>
      <c r="F249" t="s">
        <v>224</v>
      </c>
      <c r="G249" s="110" t="str">
        <f>RIGHT(H249,9)</f>
        <v>015994521</v>
      </c>
      <c r="H249" t="s">
        <v>611</v>
      </c>
      <c r="I249" s="110">
        <f>Table__10.2.1.2_1_4AHB_v_gen_TBO[[#This Row],[REALDUE]]-Table__10.2.1.2_1_4AHB_v_gen_TBO[[#This Row],[EI_BEG_AGE]]</f>
        <v>6098.3</v>
      </c>
      <c r="J249">
        <v>5314.7</v>
      </c>
      <c r="K249" s="110" t="str">
        <f>IF(Table__10.2.1.2_1_4AHB_v_gen_TBO[[#This Row],[NO_OVHLS]]="RC","RC","LC")</f>
        <v>RC</v>
      </c>
      <c r="L249" t="s">
        <v>405</v>
      </c>
      <c r="M249" t="s">
        <v>1001</v>
      </c>
      <c r="N249" t="b">
        <v>0</v>
      </c>
    </row>
    <row r="250" spans="2:14">
      <c r="B250" t="s">
        <v>753</v>
      </c>
      <c r="C250" s="110" t="str">
        <f>RIGHT(B250,3)</f>
        <v>141</v>
      </c>
      <c r="D250" t="s">
        <v>484</v>
      </c>
      <c r="E250" s="110" t="str">
        <f>LEFT(F250,22)</f>
        <v>MAIN ROTOR DRIVE PLATE</v>
      </c>
      <c r="F250" t="s">
        <v>246</v>
      </c>
      <c r="G250" s="110" t="str">
        <f>RIGHT(H250,9)</f>
        <v>014393739</v>
      </c>
      <c r="H250" t="s">
        <v>247</v>
      </c>
      <c r="I250" s="110">
        <f>Table__10.2.1.2_1_4AHB_v_gen_TBO[[#This Row],[REALDUE]]-Table__10.2.1.2_1_4AHB_v_gen_TBO[[#This Row],[EI_BEG_AGE]]</f>
        <v>6135.5</v>
      </c>
      <c r="J250">
        <v>4733.5</v>
      </c>
      <c r="K250" s="110" t="str">
        <f>IF(Table__10.2.1.2_1_4AHB_v_gen_TBO[[#This Row],[NO_OVHLS]]="RC","RC","LC")</f>
        <v>RC</v>
      </c>
      <c r="L250" t="s">
        <v>405</v>
      </c>
      <c r="M250" t="s">
        <v>1019</v>
      </c>
      <c r="N250" t="b">
        <v>0</v>
      </c>
    </row>
    <row r="251" spans="2:14">
      <c r="B251" t="s">
        <v>753</v>
      </c>
      <c r="C251" s="110" t="str">
        <f>RIGHT(B251,3)</f>
        <v>141</v>
      </c>
      <c r="D251" t="s">
        <v>452</v>
      </c>
      <c r="E251" s="110" t="str">
        <f>LEFT(F251,22)</f>
        <v>M/R BLADE ATTACH PIN</v>
      </c>
      <c r="F251" t="s">
        <v>189</v>
      </c>
      <c r="G251" s="110" t="str">
        <f>RIGHT(H251,9)</f>
        <v>011643917</v>
      </c>
      <c r="H251" t="s">
        <v>190</v>
      </c>
      <c r="I251" s="110">
        <f>Table__10.2.1.2_1_4AHB_v_gen_TBO[[#This Row],[REALDUE]]-Table__10.2.1.2_1_4AHB_v_gen_TBO[[#This Row],[EI_BEG_AGE]]</f>
        <v>6144.5</v>
      </c>
      <c r="J251">
        <v>4733.5</v>
      </c>
      <c r="K251" s="110" t="str">
        <f>IF(Table__10.2.1.2_1_4AHB_v_gen_TBO[[#This Row],[NO_OVHLS]]="RC","RC","LC")</f>
        <v>RC</v>
      </c>
      <c r="L251" t="s">
        <v>405</v>
      </c>
      <c r="M251" t="s">
        <v>865</v>
      </c>
      <c r="N251" t="b">
        <v>0</v>
      </c>
    </row>
    <row r="252" spans="2:14">
      <c r="B252" t="s">
        <v>753</v>
      </c>
      <c r="C252" s="110" t="str">
        <f>RIGHT(B252,3)</f>
        <v>141</v>
      </c>
      <c r="D252" t="s">
        <v>452</v>
      </c>
      <c r="E252" s="110" t="str">
        <f>LEFT(F252,22)</f>
        <v>M/R BLADE ATTACH PIN</v>
      </c>
      <c r="F252" t="s">
        <v>189</v>
      </c>
      <c r="G252" s="110" t="str">
        <f>RIGHT(H252,9)</f>
        <v>011643917</v>
      </c>
      <c r="H252" t="s">
        <v>190</v>
      </c>
      <c r="I252" s="110">
        <f>Table__10.2.1.2_1_4AHB_v_gen_TBO[[#This Row],[REALDUE]]-Table__10.2.1.2_1_4AHB_v_gen_TBO[[#This Row],[EI_BEG_AGE]]</f>
        <v>6155.5</v>
      </c>
      <c r="J252">
        <v>4733.5</v>
      </c>
      <c r="K252" s="110" t="str">
        <f>IF(Table__10.2.1.2_1_4AHB_v_gen_TBO[[#This Row],[NO_OVHLS]]="RC","RC","LC")</f>
        <v>RC</v>
      </c>
      <c r="L252" t="s">
        <v>405</v>
      </c>
      <c r="M252" t="s">
        <v>866</v>
      </c>
      <c r="N252" t="b">
        <v>0</v>
      </c>
    </row>
    <row r="253" spans="2:14">
      <c r="B253" t="s">
        <v>753</v>
      </c>
      <c r="C253" s="110" t="str">
        <f>RIGHT(B253,3)</f>
        <v>141</v>
      </c>
      <c r="D253" t="s">
        <v>452</v>
      </c>
      <c r="E253" s="110" t="str">
        <f>LEFT(F253,22)</f>
        <v>M/R BLADE ATTACH PIN</v>
      </c>
      <c r="F253" t="s">
        <v>189</v>
      </c>
      <c r="G253" s="110" t="str">
        <f>RIGHT(H253,9)</f>
        <v>011643917</v>
      </c>
      <c r="H253" t="s">
        <v>190</v>
      </c>
      <c r="I253" s="110">
        <f>Table__10.2.1.2_1_4AHB_v_gen_TBO[[#This Row],[REALDUE]]-Table__10.2.1.2_1_4AHB_v_gen_TBO[[#This Row],[EI_BEG_AGE]]</f>
        <v>6155.5</v>
      </c>
      <c r="J253">
        <v>4733.5</v>
      </c>
      <c r="K253" s="110" t="str">
        <f>IF(Table__10.2.1.2_1_4AHB_v_gen_TBO[[#This Row],[NO_OVHLS]]="RC","RC","LC")</f>
        <v>RC</v>
      </c>
      <c r="L253" t="s">
        <v>405</v>
      </c>
      <c r="M253" t="s">
        <v>866</v>
      </c>
      <c r="N253" t="b">
        <v>0</v>
      </c>
    </row>
    <row r="254" spans="2:14">
      <c r="B254" t="s">
        <v>753</v>
      </c>
      <c r="C254" s="110" t="str">
        <f>RIGHT(B254,3)</f>
        <v>141</v>
      </c>
      <c r="D254" t="s">
        <v>439</v>
      </c>
      <c r="E254" s="110" t="str">
        <f>LEFT(F254,22)</f>
        <v>FEATHERING BEARING STU</v>
      </c>
      <c r="F254" t="s">
        <v>162</v>
      </c>
      <c r="G254" s="110" t="str">
        <f>RIGHT(H254,9)</f>
        <v>011634676</v>
      </c>
      <c r="H254" t="s">
        <v>163</v>
      </c>
      <c r="I254" s="110">
        <f>Table__10.2.1.2_1_4AHB_v_gen_TBO[[#This Row],[REALDUE]]-Table__10.2.1.2_1_4AHB_v_gen_TBO[[#This Row],[EI_BEG_AGE]]</f>
        <v>6284.5</v>
      </c>
      <c r="J254">
        <v>4733.5</v>
      </c>
      <c r="K254" s="110" t="str">
        <f>IF(Table__10.2.1.2_1_4AHB_v_gen_TBO[[#This Row],[NO_OVHLS]]="RC","RC","LC")</f>
        <v>RC</v>
      </c>
      <c r="L254" t="s">
        <v>405</v>
      </c>
      <c r="M254" t="s">
        <v>934</v>
      </c>
      <c r="N254" t="b">
        <v>0</v>
      </c>
    </row>
    <row r="255" spans="2:14">
      <c r="B255" t="s">
        <v>749</v>
      </c>
      <c r="C255" s="110" t="str">
        <f>RIGHT(B255,3)</f>
        <v>187</v>
      </c>
      <c r="D255" t="s">
        <v>435</v>
      </c>
      <c r="E255" s="110" t="str">
        <f>LEFT(F255,22)</f>
        <v>BOLT STRAP ASSY ATTACH</v>
      </c>
      <c r="F255" t="s">
        <v>153</v>
      </c>
      <c r="G255" s="110" t="str">
        <f>RIGHT(H255,9)</f>
        <v>N PENDING</v>
      </c>
      <c r="H255" t="s">
        <v>106</v>
      </c>
      <c r="I255" s="110">
        <f>Table__10.2.1.2_1_4AHB_v_gen_TBO[[#This Row],[REALDUE]]-Table__10.2.1.2_1_4AHB_v_gen_TBO[[#This Row],[EI_BEG_AGE]]</f>
        <v>6289.3</v>
      </c>
      <c r="J255">
        <v>5314.7</v>
      </c>
      <c r="K255" s="110" t="str">
        <f>IF(Table__10.2.1.2_1_4AHB_v_gen_TBO[[#This Row],[NO_OVHLS]]="RC","RC","LC")</f>
        <v>RC</v>
      </c>
      <c r="L255" t="s">
        <v>405</v>
      </c>
      <c r="M255" t="s">
        <v>1039</v>
      </c>
      <c r="N255" t="b">
        <v>0</v>
      </c>
    </row>
    <row r="256" spans="2:14">
      <c r="B256" t="s">
        <v>749</v>
      </c>
      <c r="C256" s="110" t="str">
        <f>RIGHT(B256,3)</f>
        <v>187</v>
      </c>
      <c r="D256" t="s">
        <v>435</v>
      </c>
      <c r="E256" s="110" t="str">
        <f>LEFT(F256,22)</f>
        <v>BOLT STRAP ASSY ATTACH</v>
      </c>
      <c r="F256" t="s">
        <v>153</v>
      </c>
      <c r="G256" s="110" t="str">
        <f>RIGHT(H256,9)</f>
        <v>N PENDING</v>
      </c>
      <c r="H256" t="s">
        <v>106</v>
      </c>
      <c r="I256" s="110">
        <f>Table__10.2.1.2_1_4AHB_v_gen_TBO[[#This Row],[REALDUE]]-Table__10.2.1.2_1_4AHB_v_gen_TBO[[#This Row],[EI_BEG_AGE]]</f>
        <v>6289.3</v>
      </c>
      <c r="J256">
        <v>5314.7</v>
      </c>
      <c r="K256" s="110" t="str">
        <f>IF(Table__10.2.1.2_1_4AHB_v_gen_TBO[[#This Row],[NO_OVHLS]]="RC","RC","LC")</f>
        <v>RC</v>
      </c>
      <c r="L256" t="s">
        <v>405</v>
      </c>
      <c r="M256" t="s">
        <v>1039</v>
      </c>
      <c r="N256" t="b">
        <v>0</v>
      </c>
    </row>
    <row r="257" spans="2:14">
      <c r="B257" t="s">
        <v>749</v>
      </c>
      <c r="C257" s="110" t="str">
        <f>RIGHT(B257,3)</f>
        <v>187</v>
      </c>
      <c r="D257" t="s">
        <v>435</v>
      </c>
      <c r="E257" s="110" t="str">
        <f>LEFT(F257,22)</f>
        <v>BOLT STRAP ASSY ATTACH</v>
      </c>
      <c r="F257" t="s">
        <v>153</v>
      </c>
      <c r="G257" s="110" t="str">
        <f>RIGHT(H257,9)</f>
        <v>N PENDING</v>
      </c>
      <c r="H257" t="s">
        <v>106</v>
      </c>
      <c r="I257" s="110">
        <f>Table__10.2.1.2_1_4AHB_v_gen_TBO[[#This Row],[REALDUE]]-Table__10.2.1.2_1_4AHB_v_gen_TBO[[#This Row],[EI_BEG_AGE]]</f>
        <v>6289.3</v>
      </c>
      <c r="J257">
        <v>5314.7</v>
      </c>
      <c r="K257" s="110" t="str">
        <f>IF(Table__10.2.1.2_1_4AHB_v_gen_TBO[[#This Row],[NO_OVHLS]]="RC","RC","LC")</f>
        <v>RC</v>
      </c>
      <c r="L257" t="s">
        <v>405</v>
      </c>
      <c r="M257" t="s">
        <v>1039</v>
      </c>
      <c r="N257" t="b">
        <v>0</v>
      </c>
    </row>
    <row r="258" spans="2:14">
      <c r="B258" t="s">
        <v>749</v>
      </c>
      <c r="C258" s="110" t="str">
        <f>RIGHT(B258,3)</f>
        <v>187</v>
      </c>
      <c r="D258" t="s">
        <v>435</v>
      </c>
      <c r="E258" s="110" t="str">
        <f>LEFT(F258,22)</f>
        <v>BOLT STRAP ASSY ATTACH</v>
      </c>
      <c r="F258" t="s">
        <v>153</v>
      </c>
      <c r="G258" s="110" t="str">
        <f>RIGHT(H258,9)</f>
        <v>N PENDING</v>
      </c>
      <c r="H258" t="s">
        <v>106</v>
      </c>
      <c r="I258" s="110">
        <f>Table__10.2.1.2_1_4AHB_v_gen_TBO[[#This Row],[REALDUE]]-Table__10.2.1.2_1_4AHB_v_gen_TBO[[#This Row],[EI_BEG_AGE]]</f>
        <v>6289.3</v>
      </c>
      <c r="J258">
        <v>5314.7</v>
      </c>
      <c r="K258" s="110" t="str">
        <f>IF(Table__10.2.1.2_1_4AHB_v_gen_TBO[[#This Row],[NO_OVHLS]]="RC","RC","LC")</f>
        <v>RC</v>
      </c>
      <c r="L258" t="s">
        <v>405</v>
      </c>
      <c r="M258" t="s">
        <v>1039</v>
      </c>
      <c r="N258" t="b">
        <v>0</v>
      </c>
    </row>
    <row r="259" spans="2:14">
      <c r="B259" t="s">
        <v>749</v>
      </c>
      <c r="C259" s="110" t="str">
        <f>RIGHT(B259,3)</f>
        <v>187</v>
      </c>
      <c r="D259" t="s">
        <v>435</v>
      </c>
      <c r="E259" s="110" t="str">
        <f>LEFT(F259,22)</f>
        <v>BOLT STRAP ASSY ATTACH</v>
      </c>
      <c r="F259" t="s">
        <v>153</v>
      </c>
      <c r="G259" s="110" t="str">
        <f>RIGHT(H259,9)</f>
        <v>N PENDING</v>
      </c>
      <c r="H259" t="s">
        <v>106</v>
      </c>
      <c r="I259" s="110">
        <f>Table__10.2.1.2_1_4AHB_v_gen_TBO[[#This Row],[REALDUE]]-Table__10.2.1.2_1_4AHB_v_gen_TBO[[#This Row],[EI_BEG_AGE]]</f>
        <v>6289.3</v>
      </c>
      <c r="J259">
        <v>5314.7</v>
      </c>
      <c r="K259" s="110" t="str">
        <f>IF(Table__10.2.1.2_1_4AHB_v_gen_TBO[[#This Row],[NO_OVHLS]]="RC","RC","LC")</f>
        <v>RC</v>
      </c>
      <c r="L259" t="s">
        <v>405</v>
      </c>
      <c r="M259" t="s">
        <v>1039</v>
      </c>
      <c r="N259" t="b">
        <v>0</v>
      </c>
    </row>
    <row r="260" spans="2:14">
      <c r="B260" t="s">
        <v>749</v>
      </c>
      <c r="C260" s="110" t="str">
        <f>RIGHT(B260,3)</f>
        <v>187</v>
      </c>
      <c r="D260" t="s">
        <v>435</v>
      </c>
      <c r="E260" s="110" t="str">
        <f>LEFT(F260,22)</f>
        <v>BOLT STRAP ASSY ATTACH</v>
      </c>
      <c r="F260" t="s">
        <v>153</v>
      </c>
      <c r="G260" s="110" t="str">
        <f>RIGHT(H260,9)</f>
        <v>N PENDING</v>
      </c>
      <c r="H260" t="s">
        <v>106</v>
      </c>
      <c r="I260" s="110">
        <f>Table__10.2.1.2_1_4AHB_v_gen_TBO[[#This Row],[REALDUE]]-Table__10.2.1.2_1_4AHB_v_gen_TBO[[#This Row],[EI_BEG_AGE]]</f>
        <v>6289.3</v>
      </c>
      <c r="J260">
        <v>5314.7</v>
      </c>
      <c r="K260" s="110" t="str">
        <f>IF(Table__10.2.1.2_1_4AHB_v_gen_TBO[[#This Row],[NO_OVHLS]]="RC","RC","LC")</f>
        <v>RC</v>
      </c>
      <c r="L260" t="s">
        <v>405</v>
      </c>
      <c r="M260" t="s">
        <v>1039</v>
      </c>
      <c r="N260" t="b">
        <v>0</v>
      </c>
    </row>
    <row r="261" spans="2:14">
      <c r="B261" t="s">
        <v>749</v>
      </c>
      <c r="C261" s="110" t="str">
        <f>RIGHT(B261,3)</f>
        <v>187</v>
      </c>
      <c r="D261" t="s">
        <v>435</v>
      </c>
      <c r="E261" s="110" t="str">
        <f>LEFT(F261,22)</f>
        <v>BOLT STRAP ASSY ATTACH</v>
      </c>
      <c r="F261" t="s">
        <v>153</v>
      </c>
      <c r="G261" s="110" t="str">
        <f>RIGHT(H261,9)</f>
        <v>N PENDING</v>
      </c>
      <c r="H261" t="s">
        <v>106</v>
      </c>
      <c r="I261" s="110">
        <f>Table__10.2.1.2_1_4AHB_v_gen_TBO[[#This Row],[REALDUE]]-Table__10.2.1.2_1_4AHB_v_gen_TBO[[#This Row],[EI_BEG_AGE]]</f>
        <v>6289.3</v>
      </c>
      <c r="J261">
        <v>5314.7</v>
      </c>
      <c r="K261" s="110" t="str">
        <f>IF(Table__10.2.1.2_1_4AHB_v_gen_TBO[[#This Row],[NO_OVHLS]]="RC","RC","LC")</f>
        <v>RC</v>
      </c>
      <c r="L261" t="s">
        <v>405</v>
      </c>
      <c r="M261" t="s">
        <v>1039</v>
      </c>
      <c r="N261" t="b">
        <v>0</v>
      </c>
    </row>
    <row r="262" spans="2:14">
      <c r="B262" t="s">
        <v>749</v>
      </c>
      <c r="C262" s="110" t="str">
        <f>RIGHT(B262,3)</f>
        <v>187</v>
      </c>
      <c r="D262" t="s">
        <v>435</v>
      </c>
      <c r="E262" s="110" t="str">
        <f>LEFT(F262,22)</f>
        <v>BOLT STRAP ASSY ATTACH</v>
      </c>
      <c r="F262" t="s">
        <v>153</v>
      </c>
      <c r="G262" s="110" t="str">
        <f>RIGHT(H262,9)</f>
        <v>N PENDING</v>
      </c>
      <c r="H262" t="s">
        <v>106</v>
      </c>
      <c r="I262" s="110">
        <f>Table__10.2.1.2_1_4AHB_v_gen_TBO[[#This Row],[REALDUE]]-Table__10.2.1.2_1_4AHB_v_gen_TBO[[#This Row],[EI_BEG_AGE]]</f>
        <v>6289.3</v>
      </c>
      <c r="J262">
        <v>5314.7</v>
      </c>
      <c r="K262" s="110" t="str">
        <f>IF(Table__10.2.1.2_1_4AHB_v_gen_TBO[[#This Row],[NO_OVHLS]]="RC","RC","LC")</f>
        <v>RC</v>
      </c>
      <c r="L262" t="s">
        <v>405</v>
      </c>
      <c r="M262" t="s">
        <v>1039</v>
      </c>
      <c r="N262" t="b">
        <v>0</v>
      </c>
    </row>
    <row r="263" spans="2:14">
      <c r="B263" t="s">
        <v>753</v>
      </c>
      <c r="C263" s="110" t="str">
        <f>RIGHT(B263,3)</f>
        <v>141</v>
      </c>
      <c r="D263" t="s">
        <v>439</v>
      </c>
      <c r="E263" s="110" t="str">
        <f>LEFT(F263,22)</f>
        <v>FEATHERING BEARING STU</v>
      </c>
      <c r="F263" t="s">
        <v>162</v>
      </c>
      <c r="G263" s="110" t="str">
        <f>RIGHT(H263,9)</f>
        <v>011634676</v>
      </c>
      <c r="H263" t="s">
        <v>163</v>
      </c>
      <c r="I263" s="110">
        <f>Table__10.2.1.2_1_4AHB_v_gen_TBO[[#This Row],[REALDUE]]-Table__10.2.1.2_1_4AHB_v_gen_TBO[[#This Row],[EI_BEG_AGE]]</f>
        <v>6458.5</v>
      </c>
      <c r="J263">
        <v>4733.5</v>
      </c>
      <c r="K263" s="110" t="str">
        <f>IF(Table__10.2.1.2_1_4AHB_v_gen_TBO[[#This Row],[NO_OVHLS]]="RC","RC","LC")</f>
        <v>RC</v>
      </c>
      <c r="L263" t="s">
        <v>405</v>
      </c>
      <c r="M263" t="s">
        <v>935</v>
      </c>
      <c r="N263" t="b">
        <v>0</v>
      </c>
    </row>
    <row r="264" spans="2:14">
      <c r="B264" t="s">
        <v>749</v>
      </c>
      <c r="C264" s="110" t="str">
        <f>RIGHT(B264,3)</f>
        <v>187</v>
      </c>
      <c r="D264" t="s">
        <v>414</v>
      </c>
      <c r="E264" s="110" t="str">
        <f>LEFT(F264,22)</f>
        <v>FRAME FS 230</v>
      </c>
      <c r="F264" t="s">
        <v>126</v>
      </c>
      <c r="G264" s="110" t="str">
        <f>RIGHT(H264,9)</f>
        <v>N PENDING</v>
      </c>
      <c r="H264" t="s">
        <v>106</v>
      </c>
      <c r="I264" s="96">
        <f>Table__10.2.1.2_1_4AHB_v_gen_TBO[[#This Row],[REALDUE]]-Table__10.2.1.2_1_4AHB_v_gen_TBO[[#This Row],[EI_BEG_AGE]]</f>
        <v>6504.3</v>
      </c>
      <c r="J264" s="96">
        <v>5314.7</v>
      </c>
      <c r="K264" s="110" t="str">
        <f>IF(Table__10.2.1.2_1_4AHB_v_gen_TBO[[#This Row],[NO_OVHLS]]="RC","RC","LC")</f>
        <v>RC</v>
      </c>
      <c r="L264" t="s">
        <v>405</v>
      </c>
      <c r="M264" t="s">
        <v>127</v>
      </c>
      <c r="N264" t="b">
        <v>0</v>
      </c>
    </row>
    <row r="265" spans="2:14">
      <c r="B265" t="s">
        <v>749</v>
      </c>
      <c r="C265" s="110" t="str">
        <f>RIGHT(B265,3)</f>
        <v>187</v>
      </c>
      <c r="D265" t="s">
        <v>408</v>
      </c>
      <c r="E265" s="110" t="str">
        <f>LEFT(F265,22)</f>
        <v>STRUT FWD CENTER LH</v>
      </c>
      <c r="F265" t="s">
        <v>113</v>
      </c>
      <c r="G265" s="110" t="str">
        <f>RIGHT(H265,9)</f>
        <v>011643791</v>
      </c>
      <c r="H265" t="s">
        <v>114</v>
      </c>
      <c r="I265" s="96">
        <f>Table__10.2.1.2_1_4AHB_v_gen_TBO[[#This Row],[REALDUE]]-Table__10.2.1.2_1_4AHB_v_gen_TBO[[#This Row],[EI_BEG_AGE]]</f>
        <v>6540.3</v>
      </c>
      <c r="J265" s="96">
        <v>5314.7</v>
      </c>
      <c r="K265" s="110" t="str">
        <f>IF(Table__10.2.1.2_1_4AHB_v_gen_TBO[[#This Row],[NO_OVHLS]]="RC","RC","LC")</f>
        <v>RC</v>
      </c>
      <c r="L265" t="s">
        <v>405</v>
      </c>
      <c r="M265" t="s">
        <v>909</v>
      </c>
      <c r="N265" t="b">
        <v>0</v>
      </c>
    </row>
    <row r="266" spans="2:14">
      <c r="B266" t="s">
        <v>753</v>
      </c>
      <c r="C266" s="110" t="str">
        <f>RIGHT(B266,3)</f>
        <v>141</v>
      </c>
      <c r="D266" t="s">
        <v>1037</v>
      </c>
      <c r="E266" s="110" t="str">
        <f>LEFT(F266,22)</f>
        <v>BOLT STRAP ASSY ATTACH</v>
      </c>
      <c r="F266" t="s">
        <v>153</v>
      </c>
      <c r="G266" s="110" t="str">
        <f>RIGHT(H266,9)</f>
        <v>N PENDING</v>
      </c>
      <c r="H266" t="s">
        <v>106</v>
      </c>
      <c r="I266" s="96">
        <f>Table__10.2.1.2_1_4AHB_v_gen_TBO[[#This Row],[REALDUE]]-Table__10.2.1.2_1_4AHB_v_gen_TBO[[#This Row],[EI_BEG_AGE]]</f>
        <v>6732.5</v>
      </c>
      <c r="J266" s="96">
        <v>4733.5</v>
      </c>
      <c r="K266" s="110" t="str">
        <f>IF(Table__10.2.1.2_1_4AHB_v_gen_TBO[[#This Row],[NO_OVHLS]]="RC","RC","LC")</f>
        <v>RC</v>
      </c>
      <c r="L266" t="s">
        <v>405</v>
      </c>
      <c r="M266" t="s">
        <v>1038</v>
      </c>
      <c r="N266" t="b">
        <v>0</v>
      </c>
    </row>
    <row r="267" spans="2:14">
      <c r="B267" t="s">
        <v>753</v>
      </c>
      <c r="C267" s="110" t="str">
        <f>RIGHT(B267,3)</f>
        <v>141</v>
      </c>
      <c r="D267" t="s">
        <v>1037</v>
      </c>
      <c r="E267" s="110" t="str">
        <f>LEFT(F267,22)</f>
        <v>BOLT STRAP ASSY ATTACH</v>
      </c>
      <c r="F267" t="s">
        <v>153</v>
      </c>
      <c r="G267" s="110" t="str">
        <f>RIGHT(H267,9)</f>
        <v>N PENDING</v>
      </c>
      <c r="H267" t="s">
        <v>106</v>
      </c>
      <c r="I267" s="96">
        <f>Table__10.2.1.2_1_4AHB_v_gen_TBO[[#This Row],[REALDUE]]-Table__10.2.1.2_1_4AHB_v_gen_TBO[[#This Row],[EI_BEG_AGE]]</f>
        <v>6732.5</v>
      </c>
      <c r="J267" s="96">
        <v>4733.5</v>
      </c>
      <c r="K267" s="110" t="str">
        <f>IF(Table__10.2.1.2_1_4AHB_v_gen_TBO[[#This Row],[NO_OVHLS]]="RC","RC","LC")</f>
        <v>RC</v>
      </c>
      <c r="L267" t="s">
        <v>405</v>
      </c>
      <c r="M267" t="s">
        <v>1038</v>
      </c>
      <c r="N267" t="b">
        <v>0</v>
      </c>
    </row>
    <row r="268" spans="2:14">
      <c r="B268" t="s">
        <v>753</v>
      </c>
      <c r="C268" s="110" t="str">
        <f>RIGHT(B268,3)</f>
        <v>141</v>
      </c>
      <c r="D268" t="s">
        <v>435</v>
      </c>
      <c r="E268" s="110" t="str">
        <f>LEFT(F268,22)</f>
        <v>BOLT STRAP ASSY ATTACH</v>
      </c>
      <c r="F268" t="s">
        <v>153</v>
      </c>
      <c r="G268" s="110" t="str">
        <f>RIGHT(H268,9)</f>
        <v>N PENDING</v>
      </c>
      <c r="H268" t="s">
        <v>106</v>
      </c>
      <c r="I268" s="96">
        <f>Table__10.2.1.2_1_4AHB_v_gen_TBO[[#This Row],[REALDUE]]-Table__10.2.1.2_1_4AHB_v_gen_TBO[[#This Row],[EI_BEG_AGE]]</f>
        <v>6732.5</v>
      </c>
      <c r="J268" s="96">
        <v>4733.5</v>
      </c>
      <c r="K268" s="110" t="str">
        <f>IF(Table__10.2.1.2_1_4AHB_v_gen_TBO[[#This Row],[NO_OVHLS]]="RC","RC","LC")</f>
        <v>RC</v>
      </c>
      <c r="L268" t="s">
        <v>405</v>
      </c>
      <c r="M268" t="s">
        <v>1038</v>
      </c>
      <c r="N268" t="b">
        <v>0</v>
      </c>
    </row>
    <row r="269" spans="2:14">
      <c r="B269" t="s">
        <v>753</v>
      </c>
      <c r="C269" s="110" t="str">
        <f>RIGHT(B269,3)</f>
        <v>141</v>
      </c>
      <c r="D269" t="s">
        <v>435</v>
      </c>
      <c r="E269" s="110" t="str">
        <f>LEFT(F269,22)</f>
        <v>BOLT STRAP ASSY ATTACH</v>
      </c>
      <c r="F269" t="s">
        <v>153</v>
      </c>
      <c r="G269" s="110" t="str">
        <f>RIGHT(H269,9)</f>
        <v>N PENDING</v>
      </c>
      <c r="H269" t="s">
        <v>106</v>
      </c>
      <c r="I269" s="96">
        <f>Table__10.2.1.2_1_4AHB_v_gen_TBO[[#This Row],[REALDUE]]-Table__10.2.1.2_1_4AHB_v_gen_TBO[[#This Row],[EI_BEG_AGE]]</f>
        <v>6732.5</v>
      </c>
      <c r="J269" s="96">
        <v>4733.5</v>
      </c>
      <c r="K269" s="110" t="str">
        <f>IF(Table__10.2.1.2_1_4AHB_v_gen_TBO[[#This Row],[NO_OVHLS]]="RC","RC","LC")</f>
        <v>RC</v>
      </c>
      <c r="L269" t="s">
        <v>405</v>
      </c>
      <c r="M269" t="s">
        <v>1038</v>
      </c>
      <c r="N269" t="b">
        <v>0</v>
      </c>
    </row>
    <row r="270" spans="2:14">
      <c r="B270" t="s">
        <v>753</v>
      </c>
      <c r="C270" s="110" t="str">
        <f>RIGHT(B270,3)</f>
        <v>141</v>
      </c>
      <c r="D270" t="s">
        <v>435</v>
      </c>
      <c r="E270" s="110" t="str">
        <f>LEFT(F270,22)</f>
        <v>BOLT STRAP ASSY ATTACH</v>
      </c>
      <c r="F270" t="s">
        <v>153</v>
      </c>
      <c r="G270" s="110" t="str">
        <f>RIGHT(H270,9)</f>
        <v>N PENDING</v>
      </c>
      <c r="H270" t="s">
        <v>106</v>
      </c>
      <c r="I270" s="110">
        <f>Table__10.2.1.2_1_4AHB_v_gen_TBO[[#This Row],[REALDUE]]-Table__10.2.1.2_1_4AHB_v_gen_TBO[[#This Row],[EI_BEG_AGE]]</f>
        <v>6732.5</v>
      </c>
      <c r="J270">
        <v>4733.5</v>
      </c>
      <c r="K270" s="110" t="str">
        <f>IF(Table__10.2.1.2_1_4AHB_v_gen_TBO[[#This Row],[NO_OVHLS]]="RC","RC","LC")</f>
        <v>RC</v>
      </c>
      <c r="L270" t="s">
        <v>405</v>
      </c>
      <c r="M270" t="s">
        <v>1038</v>
      </c>
      <c r="N270" t="b">
        <v>0</v>
      </c>
    </row>
    <row r="271" spans="2:14">
      <c r="B271" t="s">
        <v>753</v>
      </c>
      <c r="C271" s="110" t="str">
        <f>RIGHT(B271,3)</f>
        <v>141</v>
      </c>
      <c r="D271" t="s">
        <v>435</v>
      </c>
      <c r="E271" s="110" t="str">
        <f>LEFT(F271,22)</f>
        <v>BOLT STRAP ASSY ATTACH</v>
      </c>
      <c r="F271" t="s">
        <v>153</v>
      </c>
      <c r="G271" s="110" t="str">
        <f>RIGHT(H271,9)</f>
        <v>N PENDING</v>
      </c>
      <c r="H271" t="s">
        <v>106</v>
      </c>
      <c r="I271" s="110">
        <f>Table__10.2.1.2_1_4AHB_v_gen_TBO[[#This Row],[REALDUE]]-Table__10.2.1.2_1_4AHB_v_gen_TBO[[#This Row],[EI_BEG_AGE]]</f>
        <v>6732.5</v>
      </c>
      <c r="J271">
        <v>4733.5</v>
      </c>
      <c r="K271" s="110" t="str">
        <f>IF(Table__10.2.1.2_1_4AHB_v_gen_TBO[[#This Row],[NO_OVHLS]]="RC","RC","LC")</f>
        <v>RC</v>
      </c>
      <c r="L271" t="s">
        <v>405</v>
      </c>
      <c r="M271" t="s">
        <v>1038</v>
      </c>
      <c r="N271" t="b">
        <v>0</v>
      </c>
    </row>
    <row r="272" spans="2:14">
      <c r="B272" t="s">
        <v>753</v>
      </c>
      <c r="C272" s="110" t="str">
        <f>RIGHT(B272,3)</f>
        <v>141</v>
      </c>
      <c r="D272" t="s">
        <v>435</v>
      </c>
      <c r="E272" s="110" t="str">
        <f>LEFT(F272,22)</f>
        <v>BOLT STRAP ASSY ATTACH</v>
      </c>
      <c r="F272" t="s">
        <v>153</v>
      </c>
      <c r="G272" s="110" t="str">
        <f>RIGHT(H272,9)</f>
        <v>N PENDING</v>
      </c>
      <c r="H272" t="s">
        <v>106</v>
      </c>
      <c r="I272" s="110">
        <f>Table__10.2.1.2_1_4AHB_v_gen_TBO[[#This Row],[REALDUE]]-Table__10.2.1.2_1_4AHB_v_gen_TBO[[#This Row],[EI_BEG_AGE]]</f>
        <v>6732.5</v>
      </c>
      <c r="J272">
        <v>4733.5</v>
      </c>
      <c r="K272" s="110" t="str">
        <f>IF(Table__10.2.1.2_1_4AHB_v_gen_TBO[[#This Row],[NO_OVHLS]]="RC","RC","LC")</f>
        <v>RC</v>
      </c>
      <c r="L272" t="s">
        <v>405</v>
      </c>
      <c r="M272" t="s">
        <v>1038</v>
      </c>
      <c r="N272" t="b">
        <v>0</v>
      </c>
    </row>
    <row r="273" spans="2:14">
      <c r="B273" t="s">
        <v>753</v>
      </c>
      <c r="C273" s="110" t="str">
        <f>RIGHT(B273,3)</f>
        <v>141</v>
      </c>
      <c r="D273" t="s">
        <v>435</v>
      </c>
      <c r="E273" s="110" t="str">
        <f>LEFT(F273,22)</f>
        <v>BOLT STRAP ASSY ATTACH</v>
      </c>
      <c r="F273" t="s">
        <v>153</v>
      </c>
      <c r="G273" s="110" t="str">
        <f>RIGHT(H273,9)</f>
        <v>N PENDING</v>
      </c>
      <c r="H273" t="s">
        <v>106</v>
      </c>
      <c r="I273" s="110">
        <f>Table__10.2.1.2_1_4AHB_v_gen_TBO[[#This Row],[REALDUE]]-Table__10.2.1.2_1_4AHB_v_gen_TBO[[#This Row],[EI_BEG_AGE]]</f>
        <v>6732.5</v>
      </c>
      <c r="J273">
        <v>4733.5</v>
      </c>
      <c r="K273" s="110" t="str">
        <f>IF(Table__10.2.1.2_1_4AHB_v_gen_TBO[[#This Row],[NO_OVHLS]]="RC","RC","LC")</f>
        <v>RC</v>
      </c>
      <c r="L273" t="s">
        <v>405</v>
      </c>
      <c r="M273" t="s">
        <v>1038</v>
      </c>
      <c r="N273" t="b">
        <v>0</v>
      </c>
    </row>
    <row r="274" spans="2:14">
      <c r="B274" t="s">
        <v>751</v>
      </c>
      <c r="C274" s="110" t="str">
        <f>RIGHT(B274,3)</f>
        <v>119</v>
      </c>
      <c r="D274" t="s">
        <v>439</v>
      </c>
      <c r="E274" s="110" t="str">
        <f>LEFT(F274,22)</f>
        <v>FEATHERING BEARING STU</v>
      </c>
      <c r="F274" t="s">
        <v>162</v>
      </c>
      <c r="G274" s="110" t="str">
        <f>RIGHT(H274,9)</f>
        <v>011634676</v>
      </c>
      <c r="H274" t="s">
        <v>163</v>
      </c>
      <c r="I274" s="110">
        <f>Table__10.2.1.2_1_4AHB_v_gen_TBO[[#This Row],[REALDUE]]-Table__10.2.1.2_1_4AHB_v_gen_TBO[[#This Row],[EI_BEG_AGE]]</f>
        <v>6772.1</v>
      </c>
      <c r="J274">
        <v>3973.9</v>
      </c>
      <c r="K274" s="110" t="str">
        <f>IF(Table__10.2.1.2_1_4AHB_v_gen_TBO[[#This Row],[NO_OVHLS]]="RC","RC","LC")</f>
        <v>RC</v>
      </c>
      <c r="L274" t="s">
        <v>405</v>
      </c>
      <c r="M274" t="s">
        <v>938</v>
      </c>
      <c r="N274" t="b">
        <v>0</v>
      </c>
    </row>
    <row r="275" spans="2:14">
      <c r="B275" t="s">
        <v>751</v>
      </c>
      <c r="C275" s="110" t="str">
        <f>RIGHT(B275,3)</f>
        <v>119</v>
      </c>
      <c r="D275" t="s">
        <v>439</v>
      </c>
      <c r="E275" s="110" t="str">
        <f>LEFT(F275,22)</f>
        <v>FEATHERING BEARING STU</v>
      </c>
      <c r="F275" t="s">
        <v>162</v>
      </c>
      <c r="G275" s="110" t="str">
        <f>RIGHT(H275,9)</f>
        <v>011634676</v>
      </c>
      <c r="H275" t="s">
        <v>163</v>
      </c>
      <c r="I275" s="110">
        <f>Table__10.2.1.2_1_4AHB_v_gen_TBO[[#This Row],[REALDUE]]-Table__10.2.1.2_1_4AHB_v_gen_TBO[[#This Row],[EI_BEG_AGE]]</f>
        <v>6772.1</v>
      </c>
      <c r="J275">
        <v>3973.9</v>
      </c>
      <c r="K275" s="110" t="str">
        <f>IF(Table__10.2.1.2_1_4AHB_v_gen_TBO[[#This Row],[NO_OVHLS]]="RC","RC","LC")</f>
        <v>RC</v>
      </c>
      <c r="L275" t="s">
        <v>405</v>
      </c>
      <c r="M275" t="s">
        <v>938</v>
      </c>
      <c r="N275" t="b">
        <v>0</v>
      </c>
    </row>
    <row r="276" spans="2:14">
      <c r="B276" t="s">
        <v>751</v>
      </c>
      <c r="C276" s="110" t="str">
        <f>RIGHT(B276,3)</f>
        <v>119</v>
      </c>
      <c r="D276" t="s">
        <v>439</v>
      </c>
      <c r="E276" s="110" t="str">
        <f>LEFT(F276,22)</f>
        <v>FEATHERING BEARING STU</v>
      </c>
      <c r="F276" t="s">
        <v>162</v>
      </c>
      <c r="G276" s="110" t="str">
        <f>RIGHT(H276,9)</f>
        <v>011634676</v>
      </c>
      <c r="H276" t="s">
        <v>163</v>
      </c>
      <c r="I276" s="96">
        <f>Table__10.2.1.2_1_4AHB_v_gen_TBO[[#This Row],[REALDUE]]-Table__10.2.1.2_1_4AHB_v_gen_TBO[[#This Row],[EI_BEG_AGE]]</f>
        <v>6772.1</v>
      </c>
      <c r="J276" s="96">
        <v>3973.9</v>
      </c>
      <c r="K276" s="110" t="str">
        <f>IF(Table__10.2.1.2_1_4AHB_v_gen_TBO[[#This Row],[NO_OVHLS]]="RC","RC","LC")</f>
        <v>RC</v>
      </c>
      <c r="L276" t="s">
        <v>405</v>
      </c>
      <c r="M276" t="s">
        <v>938</v>
      </c>
      <c r="N276" t="b">
        <v>0</v>
      </c>
    </row>
    <row r="277" spans="2:14">
      <c r="B277" t="s">
        <v>751</v>
      </c>
      <c r="C277" s="110" t="str">
        <f>RIGHT(B277,3)</f>
        <v>119</v>
      </c>
      <c r="D277" t="s">
        <v>439</v>
      </c>
      <c r="E277" s="110" t="str">
        <f>LEFT(F277,22)</f>
        <v>FEATHERING BEARING STU</v>
      </c>
      <c r="F277" t="s">
        <v>162</v>
      </c>
      <c r="G277" s="110" t="str">
        <f>RIGHT(H277,9)</f>
        <v>011634676</v>
      </c>
      <c r="H277" t="s">
        <v>163</v>
      </c>
      <c r="I277" s="96">
        <f>Table__10.2.1.2_1_4AHB_v_gen_TBO[[#This Row],[REALDUE]]-Table__10.2.1.2_1_4AHB_v_gen_TBO[[#This Row],[EI_BEG_AGE]]</f>
        <v>6772.1</v>
      </c>
      <c r="J277" s="96">
        <v>3973.9</v>
      </c>
      <c r="K277" s="110" t="str">
        <f>IF(Table__10.2.1.2_1_4AHB_v_gen_TBO[[#This Row],[NO_OVHLS]]="RC","RC","LC")</f>
        <v>RC</v>
      </c>
      <c r="L277" t="s">
        <v>405</v>
      </c>
      <c r="M277" t="s">
        <v>938</v>
      </c>
      <c r="N277" t="b">
        <v>0</v>
      </c>
    </row>
    <row r="278" spans="2:14">
      <c r="B278" t="s">
        <v>749</v>
      </c>
      <c r="C278" s="110" t="str">
        <f>RIGHT(B278,3)</f>
        <v>187</v>
      </c>
      <c r="D278" t="s">
        <v>557</v>
      </c>
      <c r="E278" s="110" t="str">
        <f>LEFT(F278,22)</f>
        <v>ACTUATOR SUPPORT</v>
      </c>
      <c r="F278" t="s">
        <v>349</v>
      </c>
      <c r="G278" s="110" t="str">
        <f>RIGHT(H278,9)</f>
        <v>012639844</v>
      </c>
      <c r="H278" t="s">
        <v>354</v>
      </c>
      <c r="I278" s="96">
        <f>Table__10.2.1.2_1_4AHB_v_gen_TBO[[#This Row],[REALDUE]]-Table__10.2.1.2_1_4AHB_v_gen_TBO[[#This Row],[EI_BEG_AGE]]</f>
        <v>6863.3</v>
      </c>
      <c r="J278" s="96">
        <v>5314.7</v>
      </c>
      <c r="K278" s="110" t="str">
        <f>IF(Table__10.2.1.2_1_4AHB_v_gen_TBO[[#This Row],[NO_OVHLS]]="RC","RC","LC")</f>
        <v>RC</v>
      </c>
      <c r="L278" t="s">
        <v>405</v>
      </c>
      <c r="M278" t="s">
        <v>1011</v>
      </c>
      <c r="N278" t="b">
        <v>0</v>
      </c>
    </row>
    <row r="279" spans="2:14">
      <c r="B279" t="s">
        <v>753</v>
      </c>
      <c r="C279" s="110" t="str">
        <f>RIGHT(B279,3)</f>
        <v>141</v>
      </c>
      <c r="D279" t="s">
        <v>414</v>
      </c>
      <c r="E279" s="110" t="str">
        <f>LEFT(F279,22)</f>
        <v>FRAME FS 230</v>
      </c>
      <c r="F279" t="s">
        <v>126</v>
      </c>
      <c r="G279" s="110" t="str">
        <f>RIGHT(H279,9)</f>
        <v>N PENDING</v>
      </c>
      <c r="H279" t="s">
        <v>106</v>
      </c>
      <c r="I279" s="110">
        <f>Table__10.2.1.2_1_4AHB_v_gen_TBO[[#This Row],[REALDUE]]-Table__10.2.1.2_1_4AHB_v_gen_TBO[[#This Row],[EI_BEG_AGE]]</f>
        <v>7085.5</v>
      </c>
      <c r="J279">
        <v>4733.5</v>
      </c>
      <c r="K279" s="110" t="str">
        <f>IF(Table__10.2.1.2_1_4AHB_v_gen_TBO[[#This Row],[NO_OVHLS]]="RC","RC","LC")</f>
        <v>RC</v>
      </c>
      <c r="L279" t="s">
        <v>405</v>
      </c>
      <c r="M279" t="s">
        <v>127</v>
      </c>
      <c r="N279" t="b">
        <v>0</v>
      </c>
    </row>
    <row r="280" spans="2:14">
      <c r="B280" t="s">
        <v>753</v>
      </c>
      <c r="C280" s="110" t="str">
        <f>RIGHT(B280,3)</f>
        <v>141</v>
      </c>
      <c r="D280" t="s">
        <v>437</v>
      </c>
      <c r="E280" s="110" t="str">
        <f>LEFT(F280,22)</f>
        <v>LEAD LAG LINK ASSY</v>
      </c>
      <c r="F280" t="s">
        <v>156</v>
      </c>
      <c r="G280" s="110" t="str">
        <f>RIGHT(H280,9)</f>
        <v>013521531</v>
      </c>
      <c r="H280" t="s">
        <v>157</v>
      </c>
      <c r="I280" s="110">
        <f>Table__10.2.1.2_1_4AHB_v_gen_TBO[[#This Row],[REALDUE]]-Table__10.2.1.2_1_4AHB_v_gen_TBO[[#This Row],[EI_BEG_AGE]]</f>
        <v>7188.5</v>
      </c>
      <c r="J280">
        <v>4733.5</v>
      </c>
      <c r="K280" s="110" t="str">
        <f>IF(Table__10.2.1.2_1_4AHB_v_gen_TBO[[#This Row],[NO_OVHLS]]="RC","RC","LC")</f>
        <v>RC</v>
      </c>
      <c r="L280" t="s">
        <v>405</v>
      </c>
      <c r="M280" t="s">
        <v>963</v>
      </c>
      <c r="N280" t="b">
        <v>0</v>
      </c>
    </row>
    <row r="281" spans="2:14">
      <c r="B281" t="s">
        <v>749</v>
      </c>
      <c r="C281" s="110" t="str">
        <f>RIGHT(B281,3)</f>
        <v>187</v>
      </c>
      <c r="D281" t="s">
        <v>471</v>
      </c>
      <c r="E281" s="110" t="str">
        <f>LEFT(F281,22)</f>
        <v>TAIL ROTOR STRAP ASSY</v>
      </c>
      <c r="F281" t="s">
        <v>222</v>
      </c>
      <c r="G281" s="110" t="str">
        <f>RIGHT(H281,9)</f>
        <v>011724974</v>
      </c>
      <c r="H281" t="s">
        <v>223</v>
      </c>
      <c r="I281" s="110">
        <f>Table__10.2.1.2_1_4AHB_v_gen_TBO[[#This Row],[REALDUE]]-Table__10.2.1.2_1_4AHB_v_gen_TBO[[#This Row],[EI_BEG_AGE]]</f>
        <v>7245.3</v>
      </c>
      <c r="J281">
        <v>5314.7</v>
      </c>
      <c r="K281" s="110" t="str">
        <f>IF(Table__10.2.1.2_1_4AHB_v_gen_TBO[[#This Row],[NO_OVHLS]]="RC","RC","LC")</f>
        <v>RC</v>
      </c>
      <c r="L281" t="s">
        <v>405</v>
      </c>
      <c r="M281" t="s">
        <v>638</v>
      </c>
      <c r="N281" t="b">
        <v>0</v>
      </c>
    </row>
    <row r="282" spans="2:14">
      <c r="B282" t="s">
        <v>749</v>
      </c>
      <c r="C282" s="110" t="str">
        <f>RIGHT(B282,3)</f>
        <v>187</v>
      </c>
      <c r="D282" t="s">
        <v>471</v>
      </c>
      <c r="E282" s="110" t="str">
        <f>LEFT(F282,22)</f>
        <v>TAIL ROTOR STRAP ASSY</v>
      </c>
      <c r="F282" t="s">
        <v>222</v>
      </c>
      <c r="G282" s="110" t="str">
        <f>RIGHT(H282,9)</f>
        <v>011724974</v>
      </c>
      <c r="H282" t="s">
        <v>223</v>
      </c>
      <c r="I282" s="110">
        <f>Table__10.2.1.2_1_4AHB_v_gen_TBO[[#This Row],[REALDUE]]-Table__10.2.1.2_1_4AHB_v_gen_TBO[[#This Row],[EI_BEG_AGE]]</f>
        <v>7245.3</v>
      </c>
      <c r="J282">
        <v>5314.7</v>
      </c>
      <c r="K282" s="110" t="str">
        <f>IF(Table__10.2.1.2_1_4AHB_v_gen_TBO[[#This Row],[NO_OVHLS]]="RC","RC","LC")</f>
        <v>RC</v>
      </c>
      <c r="L282" t="s">
        <v>405</v>
      </c>
      <c r="M282" t="s">
        <v>638</v>
      </c>
      <c r="N282" t="b">
        <v>0</v>
      </c>
    </row>
    <row r="283" spans="2:14">
      <c r="B283" t="s">
        <v>753</v>
      </c>
      <c r="C283" s="110" t="str">
        <f>RIGHT(B283,3)</f>
        <v>141</v>
      </c>
      <c r="D283" t="s">
        <v>416</v>
      </c>
      <c r="E283" s="110" t="str">
        <f>LEFT(F283,22)</f>
        <v>STABILATOR ASSY</v>
      </c>
      <c r="F283" t="s">
        <v>128</v>
      </c>
      <c r="G283" s="110" t="str">
        <f>RIGHT(H283,9)</f>
        <v>N PENDING</v>
      </c>
      <c r="H283" t="s">
        <v>106</v>
      </c>
      <c r="I283" s="110">
        <f>Table__10.2.1.2_1_4AHB_v_gen_TBO[[#This Row],[REALDUE]]-Table__10.2.1.2_1_4AHB_v_gen_TBO[[#This Row],[EI_BEG_AGE]]</f>
        <v>7500.5</v>
      </c>
      <c r="J283">
        <v>4733.5</v>
      </c>
      <c r="K283" s="110" t="str">
        <f>IF(Table__10.2.1.2_1_4AHB_v_gen_TBO[[#This Row],[NO_OVHLS]]="RC","RC","LC")</f>
        <v>RC</v>
      </c>
      <c r="L283" t="s">
        <v>405</v>
      </c>
      <c r="M283" t="s">
        <v>1018</v>
      </c>
      <c r="N283" t="b">
        <v>0</v>
      </c>
    </row>
    <row r="284" spans="2:14">
      <c r="B284" t="s">
        <v>751</v>
      </c>
      <c r="C284" s="110" t="str">
        <f>RIGHT(B284,3)</f>
        <v>119</v>
      </c>
      <c r="D284" t="s">
        <v>549</v>
      </c>
      <c r="E284" s="110" t="str">
        <f>LEFT(F284,22)</f>
        <v>ROD END BEARING</v>
      </c>
      <c r="F284" t="s">
        <v>341</v>
      </c>
      <c r="G284" s="110" t="str">
        <f>RIGHT(H284,9)</f>
        <v>012700706</v>
      </c>
      <c r="H284" t="s">
        <v>342</v>
      </c>
      <c r="I284" s="110">
        <f>Table__10.2.1.2_1_4AHB_v_gen_TBO[[#This Row],[REALDUE]]-Table__10.2.1.2_1_4AHB_v_gen_TBO[[#This Row],[EI_BEG_AGE]]</f>
        <v>7549.1</v>
      </c>
      <c r="J284">
        <v>3973.9</v>
      </c>
      <c r="K284" s="110" t="str">
        <f>IF(Table__10.2.1.2_1_4AHB_v_gen_TBO[[#This Row],[NO_OVHLS]]="RC","RC","LC")</f>
        <v>RC</v>
      </c>
      <c r="L284" t="s">
        <v>405</v>
      </c>
      <c r="M284" t="s">
        <v>608</v>
      </c>
      <c r="N284" t="b">
        <v>0</v>
      </c>
    </row>
    <row r="285" spans="2:14">
      <c r="B285" t="s">
        <v>749</v>
      </c>
      <c r="C285" s="110" t="str">
        <f>RIGHT(B285,3)</f>
        <v>187</v>
      </c>
      <c r="D285" t="s">
        <v>437</v>
      </c>
      <c r="E285" s="110" t="str">
        <f>LEFT(F285,22)</f>
        <v>LEAD LAG LINK ASSY</v>
      </c>
      <c r="F285" t="s">
        <v>156</v>
      </c>
      <c r="G285" s="110" t="str">
        <f>RIGHT(H285,9)</f>
        <v>013521531</v>
      </c>
      <c r="H285" t="s">
        <v>157</v>
      </c>
      <c r="I285" s="110">
        <f>Table__10.2.1.2_1_4AHB_v_gen_TBO[[#This Row],[REALDUE]]-Table__10.2.1.2_1_4AHB_v_gen_TBO[[#This Row],[EI_BEG_AGE]]</f>
        <v>7569.3</v>
      </c>
      <c r="J285">
        <v>5314.7</v>
      </c>
      <c r="K285" s="110" t="str">
        <f>IF(Table__10.2.1.2_1_4AHB_v_gen_TBO[[#This Row],[NO_OVHLS]]="RC","RC","LC")</f>
        <v>RC</v>
      </c>
      <c r="L285" t="s">
        <v>405</v>
      </c>
      <c r="M285" t="s">
        <v>882</v>
      </c>
      <c r="N285" t="b">
        <v>0</v>
      </c>
    </row>
    <row r="286" spans="2:14">
      <c r="B286" t="s">
        <v>753</v>
      </c>
      <c r="C286" s="110" t="str">
        <f>RIGHT(B286,3)</f>
        <v>141</v>
      </c>
      <c r="D286" t="s">
        <v>437</v>
      </c>
      <c r="E286" s="110" t="str">
        <f>LEFT(F286,22)</f>
        <v>LEAD LAG LINK ASSY</v>
      </c>
      <c r="F286" t="s">
        <v>156</v>
      </c>
      <c r="G286" s="110" t="str">
        <f>RIGHT(H286,9)</f>
        <v>013521531</v>
      </c>
      <c r="H286" t="s">
        <v>157</v>
      </c>
      <c r="I286" s="110">
        <f>Table__10.2.1.2_1_4AHB_v_gen_TBO[[#This Row],[REALDUE]]-Table__10.2.1.2_1_4AHB_v_gen_TBO[[#This Row],[EI_BEG_AGE]]</f>
        <v>7690.5</v>
      </c>
      <c r="J286">
        <v>4733.5</v>
      </c>
      <c r="K286" s="110" t="str">
        <f>IF(Table__10.2.1.2_1_4AHB_v_gen_TBO[[#This Row],[NO_OVHLS]]="RC","RC","LC")</f>
        <v>RC</v>
      </c>
      <c r="L286" t="s">
        <v>405</v>
      </c>
      <c r="M286" t="s">
        <v>960</v>
      </c>
      <c r="N286" t="b">
        <v>0</v>
      </c>
    </row>
    <row r="287" spans="2:14">
      <c r="B287" t="s">
        <v>753</v>
      </c>
      <c r="C287" s="110" t="str">
        <f>RIGHT(B287,3)</f>
        <v>141</v>
      </c>
      <c r="D287" t="s">
        <v>473</v>
      </c>
      <c r="E287" s="110" t="str">
        <f>LEFT(F287,22)</f>
        <v>BOLT</v>
      </c>
      <c r="F287" t="s">
        <v>225</v>
      </c>
      <c r="G287" s="110" t="str">
        <f>RIGHT(H287,9)</f>
        <v>011775717</v>
      </c>
      <c r="H287" t="s">
        <v>226</v>
      </c>
      <c r="I287" s="110">
        <f>Table__10.2.1.2_1_4AHB_v_gen_TBO[[#This Row],[REALDUE]]-Table__10.2.1.2_1_4AHB_v_gen_TBO[[#This Row],[EI_BEG_AGE]]</f>
        <v>7839.5</v>
      </c>
      <c r="J287">
        <v>4733.5</v>
      </c>
      <c r="K287" s="110" t="str">
        <f>IF(Table__10.2.1.2_1_4AHB_v_gen_TBO[[#This Row],[NO_OVHLS]]="RC","RC","LC")</f>
        <v>RC</v>
      </c>
      <c r="L287" t="s">
        <v>405</v>
      </c>
      <c r="M287" t="s">
        <v>602</v>
      </c>
      <c r="N287" t="b">
        <v>0</v>
      </c>
    </row>
    <row r="288" spans="2:14">
      <c r="B288" t="s">
        <v>751</v>
      </c>
      <c r="C288" s="110" t="str">
        <f>RIGHT(B288,3)</f>
        <v>119</v>
      </c>
      <c r="D288" t="s">
        <v>414</v>
      </c>
      <c r="E288" s="110" t="str">
        <f>LEFT(F288,22)</f>
        <v>FRAME FS 230</v>
      </c>
      <c r="F288" t="s">
        <v>126</v>
      </c>
      <c r="G288" s="110" t="str">
        <f>RIGHT(H288,9)</f>
        <v>N PENDING</v>
      </c>
      <c r="H288" t="s">
        <v>106</v>
      </c>
      <c r="I288" s="110">
        <f>Table__10.2.1.2_1_4AHB_v_gen_TBO[[#This Row],[REALDUE]]-Table__10.2.1.2_1_4AHB_v_gen_TBO[[#This Row],[EI_BEG_AGE]]</f>
        <v>7845.1</v>
      </c>
      <c r="J288">
        <v>3973.9</v>
      </c>
      <c r="K288" s="110" t="str">
        <f>IF(Table__10.2.1.2_1_4AHB_v_gen_TBO[[#This Row],[NO_OVHLS]]="RC","RC","LC")</f>
        <v>RC</v>
      </c>
      <c r="L288" t="s">
        <v>405</v>
      </c>
      <c r="M288" t="s">
        <v>127</v>
      </c>
      <c r="N288" t="b">
        <v>0</v>
      </c>
    </row>
    <row r="289" spans="2:14">
      <c r="B289" t="s">
        <v>753</v>
      </c>
      <c r="C289" s="110" t="str">
        <f>RIGHT(B289,3)</f>
        <v>141</v>
      </c>
      <c r="D289" t="s">
        <v>408</v>
      </c>
      <c r="E289" s="110" t="str">
        <f>LEFT(F289,22)</f>
        <v>STRUT FWD CENTER LH</v>
      </c>
      <c r="F289" t="s">
        <v>113</v>
      </c>
      <c r="G289" s="110" t="str">
        <f>RIGHT(H289,9)</f>
        <v>011643791</v>
      </c>
      <c r="H289" t="s">
        <v>114</v>
      </c>
      <c r="I289" s="110">
        <f>Table__10.2.1.2_1_4AHB_v_gen_TBO[[#This Row],[REALDUE]]-Table__10.2.1.2_1_4AHB_v_gen_TBO[[#This Row],[EI_BEG_AGE]]</f>
        <v>7953.5</v>
      </c>
      <c r="J289">
        <v>4733.5</v>
      </c>
      <c r="K289" s="110" t="str">
        <f>IF(Table__10.2.1.2_1_4AHB_v_gen_TBO[[#This Row],[NO_OVHLS]]="RC","RC","LC")</f>
        <v>RC</v>
      </c>
      <c r="L289" t="s">
        <v>405</v>
      </c>
      <c r="M289" t="s">
        <v>908</v>
      </c>
      <c r="N289" t="b">
        <v>0</v>
      </c>
    </row>
    <row r="290" spans="2:14">
      <c r="B290" t="s">
        <v>749</v>
      </c>
      <c r="C290" s="110" t="str">
        <f>RIGHT(B290,3)</f>
        <v>187</v>
      </c>
      <c r="D290" t="s">
        <v>563</v>
      </c>
      <c r="E290" s="110" t="str">
        <f>LEFT(F290,22)</f>
        <v>BOLT, LATERAL BELLCRAN</v>
      </c>
      <c r="F290" t="s">
        <v>361</v>
      </c>
      <c r="G290" s="110" t="str">
        <f>RIGHT(H290,9)</f>
        <v>011728682</v>
      </c>
      <c r="H290" t="s">
        <v>362</v>
      </c>
      <c r="I290" s="110">
        <f>Table__10.2.1.2_1_4AHB_v_gen_TBO[[#This Row],[REALDUE]]-Table__10.2.1.2_1_4AHB_v_gen_TBO[[#This Row],[EI_BEG_AGE]]</f>
        <v>7961.3</v>
      </c>
      <c r="J290">
        <v>5314.7</v>
      </c>
      <c r="K290" s="110" t="str">
        <f>IF(Table__10.2.1.2_1_4AHB_v_gen_TBO[[#This Row],[NO_OVHLS]]="RC","RC","LC")</f>
        <v>RC</v>
      </c>
      <c r="L290" t="s">
        <v>405</v>
      </c>
      <c r="M290" t="s">
        <v>886</v>
      </c>
      <c r="N290" t="b">
        <v>0</v>
      </c>
    </row>
    <row r="291" spans="2:14">
      <c r="B291" t="s">
        <v>753</v>
      </c>
      <c r="C291" s="110" t="str">
        <f>RIGHT(B291,3)</f>
        <v>141</v>
      </c>
      <c r="D291" t="s">
        <v>613</v>
      </c>
      <c r="E291" s="110" t="str">
        <f>LEFT(F291,22)</f>
        <v>BOLT</v>
      </c>
      <c r="F291" t="s">
        <v>225</v>
      </c>
      <c r="G291" s="110" t="str">
        <f>RIGHT(H291,9)</f>
        <v>011775717</v>
      </c>
      <c r="H291" t="s">
        <v>226</v>
      </c>
      <c r="I291" s="110">
        <f>Table__10.2.1.2_1_4AHB_v_gen_TBO[[#This Row],[REALDUE]]-Table__10.2.1.2_1_4AHB_v_gen_TBO[[#This Row],[EI_BEG_AGE]]</f>
        <v>8000.5</v>
      </c>
      <c r="J291">
        <v>4733.5</v>
      </c>
      <c r="K291" s="110" t="str">
        <f>IF(Table__10.2.1.2_1_4AHB_v_gen_TBO[[#This Row],[NO_OVHLS]]="RC","RC","LC")</f>
        <v>RC</v>
      </c>
      <c r="L291" t="s">
        <v>405</v>
      </c>
      <c r="M291" t="s">
        <v>647</v>
      </c>
      <c r="N291" t="b">
        <v>0</v>
      </c>
    </row>
    <row r="292" spans="2:14">
      <c r="B292" t="s">
        <v>751</v>
      </c>
      <c r="C292" s="110" t="str">
        <f>RIGHT(B292,3)</f>
        <v>119</v>
      </c>
      <c r="D292" t="s">
        <v>437</v>
      </c>
      <c r="E292" s="110" t="str">
        <f>LEFT(F292,22)</f>
        <v>LEAD LAG LINK ASSY</v>
      </c>
      <c r="F292" t="s">
        <v>156</v>
      </c>
      <c r="G292" s="110" t="str">
        <f>RIGHT(H292,9)</f>
        <v>013521531</v>
      </c>
      <c r="H292" t="s">
        <v>157</v>
      </c>
      <c r="I292" s="110">
        <f>Table__10.2.1.2_1_4AHB_v_gen_TBO[[#This Row],[REALDUE]]-Table__10.2.1.2_1_4AHB_v_gen_TBO[[#This Row],[EI_BEG_AGE]]</f>
        <v>8151.1</v>
      </c>
      <c r="J292">
        <v>3973.9</v>
      </c>
      <c r="K292" s="110" t="str">
        <f>IF(Table__10.2.1.2_1_4AHB_v_gen_TBO[[#This Row],[NO_OVHLS]]="RC","RC","LC")</f>
        <v>RC</v>
      </c>
      <c r="L292" t="s">
        <v>405</v>
      </c>
      <c r="M292" t="s">
        <v>959</v>
      </c>
      <c r="N292" t="b">
        <v>0</v>
      </c>
    </row>
    <row r="293" spans="2:14">
      <c r="B293" t="s">
        <v>749</v>
      </c>
      <c r="C293" s="110" t="str">
        <f>RIGHT(B293,3)</f>
        <v>187</v>
      </c>
      <c r="D293" t="s">
        <v>437</v>
      </c>
      <c r="E293" s="110" t="str">
        <f>LEFT(F293,22)</f>
        <v>LEAD LAG LINK ASSY</v>
      </c>
      <c r="F293" t="s">
        <v>156</v>
      </c>
      <c r="G293" s="110" t="str">
        <f>RIGHT(H293,9)</f>
        <v>013521531</v>
      </c>
      <c r="H293" t="s">
        <v>157</v>
      </c>
      <c r="I293" s="110">
        <f>Table__10.2.1.2_1_4AHB_v_gen_TBO[[#This Row],[REALDUE]]-Table__10.2.1.2_1_4AHB_v_gen_TBO[[#This Row],[EI_BEG_AGE]]</f>
        <v>8233.2999999999993</v>
      </c>
      <c r="J293">
        <v>5314.7</v>
      </c>
      <c r="K293" s="110" t="str">
        <f>IF(Table__10.2.1.2_1_4AHB_v_gen_TBO[[#This Row],[NO_OVHLS]]="RC","RC","LC")</f>
        <v>RC</v>
      </c>
      <c r="L293" t="s">
        <v>405</v>
      </c>
      <c r="M293" t="s">
        <v>964</v>
      </c>
      <c r="N293" t="b">
        <v>0</v>
      </c>
    </row>
    <row r="294" spans="2:14">
      <c r="B294" t="s">
        <v>751</v>
      </c>
      <c r="C294" s="110" t="str">
        <f>RIGHT(B294,3)</f>
        <v>119</v>
      </c>
      <c r="D294" t="s">
        <v>549</v>
      </c>
      <c r="E294" s="110" t="str">
        <f>LEFT(F294,22)</f>
        <v>ROD END BEARING</v>
      </c>
      <c r="F294" t="s">
        <v>341</v>
      </c>
      <c r="G294" s="110" t="str">
        <f>RIGHT(H294,9)</f>
        <v>012700706</v>
      </c>
      <c r="H294" t="s">
        <v>342</v>
      </c>
      <c r="I294" s="96">
        <f>Table__10.2.1.2_1_4AHB_v_gen_TBO[[#This Row],[REALDUE]]-Table__10.2.1.2_1_4AHB_v_gen_TBO[[#This Row],[EI_BEG_AGE]]</f>
        <v>8268.1</v>
      </c>
      <c r="J294" s="96">
        <v>3973.9</v>
      </c>
      <c r="K294" s="110" t="str">
        <f>IF(Table__10.2.1.2_1_4AHB_v_gen_TBO[[#This Row],[NO_OVHLS]]="RC","RC","LC")</f>
        <v>RC</v>
      </c>
      <c r="L294" t="s">
        <v>405</v>
      </c>
      <c r="M294" t="s">
        <v>840</v>
      </c>
      <c r="N294" t="b">
        <v>0</v>
      </c>
    </row>
    <row r="295" spans="2:14">
      <c r="B295" t="s">
        <v>753</v>
      </c>
      <c r="C295" s="110" t="str">
        <f>RIGHT(B295,3)</f>
        <v>141</v>
      </c>
      <c r="D295" t="s">
        <v>437</v>
      </c>
      <c r="E295" s="110" t="str">
        <f>LEFT(F295,22)</f>
        <v>LEAD LAG LINK ASSY</v>
      </c>
      <c r="F295" t="s">
        <v>156</v>
      </c>
      <c r="G295" s="110" t="str">
        <f>RIGHT(H295,9)</f>
        <v>013521531</v>
      </c>
      <c r="H295" t="s">
        <v>157</v>
      </c>
      <c r="I295" s="96">
        <f>Table__10.2.1.2_1_4AHB_v_gen_TBO[[#This Row],[REALDUE]]-Table__10.2.1.2_1_4AHB_v_gen_TBO[[#This Row],[EI_BEG_AGE]]</f>
        <v>8369.5</v>
      </c>
      <c r="J295" s="96">
        <v>4733.5</v>
      </c>
      <c r="K295" s="110" t="str">
        <f>IF(Table__10.2.1.2_1_4AHB_v_gen_TBO[[#This Row],[NO_OVHLS]]="RC","RC","LC")</f>
        <v>RC</v>
      </c>
      <c r="L295" t="s">
        <v>405</v>
      </c>
      <c r="M295" t="s">
        <v>961</v>
      </c>
      <c r="N295" t="b">
        <v>0</v>
      </c>
    </row>
    <row r="296" spans="2:14">
      <c r="B296" t="s">
        <v>749</v>
      </c>
      <c r="C296" s="110" t="str">
        <f>RIGHT(B296,3)</f>
        <v>187</v>
      </c>
      <c r="D296" t="s">
        <v>613</v>
      </c>
      <c r="E296" s="110" t="str">
        <f>LEFT(F296,22)</f>
        <v>BOLT</v>
      </c>
      <c r="F296" t="s">
        <v>225</v>
      </c>
      <c r="G296" s="110" t="str">
        <f>RIGHT(H296,9)</f>
        <v>011775717</v>
      </c>
      <c r="H296" t="s">
        <v>226</v>
      </c>
      <c r="I296" s="96">
        <f>Table__10.2.1.2_1_4AHB_v_gen_TBO[[#This Row],[REALDUE]]-Table__10.2.1.2_1_4AHB_v_gen_TBO[[#This Row],[EI_BEG_AGE]]</f>
        <v>8402.2999999999993</v>
      </c>
      <c r="J296" s="96">
        <v>5314.7</v>
      </c>
      <c r="K296" s="110" t="str">
        <f>IF(Table__10.2.1.2_1_4AHB_v_gen_TBO[[#This Row],[NO_OVHLS]]="RC","RC","LC")</f>
        <v>RC</v>
      </c>
      <c r="L296" t="s">
        <v>405</v>
      </c>
      <c r="M296" t="s">
        <v>1035</v>
      </c>
      <c r="N296" t="b">
        <v>0</v>
      </c>
    </row>
    <row r="297" spans="2:14">
      <c r="B297" t="s">
        <v>749</v>
      </c>
      <c r="C297" s="110" t="str">
        <f>RIGHT(B297,3)</f>
        <v>187</v>
      </c>
      <c r="D297" t="s">
        <v>613</v>
      </c>
      <c r="E297" s="110" t="str">
        <f>LEFT(F297,22)</f>
        <v>BOLT</v>
      </c>
      <c r="F297" t="s">
        <v>225</v>
      </c>
      <c r="G297" s="110" t="str">
        <f>RIGHT(H297,9)</f>
        <v>011775717</v>
      </c>
      <c r="H297" t="s">
        <v>226</v>
      </c>
      <c r="I297" s="110">
        <f>Table__10.2.1.2_1_4AHB_v_gen_TBO[[#This Row],[REALDUE]]-Table__10.2.1.2_1_4AHB_v_gen_TBO[[#This Row],[EI_BEG_AGE]]</f>
        <v>8402.2999999999993</v>
      </c>
      <c r="J297">
        <v>5314.7</v>
      </c>
      <c r="K297" s="110" t="str">
        <f>IF(Table__10.2.1.2_1_4AHB_v_gen_TBO[[#This Row],[NO_OVHLS]]="RC","RC","LC")</f>
        <v>RC</v>
      </c>
      <c r="L297" t="s">
        <v>405</v>
      </c>
      <c r="M297" t="s">
        <v>1035</v>
      </c>
      <c r="N297" t="b">
        <v>0</v>
      </c>
    </row>
    <row r="298" spans="2:14">
      <c r="B298" t="s">
        <v>749</v>
      </c>
      <c r="C298" s="110" t="str">
        <f>RIGHT(B298,3)</f>
        <v>187</v>
      </c>
      <c r="D298" t="s">
        <v>613</v>
      </c>
      <c r="E298" s="110" t="str">
        <f>LEFT(F298,22)</f>
        <v>BOLT</v>
      </c>
      <c r="F298" t="s">
        <v>225</v>
      </c>
      <c r="G298" s="110" t="str">
        <f>RIGHT(H298,9)</f>
        <v>011775717</v>
      </c>
      <c r="H298" t="s">
        <v>226</v>
      </c>
      <c r="I298" s="110">
        <f>Table__10.2.1.2_1_4AHB_v_gen_TBO[[#This Row],[REALDUE]]-Table__10.2.1.2_1_4AHB_v_gen_TBO[[#This Row],[EI_BEG_AGE]]</f>
        <v>8402.2999999999993</v>
      </c>
      <c r="J298">
        <v>5314.7</v>
      </c>
      <c r="K298" s="110" t="str">
        <f>IF(Table__10.2.1.2_1_4AHB_v_gen_TBO[[#This Row],[NO_OVHLS]]="RC","RC","LC")</f>
        <v>RC</v>
      </c>
      <c r="L298" t="s">
        <v>405</v>
      </c>
      <c r="M298" t="s">
        <v>1035</v>
      </c>
      <c r="N298" t="b">
        <v>0</v>
      </c>
    </row>
    <row r="299" spans="2:14">
      <c r="B299" t="s">
        <v>749</v>
      </c>
      <c r="C299" s="110" t="str">
        <f>RIGHT(B299,3)</f>
        <v>187</v>
      </c>
      <c r="D299" t="s">
        <v>613</v>
      </c>
      <c r="E299" s="110" t="str">
        <f>LEFT(F299,22)</f>
        <v>BOLT</v>
      </c>
      <c r="F299" t="s">
        <v>225</v>
      </c>
      <c r="G299" s="110" t="str">
        <f>RIGHT(H299,9)</f>
        <v>011775717</v>
      </c>
      <c r="H299" t="s">
        <v>226</v>
      </c>
      <c r="I299" s="110">
        <f>Table__10.2.1.2_1_4AHB_v_gen_TBO[[#This Row],[REALDUE]]-Table__10.2.1.2_1_4AHB_v_gen_TBO[[#This Row],[EI_BEG_AGE]]</f>
        <v>8402.2999999999993</v>
      </c>
      <c r="J299">
        <v>5314.7</v>
      </c>
      <c r="K299" s="110" t="str">
        <f>IF(Table__10.2.1.2_1_4AHB_v_gen_TBO[[#This Row],[NO_OVHLS]]="RC","RC","LC")</f>
        <v>RC</v>
      </c>
      <c r="L299" t="s">
        <v>405</v>
      </c>
      <c r="M299" t="s">
        <v>1035</v>
      </c>
      <c r="N299" t="b">
        <v>0</v>
      </c>
    </row>
    <row r="300" spans="2:14">
      <c r="B300" t="s">
        <v>751</v>
      </c>
      <c r="C300" s="110" t="str">
        <f>RIGHT(B300,3)</f>
        <v>119</v>
      </c>
      <c r="D300" t="s">
        <v>455</v>
      </c>
      <c r="E300" s="110" t="str">
        <f>LEFT(F300,22)</f>
        <v>NON ROTATING SWASHPLAT</v>
      </c>
      <c r="F300" t="s">
        <v>197</v>
      </c>
      <c r="G300" s="110" t="str">
        <f>RIGHT(H300,9)</f>
        <v>012244848</v>
      </c>
      <c r="H300" t="s">
        <v>198</v>
      </c>
      <c r="I300" s="110">
        <f>Table__10.2.1.2_1_4AHB_v_gen_TBO[[#This Row],[REALDUE]]-Table__10.2.1.2_1_4AHB_v_gen_TBO[[#This Row],[EI_BEG_AGE]]</f>
        <v>8461.1</v>
      </c>
      <c r="J300">
        <v>3973.9</v>
      </c>
      <c r="K300" s="110" t="str">
        <f>IF(Table__10.2.1.2_1_4AHB_v_gen_TBO[[#This Row],[NO_OVHLS]]="RC","RC","LC")</f>
        <v>RC</v>
      </c>
      <c r="L300" t="s">
        <v>405</v>
      </c>
      <c r="M300" t="s">
        <v>1006</v>
      </c>
      <c r="N300" t="b">
        <v>0</v>
      </c>
    </row>
    <row r="301" spans="2:14">
      <c r="B301" t="s">
        <v>749</v>
      </c>
      <c r="C301" s="110" t="str">
        <f>RIGHT(B301,3)</f>
        <v>187</v>
      </c>
      <c r="D301" t="s">
        <v>549</v>
      </c>
      <c r="E301" s="110" t="str">
        <f>LEFT(F301,22)</f>
        <v>ROD END BEARING</v>
      </c>
      <c r="F301" t="s">
        <v>341</v>
      </c>
      <c r="G301" s="110" t="str">
        <f>RIGHT(H301,9)</f>
        <v>012700706</v>
      </c>
      <c r="H301" t="s">
        <v>342</v>
      </c>
      <c r="I301" s="110">
        <f>Table__10.2.1.2_1_4AHB_v_gen_TBO[[#This Row],[REALDUE]]-Table__10.2.1.2_1_4AHB_v_gen_TBO[[#This Row],[EI_BEG_AGE]]</f>
        <v>8621.2999999999993</v>
      </c>
      <c r="J301">
        <v>5314.7</v>
      </c>
      <c r="K301" s="110" t="str">
        <f>IF(Table__10.2.1.2_1_4AHB_v_gen_TBO[[#This Row],[NO_OVHLS]]="RC","RC","LC")</f>
        <v>RC</v>
      </c>
      <c r="L301" t="s">
        <v>405</v>
      </c>
      <c r="M301" t="s">
        <v>843</v>
      </c>
      <c r="N301" t="b">
        <v>0</v>
      </c>
    </row>
    <row r="302" spans="2:14">
      <c r="B302" t="s">
        <v>751</v>
      </c>
      <c r="C302" s="110" t="str">
        <f>RIGHT(B302,3)</f>
        <v>119</v>
      </c>
      <c r="D302" t="s">
        <v>471</v>
      </c>
      <c r="E302" s="110" t="str">
        <f>LEFT(F302,22)</f>
        <v>TAIL ROTOR STRAP ASSY</v>
      </c>
      <c r="F302" t="s">
        <v>222</v>
      </c>
      <c r="G302" s="110" t="str">
        <f>RIGHT(H302,9)</f>
        <v>011724974</v>
      </c>
      <c r="H302" t="s">
        <v>223</v>
      </c>
      <c r="I302" s="110">
        <f>Table__10.2.1.2_1_4AHB_v_gen_TBO[[#This Row],[REALDUE]]-Table__10.2.1.2_1_4AHB_v_gen_TBO[[#This Row],[EI_BEG_AGE]]</f>
        <v>8672.1</v>
      </c>
      <c r="J302">
        <v>3973.9</v>
      </c>
      <c r="K302" s="110" t="str">
        <f>IF(Table__10.2.1.2_1_4AHB_v_gen_TBO[[#This Row],[NO_OVHLS]]="RC","RC","LC")</f>
        <v>RC</v>
      </c>
      <c r="L302" t="s">
        <v>405</v>
      </c>
      <c r="M302" t="s">
        <v>879</v>
      </c>
      <c r="N302" t="b">
        <v>0</v>
      </c>
    </row>
    <row r="303" spans="2:14">
      <c r="B303" t="s">
        <v>751</v>
      </c>
      <c r="C303" s="110" t="str">
        <f>RIGHT(B303,3)</f>
        <v>119</v>
      </c>
      <c r="D303" t="s">
        <v>471</v>
      </c>
      <c r="E303" s="110" t="str">
        <f>LEFT(F303,22)</f>
        <v>TAIL ROTOR STRAP ASSY</v>
      </c>
      <c r="F303" t="s">
        <v>222</v>
      </c>
      <c r="G303" s="110" t="str">
        <f>RIGHT(H303,9)</f>
        <v>011724974</v>
      </c>
      <c r="H303" t="s">
        <v>223</v>
      </c>
      <c r="I303" s="110">
        <f>Table__10.2.1.2_1_4AHB_v_gen_TBO[[#This Row],[REALDUE]]-Table__10.2.1.2_1_4AHB_v_gen_TBO[[#This Row],[EI_BEG_AGE]]</f>
        <v>8672.1</v>
      </c>
      <c r="J303">
        <v>3973.9</v>
      </c>
      <c r="K303" s="110" t="str">
        <f>IF(Table__10.2.1.2_1_4AHB_v_gen_TBO[[#This Row],[NO_OVHLS]]="RC","RC","LC")</f>
        <v>RC</v>
      </c>
      <c r="L303" t="s">
        <v>405</v>
      </c>
      <c r="M303" t="s">
        <v>879</v>
      </c>
      <c r="N303" t="b">
        <v>0</v>
      </c>
    </row>
    <row r="304" spans="2:14">
      <c r="B304" t="s">
        <v>751</v>
      </c>
      <c r="C304" s="110" t="str">
        <f>RIGHT(B304,3)</f>
        <v>119</v>
      </c>
      <c r="D304" t="s">
        <v>613</v>
      </c>
      <c r="E304" s="110" t="str">
        <f>LEFT(F304,22)</f>
        <v>TR BLADE RET BOLT</v>
      </c>
      <c r="F304" t="s">
        <v>1036</v>
      </c>
      <c r="G304" s="110" t="str">
        <f>RIGHT(H304,9)</f>
        <v>014636168</v>
      </c>
      <c r="H304" t="s">
        <v>614</v>
      </c>
      <c r="I304" s="110">
        <f>Table__10.2.1.2_1_4AHB_v_gen_TBO[[#This Row],[REALDUE]]-Table__10.2.1.2_1_4AHB_v_gen_TBO[[#This Row],[EI_BEG_AGE]]</f>
        <v>8672.1</v>
      </c>
      <c r="J304">
        <v>3973.9</v>
      </c>
      <c r="K304" s="110" t="str">
        <f>IF(Table__10.2.1.2_1_4AHB_v_gen_TBO[[#This Row],[NO_OVHLS]]="RC","RC","LC")</f>
        <v>RC</v>
      </c>
      <c r="L304" t="s">
        <v>405</v>
      </c>
      <c r="M304" t="s">
        <v>879</v>
      </c>
      <c r="N304" t="b">
        <v>0</v>
      </c>
    </row>
    <row r="305" spans="2:14">
      <c r="B305" t="s">
        <v>751</v>
      </c>
      <c r="C305" s="110" t="str">
        <f>RIGHT(B305,3)</f>
        <v>119</v>
      </c>
      <c r="D305" t="s">
        <v>613</v>
      </c>
      <c r="E305" s="110" t="str">
        <f>LEFT(F305,22)</f>
        <v>TR BLADE RET BOLT</v>
      </c>
      <c r="F305" t="s">
        <v>1036</v>
      </c>
      <c r="G305" s="110" t="str">
        <f>RIGHT(H305,9)</f>
        <v>014636168</v>
      </c>
      <c r="H305" t="s">
        <v>614</v>
      </c>
      <c r="I305" s="110">
        <f>Table__10.2.1.2_1_4AHB_v_gen_TBO[[#This Row],[REALDUE]]-Table__10.2.1.2_1_4AHB_v_gen_TBO[[#This Row],[EI_BEG_AGE]]</f>
        <v>8672.1</v>
      </c>
      <c r="J305">
        <v>3973.9</v>
      </c>
      <c r="K305" s="110" t="str">
        <f>IF(Table__10.2.1.2_1_4AHB_v_gen_TBO[[#This Row],[NO_OVHLS]]="RC","RC","LC")</f>
        <v>RC</v>
      </c>
      <c r="L305" t="s">
        <v>405</v>
      </c>
      <c r="M305" t="s">
        <v>879</v>
      </c>
      <c r="N305" t="b">
        <v>0</v>
      </c>
    </row>
    <row r="306" spans="2:14">
      <c r="B306" t="s">
        <v>751</v>
      </c>
      <c r="C306" s="110" t="str">
        <f>RIGHT(B306,3)</f>
        <v>119</v>
      </c>
      <c r="D306" t="s">
        <v>613</v>
      </c>
      <c r="E306" s="110" t="str">
        <f>LEFT(F306,22)</f>
        <v>TR BLADE RET BOLT</v>
      </c>
      <c r="F306" t="s">
        <v>1036</v>
      </c>
      <c r="G306" s="110" t="str">
        <f>RIGHT(H306,9)</f>
        <v>014636168</v>
      </c>
      <c r="H306" t="s">
        <v>614</v>
      </c>
      <c r="I306" s="110">
        <f>Table__10.2.1.2_1_4AHB_v_gen_TBO[[#This Row],[REALDUE]]-Table__10.2.1.2_1_4AHB_v_gen_TBO[[#This Row],[EI_BEG_AGE]]</f>
        <v>8672.1</v>
      </c>
      <c r="J306">
        <v>3973.9</v>
      </c>
      <c r="K306" s="110" t="str">
        <f>IF(Table__10.2.1.2_1_4AHB_v_gen_TBO[[#This Row],[NO_OVHLS]]="RC","RC","LC")</f>
        <v>RC</v>
      </c>
      <c r="L306" t="s">
        <v>405</v>
      </c>
      <c r="M306" t="s">
        <v>879</v>
      </c>
      <c r="N306" t="b">
        <v>0</v>
      </c>
    </row>
    <row r="307" spans="2:14">
      <c r="B307" t="s">
        <v>751</v>
      </c>
      <c r="C307" s="110" t="str">
        <f>RIGHT(B307,3)</f>
        <v>119</v>
      </c>
      <c r="D307" t="s">
        <v>613</v>
      </c>
      <c r="E307" s="110" t="str">
        <f>LEFT(F307,22)</f>
        <v>TR BLADE RET BOLT</v>
      </c>
      <c r="F307" t="s">
        <v>1036</v>
      </c>
      <c r="G307" s="110" t="str">
        <f>RIGHT(H307,9)</f>
        <v>014636168</v>
      </c>
      <c r="H307" t="s">
        <v>614</v>
      </c>
      <c r="I307" s="110">
        <f>Table__10.2.1.2_1_4AHB_v_gen_TBO[[#This Row],[REALDUE]]-Table__10.2.1.2_1_4AHB_v_gen_TBO[[#This Row],[EI_BEG_AGE]]</f>
        <v>8672.1</v>
      </c>
      <c r="J307">
        <v>3973.9</v>
      </c>
      <c r="K307" s="110" t="str">
        <f>IF(Table__10.2.1.2_1_4AHB_v_gen_TBO[[#This Row],[NO_OVHLS]]="RC","RC","LC")</f>
        <v>RC</v>
      </c>
      <c r="L307" t="s">
        <v>405</v>
      </c>
      <c r="M307" t="s">
        <v>879</v>
      </c>
      <c r="N307" t="b">
        <v>0</v>
      </c>
    </row>
    <row r="308" spans="2:14">
      <c r="B308" t="s">
        <v>749</v>
      </c>
      <c r="C308" s="110" t="str">
        <f>RIGHT(B308,3)</f>
        <v>187</v>
      </c>
      <c r="D308" t="s">
        <v>549</v>
      </c>
      <c r="E308" s="110" t="str">
        <f>LEFT(F308,22)</f>
        <v>ROD END BEARING</v>
      </c>
      <c r="F308" t="s">
        <v>341</v>
      </c>
      <c r="G308" s="110" t="str">
        <f>RIGHT(H308,9)</f>
        <v>012700706</v>
      </c>
      <c r="H308" t="s">
        <v>342</v>
      </c>
      <c r="I308" s="110">
        <f>Table__10.2.1.2_1_4AHB_v_gen_TBO[[#This Row],[REALDUE]]-Table__10.2.1.2_1_4AHB_v_gen_TBO[[#This Row],[EI_BEG_AGE]]</f>
        <v>8680.2999999999993</v>
      </c>
      <c r="J308">
        <v>5314.7</v>
      </c>
      <c r="K308" s="110" t="str">
        <f>IF(Table__10.2.1.2_1_4AHB_v_gen_TBO[[#This Row],[NO_OVHLS]]="RC","RC","LC")</f>
        <v>RC</v>
      </c>
      <c r="L308" t="s">
        <v>405</v>
      </c>
      <c r="M308" t="s">
        <v>839</v>
      </c>
      <c r="N308" t="b">
        <v>0</v>
      </c>
    </row>
    <row r="309" spans="2:14">
      <c r="B309" t="s">
        <v>753</v>
      </c>
      <c r="C309" s="110" t="str">
        <f>RIGHT(B309,3)</f>
        <v>141</v>
      </c>
      <c r="D309" t="s">
        <v>549</v>
      </c>
      <c r="E309" s="110" t="str">
        <f>LEFT(F309,22)</f>
        <v>ROD END BEARING</v>
      </c>
      <c r="F309" t="s">
        <v>341</v>
      </c>
      <c r="G309" s="110" t="str">
        <f>RIGHT(H309,9)</f>
        <v>012700706</v>
      </c>
      <c r="H309" t="s">
        <v>342</v>
      </c>
      <c r="I309" s="96">
        <f>Table__10.2.1.2_1_4AHB_v_gen_TBO[[#This Row],[REALDUE]]-Table__10.2.1.2_1_4AHB_v_gen_TBO[[#This Row],[EI_BEG_AGE]]</f>
        <v>8705.5</v>
      </c>
      <c r="J309" s="96">
        <v>4733.5</v>
      </c>
      <c r="K309" s="110" t="str">
        <f>IF(Table__10.2.1.2_1_4AHB_v_gen_TBO[[#This Row],[NO_OVHLS]]="RC","RC","LC")</f>
        <v>RC</v>
      </c>
      <c r="L309" t="s">
        <v>405</v>
      </c>
      <c r="M309" t="s">
        <v>841</v>
      </c>
      <c r="N309" t="b">
        <v>0</v>
      </c>
    </row>
    <row r="310" spans="2:14">
      <c r="B310" t="s">
        <v>751</v>
      </c>
      <c r="C310" s="110" t="str">
        <f>RIGHT(B310,3)</f>
        <v>119</v>
      </c>
      <c r="D310" t="s">
        <v>484</v>
      </c>
      <c r="E310" s="110" t="str">
        <f>LEFT(F310,22)</f>
        <v>MAIN ROTOR DRIVE PLATE</v>
      </c>
      <c r="F310" t="s">
        <v>246</v>
      </c>
      <c r="G310" s="110" t="str">
        <f>RIGHT(H310,9)</f>
        <v>014393739</v>
      </c>
      <c r="H310" t="s">
        <v>247</v>
      </c>
      <c r="I310" s="96">
        <f>Table__10.2.1.2_1_4AHB_v_gen_TBO[[#This Row],[REALDUE]]-Table__10.2.1.2_1_4AHB_v_gen_TBO[[#This Row],[EI_BEG_AGE]]</f>
        <v>8708.1</v>
      </c>
      <c r="J310" s="96">
        <v>3973.9</v>
      </c>
      <c r="K310" s="110" t="str">
        <f>IF(Table__10.2.1.2_1_4AHB_v_gen_TBO[[#This Row],[NO_OVHLS]]="RC","RC","LC")</f>
        <v>RC</v>
      </c>
      <c r="L310" t="s">
        <v>405</v>
      </c>
      <c r="M310" t="s">
        <v>625</v>
      </c>
      <c r="N310" t="b">
        <v>0</v>
      </c>
    </row>
    <row r="311" spans="2:14">
      <c r="B311" t="s">
        <v>753</v>
      </c>
      <c r="C311" s="110" t="str">
        <f>RIGHT(B311,3)</f>
        <v>141</v>
      </c>
      <c r="D311" t="s">
        <v>455</v>
      </c>
      <c r="E311" s="110" t="str">
        <f>LEFT(F311,22)</f>
        <v>NON ROTATING SWASHPLAT</v>
      </c>
      <c r="F311" t="s">
        <v>197</v>
      </c>
      <c r="G311" s="110" t="str">
        <f>RIGHT(H311,9)</f>
        <v>012244848</v>
      </c>
      <c r="H311" t="s">
        <v>198</v>
      </c>
      <c r="I311" s="96">
        <f>Table__10.2.1.2_1_4AHB_v_gen_TBO[[#This Row],[REALDUE]]-Table__10.2.1.2_1_4AHB_v_gen_TBO[[#This Row],[EI_BEG_AGE]]</f>
        <v>8723.5</v>
      </c>
      <c r="J311" s="96">
        <v>4733.5</v>
      </c>
      <c r="K311" s="110" t="str">
        <f>IF(Table__10.2.1.2_1_4AHB_v_gen_TBO[[#This Row],[NO_OVHLS]]="RC","RC","LC")</f>
        <v>RC</v>
      </c>
      <c r="L311" t="s">
        <v>405</v>
      </c>
      <c r="M311" t="s">
        <v>601</v>
      </c>
      <c r="N311" t="b">
        <v>0</v>
      </c>
    </row>
    <row r="312" spans="2:14">
      <c r="B312" t="s">
        <v>749</v>
      </c>
      <c r="C312" s="110" t="str">
        <f>RIGHT(B312,3)</f>
        <v>187</v>
      </c>
      <c r="D312" t="s">
        <v>549</v>
      </c>
      <c r="E312" s="110" t="str">
        <f>LEFT(F312,22)</f>
        <v>ROD END BEARING</v>
      </c>
      <c r="F312" t="s">
        <v>341</v>
      </c>
      <c r="G312" s="110" t="str">
        <f>RIGHT(H312,9)</f>
        <v>012700706</v>
      </c>
      <c r="H312" t="s">
        <v>342</v>
      </c>
      <c r="I312" s="110">
        <f>Table__10.2.1.2_1_4AHB_v_gen_TBO[[#This Row],[REALDUE]]-Table__10.2.1.2_1_4AHB_v_gen_TBO[[#This Row],[EI_BEG_AGE]]</f>
        <v>8768.2999999999993</v>
      </c>
      <c r="J312">
        <v>5314.7</v>
      </c>
      <c r="K312" s="110" t="str">
        <f>IF(Table__10.2.1.2_1_4AHB_v_gen_TBO[[#This Row],[NO_OVHLS]]="RC","RC","LC")</f>
        <v>RC</v>
      </c>
      <c r="L312" t="s">
        <v>405</v>
      </c>
      <c r="M312" t="s">
        <v>845</v>
      </c>
      <c r="N312" t="b">
        <v>0</v>
      </c>
    </row>
    <row r="313" spans="2:14">
      <c r="B313" t="s">
        <v>749</v>
      </c>
      <c r="C313" s="110" t="str">
        <f>RIGHT(B313,3)</f>
        <v>187</v>
      </c>
      <c r="D313" t="s">
        <v>580</v>
      </c>
      <c r="E313" s="110" t="str">
        <f>LEFT(F313,22)</f>
        <v>BOLT</v>
      </c>
      <c r="F313" t="s">
        <v>225</v>
      </c>
      <c r="G313" s="110" t="str">
        <f>RIGHT(H313,9)</f>
        <v>013097057</v>
      </c>
      <c r="H313" t="s">
        <v>384</v>
      </c>
      <c r="I313" s="110">
        <f>Table__10.2.1.2_1_4AHB_v_gen_TBO[[#This Row],[REALDUE]]-Table__10.2.1.2_1_4AHB_v_gen_TBO[[#This Row],[EI_BEG_AGE]]</f>
        <v>8809.2999999999993</v>
      </c>
      <c r="J313">
        <v>5314.7</v>
      </c>
      <c r="K313" s="110" t="str">
        <f>IF(Table__10.2.1.2_1_4AHB_v_gen_TBO[[#This Row],[NO_OVHLS]]="RC","RC","LC")</f>
        <v>RC</v>
      </c>
      <c r="L313" t="s">
        <v>405</v>
      </c>
      <c r="M313" t="s">
        <v>1042</v>
      </c>
      <c r="N313" t="b">
        <v>0</v>
      </c>
    </row>
    <row r="314" spans="2:14">
      <c r="B314" t="s">
        <v>753</v>
      </c>
      <c r="C314" s="110" t="str">
        <f>RIGHT(B314,3)</f>
        <v>141</v>
      </c>
      <c r="D314" t="s">
        <v>471</v>
      </c>
      <c r="E314" s="110" t="str">
        <f>LEFT(F314,22)</f>
        <v>TAIL ROTOR STRAP ASSY</v>
      </c>
      <c r="F314" t="s">
        <v>222</v>
      </c>
      <c r="G314" s="110" t="str">
        <f>RIGHT(H314,9)</f>
        <v>011724974</v>
      </c>
      <c r="H314" t="s">
        <v>223</v>
      </c>
      <c r="I314" s="110">
        <f>Table__10.2.1.2_1_4AHB_v_gen_TBO[[#This Row],[REALDUE]]-Table__10.2.1.2_1_4AHB_v_gen_TBO[[#This Row],[EI_BEG_AGE]]</f>
        <v>8845.5</v>
      </c>
      <c r="J314">
        <v>4733.5</v>
      </c>
      <c r="K314" s="110" t="str">
        <f>IF(Table__10.2.1.2_1_4AHB_v_gen_TBO[[#This Row],[NO_OVHLS]]="RC","RC","LC")</f>
        <v>RC</v>
      </c>
      <c r="L314" t="s">
        <v>405</v>
      </c>
      <c r="M314" t="s">
        <v>878</v>
      </c>
      <c r="N314" t="b">
        <v>0</v>
      </c>
    </row>
    <row r="315" spans="2:14">
      <c r="B315" t="s">
        <v>753</v>
      </c>
      <c r="C315" s="110" t="str">
        <f>RIGHT(B315,3)</f>
        <v>141</v>
      </c>
      <c r="D315" t="s">
        <v>471</v>
      </c>
      <c r="E315" s="110" t="str">
        <f>LEFT(F315,22)</f>
        <v>TAIL ROTOR STRAP ASSY</v>
      </c>
      <c r="F315" t="s">
        <v>222</v>
      </c>
      <c r="G315" s="110" t="str">
        <f>RIGHT(H315,9)</f>
        <v>011724974</v>
      </c>
      <c r="H315" t="s">
        <v>223</v>
      </c>
      <c r="I315" s="96">
        <f>Table__10.2.1.2_1_4AHB_v_gen_TBO[[#This Row],[REALDUE]]-Table__10.2.1.2_1_4AHB_v_gen_TBO[[#This Row],[EI_BEG_AGE]]</f>
        <v>8845.5</v>
      </c>
      <c r="J315" s="96">
        <v>4733.5</v>
      </c>
      <c r="K315" s="110" t="str">
        <f>IF(Table__10.2.1.2_1_4AHB_v_gen_TBO[[#This Row],[NO_OVHLS]]="RC","RC","LC")</f>
        <v>RC</v>
      </c>
      <c r="L315" t="s">
        <v>405</v>
      </c>
      <c r="M315" t="s">
        <v>878</v>
      </c>
      <c r="N315" t="b">
        <v>0</v>
      </c>
    </row>
    <row r="316" spans="2:14">
      <c r="B316" t="s">
        <v>751</v>
      </c>
      <c r="C316" s="110" t="str">
        <f>RIGHT(B316,3)</f>
        <v>119</v>
      </c>
      <c r="D316" t="s">
        <v>566</v>
      </c>
      <c r="E316" s="110" t="str">
        <f>LEFT(F316,22)</f>
        <v xml:space="preserve">BOLT, SELF LCKNG, RTR </v>
      </c>
      <c r="F316" t="s">
        <v>365</v>
      </c>
      <c r="G316" s="110" t="str">
        <f>RIGHT(H316,9)</f>
        <v>011639567</v>
      </c>
      <c r="H316" t="s">
        <v>366</v>
      </c>
      <c r="I316" s="96">
        <f>Table__10.2.1.2_1_4AHB_v_gen_TBO[[#This Row],[REALDUE]]-Table__10.2.1.2_1_4AHB_v_gen_TBO[[#This Row],[EI_BEG_AGE]]</f>
        <v>8910.1</v>
      </c>
      <c r="J316" s="96">
        <v>3973.9</v>
      </c>
      <c r="K316" s="110" t="str">
        <f>IF(Table__10.2.1.2_1_4AHB_v_gen_TBO[[#This Row],[NO_OVHLS]]="RC","RC","LC")</f>
        <v>RC</v>
      </c>
      <c r="L316" t="s">
        <v>405</v>
      </c>
      <c r="M316" t="s">
        <v>882</v>
      </c>
      <c r="N316" t="b">
        <v>0</v>
      </c>
    </row>
    <row r="317" spans="2:14">
      <c r="B317" t="s">
        <v>751</v>
      </c>
      <c r="C317" s="110" t="str">
        <f>RIGHT(B317,3)</f>
        <v>119</v>
      </c>
      <c r="D317" t="s">
        <v>566</v>
      </c>
      <c r="E317" s="110" t="str">
        <f>LEFT(F317,22)</f>
        <v xml:space="preserve">BOLT, SELF LCKNG, RTR </v>
      </c>
      <c r="F317" t="s">
        <v>365</v>
      </c>
      <c r="G317" s="110" t="str">
        <f>RIGHT(H317,9)</f>
        <v>011639567</v>
      </c>
      <c r="H317" t="s">
        <v>366</v>
      </c>
      <c r="I317" s="96">
        <f>Table__10.2.1.2_1_4AHB_v_gen_TBO[[#This Row],[REALDUE]]-Table__10.2.1.2_1_4AHB_v_gen_TBO[[#This Row],[EI_BEG_AGE]]</f>
        <v>8938.1</v>
      </c>
      <c r="J317" s="96">
        <v>3973.9</v>
      </c>
      <c r="K317" s="110" t="str">
        <f>IF(Table__10.2.1.2_1_4AHB_v_gen_TBO[[#This Row],[NO_OVHLS]]="RC","RC","LC")</f>
        <v>RC</v>
      </c>
      <c r="L317" t="s">
        <v>405</v>
      </c>
      <c r="M317" t="s">
        <v>883</v>
      </c>
      <c r="N317" t="b">
        <v>0</v>
      </c>
    </row>
    <row r="318" spans="2:14">
      <c r="B318" t="s">
        <v>751</v>
      </c>
      <c r="C318" s="110" t="str">
        <f>RIGHT(B318,3)</f>
        <v>119</v>
      </c>
      <c r="D318" t="s">
        <v>563</v>
      </c>
      <c r="E318" s="110" t="str">
        <f>LEFT(F318,22)</f>
        <v>BOLT, LATERAL BELLCRAN</v>
      </c>
      <c r="F318" t="s">
        <v>361</v>
      </c>
      <c r="G318" s="110" t="str">
        <f>RIGHT(H318,9)</f>
        <v>011728682</v>
      </c>
      <c r="H318" t="s">
        <v>362</v>
      </c>
      <c r="I318" s="96">
        <f>Table__10.2.1.2_1_4AHB_v_gen_TBO[[#This Row],[REALDUE]]-Table__10.2.1.2_1_4AHB_v_gen_TBO[[#This Row],[EI_BEG_AGE]]</f>
        <v>8938.1</v>
      </c>
      <c r="J318" s="96">
        <v>3973.9</v>
      </c>
      <c r="K318" s="110" t="str">
        <f>IF(Table__10.2.1.2_1_4AHB_v_gen_TBO[[#This Row],[NO_OVHLS]]="RC","RC","LC")</f>
        <v>RC</v>
      </c>
      <c r="L318" t="s">
        <v>405</v>
      </c>
      <c r="M318" t="s">
        <v>883</v>
      </c>
      <c r="N318" t="b">
        <v>0</v>
      </c>
    </row>
    <row r="319" spans="2:14">
      <c r="B319" t="s">
        <v>751</v>
      </c>
      <c r="C319" s="110" t="str">
        <f>RIGHT(B319,3)</f>
        <v>119</v>
      </c>
      <c r="D319" t="s">
        <v>577</v>
      </c>
      <c r="E319" s="110" t="str">
        <f>LEFT(F319,22)</f>
        <v>COLLECTIVE BELLCRANK</v>
      </c>
      <c r="F319" t="s">
        <v>377</v>
      </c>
      <c r="G319" s="110" t="str">
        <f>RIGHT(H319,9)</f>
        <v>012242262</v>
      </c>
      <c r="H319" t="s">
        <v>378</v>
      </c>
      <c r="I319" s="96">
        <f>Table__10.2.1.2_1_4AHB_v_gen_TBO[[#This Row],[REALDUE]]-Table__10.2.1.2_1_4AHB_v_gen_TBO[[#This Row],[EI_BEG_AGE]]</f>
        <v>8938.1</v>
      </c>
      <c r="J319" s="96">
        <v>3973.9</v>
      </c>
      <c r="K319" s="110" t="str">
        <f>IF(Table__10.2.1.2_1_4AHB_v_gen_TBO[[#This Row],[NO_OVHLS]]="RC","RC","LC")</f>
        <v>RC</v>
      </c>
      <c r="L319" t="s">
        <v>405</v>
      </c>
      <c r="M319" t="s">
        <v>883</v>
      </c>
      <c r="N319" t="b">
        <v>0</v>
      </c>
    </row>
    <row r="320" spans="2:14">
      <c r="B320" t="s">
        <v>751</v>
      </c>
      <c r="C320" s="110" t="str">
        <f>RIGHT(B320,3)</f>
        <v>119</v>
      </c>
      <c r="D320" t="s">
        <v>437</v>
      </c>
      <c r="E320" s="110" t="str">
        <f>LEFT(F320,22)</f>
        <v>LEAD LAG LINK ASSY</v>
      </c>
      <c r="F320" t="s">
        <v>156</v>
      </c>
      <c r="G320" s="110" t="str">
        <f>RIGHT(H320,9)</f>
        <v>013521531</v>
      </c>
      <c r="H320" t="s">
        <v>157</v>
      </c>
      <c r="I320" s="96">
        <f>Table__10.2.1.2_1_4AHB_v_gen_TBO[[#This Row],[REALDUE]]-Table__10.2.1.2_1_4AHB_v_gen_TBO[[#This Row],[EI_BEG_AGE]]</f>
        <v>8990.1</v>
      </c>
      <c r="J320" s="96">
        <v>3973.9</v>
      </c>
      <c r="K320" s="110" t="str">
        <f>IF(Table__10.2.1.2_1_4AHB_v_gen_TBO[[#This Row],[NO_OVHLS]]="RC","RC","LC")</f>
        <v>RC</v>
      </c>
      <c r="L320" t="s">
        <v>405</v>
      </c>
      <c r="M320" t="s">
        <v>966</v>
      </c>
      <c r="N320" t="b">
        <v>0</v>
      </c>
    </row>
    <row r="321" spans="2:14">
      <c r="B321" t="s">
        <v>749</v>
      </c>
      <c r="C321" s="110" t="str">
        <f>RIGHT(B321,3)</f>
        <v>187</v>
      </c>
      <c r="D321" t="s">
        <v>437</v>
      </c>
      <c r="E321" s="110" t="str">
        <f>LEFT(F321,22)</f>
        <v>LEAD LAG LINK ASSY</v>
      </c>
      <c r="F321" t="s">
        <v>156</v>
      </c>
      <c r="G321" s="110" t="str">
        <f>RIGHT(H321,9)</f>
        <v>013521531</v>
      </c>
      <c r="H321" t="s">
        <v>157</v>
      </c>
      <c r="I321" s="96">
        <f>Table__10.2.1.2_1_4AHB_v_gen_TBO[[#This Row],[REALDUE]]-Table__10.2.1.2_1_4AHB_v_gen_TBO[[#This Row],[EI_BEG_AGE]]</f>
        <v>9170.2999999999993</v>
      </c>
      <c r="J321" s="96">
        <v>5314.7</v>
      </c>
      <c r="K321" s="110" t="str">
        <f>IF(Table__10.2.1.2_1_4AHB_v_gen_TBO[[#This Row],[NO_OVHLS]]="RC","RC","LC")</f>
        <v>RC</v>
      </c>
      <c r="L321" t="s">
        <v>405</v>
      </c>
      <c r="M321" t="s">
        <v>965</v>
      </c>
      <c r="N321" t="b">
        <v>0</v>
      </c>
    </row>
    <row r="322" spans="2:14">
      <c r="B322" t="s">
        <v>749</v>
      </c>
      <c r="C322" s="110" t="str">
        <f>RIGHT(B322,3)</f>
        <v>187</v>
      </c>
      <c r="D322" t="s">
        <v>437</v>
      </c>
      <c r="E322" s="110" t="str">
        <f>LEFT(F322,22)</f>
        <v>LEAD LAG LINK ASSY</v>
      </c>
      <c r="F322" t="s">
        <v>156</v>
      </c>
      <c r="G322" s="110" t="str">
        <f>RIGHT(H322,9)</f>
        <v>013521531</v>
      </c>
      <c r="H322" t="s">
        <v>157</v>
      </c>
      <c r="I322" s="96">
        <f>Table__10.2.1.2_1_4AHB_v_gen_TBO[[#This Row],[REALDUE]]-Table__10.2.1.2_1_4AHB_v_gen_TBO[[#This Row],[EI_BEG_AGE]]</f>
        <v>9176.2999999999993</v>
      </c>
      <c r="J322" s="96">
        <v>5314.7</v>
      </c>
      <c r="K322" s="110" t="str">
        <f>IF(Table__10.2.1.2_1_4AHB_v_gen_TBO[[#This Row],[NO_OVHLS]]="RC","RC","LC")</f>
        <v>RC</v>
      </c>
      <c r="L322" t="s">
        <v>405</v>
      </c>
      <c r="M322" t="s">
        <v>962</v>
      </c>
      <c r="N322" t="b">
        <v>0</v>
      </c>
    </row>
    <row r="323" spans="2:14">
      <c r="B323" t="s">
        <v>749</v>
      </c>
      <c r="C323" s="110" t="str">
        <f>RIGHT(B323,3)</f>
        <v>187</v>
      </c>
      <c r="D323" t="s">
        <v>418</v>
      </c>
      <c r="E323" s="110" t="str">
        <f>LEFT(F323,22)</f>
        <v>SPAR BOX ASSY VERT STA</v>
      </c>
      <c r="F323" t="s">
        <v>133</v>
      </c>
      <c r="G323" s="110" t="str">
        <f>RIGHT(H323,9)</f>
        <v>014656856</v>
      </c>
      <c r="H323" t="s">
        <v>134</v>
      </c>
      <c r="I323" s="96">
        <f>Table__10.2.1.2_1_4AHB_v_gen_TBO[[#This Row],[REALDUE]]-Table__10.2.1.2_1_4AHB_v_gen_TBO[[#This Row],[EI_BEG_AGE]]</f>
        <v>9184.2999999999993</v>
      </c>
      <c r="J323" s="96">
        <v>5314.7</v>
      </c>
      <c r="K323" s="110" t="str">
        <f>IF(Table__10.2.1.2_1_4AHB_v_gen_TBO[[#This Row],[NO_OVHLS]]="RC","RC","LC")</f>
        <v>RC</v>
      </c>
      <c r="L323" t="s">
        <v>405</v>
      </c>
      <c r="M323" t="s">
        <v>894</v>
      </c>
      <c r="N323" t="b">
        <v>0</v>
      </c>
    </row>
    <row r="324" spans="2:14">
      <c r="B324" t="s">
        <v>751</v>
      </c>
      <c r="C324" s="110" t="str">
        <f>RIGHT(B324,3)</f>
        <v>119</v>
      </c>
      <c r="D324" t="s">
        <v>437</v>
      </c>
      <c r="E324" s="110" t="str">
        <f>LEFT(F324,22)</f>
        <v>LEAD LAG LINK ASSY</v>
      </c>
      <c r="F324" t="s">
        <v>156</v>
      </c>
      <c r="G324" s="110" t="str">
        <f>RIGHT(H324,9)</f>
        <v>013521531</v>
      </c>
      <c r="H324" t="s">
        <v>157</v>
      </c>
      <c r="I324" s="96">
        <f>Table__10.2.1.2_1_4AHB_v_gen_TBO[[#This Row],[REALDUE]]-Table__10.2.1.2_1_4AHB_v_gen_TBO[[#This Row],[EI_BEG_AGE]]</f>
        <v>9216.1</v>
      </c>
      <c r="J324" s="96">
        <v>3973.9</v>
      </c>
      <c r="K324" s="110" t="str">
        <f>IF(Table__10.2.1.2_1_4AHB_v_gen_TBO[[#This Row],[NO_OVHLS]]="RC","RC","LC")</f>
        <v>RC</v>
      </c>
      <c r="L324" t="s">
        <v>405</v>
      </c>
      <c r="M324" t="s">
        <v>644</v>
      </c>
      <c r="N324" t="b">
        <v>0</v>
      </c>
    </row>
    <row r="325" spans="2:14">
      <c r="B325" t="s">
        <v>753</v>
      </c>
      <c r="C325" s="110" t="str">
        <f>RIGHT(B325,3)</f>
        <v>141</v>
      </c>
      <c r="D325" t="s">
        <v>576</v>
      </c>
      <c r="E325" s="110" t="str">
        <f>LEFT(F325,22)</f>
        <v>COLLECTIVE BELLCRANK</v>
      </c>
      <c r="F325" t="s">
        <v>377</v>
      </c>
      <c r="G325" s="110" t="str">
        <f>RIGHT(H325,9)</f>
        <v>012242262</v>
      </c>
      <c r="H325" t="s">
        <v>379</v>
      </c>
      <c r="I325" s="96">
        <f>Table__10.2.1.2_1_4AHB_v_gen_TBO[[#This Row],[REALDUE]]-Table__10.2.1.2_1_4AHB_v_gen_TBO[[#This Row],[EI_BEG_AGE]]</f>
        <v>9276.5</v>
      </c>
      <c r="J325" s="96">
        <v>4733.5</v>
      </c>
      <c r="K325" s="110" t="str">
        <f>IF(Table__10.2.1.2_1_4AHB_v_gen_TBO[[#This Row],[NO_OVHLS]]="RC","RC","LC")</f>
        <v>RC</v>
      </c>
      <c r="L325" t="s">
        <v>405</v>
      </c>
      <c r="M325" t="s">
        <v>1007</v>
      </c>
      <c r="N325" t="b">
        <v>0</v>
      </c>
    </row>
    <row r="326" spans="2:14">
      <c r="B326" t="s">
        <v>753</v>
      </c>
      <c r="C326" s="110" t="str">
        <f>RIGHT(B326,3)</f>
        <v>141</v>
      </c>
      <c r="D326" t="s">
        <v>580</v>
      </c>
      <c r="E326" s="110" t="str">
        <f>LEFT(F326,22)</f>
        <v>BOLT</v>
      </c>
      <c r="F326" t="s">
        <v>225</v>
      </c>
      <c r="G326" s="110" t="str">
        <f>RIGHT(H326,9)</f>
        <v>013097057</v>
      </c>
      <c r="H326" t="s">
        <v>384</v>
      </c>
      <c r="I326" s="96">
        <f>Table__10.2.1.2_1_4AHB_v_gen_TBO[[#This Row],[REALDUE]]-Table__10.2.1.2_1_4AHB_v_gen_TBO[[#This Row],[EI_BEG_AGE]]</f>
        <v>9335.5</v>
      </c>
      <c r="J326" s="96">
        <v>4733.5</v>
      </c>
      <c r="K326" s="110" t="str">
        <f>IF(Table__10.2.1.2_1_4AHB_v_gen_TBO[[#This Row],[NO_OVHLS]]="RC","RC","LC")</f>
        <v>RC</v>
      </c>
      <c r="L326" t="s">
        <v>405</v>
      </c>
      <c r="M326" t="s">
        <v>385</v>
      </c>
      <c r="N326" t="b">
        <v>0</v>
      </c>
    </row>
    <row r="327" spans="2:14">
      <c r="B327" t="s">
        <v>751</v>
      </c>
      <c r="C327" s="110" t="str">
        <f>RIGHT(B327,3)</f>
        <v>119</v>
      </c>
      <c r="D327" t="s">
        <v>437</v>
      </c>
      <c r="E327" s="110" t="str">
        <f>LEFT(F327,22)</f>
        <v>LEAD LAG LINK ASSY</v>
      </c>
      <c r="F327" t="s">
        <v>156</v>
      </c>
      <c r="G327" s="110" t="str">
        <f>RIGHT(H327,9)</f>
        <v>013521531</v>
      </c>
      <c r="H327" t="s">
        <v>157</v>
      </c>
      <c r="I327" s="96">
        <f>Table__10.2.1.2_1_4AHB_v_gen_TBO[[#This Row],[REALDUE]]-Table__10.2.1.2_1_4AHB_v_gen_TBO[[#This Row],[EI_BEG_AGE]]</f>
        <v>9929.1</v>
      </c>
      <c r="J327" s="96">
        <v>3973.9</v>
      </c>
      <c r="K327" s="110" t="str">
        <f>IF(Table__10.2.1.2_1_4AHB_v_gen_TBO[[#This Row],[NO_OVHLS]]="RC","RC","LC")</f>
        <v>RC</v>
      </c>
      <c r="L327" t="s">
        <v>405</v>
      </c>
      <c r="M327" t="s">
        <v>967</v>
      </c>
      <c r="N327" t="b">
        <v>0</v>
      </c>
    </row>
    <row r="328" spans="2:14">
      <c r="B328" t="s">
        <v>751</v>
      </c>
      <c r="C328" s="110" t="str">
        <f>RIGHT(B328,3)</f>
        <v>119</v>
      </c>
      <c r="D328" t="s">
        <v>580</v>
      </c>
      <c r="E328" s="110" t="str">
        <f>LEFT(F328,22)</f>
        <v>BOLT</v>
      </c>
      <c r="F328" t="s">
        <v>225</v>
      </c>
      <c r="G328" s="110" t="str">
        <f>RIGHT(H328,9)</f>
        <v>013097057</v>
      </c>
      <c r="H328" t="s">
        <v>384</v>
      </c>
      <c r="I328" s="96">
        <f>Table__10.2.1.2_1_4AHB_v_gen_TBO[[#This Row],[REALDUE]]-Table__10.2.1.2_1_4AHB_v_gen_TBO[[#This Row],[EI_BEG_AGE]]</f>
        <v>10095.1</v>
      </c>
      <c r="J328" s="96">
        <v>3973.9</v>
      </c>
      <c r="K328" s="110" t="str">
        <f>IF(Table__10.2.1.2_1_4AHB_v_gen_TBO[[#This Row],[NO_OVHLS]]="RC","RC","LC")</f>
        <v>RC</v>
      </c>
      <c r="L328" t="s">
        <v>405</v>
      </c>
      <c r="M328" t="s">
        <v>385</v>
      </c>
      <c r="N328" t="b">
        <v>0</v>
      </c>
    </row>
    <row r="329" spans="2:14">
      <c r="B329" t="s">
        <v>751</v>
      </c>
      <c r="C329" s="110" t="str">
        <f>RIGHT(B329,3)</f>
        <v>119</v>
      </c>
      <c r="D329" t="s">
        <v>408</v>
      </c>
      <c r="E329" s="110" t="str">
        <f>LEFT(F329,22)</f>
        <v>STRUT FWD CENTER LH</v>
      </c>
      <c r="F329" t="s">
        <v>113</v>
      </c>
      <c r="G329" s="110" t="str">
        <f>RIGHT(H329,9)</f>
        <v>011643791</v>
      </c>
      <c r="H329" t="s">
        <v>114</v>
      </c>
      <c r="I329" s="96">
        <f>Table__10.2.1.2_1_4AHB_v_gen_TBO[[#This Row],[REALDUE]]-Table__10.2.1.2_1_4AHB_v_gen_TBO[[#This Row],[EI_BEG_AGE]]</f>
        <v>10096.1</v>
      </c>
      <c r="J329" s="96">
        <v>3973.9</v>
      </c>
      <c r="K329" s="110" t="str">
        <f>IF(Table__10.2.1.2_1_4AHB_v_gen_TBO[[#This Row],[NO_OVHLS]]="RC","RC","LC")</f>
        <v>RC</v>
      </c>
      <c r="L329" t="s">
        <v>405</v>
      </c>
      <c r="M329" t="s">
        <v>596</v>
      </c>
      <c r="N329" t="b">
        <v>0</v>
      </c>
    </row>
    <row r="330" spans="2:14">
      <c r="B330" t="s">
        <v>753</v>
      </c>
      <c r="C330" s="110" t="str">
        <f>RIGHT(B330,3)</f>
        <v>141</v>
      </c>
      <c r="D330" t="s">
        <v>440</v>
      </c>
      <c r="E330" s="110" t="str">
        <f>LEFT(F330,22)</f>
        <v>PLATE, UPPER</v>
      </c>
      <c r="F330" t="s">
        <v>164</v>
      </c>
      <c r="G330" s="110" t="str">
        <f>RIGHT(H330,9)</f>
        <v>011643847</v>
      </c>
      <c r="H330" t="s">
        <v>165</v>
      </c>
      <c r="I330" s="96">
        <f>Table__10.2.1.2_1_4AHB_v_gen_TBO[[#This Row],[REALDUE]]-Table__10.2.1.2_1_4AHB_v_gen_TBO[[#This Row],[EI_BEG_AGE]]</f>
        <v>10323.5</v>
      </c>
      <c r="J330" s="96">
        <v>4733.5</v>
      </c>
      <c r="K330" s="110" t="str">
        <f>IF(Table__10.2.1.2_1_4AHB_v_gen_TBO[[#This Row],[NO_OVHLS]]="RC","RC","LC")</f>
        <v>RC</v>
      </c>
      <c r="L330" t="s">
        <v>405</v>
      </c>
      <c r="M330" t="s">
        <v>946</v>
      </c>
      <c r="N330" t="b">
        <v>0</v>
      </c>
    </row>
    <row r="331" spans="2:14">
      <c r="B331" t="s">
        <v>753</v>
      </c>
      <c r="C331" s="110" t="str">
        <f>RIGHT(B331,3)</f>
        <v>141</v>
      </c>
      <c r="D331" t="s">
        <v>437</v>
      </c>
      <c r="E331" s="110" t="str">
        <f>LEFT(F331,22)</f>
        <v>LEAD LAG LINK ASSY</v>
      </c>
      <c r="F331" t="s">
        <v>156</v>
      </c>
      <c r="G331" s="110" t="str">
        <f>RIGHT(H331,9)</f>
        <v>013521531</v>
      </c>
      <c r="H331" t="s">
        <v>157</v>
      </c>
      <c r="I331" s="96">
        <f>Table__10.2.1.2_1_4AHB_v_gen_TBO[[#This Row],[REALDUE]]-Table__10.2.1.2_1_4AHB_v_gen_TBO[[#This Row],[EI_BEG_AGE]]</f>
        <v>10331.5</v>
      </c>
      <c r="J331" s="96">
        <v>4733.5</v>
      </c>
      <c r="K331" s="110" t="str">
        <f>IF(Table__10.2.1.2_1_4AHB_v_gen_TBO[[#This Row],[NO_OVHLS]]="RC","RC","LC")</f>
        <v>RC</v>
      </c>
      <c r="L331" t="s">
        <v>405</v>
      </c>
      <c r="M331" t="s">
        <v>968</v>
      </c>
      <c r="N331" t="b">
        <v>0</v>
      </c>
    </row>
    <row r="332" spans="2:14">
      <c r="B332" t="s">
        <v>749</v>
      </c>
      <c r="C332" s="110" t="str">
        <f>RIGHT(B332,3)</f>
        <v>187</v>
      </c>
      <c r="D332" t="s">
        <v>441</v>
      </c>
      <c r="E332" s="110" t="str">
        <f>LEFT(F332,22)</f>
        <v>PLATE, LOWER</v>
      </c>
      <c r="F332" t="s">
        <v>166</v>
      </c>
      <c r="G332" s="110" t="str">
        <f>RIGHT(H332,9)</f>
        <v>011643848</v>
      </c>
      <c r="H332" t="s">
        <v>167</v>
      </c>
      <c r="I332" s="96">
        <f>Table__10.2.1.2_1_4AHB_v_gen_TBO[[#This Row],[REALDUE]]-Table__10.2.1.2_1_4AHB_v_gen_TBO[[#This Row],[EI_BEG_AGE]]</f>
        <v>10347.299999999999</v>
      </c>
      <c r="J332" s="96">
        <v>5314.7</v>
      </c>
      <c r="K332" s="110" t="str">
        <f>IF(Table__10.2.1.2_1_4AHB_v_gen_TBO[[#This Row],[NO_OVHLS]]="RC","RC","LC")</f>
        <v>RC</v>
      </c>
      <c r="L332" t="s">
        <v>405</v>
      </c>
      <c r="M332" t="s">
        <v>941</v>
      </c>
      <c r="N332" t="b">
        <v>0</v>
      </c>
    </row>
    <row r="333" spans="2:14">
      <c r="B333" t="s">
        <v>749</v>
      </c>
      <c r="C333" s="110" t="str">
        <f>RIGHT(B333,3)</f>
        <v>187</v>
      </c>
      <c r="D333" t="s">
        <v>440</v>
      </c>
      <c r="E333" s="110" t="str">
        <f>LEFT(F333,22)</f>
        <v>PLATE, UPPER</v>
      </c>
      <c r="F333" t="s">
        <v>164</v>
      </c>
      <c r="G333" s="110" t="str">
        <f>RIGHT(H333,9)</f>
        <v>011643847</v>
      </c>
      <c r="H333" t="s">
        <v>165</v>
      </c>
      <c r="I333" s="96">
        <f>Table__10.2.1.2_1_4AHB_v_gen_TBO[[#This Row],[REALDUE]]-Table__10.2.1.2_1_4AHB_v_gen_TBO[[#This Row],[EI_BEG_AGE]]</f>
        <v>10347.299999999999</v>
      </c>
      <c r="J333" s="96">
        <v>5314.7</v>
      </c>
      <c r="K333" s="110" t="str">
        <f>IF(Table__10.2.1.2_1_4AHB_v_gen_TBO[[#This Row],[NO_OVHLS]]="RC","RC","LC")</f>
        <v>RC</v>
      </c>
      <c r="L333" t="s">
        <v>405</v>
      </c>
      <c r="M333" t="s">
        <v>941</v>
      </c>
      <c r="N333" t="b">
        <v>0</v>
      </c>
    </row>
    <row r="334" spans="2:14">
      <c r="B334" t="s">
        <v>749</v>
      </c>
      <c r="C334" s="110" t="str">
        <f>RIGHT(B334,3)</f>
        <v>187</v>
      </c>
      <c r="D334" t="s">
        <v>415</v>
      </c>
      <c r="E334" s="110" t="str">
        <f>LEFT(F334,22)</f>
        <v>STABILATOR ASSY</v>
      </c>
      <c r="F334" t="s">
        <v>128</v>
      </c>
      <c r="G334" s="110" t="str">
        <f>RIGHT(H334,9)</f>
        <v>014663661</v>
      </c>
      <c r="H334" t="s">
        <v>129</v>
      </c>
      <c r="I334" s="96">
        <f>Table__10.2.1.2_1_4AHB_v_gen_TBO[[#This Row],[REALDUE]]-Table__10.2.1.2_1_4AHB_v_gen_TBO[[#This Row],[EI_BEG_AGE]]</f>
        <v>10350.299999999999</v>
      </c>
      <c r="J334" s="96">
        <v>5314.7</v>
      </c>
      <c r="K334" s="110" t="str">
        <f>IF(Table__10.2.1.2_1_4AHB_v_gen_TBO[[#This Row],[NO_OVHLS]]="RC","RC","LC")</f>
        <v>RC</v>
      </c>
      <c r="L334" t="s">
        <v>405</v>
      </c>
      <c r="M334" t="s">
        <v>898</v>
      </c>
      <c r="N334" t="b">
        <v>0</v>
      </c>
    </row>
    <row r="335" spans="2:14">
      <c r="B335" t="s">
        <v>751</v>
      </c>
      <c r="C335" s="110" t="str">
        <f>RIGHT(B335,3)</f>
        <v>119</v>
      </c>
      <c r="D335" t="s">
        <v>549</v>
      </c>
      <c r="E335" s="110" t="str">
        <f>LEFT(F335,22)</f>
        <v>ROD END BEARING</v>
      </c>
      <c r="F335" t="s">
        <v>341</v>
      </c>
      <c r="G335" s="110" t="str">
        <f>RIGHT(H335,9)</f>
        <v>012700706</v>
      </c>
      <c r="H335" t="s">
        <v>342</v>
      </c>
      <c r="I335" s="96">
        <f>Table__10.2.1.2_1_4AHB_v_gen_TBO[[#This Row],[REALDUE]]-Table__10.2.1.2_1_4AHB_v_gen_TBO[[#This Row],[EI_BEG_AGE]]</f>
        <v>10600.1</v>
      </c>
      <c r="J335" s="96">
        <v>3973.9</v>
      </c>
      <c r="K335" s="110" t="str">
        <f>IF(Table__10.2.1.2_1_4AHB_v_gen_TBO[[#This Row],[NO_OVHLS]]="RC","RC","LC")</f>
        <v>RC</v>
      </c>
      <c r="L335" t="s">
        <v>405</v>
      </c>
      <c r="M335" t="s">
        <v>837</v>
      </c>
      <c r="N335" t="b">
        <v>0</v>
      </c>
    </row>
    <row r="336" spans="2:14">
      <c r="B336" t="s">
        <v>753</v>
      </c>
      <c r="C336" s="110" t="str">
        <f>RIGHT(B336,3)</f>
        <v>141</v>
      </c>
      <c r="D336" t="s">
        <v>441</v>
      </c>
      <c r="E336" s="110" t="str">
        <f>LEFT(F336,22)</f>
        <v>PLATE, LOWER</v>
      </c>
      <c r="F336" t="s">
        <v>166</v>
      </c>
      <c r="G336" s="110" t="str">
        <f>RIGHT(H336,9)</f>
        <v>011643848</v>
      </c>
      <c r="H336" t="s">
        <v>167</v>
      </c>
      <c r="I336" s="96">
        <f>Table__10.2.1.2_1_4AHB_v_gen_TBO[[#This Row],[REALDUE]]-Table__10.2.1.2_1_4AHB_v_gen_TBO[[#This Row],[EI_BEG_AGE]]</f>
        <v>10797.5</v>
      </c>
      <c r="J336" s="96">
        <v>4733.5</v>
      </c>
      <c r="K336" s="110" t="str">
        <f>IF(Table__10.2.1.2_1_4AHB_v_gen_TBO[[#This Row],[NO_OVHLS]]="RC","RC","LC")</f>
        <v>RC</v>
      </c>
      <c r="L336" t="s">
        <v>405</v>
      </c>
      <c r="M336" t="s">
        <v>939</v>
      </c>
      <c r="N336" t="b">
        <v>0</v>
      </c>
    </row>
    <row r="337" spans="2:14">
      <c r="B337" t="s">
        <v>753</v>
      </c>
      <c r="C337" s="110" t="str">
        <f>RIGHT(B337,3)</f>
        <v>141</v>
      </c>
      <c r="D337" t="s">
        <v>549</v>
      </c>
      <c r="E337" s="110" t="str">
        <f>LEFT(F337,22)</f>
        <v>ROD END BEARING</v>
      </c>
      <c r="F337" t="s">
        <v>341</v>
      </c>
      <c r="G337" s="110" t="str">
        <f>RIGHT(H337,9)</f>
        <v>012700706</v>
      </c>
      <c r="H337" t="s">
        <v>342</v>
      </c>
      <c r="I337" s="96">
        <f>Table__10.2.1.2_1_4AHB_v_gen_TBO[[#This Row],[REALDUE]]-Table__10.2.1.2_1_4AHB_v_gen_TBO[[#This Row],[EI_BEG_AGE]]</f>
        <v>10804.5</v>
      </c>
      <c r="J337" s="96">
        <v>4733.5</v>
      </c>
      <c r="K337" s="110" t="str">
        <f>IF(Table__10.2.1.2_1_4AHB_v_gen_TBO[[#This Row],[NO_OVHLS]]="RC","RC","LC")</f>
        <v>RC</v>
      </c>
      <c r="L337" t="s">
        <v>405</v>
      </c>
      <c r="M337" t="s">
        <v>838</v>
      </c>
      <c r="N337" t="b">
        <v>0</v>
      </c>
    </row>
    <row r="338" spans="2:14">
      <c r="B338" t="s">
        <v>753</v>
      </c>
      <c r="C338" s="110" t="str">
        <f>RIGHT(B338,3)</f>
        <v>141</v>
      </c>
      <c r="D338" t="s">
        <v>549</v>
      </c>
      <c r="E338" s="110" t="str">
        <f>LEFT(F338,22)</f>
        <v>ROD END BEARING</v>
      </c>
      <c r="F338" t="s">
        <v>341</v>
      </c>
      <c r="G338" s="110" t="str">
        <f>RIGHT(H338,9)</f>
        <v>012700706</v>
      </c>
      <c r="H338" t="s">
        <v>342</v>
      </c>
      <c r="I338" s="96">
        <f>Table__10.2.1.2_1_4AHB_v_gen_TBO[[#This Row],[REALDUE]]-Table__10.2.1.2_1_4AHB_v_gen_TBO[[#This Row],[EI_BEG_AGE]]</f>
        <v>10804.5</v>
      </c>
      <c r="J338" s="96">
        <v>4733.5</v>
      </c>
      <c r="K338" s="110" t="str">
        <f>IF(Table__10.2.1.2_1_4AHB_v_gen_TBO[[#This Row],[NO_OVHLS]]="RC","RC","LC")</f>
        <v>RC</v>
      </c>
      <c r="L338" t="s">
        <v>405</v>
      </c>
      <c r="M338" t="s">
        <v>838</v>
      </c>
      <c r="N338" t="b">
        <v>0</v>
      </c>
    </row>
    <row r="339" spans="2:14">
      <c r="B339" t="s">
        <v>749</v>
      </c>
      <c r="C339" s="110" t="str">
        <f>RIGHT(B339,3)</f>
        <v>187</v>
      </c>
      <c r="D339" t="s">
        <v>455</v>
      </c>
      <c r="E339" s="110" t="str">
        <f>LEFT(F339,22)</f>
        <v>NON ROTATING SWASHPLAT</v>
      </c>
      <c r="F339" t="s">
        <v>197</v>
      </c>
      <c r="G339" s="110" t="str">
        <f>RIGHT(H339,9)</f>
        <v>012244848</v>
      </c>
      <c r="H339" t="s">
        <v>198</v>
      </c>
      <c r="I339" s="96">
        <f>Table__10.2.1.2_1_4AHB_v_gen_TBO[[#This Row],[REALDUE]]-Table__10.2.1.2_1_4AHB_v_gen_TBO[[#This Row],[EI_BEG_AGE]]</f>
        <v>10903.3</v>
      </c>
      <c r="J339" s="96">
        <v>5314.7</v>
      </c>
      <c r="K339" s="110" t="str">
        <f>IF(Table__10.2.1.2_1_4AHB_v_gen_TBO[[#This Row],[NO_OVHLS]]="RC","RC","LC")</f>
        <v>RC</v>
      </c>
      <c r="L339" t="s">
        <v>405</v>
      </c>
      <c r="M339" t="s">
        <v>1005</v>
      </c>
      <c r="N339" t="b">
        <v>0</v>
      </c>
    </row>
    <row r="340" spans="2:14">
      <c r="B340" t="s">
        <v>749</v>
      </c>
      <c r="C340" s="110" t="str">
        <f>RIGHT(B340,3)</f>
        <v>187</v>
      </c>
      <c r="D340" t="s">
        <v>567</v>
      </c>
      <c r="E340" s="110" t="str">
        <f>LEFT(F340,22)</f>
        <v xml:space="preserve">BOLT, SELF LCKNG, RTR </v>
      </c>
      <c r="F340" t="s">
        <v>365</v>
      </c>
      <c r="G340" s="110" t="str">
        <f>RIGHT(H340,9)</f>
        <v>011639567</v>
      </c>
      <c r="H340" t="s">
        <v>366</v>
      </c>
      <c r="I340" s="96">
        <f>Table__10.2.1.2_1_4AHB_v_gen_TBO[[#This Row],[REALDUE]]-Table__10.2.1.2_1_4AHB_v_gen_TBO[[#This Row],[EI_BEG_AGE]]</f>
        <v>11087.3</v>
      </c>
      <c r="J340" s="96">
        <v>5314.7</v>
      </c>
      <c r="K340" s="110" t="str">
        <f>IF(Table__10.2.1.2_1_4AHB_v_gen_TBO[[#This Row],[NO_OVHLS]]="RC","RC","LC")</f>
        <v>RC</v>
      </c>
      <c r="L340" t="s">
        <v>405</v>
      </c>
      <c r="M340" t="s">
        <v>885</v>
      </c>
      <c r="N340" t="b">
        <v>0</v>
      </c>
    </row>
    <row r="341" spans="2:14">
      <c r="B341" t="s">
        <v>749</v>
      </c>
      <c r="C341" s="110" t="str">
        <f>RIGHT(B341,3)</f>
        <v>187</v>
      </c>
      <c r="D341" t="s">
        <v>567</v>
      </c>
      <c r="E341" s="110" t="str">
        <f>LEFT(F341,22)</f>
        <v xml:space="preserve">BOLT, SELF LCKNG, RTR </v>
      </c>
      <c r="F341" t="s">
        <v>365</v>
      </c>
      <c r="G341" s="110" t="str">
        <f>RIGHT(H341,9)</f>
        <v>011639567</v>
      </c>
      <c r="H341" t="s">
        <v>366</v>
      </c>
      <c r="I341" s="96">
        <f>Table__10.2.1.2_1_4AHB_v_gen_TBO[[#This Row],[REALDUE]]-Table__10.2.1.2_1_4AHB_v_gen_TBO[[#This Row],[EI_BEG_AGE]]</f>
        <v>11087.3</v>
      </c>
      <c r="J341" s="96">
        <v>5314.7</v>
      </c>
      <c r="K341" s="110" t="str">
        <f>IF(Table__10.2.1.2_1_4AHB_v_gen_TBO[[#This Row],[NO_OVHLS]]="RC","RC","LC")</f>
        <v>RC</v>
      </c>
      <c r="L341" t="s">
        <v>405</v>
      </c>
      <c r="M341" t="s">
        <v>885</v>
      </c>
      <c r="N341" t="b">
        <v>0</v>
      </c>
    </row>
    <row r="342" spans="2:14">
      <c r="B342" t="s">
        <v>751</v>
      </c>
      <c r="C342" s="110" t="str">
        <f>RIGHT(B342,3)</f>
        <v>119</v>
      </c>
      <c r="D342" t="s">
        <v>441</v>
      </c>
      <c r="E342" s="110" t="str">
        <f>LEFT(F342,22)</f>
        <v>PLATE, LOWER</v>
      </c>
      <c r="F342" t="s">
        <v>166</v>
      </c>
      <c r="G342" s="110" t="str">
        <f>RIGHT(H342,9)</f>
        <v>011643848</v>
      </c>
      <c r="H342" t="s">
        <v>167</v>
      </c>
      <c r="I342" s="96">
        <f>Table__10.2.1.2_1_4AHB_v_gen_TBO[[#This Row],[REALDUE]]-Table__10.2.1.2_1_4AHB_v_gen_TBO[[#This Row],[EI_BEG_AGE]]</f>
        <v>11191.1</v>
      </c>
      <c r="J342" s="96">
        <v>3973.9</v>
      </c>
      <c r="K342" s="110" t="str">
        <f>IF(Table__10.2.1.2_1_4AHB_v_gen_TBO[[#This Row],[NO_OVHLS]]="RC","RC","LC")</f>
        <v>RC</v>
      </c>
      <c r="L342" t="s">
        <v>405</v>
      </c>
      <c r="M342" t="s">
        <v>940</v>
      </c>
      <c r="N342" t="b">
        <v>0</v>
      </c>
    </row>
    <row r="343" spans="2:14">
      <c r="B343" t="s">
        <v>751</v>
      </c>
      <c r="C343" s="110" t="str">
        <f>RIGHT(B343,3)</f>
        <v>119</v>
      </c>
      <c r="D343" t="s">
        <v>440</v>
      </c>
      <c r="E343" s="110" t="str">
        <f>LEFT(F343,22)</f>
        <v>PLATE, UPPER</v>
      </c>
      <c r="F343" t="s">
        <v>164</v>
      </c>
      <c r="G343" s="110" t="str">
        <f>RIGHT(H343,9)</f>
        <v>011643847</v>
      </c>
      <c r="H343" t="s">
        <v>165</v>
      </c>
      <c r="I343" s="96">
        <f>Table__10.2.1.2_1_4AHB_v_gen_TBO[[#This Row],[REALDUE]]-Table__10.2.1.2_1_4AHB_v_gen_TBO[[#This Row],[EI_BEG_AGE]]</f>
        <v>11465.1</v>
      </c>
      <c r="J343" s="96">
        <v>3973.9</v>
      </c>
      <c r="K343" s="110" t="str">
        <f>IF(Table__10.2.1.2_1_4AHB_v_gen_TBO[[#This Row],[NO_OVHLS]]="RC","RC","LC")</f>
        <v>RC</v>
      </c>
      <c r="L343" t="s">
        <v>405</v>
      </c>
      <c r="M343" t="s">
        <v>945</v>
      </c>
      <c r="N343" t="b">
        <v>0</v>
      </c>
    </row>
    <row r="344" spans="2:14">
      <c r="B344" t="s">
        <v>749</v>
      </c>
      <c r="C344" s="110" t="str">
        <f>RIGHT(B344,3)</f>
        <v>187</v>
      </c>
      <c r="D344" t="s">
        <v>413</v>
      </c>
      <c r="E344" s="110" t="str">
        <f>LEFT(F344,22)</f>
        <v>FRAME FS 176</v>
      </c>
      <c r="F344" t="s">
        <v>124</v>
      </c>
      <c r="G344" s="110" t="str">
        <f>RIGHT(H344,9)</f>
        <v>N PENDING</v>
      </c>
      <c r="H344" t="s">
        <v>106</v>
      </c>
      <c r="I344" s="96">
        <f>Table__10.2.1.2_1_4AHB_v_gen_TBO[[#This Row],[REALDUE]]-Table__10.2.1.2_1_4AHB_v_gen_TBO[[#This Row],[EI_BEG_AGE]]</f>
        <v>11542.3</v>
      </c>
      <c r="J344" s="96">
        <v>5314.7</v>
      </c>
      <c r="K344" s="110" t="str">
        <f>IF(Table__10.2.1.2_1_4AHB_v_gen_TBO[[#This Row],[NO_OVHLS]]="RC","RC","LC")</f>
        <v>RC</v>
      </c>
      <c r="L344" t="s">
        <v>405</v>
      </c>
      <c r="M344" t="s">
        <v>125</v>
      </c>
      <c r="N344" t="b">
        <v>0</v>
      </c>
    </row>
    <row r="345" spans="2:14">
      <c r="B345" t="s">
        <v>749</v>
      </c>
      <c r="C345" s="110" t="str">
        <f>RIGHT(B345,3)</f>
        <v>187</v>
      </c>
      <c r="D345" t="s">
        <v>423</v>
      </c>
      <c r="E345" s="110" t="str">
        <f>LEFT(F345,22)</f>
        <v>FRAME FS 547</v>
      </c>
      <c r="F345" t="s">
        <v>139</v>
      </c>
      <c r="G345" s="110" t="str">
        <f>RIGHT(H345,9)</f>
        <v>N PENDING</v>
      </c>
      <c r="H345" t="s">
        <v>106</v>
      </c>
      <c r="I345" s="110">
        <f>Table__10.2.1.2_1_4AHB_v_gen_TBO[[#This Row],[REALDUE]]-Table__10.2.1.2_1_4AHB_v_gen_TBO[[#This Row],[EI_BEG_AGE]]</f>
        <v>11589.3</v>
      </c>
      <c r="J345">
        <v>5314.7</v>
      </c>
      <c r="K345" s="110" t="str">
        <f>IF(Table__10.2.1.2_1_4AHB_v_gen_TBO[[#This Row],[NO_OVHLS]]="RC","RC","LC")</f>
        <v>RC</v>
      </c>
      <c r="L345" t="s">
        <v>405</v>
      </c>
      <c r="M345" t="s">
        <v>140</v>
      </c>
      <c r="N345" t="b">
        <v>0</v>
      </c>
    </row>
    <row r="346" spans="2:14">
      <c r="B346" t="s">
        <v>753</v>
      </c>
      <c r="C346" s="110" t="str">
        <f>RIGHT(B346,3)</f>
        <v>141</v>
      </c>
      <c r="D346" t="s">
        <v>564</v>
      </c>
      <c r="E346" s="110" t="str">
        <f>LEFT(F346,22)</f>
        <v>BOLT, LATERAL BELLCRAN</v>
      </c>
      <c r="F346" t="s">
        <v>361</v>
      </c>
      <c r="G346" s="110" t="str">
        <f>RIGHT(H346,9)</f>
        <v>011728682</v>
      </c>
      <c r="H346" t="s">
        <v>362</v>
      </c>
      <c r="I346" s="110">
        <f>Table__10.2.1.2_1_4AHB_v_gen_TBO[[#This Row],[REALDUE]]-Table__10.2.1.2_1_4AHB_v_gen_TBO[[#This Row],[EI_BEG_AGE]]</f>
        <v>11909.5</v>
      </c>
      <c r="J346">
        <v>4733.5</v>
      </c>
      <c r="K346" s="110" t="str">
        <f>IF(Table__10.2.1.2_1_4AHB_v_gen_TBO[[#This Row],[NO_OVHLS]]="RC","RC","LC")</f>
        <v>RC</v>
      </c>
      <c r="L346" t="s">
        <v>405</v>
      </c>
      <c r="M346" t="s">
        <v>624</v>
      </c>
      <c r="N346" t="b">
        <v>0</v>
      </c>
    </row>
    <row r="347" spans="2:14">
      <c r="B347" t="s">
        <v>753</v>
      </c>
      <c r="C347" s="110" t="str">
        <f>RIGHT(B347,3)</f>
        <v>141</v>
      </c>
      <c r="D347" t="s">
        <v>413</v>
      </c>
      <c r="E347" s="110" t="str">
        <f>LEFT(F347,22)</f>
        <v>FRAME FS 176</v>
      </c>
      <c r="F347" t="s">
        <v>124</v>
      </c>
      <c r="G347" s="110" t="str">
        <f>RIGHT(H347,9)</f>
        <v>N PENDING</v>
      </c>
      <c r="H347" t="s">
        <v>106</v>
      </c>
      <c r="I347" s="110">
        <f>Table__10.2.1.2_1_4AHB_v_gen_TBO[[#This Row],[REALDUE]]-Table__10.2.1.2_1_4AHB_v_gen_TBO[[#This Row],[EI_BEG_AGE]]</f>
        <v>12113.5</v>
      </c>
      <c r="J347">
        <v>4733.5</v>
      </c>
      <c r="K347" s="110" t="str">
        <f>IF(Table__10.2.1.2_1_4AHB_v_gen_TBO[[#This Row],[NO_OVHLS]]="RC","RC","LC")</f>
        <v>RC</v>
      </c>
      <c r="L347" t="s">
        <v>405</v>
      </c>
      <c r="M347" t="s">
        <v>888</v>
      </c>
      <c r="N347" t="b">
        <v>0</v>
      </c>
    </row>
    <row r="348" spans="2:14">
      <c r="B348" t="s">
        <v>749</v>
      </c>
      <c r="C348" s="110" t="str">
        <f>RIGHT(B348,3)</f>
        <v>187</v>
      </c>
      <c r="D348" t="s">
        <v>576</v>
      </c>
      <c r="E348" s="110" t="str">
        <f>LEFT(F348,22)</f>
        <v>COLLECTIVE BELLCRANK</v>
      </c>
      <c r="F348" t="s">
        <v>377</v>
      </c>
      <c r="G348" s="110" t="str">
        <f>RIGHT(H348,9)</f>
        <v>012242262</v>
      </c>
      <c r="H348" t="s">
        <v>379</v>
      </c>
      <c r="I348" s="96">
        <f>Table__10.2.1.2_1_4AHB_v_gen_TBO[[#This Row],[REALDUE]]-Table__10.2.1.2_1_4AHB_v_gen_TBO[[#This Row],[EI_BEG_AGE]]</f>
        <v>12309.3</v>
      </c>
      <c r="J348" s="96">
        <v>5314.7</v>
      </c>
      <c r="K348" s="110" t="str">
        <f>IF(Table__10.2.1.2_1_4AHB_v_gen_TBO[[#This Row],[NO_OVHLS]]="RC","RC","LC")</f>
        <v>RC</v>
      </c>
      <c r="L348" t="s">
        <v>405</v>
      </c>
      <c r="M348" t="s">
        <v>1008</v>
      </c>
      <c r="N348" t="b">
        <v>0</v>
      </c>
    </row>
    <row r="349" spans="2:14">
      <c r="B349" t="s">
        <v>751</v>
      </c>
      <c r="C349" s="110" t="str">
        <f>RIGHT(B349,3)</f>
        <v>119</v>
      </c>
      <c r="D349" t="s">
        <v>447</v>
      </c>
      <c r="E349" s="110" t="str">
        <f>LEFT(F349,22)</f>
        <v>ROD END (DAMPER)</v>
      </c>
      <c r="F349" t="s">
        <v>179</v>
      </c>
      <c r="G349" s="110" t="str">
        <f>RIGHT(H349,9)</f>
        <v>011705299</v>
      </c>
      <c r="H349" t="s">
        <v>180</v>
      </c>
      <c r="I349" s="96">
        <f>Table__10.2.1.2_1_4AHB_v_gen_TBO[[#This Row],[REALDUE]]-Table__10.2.1.2_1_4AHB_v_gen_TBO[[#This Row],[EI_BEG_AGE]]</f>
        <v>12731.1</v>
      </c>
      <c r="J349" s="96">
        <v>3973.9</v>
      </c>
      <c r="K349" s="110" t="str">
        <f>IF(Table__10.2.1.2_1_4AHB_v_gen_TBO[[#This Row],[NO_OVHLS]]="RC","RC","LC")</f>
        <v>RC</v>
      </c>
      <c r="L349" t="s">
        <v>405</v>
      </c>
      <c r="M349" t="s">
        <v>870</v>
      </c>
      <c r="N349" t="b">
        <v>0</v>
      </c>
    </row>
    <row r="350" spans="2:14">
      <c r="B350" t="s">
        <v>751</v>
      </c>
      <c r="C350" s="110" t="str">
        <f>RIGHT(B350,3)</f>
        <v>119</v>
      </c>
      <c r="D350" t="s">
        <v>447</v>
      </c>
      <c r="E350" s="110" t="str">
        <f>LEFT(F350,22)</f>
        <v>ROD END (DAMPER)</v>
      </c>
      <c r="F350" t="s">
        <v>179</v>
      </c>
      <c r="G350" s="110" t="str">
        <f>RIGHT(H350,9)</f>
        <v>011705299</v>
      </c>
      <c r="H350" t="s">
        <v>180</v>
      </c>
      <c r="I350" s="96">
        <f>Table__10.2.1.2_1_4AHB_v_gen_TBO[[#This Row],[REALDUE]]-Table__10.2.1.2_1_4AHB_v_gen_TBO[[#This Row],[EI_BEG_AGE]]</f>
        <v>12845.1</v>
      </c>
      <c r="J350" s="96">
        <v>3973.9</v>
      </c>
      <c r="K350" s="110" t="str">
        <f>IF(Table__10.2.1.2_1_4AHB_v_gen_TBO[[#This Row],[NO_OVHLS]]="RC","RC","LC")</f>
        <v>RC</v>
      </c>
      <c r="L350" t="s">
        <v>405</v>
      </c>
      <c r="M350" t="s">
        <v>871</v>
      </c>
      <c r="N350" t="b">
        <v>0</v>
      </c>
    </row>
    <row r="351" spans="2:14">
      <c r="B351" t="s">
        <v>753</v>
      </c>
      <c r="C351" s="110" t="str">
        <f>RIGHT(B351,3)</f>
        <v>141</v>
      </c>
      <c r="D351" t="s">
        <v>566</v>
      </c>
      <c r="E351" s="110" t="str">
        <f>LEFT(F351,22)</f>
        <v>BOLT, FWD LONG BELLCRA</v>
      </c>
      <c r="F351" t="s">
        <v>367</v>
      </c>
      <c r="G351" s="110" t="str">
        <f>RIGHT(H351,9)</f>
        <v>011639567</v>
      </c>
      <c r="H351" t="s">
        <v>366</v>
      </c>
      <c r="I351" s="96">
        <f>Table__10.2.1.2_1_4AHB_v_gen_TBO[[#This Row],[REALDUE]]-Table__10.2.1.2_1_4AHB_v_gen_TBO[[#This Row],[EI_BEG_AGE]]</f>
        <v>12879.5</v>
      </c>
      <c r="J351" s="96">
        <v>4733.5</v>
      </c>
      <c r="K351" s="110" t="str">
        <f>IF(Table__10.2.1.2_1_4AHB_v_gen_TBO[[#This Row],[NO_OVHLS]]="RC","RC","LC")</f>
        <v>RC</v>
      </c>
      <c r="L351" t="s">
        <v>405</v>
      </c>
      <c r="M351" t="s">
        <v>884</v>
      </c>
      <c r="N351" t="b">
        <v>0</v>
      </c>
    </row>
    <row r="352" spans="2:14">
      <c r="B352" t="s">
        <v>753</v>
      </c>
      <c r="C352" s="110" t="str">
        <f>RIGHT(B352,3)</f>
        <v>141</v>
      </c>
      <c r="D352" t="s">
        <v>566</v>
      </c>
      <c r="E352" s="110" t="str">
        <f>LEFT(F352,22)</f>
        <v>BOLT, FWD LONG BELLCRA</v>
      </c>
      <c r="F352" t="s">
        <v>367</v>
      </c>
      <c r="G352" s="110" t="str">
        <f>RIGHT(H352,9)</f>
        <v>011639567</v>
      </c>
      <c r="H352" t="s">
        <v>366</v>
      </c>
      <c r="I352" s="96">
        <f>Table__10.2.1.2_1_4AHB_v_gen_TBO[[#This Row],[REALDUE]]-Table__10.2.1.2_1_4AHB_v_gen_TBO[[#This Row],[EI_BEG_AGE]]</f>
        <v>12879.5</v>
      </c>
      <c r="J352" s="96">
        <v>4733.5</v>
      </c>
      <c r="K352" s="110" t="str">
        <f>IF(Table__10.2.1.2_1_4AHB_v_gen_TBO[[#This Row],[NO_OVHLS]]="RC","RC","LC")</f>
        <v>RC</v>
      </c>
      <c r="L352" t="s">
        <v>405</v>
      </c>
      <c r="M352" t="s">
        <v>884</v>
      </c>
      <c r="N352" t="b">
        <v>0</v>
      </c>
    </row>
    <row r="353" spans="2:14">
      <c r="B353" t="s">
        <v>751</v>
      </c>
      <c r="C353" s="110" t="str">
        <f>RIGHT(B353,3)</f>
        <v>119</v>
      </c>
      <c r="D353" t="s">
        <v>423</v>
      </c>
      <c r="E353" s="110" t="str">
        <f>LEFT(F353,22)</f>
        <v>FRAME FS 547</v>
      </c>
      <c r="F353" t="s">
        <v>139</v>
      </c>
      <c r="G353" s="110" t="str">
        <f>RIGHT(H353,9)</f>
        <v>N PENDING</v>
      </c>
      <c r="H353" t="s">
        <v>106</v>
      </c>
      <c r="I353" s="96">
        <f>Table__10.2.1.2_1_4AHB_v_gen_TBO[[#This Row],[REALDUE]]-Table__10.2.1.2_1_4AHB_v_gen_TBO[[#This Row],[EI_BEG_AGE]]</f>
        <v>12930.1</v>
      </c>
      <c r="J353" s="96">
        <v>3973.9</v>
      </c>
      <c r="K353" s="110" t="str">
        <f>IF(Table__10.2.1.2_1_4AHB_v_gen_TBO[[#This Row],[NO_OVHLS]]="RC","RC","LC")</f>
        <v>RC</v>
      </c>
      <c r="L353" t="s">
        <v>405</v>
      </c>
      <c r="M353" t="s">
        <v>140</v>
      </c>
      <c r="N353" t="b">
        <v>0</v>
      </c>
    </row>
    <row r="354" spans="2:14">
      <c r="B354" t="s">
        <v>753</v>
      </c>
      <c r="C354" s="110" t="str">
        <f>RIGHT(B354,3)</f>
        <v>141</v>
      </c>
      <c r="D354" t="s">
        <v>447</v>
      </c>
      <c r="E354" s="110" t="str">
        <f>LEFT(F354,22)</f>
        <v>ROD END (DAMPER)</v>
      </c>
      <c r="F354" t="s">
        <v>179</v>
      </c>
      <c r="G354" s="110" t="str">
        <f>RIGHT(H354,9)</f>
        <v>011705299</v>
      </c>
      <c r="H354" t="s">
        <v>180</v>
      </c>
      <c r="I354" s="96">
        <f>Table__10.2.1.2_1_4AHB_v_gen_TBO[[#This Row],[REALDUE]]-Table__10.2.1.2_1_4AHB_v_gen_TBO[[#This Row],[EI_BEG_AGE]]</f>
        <v>12995.5</v>
      </c>
      <c r="J354" s="96">
        <v>4733.5</v>
      </c>
      <c r="K354" s="110" t="str">
        <f>IF(Table__10.2.1.2_1_4AHB_v_gen_TBO[[#This Row],[NO_OVHLS]]="RC","RC","LC")</f>
        <v>RC</v>
      </c>
      <c r="L354" t="s">
        <v>405</v>
      </c>
      <c r="M354" t="s">
        <v>873</v>
      </c>
      <c r="N354" t="b">
        <v>0</v>
      </c>
    </row>
    <row r="355" spans="2:14">
      <c r="B355" t="s">
        <v>751</v>
      </c>
      <c r="C355" s="110" t="str">
        <f>RIGHT(B355,3)</f>
        <v>119</v>
      </c>
      <c r="D355" t="s">
        <v>447</v>
      </c>
      <c r="E355" s="110" t="str">
        <f>LEFT(F355,22)</f>
        <v>ROD END (DAMPER)</v>
      </c>
      <c r="F355" t="s">
        <v>179</v>
      </c>
      <c r="G355" s="110" t="str">
        <f>RIGHT(H355,9)</f>
        <v>011705299</v>
      </c>
      <c r="H355" t="s">
        <v>180</v>
      </c>
      <c r="I355" s="96">
        <f>Table__10.2.1.2_1_4AHB_v_gen_TBO[[#This Row],[REALDUE]]-Table__10.2.1.2_1_4AHB_v_gen_TBO[[#This Row],[EI_BEG_AGE]]</f>
        <v>13073.1</v>
      </c>
      <c r="J355" s="96">
        <v>3973.9</v>
      </c>
      <c r="K355" s="110" t="str">
        <f>IF(Table__10.2.1.2_1_4AHB_v_gen_TBO[[#This Row],[NO_OVHLS]]="RC","RC","LC")</f>
        <v>RC</v>
      </c>
      <c r="L355" t="s">
        <v>405</v>
      </c>
      <c r="M355" t="s">
        <v>595</v>
      </c>
      <c r="N355" t="b">
        <v>0</v>
      </c>
    </row>
    <row r="356" spans="2:14">
      <c r="B356" t="s">
        <v>751</v>
      </c>
      <c r="C356" s="110" t="str">
        <f>RIGHT(B356,3)</f>
        <v>119</v>
      </c>
      <c r="D356" t="s">
        <v>447</v>
      </c>
      <c r="E356" s="110" t="str">
        <f>LEFT(F356,22)</f>
        <v>ROD END (DAMPER)</v>
      </c>
      <c r="F356" t="s">
        <v>179</v>
      </c>
      <c r="G356" s="110" t="str">
        <f>RIGHT(H356,9)</f>
        <v>011705299</v>
      </c>
      <c r="H356" t="s">
        <v>180</v>
      </c>
      <c r="I356" s="96">
        <f>Table__10.2.1.2_1_4AHB_v_gen_TBO[[#This Row],[REALDUE]]-Table__10.2.1.2_1_4AHB_v_gen_TBO[[#This Row],[EI_BEG_AGE]]</f>
        <v>13073.1</v>
      </c>
      <c r="J356" s="96">
        <v>3973.9</v>
      </c>
      <c r="K356" s="110" t="str">
        <f>IF(Table__10.2.1.2_1_4AHB_v_gen_TBO[[#This Row],[NO_OVHLS]]="RC","RC","LC")</f>
        <v>RC</v>
      </c>
      <c r="L356" t="s">
        <v>405</v>
      </c>
      <c r="M356" t="s">
        <v>595</v>
      </c>
      <c r="N356" t="b">
        <v>0</v>
      </c>
    </row>
    <row r="357" spans="2:14">
      <c r="B357" t="s">
        <v>751</v>
      </c>
      <c r="C357" s="110" t="str">
        <f>RIGHT(B357,3)</f>
        <v>119</v>
      </c>
      <c r="D357" t="s">
        <v>447</v>
      </c>
      <c r="E357" s="110" t="str">
        <f>LEFT(F357,22)</f>
        <v>ROD END (DAMPER)</v>
      </c>
      <c r="F357" t="s">
        <v>179</v>
      </c>
      <c r="G357" s="110" t="str">
        <f>RIGHT(H357,9)</f>
        <v>011705299</v>
      </c>
      <c r="H357" t="s">
        <v>180</v>
      </c>
      <c r="I357" s="96">
        <f>Table__10.2.1.2_1_4AHB_v_gen_TBO[[#This Row],[REALDUE]]-Table__10.2.1.2_1_4AHB_v_gen_TBO[[#This Row],[EI_BEG_AGE]]</f>
        <v>13073.1</v>
      </c>
      <c r="J357" s="96">
        <v>3973.9</v>
      </c>
      <c r="K357" s="110" t="str">
        <f>IF(Table__10.2.1.2_1_4AHB_v_gen_TBO[[#This Row],[NO_OVHLS]]="RC","RC","LC")</f>
        <v>RC</v>
      </c>
      <c r="L357" t="s">
        <v>405</v>
      </c>
      <c r="M357" t="s">
        <v>595</v>
      </c>
      <c r="N357" t="b">
        <v>0</v>
      </c>
    </row>
    <row r="358" spans="2:14">
      <c r="B358" t="s">
        <v>751</v>
      </c>
      <c r="C358" s="110" t="str">
        <f>RIGHT(B358,3)</f>
        <v>119</v>
      </c>
      <c r="D358" t="s">
        <v>447</v>
      </c>
      <c r="E358" s="110" t="str">
        <f>LEFT(F358,22)</f>
        <v>ROD END (DAMPER)</v>
      </c>
      <c r="F358" t="s">
        <v>179</v>
      </c>
      <c r="G358" s="110" t="str">
        <f>RIGHT(H358,9)</f>
        <v>011705299</v>
      </c>
      <c r="H358" t="s">
        <v>180</v>
      </c>
      <c r="I358" s="96">
        <f>Table__10.2.1.2_1_4AHB_v_gen_TBO[[#This Row],[REALDUE]]-Table__10.2.1.2_1_4AHB_v_gen_TBO[[#This Row],[EI_BEG_AGE]]</f>
        <v>13073.1</v>
      </c>
      <c r="J358" s="96">
        <v>3973.9</v>
      </c>
      <c r="K358" s="110" t="str">
        <f>IF(Table__10.2.1.2_1_4AHB_v_gen_TBO[[#This Row],[NO_OVHLS]]="RC","RC","LC")</f>
        <v>RC</v>
      </c>
      <c r="L358" t="s">
        <v>405</v>
      </c>
      <c r="M358" t="s">
        <v>595</v>
      </c>
      <c r="N358" t="b">
        <v>0</v>
      </c>
    </row>
    <row r="359" spans="2:14">
      <c r="B359" t="s">
        <v>751</v>
      </c>
      <c r="C359" s="110" t="str">
        <f>RIGHT(B359,3)</f>
        <v>119</v>
      </c>
      <c r="D359" t="s">
        <v>447</v>
      </c>
      <c r="E359" s="110" t="str">
        <f>LEFT(F359,22)</f>
        <v>ROD END (DAMPER)</v>
      </c>
      <c r="F359" t="s">
        <v>179</v>
      </c>
      <c r="G359" s="110" t="str">
        <f>RIGHT(H359,9)</f>
        <v>011705299</v>
      </c>
      <c r="H359" t="s">
        <v>180</v>
      </c>
      <c r="I359" s="96">
        <f>Table__10.2.1.2_1_4AHB_v_gen_TBO[[#This Row],[REALDUE]]-Table__10.2.1.2_1_4AHB_v_gen_TBO[[#This Row],[EI_BEG_AGE]]</f>
        <v>13169.1</v>
      </c>
      <c r="J359" s="96">
        <v>3973.9</v>
      </c>
      <c r="K359" s="110" t="str">
        <f>IF(Table__10.2.1.2_1_4AHB_v_gen_TBO[[#This Row],[NO_OVHLS]]="RC","RC","LC")</f>
        <v>RC</v>
      </c>
      <c r="L359" t="s">
        <v>405</v>
      </c>
      <c r="M359" t="s">
        <v>872</v>
      </c>
      <c r="N359" t="b">
        <v>0</v>
      </c>
    </row>
    <row r="360" spans="2:14">
      <c r="B360" t="s">
        <v>751</v>
      </c>
      <c r="C360" s="110" t="str">
        <f>RIGHT(B360,3)</f>
        <v>119</v>
      </c>
      <c r="D360" t="s">
        <v>447</v>
      </c>
      <c r="E360" s="110" t="str">
        <f>LEFT(F360,22)</f>
        <v>ROD END (DAMPER)</v>
      </c>
      <c r="F360" t="s">
        <v>179</v>
      </c>
      <c r="G360" s="110" t="str">
        <f>RIGHT(H360,9)</f>
        <v>011705299</v>
      </c>
      <c r="H360" t="s">
        <v>180</v>
      </c>
      <c r="I360" s="96">
        <f>Table__10.2.1.2_1_4AHB_v_gen_TBO[[#This Row],[REALDUE]]-Table__10.2.1.2_1_4AHB_v_gen_TBO[[#This Row],[EI_BEG_AGE]]</f>
        <v>13169.1</v>
      </c>
      <c r="J360" s="96">
        <v>3973.9</v>
      </c>
      <c r="K360" s="110" t="str">
        <f>IF(Table__10.2.1.2_1_4AHB_v_gen_TBO[[#This Row],[NO_OVHLS]]="RC","RC","LC")</f>
        <v>RC</v>
      </c>
      <c r="L360" t="s">
        <v>405</v>
      </c>
      <c r="M360" t="s">
        <v>872</v>
      </c>
      <c r="N360" t="b">
        <v>0</v>
      </c>
    </row>
    <row r="361" spans="2:14">
      <c r="B361" t="s">
        <v>753</v>
      </c>
      <c r="C361" s="110" t="str">
        <f>RIGHT(B361,3)</f>
        <v>141</v>
      </c>
      <c r="D361" t="s">
        <v>447</v>
      </c>
      <c r="E361" s="110" t="str">
        <f>LEFT(F361,22)</f>
        <v>ROD END (DAMPER)</v>
      </c>
      <c r="F361" t="s">
        <v>179</v>
      </c>
      <c r="G361" s="110" t="str">
        <f>RIGHT(H361,9)</f>
        <v>011705299</v>
      </c>
      <c r="H361" t="s">
        <v>180</v>
      </c>
      <c r="I361" s="96">
        <f>Table__10.2.1.2_1_4AHB_v_gen_TBO[[#This Row],[REALDUE]]-Table__10.2.1.2_1_4AHB_v_gen_TBO[[#This Row],[EI_BEG_AGE]]</f>
        <v>13225.5</v>
      </c>
      <c r="J361" s="96">
        <v>4733.5</v>
      </c>
      <c r="K361" s="110" t="str">
        <f>IF(Table__10.2.1.2_1_4AHB_v_gen_TBO[[#This Row],[NO_OVHLS]]="RC","RC","LC")</f>
        <v>RC</v>
      </c>
      <c r="L361" t="s">
        <v>405</v>
      </c>
      <c r="M361" t="s">
        <v>874</v>
      </c>
      <c r="N361" t="b">
        <v>0</v>
      </c>
    </row>
    <row r="362" spans="2:14">
      <c r="B362" t="s">
        <v>749</v>
      </c>
      <c r="C362" s="110" t="str">
        <f>RIGHT(B362,3)</f>
        <v>187</v>
      </c>
      <c r="D362" t="s">
        <v>447</v>
      </c>
      <c r="E362" s="110" t="str">
        <f>LEFT(F362,22)</f>
        <v>ROD END (DAMPER)</v>
      </c>
      <c r="F362" t="s">
        <v>179</v>
      </c>
      <c r="G362" s="110" t="str">
        <f>RIGHT(H362,9)</f>
        <v>011705299</v>
      </c>
      <c r="H362" t="s">
        <v>180</v>
      </c>
      <c r="I362" s="96">
        <f>Table__10.2.1.2_1_4AHB_v_gen_TBO[[#This Row],[REALDUE]]-Table__10.2.1.2_1_4AHB_v_gen_TBO[[#This Row],[EI_BEG_AGE]]</f>
        <v>13315.3</v>
      </c>
      <c r="J362" s="96">
        <v>5314.7</v>
      </c>
      <c r="K362" s="110" t="str">
        <f>IF(Table__10.2.1.2_1_4AHB_v_gen_TBO[[#This Row],[NO_OVHLS]]="RC","RC","LC")</f>
        <v>RC</v>
      </c>
      <c r="L362" t="s">
        <v>405</v>
      </c>
      <c r="M362" t="s">
        <v>875</v>
      </c>
      <c r="N362" t="b">
        <v>0</v>
      </c>
    </row>
    <row r="363" spans="2:14">
      <c r="B363" t="s">
        <v>749</v>
      </c>
      <c r="C363" s="110" t="str">
        <f>RIGHT(B363,3)</f>
        <v>187</v>
      </c>
      <c r="D363" t="s">
        <v>447</v>
      </c>
      <c r="E363" s="110" t="str">
        <f>LEFT(F363,22)</f>
        <v>ROD END (DAMPER)</v>
      </c>
      <c r="F363" t="s">
        <v>179</v>
      </c>
      <c r="G363" s="110" t="str">
        <f>RIGHT(H363,9)</f>
        <v>011705299</v>
      </c>
      <c r="H363" t="s">
        <v>180</v>
      </c>
      <c r="I363" s="96">
        <f>Table__10.2.1.2_1_4AHB_v_gen_TBO[[#This Row],[REALDUE]]-Table__10.2.1.2_1_4AHB_v_gen_TBO[[#This Row],[EI_BEG_AGE]]</f>
        <v>13315.3</v>
      </c>
      <c r="J363" s="96">
        <v>5314.7</v>
      </c>
      <c r="K363" s="110" t="str">
        <f>IF(Table__10.2.1.2_1_4AHB_v_gen_TBO[[#This Row],[NO_OVHLS]]="RC","RC","LC")</f>
        <v>RC</v>
      </c>
      <c r="L363" t="s">
        <v>405</v>
      </c>
      <c r="M363" t="s">
        <v>875</v>
      </c>
      <c r="N363" t="b">
        <v>0</v>
      </c>
    </row>
    <row r="364" spans="2:14">
      <c r="B364" t="s">
        <v>749</v>
      </c>
      <c r="C364" s="110" t="str">
        <f>RIGHT(B364,3)</f>
        <v>187</v>
      </c>
      <c r="D364" t="s">
        <v>447</v>
      </c>
      <c r="E364" s="110" t="str">
        <f>LEFT(F364,22)</f>
        <v>ROD END (DAMPER)</v>
      </c>
      <c r="F364" t="s">
        <v>179</v>
      </c>
      <c r="G364" s="110" t="str">
        <f>RIGHT(H364,9)</f>
        <v>011705299</v>
      </c>
      <c r="H364" t="s">
        <v>180</v>
      </c>
      <c r="I364" s="96">
        <f>Table__10.2.1.2_1_4AHB_v_gen_TBO[[#This Row],[REALDUE]]-Table__10.2.1.2_1_4AHB_v_gen_TBO[[#This Row],[EI_BEG_AGE]]</f>
        <v>13315.3</v>
      </c>
      <c r="J364" s="96">
        <v>5314.7</v>
      </c>
      <c r="K364" s="110" t="str">
        <f>IF(Table__10.2.1.2_1_4AHB_v_gen_TBO[[#This Row],[NO_OVHLS]]="RC","RC","LC")</f>
        <v>RC</v>
      </c>
      <c r="L364" t="s">
        <v>405</v>
      </c>
      <c r="M364" t="s">
        <v>875</v>
      </c>
      <c r="N364" t="b">
        <v>0</v>
      </c>
    </row>
    <row r="365" spans="2:14">
      <c r="B365" t="s">
        <v>749</v>
      </c>
      <c r="C365" s="110" t="str">
        <f>RIGHT(B365,3)</f>
        <v>187</v>
      </c>
      <c r="D365" t="s">
        <v>447</v>
      </c>
      <c r="E365" s="110" t="str">
        <f>LEFT(F365,22)</f>
        <v>ROD END (DAMPER)</v>
      </c>
      <c r="F365" t="s">
        <v>179</v>
      </c>
      <c r="G365" s="110" t="str">
        <f>RIGHT(H365,9)</f>
        <v>011705299</v>
      </c>
      <c r="H365" t="s">
        <v>180</v>
      </c>
      <c r="I365" s="96">
        <f>Table__10.2.1.2_1_4AHB_v_gen_TBO[[#This Row],[REALDUE]]-Table__10.2.1.2_1_4AHB_v_gen_TBO[[#This Row],[EI_BEG_AGE]]</f>
        <v>13315.3</v>
      </c>
      <c r="J365" s="96">
        <v>5314.7</v>
      </c>
      <c r="K365" s="110" t="str">
        <f>IF(Table__10.2.1.2_1_4AHB_v_gen_TBO[[#This Row],[NO_OVHLS]]="RC","RC","LC")</f>
        <v>RC</v>
      </c>
      <c r="L365" t="s">
        <v>405</v>
      </c>
      <c r="M365" t="s">
        <v>875</v>
      </c>
      <c r="N365" t="b">
        <v>0</v>
      </c>
    </row>
    <row r="366" spans="2:14">
      <c r="B366" t="s">
        <v>749</v>
      </c>
      <c r="C366" s="110" t="str">
        <f>RIGHT(B366,3)</f>
        <v>187</v>
      </c>
      <c r="D366" t="s">
        <v>447</v>
      </c>
      <c r="E366" s="110" t="str">
        <f>LEFT(F366,22)</f>
        <v>ROD END (DAMPER)</v>
      </c>
      <c r="F366" t="s">
        <v>179</v>
      </c>
      <c r="G366" s="110" t="str">
        <f>RIGHT(H366,9)</f>
        <v>011705299</v>
      </c>
      <c r="H366" t="s">
        <v>180</v>
      </c>
      <c r="I366" s="96">
        <f>Table__10.2.1.2_1_4AHB_v_gen_TBO[[#This Row],[REALDUE]]-Table__10.2.1.2_1_4AHB_v_gen_TBO[[#This Row],[EI_BEG_AGE]]</f>
        <v>13315.3</v>
      </c>
      <c r="J366" s="96">
        <v>5314.7</v>
      </c>
      <c r="K366" s="110" t="str">
        <f>IF(Table__10.2.1.2_1_4AHB_v_gen_TBO[[#This Row],[NO_OVHLS]]="RC","RC","LC")</f>
        <v>RC</v>
      </c>
      <c r="L366" t="s">
        <v>405</v>
      </c>
      <c r="M366" t="s">
        <v>875</v>
      </c>
      <c r="N366" t="b">
        <v>0</v>
      </c>
    </row>
    <row r="367" spans="2:14">
      <c r="B367" t="s">
        <v>749</v>
      </c>
      <c r="C367" s="110" t="str">
        <f>RIGHT(B367,3)</f>
        <v>187</v>
      </c>
      <c r="D367" t="s">
        <v>447</v>
      </c>
      <c r="E367" s="110" t="str">
        <f>LEFT(F367,22)</f>
        <v>ROD END (DAMPER)</v>
      </c>
      <c r="F367" t="s">
        <v>179</v>
      </c>
      <c r="G367" s="110" t="str">
        <f>RIGHT(H367,9)</f>
        <v>011705299</v>
      </c>
      <c r="H367" t="s">
        <v>180</v>
      </c>
      <c r="I367" s="96">
        <f>Table__10.2.1.2_1_4AHB_v_gen_TBO[[#This Row],[REALDUE]]-Table__10.2.1.2_1_4AHB_v_gen_TBO[[#This Row],[EI_BEG_AGE]]</f>
        <v>13315.3</v>
      </c>
      <c r="J367" s="96">
        <v>5314.7</v>
      </c>
      <c r="K367" s="110" t="str">
        <f>IF(Table__10.2.1.2_1_4AHB_v_gen_TBO[[#This Row],[NO_OVHLS]]="RC","RC","LC")</f>
        <v>RC</v>
      </c>
      <c r="L367" t="s">
        <v>405</v>
      </c>
      <c r="M367" t="s">
        <v>875</v>
      </c>
      <c r="N367" t="b">
        <v>0</v>
      </c>
    </row>
    <row r="368" spans="2:14">
      <c r="B368" t="s">
        <v>749</v>
      </c>
      <c r="C368" s="110" t="str">
        <f>RIGHT(B368,3)</f>
        <v>187</v>
      </c>
      <c r="D368" t="s">
        <v>447</v>
      </c>
      <c r="E368" s="110" t="str">
        <f>LEFT(F368,22)</f>
        <v>ROD END (DAMPER)</v>
      </c>
      <c r="F368" t="s">
        <v>179</v>
      </c>
      <c r="G368" s="110" t="str">
        <f>RIGHT(H368,9)</f>
        <v>011705299</v>
      </c>
      <c r="H368" t="s">
        <v>180</v>
      </c>
      <c r="I368" s="96">
        <f>Table__10.2.1.2_1_4AHB_v_gen_TBO[[#This Row],[REALDUE]]-Table__10.2.1.2_1_4AHB_v_gen_TBO[[#This Row],[EI_BEG_AGE]]</f>
        <v>13315.3</v>
      </c>
      <c r="J368" s="96">
        <v>5314.7</v>
      </c>
      <c r="K368" s="110" t="str">
        <f>IF(Table__10.2.1.2_1_4AHB_v_gen_TBO[[#This Row],[NO_OVHLS]]="RC","RC","LC")</f>
        <v>RC</v>
      </c>
      <c r="L368" t="s">
        <v>405</v>
      </c>
      <c r="M368" t="s">
        <v>875</v>
      </c>
      <c r="N368" t="b">
        <v>0</v>
      </c>
    </row>
    <row r="369" spans="2:14">
      <c r="B369" t="s">
        <v>749</v>
      </c>
      <c r="C369" s="110" t="str">
        <f>RIGHT(B369,3)</f>
        <v>187</v>
      </c>
      <c r="D369" t="s">
        <v>447</v>
      </c>
      <c r="E369" s="110" t="str">
        <f>LEFT(F369,22)</f>
        <v>ROD END (DAMPER)</v>
      </c>
      <c r="F369" t="s">
        <v>179</v>
      </c>
      <c r="G369" s="110" t="str">
        <f>RIGHT(H369,9)</f>
        <v>011705299</v>
      </c>
      <c r="H369" t="s">
        <v>180</v>
      </c>
      <c r="I369" s="96">
        <f>Table__10.2.1.2_1_4AHB_v_gen_TBO[[#This Row],[REALDUE]]-Table__10.2.1.2_1_4AHB_v_gen_TBO[[#This Row],[EI_BEG_AGE]]</f>
        <v>13315.3</v>
      </c>
      <c r="J369" s="96">
        <v>5314.7</v>
      </c>
      <c r="K369" s="110" t="str">
        <f>IF(Table__10.2.1.2_1_4AHB_v_gen_TBO[[#This Row],[NO_OVHLS]]="RC","RC","LC")</f>
        <v>RC</v>
      </c>
      <c r="L369" t="s">
        <v>405</v>
      </c>
      <c r="M369" t="s">
        <v>875</v>
      </c>
      <c r="N369" t="b">
        <v>0</v>
      </c>
    </row>
    <row r="370" spans="2:14">
      <c r="B370" t="s">
        <v>753</v>
      </c>
      <c r="C370" s="110" t="str">
        <f>RIGHT(B370,3)</f>
        <v>141</v>
      </c>
      <c r="D370" t="s">
        <v>417</v>
      </c>
      <c r="E370" s="110" t="str">
        <f>LEFT(F370,22)</f>
        <v>STABILATOR FITTING (AC</v>
      </c>
      <c r="F370" t="s">
        <v>130</v>
      </c>
      <c r="G370" s="110" t="str">
        <f>RIGHT(H370,9)</f>
        <v>015921214</v>
      </c>
      <c r="H370" t="s">
        <v>131</v>
      </c>
      <c r="I370" s="96">
        <f>Table__10.2.1.2_1_4AHB_v_gen_TBO[[#This Row],[REALDUE]]-Table__10.2.1.2_1_4AHB_v_gen_TBO[[#This Row],[EI_BEG_AGE]]</f>
        <v>13336.5</v>
      </c>
      <c r="J370" s="96">
        <v>4733.5</v>
      </c>
      <c r="K370" s="110" t="str">
        <f>IF(Table__10.2.1.2_1_4AHB_v_gen_TBO[[#This Row],[NO_OVHLS]]="RC","RC","LC")</f>
        <v>RC</v>
      </c>
      <c r="L370" t="s">
        <v>405</v>
      </c>
      <c r="M370" t="s">
        <v>132</v>
      </c>
      <c r="N370" t="b">
        <v>0</v>
      </c>
    </row>
    <row r="371" spans="2:14">
      <c r="B371" t="s">
        <v>753</v>
      </c>
      <c r="C371" s="110" t="str">
        <f>RIGHT(B371,3)</f>
        <v>141</v>
      </c>
      <c r="D371" t="s">
        <v>447</v>
      </c>
      <c r="E371" s="110" t="str">
        <f>LEFT(F371,22)</f>
        <v>ROD END (DAMPER)</v>
      </c>
      <c r="F371" t="s">
        <v>179</v>
      </c>
      <c r="G371" s="110" t="str">
        <f>RIGHT(H371,9)</f>
        <v>011705299</v>
      </c>
      <c r="H371" t="s">
        <v>180</v>
      </c>
      <c r="I371" s="96">
        <f>Table__10.2.1.2_1_4AHB_v_gen_TBO[[#This Row],[REALDUE]]-Table__10.2.1.2_1_4AHB_v_gen_TBO[[#This Row],[EI_BEG_AGE]]</f>
        <v>13512.5</v>
      </c>
      <c r="J371" s="96">
        <v>4733.5</v>
      </c>
      <c r="K371" s="110" t="str">
        <f>IF(Table__10.2.1.2_1_4AHB_v_gen_TBO[[#This Row],[NO_OVHLS]]="RC","RC","LC")</f>
        <v>RC</v>
      </c>
      <c r="L371" t="s">
        <v>405</v>
      </c>
      <c r="M371" t="s">
        <v>869</v>
      </c>
      <c r="N371" t="b">
        <v>0</v>
      </c>
    </row>
    <row r="372" spans="2:14">
      <c r="B372" t="s">
        <v>753</v>
      </c>
      <c r="C372" s="110" t="str">
        <f>RIGHT(B372,3)</f>
        <v>141</v>
      </c>
      <c r="D372" t="s">
        <v>447</v>
      </c>
      <c r="E372" s="110" t="str">
        <f>LEFT(F372,22)</f>
        <v>ROD END (DAMPER)</v>
      </c>
      <c r="F372" t="s">
        <v>179</v>
      </c>
      <c r="G372" s="110" t="str">
        <f>RIGHT(H372,9)</f>
        <v>011705299</v>
      </c>
      <c r="H372" t="s">
        <v>180</v>
      </c>
      <c r="I372" s="96">
        <f>Table__10.2.1.2_1_4AHB_v_gen_TBO[[#This Row],[REALDUE]]-Table__10.2.1.2_1_4AHB_v_gen_TBO[[#This Row],[EI_BEG_AGE]]</f>
        <v>13758.5</v>
      </c>
      <c r="J372" s="96">
        <v>4733.5</v>
      </c>
      <c r="K372" s="110" t="str">
        <f>IF(Table__10.2.1.2_1_4AHB_v_gen_TBO[[#This Row],[NO_OVHLS]]="RC","RC","LC")</f>
        <v>RC</v>
      </c>
      <c r="L372" t="s">
        <v>405</v>
      </c>
      <c r="M372" t="s">
        <v>868</v>
      </c>
      <c r="N372" t="b">
        <v>0</v>
      </c>
    </row>
    <row r="373" spans="2:14">
      <c r="B373" t="s">
        <v>753</v>
      </c>
      <c r="C373" s="110" t="str">
        <f>RIGHT(B373,3)</f>
        <v>141</v>
      </c>
      <c r="D373" t="s">
        <v>447</v>
      </c>
      <c r="E373" s="110" t="str">
        <f>LEFT(F373,22)</f>
        <v>ROD END (DAMPER)</v>
      </c>
      <c r="F373" t="s">
        <v>179</v>
      </c>
      <c r="G373" s="110" t="str">
        <f>RIGHT(H373,9)</f>
        <v>011705299</v>
      </c>
      <c r="H373" t="s">
        <v>180</v>
      </c>
      <c r="I373" s="96">
        <f>Table__10.2.1.2_1_4AHB_v_gen_TBO[[#This Row],[REALDUE]]-Table__10.2.1.2_1_4AHB_v_gen_TBO[[#This Row],[EI_BEG_AGE]]</f>
        <v>13758.5</v>
      </c>
      <c r="J373" s="96">
        <v>4733.5</v>
      </c>
      <c r="K373" s="110" t="str">
        <f>IF(Table__10.2.1.2_1_4AHB_v_gen_TBO[[#This Row],[NO_OVHLS]]="RC","RC","LC")</f>
        <v>RC</v>
      </c>
      <c r="L373" t="s">
        <v>405</v>
      </c>
      <c r="M373" t="s">
        <v>868</v>
      </c>
      <c r="N373" t="b">
        <v>0</v>
      </c>
    </row>
    <row r="374" spans="2:14">
      <c r="B374" t="s">
        <v>753</v>
      </c>
      <c r="C374" s="110" t="str">
        <f>RIGHT(B374,3)</f>
        <v>141</v>
      </c>
      <c r="D374" t="s">
        <v>447</v>
      </c>
      <c r="E374" s="110" t="str">
        <f>LEFT(F374,22)</f>
        <v>ROD END (DAMPER)</v>
      </c>
      <c r="F374" t="s">
        <v>179</v>
      </c>
      <c r="G374" s="110" t="str">
        <f>RIGHT(H374,9)</f>
        <v>011705299</v>
      </c>
      <c r="H374" t="s">
        <v>180</v>
      </c>
      <c r="I374" s="96">
        <f>Table__10.2.1.2_1_4AHB_v_gen_TBO[[#This Row],[REALDUE]]-Table__10.2.1.2_1_4AHB_v_gen_TBO[[#This Row],[EI_BEG_AGE]]</f>
        <v>13758.5</v>
      </c>
      <c r="J374" s="96">
        <v>4733.5</v>
      </c>
      <c r="K374" s="110" t="str">
        <f>IF(Table__10.2.1.2_1_4AHB_v_gen_TBO[[#This Row],[NO_OVHLS]]="RC","RC","LC")</f>
        <v>RC</v>
      </c>
      <c r="L374" t="s">
        <v>405</v>
      </c>
      <c r="M374" t="s">
        <v>868</v>
      </c>
      <c r="N374" t="b">
        <v>0</v>
      </c>
    </row>
    <row r="375" spans="2:14">
      <c r="B375" t="s">
        <v>753</v>
      </c>
      <c r="C375" s="110" t="str">
        <f>RIGHT(B375,3)</f>
        <v>141</v>
      </c>
      <c r="D375" t="s">
        <v>447</v>
      </c>
      <c r="E375" s="110" t="str">
        <f>LEFT(F375,22)</f>
        <v>ROD END (DAMPER)</v>
      </c>
      <c r="F375" t="s">
        <v>179</v>
      </c>
      <c r="G375" s="110" t="str">
        <f>RIGHT(H375,9)</f>
        <v>011705299</v>
      </c>
      <c r="H375" t="s">
        <v>180</v>
      </c>
      <c r="I375" s="96">
        <f>Table__10.2.1.2_1_4AHB_v_gen_TBO[[#This Row],[REALDUE]]-Table__10.2.1.2_1_4AHB_v_gen_TBO[[#This Row],[EI_BEG_AGE]]</f>
        <v>13758.5</v>
      </c>
      <c r="J375" s="96">
        <v>4733.5</v>
      </c>
      <c r="K375" s="110" t="str">
        <f>IF(Table__10.2.1.2_1_4AHB_v_gen_TBO[[#This Row],[NO_OVHLS]]="RC","RC","LC")</f>
        <v>RC</v>
      </c>
      <c r="L375" t="s">
        <v>405</v>
      </c>
      <c r="M375" t="s">
        <v>868</v>
      </c>
      <c r="N375" t="b">
        <v>0</v>
      </c>
    </row>
    <row r="376" spans="2:14">
      <c r="B376" t="s">
        <v>753</v>
      </c>
      <c r="C376" s="110" t="str">
        <f>RIGHT(B376,3)</f>
        <v>141</v>
      </c>
      <c r="D376" t="s">
        <v>447</v>
      </c>
      <c r="E376" s="110" t="str">
        <f>LEFT(F376,22)</f>
        <v>ROD END (DAMPER)</v>
      </c>
      <c r="F376" t="s">
        <v>179</v>
      </c>
      <c r="G376" s="110" t="str">
        <f>RIGHT(H376,9)</f>
        <v>011705299</v>
      </c>
      <c r="H376" t="s">
        <v>180</v>
      </c>
      <c r="I376" s="96">
        <f>Table__10.2.1.2_1_4AHB_v_gen_TBO[[#This Row],[REALDUE]]-Table__10.2.1.2_1_4AHB_v_gen_TBO[[#This Row],[EI_BEG_AGE]]</f>
        <v>13758.5</v>
      </c>
      <c r="J376" s="96">
        <v>4733.5</v>
      </c>
      <c r="K376" s="110" t="str">
        <f>IF(Table__10.2.1.2_1_4AHB_v_gen_TBO[[#This Row],[NO_OVHLS]]="RC","RC","LC")</f>
        <v>RC</v>
      </c>
      <c r="L376" t="s">
        <v>405</v>
      </c>
      <c r="M376" t="s">
        <v>868</v>
      </c>
      <c r="N376" t="b">
        <v>0</v>
      </c>
    </row>
    <row r="377" spans="2:14">
      <c r="B377" t="s">
        <v>751</v>
      </c>
      <c r="C377" s="110" t="str">
        <f>RIGHT(B377,3)</f>
        <v>119</v>
      </c>
      <c r="D377" t="s">
        <v>417</v>
      </c>
      <c r="E377" s="110" t="str">
        <f>LEFT(F377,22)</f>
        <v>STABILATOR FITTING (AC</v>
      </c>
      <c r="F377" t="s">
        <v>130</v>
      </c>
      <c r="G377" s="110" t="str">
        <f>RIGHT(H377,9)</f>
        <v>015921214</v>
      </c>
      <c r="H377" t="s">
        <v>131</v>
      </c>
      <c r="I377" s="96">
        <f>Table__10.2.1.2_1_4AHB_v_gen_TBO[[#This Row],[REALDUE]]-Table__10.2.1.2_1_4AHB_v_gen_TBO[[#This Row],[EI_BEG_AGE]]</f>
        <v>14096.1</v>
      </c>
      <c r="J377" s="96">
        <v>3973.9</v>
      </c>
      <c r="K377" s="110" t="str">
        <f>IF(Table__10.2.1.2_1_4AHB_v_gen_TBO[[#This Row],[NO_OVHLS]]="RC","RC","LC")</f>
        <v>RC</v>
      </c>
      <c r="L377" t="s">
        <v>405</v>
      </c>
      <c r="M377" t="s">
        <v>132</v>
      </c>
      <c r="N377" t="b">
        <v>0</v>
      </c>
    </row>
    <row r="378" spans="2:14">
      <c r="B378" t="s">
        <v>751</v>
      </c>
      <c r="C378" s="110" t="str">
        <f>RIGHT(B378,3)</f>
        <v>119</v>
      </c>
      <c r="D378" t="s">
        <v>528</v>
      </c>
      <c r="E378" s="110" t="str">
        <f>LEFT(F378,22)</f>
        <v>SHAFT SHOULDERED</v>
      </c>
      <c r="F378" t="s">
        <v>310</v>
      </c>
      <c r="G378" s="110" t="str">
        <f>RIGHT(H378,9)</f>
        <v>011728192</v>
      </c>
      <c r="H378" t="s">
        <v>311</v>
      </c>
      <c r="I378" s="96">
        <f>Table__10.2.1.2_1_4AHB_v_gen_TBO[[#This Row],[REALDUE]]-Table__10.2.1.2_1_4AHB_v_gen_TBO[[#This Row],[EI_BEG_AGE]]</f>
        <v>14112.1</v>
      </c>
      <c r="J378" s="96">
        <v>3973.9</v>
      </c>
      <c r="K378" s="110" t="str">
        <f>IF(Table__10.2.1.2_1_4AHB_v_gen_TBO[[#This Row],[NO_OVHLS]]="RC","RC","LC")</f>
        <v>LC</v>
      </c>
      <c r="L378" t="s">
        <v>428</v>
      </c>
      <c r="M378" t="s">
        <v>927</v>
      </c>
      <c r="N378" t="b">
        <v>0</v>
      </c>
    </row>
    <row r="379" spans="2:14">
      <c r="B379" t="s">
        <v>753</v>
      </c>
      <c r="C379" s="110" t="str">
        <f>RIGHT(B379,3)</f>
        <v>141</v>
      </c>
      <c r="D379" t="s">
        <v>597</v>
      </c>
      <c r="E379" s="110" t="str">
        <f>LEFT(F379,22)</f>
        <v>STABILATOR FITTING (ST</v>
      </c>
      <c r="F379" t="s">
        <v>598</v>
      </c>
      <c r="G379" s="110" t="str">
        <f>RIGHT(H379,9)</f>
        <v>011790739</v>
      </c>
      <c r="H379" t="s">
        <v>599</v>
      </c>
      <c r="I379" s="96">
        <f>Table__10.2.1.2_1_4AHB_v_gen_TBO[[#This Row],[REALDUE]]-Table__10.2.1.2_1_4AHB_v_gen_TBO[[#This Row],[EI_BEG_AGE]]</f>
        <v>14343.5</v>
      </c>
      <c r="J379" s="96">
        <v>4733.5</v>
      </c>
      <c r="K379" s="110" t="str">
        <f>IF(Table__10.2.1.2_1_4AHB_v_gen_TBO[[#This Row],[NO_OVHLS]]="RC","RC","LC")</f>
        <v>RC</v>
      </c>
      <c r="L379" t="s">
        <v>405</v>
      </c>
      <c r="M379" t="s">
        <v>901</v>
      </c>
      <c r="N379" t="b">
        <v>0</v>
      </c>
    </row>
    <row r="380" spans="2:14">
      <c r="B380" t="s">
        <v>749</v>
      </c>
      <c r="C380" s="110" t="str">
        <f>RIGHT(B380,3)</f>
        <v>187</v>
      </c>
      <c r="D380" t="s">
        <v>528</v>
      </c>
      <c r="E380" s="110" t="str">
        <f>LEFT(F380,22)</f>
        <v>SHAFT SHOULDERED</v>
      </c>
      <c r="F380" t="s">
        <v>310</v>
      </c>
      <c r="G380" s="110" t="str">
        <f>RIGHT(H380,9)</f>
        <v>011728192</v>
      </c>
      <c r="H380" t="s">
        <v>311</v>
      </c>
      <c r="I380" s="96">
        <f>Table__10.2.1.2_1_4AHB_v_gen_TBO[[#This Row],[REALDUE]]-Table__10.2.1.2_1_4AHB_v_gen_TBO[[#This Row],[EI_BEG_AGE]]</f>
        <v>15068.3</v>
      </c>
      <c r="J380" s="96">
        <v>5314.7</v>
      </c>
      <c r="K380" s="110" t="str">
        <f>IF(Table__10.2.1.2_1_4AHB_v_gen_TBO[[#This Row],[NO_OVHLS]]="RC","RC","LC")</f>
        <v>LC</v>
      </c>
      <c r="L380" t="s">
        <v>428</v>
      </c>
      <c r="M380" t="s">
        <v>637</v>
      </c>
      <c r="N380" t="b">
        <v>0</v>
      </c>
    </row>
    <row r="381" spans="2:14">
      <c r="B381" t="s">
        <v>749</v>
      </c>
      <c r="C381" s="110" t="str">
        <f>RIGHT(B381,3)</f>
        <v>187</v>
      </c>
      <c r="D381" t="s">
        <v>417</v>
      </c>
      <c r="E381" s="110" t="str">
        <f>LEFT(F381,22)</f>
        <v>STABILATOR FITTING (AC</v>
      </c>
      <c r="F381" t="s">
        <v>130</v>
      </c>
      <c r="G381" s="110" t="str">
        <f>RIGHT(H381,9)</f>
        <v>015921214</v>
      </c>
      <c r="H381" t="s">
        <v>131</v>
      </c>
      <c r="I381" s="96">
        <f>Table__10.2.1.2_1_4AHB_v_gen_TBO[[#This Row],[REALDUE]]-Table__10.2.1.2_1_4AHB_v_gen_TBO[[#This Row],[EI_BEG_AGE]]</f>
        <v>15156.3</v>
      </c>
      <c r="J381" s="96">
        <v>5314.7</v>
      </c>
      <c r="K381" s="110" t="str">
        <f>IF(Table__10.2.1.2_1_4AHB_v_gen_TBO[[#This Row],[NO_OVHLS]]="RC","RC","LC")</f>
        <v>RC</v>
      </c>
      <c r="L381" t="s">
        <v>405</v>
      </c>
      <c r="M381" t="s">
        <v>889</v>
      </c>
      <c r="N381" t="b">
        <v>0</v>
      </c>
    </row>
    <row r="382" spans="2:14">
      <c r="B382" t="s">
        <v>749</v>
      </c>
      <c r="C382" s="110" t="str">
        <f>RIGHT(B382,3)</f>
        <v>187</v>
      </c>
      <c r="D382" t="s">
        <v>407</v>
      </c>
      <c r="E382" s="110" t="str">
        <f>LEFT(F382,22)</f>
        <v>BASE ASSY MAST SUPPORT</v>
      </c>
      <c r="F382" t="s">
        <v>110</v>
      </c>
      <c r="G382" s="110" t="str">
        <f>RIGHT(H382,9)</f>
        <v>011556581</v>
      </c>
      <c r="H382" t="s">
        <v>111</v>
      </c>
      <c r="I382" s="96">
        <f>Table__10.2.1.2_1_4AHB_v_gen_TBO[[#This Row],[REALDUE]]-Table__10.2.1.2_1_4AHB_v_gen_TBO[[#This Row],[EI_BEG_AGE]]</f>
        <v>15505.3</v>
      </c>
      <c r="J382" s="96">
        <v>5314.7</v>
      </c>
      <c r="K382" s="110" t="str">
        <f>IF(Table__10.2.1.2_1_4AHB_v_gen_TBO[[#This Row],[NO_OVHLS]]="RC","RC","LC")</f>
        <v>RC</v>
      </c>
      <c r="L382" t="s">
        <v>405</v>
      </c>
      <c r="M382" t="s">
        <v>906</v>
      </c>
      <c r="N382" t="b">
        <v>0</v>
      </c>
    </row>
    <row r="383" spans="2:14">
      <c r="B383" t="s">
        <v>751</v>
      </c>
      <c r="C383" s="110" t="str">
        <f>RIGHT(B383,3)</f>
        <v>119</v>
      </c>
      <c r="D383" t="s">
        <v>597</v>
      </c>
      <c r="E383" s="110" t="str">
        <f>LEFT(F383,22)</f>
        <v>STABILATOR FITTING (ST</v>
      </c>
      <c r="F383" t="s">
        <v>598</v>
      </c>
      <c r="G383" s="110" t="str">
        <f>RIGHT(H383,9)</f>
        <v>011790739</v>
      </c>
      <c r="H383" t="s">
        <v>599</v>
      </c>
      <c r="I383" s="96">
        <f>Table__10.2.1.2_1_4AHB_v_gen_TBO[[#This Row],[REALDUE]]-Table__10.2.1.2_1_4AHB_v_gen_TBO[[#This Row],[EI_BEG_AGE]]</f>
        <v>15875.1</v>
      </c>
      <c r="J383" s="96">
        <v>3973.9</v>
      </c>
      <c r="K383" s="110" t="str">
        <f>IF(Table__10.2.1.2_1_4AHB_v_gen_TBO[[#This Row],[NO_OVHLS]]="RC","RC","LC")</f>
        <v>RC</v>
      </c>
      <c r="L383" t="s">
        <v>405</v>
      </c>
      <c r="M383" t="s">
        <v>900</v>
      </c>
      <c r="N383" t="b">
        <v>0</v>
      </c>
    </row>
    <row r="384" spans="2:14">
      <c r="B384" t="s">
        <v>753</v>
      </c>
      <c r="C384" s="110" t="str">
        <f>RIGHT(B384,3)</f>
        <v>141</v>
      </c>
      <c r="D384" t="s">
        <v>600</v>
      </c>
      <c r="E384" s="110" t="str">
        <f>LEFT(F384,22)</f>
        <v>FRAME FS 547</v>
      </c>
      <c r="F384" t="s">
        <v>139</v>
      </c>
      <c r="G384" s="110" t="str">
        <f>RIGHT(H384,9)</f>
        <v>N PENDING</v>
      </c>
      <c r="H384" t="s">
        <v>106</v>
      </c>
      <c r="I384" s="96">
        <f>Table__10.2.1.2_1_4AHB_v_gen_TBO[[#This Row],[REALDUE]]-Table__10.2.1.2_1_4AHB_v_gen_TBO[[#This Row],[EI_BEG_AGE]]</f>
        <v>15904.5</v>
      </c>
      <c r="J384" s="96">
        <v>4733.5</v>
      </c>
      <c r="K384" s="110" t="str">
        <f>IF(Table__10.2.1.2_1_4AHB_v_gen_TBO[[#This Row],[NO_OVHLS]]="RC","RC","LC")</f>
        <v>RC</v>
      </c>
      <c r="L384" t="s">
        <v>405</v>
      </c>
      <c r="M384" t="s">
        <v>890</v>
      </c>
      <c r="N384" t="b">
        <v>0</v>
      </c>
    </row>
    <row r="385" spans="2:14">
      <c r="B385" t="s">
        <v>749</v>
      </c>
      <c r="C385" s="110" t="str">
        <f>RIGHT(B385,3)</f>
        <v>187</v>
      </c>
      <c r="D385" t="s">
        <v>597</v>
      </c>
      <c r="E385" s="110" t="str">
        <f>LEFT(F385,22)</f>
        <v>STABILATOR FITTING (ST</v>
      </c>
      <c r="F385" t="s">
        <v>598</v>
      </c>
      <c r="G385" s="110" t="str">
        <f>RIGHT(H385,9)</f>
        <v>011790739</v>
      </c>
      <c r="H385" t="s">
        <v>599</v>
      </c>
      <c r="I385" s="96">
        <f>Table__10.2.1.2_1_4AHB_v_gen_TBO[[#This Row],[REALDUE]]-Table__10.2.1.2_1_4AHB_v_gen_TBO[[#This Row],[EI_BEG_AGE]]</f>
        <v>17193.3</v>
      </c>
      <c r="J385" s="96">
        <v>5314.7</v>
      </c>
      <c r="K385" s="110" t="str">
        <f>IF(Table__10.2.1.2_1_4AHB_v_gen_TBO[[#This Row],[NO_OVHLS]]="RC","RC","LC")</f>
        <v>RC</v>
      </c>
      <c r="L385" t="s">
        <v>405</v>
      </c>
      <c r="M385" t="s">
        <v>899</v>
      </c>
      <c r="N385" t="b">
        <v>0</v>
      </c>
    </row>
    <row r="386" spans="2:14">
      <c r="B386" t="s">
        <v>751</v>
      </c>
      <c r="C386" s="110" t="str">
        <f>RIGHT(B386,3)</f>
        <v>119</v>
      </c>
      <c r="D386" t="s">
        <v>407</v>
      </c>
      <c r="E386" s="110" t="str">
        <f>LEFT(F386,22)</f>
        <v>BASE ASSY MAST SUPPORT</v>
      </c>
      <c r="F386" t="s">
        <v>110</v>
      </c>
      <c r="G386" s="110" t="str">
        <f>RIGHT(H386,9)</f>
        <v>011556581</v>
      </c>
      <c r="H386" t="s">
        <v>111</v>
      </c>
      <c r="I386" s="96">
        <f>Table__10.2.1.2_1_4AHB_v_gen_TBO[[#This Row],[REALDUE]]-Table__10.2.1.2_1_4AHB_v_gen_TBO[[#This Row],[EI_BEG_AGE]]</f>
        <v>17369.099999999999</v>
      </c>
      <c r="J386" s="96">
        <v>3973.9</v>
      </c>
      <c r="K386" s="110" t="str">
        <f>IF(Table__10.2.1.2_1_4AHB_v_gen_TBO[[#This Row],[NO_OVHLS]]="RC","RC","LC")</f>
        <v>RC</v>
      </c>
      <c r="L386" t="s">
        <v>405</v>
      </c>
      <c r="M386" t="s">
        <v>905</v>
      </c>
      <c r="N386" t="b">
        <v>0</v>
      </c>
    </row>
    <row r="387" spans="2:14">
      <c r="B387" t="s">
        <v>753</v>
      </c>
      <c r="C387" s="110" t="str">
        <f>RIGHT(B387,3)</f>
        <v>141</v>
      </c>
      <c r="D387" t="s">
        <v>407</v>
      </c>
      <c r="E387" s="110" t="str">
        <f>LEFT(F387,22)</f>
        <v>BASE ASSY, MAST SUPPOR</v>
      </c>
      <c r="F387" t="s">
        <v>112</v>
      </c>
      <c r="G387" s="110" t="str">
        <f>RIGHT(H387,9)</f>
        <v>011556581</v>
      </c>
      <c r="H387" t="s">
        <v>111</v>
      </c>
      <c r="I387" s="96">
        <f>Table__10.2.1.2_1_4AHB_v_gen_TBO[[#This Row],[REALDUE]]-Table__10.2.1.2_1_4AHB_v_gen_TBO[[#This Row],[EI_BEG_AGE]]</f>
        <v>17980.5</v>
      </c>
      <c r="J387" s="96">
        <v>4733.5</v>
      </c>
      <c r="K387" s="110" t="str">
        <f>IF(Table__10.2.1.2_1_4AHB_v_gen_TBO[[#This Row],[NO_OVHLS]]="RC","RC","LC")</f>
        <v>RC</v>
      </c>
      <c r="L387" t="s">
        <v>405</v>
      </c>
      <c r="M387" t="s">
        <v>907</v>
      </c>
      <c r="N387" t="b">
        <v>0</v>
      </c>
    </row>
    <row r="388" spans="2:14">
      <c r="B388" t="s">
        <v>753</v>
      </c>
      <c r="C388" s="110" t="str">
        <f>RIGHT(B388,3)</f>
        <v>141</v>
      </c>
      <c r="D388" t="s">
        <v>528</v>
      </c>
      <c r="E388" s="110" t="str">
        <f>LEFT(F388,22)</f>
        <v>SHAFT SHOULDERED</v>
      </c>
      <c r="F388" t="s">
        <v>310</v>
      </c>
      <c r="G388" s="110" t="str">
        <f>RIGHT(H388,9)</f>
        <v>011728192</v>
      </c>
      <c r="H388" t="s">
        <v>311</v>
      </c>
      <c r="I388" s="96">
        <f>Table__10.2.1.2_1_4AHB_v_gen_TBO[[#This Row],[REALDUE]]-Table__10.2.1.2_1_4AHB_v_gen_TBO[[#This Row],[EI_BEG_AGE]]</f>
        <v>17989.5</v>
      </c>
      <c r="J388" s="96">
        <v>4733.5</v>
      </c>
      <c r="K388" s="110" t="str">
        <f>IF(Table__10.2.1.2_1_4AHB_v_gen_TBO[[#This Row],[NO_OVHLS]]="RC","RC","LC")</f>
        <v>LC</v>
      </c>
      <c r="L388" t="s">
        <v>428</v>
      </c>
      <c r="M388" t="s">
        <v>928</v>
      </c>
      <c r="N388" t="b">
        <v>0</v>
      </c>
    </row>
    <row r="389" spans="2:14" hidden="1">
      <c r="B389" t="s">
        <v>753</v>
      </c>
      <c r="C389" s="110" t="str">
        <f>RIGHT(B389,3)</f>
        <v>141</v>
      </c>
      <c r="D389" t="s">
        <v>424</v>
      </c>
      <c r="E389" s="110" t="str">
        <f>LEFT(F389,22)</f>
        <v>MAIN LANDING GEAR SHOC</v>
      </c>
      <c r="F389" t="s">
        <v>699</v>
      </c>
      <c r="G389" s="110" t="str">
        <f>RIGHT(H389,9)</f>
        <v>011474775</v>
      </c>
      <c r="H389" t="s">
        <v>141</v>
      </c>
      <c r="I389" s="96" t="e">
        <f>Table__10.2.1.2_1_4AHB_v_gen_TBO[[#This Row],[REALDUE]]-Table__10.2.1.2_1_4AHB_v_gen_TBO[[#This Row],[EI_BEG_AGE]]</f>
        <v>#VALUE!</v>
      </c>
      <c r="J389" s="96">
        <v>4733.5</v>
      </c>
      <c r="K389" s="110" t="str">
        <f>IF(Table__10.2.1.2_1_4AHB_v_gen_TBO[[#This Row],[NO_OVHLS]]="RC","RC","LC")</f>
        <v>LC</v>
      </c>
      <c r="L389" t="s">
        <v>403</v>
      </c>
      <c r="M389" t="s">
        <v>104</v>
      </c>
      <c r="N389" t="b">
        <v>0</v>
      </c>
    </row>
    <row r="390" spans="2:14" hidden="1">
      <c r="B390" t="s">
        <v>753</v>
      </c>
      <c r="C390" s="110" t="str">
        <f>RIGHT(B390,3)</f>
        <v>141</v>
      </c>
      <c r="D390" t="s">
        <v>425</v>
      </c>
      <c r="E390" s="110" t="str">
        <f>LEFT(F390,22)</f>
        <v>MAIN LANDING GEAR SHOC</v>
      </c>
      <c r="F390" t="s">
        <v>699</v>
      </c>
      <c r="G390" s="110" t="str">
        <f>RIGHT(H390,9)</f>
        <v>014659232</v>
      </c>
      <c r="H390" t="s">
        <v>142</v>
      </c>
      <c r="I390" s="96" t="e">
        <f>Table__10.2.1.2_1_4AHB_v_gen_TBO[[#This Row],[REALDUE]]-Table__10.2.1.2_1_4AHB_v_gen_TBO[[#This Row],[EI_BEG_AGE]]</f>
        <v>#VALUE!</v>
      </c>
      <c r="J390" s="96">
        <v>4733.5</v>
      </c>
      <c r="K390" s="110" t="str">
        <f>IF(Table__10.2.1.2_1_4AHB_v_gen_TBO[[#This Row],[NO_OVHLS]]="RC","RC","LC")</f>
        <v>LC</v>
      </c>
      <c r="L390" t="s">
        <v>403</v>
      </c>
      <c r="M390" t="s">
        <v>104</v>
      </c>
      <c r="N390" t="b">
        <v>0</v>
      </c>
    </row>
    <row r="391" spans="2:14" hidden="1">
      <c r="B391" t="s">
        <v>751</v>
      </c>
      <c r="C391" s="110" t="str">
        <f>RIGHT(B391,3)</f>
        <v>119</v>
      </c>
      <c r="D391" t="s">
        <v>425</v>
      </c>
      <c r="E391" s="110" t="str">
        <f>LEFT(F391,22)</f>
        <v>MAIN LANDING GEAR SHOC</v>
      </c>
      <c r="F391" t="s">
        <v>699</v>
      </c>
      <c r="G391" s="110" t="str">
        <f>RIGHT(H391,9)</f>
        <v>014659232</v>
      </c>
      <c r="H391" t="s">
        <v>142</v>
      </c>
      <c r="I391" s="96" t="e">
        <f>Table__10.2.1.2_1_4AHB_v_gen_TBO[[#This Row],[REALDUE]]-Table__10.2.1.2_1_4AHB_v_gen_TBO[[#This Row],[EI_BEG_AGE]]</f>
        <v>#VALUE!</v>
      </c>
      <c r="J391" s="96">
        <v>3973.9</v>
      </c>
      <c r="K391" s="110" t="str">
        <f>IF(Table__10.2.1.2_1_4AHB_v_gen_TBO[[#This Row],[NO_OVHLS]]="RC","RC","LC")</f>
        <v>LC</v>
      </c>
      <c r="L391" t="s">
        <v>403</v>
      </c>
      <c r="M391" t="s">
        <v>104</v>
      </c>
      <c r="N391" t="b">
        <v>0</v>
      </c>
    </row>
    <row r="392" spans="2:14" hidden="1">
      <c r="B392" t="s">
        <v>751</v>
      </c>
      <c r="C392" s="110" t="str">
        <f>RIGHT(B392,3)</f>
        <v>119</v>
      </c>
      <c r="D392" t="s">
        <v>425</v>
      </c>
      <c r="E392" s="110" t="str">
        <f>LEFT(F392,22)</f>
        <v>MAIN LANDING GEAR SHOC</v>
      </c>
      <c r="F392" t="s">
        <v>699</v>
      </c>
      <c r="G392" s="110" t="str">
        <f>RIGHT(H392,9)</f>
        <v>014659232</v>
      </c>
      <c r="H392" t="s">
        <v>142</v>
      </c>
      <c r="I392" s="96" t="e">
        <f>Table__10.2.1.2_1_4AHB_v_gen_TBO[[#This Row],[REALDUE]]-Table__10.2.1.2_1_4AHB_v_gen_TBO[[#This Row],[EI_BEG_AGE]]</f>
        <v>#VALUE!</v>
      </c>
      <c r="J392" s="96">
        <v>3973.9</v>
      </c>
      <c r="K392" s="110" t="str">
        <f>IF(Table__10.2.1.2_1_4AHB_v_gen_TBO[[#This Row],[NO_OVHLS]]="RC","RC","LC")</f>
        <v>LC</v>
      </c>
      <c r="L392" t="s">
        <v>403</v>
      </c>
      <c r="M392" t="s">
        <v>104</v>
      </c>
      <c r="N392" t="b">
        <v>0</v>
      </c>
    </row>
    <row r="393" spans="2:14" hidden="1">
      <c r="B393" t="s">
        <v>749</v>
      </c>
      <c r="C393" s="110" t="str">
        <f>RIGHT(B393,3)</f>
        <v>187</v>
      </c>
      <c r="D393" t="s">
        <v>425</v>
      </c>
      <c r="E393" s="110" t="str">
        <f>LEFT(F393,22)</f>
        <v>MAIN LANDING GEAR SHOC</v>
      </c>
      <c r="F393" t="s">
        <v>699</v>
      </c>
      <c r="G393" s="110" t="str">
        <f>RIGHT(H393,9)</f>
        <v>014659232</v>
      </c>
      <c r="H393" t="s">
        <v>142</v>
      </c>
      <c r="I393" s="96" t="e">
        <f>Table__10.2.1.2_1_4AHB_v_gen_TBO[[#This Row],[REALDUE]]-Table__10.2.1.2_1_4AHB_v_gen_TBO[[#This Row],[EI_BEG_AGE]]</f>
        <v>#VALUE!</v>
      </c>
      <c r="J393" s="96">
        <v>5314.7</v>
      </c>
      <c r="K393" s="110" t="str">
        <f>IF(Table__10.2.1.2_1_4AHB_v_gen_TBO[[#This Row],[NO_OVHLS]]="RC","RC","LC")</f>
        <v>LC</v>
      </c>
      <c r="L393" t="s">
        <v>403</v>
      </c>
      <c r="M393" t="s">
        <v>104</v>
      </c>
      <c r="N393" t="b">
        <v>0</v>
      </c>
    </row>
    <row r="394" spans="2:14" hidden="1">
      <c r="B394" t="s">
        <v>749</v>
      </c>
      <c r="C394" s="110" t="str">
        <f>RIGHT(B394,3)</f>
        <v>187</v>
      </c>
      <c r="D394" t="s">
        <v>425</v>
      </c>
      <c r="E394" s="110" t="str">
        <f>LEFT(F394,22)</f>
        <v>MAIN LANDING GEAR SHOC</v>
      </c>
      <c r="F394" t="s">
        <v>699</v>
      </c>
      <c r="G394" s="110" t="str">
        <f>RIGHT(H394,9)</f>
        <v>014659232</v>
      </c>
      <c r="H394" t="s">
        <v>142</v>
      </c>
      <c r="I394" s="96" t="e">
        <f>Table__10.2.1.2_1_4AHB_v_gen_TBO[[#This Row],[REALDUE]]-Table__10.2.1.2_1_4AHB_v_gen_TBO[[#This Row],[EI_BEG_AGE]]</f>
        <v>#VALUE!</v>
      </c>
      <c r="J394" s="96">
        <v>5314.7</v>
      </c>
      <c r="K394" s="110" t="str">
        <f>IF(Table__10.2.1.2_1_4AHB_v_gen_TBO[[#This Row],[NO_OVHLS]]="RC","RC","LC")</f>
        <v>LC</v>
      </c>
      <c r="L394" t="s">
        <v>403</v>
      </c>
      <c r="M394" t="s">
        <v>104</v>
      </c>
      <c r="N394" t="b">
        <v>0</v>
      </c>
    </row>
    <row r="395" spans="2:14" hidden="1">
      <c r="B395" t="s">
        <v>753</v>
      </c>
      <c r="C395" s="110" t="str">
        <f>RIGHT(B395,3)</f>
        <v>141</v>
      </c>
      <c r="D395" t="s">
        <v>426</v>
      </c>
      <c r="E395" s="110" t="str">
        <f>LEFT(F395,22)</f>
        <v>TAIL SHOCK STRUT ASSY</v>
      </c>
      <c r="F395" t="s">
        <v>143</v>
      </c>
      <c r="G395" s="110" t="str">
        <f>RIGHT(H395,9)</f>
        <v>011532281</v>
      </c>
      <c r="H395" t="s">
        <v>144</v>
      </c>
      <c r="I395" s="96" t="e">
        <f>Table__10.2.1.2_1_4AHB_v_gen_TBO[[#This Row],[REALDUE]]-Table__10.2.1.2_1_4AHB_v_gen_TBO[[#This Row],[EI_BEG_AGE]]</f>
        <v>#VALUE!</v>
      </c>
      <c r="J395" s="96">
        <v>4733.5</v>
      </c>
      <c r="K395" s="110" t="str">
        <f>IF(Table__10.2.1.2_1_4AHB_v_gen_TBO[[#This Row],[NO_OVHLS]]="RC","RC","LC")</f>
        <v>LC</v>
      </c>
      <c r="L395" t="s">
        <v>403</v>
      </c>
      <c r="M395" t="s">
        <v>104</v>
      </c>
      <c r="N395" t="b">
        <v>0</v>
      </c>
    </row>
    <row r="396" spans="2:14" hidden="1">
      <c r="B396" t="s">
        <v>749</v>
      </c>
      <c r="C396" s="110" t="str">
        <f>RIGHT(B396,3)</f>
        <v>187</v>
      </c>
      <c r="D396" t="s">
        <v>426</v>
      </c>
      <c r="E396" s="110" t="str">
        <f>LEFT(F396,22)</f>
        <v>TAIL SHOCK STRUT ASSY</v>
      </c>
      <c r="F396" t="s">
        <v>143</v>
      </c>
      <c r="G396" s="110" t="str">
        <f>RIGHT(H396,9)</f>
        <v>011532281</v>
      </c>
      <c r="H396" t="s">
        <v>144</v>
      </c>
      <c r="I396" s="96" t="e">
        <f>Table__10.2.1.2_1_4AHB_v_gen_TBO[[#This Row],[REALDUE]]-Table__10.2.1.2_1_4AHB_v_gen_TBO[[#This Row],[EI_BEG_AGE]]</f>
        <v>#VALUE!</v>
      </c>
      <c r="J396" s="96">
        <v>5314.7</v>
      </c>
      <c r="K396" s="110" t="str">
        <f>IF(Table__10.2.1.2_1_4AHB_v_gen_TBO[[#This Row],[NO_OVHLS]]="RC","RC","LC")</f>
        <v>LC</v>
      </c>
      <c r="L396" t="s">
        <v>403</v>
      </c>
      <c r="M396" t="s">
        <v>104</v>
      </c>
      <c r="N396" t="b">
        <v>0</v>
      </c>
    </row>
    <row r="397" spans="2:14" hidden="1">
      <c r="B397" t="s">
        <v>751</v>
      </c>
      <c r="C397" s="110" t="str">
        <f>RIGHT(B397,3)</f>
        <v>119</v>
      </c>
      <c r="D397" t="s">
        <v>426</v>
      </c>
      <c r="E397" s="110" t="str">
        <f>LEFT(F397,22)</f>
        <v>TAIL SHOCK STRUT ASSY</v>
      </c>
      <c r="F397" t="s">
        <v>143</v>
      </c>
      <c r="G397" s="110" t="str">
        <f>RIGHT(H397,9)</f>
        <v>011532281</v>
      </c>
      <c r="H397" t="s">
        <v>144</v>
      </c>
      <c r="I397" s="96" t="e">
        <f>Table__10.2.1.2_1_4AHB_v_gen_TBO[[#This Row],[REALDUE]]-Table__10.2.1.2_1_4AHB_v_gen_TBO[[#This Row],[EI_BEG_AGE]]</f>
        <v>#VALUE!</v>
      </c>
      <c r="J397" s="96">
        <v>3973.9</v>
      </c>
      <c r="K397" s="110" t="str">
        <f>IF(Table__10.2.1.2_1_4AHB_v_gen_TBO[[#This Row],[NO_OVHLS]]="RC","RC","LC")</f>
        <v>LC</v>
      </c>
      <c r="L397" t="s">
        <v>403</v>
      </c>
      <c r="M397" t="s">
        <v>104</v>
      </c>
      <c r="N397" t="b">
        <v>0</v>
      </c>
    </row>
    <row r="398" spans="2:14" hidden="1">
      <c r="B398" t="s">
        <v>753</v>
      </c>
      <c r="C398" s="110" t="str">
        <f>RIGHT(B398,3)</f>
        <v>141</v>
      </c>
      <c r="D398" t="s">
        <v>551</v>
      </c>
      <c r="E398" s="110" t="str">
        <f>LEFT(F398,22)</f>
        <v>ACTUATOR</v>
      </c>
      <c r="F398" t="s">
        <v>345</v>
      </c>
      <c r="G398" s="110" t="str">
        <f>RIGHT(H398,9)</f>
        <v>012737610</v>
      </c>
      <c r="H398" t="s">
        <v>346</v>
      </c>
      <c r="I398" s="96" t="e">
        <f>Table__10.2.1.2_1_4AHB_v_gen_TBO[[#This Row],[REALDUE]]-Table__10.2.1.2_1_4AHB_v_gen_TBO[[#This Row],[EI_BEG_AGE]]</f>
        <v>#VALUE!</v>
      </c>
      <c r="J398" s="96">
        <v>4733.5</v>
      </c>
      <c r="K398" s="110" t="str">
        <f>IF(Table__10.2.1.2_1_4AHB_v_gen_TBO[[#This Row],[NO_OVHLS]]="RC","RC","LC")</f>
        <v>LC</v>
      </c>
      <c r="L398" t="s">
        <v>403</v>
      </c>
      <c r="M398" t="s">
        <v>104</v>
      </c>
      <c r="N398" t="b">
        <v>0</v>
      </c>
    </row>
    <row r="399" spans="2:14" hidden="1">
      <c r="B399" t="s">
        <v>753</v>
      </c>
      <c r="C399" s="110" t="str">
        <f>RIGHT(B399,3)</f>
        <v>141</v>
      </c>
      <c r="D399" t="s">
        <v>547</v>
      </c>
      <c r="E399" s="110" t="str">
        <f>LEFT(F399,22)</f>
        <v>TAIL ROTOR ACTUATOR</v>
      </c>
      <c r="F399" t="s">
        <v>339</v>
      </c>
      <c r="G399" s="110" t="str">
        <f>RIGHT(H399,9)</f>
        <v>014940083</v>
      </c>
      <c r="H399" t="s">
        <v>340</v>
      </c>
      <c r="I399" s="96" t="e">
        <f>Table__10.2.1.2_1_4AHB_v_gen_TBO[[#This Row],[REALDUE]]-Table__10.2.1.2_1_4AHB_v_gen_TBO[[#This Row],[EI_BEG_AGE]]</f>
        <v>#VALUE!</v>
      </c>
      <c r="J399" s="96">
        <v>4733.5</v>
      </c>
      <c r="K399" s="110" t="str">
        <f>IF(Table__10.2.1.2_1_4AHB_v_gen_TBO[[#This Row],[NO_OVHLS]]="RC","RC","LC")</f>
        <v>LC</v>
      </c>
      <c r="L399" t="s">
        <v>403</v>
      </c>
      <c r="M399" t="s">
        <v>104</v>
      </c>
      <c r="N399" t="b">
        <v>0</v>
      </c>
    </row>
    <row r="400" spans="2:14" hidden="1">
      <c r="B400" t="s">
        <v>753</v>
      </c>
      <c r="C400" s="110" t="str">
        <f>RIGHT(B400,3)</f>
        <v>141</v>
      </c>
      <c r="D400" t="s">
        <v>545</v>
      </c>
      <c r="E400" s="110" t="str">
        <f>LEFT(F400,22)</f>
        <v>NITROGEN INERTING UNIT</v>
      </c>
      <c r="F400" t="s">
        <v>337</v>
      </c>
      <c r="G400" s="110" t="str">
        <f>RIGHT(H400,9)</f>
        <v>011659449</v>
      </c>
      <c r="H400" t="s">
        <v>338</v>
      </c>
      <c r="I400" s="96" t="e">
        <f>Table__10.2.1.2_1_4AHB_v_gen_TBO[[#This Row],[REALDUE]]-Table__10.2.1.2_1_4AHB_v_gen_TBO[[#This Row],[EI_BEG_AGE]]</f>
        <v>#VALUE!</v>
      </c>
      <c r="J400" s="96">
        <v>4733.5</v>
      </c>
      <c r="K400" s="110" t="str">
        <f>IF(Table__10.2.1.2_1_4AHB_v_gen_TBO[[#This Row],[NO_OVHLS]]="RC","RC","LC")</f>
        <v>LC</v>
      </c>
      <c r="L400" t="s">
        <v>403</v>
      </c>
      <c r="M400" t="s">
        <v>104</v>
      </c>
      <c r="N400" t="b">
        <v>0</v>
      </c>
    </row>
    <row r="401" spans="2:14" hidden="1">
      <c r="B401" t="s">
        <v>751</v>
      </c>
      <c r="C401" s="110" t="str">
        <f>RIGHT(B401,3)</f>
        <v>119</v>
      </c>
      <c r="D401" t="s">
        <v>545</v>
      </c>
      <c r="E401" s="110" t="str">
        <f>LEFT(F401,22)</f>
        <v>NITROGEN INERTING UNIT</v>
      </c>
      <c r="F401" t="s">
        <v>337</v>
      </c>
      <c r="G401" s="110" t="str">
        <f>RIGHT(H401,9)</f>
        <v>011659449</v>
      </c>
      <c r="H401" t="s">
        <v>338</v>
      </c>
      <c r="I401" s="96" t="e">
        <f>Table__10.2.1.2_1_4AHB_v_gen_TBO[[#This Row],[REALDUE]]-Table__10.2.1.2_1_4AHB_v_gen_TBO[[#This Row],[EI_BEG_AGE]]</f>
        <v>#VALUE!</v>
      </c>
      <c r="J401" s="96">
        <v>3973.9</v>
      </c>
      <c r="K401" s="110" t="str">
        <f>IF(Table__10.2.1.2_1_4AHB_v_gen_TBO[[#This Row],[NO_OVHLS]]="RC","RC","LC")</f>
        <v>LC</v>
      </c>
      <c r="L401" t="s">
        <v>403</v>
      </c>
      <c r="M401" t="s">
        <v>104</v>
      </c>
      <c r="N401" t="b">
        <v>0</v>
      </c>
    </row>
    <row r="402" spans="2:14" hidden="1">
      <c r="B402" t="s">
        <v>749</v>
      </c>
      <c r="C402" s="110" t="str">
        <f>RIGHT(B402,3)</f>
        <v>187</v>
      </c>
      <c r="D402" t="s">
        <v>584</v>
      </c>
      <c r="E402" s="110" t="str">
        <f>LEFT(F402,22)</f>
        <v>INERTIAL NAVIGATION (E</v>
      </c>
      <c r="F402" t="s">
        <v>389</v>
      </c>
      <c r="G402" s="110" t="str">
        <f>RIGHT(H402,9)</f>
        <v>014210076</v>
      </c>
      <c r="H402" t="s">
        <v>390</v>
      </c>
      <c r="I402" s="96" t="e">
        <f>Table__10.2.1.2_1_4AHB_v_gen_TBO[[#This Row],[REALDUE]]-Table__10.2.1.2_1_4AHB_v_gen_TBO[[#This Row],[EI_BEG_AGE]]</f>
        <v>#VALUE!</v>
      </c>
      <c r="J402" s="96">
        <v>5314.7</v>
      </c>
      <c r="K402" s="110" t="str">
        <f>IF(Table__10.2.1.2_1_4AHB_v_gen_TBO[[#This Row],[NO_OVHLS]]="RC","RC","LC")</f>
        <v>LC</v>
      </c>
      <c r="L402" t="s">
        <v>403</v>
      </c>
      <c r="M402" t="s">
        <v>104</v>
      </c>
      <c r="N402" t="b">
        <v>0</v>
      </c>
    </row>
    <row r="403" spans="2:14" hidden="1">
      <c r="B403" t="s">
        <v>753</v>
      </c>
      <c r="C403" s="110" t="str">
        <f>RIGHT(B403,3)</f>
        <v>141</v>
      </c>
      <c r="D403" t="s">
        <v>584</v>
      </c>
      <c r="E403" s="110" t="str">
        <f>LEFT(F403,22)</f>
        <v>INERTIAL NAVIGATION (E</v>
      </c>
      <c r="F403" t="s">
        <v>389</v>
      </c>
      <c r="G403" s="110" t="str">
        <f>RIGHT(H403,9)</f>
        <v>014210076</v>
      </c>
      <c r="H403" t="s">
        <v>390</v>
      </c>
      <c r="I403" s="96" t="e">
        <f>Table__10.2.1.2_1_4AHB_v_gen_TBO[[#This Row],[REALDUE]]-Table__10.2.1.2_1_4AHB_v_gen_TBO[[#This Row],[EI_BEG_AGE]]</f>
        <v>#VALUE!</v>
      </c>
      <c r="J403" s="96">
        <v>4733.5</v>
      </c>
      <c r="K403" s="110" t="str">
        <f>IF(Table__10.2.1.2_1_4AHB_v_gen_TBO[[#This Row],[NO_OVHLS]]="RC","RC","LC")</f>
        <v>LC</v>
      </c>
      <c r="L403" t="s">
        <v>403</v>
      </c>
      <c r="M403" t="s">
        <v>104</v>
      </c>
      <c r="N403" t="b">
        <v>0</v>
      </c>
    </row>
    <row r="404" spans="2:14" hidden="1">
      <c r="B404" t="s">
        <v>751</v>
      </c>
      <c r="C404" s="110" t="str">
        <f>RIGHT(B404,3)</f>
        <v>119</v>
      </c>
      <c r="D404" t="s">
        <v>584</v>
      </c>
      <c r="E404" s="110" t="str">
        <f>LEFT(F404,22)</f>
        <v>INERTIAL NAVIGATION (E</v>
      </c>
      <c r="F404" t="s">
        <v>389</v>
      </c>
      <c r="G404" s="110" t="str">
        <f>RIGHT(H404,9)</f>
        <v>014210076</v>
      </c>
      <c r="H404" t="s">
        <v>390</v>
      </c>
      <c r="I404" s="96" t="e">
        <f>Table__10.2.1.2_1_4AHB_v_gen_TBO[[#This Row],[REALDUE]]-Table__10.2.1.2_1_4AHB_v_gen_TBO[[#This Row],[EI_BEG_AGE]]</f>
        <v>#VALUE!</v>
      </c>
      <c r="J404" s="96">
        <v>3973.9</v>
      </c>
      <c r="K404" s="110" t="str">
        <f>IF(Table__10.2.1.2_1_4AHB_v_gen_TBO[[#This Row],[NO_OVHLS]]="RC","RC","LC")</f>
        <v>LC</v>
      </c>
      <c r="L404" t="s">
        <v>403</v>
      </c>
      <c r="M404" t="s">
        <v>104</v>
      </c>
      <c r="N404" t="b">
        <v>0</v>
      </c>
    </row>
    <row r="405" spans="2:14" hidden="1">
      <c r="B405" t="s">
        <v>751</v>
      </c>
      <c r="C405" s="110" t="str">
        <f>RIGHT(B405,3)</f>
        <v>119</v>
      </c>
      <c r="D405" t="s">
        <v>584</v>
      </c>
      <c r="E405" s="110" t="str">
        <f>LEFT(F405,22)</f>
        <v>INERTIAL NAVIGATION (E</v>
      </c>
      <c r="F405" t="s">
        <v>389</v>
      </c>
      <c r="G405" s="110" t="str">
        <f>RIGHT(H405,9)</f>
        <v>014210076</v>
      </c>
      <c r="H405" t="s">
        <v>390</v>
      </c>
      <c r="I405" s="96" t="e">
        <f>Table__10.2.1.2_1_4AHB_v_gen_TBO[[#This Row],[REALDUE]]-Table__10.2.1.2_1_4AHB_v_gen_TBO[[#This Row],[EI_BEG_AGE]]</f>
        <v>#VALUE!</v>
      </c>
      <c r="J405" s="96">
        <v>3973.9</v>
      </c>
      <c r="K405" s="110" t="str">
        <f>IF(Table__10.2.1.2_1_4AHB_v_gen_TBO[[#This Row],[NO_OVHLS]]="RC","RC","LC")</f>
        <v>LC</v>
      </c>
      <c r="L405" t="s">
        <v>403</v>
      </c>
      <c r="M405" t="s">
        <v>104</v>
      </c>
      <c r="N405" t="b">
        <v>0</v>
      </c>
    </row>
    <row r="406" spans="2:14" hidden="1">
      <c r="B406" t="s">
        <v>749</v>
      </c>
      <c r="C406" s="110" t="str">
        <f>RIGHT(B406,3)</f>
        <v>187</v>
      </c>
      <c r="D406" t="s">
        <v>584</v>
      </c>
      <c r="E406" s="110" t="str">
        <f>LEFT(F406,22)</f>
        <v>INERTIAL NAVIGATION (E</v>
      </c>
      <c r="F406" t="s">
        <v>389</v>
      </c>
      <c r="G406" s="110" t="str">
        <f>RIGHT(H406,9)</f>
        <v>014210076</v>
      </c>
      <c r="H406" t="s">
        <v>390</v>
      </c>
      <c r="I406" s="96" t="e">
        <f>Table__10.2.1.2_1_4AHB_v_gen_TBO[[#This Row],[REALDUE]]-Table__10.2.1.2_1_4AHB_v_gen_TBO[[#This Row],[EI_BEG_AGE]]</f>
        <v>#VALUE!</v>
      </c>
      <c r="J406" s="96">
        <v>5314.7</v>
      </c>
      <c r="K406" s="110" t="str">
        <f>IF(Table__10.2.1.2_1_4AHB_v_gen_TBO[[#This Row],[NO_OVHLS]]="RC","RC","LC")</f>
        <v>LC</v>
      </c>
      <c r="L406" t="s">
        <v>403</v>
      </c>
      <c r="M406" t="s">
        <v>104</v>
      </c>
      <c r="N406" t="b">
        <v>0</v>
      </c>
    </row>
    <row r="407" spans="2:14" hidden="1">
      <c r="B407" t="s">
        <v>753</v>
      </c>
      <c r="C407" s="110" t="str">
        <f>RIGHT(B407,3)</f>
        <v>141</v>
      </c>
      <c r="D407" t="s">
        <v>584</v>
      </c>
      <c r="E407" s="110" t="str">
        <f>LEFT(F407,22)</f>
        <v>INERTIAL NAVIGATION (E</v>
      </c>
      <c r="F407" t="s">
        <v>389</v>
      </c>
      <c r="G407" s="110" t="str">
        <f>RIGHT(H407,9)</f>
        <v>014210076</v>
      </c>
      <c r="H407" t="s">
        <v>390</v>
      </c>
      <c r="I407" s="110" t="e">
        <f>Table__10.2.1.2_1_4AHB_v_gen_TBO[[#This Row],[REALDUE]]-Table__10.2.1.2_1_4AHB_v_gen_TBO[[#This Row],[EI_BEG_AGE]]</f>
        <v>#VALUE!</v>
      </c>
      <c r="J407">
        <v>4733.5</v>
      </c>
      <c r="K407" s="110" t="str">
        <f>IF(Table__10.2.1.2_1_4AHB_v_gen_TBO[[#This Row],[NO_OVHLS]]="RC","RC","LC")</f>
        <v>LC</v>
      </c>
      <c r="L407" t="s">
        <v>403</v>
      </c>
      <c r="M407" t="s">
        <v>104</v>
      </c>
      <c r="N407" t="b">
        <v>0</v>
      </c>
    </row>
    <row r="408" spans="2:14" hidden="1">
      <c r="B408" t="s">
        <v>749</v>
      </c>
      <c r="C408" s="110" t="str">
        <f>RIGHT(B408,3)</f>
        <v>187</v>
      </c>
      <c r="D408" t="s">
        <v>539</v>
      </c>
      <c r="E408" s="110" t="str">
        <f>LEFT(F408,22)</f>
        <v>HYDRAULIC PUMP</v>
      </c>
      <c r="F408" t="s">
        <v>325</v>
      </c>
      <c r="G408" s="110" t="str">
        <f>RIGHT(H408,9)</f>
        <v>011580893</v>
      </c>
      <c r="H408" t="s">
        <v>326</v>
      </c>
      <c r="I408" s="110" t="e">
        <f>Table__10.2.1.2_1_4AHB_v_gen_TBO[[#This Row],[REALDUE]]-Table__10.2.1.2_1_4AHB_v_gen_TBO[[#This Row],[EI_BEG_AGE]]</f>
        <v>#VALUE!</v>
      </c>
      <c r="J408">
        <v>5314.7</v>
      </c>
      <c r="K408" s="110" t="str">
        <f>IF(Table__10.2.1.2_1_4AHB_v_gen_TBO[[#This Row],[NO_OVHLS]]="RC","RC","LC")</f>
        <v>LC</v>
      </c>
      <c r="L408" t="s">
        <v>403</v>
      </c>
      <c r="M408" t="s">
        <v>104</v>
      </c>
      <c r="N408" t="b">
        <v>0</v>
      </c>
    </row>
    <row r="409" spans="2:14" hidden="1">
      <c r="B409" t="s">
        <v>753</v>
      </c>
      <c r="C409" s="110" t="str">
        <f>RIGHT(B409,3)</f>
        <v>141</v>
      </c>
      <c r="D409" t="s">
        <v>539</v>
      </c>
      <c r="E409" s="110" t="str">
        <f>LEFT(F409,22)</f>
        <v>HYDRAULIC PUMP</v>
      </c>
      <c r="F409" t="s">
        <v>325</v>
      </c>
      <c r="G409" s="110" t="str">
        <f>RIGHT(H409,9)</f>
        <v>011580893</v>
      </c>
      <c r="H409" t="s">
        <v>326</v>
      </c>
      <c r="I409" s="110" t="e">
        <f>Table__10.2.1.2_1_4AHB_v_gen_TBO[[#This Row],[REALDUE]]-Table__10.2.1.2_1_4AHB_v_gen_TBO[[#This Row],[EI_BEG_AGE]]</f>
        <v>#VALUE!</v>
      </c>
      <c r="J409">
        <v>4733.5</v>
      </c>
      <c r="K409" s="110" t="str">
        <f>IF(Table__10.2.1.2_1_4AHB_v_gen_TBO[[#This Row],[NO_OVHLS]]="RC","RC","LC")</f>
        <v>LC</v>
      </c>
      <c r="L409" t="s">
        <v>403</v>
      </c>
      <c r="M409" t="s">
        <v>104</v>
      </c>
      <c r="N409" t="b">
        <v>0</v>
      </c>
    </row>
    <row r="410" spans="2:14" hidden="1">
      <c r="B410" t="s">
        <v>753</v>
      </c>
      <c r="C410" s="110" t="str">
        <f>RIGHT(B410,3)</f>
        <v>141</v>
      </c>
      <c r="D410" t="s">
        <v>539</v>
      </c>
      <c r="E410" s="110" t="str">
        <f>LEFT(F410,22)</f>
        <v>HYDRAULIC PUMP</v>
      </c>
      <c r="F410" t="s">
        <v>325</v>
      </c>
      <c r="G410" s="110" t="str">
        <f>RIGHT(H410,9)</f>
        <v>011580893</v>
      </c>
      <c r="H410" t="s">
        <v>326</v>
      </c>
      <c r="I410" s="110" t="e">
        <f>Table__10.2.1.2_1_4AHB_v_gen_TBO[[#This Row],[REALDUE]]-Table__10.2.1.2_1_4AHB_v_gen_TBO[[#This Row],[EI_BEG_AGE]]</f>
        <v>#VALUE!</v>
      </c>
      <c r="J410">
        <v>4733.5</v>
      </c>
      <c r="K410" s="110" t="str">
        <f>IF(Table__10.2.1.2_1_4AHB_v_gen_TBO[[#This Row],[NO_OVHLS]]="RC","RC","LC")</f>
        <v>LC</v>
      </c>
      <c r="L410" t="s">
        <v>403</v>
      </c>
      <c r="M410" t="s">
        <v>104</v>
      </c>
      <c r="N410" t="b">
        <v>0</v>
      </c>
    </row>
    <row r="411" spans="2:14" hidden="1">
      <c r="B411" t="s">
        <v>749</v>
      </c>
      <c r="C411" s="110" t="str">
        <f>RIGHT(B411,3)</f>
        <v>187</v>
      </c>
      <c r="D411" t="s">
        <v>539</v>
      </c>
      <c r="E411" s="110" t="str">
        <f>LEFT(F411,22)</f>
        <v>HYDRAULIC PUMP</v>
      </c>
      <c r="F411" t="s">
        <v>325</v>
      </c>
      <c r="G411" s="110" t="str">
        <f>RIGHT(H411,9)</f>
        <v>011580893</v>
      </c>
      <c r="H411" t="s">
        <v>326</v>
      </c>
      <c r="I411" s="110" t="e">
        <f>Table__10.2.1.2_1_4AHB_v_gen_TBO[[#This Row],[REALDUE]]-Table__10.2.1.2_1_4AHB_v_gen_TBO[[#This Row],[EI_BEG_AGE]]</f>
        <v>#VALUE!</v>
      </c>
      <c r="J411">
        <v>5314.7</v>
      </c>
      <c r="K411" s="110" t="str">
        <f>IF(Table__10.2.1.2_1_4AHB_v_gen_TBO[[#This Row],[NO_OVHLS]]="RC","RC","LC")</f>
        <v>LC</v>
      </c>
      <c r="L411" t="s">
        <v>403</v>
      </c>
      <c r="M411" t="s">
        <v>104</v>
      </c>
      <c r="N411" t="b">
        <v>0</v>
      </c>
    </row>
    <row r="412" spans="2:14" hidden="1">
      <c r="B412" t="s">
        <v>751</v>
      </c>
      <c r="C412" s="110" t="str">
        <f>RIGHT(B412,3)</f>
        <v>119</v>
      </c>
      <c r="D412" t="s">
        <v>495</v>
      </c>
      <c r="E412" s="110" t="str">
        <f>LEFT(F412,22)</f>
        <v>PLANETARY GEAR</v>
      </c>
      <c r="F412" t="s">
        <v>265</v>
      </c>
      <c r="G412" s="110" t="str">
        <f>RIGHT(H412,9)</f>
        <v>012198668</v>
      </c>
      <c r="H412" t="s">
        <v>266</v>
      </c>
      <c r="I412" s="110" t="e">
        <f>Table__10.2.1.2_1_4AHB_v_gen_TBO[[#This Row],[REALDUE]]-Table__10.2.1.2_1_4AHB_v_gen_TBO[[#This Row],[EI_BEG_AGE]]</f>
        <v>#VALUE!</v>
      </c>
      <c r="J412">
        <v>3973.9</v>
      </c>
      <c r="K412" s="110" t="str">
        <f>IF(Table__10.2.1.2_1_4AHB_v_gen_TBO[[#This Row],[NO_OVHLS]]="RC","RC","LC")</f>
        <v>LC</v>
      </c>
      <c r="L412" t="s">
        <v>403</v>
      </c>
      <c r="M412" t="s">
        <v>104</v>
      </c>
      <c r="N412" t="b">
        <v>0</v>
      </c>
    </row>
    <row r="413" spans="2:14" hidden="1">
      <c r="B413" t="s">
        <v>749</v>
      </c>
      <c r="C413" s="110" t="str">
        <f>RIGHT(B413,3)</f>
        <v>187</v>
      </c>
      <c r="D413" t="s">
        <v>495</v>
      </c>
      <c r="E413" s="110" t="str">
        <f>LEFT(F413,22)</f>
        <v>PLANETARY GEAR</v>
      </c>
      <c r="F413" t="s">
        <v>265</v>
      </c>
      <c r="G413" s="110" t="str">
        <f>RIGHT(H413,9)</f>
        <v>012198668</v>
      </c>
      <c r="H413" t="s">
        <v>266</v>
      </c>
      <c r="I413" s="110" t="e">
        <f>Table__10.2.1.2_1_4AHB_v_gen_TBO[[#This Row],[REALDUE]]-Table__10.2.1.2_1_4AHB_v_gen_TBO[[#This Row],[EI_BEG_AGE]]</f>
        <v>#VALUE!</v>
      </c>
      <c r="J413">
        <v>5314.7</v>
      </c>
      <c r="K413" s="110" t="str">
        <f>IF(Table__10.2.1.2_1_4AHB_v_gen_TBO[[#This Row],[NO_OVHLS]]="RC","RC","LC")</f>
        <v>LC</v>
      </c>
      <c r="L413" t="s">
        <v>403</v>
      </c>
      <c r="M413" t="s">
        <v>104</v>
      </c>
      <c r="N413" t="b">
        <v>0</v>
      </c>
    </row>
    <row r="414" spans="2:14" hidden="1">
      <c r="B414" t="s">
        <v>749</v>
      </c>
      <c r="C414" s="110" t="str">
        <f>RIGHT(B414,3)</f>
        <v>187</v>
      </c>
      <c r="D414" t="s">
        <v>445</v>
      </c>
      <c r="E414" s="110" t="str">
        <f>LEFT(F414,22)</f>
        <v>BEARING, LOWER</v>
      </c>
      <c r="F414" t="s">
        <v>175</v>
      </c>
      <c r="G414" s="110" t="str">
        <f>RIGHT(H414,9)</f>
        <v>011797335</v>
      </c>
      <c r="H414" t="s">
        <v>176</v>
      </c>
      <c r="I414" s="110" t="e">
        <f>Table__10.2.1.2_1_4AHB_v_gen_TBO[[#This Row],[REALDUE]]-Table__10.2.1.2_1_4AHB_v_gen_TBO[[#This Row],[EI_BEG_AGE]]</f>
        <v>#VALUE!</v>
      </c>
      <c r="J414">
        <v>5314.7</v>
      </c>
      <c r="K414" s="110" t="str">
        <f>IF(Table__10.2.1.2_1_4AHB_v_gen_TBO[[#This Row],[NO_OVHLS]]="RC","RC","LC")</f>
        <v>LC</v>
      </c>
      <c r="L414" t="s">
        <v>403</v>
      </c>
      <c r="M414" t="s">
        <v>104</v>
      </c>
      <c r="N414" t="b">
        <v>0</v>
      </c>
    </row>
    <row r="415" spans="2:14" hidden="1">
      <c r="B415" t="s">
        <v>751</v>
      </c>
      <c r="C415" s="110" t="str">
        <f>RIGHT(B415,3)</f>
        <v>119</v>
      </c>
      <c r="D415" t="s">
        <v>445</v>
      </c>
      <c r="E415" s="110" t="str">
        <f>LEFT(F415,22)</f>
        <v>BEARING, LOWER</v>
      </c>
      <c r="F415" t="s">
        <v>175</v>
      </c>
      <c r="G415" s="110" t="str">
        <f>RIGHT(H415,9)</f>
        <v>011797335</v>
      </c>
      <c r="H415" t="s">
        <v>176</v>
      </c>
      <c r="I415" s="110" t="e">
        <f>Table__10.2.1.2_1_4AHB_v_gen_TBO[[#This Row],[REALDUE]]-Table__10.2.1.2_1_4AHB_v_gen_TBO[[#This Row],[EI_BEG_AGE]]</f>
        <v>#VALUE!</v>
      </c>
      <c r="J415">
        <v>3973.9</v>
      </c>
      <c r="K415" s="110" t="str">
        <f>IF(Table__10.2.1.2_1_4AHB_v_gen_TBO[[#This Row],[NO_OVHLS]]="RC","RC","LC")</f>
        <v>LC</v>
      </c>
      <c r="L415" t="s">
        <v>403</v>
      </c>
      <c r="M415" t="s">
        <v>104</v>
      </c>
      <c r="N415" t="b">
        <v>0</v>
      </c>
    </row>
    <row r="416" spans="2:14" hidden="1">
      <c r="B416" t="s">
        <v>753</v>
      </c>
      <c r="C416" s="110" t="str">
        <f>RIGHT(B416,3)</f>
        <v>141</v>
      </c>
      <c r="D416" t="s">
        <v>445</v>
      </c>
      <c r="E416" s="110" t="str">
        <f>LEFT(F416,22)</f>
        <v>BEARING, LOWER</v>
      </c>
      <c r="F416" t="s">
        <v>175</v>
      </c>
      <c r="G416" s="110" t="str">
        <f>RIGHT(H416,9)</f>
        <v>011797335</v>
      </c>
      <c r="H416" t="s">
        <v>176</v>
      </c>
      <c r="I416" s="110" t="e">
        <f>Table__10.2.1.2_1_4AHB_v_gen_TBO[[#This Row],[REALDUE]]-Table__10.2.1.2_1_4AHB_v_gen_TBO[[#This Row],[EI_BEG_AGE]]</f>
        <v>#VALUE!</v>
      </c>
      <c r="J416">
        <v>4733.5</v>
      </c>
      <c r="K416" s="110" t="str">
        <f>IF(Table__10.2.1.2_1_4AHB_v_gen_TBO[[#This Row],[NO_OVHLS]]="RC","RC","LC")</f>
        <v>LC</v>
      </c>
      <c r="L416" t="s">
        <v>403</v>
      </c>
      <c r="M416" t="s">
        <v>104</v>
      </c>
      <c r="N416" t="b">
        <v>0</v>
      </c>
    </row>
    <row r="417" spans="2:14" hidden="1">
      <c r="B417" t="s">
        <v>753</v>
      </c>
      <c r="C417" s="110" t="str">
        <f>RIGHT(B417,3)</f>
        <v>141</v>
      </c>
      <c r="D417" t="s">
        <v>579</v>
      </c>
      <c r="E417" s="110" t="str">
        <f>LEFT(F417,22)</f>
        <v>BEARING, SUPPORT MIXER</v>
      </c>
      <c r="F417" t="s">
        <v>382</v>
      </c>
      <c r="G417" s="110" t="str">
        <f>RIGHT(H417,9)</f>
        <v>012575797</v>
      </c>
      <c r="H417" t="s">
        <v>383</v>
      </c>
      <c r="I417" s="110" t="e">
        <f>Table__10.2.1.2_1_4AHB_v_gen_TBO[[#This Row],[REALDUE]]-Table__10.2.1.2_1_4AHB_v_gen_TBO[[#This Row],[EI_BEG_AGE]]</f>
        <v>#VALUE!</v>
      </c>
      <c r="J417">
        <v>4733.5</v>
      </c>
      <c r="K417" s="110" t="str">
        <f>IF(Table__10.2.1.2_1_4AHB_v_gen_TBO[[#This Row],[NO_OVHLS]]="RC","RC","LC")</f>
        <v>LC</v>
      </c>
      <c r="L417" t="s">
        <v>403</v>
      </c>
      <c r="M417" t="s">
        <v>104</v>
      </c>
      <c r="N417" t="b">
        <v>0</v>
      </c>
    </row>
    <row r="418" spans="2:14" hidden="1">
      <c r="B418" t="s">
        <v>751</v>
      </c>
      <c r="C418" s="110" t="str">
        <f>RIGHT(B418,3)</f>
        <v>119</v>
      </c>
      <c r="D418" t="s">
        <v>579</v>
      </c>
      <c r="E418" s="110" t="str">
        <f>LEFT(F418,22)</f>
        <v>BEARING, SUPPORT MIXER</v>
      </c>
      <c r="F418" t="s">
        <v>382</v>
      </c>
      <c r="G418" s="110" t="str">
        <f>RIGHT(H418,9)</f>
        <v>012575797</v>
      </c>
      <c r="H418" t="s">
        <v>383</v>
      </c>
      <c r="I418" s="110" t="e">
        <f>Table__10.2.1.2_1_4AHB_v_gen_TBO[[#This Row],[REALDUE]]-Table__10.2.1.2_1_4AHB_v_gen_TBO[[#This Row],[EI_BEG_AGE]]</f>
        <v>#VALUE!</v>
      </c>
      <c r="J418">
        <v>3973.9</v>
      </c>
      <c r="K418" s="110" t="str">
        <f>IF(Table__10.2.1.2_1_4AHB_v_gen_TBO[[#This Row],[NO_OVHLS]]="RC","RC","LC")</f>
        <v>LC</v>
      </c>
      <c r="L418" t="s">
        <v>403</v>
      </c>
      <c r="M418" t="s">
        <v>104</v>
      </c>
      <c r="N418" t="b">
        <v>0</v>
      </c>
    </row>
    <row r="419" spans="2:14" hidden="1">
      <c r="B419" t="s">
        <v>751</v>
      </c>
      <c r="C419" s="110" t="str">
        <f>RIGHT(B419,3)</f>
        <v>119</v>
      </c>
      <c r="D419" t="s">
        <v>579</v>
      </c>
      <c r="E419" s="110" t="str">
        <f>LEFT(F419,22)</f>
        <v>BEARING, SUPPORT MIXER</v>
      </c>
      <c r="F419" t="s">
        <v>382</v>
      </c>
      <c r="G419" s="110" t="str">
        <f>RIGHT(H419,9)</f>
        <v>012575797</v>
      </c>
      <c r="H419" t="s">
        <v>383</v>
      </c>
      <c r="I419" s="96" t="e">
        <f>Table__10.2.1.2_1_4AHB_v_gen_TBO[[#This Row],[REALDUE]]-Table__10.2.1.2_1_4AHB_v_gen_TBO[[#This Row],[EI_BEG_AGE]]</f>
        <v>#VALUE!</v>
      </c>
      <c r="J419" s="96">
        <v>3973.9</v>
      </c>
      <c r="K419" s="110" t="str">
        <f>IF(Table__10.2.1.2_1_4AHB_v_gen_TBO[[#This Row],[NO_OVHLS]]="RC","RC","LC")</f>
        <v>LC</v>
      </c>
      <c r="L419" t="s">
        <v>403</v>
      </c>
      <c r="M419" t="s">
        <v>104</v>
      </c>
      <c r="N419" t="b">
        <v>0</v>
      </c>
    </row>
    <row r="420" spans="2:14" hidden="1">
      <c r="B420" t="s">
        <v>749</v>
      </c>
      <c r="C420" s="110" t="str">
        <f>RIGHT(B420,3)</f>
        <v>187</v>
      </c>
      <c r="D420" t="s">
        <v>579</v>
      </c>
      <c r="E420" s="110" t="str">
        <f>LEFT(F420,22)</f>
        <v>BEARING, SUPPORT MIXER</v>
      </c>
      <c r="F420" t="s">
        <v>382</v>
      </c>
      <c r="G420" s="110" t="str">
        <f>RIGHT(H420,9)</f>
        <v>012575797</v>
      </c>
      <c r="H420" t="s">
        <v>383</v>
      </c>
      <c r="I420" s="96" t="e">
        <f>Table__10.2.1.2_1_4AHB_v_gen_TBO[[#This Row],[REALDUE]]-Table__10.2.1.2_1_4AHB_v_gen_TBO[[#This Row],[EI_BEG_AGE]]</f>
        <v>#VALUE!</v>
      </c>
      <c r="J420" s="96">
        <v>5314.7</v>
      </c>
      <c r="K420" s="110" t="str">
        <f>IF(Table__10.2.1.2_1_4AHB_v_gen_TBO[[#This Row],[NO_OVHLS]]="RC","RC","LC")</f>
        <v>LC</v>
      </c>
      <c r="L420" t="s">
        <v>403</v>
      </c>
      <c r="M420" t="s">
        <v>104</v>
      </c>
      <c r="N420" t="b">
        <v>0</v>
      </c>
    </row>
    <row r="421" spans="2:14" hidden="1">
      <c r="B421" t="s">
        <v>749</v>
      </c>
      <c r="C421" s="110" t="str">
        <f>RIGHT(B421,3)</f>
        <v>187</v>
      </c>
      <c r="D421" t="s">
        <v>579</v>
      </c>
      <c r="E421" s="110" t="str">
        <f>LEFT(F421,22)</f>
        <v>BEARING, SUPPORT MIXER</v>
      </c>
      <c r="F421" t="s">
        <v>382</v>
      </c>
      <c r="G421" s="110" t="str">
        <f>RIGHT(H421,9)</f>
        <v>012575797</v>
      </c>
      <c r="H421" t="s">
        <v>383</v>
      </c>
      <c r="I421" s="96" t="e">
        <f>Table__10.2.1.2_1_4AHB_v_gen_TBO[[#This Row],[REALDUE]]-Table__10.2.1.2_1_4AHB_v_gen_TBO[[#This Row],[EI_BEG_AGE]]</f>
        <v>#VALUE!</v>
      </c>
      <c r="J421" s="96">
        <v>5314.7</v>
      </c>
      <c r="K421" s="110" t="str">
        <f>IF(Table__10.2.1.2_1_4AHB_v_gen_TBO[[#This Row],[NO_OVHLS]]="RC","RC","LC")</f>
        <v>LC</v>
      </c>
      <c r="L421" t="s">
        <v>403</v>
      </c>
      <c r="M421" t="s">
        <v>104</v>
      </c>
      <c r="N421" t="b">
        <v>0</v>
      </c>
    </row>
    <row r="422" spans="2:14" hidden="1">
      <c r="B422" t="s">
        <v>753</v>
      </c>
      <c r="C422" s="110" t="str">
        <f>RIGHT(B422,3)</f>
        <v>141</v>
      </c>
      <c r="D422" t="s">
        <v>579</v>
      </c>
      <c r="E422" s="110" t="str">
        <f>LEFT(F422,22)</f>
        <v>BEARING, SUPPORT MIXER</v>
      </c>
      <c r="F422" t="s">
        <v>382</v>
      </c>
      <c r="G422" s="110" t="str">
        <f>RIGHT(H422,9)</f>
        <v>012575797</v>
      </c>
      <c r="H422" t="s">
        <v>383</v>
      </c>
      <c r="I422" s="110" t="e">
        <f>Table__10.2.1.2_1_4AHB_v_gen_TBO[[#This Row],[REALDUE]]-Table__10.2.1.2_1_4AHB_v_gen_TBO[[#This Row],[EI_BEG_AGE]]</f>
        <v>#VALUE!</v>
      </c>
      <c r="J422">
        <v>4733.5</v>
      </c>
      <c r="K422" s="110" t="str">
        <f>IF(Table__10.2.1.2_1_4AHB_v_gen_TBO[[#This Row],[NO_OVHLS]]="RC","RC","LC")</f>
        <v>LC</v>
      </c>
      <c r="L422" t="s">
        <v>403</v>
      </c>
      <c r="M422" t="s">
        <v>104</v>
      </c>
      <c r="N422" t="b">
        <v>0</v>
      </c>
    </row>
    <row r="423" spans="2:14" hidden="1">
      <c r="B423" t="s">
        <v>751</v>
      </c>
      <c r="C423" s="110" t="str">
        <f>RIGHT(B423,3)</f>
        <v>119</v>
      </c>
      <c r="D423" t="s">
        <v>486</v>
      </c>
      <c r="E423" s="110" t="str">
        <f>LEFT(F423,22)</f>
        <v>INPUT PINION</v>
      </c>
      <c r="F423" t="s">
        <v>252</v>
      </c>
      <c r="G423" s="110" t="str">
        <f>RIGHT(H423,9)</f>
        <v>011634573</v>
      </c>
      <c r="H423" t="s">
        <v>253</v>
      </c>
      <c r="I423" s="110" t="e">
        <f>Table__10.2.1.2_1_4AHB_v_gen_TBO[[#This Row],[REALDUE]]-Table__10.2.1.2_1_4AHB_v_gen_TBO[[#This Row],[EI_BEG_AGE]]</f>
        <v>#VALUE!</v>
      </c>
      <c r="J423">
        <v>3973.9</v>
      </c>
      <c r="K423" s="110" t="str">
        <f>IF(Table__10.2.1.2_1_4AHB_v_gen_TBO[[#This Row],[NO_OVHLS]]="RC","RC","LC")</f>
        <v>LC</v>
      </c>
      <c r="L423" t="s">
        <v>403</v>
      </c>
      <c r="M423" t="s">
        <v>104</v>
      </c>
      <c r="N423" t="b">
        <v>0</v>
      </c>
    </row>
    <row r="424" spans="2:14" hidden="1">
      <c r="B424" t="s">
        <v>751</v>
      </c>
      <c r="C424" s="110" t="str">
        <f>RIGHT(B424,3)</f>
        <v>119</v>
      </c>
      <c r="D424" t="s">
        <v>486</v>
      </c>
      <c r="E424" s="110" t="str">
        <f>LEFT(F424,22)</f>
        <v>INPUT PINION</v>
      </c>
      <c r="F424" t="s">
        <v>252</v>
      </c>
      <c r="G424" s="110" t="str">
        <f>RIGHT(H424,9)</f>
        <v>011634573</v>
      </c>
      <c r="H424" t="s">
        <v>253</v>
      </c>
      <c r="I424" s="110" t="e">
        <f>Table__10.2.1.2_1_4AHB_v_gen_TBO[[#This Row],[REALDUE]]-Table__10.2.1.2_1_4AHB_v_gen_TBO[[#This Row],[EI_BEG_AGE]]</f>
        <v>#VALUE!</v>
      </c>
      <c r="J424">
        <v>3973.9</v>
      </c>
      <c r="K424" s="110" t="str">
        <f>IF(Table__10.2.1.2_1_4AHB_v_gen_TBO[[#This Row],[NO_OVHLS]]="RC","RC","LC")</f>
        <v>LC</v>
      </c>
      <c r="L424" t="s">
        <v>403</v>
      </c>
      <c r="M424" t="s">
        <v>104</v>
      </c>
      <c r="N424" t="b">
        <v>0</v>
      </c>
    </row>
    <row r="425" spans="2:14" hidden="1">
      <c r="B425" t="s">
        <v>749</v>
      </c>
      <c r="C425" s="110" t="str">
        <f>RIGHT(B425,3)</f>
        <v>187</v>
      </c>
      <c r="D425" t="s">
        <v>486</v>
      </c>
      <c r="E425" s="110" t="str">
        <f>LEFT(F425,22)</f>
        <v>INPUT PINION</v>
      </c>
      <c r="F425" t="s">
        <v>252</v>
      </c>
      <c r="G425" s="110" t="str">
        <f>RIGHT(H425,9)</f>
        <v>011634573</v>
      </c>
      <c r="H425" t="s">
        <v>253</v>
      </c>
      <c r="I425" s="110" t="e">
        <f>Table__10.2.1.2_1_4AHB_v_gen_TBO[[#This Row],[REALDUE]]-Table__10.2.1.2_1_4AHB_v_gen_TBO[[#This Row],[EI_BEG_AGE]]</f>
        <v>#VALUE!</v>
      </c>
      <c r="J425">
        <v>5314.7</v>
      </c>
      <c r="K425" s="110" t="str">
        <f>IF(Table__10.2.1.2_1_4AHB_v_gen_TBO[[#This Row],[NO_OVHLS]]="RC","RC","LC")</f>
        <v>LC</v>
      </c>
      <c r="L425" t="s">
        <v>403</v>
      </c>
      <c r="M425" t="s">
        <v>104</v>
      </c>
      <c r="N425" t="b">
        <v>0</v>
      </c>
    </row>
    <row r="426" spans="2:14" hidden="1">
      <c r="B426" t="s">
        <v>749</v>
      </c>
      <c r="C426" s="110" t="str">
        <f>RIGHT(B426,3)</f>
        <v>187</v>
      </c>
      <c r="D426" t="s">
        <v>486</v>
      </c>
      <c r="E426" s="110" t="str">
        <f>LEFT(F426,22)</f>
        <v>INPUT PINION</v>
      </c>
      <c r="F426" t="s">
        <v>252</v>
      </c>
      <c r="G426" s="110" t="str">
        <f>RIGHT(H426,9)</f>
        <v>011634573</v>
      </c>
      <c r="H426" t="s">
        <v>253</v>
      </c>
      <c r="I426" s="110" t="e">
        <f>Table__10.2.1.2_1_4AHB_v_gen_TBO[[#This Row],[REALDUE]]-Table__10.2.1.2_1_4AHB_v_gen_TBO[[#This Row],[EI_BEG_AGE]]</f>
        <v>#VALUE!</v>
      </c>
      <c r="J426">
        <v>5314.7</v>
      </c>
      <c r="K426" s="110" t="str">
        <f>IF(Table__10.2.1.2_1_4AHB_v_gen_TBO[[#This Row],[NO_OVHLS]]="RC","RC","LC")</f>
        <v>LC</v>
      </c>
      <c r="L426" t="s">
        <v>403</v>
      </c>
      <c r="M426" t="s">
        <v>104</v>
      </c>
      <c r="N426" t="b">
        <v>0</v>
      </c>
    </row>
    <row r="427" spans="2:14" hidden="1">
      <c r="B427" t="s">
        <v>751</v>
      </c>
      <c r="C427" s="110" t="str">
        <f>RIGHT(B427,3)</f>
        <v>119</v>
      </c>
      <c r="D427" t="s">
        <v>492</v>
      </c>
      <c r="E427" s="110" t="str">
        <f>LEFT(F427,22)</f>
        <v>SUN GEAR</v>
      </c>
      <c r="F427" t="s">
        <v>260</v>
      </c>
      <c r="G427" s="110" t="str">
        <f>RIGHT(H427,9)</f>
        <v>011643971</v>
      </c>
      <c r="H427" t="s">
        <v>261</v>
      </c>
      <c r="I427" s="110" t="e">
        <f>Table__10.2.1.2_1_4AHB_v_gen_TBO[[#This Row],[REALDUE]]-Table__10.2.1.2_1_4AHB_v_gen_TBO[[#This Row],[EI_BEG_AGE]]</f>
        <v>#VALUE!</v>
      </c>
      <c r="J427">
        <v>3973.9</v>
      </c>
      <c r="K427" s="110" t="str">
        <f>IF(Table__10.2.1.2_1_4AHB_v_gen_TBO[[#This Row],[NO_OVHLS]]="RC","RC","LC")</f>
        <v>LC</v>
      </c>
      <c r="L427" t="s">
        <v>403</v>
      </c>
      <c r="M427" t="s">
        <v>104</v>
      </c>
      <c r="N427" t="b">
        <v>0</v>
      </c>
    </row>
    <row r="428" spans="2:14" hidden="1">
      <c r="B428" t="s">
        <v>749</v>
      </c>
      <c r="C428" s="110" t="str">
        <f>RIGHT(B428,3)</f>
        <v>187</v>
      </c>
      <c r="D428" t="s">
        <v>492</v>
      </c>
      <c r="E428" s="110" t="str">
        <f>LEFT(F428,22)</f>
        <v>SUN GEAR</v>
      </c>
      <c r="F428" t="s">
        <v>260</v>
      </c>
      <c r="G428" s="110" t="str">
        <f>RIGHT(H428,9)</f>
        <v>011643971</v>
      </c>
      <c r="H428" t="s">
        <v>261</v>
      </c>
      <c r="I428" s="110" t="e">
        <f>Table__10.2.1.2_1_4AHB_v_gen_TBO[[#This Row],[REALDUE]]-Table__10.2.1.2_1_4AHB_v_gen_TBO[[#This Row],[EI_BEG_AGE]]</f>
        <v>#VALUE!</v>
      </c>
      <c r="J428">
        <v>5314.7</v>
      </c>
      <c r="K428" s="110" t="str">
        <f>IF(Table__10.2.1.2_1_4AHB_v_gen_TBO[[#This Row],[NO_OVHLS]]="RC","RC","LC")</f>
        <v>LC</v>
      </c>
      <c r="L428" t="s">
        <v>403</v>
      </c>
      <c r="M428" t="s">
        <v>104</v>
      </c>
      <c r="N428" t="b">
        <v>0</v>
      </c>
    </row>
    <row r="429" spans="2:14" hidden="1">
      <c r="B429" t="s">
        <v>749</v>
      </c>
      <c r="C429" s="110" t="str">
        <f>RIGHT(B429,3)</f>
        <v>187</v>
      </c>
      <c r="D429" t="s">
        <v>493</v>
      </c>
      <c r="E429" s="110" t="str">
        <f>LEFT(F429,22)</f>
        <v>GEARSHAFT ASSY</v>
      </c>
      <c r="F429" t="s">
        <v>262</v>
      </c>
      <c r="G429" s="110" t="str">
        <f>RIGHT(H429,9)</f>
        <v>011657022</v>
      </c>
      <c r="H429" t="s">
        <v>263</v>
      </c>
      <c r="I429" s="110" t="e">
        <f>Table__10.2.1.2_1_4AHB_v_gen_TBO[[#This Row],[REALDUE]]-Table__10.2.1.2_1_4AHB_v_gen_TBO[[#This Row],[EI_BEG_AGE]]</f>
        <v>#VALUE!</v>
      </c>
      <c r="J429">
        <v>5314.7</v>
      </c>
      <c r="K429" s="110" t="str">
        <f>IF(Table__10.2.1.2_1_4AHB_v_gen_TBO[[#This Row],[NO_OVHLS]]="RC","RC","LC")</f>
        <v>LC</v>
      </c>
      <c r="L429" t="s">
        <v>403</v>
      </c>
      <c r="M429" t="s">
        <v>104</v>
      </c>
      <c r="N429" t="b">
        <v>0</v>
      </c>
    </row>
    <row r="430" spans="2:14" hidden="1">
      <c r="B430" t="s">
        <v>751</v>
      </c>
      <c r="C430" s="110" t="str">
        <f>RIGHT(B430,3)</f>
        <v>119</v>
      </c>
      <c r="D430" t="s">
        <v>493</v>
      </c>
      <c r="E430" s="110" t="str">
        <f>LEFT(F430,22)</f>
        <v>GEARSHAFT ASSY</v>
      </c>
      <c r="F430" t="s">
        <v>262</v>
      </c>
      <c r="G430" s="110" t="str">
        <f>RIGHT(H430,9)</f>
        <v>011657022</v>
      </c>
      <c r="H430" t="s">
        <v>263</v>
      </c>
      <c r="I430" s="110" t="e">
        <f>Table__10.2.1.2_1_4AHB_v_gen_TBO[[#This Row],[REALDUE]]-Table__10.2.1.2_1_4AHB_v_gen_TBO[[#This Row],[EI_BEG_AGE]]</f>
        <v>#VALUE!</v>
      </c>
      <c r="J430">
        <v>3973.9</v>
      </c>
      <c r="K430" s="110" t="str">
        <f>IF(Table__10.2.1.2_1_4AHB_v_gen_TBO[[#This Row],[NO_OVHLS]]="RC","RC","LC")</f>
        <v>LC</v>
      </c>
      <c r="L430" t="s">
        <v>403</v>
      </c>
      <c r="M430" t="s">
        <v>104</v>
      </c>
      <c r="N430" t="b">
        <v>0</v>
      </c>
    </row>
    <row r="431" spans="2:14" hidden="1">
      <c r="B431" t="s">
        <v>751</v>
      </c>
      <c r="C431" s="110" t="str">
        <f>RIGHT(B431,3)</f>
        <v>119</v>
      </c>
      <c r="D431" t="s">
        <v>487</v>
      </c>
      <c r="E431" s="110" t="str">
        <f>LEFT(F431,22)</f>
        <v>HELICAL GEAR</v>
      </c>
      <c r="F431" t="s">
        <v>254</v>
      </c>
      <c r="G431" s="110" t="str">
        <f>RIGHT(H431,9)</f>
        <v>011550885</v>
      </c>
      <c r="H431" t="s">
        <v>255</v>
      </c>
      <c r="I431" s="110" t="e">
        <f>Table__10.2.1.2_1_4AHB_v_gen_TBO[[#This Row],[REALDUE]]-Table__10.2.1.2_1_4AHB_v_gen_TBO[[#This Row],[EI_BEG_AGE]]</f>
        <v>#VALUE!</v>
      </c>
      <c r="J431">
        <v>3973.9</v>
      </c>
      <c r="K431" s="110" t="str">
        <f>IF(Table__10.2.1.2_1_4AHB_v_gen_TBO[[#This Row],[NO_OVHLS]]="RC","RC","LC")</f>
        <v>LC</v>
      </c>
      <c r="L431" t="s">
        <v>403</v>
      </c>
      <c r="M431" t="s">
        <v>104</v>
      </c>
      <c r="N431" t="b">
        <v>0</v>
      </c>
    </row>
    <row r="432" spans="2:14" hidden="1">
      <c r="B432" t="s">
        <v>749</v>
      </c>
      <c r="C432" s="110" t="str">
        <f>RIGHT(B432,3)</f>
        <v>187</v>
      </c>
      <c r="D432" t="s">
        <v>488</v>
      </c>
      <c r="E432" s="110" t="str">
        <f>LEFT(F432,22)</f>
        <v>HELICAL GEAR</v>
      </c>
      <c r="F432" t="s">
        <v>254</v>
      </c>
      <c r="G432" s="110" t="str">
        <f>RIGHT(H432,9)</f>
        <v>011550885</v>
      </c>
      <c r="H432" t="s">
        <v>255</v>
      </c>
      <c r="I432" s="110" t="e">
        <f>Table__10.2.1.2_1_4AHB_v_gen_TBO[[#This Row],[REALDUE]]-Table__10.2.1.2_1_4AHB_v_gen_TBO[[#This Row],[EI_BEG_AGE]]</f>
        <v>#VALUE!</v>
      </c>
      <c r="J432">
        <v>5314.7</v>
      </c>
      <c r="K432" s="110" t="str">
        <f>IF(Table__10.2.1.2_1_4AHB_v_gen_TBO[[#This Row],[NO_OVHLS]]="RC","RC","LC")</f>
        <v>LC</v>
      </c>
      <c r="L432" t="s">
        <v>403</v>
      </c>
      <c r="M432" t="s">
        <v>104</v>
      </c>
      <c r="N432" t="b">
        <v>0</v>
      </c>
    </row>
    <row r="433" spans="2:14" hidden="1">
      <c r="B433" t="s">
        <v>753</v>
      </c>
      <c r="C433" s="110" t="str">
        <f>RIGHT(B433,3)</f>
        <v>141</v>
      </c>
      <c r="D433" t="s">
        <v>506</v>
      </c>
      <c r="E433" s="110" t="str">
        <f>LEFT(F433,22)</f>
        <v>INPUT GEAR</v>
      </c>
      <c r="F433" t="s">
        <v>283</v>
      </c>
      <c r="G433" s="110" t="str">
        <f>RIGHT(H433,9)</f>
        <v>012689954</v>
      </c>
      <c r="H433" t="s">
        <v>284</v>
      </c>
      <c r="I433" s="110" t="e">
        <f>Table__10.2.1.2_1_4AHB_v_gen_TBO[[#This Row],[REALDUE]]-Table__10.2.1.2_1_4AHB_v_gen_TBO[[#This Row],[EI_BEG_AGE]]</f>
        <v>#VALUE!</v>
      </c>
      <c r="J433">
        <v>4733.5</v>
      </c>
      <c r="K433" s="110" t="str">
        <f>IF(Table__10.2.1.2_1_4AHB_v_gen_TBO[[#This Row],[NO_OVHLS]]="RC","RC","LC")</f>
        <v>LC</v>
      </c>
      <c r="L433" t="s">
        <v>403</v>
      </c>
      <c r="M433" t="s">
        <v>104</v>
      </c>
      <c r="N433" t="b">
        <v>0</v>
      </c>
    </row>
    <row r="434" spans="2:14" hidden="1">
      <c r="B434" t="s">
        <v>749</v>
      </c>
      <c r="C434" s="110" t="str">
        <f>RIGHT(B434,3)</f>
        <v>187</v>
      </c>
      <c r="D434" t="s">
        <v>506</v>
      </c>
      <c r="E434" s="110" t="str">
        <f>LEFT(F434,22)</f>
        <v>INPUT GEAR</v>
      </c>
      <c r="F434" t="s">
        <v>283</v>
      </c>
      <c r="G434" s="110" t="str">
        <f>RIGHT(H434,9)</f>
        <v>012689954</v>
      </c>
      <c r="H434" t="s">
        <v>284</v>
      </c>
      <c r="I434" s="96" t="e">
        <f>Table__10.2.1.2_1_4AHB_v_gen_TBO[[#This Row],[REALDUE]]-Table__10.2.1.2_1_4AHB_v_gen_TBO[[#This Row],[EI_BEG_AGE]]</f>
        <v>#VALUE!</v>
      </c>
      <c r="J434" s="96">
        <v>5314.7</v>
      </c>
      <c r="K434" s="110" t="str">
        <f>IF(Table__10.2.1.2_1_4AHB_v_gen_TBO[[#This Row],[NO_OVHLS]]="RC","RC","LC")</f>
        <v>LC</v>
      </c>
      <c r="L434" t="s">
        <v>403</v>
      </c>
      <c r="M434" t="s">
        <v>104</v>
      </c>
      <c r="N434" t="b">
        <v>0</v>
      </c>
    </row>
    <row r="435" spans="2:14" hidden="1">
      <c r="B435" t="s">
        <v>753</v>
      </c>
      <c r="C435" s="110" t="str">
        <f>RIGHT(B435,3)</f>
        <v>141</v>
      </c>
      <c r="D435" t="s">
        <v>501</v>
      </c>
      <c r="E435" s="110" t="str">
        <f>LEFT(F435,22)</f>
        <v>QUILL SHAFT ASSEMBLY</v>
      </c>
      <c r="F435" t="s">
        <v>276</v>
      </c>
      <c r="G435" s="110" t="str">
        <f>RIGHT(H435,9)</f>
        <v>011656852</v>
      </c>
      <c r="H435" t="s">
        <v>277</v>
      </c>
      <c r="I435" s="96" t="e">
        <f>Table__10.2.1.2_1_4AHB_v_gen_TBO[[#This Row],[REALDUE]]-Table__10.2.1.2_1_4AHB_v_gen_TBO[[#This Row],[EI_BEG_AGE]]</f>
        <v>#VALUE!</v>
      </c>
      <c r="J435" s="96">
        <v>4733.5</v>
      </c>
      <c r="K435" s="110" t="str">
        <f>IF(Table__10.2.1.2_1_4AHB_v_gen_TBO[[#This Row],[NO_OVHLS]]="RC","RC","LC")</f>
        <v>LC</v>
      </c>
      <c r="L435" t="s">
        <v>403</v>
      </c>
      <c r="M435" t="s">
        <v>104</v>
      </c>
      <c r="N435" t="b">
        <v>0</v>
      </c>
    </row>
    <row r="436" spans="2:14" hidden="1">
      <c r="B436" t="s">
        <v>749</v>
      </c>
      <c r="C436" s="110" t="str">
        <f>RIGHT(B436,3)</f>
        <v>187</v>
      </c>
      <c r="D436" t="s">
        <v>501</v>
      </c>
      <c r="E436" s="110" t="str">
        <f>LEFT(F436,22)</f>
        <v>QUILL SHAFT ASSEMBLY</v>
      </c>
      <c r="F436" t="s">
        <v>276</v>
      </c>
      <c r="G436" s="110" t="str">
        <f>RIGHT(H436,9)</f>
        <v>011656852</v>
      </c>
      <c r="H436" t="s">
        <v>277</v>
      </c>
      <c r="I436" s="96" t="e">
        <f>Table__10.2.1.2_1_4AHB_v_gen_TBO[[#This Row],[REALDUE]]-Table__10.2.1.2_1_4AHB_v_gen_TBO[[#This Row],[EI_BEG_AGE]]</f>
        <v>#VALUE!</v>
      </c>
      <c r="J436" s="96">
        <v>5314.7</v>
      </c>
      <c r="K436" s="110" t="str">
        <f>IF(Table__10.2.1.2_1_4AHB_v_gen_TBO[[#This Row],[NO_OVHLS]]="RC","RC","LC")</f>
        <v>LC</v>
      </c>
      <c r="L436" t="s">
        <v>403</v>
      </c>
      <c r="M436" t="s">
        <v>104</v>
      </c>
      <c r="N436" t="b">
        <v>0</v>
      </c>
    </row>
    <row r="437" spans="2:14" hidden="1">
      <c r="B437" t="s">
        <v>753</v>
      </c>
      <c r="C437" s="110" t="str">
        <f>RIGHT(B437,3)</f>
        <v>141</v>
      </c>
      <c r="D437" t="s">
        <v>501</v>
      </c>
      <c r="E437" s="110" t="str">
        <f>LEFT(F437,22)</f>
        <v>QUILL SHAFT ASSEMBLY</v>
      </c>
      <c r="F437" t="s">
        <v>276</v>
      </c>
      <c r="G437" s="110" t="str">
        <f>RIGHT(H437,9)</f>
        <v>011656852</v>
      </c>
      <c r="H437" t="s">
        <v>277</v>
      </c>
      <c r="I437" s="96" t="e">
        <f>Table__10.2.1.2_1_4AHB_v_gen_TBO[[#This Row],[REALDUE]]-Table__10.2.1.2_1_4AHB_v_gen_TBO[[#This Row],[EI_BEG_AGE]]</f>
        <v>#VALUE!</v>
      </c>
      <c r="J437" s="96">
        <v>4733.5</v>
      </c>
      <c r="K437" s="110" t="str">
        <f>IF(Table__10.2.1.2_1_4AHB_v_gen_TBO[[#This Row],[NO_OVHLS]]="RC","RC","LC")</f>
        <v>LC</v>
      </c>
      <c r="L437" t="s">
        <v>403</v>
      </c>
      <c r="M437" t="s">
        <v>104</v>
      </c>
      <c r="N437" t="b">
        <v>0</v>
      </c>
    </row>
    <row r="438" spans="2:14" hidden="1">
      <c r="B438" t="s">
        <v>751</v>
      </c>
      <c r="C438" s="110" t="str">
        <f>RIGHT(B438,3)</f>
        <v>119</v>
      </c>
      <c r="D438" t="s">
        <v>501</v>
      </c>
      <c r="E438" s="110" t="str">
        <f>LEFT(F438,22)</f>
        <v>QUILL SHAFT ASSEMBLY</v>
      </c>
      <c r="F438" t="s">
        <v>276</v>
      </c>
      <c r="G438" s="110" t="str">
        <f>RIGHT(H438,9)</f>
        <v>011656852</v>
      </c>
      <c r="H438" t="s">
        <v>277</v>
      </c>
      <c r="I438" s="96" t="e">
        <f>Table__10.2.1.2_1_4AHB_v_gen_TBO[[#This Row],[REALDUE]]-Table__10.2.1.2_1_4AHB_v_gen_TBO[[#This Row],[EI_BEG_AGE]]</f>
        <v>#VALUE!</v>
      </c>
      <c r="J438" s="96">
        <v>3973.9</v>
      </c>
      <c r="K438" s="110" t="str">
        <f>IF(Table__10.2.1.2_1_4AHB_v_gen_TBO[[#This Row],[NO_OVHLS]]="RC","RC","LC")</f>
        <v>LC</v>
      </c>
      <c r="L438" t="s">
        <v>403</v>
      </c>
      <c r="M438" t="s">
        <v>104</v>
      </c>
      <c r="N438" t="b">
        <v>0</v>
      </c>
    </row>
    <row r="439" spans="2:14" hidden="1">
      <c r="B439" t="s">
        <v>751</v>
      </c>
      <c r="C439" s="110" t="str">
        <f>RIGHT(B439,3)</f>
        <v>119</v>
      </c>
      <c r="D439" t="s">
        <v>502</v>
      </c>
      <c r="E439" s="110" t="str">
        <f>LEFT(F439,22)</f>
        <v>QUILL SHAFT ASSEMBLY</v>
      </c>
      <c r="F439" t="s">
        <v>276</v>
      </c>
      <c r="G439" s="110" t="str">
        <f>RIGHT(H439,9)</f>
        <v>N PENDING</v>
      </c>
      <c r="H439" t="s">
        <v>106</v>
      </c>
      <c r="I439" s="96" t="e">
        <f>Table__10.2.1.2_1_4AHB_v_gen_TBO[[#This Row],[REALDUE]]-Table__10.2.1.2_1_4AHB_v_gen_TBO[[#This Row],[EI_BEG_AGE]]</f>
        <v>#VALUE!</v>
      </c>
      <c r="J439" s="96">
        <v>3973.9</v>
      </c>
      <c r="K439" s="110" t="str">
        <f>IF(Table__10.2.1.2_1_4AHB_v_gen_TBO[[#This Row],[NO_OVHLS]]="RC","RC","LC")</f>
        <v>LC</v>
      </c>
      <c r="L439" t="s">
        <v>403</v>
      </c>
      <c r="M439" t="s">
        <v>104</v>
      </c>
      <c r="N439" t="b">
        <v>0</v>
      </c>
    </row>
    <row r="440" spans="2:14" hidden="1">
      <c r="B440" t="s">
        <v>749</v>
      </c>
      <c r="C440" s="110" t="str">
        <f>RIGHT(B440,3)</f>
        <v>187</v>
      </c>
      <c r="D440" t="s">
        <v>502</v>
      </c>
      <c r="E440" s="110" t="str">
        <f>LEFT(F440,22)</f>
        <v>QUILL SHAFT ASSEMBLY</v>
      </c>
      <c r="F440" t="s">
        <v>276</v>
      </c>
      <c r="G440" s="110" t="str">
        <f>RIGHT(H440,9)</f>
        <v>N PENDING</v>
      </c>
      <c r="H440" t="s">
        <v>106</v>
      </c>
      <c r="I440" s="96" t="e">
        <f>Table__10.2.1.2_1_4AHB_v_gen_TBO[[#This Row],[REALDUE]]-Table__10.2.1.2_1_4AHB_v_gen_TBO[[#This Row],[EI_BEG_AGE]]</f>
        <v>#VALUE!</v>
      </c>
      <c r="J440" s="96">
        <v>5314.7</v>
      </c>
      <c r="K440" s="110" t="str">
        <f>IF(Table__10.2.1.2_1_4AHB_v_gen_TBO[[#This Row],[NO_OVHLS]]="RC","RC","LC")</f>
        <v>LC</v>
      </c>
      <c r="L440" t="s">
        <v>403</v>
      </c>
      <c r="M440" t="s">
        <v>104</v>
      </c>
      <c r="N440" t="b">
        <v>0</v>
      </c>
    </row>
    <row r="441" spans="2:14" hidden="1">
      <c r="B441" t="s">
        <v>749</v>
      </c>
      <c r="C441" s="110" t="str">
        <f>RIGHT(B441,3)</f>
        <v>187</v>
      </c>
      <c r="D441" t="s">
        <v>499</v>
      </c>
      <c r="E441" s="110" t="str">
        <f>LEFT(F441,22)</f>
        <v>LUBE PUMP</v>
      </c>
      <c r="F441" t="s">
        <v>274</v>
      </c>
      <c r="G441" s="110" t="str">
        <f>RIGHT(H441,9)</f>
        <v>014623669</v>
      </c>
      <c r="H441" t="s">
        <v>275</v>
      </c>
      <c r="I441" s="96" t="e">
        <f>Table__10.2.1.2_1_4AHB_v_gen_TBO[[#This Row],[REALDUE]]-Table__10.2.1.2_1_4AHB_v_gen_TBO[[#This Row],[EI_BEG_AGE]]</f>
        <v>#VALUE!</v>
      </c>
      <c r="J441" s="96">
        <v>5314.7</v>
      </c>
      <c r="K441" s="110" t="str">
        <f>IF(Table__10.2.1.2_1_4AHB_v_gen_TBO[[#This Row],[NO_OVHLS]]="RC","RC","LC")</f>
        <v>LC</v>
      </c>
      <c r="L441" t="s">
        <v>403</v>
      </c>
      <c r="M441" t="s">
        <v>104</v>
      </c>
      <c r="N441" t="b">
        <v>0</v>
      </c>
    </row>
    <row r="442" spans="2:14" hidden="1">
      <c r="B442" t="s">
        <v>753</v>
      </c>
      <c r="C442" s="110" t="str">
        <f>RIGHT(B442,3)</f>
        <v>141</v>
      </c>
      <c r="D442" t="s">
        <v>499</v>
      </c>
      <c r="E442" s="110" t="str">
        <f>LEFT(F442,22)</f>
        <v>LUBE PUMP</v>
      </c>
      <c r="F442" t="s">
        <v>274</v>
      </c>
      <c r="G442" s="110" t="str">
        <f>RIGHT(H442,9)</f>
        <v>014623669</v>
      </c>
      <c r="H442" t="s">
        <v>275</v>
      </c>
      <c r="I442" s="96" t="e">
        <f>Table__10.2.1.2_1_4AHB_v_gen_TBO[[#This Row],[REALDUE]]-Table__10.2.1.2_1_4AHB_v_gen_TBO[[#This Row],[EI_BEG_AGE]]</f>
        <v>#VALUE!</v>
      </c>
      <c r="J442" s="96">
        <v>4733.5</v>
      </c>
      <c r="K442" s="110" t="str">
        <f>IF(Table__10.2.1.2_1_4AHB_v_gen_TBO[[#This Row],[NO_OVHLS]]="RC","RC","LC")</f>
        <v>LC</v>
      </c>
      <c r="L442" t="s">
        <v>403</v>
      </c>
      <c r="M442" t="s">
        <v>104</v>
      </c>
      <c r="N442" t="b">
        <v>0</v>
      </c>
    </row>
    <row r="443" spans="2:14" hidden="1">
      <c r="B443" t="s">
        <v>749</v>
      </c>
      <c r="C443" s="110" t="str">
        <f>RIGHT(B443,3)</f>
        <v>187</v>
      </c>
      <c r="D443" t="s">
        <v>500</v>
      </c>
      <c r="E443" s="110" t="str">
        <f>LEFT(F443,22)</f>
        <v>LUBE PUMP</v>
      </c>
      <c r="F443" t="s">
        <v>274</v>
      </c>
      <c r="G443" s="110" t="str">
        <f>RIGHT(H443,9)</f>
        <v>013624467</v>
      </c>
      <c r="H443" t="s">
        <v>855</v>
      </c>
      <c r="I443" s="96" t="e">
        <f>Table__10.2.1.2_1_4AHB_v_gen_TBO[[#This Row],[REALDUE]]-Table__10.2.1.2_1_4AHB_v_gen_TBO[[#This Row],[EI_BEG_AGE]]</f>
        <v>#VALUE!</v>
      </c>
      <c r="J443" s="96">
        <v>5314.7</v>
      </c>
      <c r="K443" s="110" t="str">
        <f>IF(Table__10.2.1.2_1_4AHB_v_gen_TBO[[#This Row],[NO_OVHLS]]="RC","RC","LC")</f>
        <v>LC</v>
      </c>
      <c r="L443" t="s">
        <v>403</v>
      </c>
      <c r="M443" t="s">
        <v>104</v>
      </c>
      <c r="N443" t="b">
        <v>0</v>
      </c>
    </row>
    <row r="444" spans="2:14" hidden="1">
      <c r="B444" t="s">
        <v>753</v>
      </c>
      <c r="C444" s="110" t="str">
        <f>RIGHT(B444,3)</f>
        <v>141</v>
      </c>
      <c r="D444" t="s">
        <v>515</v>
      </c>
      <c r="E444" s="110" t="str">
        <f>LEFT(F444,22)</f>
        <v>OUTPUT GEAR</v>
      </c>
      <c r="F444" t="s">
        <v>296</v>
      </c>
      <c r="G444" s="110" t="str">
        <f>RIGHT(H444,9)</f>
        <v>012880839</v>
      </c>
      <c r="H444" t="s">
        <v>297</v>
      </c>
      <c r="I444" s="96" t="e">
        <f>Table__10.2.1.2_1_4AHB_v_gen_TBO[[#This Row],[REALDUE]]-Table__10.2.1.2_1_4AHB_v_gen_TBO[[#This Row],[EI_BEG_AGE]]</f>
        <v>#VALUE!</v>
      </c>
      <c r="J444" s="96">
        <v>4733.5</v>
      </c>
      <c r="K444" s="110" t="str">
        <f>IF(Table__10.2.1.2_1_4AHB_v_gen_TBO[[#This Row],[NO_OVHLS]]="RC","RC","LC")</f>
        <v>LC</v>
      </c>
      <c r="L444" t="s">
        <v>403</v>
      </c>
      <c r="M444" t="s">
        <v>104</v>
      </c>
      <c r="N444" t="b">
        <v>0</v>
      </c>
    </row>
    <row r="445" spans="2:14" hidden="1">
      <c r="B445" t="s">
        <v>749</v>
      </c>
      <c r="C445" s="110" t="str">
        <f>RIGHT(B445,3)</f>
        <v>187</v>
      </c>
      <c r="D445" t="s">
        <v>516</v>
      </c>
      <c r="E445" s="110" t="str">
        <f>LEFT(F445,22)</f>
        <v>OUTPUT GEAR</v>
      </c>
      <c r="F445" t="s">
        <v>296</v>
      </c>
      <c r="G445" s="110" t="str">
        <f>RIGHT(H445,9)</f>
        <v>012880839</v>
      </c>
      <c r="H445" t="s">
        <v>297</v>
      </c>
      <c r="I445" s="96" t="e">
        <f>Table__10.2.1.2_1_4AHB_v_gen_TBO[[#This Row],[REALDUE]]-Table__10.2.1.2_1_4AHB_v_gen_TBO[[#This Row],[EI_BEG_AGE]]</f>
        <v>#VALUE!</v>
      </c>
      <c r="J445" s="96">
        <v>5314.7</v>
      </c>
      <c r="K445" s="110" t="str">
        <f>IF(Table__10.2.1.2_1_4AHB_v_gen_TBO[[#This Row],[NO_OVHLS]]="RC","RC","LC")</f>
        <v>LC</v>
      </c>
      <c r="L445" t="s">
        <v>403</v>
      </c>
      <c r="M445" t="s">
        <v>104</v>
      </c>
      <c r="N445" t="b">
        <v>0</v>
      </c>
    </row>
    <row r="446" spans="2:14" hidden="1">
      <c r="B446" t="s">
        <v>751</v>
      </c>
      <c r="C446" s="110" t="str">
        <f>RIGHT(B446,3)</f>
        <v>119</v>
      </c>
      <c r="D446" t="s">
        <v>516</v>
      </c>
      <c r="E446" s="110" t="str">
        <f>LEFT(F446,22)</f>
        <v>OUTPUT GEAR</v>
      </c>
      <c r="F446" t="s">
        <v>296</v>
      </c>
      <c r="G446" s="110" t="str">
        <f>RIGHT(H446,9)</f>
        <v>012880839</v>
      </c>
      <c r="H446" t="s">
        <v>297</v>
      </c>
      <c r="I446" s="96" t="e">
        <f>Table__10.2.1.2_1_4AHB_v_gen_TBO[[#This Row],[REALDUE]]-Table__10.2.1.2_1_4AHB_v_gen_TBO[[#This Row],[EI_BEG_AGE]]</f>
        <v>#VALUE!</v>
      </c>
      <c r="J446" s="96">
        <v>3973.9</v>
      </c>
      <c r="K446" s="110" t="str">
        <f>IF(Table__10.2.1.2_1_4AHB_v_gen_TBO[[#This Row],[NO_OVHLS]]="RC","RC","LC")</f>
        <v>LC</v>
      </c>
      <c r="L446" t="s">
        <v>403</v>
      </c>
      <c r="M446" t="s">
        <v>104</v>
      </c>
      <c r="N446" t="b">
        <v>0</v>
      </c>
    </row>
    <row r="447" spans="2:14" hidden="1">
      <c r="B447" t="s">
        <v>753</v>
      </c>
      <c r="C447" s="110" t="str">
        <f>RIGHT(B447,3)</f>
        <v>141</v>
      </c>
      <c r="D447" t="s">
        <v>619</v>
      </c>
      <c r="E447" s="110" t="str">
        <f>LEFT(F447,22)</f>
        <v>INPUT GEAR</v>
      </c>
      <c r="F447" t="s">
        <v>283</v>
      </c>
      <c r="G447" s="110" t="str">
        <f>RIGHT(H447,9)</f>
        <v>011725139</v>
      </c>
      <c r="H447" t="s">
        <v>620</v>
      </c>
      <c r="I447" s="96" t="e">
        <f>Table__10.2.1.2_1_4AHB_v_gen_TBO[[#This Row],[REALDUE]]-Table__10.2.1.2_1_4AHB_v_gen_TBO[[#This Row],[EI_BEG_AGE]]</f>
        <v>#VALUE!</v>
      </c>
      <c r="J447" s="96">
        <v>4733.5</v>
      </c>
      <c r="K447" s="110" t="str">
        <f>IF(Table__10.2.1.2_1_4AHB_v_gen_TBO[[#This Row],[NO_OVHLS]]="RC","RC","LC")</f>
        <v>LC</v>
      </c>
      <c r="L447" t="s">
        <v>403</v>
      </c>
      <c r="M447" t="s">
        <v>104</v>
      </c>
      <c r="N447" t="b">
        <v>0</v>
      </c>
    </row>
    <row r="448" spans="2:14" hidden="1">
      <c r="B448" t="s">
        <v>751</v>
      </c>
      <c r="C448" s="110" t="str">
        <f>RIGHT(B448,3)</f>
        <v>119</v>
      </c>
      <c r="D448" t="s">
        <v>514</v>
      </c>
      <c r="E448" s="110" t="str">
        <f>LEFT(F448,22)</f>
        <v>INPUT GEAR</v>
      </c>
      <c r="F448" t="s">
        <v>283</v>
      </c>
      <c r="G448" s="110" t="str">
        <f>RIGHT(H448,9)</f>
        <v>012744360</v>
      </c>
      <c r="H448" t="s">
        <v>295</v>
      </c>
      <c r="I448" s="96" t="e">
        <f>Table__10.2.1.2_1_4AHB_v_gen_TBO[[#This Row],[REALDUE]]-Table__10.2.1.2_1_4AHB_v_gen_TBO[[#This Row],[EI_BEG_AGE]]</f>
        <v>#VALUE!</v>
      </c>
      <c r="J448" s="96">
        <v>3973.9</v>
      </c>
      <c r="K448" s="110" t="str">
        <f>IF(Table__10.2.1.2_1_4AHB_v_gen_TBO[[#This Row],[NO_OVHLS]]="RC","RC","LC")</f>
        <v>LC</v>
      </c>
      <c r="L448" t="s">
        <v>403</v>
      </c>
      <c r="M448" t="s">
        <v>104</v>
      </c>
      <c r="N448" t="b">
        <v>0</v>
      </c>
    </row>
    <row r="449" spans="2:14" hidden="1">
      <c r="B449" t="s">
        <v>749</v>
      </c>
      <c r="C449" s="110" t="str">
        <f>RIGHT(B449,3)</f>
        <v>187</v>
      </c>
      <c r="D449" t="s">
        <v>514</v>
      </c>
      <c r="E449" s="110" t="str">
        <f>LEFT(F449,22)</f>
        <v>INPUT GEAR</v>
      </c>
      <c r="F449" t="s">
        <v>283</v>
      </c>
      <c r="G449" s="110" t="str">
        <f>RIGHT(H449,9)</f>
        <v>012744360</v>
      </c>
      <c r="H449" t="s">
        <v>295</v>
      </c>
      <c r="I449" s="96" t="e">
        <f>Table__10.2.1.2_1_4AHB_v_gen_TBO[[#This Row],[REALDUE]]-Table__10.2.1.2_1_4AHB_v_gen_TBO[[#This Row],[EI_BEG_AGE]]</f>
        <v>#VALUE!</v>
      </c>
      <c r="J449" s="96">
        <v>5314.7</v>
      </c>
      <c r="K449" s="110" t="str">
        <f>IF(Table__10.2.1.2_1_4AHB_v_gen_TBO[[#This Row],[NO_OVHLS]]="RC","RC","LC")</f>
        <v>LC</v>
      </c>
      <c r="L449" t="s">
        <v>403</v>
      </c>
      <c r="M449" t="s">
        <v>104</v>
      </c>
      <c r="N449" t="b">
        <v>0</v>
      </c>
    </row>
    <row r="450" spans="2:14" hidden="1">
      <c r="B450" t="s">
        <v>751</v>
      </c>
      <c r="C450" s="110" t="str">
        <f>RIGHT(B450,3)</f>
        <v>119</v>
      </c>
      <c r="D450" t="s">
        <v>530</v>
      </c>
      <c r="E450" s="110" t="str">
        <f>LEFT(F450,22)</f>
        <v>INPUT GEAR</v>
      </c>
      <c r="F450" t="s">
        <v>283</v>
      </c>
      <c r="G450" s="110" t="str">
        <f>RIGHT(H450,9)</f>
        <v>011725138</v>
      </c>
      <c r="H450" t="s">
        <v>314</v>
      </c>
      <c r="I450" s="96" t="e">
        <f>Table__10.2.1.2_1_4AHB_v_gen_TBO[[#This Row],[REALDUE]]-Table__10.2.1.2_1_4AHB_v_gen_TBO[[#This Row],[EI_BEG_AGE]]</f>
        <v>#VALUE!</v>
      </c>
      <c r="J450" s="96">
        <v>3973.9</v>
      </c>
      <c r="K450" s="110" t="str">
        <f>IF(Table__10.2.1.2_1_4AHB_v_gen_TBO[[#This Row],[NO_OVHLS]]="RC","RC","LC")</f>
        <v>LC</v>
      </c>
      <c r="L450" t="s">
        <v>403</v>
      </c>
      <c r="M450" t="s">
        <v>104</v>
      </c>
      <c r="N450" t="b">
        <v>0</v>
      </c>
    </row>
    <row r="451" spans="2:14" hidden="1">
      <c r="B451" t="s">
        <v>749</v>
      </c>
      <c r="C451" s="110" t="str">
        <f>RIGHT(B451,3)</f>
        <v>187</v>
      </c>
      <c r="D451" t="s">
        <v>530</v>
      </c>
      <c r="E451" s="110" t="str">
        <f>LEFT(F451,22)</f>
        <v>INPUT GEAR</v>
      </c>
      <c r="F451" t="s">
        <v>283</v>
      </c>
      <c r="G451" s="110" t="str">
        <f>RIGHT(H451,9)</f>
        <v>011725138</v>
      </c>
      <c r="H451" t="s">
        <v>314</v>
      </c>
      <c r="I451" s="96" t="e">
        <f>Table__10.2.1.2_1_4AHB_v_gen_TBO[[#This Row],[REALDUE]]-Table__10.2.1.2_1_4AHB_v_gen_TBO[[#This Row],[EI_BEG_AGE]]</f>
        <v>#VALUE!</v>
      </c>
      <c r="J451" s="96">
        <v>5314.7</v>
      </c>
      <c r="K451" s="110" t="str">
        <f>IF(Table__10.2.1.2_1_4AHB_v_gen_TBO[[#This Row],[NO_OVHLS]]="RC","RC","LC")</f>
        <v>LC</v>
      </c>
      <c r="L451" t="s">
        <v>403</v>
      </c>
      <c r="M451" t="s">
        <v>104</v>
      </c>
      <c r="N451" t="b">
        <v>0</v>
      </c>
    </row>
    <row r="452" spans="2:14" hidden="1">
      <c r="B452" t="s">
        <v>753</v>
      </c>
      <c r="C452" s="110" t="str">
        <f>RIGHT(B452,3)</f>
        <v>141</v>
      </c>
      <c r="D452" t="s">
        <v>531</v>
      </c>
      <c r="E452" s="110" t="str">
        <f>LEFT(F452,22)</f>
        <v>INPUT GEAR</v>
      </c>
      <c r="F452" t="s">
        <v>283</v>
      </c>
      <c r="G452" s="110" t="str">
        <f>RIGHT(H452,9)</f>
        <v>012703015</v>
      </c>
      <c r="H452" t="s">
        <v>315</v>
      </c>
      <c r="I452" s="96" t="e">
        <f>Table__10.2.1.2_1_4AHB_v_gen_TBO[[#This Row],[REALDUE]]-Table__10.2.1.2_1_4AHB_v_gen_TBO[[#This Row],[EI_BEG_AGE]]</f>
        <v>#VALUE!</v>
      </c>
      <c r="J452" s="96">
        <v>4733.5</v>
      </c>
      <c r="K452" s="110" t="str">
        <f>IF(Table__10.2.1.2_1_4AHB_v_gen_TBO[[#This Row],[NO_OVHLS]]="RC","RC","LC")</f>
        <v>LC</v>
      </c>
      <c r="L452" t="s">
        <v>403</v>
      </c>
      <c r="M452" t="s">
        <v>104</v>
      </c>
      <c r="N452" t="b">
        <v>0</v>
      </c>
    </row>
    <row r="453" spans="2:14" hidden="1">
      <c r="B453" t="s">
        <v>751</v>
      </c>
      <c r="C453" s="110" t="str">
        <f>RIGHT(B453,3)</f>
        <v>119</v>
      </c>
      <c r="D453" t="s">
        <v>521</v>
      </c>
      <c r="E453" s="110" t="str">
        <f>LEFT(F453,22)</f>
        <v>OUTPUT GEAR</v>
      </c>
      <c r="F453" t="s">
        <v>296</v>
      </c>
      <c r="G453" s="110" t="str">
        <f>RIGHT(H453,9)</f>
        <v>013758143</v>
      </c>
      <c r="H453" t="s">
        <v>301</v>
      </c>
      <c r="I453" s="96" t="e">
        <f>Table__10.2.1.2_1_4AHB_v_gen_TBO[[#This Row],[REALDUE]]-Table__10.2.1.2_1_4AHB_v_gen_TBO[[#This Row],[EI_BEG_AGE]]</f>
        <v>#VALUE!</v>
      </c>
      <c r="J453" s="96">
        <v>3973.9</v>
      </c>
      <c r="K453" s="110" t="str">
        <f>IF(Table__10.2.1.2_1_4AHB_v_gen_TBO[[#This Row],[NO_OVHLS]]="RC","RC","LC")</f>
        <v>LC</v>
      </c>
      <c r="L453" t="s">
        <v>403</v>
      </c>
      <c r="M453" t="s">
        <v>104</v>
      </c>
      <c r="N453" t="b">
        <v>0</v>
      </c>
    </row>
    <row r="454" spans="2:14" hidden="1">
      <c r="B454" t="s">
        <v>749</v>
      </c>
      <c r="C454" s="110" t="str">
        <f>RIGHT(B454,3)</f>
        <v>187</v>
      </c>
      <c r="D454" t="s">
        <v>521</v>
      </c>
      <c r="E454" s="110" t="str">
        <f>LEFT(F454,22)</f>
        <v>OUTPUT GEAR</v>
      </c>
      <c r="F454" t="s">
        <v>296</v>
      </c>
      <c r="G454" s="110" t="str">
        <f>RIGHT(H454,9)</f>
        <v>013758143</v>
      </c>
      <c r="H454" t="s">
        <v>301</v>
      </c>
      <c r="I454" s="96" t="e">
        <f>Table__10.2.1.2_1_4AHB_v_gen_TBO[[#This Row],[REALDUE]]-Table__10.2.1.2_1_4AHB_v_gen_TBO[[#This Row],[EI_BEG_AGE]]</f>
        <v>#VALUE!</v>
      </c>
      <c r="J454" s="96">
        <v>5314.7</v>
      </c>
      <c r="K454" s="110" t="str">
        <f>IF(Table__10.2.1.2_1_4AHB_v_gen_TBO[[#This Row],[NO_OVHLS]]="RC","RC","LC")</f>
        <v>LC</v>
      </c>
      <c r="L454" t="s">
        <v>403</v>
      </c>
      <c r="M454" t="s">
        <v>104</v>
      </c>
      <c r="N454" t="b">
        <v>0</v>
      </c>
    </row>
    <row r="455" spans="2:14" hidden="1">
      <c r="B455" t="s">
        <v>753</v>
      </c>
      <c r="C455" s="110" t="str">
        <f>RIGHT(B455,3)</f>
        <v>141</v>
      </c>
      <c r="D455" t="s">
        <v>522</v>
      </c>
      <c r="E455" s="110" t="str">
        <f>LEFT(F455,22)</f>
        <v>OUTPUT GEAR</v>
      </c>
      <c r="F455" t="s">
        <v>296</v>
      </c>
      <c r="G455" s="110" t="str">
        <f>RIGHT(H455,9)</f>
        <v>013758143</v>
      </c>
      <c r="H455" t="s">
        <v>301</v>
      </c>
      <c r="I455" s="96" t="e">
        <f>Table__10.2.1.2_1_4AHB_v_gen_TBO[[#This Row],[REALDUE]]-Table__10.2.1.2_1_4AHB_v_gen_TBO[[#This Row],[EI_BEG_AGE]]</f>
        <v>#VALUE!</v>
      </c>
      <c r="J455" s="96">
        <v>4733.5</v>
      </c>
      <c r="K455" s="110" t="str">
        <f>IF(Table__10.2.1.2_1_4AHB_v_gen_TBO[[#This Row],[NO_OVHLS]]="RC","RC","LC")</f>
        <v>LC</v>
      </c>
      <c r="L455" t="s">
        <v>403</v>
      </c>
      <c r="M455" t="s">
        <v>104</v>
      </c>
      <c r="N455" t="b">
        <v>0</v>
      </c>
    </row>
    <row r="456" spans="2:14" hidden="1">
      <c r="B456" t="s">
        <v>753</v>
      </c>
      <c r="C456" s="110" t="str">
        <f>RIGHT(B456,3)</f>
        <v>141</v>
      </c>
      <c r="D456" t="s">
        <v>698</v>
      </c>
      <c r="E456" s="110" t="str">
        <f>LEFT(F456,22)</f>
        <v>PIN ASSY, LINK, ROTOR</v>
      </c>
      <c r="F456" t="s">
        <v>700</v>
      </c>
      <c r="G456" s="110" t="str">
        <f>RIGHT(H456,9)</f>
        <v>011634514</v>
      </c>
      <c r="H456" t="s">
        <v>701</v>
      </c>
      <c r="I456" s="96" t="e">
        <f>Table__10.2.1.2_1_4AHB_v_gen_TBO[[#This Row],[REALDUE]]-Table__10.2.1.2_1_4AHB_v_gen_TBO[[#This Row],[EI_BEG_AGE]]</f>
        <v>#VALUE!</v>
      </c>
      <c r="J456" s="96">
        <v>4733.5</v>
      </c>
      <c r="K456" s="110" t="str">
        <f>IF(Table__10.2.1.2_1_4AHB_v_gen_TBO[[#This Row],[NO_OVHLS]]="RC","RC","LC")</f>
        <v>LC</v>
      </c>
      <c r="L456" t="s">
        <v>403</v>
      </c>
      <c r="M456" t="s">
        <v>104</v>
      </c>
      <c r="N456" t="b">
        <v>0</v>
      </c>
    </row>
    <row r="457" spans="2:14" hidden="1">
      <c r="B457" t="s">
        <v>753</v>
      </c>
      <c r="C457" s="110" t="str">
        <f>RIGHT(B457,3)</f>
        <v>141</v>
      </c>
      <c r="D457" t="s">
        <v>698</v>
      </c>
      <c r="E457" s="110" t="str">
        <f>LEFT(F457,22)</f>
        <v>PIN ASSY, LINK, ROTOR</v>
      </c>
      <c r="F457" t="s">
        <v>700</v>
      </c>
      <c r="G457" s="110" t="str">
        <f>RIGHT(H457,9)</f>
        <v>011634514</v>
      </c>
      <c r="H457" t="s">
        <v>701</v>
      </c>
      <c r="I457" s="96" t="e">
        <f>Table__10.2.1.2_1_4AHB_v_gen_TBO[[#This Row],[REALDUE]]-Table__10.2.1.2_1_4AHB_v_gen_TBO[[#This Row],[EI_BEG_AGE]]</f>
        <v>#VALUE!</v>
      </c>
      <c r="J457" s="96">
        <v>4733.5</v>
      </c>
      <c r="K457" s="110" t="str">
        <f>IF(Table__10.2.1.2_1_4AHB_v_gen_TBO[[#This Row],[NO_OVHLS]]="RC","RC","LC")</f>
        <v>LC</v>
      </c>
      <c r="L457" t="s">
        <v>403</v>
      </c>
      <c r="M457" t="s">
        <v>104</v>
      </c>
      <c r="N457" t="b">
        <v>0</v>
      </c>
    </row>
    <row r="458" spans="2:14" hidden="1">
      <c r="B458" t="s">
        <v>753</v>
      </c>
      <c r="C458" s="110" t="str">
        <f>RIGHT(B458,3)</f>
        <v>141</v>
      </c>
      <c r="D458" t="s">
        <v>698</v>
      </c>
      <c r="E458" s="110" t="str">
        <f>LEFT(F458,22)</f>
        <v>PIN ASSY, LINK, ROTOR</v>
      </c>
      <c r="F458" t="s">
        <v>700</v>
      </c>
      <c r="G458" s="110" t="str">
        <f>RIGHT(H458,9)</f>
        <v>011634514</v>
      </c>
      <c r="H458" t="s">
        <v>701</v>
      </c>
      <c r="I458" s="110" t="e">
        <f>Table__10.2.1.2_1_4AHB_v_gen_TBO[[#This Row],[REALDUE]]-Table__10.2.1.2_1_4AHB_v_gen_TBO[[#This Row],[EI_BEG_AGE]]</f>
        <v>#VALUE!</v>
      </c>
      <c r="J458">
        <v>4733.5</v>
      </c>
      <c r="K458" s="110" t="str">
        <f>IF(Table__10.2.1.2_1_4AHB_v_gen_TBO[[#This Row],[NO_OVHLS]]="RC","RC","LC")</f>
        <v>LC</v>
      </c>
      <c r="L458" t="s">
        <v>403</v>
      </c>
      <c r="M458" t="s">
        <v>104</v>
      </c>
      <c r="N458" t="b">
        <v>0</v>
      </c>
    </row>
    <row r="459" spans="2:14" hidden="1">
      <c r="B459" t="s">
        <v>751</v>
      </c>
      <c r="C459" s="110" t="str">
        <f>RIGHT(B459,3)</f>
        <v>119</v>
      </c>
      <c r="D459" t="s">
        <v>698</v>
      </c>
      <c r="E459" s="110" t="str">
        <f>LEFT(F459,22)</f>
        <v>PIN ASSY, LINK, ROTOR</v>
      </c>
      <c r="F459" t="s">
        <v>700</v>
      </c>
      <c r="G459" s="110" t="str">
        <f>RIGHT(H459,9)</f>
        <v>011634514</v>
      </c>
      <c r="H459" t="s">
        <v>701</v>
      </c>
      <c r="I459" s="110" t="e">
        <f>Table__10.2.1.2_1_4AHB_v_gen_TBO[[#This Row],[REALDUE]]-Table__10.2.1.2_1_4AHB_v_gen_TBO[[#This Row],[EI_BEG_AGE]]</f>
        <v>#VALUE!</v>
      </c>
      <c r="J459">
        <v>3973.9</v>
      </c>
      <c r="K459" s="110" t="str">
        <f>IF(Table__10.2.1.2_1_4AHB_v_gen_TBO[[#This Row],[NO_OVHLS]]="RC","RC","LC")</f>
        <v>LC</v>
      </c>
      <c r="L459" t="s">
        <v>403</v>
      </c>
      <c r="M459" t="s">
        <v>104</v>
      </c>
      <c r="N459" t="b">
        <v>0</v>
      </c>
    </row>
    <row r="460" spans="2:14" hidden="1">
      <c r="B460" t="s">
        <v>751</v>
      </c>
      <c r="C460" s="110" t="str">
        <f>RIGHT(B460,3)</f>
        <v>119</v>
      </c>
      <c r="D460" t="s">
        <v>698</v>
      </c>
      <c r="E460" s="110" t="str">
        <f>LEFT(F460,22)</f>
        <v>PIN ASSY, LINK, ROTOR</v>
      </c>
      <c r="F460" t="s">
        <v>700</v>
      </c>
      <c r="G460" s="110" t="str">
        <f>RIGHT(H460,9)</f>
        <v>011634514</v>
      </c>
      <c r="H460" t="s">
        <v>701</v>
      </c>
      <c r="I460" s="110" t="e">
        <f>Table__10.2.1.2_1_4AHB_v_gen_TBO[[#This Row],[REALDUE]]-Table__10.2.1.2_1_4AHB_v_gen_TBO[[#This Row],[EI_BEG_AGE]]</f>
        <v>#VALUE!</v>
      </c>
      <c r="J460">
        <v>3973.9</v>
      </c>
      <c r="K460" s="110" t="str">
        <f>IF(Table__10.2.1.2_1_4AHB_v_gen_TBO[[#This Row],[NO_OVHLS]]="RC","RC","LC")</f>
        <v>LC</v>
      </c>
      <c r="L460" t="s">
        <v>403</v>
      </c>
      <c r="M460" t="s">
        <v>104</v>
      </c>
      <c r="N460" t="b">
        <v>0</v>
      </c>
    </row>
    <row r="461" spans="2:14" hidden="1">
      <c r="B461" t="s">
        <v>751</v>
      </c>
      <c r="C461" s="110" t="str">
        <f>RIGHT(B461,3)</f>
        <v>119</v>
      </c>
      <c r="D461" t="s">
        <v>698</v>
      </c>
      <c r="E461" s="110" t="str">
        <f>LEFT(F461,22)</f>
        <v>PIN ASSY, LINK, ROTOR</v>
      </c>
      <c r="F461" t="s">
        <v>700</v>
      </c>
      <c r="G461" s="110" t="str">
        <f>RIGHT(H461,9)</f>
        <v>011634514</v>
      </c>
      <c r="H461" t="s">
        <v>701</v>
      </c>
      <c r="I461" s="96" t="e">
        <f>Table__10.2.1.2_1_4AHB_v_gen_TBO[[#This Row],[REALDUE]]-Table__10.2.1.2_1_4AHB_v_gen_TBO[[#This Row],[EI_BEG_AGE]]</f>
        <v>#VALUE!</v>
      </c>
      <c r="J461" s="96">
        <v>3973.9</v>
      </c>
      <c r="K461" s="110" t="str">
        <f>IF(Table__10.2.1.2_1_4AHB_v_gen_TBO[[#This Row],[NO_OVHLS]]="RC","RC","LC")</f>
        <v>LC</v>
      </c>
      <c r="L461" t="s">
        <v>403</v>
      </c>
      <c r="M461" t="s">
        <v>104</v>
      </c>
      <c r="N461" t="b">
        <v>0</v>
      </c>
    </row>
    <row r="462" spans="2:14" hidden="1">
      <c r="B462" t="s">
        <v>751</v>
      </c>
      <c r="C462" s="110" t="str">
        <f>RIGHT(B462,3)</f>
        <v>119</v>
      </c>
      <c r="D462" t="s">
        <v>698</v>
      </c>
      <c r="E462" s="110" t="str">
        <f>LEFT(F462,22)</f>
        <v>PIN ASSY, LINK, ROTOR</v>
      </c>
      <c r="F462" t="s">
        <v>700</v>
      </c>
      <c r="G462" s="110" t="str">
        <f>RIGHT(H462,9)</f>
        <v>011634514</v>
      </c>
      <c r="H462" t="s">
        <v>701</v>
      </c>
      <c r="I462" s="96" t="e">
        <f>Table__10.2.1.2_1_4AHB_v_gen_TBO[[#This Row],[REALDUE]]-Table__10.2.1.2_1_4AHB_v_gen_TBO[[#This Row],[EI_BEG_AGE]]</f>
        <v>#VALUE!</v>
      </c>
      <c r="J462" s="96">
        <v>3973.9</v>
      </c>
      <c r="K462" s="110" t="str">
        <f>IF(Table__10.2.1.2_1_4AHB_v_gen_TBO[[#This Row],[NO_OVHLS]]="RC","RC","LC")</f>
        <v>LC</v>
      </c>
      <c r="L462" t="s">
        <v>403</v>
      </c>
      <c r="M462" t="s">
        <v>104</v>
      </c>
      <c r="N462" t="b">
        <v>0</v>
      </c>
    </row>
    <row r="463" spans="2:14" hidden="1">
      <c r="B463" t="s">
        <v>753</v>
      </c>
      <c r="C463" s="110" t="str">
        <f>RIGHT(B463,3)</f>
        <v>141</v>
      </c>
      <c r="D463" t="s">
        <v>698</v>
      </c>
      <c r="E463" s="110" t="str">
        <f>LEFT(F463,22)</f>
        <v>PIN ASSY, LINK, ROTOR</v>
      </c>
      <c r="F463" t="s">
        <v>700</v>
      </c>
      <c r="G463" s="110" t="str">
        <f>RIGHT(H463,9)</f>
        <v>011634514</v>
      </c>
      <c r="H463" t="s">
        <v>701</v>
      </c>
      <c r="I463" s="96" t="e">
        <f>Table__10.2.1.2_1_4AHB_v_gen_TBO[[#This Row],[REALDUE]]-Table__10.2.1.2_1_4AHB_v_gen_TBO[[#This Row],[EI_BEG_AGE]]</f>
        <v>#VALUE!</v>
      </c>
      <c r="J463" s="96">
        <v>4733.5</v>
      </c>
      <c r="K463" s="110" t="str">
        <f>IF(Table__10.2.1.2_1_4AHB_v_gen_TBO[[#This Row],[NO_OVHLS]]="RC","RC","LC")</f>
        <v>LC</v>
      </c>
      <c r="L463" t="s">
        <v>403</v>
      </c>
      <c r="M463" t="s">
        <v>104</v>
      </c>
      <c r="N463" t="b">
        <v>0</v>
      </c>
    </row>
    <row r="464" spans="2:14" hidden="1">
      <c r="B464" t="s">
        <v>749</v>
      </c>
      <c r="C464" s="110" t="str">
        <f>RIGHT(B464,3)</f>
        <v>187</v>
      </c>
      <c r="D464" t="s">
        <v>468</v>
      </c>
      <c r="E464" s="110" t="str">
        <f>LEFT(F464,22)</f>
        <v>TAIL ROTOR FORK ASSY</v>
      </c>
      <c r="F464" t="s">
        <v>217</v>
      </c>
      <c r="G464" s="110" t="str">
        <f>RIGHT(H464,9)</f>
        <v>015089558</v>
      </c>
      <c r="H464" t="s">
        <v>219</v>
      </c>
      <c r="I464" s="96" t="e">
        <f>Table__10.2.1.2_1_4AHB_v_gen_TBO[[#This Row],[REALDUE]]-Table__10.2.1.2_1_4AHB_v_gen_TBO[[#This Row],[EI_BEG_AGE]]</f>
        <v>#VALUE!</v>
      </c>
      <c r="J464" s="96">
        <v>5314.7</v>
      </c>
      <c r="K464" s="110" t="str">
        <f>IF(Table__10.2.1.2_1_4AHB_v_gen_TBO[[#This Row],[NO_OVHLS]]="RC","RC","LC")</f>
        <v>LC</v>
      </c>
      <c r="L464" t="s">
        <v>403</v>
      </c>
      <c r="M464" t="s">
        <v>104</v>
      </c>
      <c r="N464" t="b">
        <v>0</v>
      </c>
    </row>
    <row r="465" spans="2:14" hidden="1">
      <c r="B465" t="s">
        <v>753</v>
      </c>
      <c r="C465" s="110" t="str">
        <f>RIGHT(B465,3)</f>
        <v>141</v>
      </c>
      <c r="D465" t="s">
        <v>469</v>
      </c>
      <c r="E465" s="110" t="str">
        <f>LEFT(F465,22)</f>
        <v>TAIL ROTOR HUB ASSY</v>
      </c>
      <c r="F465" t="s">
        <v>220</v>
      </c>
      <c r="G465" s="110" t="str">
        <f>RIGHT(H465,9)</f>
        <v>011547068</v>
      </c>
      <c r="H465" t="s">
        <v>221</v>
      </c>
      <c r="I465" s="96" t="e">
        <f>Table__10.2.1.2_1_4AHB_v_gen_TBO[[#This Row],[REALDUE]]-Table__10.2.1.2_1_4AHB_v_gen_TBO[[#This Row],[EI_BEG_AGE]]</f>
        <v>#VALUE!</v>
      </c>
      <c r="J465" s="96">
        <v>4733.5</v>
      </c>
      <c r="K465" s="110" t="str">
        <f>IF(Table__10.2.1.2_1_4AHB_v_gen_TBO[[#This Row],[NO_OVHLS]]="RC","RC","LC")</f>
        <v>LC</v>
      </c>
      <c r="L465" t="s">
        <v>403</v>
      </c>
      <c r="M465" t="s">
        <v>104</v>
      </c>
      <c r="N465" t="b">
        <v>0</v>
      </c>
    </row>
    <row r="466" spans="2:14" hidden="1">
      <c r="B466" t="s">
        <v>753</v>
      </c>
      <c r="C466" s="110" t="str">
        <f>RIGHT(B466,3)</f>
        <v>141</v>
      </c>
      <c r="D466" t="s">
        <v>469</v>
      </c>
      <c r="E466" s="110" t="str">
        <f>LEFT(F466,22)</f>
        <v>TAIL ROTOR HUB ASSY</v>
      </c>
      <c r="F466" t="s">
        <v>220</v>
      </c>
      <c r="G466" s="110" t="str">
        <f>RIGHT(H466,9)</f>
        <v>011547068</v>
      </c>
      <c r="H466" t="s">
        <v>221</v>
      </c>
      <c r="I466" s="96" t="e">
        <f>Table__10.2.1.2_1_4AHB_v_gen_TBO[[#This Row],[REALDUE]]-Table__10.2.1.2_1_4AHB_v_gen_TBO[[#This Row],[EI_BEG_AGE]]</f>
        <v>#VALUE!</v>
      </c>
      <c r="J466" s="96">
        <v>4733.5</v>
      </c>
      <c r="K466" s="110" t="str">
        <f>IF(Table__10.2.1.2_1_4AHB_v_gen_TBO[[#This Row],[NO_OVHLS]]="RC","RC","LC")</f>
        <v>LC</v>
      </c>
      <c r="L466" t="s">
        <v>403</v>
      </c>
      <c r="M466" t="s">
        <v>104</v>
      </c>
      <c r="N466" t="b">
        <v>0</v>
      </c>
    </row>
    <row r="467" spans="2:14" hidden="1">
      <c r="B467" t="s">
        <v>751</v>
      </c>
      <c r="C467" s="110" t="str">
        <f>RIGHT(B467,3)</f>
        <v>119</v>
      </c>
      <c r="D467" t="s">
        <v>470</v>
      </c>
      <c r="E467" s="110" t="str">
        <f>LEFT(F467,22)</f>
        <v>TAIL ROTOR HUB ASSY</v>
      </c>
      <c r="F467" t="s">
        <v>220</v>
      </c>
      <c r="G467" s="110" t="str">
        <f>RIGHT(H467,9)</f>
        <v>011547068</v>
      </c>
      <c r="H467" t="s">
        <v>221</v>
      </c>
      <c r="I467" s="96" t="e">
        <f>Table__10.2.1.2_1_4AHB_v_gen_TBO[[#This Row],[REALDUE]]-Table__10.2.1.2_1_4AHB_v_gen_TBO[[#This Row],[EI_BEG_AGE]]</f>
        <v>#VALUE!</v>
      </c>
      <c r="J467" s="96">
        <v>3973.9</v>
      </c>
      <c r="K467" s="110" t="str">
        <f>IF(Table__10.2.1.2_1_4AHB_v_gen_TBO[[#This Row],[NO_OVHLS]]="RC","RC","LC")</f>
        <v>LC</v>
      </c>
      <c r="L467" t="s">
        <v>403</v>
      </c>
      <c r="M467" t="s">
        <v>104</v>
      </c>
      <c r="N467" t="b">
        <v>0</v>
      </c>
    </row>
    <row r="468" spans="2:14" hidden="1">
      <c r="B468" t="s">
        <v>751</v>
      </c>
      <c r="C468" s="110" t="str">
        <f>RIGHT(B468,3)</f>
        <v>119</v>
      </c>
      <c r="D468" t="s">
        <v>470</v>
      </c>
      <c r="E468" s="110" t="str">
        <f>LEFT(F468,22)</f>
        <v>TAIL ROTOR HUB ASSY</v>
      </c>
      <c r="F468" t="s">
        <v>220</v>
      </c>
      <c r="G468" s="110" t="str">
        <f>RIGHT(H468,9)</f>
        <v>011547068</v>
      </c>
      <c r="H468" t="s">
        <v>221</v>
      </c>
      <c r="I468" s="96" t="e">
        <f>Table__10.2.1.2_1_4AHB_v_gen_TBO[[#This Row],[REALDUE]]-Table__10.2.1.2_1_4AHB_v_gen_TBO[[#This Row],[EI_BEG_AGE]]</f>
        <v>#VALUE!</v>
      </c>
      <c r="J468" s="96">
        <v>3973.9</v>
      </c>
      <c r="K468" s="110" t="str">
        <f>IF(Table__10.2.1.2_1_4AHB_v_gen_TBO[[#This Row],[NO_OVHLS]]="RC","RC","LC")</f>
        <v>LC</v>
      </c>
      <c r="L468" t="s">
        <v>403</v>
      </c>
      <c r="M468" t="s">
        <v>104</v>
      </c>
      <c r="N468" t="b">
        <v>0</v>
      </c>
    </row>
    <row r="469" spans="2:14" hidden="1">
      <c r="B469" t="s">
        <v>749</v>
      </c>
      <c r="C469" s="110" t="str">
        <f>RIGHT(B469,3)</f>
        <v>187</v>
      </c>
      <c r="D469" t="s">
        <v>470</v>
      </c>
      <c r="E469" s="110" t="str">
        <f>LEFT(F469,22)</f>
        <v>TAIL ROTOR HUB ASSY</v>
      </c>
      <c r="F469" t="s">
        <v>220</v>
      </c>
      <c r="G469" s="110" t="str">
        <f>RIGHT(H469,9)</f>
        <v>011547068</v>
      </c>
      <c r="H469" t="s">
        <v>221</v>
      </c>
      <c r="I469" s="96" t="e">
        <f>Table__10.2.1.2_1_4AHB_v_gen_TBO[[#This Row],[REALDUE]]-Table__10.2.1.2_1_4AHB_v_gen_TBO[[#This Row],[EI_BEG_AGE]]</f>
        <v>#VALUE!</v>
      </c>
      <c r="J469" s="96">
        <v>5314.7</v>
      </c>
      <c r="K469" s="110" t="str">
        <f>IF(Table__10.2.1.2_1_4AHB_v_gen_TBO[[#This Row],[NO_OVHLS]]="RC","RC","LC")</f>
        <v>LC</v>
      </c>
      <c r="L469" t="s">
        <v>403</v>
      </c>
      <c r="M469" t="s">
        <v>104</v>
      </c>
      <c r="N469" t="b">
        <v>0</v>
      </c>
    </row>
    <row r="470" spans="2:14" hidden="1">
      <c r="B470" t="s">
        <v>749</v>
      </c>
      <c r="C470" s="110" t="str">
        <f>RIGHT(B470,3)</f>
        <v>187</v>
      </c>
      <c r="D470" t="s">
        <v>470</v>
      </c>
      <c r="E470" s="110" t="str">
        <f>LEFT(F470,22)</f>
        <v>TAIL ROTOR HUB ASSY</v>
      </c>
      <c r="F470" t="s">
        <v>220</v>
      </c>
      <c r="G470" s="110" t="str">
        <f>RIGHT(H470,9)</f>
        <v>011547068</v>
      </c>
      <c r="H470" t="s">
        <v>221</v>
      </c>
      <c r="I470" s="96" t="e">
        <f>Table__10.2.1.2_1_4AHB_v_gen_TBO[[#This Row],[REALDUE]]-Table__10.2.1.2_1_4AHB_v_gen_TBO[[#This Row],[EI_BEG_AGE]]</f>
        <v>#VALUE!</v>
      </c>
      <c r="J470" s="96">
        <v>5314.7</v>
      </c>
      <c r="K470" s="110" t="str">
        <f>IF(Table__10.2.1.2_1_4AHB_v_gen_TBO[[#This Row],[NO_OVHLS]]="RC","RC","LC")</f>
        <v>LC</v>
      </c>
      <c r="L470" t="s">
        <v>403</v>
      </c>
      <c r="M470" t="s">
        <v>104</v>
      </c>
      <c r="N470" t="b">
        <v>0</v>
      </c>
    </row>
    <row r="471" spans="2:14" hidden="1">
      <c r="B471" t="s">
        <v>751</v>
      </c>
      <c r="C471" s="110" t="str">
        <f>RIGHT(B471,3)</f>
        <v>119</v>
      </c>
      <c r="D471" t="s">
        <v>887</v>
      </c>
      <c r="E471" s="110" t="str">
        <f>LEFT(F471,22)</f>
        <v>BOLT, AFT LONG BELLCRA</v>
      </c>
      <c r="F471" t="s">
        <v>375</v>
      </c>
      <c r="G471" s="110" t="str">
        <f>RIGHT(H471,9)</f>
        <v>011637072</v>
      </c>
      <c r="H471" t="s">
        <v>376</v>
      </c>
      <c r="I471" s="96" t="e">
        <f>Table__10.2.1.2_1_4AHB_v_gen_TBO[[#This Row],[REALDUE]]-Table__10.2.1.2_1_4AHB_v_gen_TBO[[#This Row],[EI_BEG_AGE]]</f>
        <v>#VALUE!</v>
      </c>
      <c r="J471" s="96">
        <v>3973.9</v>
      </c>
      <c r="K471" s="110" t="str">
        <f>IF(Table__10.2.1.2_1_4AHB_v_gen_TBO[[#This Row],[NO_OVHLS]]="RC","RC","LC")</f>
        <v>LC</v>
      </c>
      <c r="L471" t="s">
        <v>403</v>
      </c>
      <c r="M471" t="s">
        <v>104</v>
      </c>
      <c r="N471" t="b">
        <v>0</v>
      </c>
    </row>
    <row r="472" spans="2:14" hidden="1">
      <c r="B472" t="s">
        <v>751</v>
      </c>
      <c r="C472" s="110" t="str">
        <f>RIGHT(B472,3)</f>
        <v>119</v>
      </c>
      <c r="D472" t="s">
        <v>887</v>
      </c>
      <c r="E472" s="110" t="str">
        <f>LEFT(F472,22)</f>
        <v>BOLT, AFT LONG BELLCRA</v>
      </c>
      <c r="F472" t="s">
        <v>375</v>
      </c>
      <c r="G472" s="110" t="str">
        <f>RIGHT(H472,9)</f>
        <v>011637072</v>
      </c>
      <c r="H472" t="s">
        <v>376</v>
      </c>
      <c r="I472" s="96" t="e">
        <f>Table__10.2.1.2_1_4AHB_v_gen_TBO[[#This Row],[REALDUE]]-Table__10.2.1.2_1_4AHB_v_gen_TBO[[#This Row],[EI_BEG_AGE]]</f>
        <v>#VALUE!</v>
      </c>
      <c r="J472" s="96">
        <v>3973.9</v>
      </c>
      <c r="K472" s="110" t="str">
        <f>IF(Table__10.2.1.2_1_4AHB_v_gen_TBO[[#This Row],[NO_OVHLS]]="RC","RC","LC")</f>
        <v>LC</v>
      </c>
      <c r="L472" t="s">
        <v>403</v>
      </c>
      <c r="M472" t="s">
        <v>104</v>
      </c>
      <c r="N472" t="b">
        <v>0</v>
      </c>
    </row>
    <row r="473" spans="2:14" hidden="1">
      <c r="B473" t="s">
        <v>753</v>
      </c>
      <c r="C473" s="110" t="str">
        <f>RIGHT(B473,3)</f>
        <v>141</v>
      </c>
      <c r="D473" t="s">
        <v>575</v>
      </c>
      <c r="E473" s="110" t="str">
        <f>LEFT(F473,22)</f>
        <v>BOLT, AFT LONG BELLCRA</v>
      </c>
      <c r="F473" t="s">
        <v>375</v>
      </c>
      <c r="G473" s="110" t="str">
        <f>RIGHT(H473,9)</f>
        <v>011637072</v>
      </c>
      <c r="H473" t="s">
        <v>376</v>
      </c>
      <c r="I473" s="110" t="e">
        <f>Table__10.2.1.2_1_4AHB_v_gen_TBO[[#This Row],[REALDUE]]-Table__10.2.1.2_1_4AHB_v_gen_TBO[[#This Row],[EI_BEG_AGE]]</f>
        <v>#VALUE!</v>
      </c>
      <c r="J473">
        <v>4733.5</v>
      </c>
      <c r="K473" s="110" t="str">
        <f>IF(Table__10.2.1.2_1_4AHB_v_gen_TBO[[#This Row],[NO_OVHLS]]="RC","RC","LC")</f>
        <v>LC</v>
      </c>
      <c r="L473" t="s">
        <v>403</v>
      </c>
      <c r="M473" t="s">
        <v>104</v>
      </c>
      <c r="N473" t="b">
        <v>0</v>
      </c>
    </row>
    <row r="474" spans="2:14" hidden="1">
      <c r="B474" t="s">
        <v>753</v>
      </c>
      <c r="C474" s="110" t="str">
        <f>RIGHT(B474,3)</f>
        <v>141</v>
      </c>
      <c r="D474" t="s">
        <v>575</v>
      </c>
      <c r="E474" s="110" t="str">
        <f>LEFT(F474,22)</f>
        <v>BOLT, AFT LONG BELLCRA</v>
      </c>
      <c r="F474" t="s">
        <v>375</v>
      </c>
      <c r="G474" s="110" t="str">
        <f>RIGHT(H474,9)</f>
        <v>011637072</v>
      </c>
      <c r="H474" t="s">
        <v>376</v>
      </c>
      <c r="I474" s="110" t="e">
        <f>Table__10.2.1.2_1_4AHB_v_gen_TBO[[#This Row],[REALDUE]]-Table__10.2.1.2_1_4AHB_v_gen_TBO[[#This Row],[EI_BEG_AGE]]</f>
        <v>#VALUE!</v>
      </c>
      <c r="J474">
        <v>4733.5</v>
      </c>
      <c r="K474" s="110" t="str">
        <f>IF(Table__10.2.1.2_1_4AHB_v_gen_TBO[[#This Row],[NO_OVHLS]]="RC","RC","LC")</f>
        <v>LC</v>
      </c>
      <c r="L474" t="s">
        <v>403</v>
      </c>
      <c r="M474" t="s">
        <v>104</v>
      </c>
      <c r="N474" t="b">
        <v>0</v>
      </c>
    </row>
    <row r="475" spans="2:14" hidden="1">
      <c r="B475" t="s">
        <v>749</v>
      </c>
      <c r="C475" s="110" t="str">
        <f>RIGHT(B475,3)</f>
        <v>187</v>
      </c>
      <c r="D475" t="s">
        <v>575</v>
      </c>
      <c r="E475" s="110" t="str">
        <f>LEFT(F475,22)</f>
        <v>BOLT, AFT LONG BELLCRA</v>
      </c>
      <c r="F475" t="s">
        <v>375</v>
      </c>
      <c r="G475" s="110" t="str">
        <f>RIGHT(H475,9)</f>
        <v>011637072</v>
      </c>
      <c r="H475" t="s">
        <v>376</v>
      </c>
      <c r="I475" s="110" t="e">
        <f>Table__10.2.1.2_1_4AHB_v_gen_TBO[[#This Row],[REALDUE]]-Table__10.2.1.2_1_4AHB_v_gen_TBO[[#This Row],[EI_BEG_AGE]]</f>
        <v>#VALUE!</v>
      </c>
      <c r="J475">
        <v>5314.7</v>
      </c>
      <c r="K475" s="110" t="str">
        <f>IF(Table__10.2.1.2_1_4AHB_v_gen_TBO[[#This Row],[NO_OVHLS]]="RC","RC","LC")</f>
        <v>LC</v>
      </c>
      <c r="L475" t="s">
        <v>403</v>
      </c>
      <c r="M475" t="s">
        <v>104</v>
      </c>
      <c r="N475" t="b">
        <v>0</v>
      </c>
    </row>
    <row r="476" spans="2:14" hidden="1">
      <c r="B476" t="s">
        <v>749</v>
      </c>
      <c r="C476" s="110" t="str">
        <f>RIGHT(B476,3)</f>
        <v>187</v>
      </c>
      <c r="D476" t="s">
        <v>575</v>
      </c>
      <c r="E476" s="110" t="str">
        <f>LEFT(F476,22)</f>
        <v>BOLT, AFT LONG BELLCRA</v>
      </c>
      <c r="F476" t="s">
        <v>375</v>
      </c>
      <c r="G476" s="110" t="str">
        <f>RIGHT(H476,9)</f>
        <v>011637072</v>
      </c>
      <c r="H476" t="s">
        <v>376</v>
      </c>
      <c r="I476" s="110" t="e">
        <f>Table__10.2.1.2_1_4AHB_v_gen_TBO[[#This Row],[REALDUE]]-Table__10.2.1.2_1_4AHB_v_gen_TBO[[#This Row],[EI_BEG_AGE]]</f>
        <v>#VALUE!</v>
      </c>
      <c r="J476">
        <v>5314.7</v>
      </c>
      <c r="K476" s="110" t="str">
        <f>IF(Table__10.2.1.2_1_4AHB_v_gen_TBO[[#This Row],[NO_OVHLS]]="RC","RC","LC")</f>
        <v>LC</v>
      </c>
      <c r="L476" t="s">
        <v>403</v>
      </c>
      <c r="M476" t="s">
        <v>104</v>
      </c>
      <c r="N476" t="b">
        <v>0</v>
      </c>
    </row>
    <row r="477" spans="2:14" hidden="1">
      <c r="B477" t="s">
        <v>751</v>
      </c>
      <c r="C477" s="110" t="str">
        <f>RIGHT(B477,3)</f>
        <v>119</v>
      </c>
      <c r="D477" t="s">
        <v>570</v>
      </c>
      <c r="E477" s="110" t="str">
        <f>LEFT(F477,22)</f>
        <v>BOLT, TORQUE LINK SUPP</v>
      </c>
      <c r="F477" t="s">
        <v>370</v>
      </c>
      <c r="G477" s="110" t="str">
        <f>RIGHT(H477,9)</f>
        <v>011639568</v>
      </c>
      <c r="H477" t="s">
        <v>371</v>
      </c>
      <c r="I477" s="110" t="e">
        <f>Table__10.2.1.2_1_4AHB_v_gen_TBO[[#This Row],[REALDUE]]-Table__10.2.1.2_1_4AHB_v_gen_TBO[[#This Row],[EI_BEG_AGE]]</f>
        <v>#VALUE!</v>
      </c>
      <c r="J477">
        <v>3973.9</v>
      </c>
      <c r="K477" s="110" t="str">
        <f>IF(Table__10.2.1.2_1_4AHB_v_gen_TBO[[#This Row],[NO_OVHLS]]="RC","RC","LC")</f>
        <v>LC</v>
      </c>
      <c r="L477" t="s">
        <v>403</v>
      </c>
      <c r="M477" t="s">
        <v>104</v>
      </c>
      <c r="N477" t="b">
        <v>0</v>
      </c>
    </row>
    <row r="478" spans="2:14" hidden="1">
      <c r="B478" t="s">
        <v>751</v>
      </c>
      <c r="C478" s="110" t="str">
        <f>RIGHT(B478,3)</f>
        <v>119</v>
      </c>
      <c r="D478" t="s">
        <v>570</v>
      </c>
      <c r="E478" s="110" t="str">
        <f>LEFT(F478,22)</f>
        <v>BOLT, TORQUE LINK SUPP</v>
      </c>
      <c r="F478" t="s">
        <v>370</v>
      </c>
      <c r="G478" s="110" t="str">
        <f>RIGHT(H478,9)</f>
        <v>011639568</v>
      </c>
      <c r="H478" t="s">
        <v>371</v>
      </c>
      <c r="I478" s="110" t="e">
        <f>Table__10.2.1.2_1_4AHB_v_gen_TBO[[#This Row],[REALDUE]]-Table__10.2.1.2_1_4AHB_v_gen_TBO[[#This Row],[EI_BEG_AGE]]</f>
        <v>#VALUE!</v>
      </c>
      <c r="J478">
        <v>3973.9</v>
      </c>
      <c r="K478" s="110" t="str">
        <f>IF(Table__10.2.1.2_1_4AHB_v_gen_TBO[[#This Row],[NO_OVHLS]]="RC","RC","LC")</f>
        <v>LC</v>
      </c>
      <c r="L478" t="s">
        <v>403</v>
      </c>
      <c r="M478" t="s">
        <v>104</v>
      </c>
      <c r="N478" t="b">
        <v>0</v>
      </c>
    </row>
    <row r="479" spans="2:14" hidden="1">
      <c r="B479" t="s">
        <v>753</v>
      </c>
      <c r="C479" s="110" t="str">
        <f>RIGHT(B479,3)</f>
        <v>141</v>
      </c>
      <c r="D479" t="s">
        <v>571</v>
      </c>
      <c r="E479" s="110" t="str">
        <f>LEFT(F479,22)</f>
        <v>BOLT, TORQUE LINK SUPP</v>
      </c>
      <c r="F479" t="s">
        <v>370</v>
      </c>
      <c r="G479" s="110" t="str">
        <f>RIGHT(H479,9)</f>
        <v>011639568</v>
      </c>
      <c r="H479" t="s">
        <v>371</v>
      </c>
      <c r="I479" s="96" t="e">
        <f>Table__10.2.1.2_1_4AHB_v_gen_TBO[[#This Row],[REALDUE]]-Table__10.2.1.2_1_4AHB_v_gen_TBO[[#This Row],[EI_BEG_AGE]]</f>
        <v>#VALUE!</v>
      </c>
      <c r="J479" s="96">
        <v>4733.5</v>
      </c>
      <c r="K479" s="110" t="str">
        <f>IF(Table__10.2.1.2_1_4AHB_v_gen_TBO[[#This Row],[NO_OVHLS]]="RC","RC","LC")</f>
        <v>LC</v>
      </c>
      <c r="L479" t="s">
        <v>403</v>
      </c>
      <c r="M479" t="s">
        <v>104</v>
      </c>
      <c r="N479" t="b">
        <v>0</v>
      </c>
    </row>
    <row r="480" spans="2:14" hidden="1">
      <c r="B480" t="s">
        <v>753</v>
      </c>
      <c r="C480" s="110" t="str">
        <f>RIGHT(B480,3)</f>
        <v>141</v>
      </c>
      <c r="D480" t="s">
        <v>571</v>
      </c>
      <c r="E480" s="110" t="str">
        <f>LEFT(F480,22)</f>
        <v>BOLT, TORQUE LINK SUPP</v>
      </c>
      <c r="F480" t="s">
        <v>370</v>
      </c>
      <c r="G480" s="110" t="str">
        <f>RIGHT(H480,9)</f>
        <v>011639568</v>
      </c>
      <c r="H480" t="s">
        <v>371</v>
      </c>
      <c r="I480" s="96" t="e">
        <f>Table__10.2.1.2_1_4AHB_v_gen_TBO[[#This Row],[REALDUE]]-Table__10.2.1.2_1_4AHB_v_gen_TBO[[#This Row],[EI_BEG_AGE]]</f>
        <v>#VALUE!</v>
      </c>
      <c r="J480" s="96">
        <v>4733.5</v>
      </c>
      <c r="K480" s="110" t="str">
        <f>IF(Table__10.2.1.2_1_4AHB_v_gen_TBO[[#This Row],[NO_OVHLS]]="RC","RC","LC")</f>
        <v>LC</v>
      </c>
      <c r="L480" t="s">
        <v>403</v>
      </c>
      <c r="M480" t="s">
        <v>104</v>
      </c>
      <c r="N480" t="b">
        <v>0</v>
      </c>
    </row>
    <row r="481" spans="2:14" hidden="1">
      <c r="B481" t="s">
        <v>749</v>
      </c>
      <c r="C481" s="110" t="str">
        <f>RIGHT(B481,3)</f>
        <v>187</v>
      </c>
      <c r="D481" t="s">
        <v>571</v>
      </c>
      <c r="E481" s="110" t="str">
        <f>LEFT(F481,22)</f>
        <v>BOLT, TORQUE LINK SUPP</v>
      </c>
      <c r="F481" t="s">
        <v>370</v>
      </c>
      <c r="G481" s="110" t="str">
        <f>RIGHT(H481,9)</f>
        <v>011639568</v>
      </c>
      <c r="H481" t="s">
        <v>371</v>
      </c>
      <c r="I481" s="96" t="e">
        <f>Table__10.2.1.2_1_4AHB_v_gen_TBO[[#This Row],[REALDUE]]-Table__10.2.1.2_1_4AHB_v_gen_TBO[[#This Row],[EI_BEG_AGE]]</f>
        <v>#VALUE!</v>
      </c>
      <c r="J481" s="96">
        <v>5314.7</v>
      </c>
      <c r="K481" s="110" t="str">
        <f>IF(Table__10.2.1.2_1_4AHB_v_gen_TBO[[#This Row],[NO_OVHLS]]="RC","RC","LC")</f>
        <v>LC</v>
      </c>
      <c r="L481" t="s">
        <v>403</v>
      </c>
      <c r="M481" t="s">
        <v>104</v>
      </c>
      <c r="N481" t="b">
        <v>0</v>
      </c>
    </row>
    <row r="482" spans="2:14" hidden="1">
      <c r="B482" t="s">
        <v>749</v>
      </c>
      <c r="C482" s="110" t="str">
        <f>RIGHT(B482,3)</f>
        <v>187</v>
      </c>
      <c r="D482" t="s">
        <v>571</v>
      </c>
      <c r="E482" s="110" t="str">
        <f>LEFT(F482,22)</f>
        <v>BOLT, TORQUE LINK SUPP</v>
      </c>
      <c r="F482" t="s">
        <v>370</v>
      </c>
      <c r="G482" s="110" t="str">
        <f>RIGHT(H482,9)</f>
        <v>011639568</v>
      </c>
      <c r="H482" t="s">
        <v>371</v>
      </c>
      <c r="I482" s="96" t="e">
        <f>Table__10.2.1.2_1_4AHB_v_gen_TBO[[#This Row],[REALDUE]]-Table__10.2.1.2_1_4AHB_v_gen_TBO[[#This Row],[EI_BEG_AGE]]</f>
        <v>#VALUE!</v>
      </c>
      <c r="J482" s="96">
        <v>5314.7</v>
      </c>
      <c r="K482" s="110" t="str">
        <f>IF(Table__10.2.1.2_1_4AHB_v_gen_TBO[[#This Row],[NO_OVHLS]]="RC","RC","LC")</f>
        <v>LC</v>
      </c>
      <c r="L482" t="s">
        <v>403</v>
      </c>
      <c r="M482" t="s">
        <v>104</v>
      </c>
      <c r="N482" t="b">
        <v>0</v>
      </c>
    </row>
    <row r="483" spans="2:14" hidden="1">
      <c r="B483" t="s">
        <v>749</v>
      </c>
      <c r="C483" s="110" t="str">
        <f>RIGHT(B483,3)</f>
        <v>187</v>
      </c>
      <c r="D483" t="s">
        <v>543</v>
      </c>
      <c r="E483" s="110" t="str">
        <f>LEFT(F483,22)</f>
        <v>PUMP, SUBMERGED</v>
      </c>
      <c r="F483" t="s">
        <v>333</v>
      </c>
      <c r="G483" s="110" t="str">
        <f>RIGHT(H483,9)</f>
        <v>011598522</v>
      </c>
      <c r="H483" t="s">
        <v>334</v>
      </c>
      <c r="I483" s="96" t="e">
        <f>Table__10.2.1.2_1_4AHB_v_gen_TBO[[#This Row],[REALDUE]]-Table__10.2.1.2_1_4AHB_v_gen_TBO[[#This Row],[EI_BEG_AGE]]</f>
        <v>#VALUE!</v>
      </c>
      <c r="J483" s="96">
        <v>5314.7</v>
      </c>
      <c r="K483" s="110" t="str">
        <f>IF(Table__10.2.1.2_1_4AHB_v_gen_TBO[[#This Row],[NO_OVHLS]]="RC","RC","LC")</f>
        <v>LC</v>
      </c>
      <c r="L483" t="s">
        <v>403</v>
      </c>
      <c r="M483" t="s">
        <v>104</v>
      </c>
      <c r="N483" t="b">
        <v>0</v>
      </c>
    </row>
    <row r="484" spans="2:14" hidden="1">
      <c r="B484" t="s">
        <v>751</v>
      </c>
      <c r="C484" s="110" t="str">
        <f>RIGHT(B484,3)</f>
        <v>119</v>
      </c>
      <c r="D484" t="s">
        <v>543</v>
      </c>
      <c r="E484" s="110" t="str">
        <f>LEFT(F484,22)</f>
        <v>PUMP, SUBMERGED</v>
      </c>
      <c r="F484" t="s">
        <v>333</v>
      </c>
      <c r="G484" s="110" t="str">
        <f>RIGHT(H484,9)</f>
        <v>011598522</v>
      </c>
      <c r="H484" t="s">
        <v>334</v>
      </c>
      <c r="I484" s="96" t="e">
        <f>Table__10.2.1.2_1_4AHB_v_gen_TBO[[#This Row],[REALDUE]]-Table__10.2.1.2_1_4AHB_v_gen_TBO[[#This Row],[EI_BEG_AGE]]</f>
        <v>#VALUE!</v>
      </c>
      <c r="J484" s="96">
        <v>3973.9</v>
      </c>
      <c r="K484" s="110" t="str">
        <f>IF(Table__10.2.1.2_1_4AHB_v_gen_TBO[[#This Row],[NO_OVHLS]]="RC","RC","LC")</f>
        <v>LC</v>
      </c>
      <c r="L484" t="s">
        <v>403</v>
      </c>
      <c r="M484" t="s">
        <v>104</v>
      </c>
      <c r="N484" t="b">
        <v>0</v>
      </c>
    </row>
    <row r="485" spans="2:14" hidden="1">
      <c r="B485" t="s">
        <v>753</v>
      </c>
      <c r="C485" s="110" t="str">
        <f>RIGHT(B485,3)</f>
        <v>141</v>
      </c>
      <c r="D485" t="s">
        <v>543</v>
      </c>
      <c r="E485" s="110" t="str">
        <f>LEFT(F485,22)</f>
        <v>PUMP, SUBMERGED</v>
      </c>
      <c r="F485" t="s">
        <v>333</v>
      </c>
      <c r="G485" s="110" t="str">
        <f>RIGHT(H485,9)</f>
        <v>011598522</v>
      </c>
      <c r="H485" t="s">
        <v>334</v>
      </c>
      <c r="I485" s="96" t="e">
        <f>Table__10.2.1.2_1_4AHB_v_gen_TBO[[#This Row],[REALDUE]]-Table__10.2.1.2_1_4AHB_v_gen_TBO[[#This Row],[EI_BEG_AGE]]</f>
        <v>#VALUE!</v>
      </c>
      <c r="J485" s="96">
        <v>4733.5</v>
      </c>
      <c r="K485" s="110" t="str">
        <f>IF(Table__10.2.1.2_1_4AHB_v_gen_TBO[[#This Row],[NO_OVHLS]]="RC","RC","LC")</f>
        <v>LC</v>
      </c>
      <c r="L485" t="s">
        <v>403</v>
      </c>
      <c r="M485" t="s">
        <v>104</v>
      </c>
      <c r="N485" t="b">
        <v>0</v>
      </c>
    </row>
    <row r="486" spans="2:14" hidden="1">
      <c r="B486" t="s">
        <v>753</v>
      </c>
      <c r="C486" s="110" t="str">
        <f>RIGHT(B486,3)</f>
        <v>141</v>
      </c>
      <c r="D486" t="s">
        <v>540</v>
      </c>
      <c r="E486" s="110" t="str">
        <f>LEFT(F486,22)</f>
        <v>MANIFOLD, HYDRAULIC UT</v>
      </c>
      <c r="F486" t="s">
        <v>327</v>
      </c>
      <c r="G486" s="110" t="str">
        <f>RIGHT(H486,9)</f>
        <v>013261804</v>
      </c>
      <c r="H486" t="s">
        <v>328</v>
      </c>
      <c r="I486" s="96" t="e">
        <f>Table__10.2.1.2_1_4AHB_v_gen_TBO[[#This Row],[REALDUE]]-Table__10.2.1.2_1_4AHB_v_gen_TBO[[#This Row],[EI_BEG_AGE]]</f>
        <v>#VALUE!</v>
      </c>
      <c r="J486" s="96">
        <v>4733.5</v>
      </c>
      <c r="K486" s="110" t="str">
        <f>IF(Table__10.2.1.2_1_4AHB_v_gen_TBO[[#This Row],[NO_OVHLS]]="RC","RC","LC")</f>
        <v>LC</v>
      </c>
      <c r="L486" t="s">
        <v>403</v>
      </c>
      <c r="M486" t="s">
        <v>104</v>
      </c>
      <c r="N486" t="b">
        <v>0</v>
      </c>
    </row>
    <row r="487" spans="2:14" hidden="1">
      <c r="B487" t="s">
        <v>751</v>
      </c>
      <c r="C487" s="110" t="str">
        <f>RIGHT(B487,3)</f>
        <v>119</v>
      </c>
      <c r="D487" t="s">
        <v>540</v>
      </c>
      <c r="E487" s="110" t="str">
        <f>LEFT(F487,22)</f>
        <v>MANIFOLD, HYDRAULIC UT</v>
      </c>
      <c r="F487" t="s">
        <v>327</v>
      </c>
      <c r="G487" s="110" t="str">
        <f>RIGHT(H487,9)</f>
        <v>013261804</v>
      </c>
      <c r="H487" t="s">
        <v>328</v>
      </c>
      <c r="I487" s="96" t="e">
        <f>Table__10.2.1.2_1_4AHB_v_gen_TBO[[#This Row],[REALDUE]]-Table__10.2.1.2_1_4AHB_v_gen_TBO[[#This Row],[EI_BEG_AGE]]</f>
        <v>#VALUE!</v>
      </c>
      <c r="J487" s="96">
        <v>3973.9</v>
      </c>
      <c r="K487" s="110" t="str">
        <f>IF(Table__10.2.1.2_1_4AHB_v_gen_TBO[[#This Row],[NO_OVHLS]]="RC","RC","LC")</f>
        <v>LC</v>
      </c>
      <c r="L487" t="s">
        <v>403</v>
      </c>
      <c r="M487" t="s">
        <v>104</v>
      </c>
      <c r="N487" t="b">
        <v>0</v>
      </c>
    </row>
    <row r="488" spans="2:14" hidden="1">
      <c r="B488" t="s">
        <v>749</v>
      </c>
      <c r="C488" s="110" t="str">
        <f>RIGHT(B488,3)</f>
        <v>187</v>
      </c>
      <c r="D488" t="s">
        <v>540</v>
      </c>
      <c r="E488" s="110" t="str">
        <f>LEFT(F488,22)</f>
        <v>MANIFOLD, HYDRAULIC UT</v>
      </c>
      <c r="F488" t="s">
        <v>327</v>
      </c>
      <c r="G488" s="110" t="str">
        <f>RIGHT(H488,9)</f>
        <v>013261804</v>
      </c>
      <c r="H488" t="s">
        <v>328</v>
      </c>
      <c r="I488" s="96" t="e">
        <f>Table__10.2.1.2_1_4AHB_v_gen_TBO[[#This Row],[REALDUE]]-Table__10.2.1.2_1_4AHB_v_gen_TBO[[#This Row],[EI_BEG_AGE]]</f>
        <v>#VALUE!</v>
      </c>
      <c r="J488" s="96">
        <v>5314.7</v>
      </c>
      <c r="K488" s="110" t="str">
        <f>IF(Table__10.2.1.2_1_4AHB_v_gen_TBO[[#This Row],[NO_OVHLS]]="RC","RC","LC")</f>
        <v>LC</v>
      </c>
      <c r="L488" t="s">
        <v>403</v>
      </c>
      <c r="M488" t="s">
        <v>104</v>
      </c>
      <c r="N488" t="b">
        <v>0</v>
      </c>
    </row>
    <row r="489" spans="2:14" hidden="1">
      <c r="B489" t="s">
        <v>753</v>
      </c>
      <c r="C489" s="110" t="str">
        <f>RIGHT(B489,3)</f>
        <v>141</v>
      </c>
      <c r="D489" t="s">
        <v>409</v>
      </c>
      <c r="E489" s="110" t="str">
        <f>LEFT(F489,22)</f>
        <v>STRUT FWD CENTER RH</v>
      </c>
      <c r="F489" t="s">
        <v>115</v>
      </c>
      <c r="G489" s="110" t="str">
        <f>RIGHT(H489,9)</f>
        <v>011643790</v>
      </c>
      <c r="H489" t="s">
        <v>116</v>
      </c>
      <c r="I489" s="96" t="e">
        <f>Table__10.2.1.2_1_4AHB_v_gen_TBO[[#This Row],[REALDUE]]-Table__10.2.1.2_1_4AHB_v_gen_TBO[[#This Row],[EI_BEG_AGE]]</f>
        <v>#VALUE!</v>
      </c>
      <c r="J489" s="96">
        <v>4733.5</v>
      </c>
      <c r="K489" s="110" t="str">
        <f>IF(Table__10.2.1.2_1_4AHB_v_gen_TBO[[#This Row],[NO_OVHLS]]="RC","RC","LC")</f>
        <v>LC</v>
      </c>
      <c r="L489" t="s">
        <v>403</v>
      </c>
      <c r="M489" t="s">
        <v>104</v>
      </c>
      <c r="N489" t="b">
        <v>0</v>
      </c>
    </row>
    <row r="490" spans="2:14" hidden="1">
      <c r="B490" t="s">
        <v>749</v>
      </c>
      <c r="C490" s="110" t="str">
        <f>RIGHT(B490,3)</f>
        <v>187</v>
      </c>
      <c r="D490" t="s">
        <v>409</v>
      </c>
      <c r="E490" s="110" t="str">
        <f>LEFT(F490,22)</f>
        <v>STRUT FWD CENTER RH</v>
      </c>
      <c r="F490" t="s">
        <v>115</v>
      </c>
      <c r="G490" s="110" t="str">
        <f>RIGHT(H490,9)</f>
        <v>011643790</v>
      </c>
      <c r="H490" t="s">
        <v>116</v>
      </c>
      <c r="I490" s="96" t="e">
        <f>Table__10.2.1.2_1_4AHB_v_gen_TBO[[#This Row],[REALDUE]]-Table__10.2.1.2_1_4AHB_v_gen_TBO[[#This Row],[EI_BEG_AGE]]</f>
        <v>#VALUE!</v>
      </c>
      <c r="J490" s="96">
        <v>5314.7</v>
      </c>
      <c r="K490" s="110" t="str">
        <f>IF(Table__10.2.1.2_1_4AHB_v_gen_TBO[[#This Row],[NO_OVHLS]]="RC","RC","LC")</f>
        <v>LC</v>
      </c>
      <c r="L490" t="s">
        <v>403</v>
      </c>
      <c r="M490" t="s">
        <v>104</v>
      </c>
      <c r="N490" t="b">
        <v>0</v>
      </c>
    </row>
    <row r="491" spans="2:14" hidden="1">
      <c r="B491" t="s">
        <v>751</v>
      </c>
      <c r="C491" s="110" t="str">
        <f>RIGHT(B491,3)</f>
        <v>119</v>
      </c>
      <c r="D491" t="s">
        <v>409</v>
      </c>
      <c r="E491" s="110" t="str">
        <f>LEFT(F491,22)</f>
        <v>STRUT FWD CENTER RH</v>
      </c>
      <c r="F491" t="s">
        <v>115</v>
      </c>
      <c r="G491" s="110" t="str">
        <f>RIGHT(H491,9)</f>
        <v>011643790</v>
      </c>
      <c r="H491" t="s">
        <v>116</v>
      </c>
      <c r="I491" s="96" t="e">
        <f>Table__10.2.1.2_1_4AHB_v_gen_TBO[[#This Row],[REALDUE]]-Table__10.2.1.2_1_4AHB_v_gen_TBO[[#This Row],[EI_BEG_AGE]]</f>
        <v>#VALUE!</v>
      </c>
      <c r="J491" s="96">
        <v>3973.9</v>
      </c>
      <c r="K491" s="110" t="str">
        <f>IF(Table__10.2.1.2_1_4AHB_v_gen_TBO[[#This Row],[NO_OVHLS]]="RC","RC","LC")</f>
        <v>LC</v>
      </c>
      <c r="L491" t="s">
        <v>403</v>
      </c>
      <c r="M491" t="s">
        <v>104</v>
      </c>
      <c r="N491" t="b">
        <v>0</v>
      </c>
    </row>
    <row r="492" spans="2:14" hidden="1">
      <c r="B492" t="s">
        <v>753</v>
      </c>
      <c r="C492" s="110" t="str">
        <f>RIGHT(B492,3)</f>
        <v>141</v>
      </c>
      <c r="D492" t="s">
        <v>411</v>
      </c>
      <c r="E492" s="110" t="str">
        <f>LEFT(F492,22)</f>
        <v>STRUT AFT CENTER RH</v>
      </c>
      <c r="F492" t="s">
        <v>119</v>
      </c>
      <c r="G492" s="110" t="str">
        <f>RIGHT(H492,9)</f>
        <v>011639507</v>
      </c>
      <c r="H492" t="s">
        <v>120</v>
      </c>
      <c r="I492" s="96" t="e">
        <f>Table__10.2.1.2_1_4AHB_v_gen_TBO[[#This Row],[REALDUE]]-Table__10.2.1.2_1_4AHB_v_gen_TBO[[#This Row],[EI_BEG_AGE]]</f>
        <v>#VALUE!</v>
      </c>
      <c r="J492" s="96">
        <v>4733.5</v>
      </c>
      <c r="K492" s="110" t="str">
        <f>IF(Table__10.2.1.2_1_4AHB_v_gen_TBO[[#This Row],[NO_OVHLS]]="RC","RC","LC")</f>
        <v>LC</v>
      </c>
      <c r="L492" t="s">
        <v>403</v>
      </c>
      <c r="M492" t="s">
        <v>104</v>
      </c>
      <c r="N492" t="b">
        <v>0</v>
      </c>
    </row>
    <row r="493" spans="2:14" hidden="1">
      <c r="B493" t="s">
        <v>749</v>
      </c>
      <c r="C493" s="110" t="str">
        <f>RIGHT(B493,3)</f>
        <v>187</v>
      </c>
      <c r="D493" t="s">
        <v>411</v>
      </c>
      <c r="E493" s="110" t="str">
        <f>LEFT(F493,22)</f>
        <v>STRUT AFT CENTER RH</v>
      </c>
      <c r="F493" t="s">
        <v>119</v>
      </c>
      <c r="G493" s="110" t="str">
        <f>RIGHT(H493,9)</f>
        <v>011639507</v>
      </c>
      <c r="H493" t="s">
        <v>120</v>
      </c>
      <c r="I493" s="96" t="e">
        <f>Table__10.2.1.2_1_4AHB_v_gen_TBO[[#This Row],[REALDUE]]-Table__10.2.1.2_1_4AHB_v_gen_TBO[[#This Row],[EI_BEG_AGE]]</f>
        <v>#VALUE!</v>
      </c>
      <c r="J493" s="96">
        <v>5314.7</v>
      </c>
      <c r="K493" s="110" t="str">
        <f>IF(Table__10.2.1.2_1_4AHB_v_gen_TBO[[#This Row],[NO_OVHLS]]="RC","RC","LC")</f>
        <v>LC</v>
      </c>
      <c r="L493" t="s">
        <v>403</v>
      </c>
      <c r="M493" t="s">
        <v>104</v>
      </c>
      <c r="N493" t="b">
        <v>0</v>
      </c>
    </row>
    <row r="494" spans="2:14" hidden="1">
      <c r="B494" t="s">
        <v>751</v>
      </c>
      <c r="C494" s="110" t="str">
        <f>RIGHT(B494,3)</f>
        <v>119</v>
      </c>
      <c r="D494" t="s">
        <v>411</v>
      </c>
      <c r="E494" s="110" t="str">
        <f>LEFT(F494,22)</f>
        <v>STRUT AFT CENTER RH</v>
      </c>
      <c r="F494" t="s">
        <v>119</v>
      </c>
      <c r="G494" s="110" t="str">
        <f>RIGHT(H494,9)</f>
        <v>011639507</v>
      </c>
      <c r="H494" t="s">
        <v>120</v>
      </c>
      <c r="I494" s="110" t="e">
        <f>Table__10.2.1.2_1_4AHB_v_gen_TBO[[#This Row],[REALDUE]]-Table__10.2.1.2_1_4AHB_v_gen_TBO[[#This Row],[EI_BEG_AGE]]</f>
        <v>#VALUE!</v>
      </c>
      <c r="J494">
        <v>3973.9</v>
      </c>
      <c r="K494" s="110" t="str">
        <f>IF(Table__10.2.1.2_1_4AHB_v_gen_TBO[[#This Row],[NO_OVHLS]]="RC","RC","LC")</f>
        <v>LC</v>
      </c>
      <c r="L494" t="s">
        <v>403</v>
      </c>
      <c r="M494" t="s">
        <v>104</v>
      </c>
      <c r="N494" t="b">
        <v>0</v>
      </c>
    </row>
    <row r="495" spans="2:14" hidden="1">
      <c r="B495" t="s">
        <v>753</v>
      </c>
      <c r="C495" s="110" t="str">
        <f>RIGHT(B495,3)</f>
        <v>141</v>
      </c>
      <c r="D495" t="s">
        <v>917</v>
      </c>
      <c r="E495" s="110" t="str">
        <f>LEFT(F495,22)</f>
        <v>HOUSING ASSY</v>
      </c>
      <c r="F495" t="s">
        <v>235</v>
      </c>
      <c r="G495" s="110" t="str">
        <f>RIGHT(H495,9)</f>
        <v>012526377</v>
      </c>
      <c r="H495" t="s">
        <v>918</v>
      </c>
      <c r="I495" s="110" t="e">
        <f>Table__10.2.1.2_1_4AHB_v_gen_TBO[[#This Row],[REALDUE]]-Table__10.2.1.2_1_4AHB_v_gen_TBO[[#This Row],[EI_BEG_AGE]]</f>
        <v>#VALUE!</v>
      </c>
      <c r="J495">
        <v>4733.5</v>
      </c>
      <c r="K495" s="110" t="str">
        <f>IF(Table__10.2.1.2_1_4AHB_v_gen_TBO[[#This Row],[NO_OVHLS]]="RC","RC","LC")</f>
        <v>LC</v>
      </c>
      <c r="L495" t="s">
        <v>403</v>
      </c>
      <c r="M495" t="s">
        <v>104</v>
      </c>
      <c r="N495" t="b">
        <v>0</v>
      </c>
    </row>
    <row r="496" spans="2:14" hidden="1">
      <c r="B496" t="s">
        <v>749</v>
      </c>
      <c r="C496" s="110" t="str">
        <f>RIGHT(B496,3)</f>
        <v>187</v>
      </c>
      <c r="D496" t="s">
        <v>479</v>
      </c>
      <c r="E496" s="110" t="str">
        <f>LEFT(F496,22)</f>
        <v>HOUSING ASSY</v>
      </c>
      <c r="F496" t="s">
        <v>235</v>
      </c>
      <c r="G496" s="110" t="str">
        <f>RIGHT(H496,9)</f>
        <v>014615083</v>
      </c>
      <c r="H496" t="s">
        <v>236</v>
      </c>
      <c r="I496" s="110" t="e">
        <f>Table__10.2.1.2_1_4AHB_v_gen_TBO[[#This Row],[REALDUE]]-Table__10.2.1.2_1_4AHB_v_gen_TBO[[#This Row],[EI_BEG_AGE]]</f>
        <v>#VALUE!</v>
      </c>
      <c r="J496">
        <v>5314.7</v>
      </c>
      <c r="K496" s="110" t="str">
        <f>IF(Table__10.2.1.2_1_4AHB_v_gen_TBO[[#This Row],[NO_OVHLS]]="RC","RC","LC")</f>
        <v>LC</v>
      </c>
      <c r="L496" t="s">
        <v>403</v>
      </c>
      <c r="M496" t="s">
        <v>104</v>
      </c>
      <c r="N496" t="b">
        <v>0</v>
      </c>
    </row>
    <row r="497" spans="2:14" hidden="1">
      <c r="B497" t="s">
        <v>751</v>
      </c>
      <c r="C497" s="110" t="str">
        <f>RIGHT(B497,3)</f>
        <v>119</v>
      </c>
      <c r="D497" t="s">
        <v>479</v>
      </c>
      <c r="E497" s="110" t="str">
        <f>LEFT(F497,22)</f>
        <v>HOUSING ASSY</v>
      </c>
      <c r="F497" t="s">
        <v>235</v>
      </c>
      <c r="G497" s="110" t="str">
        <f>RIGHT(H497,9)</f>
        <v>014615083</v>
      </c>
      <c r="H497" t="s">
        <v>236</v>
      </c>
      <c r="I497" s="110" t="e">
        <f>Table__10.2.1.2_1_4AHB_v_gen_TBO[[#This Row],[REALDUE]]-Table__10.2.1.2_1_4AHB_v_gen_TBO[[#This Row],[EI_BEG_AGE]]</f>
        <v>#VALUE!</v>
      </c>
      <c r="J497">
        <v>3973.9</v>
      </c>
      <c r="K497" s="110" t="str">
        <f>IF(Table__10.2.1.2_1_4AHB_v_gen_TBO[[#This Row],[NO_OVHLS]]="RC","RC","LC")</f>
        <v>LC</v>
      </c>
      <c r="L497" t="s">
        <v>403</v>
      </c>
      <c r="M497" t="s">
        <v>104</v>
      </c>
      <c r="N497" t="b">
        <v>0</v>
      </c>
    </row>
    <row r="498" spans="2:14" hidden="1">
      <c r="B498" t="s">
        <v>751</v>
      </c>
      <c r="C498" s="110" t="str">
        <f>RIGHT(B498,3)</f>
        <v>119</v>
      </c>
      <c r="D498" t="s">
        <v>480</v>
      </c>
      <c r="E498" s="110" t="str">
        <f>LEFT(F498,22)</f>
        <v>DRIVE COVER</v>
      </c>
      <c r="F498" t="s">
        <v>237</v>
      </c>
      <c r="G498" s="110" t="str">
        <f>RIGHT(H498,9)</f>
        <v>011556576</v>
      </c>
      <c r="H498" t="s">
        <v>238</v>
      </c>
      <c r="I498" s="110" t="e">
        <f>Table__10.2.1.2_1_4AHB_v_gen_TBO[[#This Row],[REALDUE]]-Table__10.2.1.2_1_4AHB_v_gen_TBO[[#This Row],[EI_BEG_AGE]]</f>
        <v>#VALUE!</v>
      </c>
      <c r="J498">
        <v>3973.9</v>
      </c>
      <c r="K498" s="110" t="str">
        <f>IF(Table__10.2.1.2_1_4AHB_v_gen_TBO[[#This Row],[NO_OVHLS]]="RC","RC","LC")</f>
        <v>LC</v>
      </c>
      <c r="L498" t="s">
        <v>403</v>
      </c>
      <c r="M498" t="s">
        <v>104</v>
      </c>
      <c r="N498" t="b">
        <v>0</v>
      </c>
    </row>
    <row r="499" spans="2:14" hidden="1">
      <c r="B499" t="s">
        <v>753</v>
      </c>
      <c r="C499" s="110" t="str">
        <f>RIGHT(B499,3)</f>
        <v>141</v>
      </c>
      <c r="D499" t="s">
        <v>480</v>
      </c>
      <c r="E499" s="110" t="str">
        <f>LEFT(F499,22)</f>
        <v>DRIVE COVER</v>
      </c>
      <c r="F499" t="s">
        <v>237</v>
      </c>
      <c r="G499" s="110" t="str">
        <f>RIGHT(H499,9)</f>
        <v>011556576</v>
      </c>
      <c r="H499" t="s">
        <v>238</v>
      </c>
      <c r="I499" s="110" t="e">
        <f>Table__10.2.1.2_1_4AHB_v_gen_TBO[[#This Row],[REALDUE]]-Table__10.2.1.2_1_4AHB_v_gen_TBO[[#This Row],[EI_BEG_AGE]]</f>
        <v>#VALUE!</v>
      </c>
      <c r="J499">
        <v>4733.5</v>
      </c>
      <c r="K499" s="110" t="str">
        <f>IF(Table__10.2.1.2_1_4AHB_v_gen_TBO[[#This Row],[NO_OVHLS]]="RC","RC","LC")</f>
        <v>LC</v>
      </c>
      <c r="L499" t="s">
        <v>403</v>
      </c>
      <c r="M499" t="s">
        <v>104</v>
      </c>
      <c r="N499" t="b">
        <v>0</v>
      </c>
    </row>
    <row r="500" spans="2:14" hidden="1">
      <c r="B500" t="s">
        <v>749</v>
      </c>
      <c r="C500" s="110" t="str">
        <f>RIGHT(B500,3)</f>
        <v>187</v>
      </c>
      <c r="D500" t="s">
        <v>480</v>
      </c>
      <c r="E500" s="110" t="str">
        <f>LEFT(F500,22)</f>
        <v>DRIVE COVER</v>
      </c>
      <c r="F500" t="s">
        <v>237</v>
      </c>
      <c r="G500" s="110" t="str">
        <f>RIGHT(H500,9)</f>
        <v>011556576</v>
      </c>
      <c r="H500" t="s">
        <v>238</v>
      </c>
      <c r="I500" s="110" t="e">
        <f>Table__10.2.1.2_1_4AHB_v_gen_TBO[[#This Row],[REALDUE]]-Table__10.2.1.2_1_4AHB_v_gen_TBO[[#This Row],[EI_BEG_AGE]]</f>
        <v>#VALUE!</v>
      </c>
      <c r="J500">
        <v>5314.7</v>
      </c>
      <c r="K500" s="110" t="str">
        <f>IF(Table__10.2.1.2_1_4AHB_v_gen_TBO[[#This Row],[NO_OVHLS]]="RC","RC","LC")</f>
        <v>LC</v>
      </c>
      <c r="L500" t="s">
        <v>403</v>
      </c>
      <c r="M500" t="s">
        <v>104</v>
      </c>
      <c r="N500" t="b">
        <v>0</v>
      </c>
    </row>
    <row r="501" spans="2:14" hidden="1">
      <c r="B501" t="s">
        <v>749</v>
      </c>
      <c r="C501" s="110" t="str">
        <f>RIGHT(B501,3)</f>
        <v>187</v>
      </c>
      <c r="D501" t="s">
        <v>482</v>
      </c>
      <c r="E501" s="110" t="str">
        <f>LEFT(F501,22)</f>
        <v>INTERMEDIATE COVER</v>
      </c>
      <c r="F501" t="s">
        <v>241</v>
      </c>
      <c r="G501" s="110" t="str">
        <f>RIGHT(H501,9)</f>
        <v>012154786</v>
      </c>
      <c r="H501" t="s">
        <v>242</v>
      </c>
      <c r="I501" s="110" t="e">
        <f>Table__10.2.1.2_1_4AHB_v_gen_TBO[[#This Row],[REALDUE]]-Table__10.2.1.2_1_4AHB_v_gen_TBO[[#This Row],[EI_BEG_AGE]]</f>
        <v>#VALUE!</v>
      </c>
      <c r="J501">
        <v>5314.7</v>
      </c>
      <c r="K501" s="110" t="str">
        <f>IF(Table__10.2.1.2_1_4AHB_v_gen_TBO[[#This Row],[NO_OVHLS]]="RC","RC","LC")</f>
        <v>LC</v>
      </c>
      <c r="L501" t="s">
        <v>403</v>
      </c>
      <c r="M501" t="s">
        <v>104</v>
      </c>
      <c r="N501" t="b">
        <v>0</v>
      </c>
    </row>
    <row r="502" spans="2:14" hidden="1">
      <c r="B502" t="s">
        <v>753</v>
      </c>
      <c r="C502" s="110" t="str">
        <f>RIGHT(B502,3)</f>
        <v>141</v>
      </c>
      <c r="D502" t="s">
        <v>482</v>
      </c>
      <c r="E502" s="110" t="str">
        <f>LEFT(F502,22)</f>
        <v>INTERMEDIATE COVER</v>
      </c>
      <c r="F502" t="s">
        <v>241</v>
      </c>
      <c r="G502" s="110" t="str">
        <f>RIGHT(H502,9)</f>
        <v>012154786</v>
      </c>
      <c r="H502" t="s">
        <v>242</v>
      </c>
      <c r="I502" s="110" t="e">
        <f>Table__10.2.1.2_1_4AHB_v_gen_TBO[[#This Row],[REALDUE]]-Table__10.2.1.2_1_4AHB_v_gen_TBO[[#This Row],[EI_BEG_AGE]]</f>
        <v>#VALUE!</v>
      </c>
      <c r="J502">
        <v>4733.5</v>
      </c>
      <c r="K502" s="110" t="str">
        <f>IF(Table__10.2.1.2_1_4AHB_v_gen_TBO[[#This Row],[NO_OVHLS]]="RC","RC","LC")</f>
        <v>LC</v>
      </c>
      <c r="L502" t="s">
        <v>403</v>
      </c>
      <c r="M502" t="s">
        <v>104</v>
      </c>
      <c r="N502" t="b">
        <v>0</v>
      </c>
    </row>
    <row r="503" spans="2:14" hidden="1">
      <c r="B503" t="s">
        <v>751</v>
      </c>
      <c r="C503" s="110" t="str">
        <f>RIGHT(B503,3)</f>
        <v>119</v>
      </c>
      <c r="D503" t="s">
        <v>482</v>
      </c>
      <c r="E503" s="110" t="str">
        <f>LEFT(F503,22)</f>
        <v>INTERMEDIATE COVER</v>
      </c>
      <c r="F503" t="s">
        <v>241</v>
      </c>
      <c r="G503" s="110" t="str">
        <f>RIGHT(H503,9)</f>
        <v>012154786</v>
      </c>
      <c r="H503" t="s">
        <v>242</v>
      </c>
      <c r="I503" s="110" t="e">
        <f>Table__10.2.1.2_1_4AHB_v_gen_TBO[[#This Row],[REALDUE]]-Table__10.2.1.2_1_4AHB_v_gen_TBO[[#This Row],[EI_BEG_AGE]]</f>
        <v>#VALUE!</v>
      </c>
      <c r="J503">
        <v>3973.9</v>
      </c>
      <c r="K503" s="110" t="str">
        <f>IF(Table__10.2.1.2_1_4AHB_v_gen_TBO[[#This Row],[NO_OVHLS]]="RC","RC","LC")</f>
        <v>LC</v>
      </c>
      <c r="L503" t="s">
        <v>403</v>
      </c>
      <c r="M503" t="s">
        <v>104</v>
      </c>
      <c r="N503" t="b">
        <v>0</v>
      </c>
    </row>
    <row r="504" spans="2:14" hidden="1">
      <c r="B504" t="s">
        <v>749</v>
      </c>
      <c r="C504" s="110" t="str">
        <f>RIGHT(B504,3)</f>
        <v>187</v>
      </c>
      <c r="D504" t="s">
        <v>490</v>
      </c>
      <c r="E504" s="110" t="str">
        <f>LEFT(F504,22)</f>
        <v>HELICAL GEAR</v>
      </c>
      <c r="F504" t="s">
        <v>254</v>
      </c>
      <c r="G504" s="110" t="str">
        <f>RIGHT(H504,9)</f>
        <v>011669138</v>
      </c>
      <c r="H504" t="s">
        <v>258</v>
      </c>
      <c r="I504" s="110" t="e">
        <f>Table__10.2.1.2_1_4AHB_v_gen_TBO[[#This Row],[REALDUE]]-Table__10.2.1.2_1_4AHB_v_gen_TBO[[#This Row],[EI_BEG_AGE]]</f>
        <v>#VALUE!</v>
      </c>
      <c r="J504">
        <v>5314.7</v>
      </c>
      <c r="K504" s="110" t="str">
        <f>IF(Table__10.2.1.2_1_4AHB_v_gen_TBO[[#This Row],[NO_OVHLS]]="RC","RC","LC")</f>
        <v>LC</v>
      </c>
      <c r="L504" t="s">
        <v>403</v>
      </c>
      <c r="M504" t="s">
        <v>104</v>
      </c>
      <c r="N504" t="b">
        <v>0</v>
      </c>
    </row>
    <row r="505" spans="2:14" hidden="1">
      <c r="B505" t="s">
        <v>751</v>
      </c>
      <c r="C505" s="110" t="str">
        <f>RIGHT(B505,3)</f>
        <v>119</v>
      </c>
      <c r="D505" t="s">
        <v>490</v>
      </c>
      <c r="E505" s="110" t="str">
        <f>LEFT(F505,22)</f>
        <v>HELICAL GEAR</v>
      </c>
      <c r="F505" t="s">
        <v>254</v>
      </c>
      <c r="G505" s="110" t="str">
        <f>RIGHT(H505,9)</f>
        <v>011669138</v>
      </c>
      <c r="H505" t="s">
        <v>258</v>
      </c>
      <c r="I505" s="110" t="e">
        <f>Table__10.2.1.2_1_4AHB_v_gen_TBO[[#This Row],[REALDUE]]-Table__10.2.1.2_1_4AHB_v_gen_TBO[[#This Row],[EI_BEG_AGE]]</f>
        <v>#VALUE!</v>
      </c>
      <c r="J505">
        <v>3973.9</v>
      </c>
      <c r="K505" s="110" t="str">
        <f>IF(Table__10.2.1.2_1_4AHB_v_gen_TBO[[#This Row],[NO_OVHLS]]="RC","RC","LC")</f>
        <v>LC</v>
      </c>
      <c r="L505" t="s">
        <v>403</v>
      </c>
      <c r="M505" t="s">
        <v>104</v>
      </c>
      <c r="N505" t="b">
        <v>0</v>
      </c>
    </row>
    <row r="506" spans="2:14" hidden="1">
      <c r="B506" t="s">
        <v>749</v>
      </c>
      <c r="C506" s="110" t="str">
        <f>RIGHT(B506,3)</f>
        <v>187</v>
      </c>
      <c r="D506" t="s">
        <v>491</v>
      </c>
      <c r="E506" s="110" t="str">
        <f>LEFT(F506,22)</f>
        <v>GEAR SPUR</v>
      </c>
      <c r="F506" t="s">
        <v>259</v>
      </c>
      <c r="G506" s="110" t="str">
        <f>RIGHT(H506,9)</f>
        <v>N PENDING</v>
      </c>
      <c r="H506" t="s">
        <v>106</v>
      </c>
      <c r="I506" s="110" t="e">
        <f>Table__10.2.1.2_1_4AHB_v_gen_TBO[[#This Row],[REALDUE]]-Table__10.2.1.2_1_4AHB_v_gen_TBO[[#This Row],[EI_BEG_AGE]]</f>
        <v>#VALUE!</v>
      </c>
      <c r="J506">
        <v>5314.7</v>
      </c>
      <c r="K506" s="110" t="str">
        <f>IF(Table__10.2.1.2_1_4AHB_v_gen_TBO[[#This Row],[NO_OVHLS]]="RC","RC","LC")</f>
        <v>LC</v>
      </c>
      <c r="L506" t="s">
        <v>403</v>
      </c>
      <c r="M506" t="s">
        <v>104</v>
      </c>
      <c r="N506" t="b">
        <v>0</v>
      </c>
    </row>
    <row r="507" spans="2:14" hidden="1">
      <c r="B507" t="s">
        <v>749</v>
      </c>
      <c r="C507" s="110" t="str">
        <f>RIGHT(B507,3)</f>
        <v>187</v>
      </c>
      <c r="D507" t="s">
        <v>491</v>
      </c>
      <c r="E507" s="110" t="str">
        <f>LEFT(F507,22)</f>
        <v>GEAR SPUR</v>
      </c>
      <c r="F507" t="s">
        <v>259</v>
      </c>
      <c r="G507" s="110" t="str">
        <f>RIGHT(H507,9)</f>
        <v>N PENDING</v>
      </c>
      <c r="H507" t="s">
        <v>106</v>
      </c>
      <c r="I507" s="110" t="e">
        <f>Table__10.2.1.2_1_4AHB_v_gen_TBO[[#This Row],[REALDUE]]-Table__10.2.1.2_1_4AHB_v_gen_TBO[[#This Row],[EI_BEG_AGE]]</f>
        <v>#VALUE!</v>
      </c>
      <c r="J507">
        <v>5314.7</v>
      </c>
      <c r="K507" s="110" t="str">
        <f>IF(Table__10.2.1.2_1_4AHB_v_gen_TBO[[#This Row],[NO_OVHLS]]="RC","RC","LC")</f>
        <v>LC</v>
      </c>
      <c r="L507" t="s">
        <v>403</v>
      </c>
      <c r="M507" t="s">
        <v>104</v>
      </c>
      <c r="N507" t="b">
        <v>0</v>
      </c>
    </row>
    <row r="508" spans="2:14" hidden="1">
      <c r="B508" t="s">
        <v>749</v>
      </c>
      <c r="C508" s="110" t="str">
        <f>RIGHT(B508,3)</f>
        <v>187</v>
      </c>
      <c r="D508" t="s">
        <v>483</v>
      </c>
      <c r="E508" s="110" t="str">
        <f>LEFT(F508,22)</f>
        <v>INPUT FLANGE</v>
      </c>
      <c r="F508" t="s">
        <v>244</v>
      </c>
      <c r="G508" s="110" t="str">
        <f>RIGHT(H508,9)</f>
        <v>011706959</v>
      </c>
      <c r="H508" t="s">
        <v>245</v>
      </c>
      <c r="I508" s="110" t="e">
        <f>Table__10.2.1.2_1_4AHB_v_gen_TBO[[#This Row],[REALDUE]]-Table__10.2.1.2_1_4AHB_v_gen_TBO[[#This Row],[EI_BEG_AGE]]</f>
        <v>#VALUE!</v>
      </c>
      <c r="J508">
        <v>5314.7</v>
      </c>
      <c r="K508" s="110" t="str">
        <f>IF(Table__10.2.1.2_1_4AHB_v_gen_TBO[[#This Row],[NO_OVHLS]]="RC","RC","LC")</f>
        <v>LC</v>
      </c>
      <c r="L508" t="s">
        <v>403</v>
      </c>
      <c r="M508" t="s">
        <v>104</v>
      </c>
      <c r="N508" t="b">
        <v>0</v>
      </c>
    </row>
    <row r="509" spans="2:14" hidden="1">
      <c r="B509" t="s">
        <v>749</v>
      </c>
      <c r="C509" s="110" t="str">
        <f>RIGHT(B509,3)</f>
        <v>187</v>
      </c>
      <c r="D509" t="s">
        <v>483</v>
      </c>
      <c r="E509" s="110" t="str">
        <f>LEFT(F509,22)</f>
        <v>INPUT FLANGE</v>
      </c>
      <c r="F509" t="s">
        <v>244</v>
      </c>
      <c r="G509" s="110" t="str">
        <f>RIGHT(H509,9)</f>
        <v>011706959</v>
      </c>
      <c r="H509" t="s">
        <v>245</v>
      </c>
      <c r="I509" s="110" t="e">
        <f>Table__10.2.1.2_1_4AHB_v_gen_TBO[[#This Row],[REALDUE]]-Table__10.2.1.2_1_4AHB_v_gen_TBO[[#This Row],[EI_BEG_AGE]]</f>
        <v>#VALUE!</v>
      </c>
      <c r="J509">
        <v>5314.7</v>
      </c>
      <c r="K509" s="110" t="str">
        <f>IF(Table__10.2.1.2_1_4AHB_v_gen_TBO[[#This Row],[NO_OVHLS]]="RC","RC","LC")</f>
        <v>LC</v>
      </c>
      <c r="L509" t="s">
        <v>403</v>
      </c>
      <c r="M509" t="s">
        <v>104</v>
      </c>
      <c r="N509" t="b">
        <v>0</v>
      </c>
    </row>
    <row r="510" spans="2:14" hidden="1">
      <c r="B510" t="s">
        <v>753</v>
      </c>
      <c r="C510" s="110" t="str">
        <f>RIGHT(B510,3)</f>
        <v>141</v>
      </c>
      <c r="D510" t="s">
        <v>507</v>
      </c>
      <c r="E510" s="110" t="str">
        <f>LEFT(F510,22)</f>
        <v>HOUSING ASSY</v>
      </c>
      <c r="F510" t="s">
        <v>235</v>
      </c>
      <c r="G510" s="110" t="str">
        <f>RIGHT(H510,9)</f>
        <v>013741946</v>
      </c>
      <c r="H510" t="s">
        <v>285</v>
      </c>
      <c r="I510" s="110" t="e">
        <f>Table__10.2.1.2_1_4AHB_v_gen_TBO[[#This Row],[REALDUE]]-Table__10.2.1.2_1_4AHB_v_gen_TBO[[#This Row],[EI_BEG_AGE]]</f>
        <v>#VALUE!</v>
      </c>
      <c r="J510">
        <v>4733.5</v>
      </c>
      <c r="K510" s="110" t="str">
        <f>IF(Table__10.2.1.2_1_4AHB_v_gen_TBO[[#This Row],[NO_OVHLS]]="RC","RC","LC")</f>
        <v>LC</v>
      </c>
      <c r="L510" t="s">
        <v>403</v>
      </c>
      <c r="M510" t="s">
        <v>104</v>
      </c>
      <c r="N510" t="b">
        <v>0</v>
      </c>
    </row>
    <row r="511" spans="2:14" hidden="1">
      <c r="B511" t="s">
        <v>749</v>
      </c>
      <c r="C511" s="110" t="str">
        <f>RIGHT(B511,3)</f>
        <v>187</v>
      </c>
      <c r="D511" t="s">
        <v>508</v>
      </c>
      <c r="E511" s="110" t="str">
        <f>LEFT(F511,22)</f>
        <v>HOUSING ASSY</v>
      </c>
      <c r="F511" t="s">
        <v>235</v>
      </c>
      <c r="G511" s="110" t="str">
        <f>RIGHT(H511,9)</f>
        <v>015164024</v>
      </c>
      <c r="H511" t="s">
        <v>286</v>
      </c>
      <c r="I511" s="110" t="e">
        <f>Table__10.2.1.2_1_4AHB_v_gen_TBO[[#This Row],[REALDUE]]-Table__10.2.1.2_1_4AHB_v_gen_TBO[[#This Row],[EI_BEG_AGE]]</f>
        <v>#VALUE!</v>
      </c>
      <c r="J511">
        <v>5314.7</v>
      </c>
      <c r="K511" s="110" t="str">
        <f>IF(Table__10.2.1.2_1_4AHB_v_gen_TBO[[#This Row],[NO_OVHLS]]="RC","RC","LC")</f>
        <v>LC</v>
      </c>
      <c r="L511" t="s">
        <v>403</v>
      </c>
      <c r="M511" t="s">
        <v>104</v>
      </c>
      <c r="N511" t="b">
        <v>0</v>
      </c>
    </row>
    <row r="512" spans="2:14" hidden="1">
      <c r="B512" t="s">
        <v>753</v>
      </c>
      <c r="C512" s="110" t="str">
        <f>RIGHT(B512,3)</f>
        <v>141</v>
      </c>
      <c r="D512" t="s">
        <v>503</v>
      </c>
      <c r="E512" s="110" t="str">
        <f>LEFT(F512,22)</f>
        <v>COVER ASSY</v>
      </c>
      <c r="F512" t="s">
        <v>278</v>
      </c>
      <c r="G512" s="110" t="str">
        <f>RIGHT(H512,9)</f>
        <v>013742947</v>
      </c>
      <c r="H512" t="s">
        <v>279</v>
      </c>
      <c r="I512" s="110" t="e">
        <f>Table__10.2.1.2_1_4AHB_v_gen_TBO[[#This Row],[REALDUE]]-Table__10.2.1.2_1_4AHB_v_gen_TBO[[#This Row],[EI_BEG_AGE]]</f>
        <v>#VALUE!</v>
      </c>
      <c r="J512">
        <v>4733.5</v>
      </c>
      <c r="K512" s="110" t="str">
        <f>IF(Table__10.2.1.2_1_4AHB_v_gen_TBO[[#This Row],[NO_OVHLS]]="RC","RC","LC")</f>
        <v>LC</v>
      </c>
      <c r="L512" t="s">
        <v>403</v>
      </c>
      <c r="M512" t="s">
        <v>104</v>
      </c>
      <c r="N512" t="b">
        <v>0</v>
      </c>
    </row>
    <row r="513" spans="2:14" hidden="1">
      <c r="B513" t="s">
        <v>749</v>
      </c>
      <c r="C513" s="110" t="str">
        <f>RIGHT(B513,3)</f>
        <v>187</v>
      </c>
      <c r="D513" t="s">
        <v>504</v>
      </c>
      <c r="E513" s="110" t="str">
        <f>LEFT(F513,22)</f>
        <v>COVER ASSY</v>
      </c>
      <c r="F513" t="s">
        <v>278</v>
      </c>
      <c r="G513" s="110" t="str">
        <f>RIGHT(H513,9)</f>
        <v>015166817</v>
      </c>
      <c r="H513" t="s">
        <v>280</v>
      </c>
      <c r="I513" s="110" t="e">
        <f>Table__10.2.1.2_1_4AHB_v_gen_TBO[[#This Row],[REALDUE]]-Table__10.2.1.2_1_4AHB_v_gen_TBO[[#This Row],[EI_BEG_AGE]]</f>
        <v>#VALUE!</v>
      </c>
      <c r="J513">
        <v>5314.7</v>
      </c>
      <c r="K513" s="110" t="str">
        <f>IF(Table__10.2.1.2_1_4AHB_v_gen_TBO[[#This Row],[NO_OVHLS]]="RC","RC","LC")</f>
        <v>LC</v>
      </c>
      <c r="L513" t="s">
        <v>403</v>
      </c>
      <c r="M513" t="s">
        <v>104</v>
      </c>
      <c r="N513" t="b">
        <v>0</v>
      </c>
    </row>
    <row r="514" spans="2:14" hidden="1">
      <c r="B514" t="s">
        <v>749</v>
      </c>
      <c r="C514" s="110" t="str">
        <f>RIGHT(B514,3)</f>
        <v>187</v>
      </c>
      <c r="D514" t="s">
        <v>505</v>
      </c>
      <c r="E514" s="110" t="str">
        <f>LEFT(F514,22)</f>
        <v>GEARSHAFT</v>
      </c>
      <c r="F514" t="s">
        <v>281</v>
      </c>
      <c r="G514" s="110" t="str">
        <f>RIGHT(H514,9)</f>
        <v>011657021</v>
      </c>
      <c r="H514" t="s">
        <v>282</v>
      </c>
      <c r="I514" s="110" t="e">
        <f>Table__10.2.1.2_1_4AHB_v_gen_TBO[[#This Row],[REALDUE]]-Table__10.2.1.2_1_4AHB_v_gen_TBO[[#This Row],[EI_BEG_AGE]]</f>
        <v>#VALUE!</v>
      </c>
      <c r="J514">
        <v>5314.7</v>
      </c>
      <c r="K514" s="110" t="str">
        <f>IF(Table__10.2.1.2_1_4AHB_v_gen_TBO[[#This Row],[NO_OVHLS]]="RC","RC","LC")</f>
        <v>LC</v>
      </c>
      <c r="L514" t="s">
        <v>403</v>
      </c>
      <c r="M514" t="s">
        <v>104</v>
      </c>
      <c r="N514" t="b">
        <v>0</v>
      </c>
    </row>
    <row r="515" spans="2:14" hidden="1">
      <c r="B515" t="s">
        <v>753</v>
      </c>
      <c r="C515" s="110" t="str">
        <f>RIGHT(B515,3)</f>
        <v>141</v>
      </c>
      <c r="D515" t="s">
        <v>505</v>
      </c>
      <c r="E515" s="110" t="str">
        <f>LEFT(F515,22)</f>
        <v>GEARSHAFT</v>
      </c>
      <c r="F515" t="s">
        <v>281</v>
      </c>
      <c r="G515" s="110" t="str">
        <f>RIGHT(H515,9)</f>
        <v>011657021</v>
      </c>
      <c r="H515" t="s">
        <v>282</v>
      </c>
      <c r="I515" s="110" t="e">
        <f>Table__10.2.1.2_1_4AHB_v_gen_TBO[[#This Row],[REALDUE]]-Table__10.2.1.2_1_4AHB_v_gen_TBO[[#This Row],[EI_BEG_AGE]]</f>
        <v>#VALUE!</v>
      </c>
      <c r="J515">
        <v>4733.5</v>
      </c>
      <c r="K515" s="110" t="str">
        <f>IF(Table__10.2.1.2_1_4AHB_v_gen_TBO[[#This Row],[NO_OVHLS]]="RC","RC","LC")</f>
        <v>LC</v>
      </c>
      <c r="L515" t="s">
        <v>403</v>
      </c>
      <c r="M515" t="s">
        <v>104</v>
      </c>
      <c r="N515" t="b">
        <v>0</v>
      </c>
    </row>
    <row r="516" spans="2:14" hidden="1">
      <c r="B516" t="s">
        <v>753</v>
      </c>
      <c r="C516" s="110" t="str">
        <f>RIGHT(B516,3)</f>
        <v>141</v>
      </c>
      <c r="D516" t="s">
        <v>517</v>
      </c>
      <c r="E516" s="110" t="str">
        <f>LEFT(F516,22)</f>
        <v>HOUSING ASSY</v>
      </c>
      <c r="F516" t="s">
        <v>235</v>
      </c>
      <c r="G516" s="110" t="str">
        <f>RIGHT(H516,9)</f>
        <v>014401711</v>
      </c>
      <c r="H516" t="s">
        <v>925</v>
      </c>
      <c r="I516" s="110" t="e">
        <f>Table__10.2.1.2_1_4AHB_v_gen_TBO[[#This Row],[REALDUE]]-Table__10.2.1.2_1_4AHB_v_gen_TBO[[#This Row],[EI_BEG_AGE]]</f>
        <v>#VALUE!</v>
      </c>
      <c r="J516">
        <v>4733.5</v>
      </c>
      <c r="K516" s="110" t="str">
        <f>IF(Table__10.2.1.2_1_4AHB_v_gen_TBO[[#This Row],[NO_OVHLS]]="RC","RC","LC")</f>
        <v>LC</v>
      </c>
      <c r="L516" t="s">
        <v>403</v>
      </c>
      <c r="M516" t="s">
        <v>104</v>
      </c>
      <c r="N516" t="b">
        <v>0</v>
      </c>
    </row>
    <row r="517" spans="2:14" hidden="1">
      <c r="B517" t="s">
        <v>749</v>
      </c>
      <c r="C517" s="110" t="str">
        <f>RIGHT(B517,3)</f>
        <v>187</v>
      </c>
      <c r="D517" t="s">
        <v>518</v>
      </c>
      <c r="E517" s="110" t="str">
        <f>LEFT(F517,22)</f>
        <v>HOUSING ASSY</v>
      </c>
      <c r="F517" t="s">
        <v>235</v>
      </c>
      <c r="G517" s="110" t="str">
        <f>RIGHT(H517,9)</f>
        <v>015333883</v>
      </c>
      <c r="H517" t="s">
        <v>298</v>
      </c>
      <c r="I517" s="110" t="e">
        <f>Table__10.2.1.2_1_4AHB_v_gen_TBO[[#This Row],[REALDUE]]-Table__10.2.1.2_1_4AHB_v_gen_TBO[[#This Row],[EI_BEG_AGE]]</f>
        <v>#VALUE!</v>
      </c>
      <c r="J517">
        <v>5314.7</v>
      </c>
      <c r="K517" s="110" t="str">
        <f>IF(Table__10.2.1.2_1_4AHB_v_gen_TBO[[#This Row],[NO_OVHLS]]="RC","RC","LC")</f>
        <v>LC</v>
      </c>
      <c r="L517" t="s">
        <v>403</v>
      </c>
      <c r="M517" t="s">
        <v>104</v>
      </c>
      <c r="N517" t="b">
        <v>0</v>
      </c>
    </row>
    <row r="518" spans="2:14" hidden="1">
      <c r="B518" t="s">
        <v>751</v>
      </c>
      <c r="C518" s="110" t="str">
        <f>RIGHT(B518,3)</f>
        <v>119</v>
      </c>
      <c r="D518" t="s">
        <v>518</v>
      </c>
      <c r="E518" s="110" t="str">
        <f>LEFT(F518,22)</f>
        <v>HOUSING ASSY</v>
      </c>
      <c r="F518" t="s">
        <v>235</v>
      </c>
      <c r="G518" s="110" t="str">
        <f>RIGHT(H518,9)</f>
        <v>015333883</v>
      </c>
      <c r="H518" t="s">
        <v>298</v>
      </c>
      <c r="I518" s="110" t="e">
        <f>Table__10.2.1.2_1_4AHB_v_gen_TBO[[#This Row],[REALDUE]]-Table__10.2.1.2_1_4AHB_v_gen_TBO[[#This Row],[EI_BEG_AGE]]</f>
        <v>#VALUE!</v>
      </c>
      <c r="J518">
        <v>3973.9</v>
      </c>
      <c r="K518" s="110" t="str">
        <f>IF(Table__10.2.1.2_1_4AHB_v_gen_TBO[[#This Row],[NO_OVHLS]]="RC","RC","LC")</f>
        <v>LC</v>
      </c>
      <c r="L518" t="s">
        <v>403</v>
      </c>
      <c r="M518" t="s">
        <v>104</v>
      </c>
      <c r="N518" t="b">
        <v>0</v>
      </c>
    </row>
    <row r="519" spans="2:14" hidden="1">
      <c r="B519" t="s">
        <v>753</v>
      </c>
      <c r="C519" s="110" t="str">
        <f>RIGHT(B519,3)</f>
        <v>141</v>
      </c>
      <c r="D519" t="s">
        <v>511</v>
      </c>
      <c r="E519" s="110" t="str">
        <f>LEFT(F519,22)</f>
        <v>DRIVE FLANGE</v>
      </c>
      <c r="F519" t="s">
        <v>291</v>
      </c>
      <c r="G519" s="110" t="str">
        <f>RIGHT(H519,9)</f>
        <v>011710506</v>
      </c>
      <c r="H519" t="s">
        <v>292</v>
      </c>
      <c r="I519" s="110" t="e">
        <f>Table__10.2.1.2_1_4AHB_v_gen_TBO[[#This Row],[REALDUE]]-Table__10.2.1.2_1_4AHB_v_gen_TBO[[#This Row],[EI_BEG_AGE]]</f>
        <v>#VALUE!</v>
      </c>
      <c r="J519">
        <v>4733.5</v>
      </c>
      <c r="K519" s="110" t="str">
        <f>IF(Table__10.2.1.2_1_4AHB_v_gen_TBO[[#This Row],[NO_OVHLS]]="RC","RC","LC")</f>
        <v>LC</v>
      </c>
      <c r="L519" t="s">
        <v>403</v>
      </c>
      <c r="M519" t="s">
        <v>104</v>
      </c>
      <c r="N519" t="b">
        <v>0</v>
      </c>
    </row>
    <row r="520" spans="2:14" hidden="1">
      <c r="B520" t="s">
        <v>749</v>
      </c>
      <c r="C520" s="110" t="str">
        <f>RIGHT(B520,3)</f>
        <v>187</v>
      </c>
      <c r="D520" t="s">
        <v>511</v>
      </c>
      <c r="E520" s="110" t="str">
        <f>LEFT(F520,22)</f>
        <v>DRIVE FLANGE</v>
      </c>
      <c r="F520" t="s">
        <v>291</v>
      </c>
      <c r="G520" s="110" t="str">
        <f>RIGHT(H520,9)</f>
        <v>011710506</v>
      </c>
      <c r="H520" t="s">
        <v>292</v>
      </c>
      <c r="I520" s="110" t="e">
        <f>Table__10.2.1.2_1_4AHB_v_gen_TBO[[#This Row],[REALDUE]]-Table__10.2.1.2_1_4AHB_v_gen_TBO[[#This Row],[EI_BEG_AGE]]</f>
        <v>#VALUE!</v>
      </c>
      <c r="J520">
        <v>5314.7</v>
      </c>
      <c r="K520" s="110" t="str">
        <f>IF(Table__10.2.1.2_1_4AHB_v_gen_TBO[[#This Row],[NO_OVHLS]]="RC","RC","LC")</f>
        <v>LC</v>
      </c>
      <c r="L520" t="s">
        <v>403</v>
      </c>
      <c r="M520" t="s">
        <v>104</v>
      </c>
      <c r="N520" t="b">
        <v>0</v>
      </c>
    </row>
    <row r="521" spans="2:14" hidden="1">
      <c r="B521" t="s">
        <v>753</v>
      </c>
      <c r="C521" s="110" t="str">
        <f>RIGHT(B521,3)</f>
        <v>141</v>
      </c>
      <c r="D521" t="s">
        <v>511</v>
      </c>
      <c r="E521" s="110" t="str">
        <f>LEFT(F521,22)</f>
        <v>DRIVE FLANGE</v>
      </c>
      <c r="F521" t="s">
        <v>291</v>
      </c>
      <c r="G521" s="110" t="str">
        <f>RIGHT(H521,9)</f>
        <v>011710506</v>
      </c>
      <c r="H521" t="s">
        <v>292</v>
      </c>
      <c r="I521" s="110" t="e">
        <f>Table__10.2.1.2_1_4AHB_v_gen_TBO[[#This Row],[REALDUE]]-Table__10.2.1.2_1_4AHB_v_gen_TBO[[#This Row],[EI_BEG_AGE]]</f>
        <v>#VALUE!</v>
      </c>
      <c r="J521">
        <v>4733.5</v>
      </c>
      <c r="K521" s="110" t="str">
        <f>IF(Table__10.2.1.2_1_4AHB_v_gen_TBO[[#This Row],[NO_OVHLS]]="RC","RC","LC")</f>
        <v>LC</v>
      </c>
      <c r="L521" t="s">
        <v>403</v>
      </c>
      <c r="M521" t="s">
        <v>104</v>
      </c>
      <c r="N521" t="b">
        <v>0</v>
      </c>
    </row>
    <row r="522" spans="2:14" hidden="1">
      <c r="B522" t="s">
        <v>749</v>
      </c>
      <c r="C522" s="110" t="str">
        <f>RIGHT(B522,3)</f>
        <v>187</v>
      </c>
      <c r="D522" t="s">
        <v>511</v>
      </c>
      <c r="E522" s="110" t="str">
        <f>LEFT(F522,22)</f>
        <v>DRIVE FLANGE</v>
      </c>
      <c r="F522" t="s">
        <v>291</v>
      </c>
      <c r="G522" s="110" t="str">
        <f>RIGHT(H522,9)</f>
        <v>011710506</v>
      </c>
      <c r="H522" t="s">
        <v>292</v>
      </c>
      <c r="I522" s="110" t="e">
        <f>Table__10.2.1.2_1_4AHB_v_gen_TBO[[#This Row],[REALDUE]]-Table__10.2.1.2_1_4AHB_v_gen_TBO[[#This Row],[EI_BEG_AGE]]</f>
        <v>#VALUE!</v>
      </c>
      <c r="J522">
        <v>5314.7</v>
      </c>
      <c r="K522" s="110" t="str">
        <f>IF(Table__10.2.1.2_1_4AHB_v_gen_TBO[[#This Row],[NO_OVHLS]]="RC","RC","LC")</f>
        <v>LC</v>
      </c>
      <c r="L522" t="s">
        <v>403</v>
      </c>
      <c r="M522" t="s">
        <v>104</v>
      </c>
      <c r="N522" t="b">
        <v>0</v>
      </c>
    </row>
    <row r="523" spans="2:14" hidden="1">
      <c r="B523" t="s">
        <v>751</v>
      </c>
      <c r="C523" s="110" t="str">
        <f>RIGHT(B523,3)</f>
        <v>119</v>
      </c>
      <c r="D523" t="s">
        <v>511</v>
      </c>
      <c r="E523" s="110" t="str">
        <f>LEFT(F523,22)</f>
        <v>DRIVE FLANGE</v>
      </c>
      <c r="F523" t="s">
        <v>291</v>
      </c>
      <c r="G523" s="110" t="str">
        <f>RIGHT(H523,9)</f>
        <v>011710506</v>
      </c>
      <c r="H523" t="s">
        <v>292</v>
      </c>
      <c r="I523" s="110" t="e">
        <f>Table__10.2.1.2_1_4AHB_v_gen_TBO[[#This Row],[REALDUE]]-Table__10.2.1.2_1_4AHB_v_gen_TBO[[#This Row],[EI_BEG_AGE]]</f>
        <v>#VALUE!</v>
      </c>
      <c r="J523">
        <v>3973.9</v>
      </c>
      <c r="K523" s="110" t="str">
        <f>IF(Table__10.2.1.2_1_4AHB_v_gen_TBO[[#This Row],[NO_OVHLS]]="RC","RC","LC")</f>
        <v>LC</v>
      </c>
      <c r="L523" t="s">
        <v>403</v>
      </c>
      <c r="M523" t="s">
        <v>104</v>
      </c>
      <c r="N523" t="b">
        <v>0</v>
      </c>
    </row>
    <row r="524" spans="2:14" hidden="1">
      <c r="B524" t="s">
        <v>751</v>
      </c>
      <c r="C524" s="110" t="str">
        <f>RIGHT(B524,3)</f>
        <v>119</v>
      </c>
      <c r="D524" t="s">
        <v>511</v>
      </c>
      <c r="E524" s="110" t="str">
        <f>LEFT(F524,22)</f>
        <v>DRIVE FLANGE</v>
      </c>
      <c r="F524" t="s">
        <v>291</v>
      </c>
      <c r="G524" s="110" t="str">
        <f>RIGHT(H524,9)</f>
        <v>011710506</v>
      </c>
      <c r="H524" t="s">
        <v>292</v>
      </c>
      <c r="I524" s="110" t="e">
        <f>Table__10.2.1.2_1_4AHB_v_gen_TBO[[#This Row],[REALDUE]]-Table__10.2.1.2_1_4AHB_v_gen_TBO[[#This Row],[EI_BEG_AGE]]</f>
        <v>#VALUE!</v>
      </c>
      <c r="J524">
        <v>3973.9</v>
      </c>
      <c r="K524" s="110" t="str">
        <f>IF(Table__10.2.1.2_1_4AHB_v_gen_TBO[[#This Row],[NO_OVHLS]]="RC","RC","LC")</f>
        <v>LC</v>
      </c>
      <c r="L524" t="s">
        <v>403</v>
      </c>
      <c r="M524" t="s">
        <v>104</v>
      </c>
      <c r="N524" t="b">
        <v>0</v>
      </c>
    </row>
    <row r="525" spans="2:14" hidden="1">
      <c r="B525" t="s">
        <v>753</v>
      </c>
      <c r="C525" s="110" t="str">
        <f>RIGHT(B525,3)</f>
        <v>141</v>
      </c>
      <c r="D525" t="s">
        <v>512</v>
      </c>
      <c r="E525" s="110" t="str">
        <f>LEFT(F525,22)</f>
        <v>DRIVE FLANGE</v>
      </c>
      <c r="F525" t="s">
        <v>291</v>
      </c>
      <c r="G525" s="110" t="str">
        <f>RIGHT(H525,9)</f>
        <v>011650999</v>
      </c>
      <c r="H525" t="s">
        <v>293</v>
      </c>
      <c r="I525" s="110" t="e">
        <f>Table__10.2.1.2_1_4AHB_v_gen_TBO[[#This Row],[REALDUE]]-Table__10.2.1.2_1_4AHB_v_gen_TBO[[#This Row],[EI_BEG_AGE]]</f>
        <v>#VALUE!</v>
      </c>
      <c r="J525">
        <v>4733.5</v>
      </c>
      <c r="K525" s="110" t="str">
        <f>IF(Table__10.2.1.2_1_4AHB_v_gen_TBO[[#This Row],[NO_OVHLS]]="RC","RC","LC")</f>
        <v>LC</v>
      </c>
      <c r="L525" t="s">
        <v>403</v>
      </c>
      <c r="M525" t="s">
        <v>104</v>
      </c>
      <c r="N525" t="b">
        <v>0</v>
      </c>
    </row>
    <row r="526" spans="2:14" hidden="1">
      <c r="B526" t="s">
        <v>749</v>
      </c>
      <c r="C526" s="110" t="str">
        <f>RIGHT(B526,3)</f>
        <v>187</v>
      </c>
      <c r="D526" t="s">
        <v>512</v>
      </c>
      <c r="E526" s="110" t="str">
        <f>LEFT(F526,22)</f>
        <v>DRIVE FLANGE</v>
      </c>
      <c r="F526" t="s">
        <v>291</v>
      </c>
      <c r="G526" s="110" t="str">
        <f>RIGHT(H526,9)</f>
        <v>011650999</v>
      </c>
      <c r="H526" t="s">
        <v>293</v>
      </c>
      <c r="I526" s="110" t="e">
        <f>Table__10.2.1.2_1_4AHB_v_gen_TBO[[#This Row],[REALDUE]]-Table__10.2.1.2_1_4AHB_v_gen_TBO[[#This Row],[EI_BEG_AGE]]</f>
        <v>#VALUE!</v>
      </c>
      <c r="J526">
        <v>5314.7</v>
      </c>
      <c r="K526" s="110" t="str">
        <f>IF(Table__10.2.1.2_1_4AHB_v_gen_TBO[[#This Row],[NO_OVHLS]]="RC","RC","LC")</f>
        <v>LC</v>
      </c>
      <c r="L526" t="s">
        <v>403</v>
      </c>
      <c r="M526" t="s">
        <v>104</v>
      </c>
      <c r="N526" t="b">
        <v>0</v>
      </c>
    </row>
    <row r="527" spans="2:14" hidden="1">
      <c r="B527" t="s">
        <v>751</v>
      </c>
      <c r="C527" s="110" t="str">
        <f>RIGHT(B527,3)</f>
        <v>119</v>
      </c>
      <c r="D527" t="s">
        <v>512</v>
      </c>
      <c r="E527" s="110" t="str">
        <f>LEFT(F527,22)</f>
        <v>DRIVE FLANGE</v>
      </c>
      <c r="F527" t="s">
        <v>291</v>
      </c>
      <c r="G527" s="110" t="str">
        <f>RIGHT(H527,9)</f>
        <v>011650999</v>
      </c>
      <c r="H527" t="s">
        <v>293</v>
      </c>
      <c r="I527" s="110" t="e">
        <f>Table__10.2.1.2_1_4AHB_v_gen_TBO[[#This Row],[REALDUE]]-Table__10.2.1.2_1_4AHB_v_gen_TBO[[#This Row],[EI_BEG_AGE]]</f>
        <v>#VALUE!</v>
      </c>
      <c r="J527">
        <v>3973.9</v>
      </c>
      <c r="K527" s="110" t="str">
        <f>IF(Table__10.2.1.2_1_4AHB_v_gen_TBO[[#This Row],[NO_OVHLS]]="RC","RC","LC")</f>
        <v>LC</v>
      </c>
      <c r="L527" t="s">
        <v>403</v>
      </c>
      <c r="M527" t="s">
        <v>104</v>
      </c>
      <c r="N527" t="b">
        <v>0</v>
      </c>
    </row>
    <row r="528" spans="2:14" hidden="1">
      <c r="B528" t="s">
        <v>753</v>
      </c>
      <c r="C528" s="110" t="str">
        <f>RIGHT(B528,3)</f>
        <v>141</v>
      </c>
      <c r="D528" t="s">
        <v>617</v>
      </c>
      <c r="E528" s="110" t="str">
        <f>LEFT(F528,22)</f>
        <v>HOUSING ASSY</v>
      </c>
      <c r="F528" t="s">
        <v>235</v>
      </c>
      <c r="G528" s="110" t="str">
        <f>RIGHT(H528,9)</f>
        <v>011715289</v>
      </c>
      <c r="H528" t="s">
        <v>618</v>
      </c>
      <c r="I528" s="110" t="e">
        <f>Table__10.2.1.2_1_4AHB_v_gen_TBO[[#This Row],[REALDUE]]-Table__10.2.1.2_1_4AHB_v_gen_TBO[[#This Row],[EI_BEG_AGE]]</f>
        <v>#VALUE!</v>
      </c>
      <c r="J528">
        <v>4733.5</v>
      </c>
      <c r="K528" s="110" t="str">
        <f>IF(Table__10.2.1.2_1_4AHB_v_gen_TBO[[#This Row],[NO_OVHLS]]="RC","RC","LC")</f>
        <v>LC</v>
      </c>
      <c r="L528" t="s">
        <v>403</v>
      </c>
      <c r="M528" t="s">
        <v>104</v>
      </c>
      <c r="N528" t="b">
        <v>0</v>
      </c>
    </row>
    <row r="529" spans="2:14" hidden="1">
      <c r="B529" t="s">
        <v>749</v>
      </c>
      <c r="C529" s="110" t="str">
        <f>RIGHT(B529,3)</f>
        <v>187</v>
      </c>
      <c r="D529" t="s">
        <v>513</v>
      </c>
      <c r="E529" s="110" t="str">
        <f>LEFT(F529,22)</f>
        <v>HOUSING ASSY</v>
      </c>
      <c r="F529" t="s">
        <v>235</v>
      </c>
      <c r="G529" s="110" t="str">
        <f>RIGHT(H529,9)</f>
        <v>015391865</v>
      </c>
      <c r="H529" t="s">
        <v>294</v>
      </c>
      <c r="I529" s="110" t="e">
        <f>Table__10.2.1.2_1_4AHB_v_gen_TBO[[#This Row],[REALDUE]]-Table__10.2.1.2_1_4AHB_v_gen_TBO[[#This Row],[EI_BEG_AGE]]</f>
        <v>#VALUE!</v>
      </c>
      <c r="J529">
        <v>5314.7</v>
      </c>
      <c r="K529" s="110" t="str">
        <f>IF(Table__10.2.1.2_1_4AHB_v_gen_TBO[[#This Row],[NO_OVHLS]]="RC","RC","LC")</f>
        <v>LC</v>
      </c>
      <c r="L529" t="s">
        <v>403</v>
      </c>
      <c r="M529" t="s">
        <v>104</v>
      </c>
      <c r="N529" t="b">
        <v>0</v>
      </c>
    </row>
    <row r="530" spans="2:14" hidden="1">
      <c r="B530" t="s">
        <v>751</v>
      </c>
      <c r="C530" s="110" t="str">
        <f>RIGHT(B530,3)</f>
        <v>119</v>
      </c>
      <c r="D530" t="s">
        <v>513</v>
      </c>
      <c r="E530" s="110" t="str">
        <f>LEFT(F530,22)</f>
        <v>HOUSING ASSY</v>
      </c>
      <c r="F530" t="s">
        <v>235</v>
      </c>
      <c r="G530" s="110" t="str">
        <f>RIGHT(H530,9)</f>
        <v>015391865</v>
      </c>
      <c r="H530" t="s">
        <v>294</v>
      </c>
      <c r="I530" s="110" t="e">
        <f>Table__10.2.1.2_1_4AHB_v_gen_TBO[[#This Row],[REALDUE]]-Table__10.2.1.2_1_4AHB_v_gen_TBO[[#This Row],[EI_BEG_AGE]]</f>
        <v>#VALUE!</v>
      </c>
      <c r="J530">
        <v>3973.9</v>
      </c>
      <c r="K530" s="110" t="str">
        <f>IF(Table__10.2.1.2_1_4AHB_v_gen_TBO[[#This Row],[NO_OVHLS]]="RC","RC","LC")</f>
        <v>LC</v>
      </c>
      <c r="L530" t="s">
        <v>403</v>
      </c>
      <c r="M530" t="s">
        <v>104</v>
      </c>
      <c r="N530" t="b">
        <v>0</v>
      </c>
    </row>
    <row r="531" spans="2:14" hidden="1">
      <c r="B531" t="s">
        <v>751</v>
      </c>
      <c r="C531" s="110" t="str">
        <f>RIGHT(B531,3)</f>
        <v>119</v>
      </c>
      <c r="D531" t="s">
        <v>527</v>
      </c>
      <c r="E531" s="110" t="str">
        <f>LEFT(F531,22)</f>
        <v>TR GEARBOX HOUSING ASS</v>
      </c>
      <c r="F531" t="s">
        <v>308</v>
      </c>
      <c r="G531" s="110" t="str">
        <f>RIGHT(H531,9)</f>
        <v>014338510</v>
      </c>
      <c r="H531" t="s">
        <v>309</v>
      </c>
      <c r="I531" s="110" t="e">
        <f>Table__10.2.1.2_1_4AHB_v_gen_TBO[[#This Row],[REALDUE]]-Table__10.2.1.2_1_4AHB_v_gen_TBO[[#This Row],[EI_BEG_AGE]]</f>
        <v>#VALUE!</v>
      </c>
      <c r="J531">
        <v>3973.9</v>
      </c>
      <c r="K531" s="110" t="str">
        <f>IF(Table__10.2.1.2_1_4AHB_v_gen_TBO[[#This Row],[NO_OVHLS]]="RC","RC","LC")</f>
        <v>LC</v>
      </c>
      <c r="L531" t="s">
        <v>403</v>
      </c>
      <c r="M531" t="s">
        <v>104</v>
      </c>
      <c r="N531" t="b">
        <v>0</v>
      </c>
    </row>
    <row r="532" spans="2:14" hidden="1">
      <c r="B532" t="s">
        <v>753</v>
      </c>
      <c r="C532" s="110" t="str">
        <f>RIGHT(B532,3)</f>
        <v>141</v>
      </c>
      <c r="D532" t="s">
        <v>527</v>
      </c>
      <c r="E532" s="110" t="str">
        <f>LEFT(F532,22)</f>
        <v>TR GEARBOX HOUSING ASS</v>
      </c>
      <c r="F532" t="s">
        <v>308</v>
      </c>
      <c r="G532" s="110" t="str">
        <f>RIGHT(H532,9)</f>
        <v>014338510</v>
      </c>
      <c r="H532" t="s">
        <v>309</v>
      </c>
      <c r="I532" s="110" t="e">
        <f>Table__10.2.1.2_1_4AHB_v_gen_TBO[[#This Row],[REALDUE]]-Table__10.2.1.2_1_4AHB_v_gen_TBO[[#This Row],[EI_BEG_AGE]]</f>
        <v>#VALUE!</v>
      </c>
      <c r="J532">
        <v>4733.5</v>
      </c>
      <c r="K532" s="110" t="str">
        <f>IF(Table__10.2.1.2_1_4AHB_v_gen_TBO[[#This Row],[NO_OVHLS]]="RC","RC","LC")</f>
        <v>LC</v>
      </c>
      <c r="L532" t="s">
        <v>403</v>
      </c>
      <c r="M532" t="s">
        <v>104</v>
      </c>
      <c r="N532" t="b">
        <v>0</v>
      </c>
    </row>
    <row r="533" spans="2:14" hidden="1">
      <c r="B533" t="s">
        <v>749</v>
      </c>
      <c r="C533" s="110" t="str">
        <f>RIGHT(B533,3)</f>
        <v>187</v>
      </c>
      <c r="D533" t="s">
        <v>527</v>
      </c>
      <c r="E533" s="110" t="str">
        <f>LEFT(F533,22)</f>
        <v>TR GEARBOX HOUSING ASS</v>
      </c>
      <c r="F533" t="s">
        <v>308</v>
      </c>
      <c r="G533" s="110" t="str">
        <f>RIGHT(H533,9)</f>
        <v>014338510</v>
      </c>
      <c r="H533" t="s">
        <v>309</v>
      </c>
      <c r="I533" s="110" t="e">
        <f>Table__10.2.1.2_1_4AHB_v_gen_TBO[[#This Row],[REALDUE]]-Table__10.2.1.2_1_4AHB_v_gen_TBO[[#This Row],[EI_BEG_AGE]]</f>
        <v>#VALUE!</v>
      </c>
      <c r="J533">
        <v>5314.7</v>
      </c>
      <c r="K533" s="110" t="str">
        <f>IF(Table__10.2.1.2_1_4AHB_v_gen_TBO[[#This Row],[NO_OVHLS]]="RC","RC","LC")</f>
        <v>LC</v>
      </c>
      <c r="L533" t="s">
        <v>403</v>
      </c>
      <c r="M533" t="s">
        <v>104</v>
      </c>
      <c r="N533" t="b">
        <v>0</v>
      </c>
    </row>
    <row r="534" spans="2:14" hidden="1">
      <c r="B534" t="s">
        <v>751</v>
      </c>
      <c r="C534" s="110" t="str">
        <f>RIGHT(B534,3)</f>
        <v>119</v>
      </c>
      <c r="D534" t="s">
        <v>523</v>
      </c>
      <c r="E534" s="110" t="str">
        <f>LEFT(F534,22)</f>
        <v>COVER</v>
      </c>
      <c r="F534" t="s">
        <v>302</v>
      </c>
      <c r="G534" s="110" t="str">
        <f>RIGHT(H534,9)</f>
        <v>011556590</v>
      </c>
      <c r="H534" t="s">
        <v>303</v>
      </c>
      <c r="I534" s="110" t="e">
        <f>Table__10.2.1.2_1_4AHB_v_gen_TBO[[#This Row],[REALDUE]]-Table__10.2.1.2_1_4AHB_v_gen_TBO[[#This Row],[EI_BEG_AGE]]</f>
        <v>#VALUE!</v>
      </c>
      <c r="J534">
        <v>3973.9</v>
      </c>
      <c r="K534" s="110" t="str">
        <f>IF(Table__10.2.1.2_1_4AHB_v_gen_TBO[[#This Row],[NO_OVHLS]]="RC","RC","LC")</f>
        <v>LC</v>
      </c>
      <c r="L534" t="s">
        <v>403</v>
      </c>
      <c r="M534" t="s">
        <v>104</v>
      </c>
      <c r="N534" t="b">
        <v>0</v>
      </c>
    </row>
    <row r="535" spans="2:14" hidden="1">
      <c r="B535" t="s">
        <v>749</v>
      </c>
      <c r="C535" s="110" t="str">
        <f>RIGHT(B535,3)</f>
        <v>187</v>
      </c>
      <c r="D535" t="s">
        <v>523</v>
      </c>
      <c r="E535" s="110" t="str">
        <f>LEFT(F535,22)</f>
        <v>COVER</v>
      </c>
      <c r="F535" t="s">
        <v>302</v>
      </c>
      <c r="G535" s="110" t="str">
        <f>RIGHT(H535,9)</f>
        <v>011556590</v>
      </c>
      <c r="H535" t="s">
        <v>303</v>
      </c>
      <c r="I535" s="110" t="e">
        <f>Table__10.2.1.2_1_4AHB_v_gen_TBO[[#This Row],[REALDUE]]-Table__10.2.1.2_1_4AHB_v_gen_TBO[[#This Row],[EI_BEG_AGE]]</f>
        <v>#VALUE!</v>
      </c>
      <c r="J535">
        <v>5314.7</v>
      </c>
      <c r="K535" s="110" t="str">
        <f>IF(Table__10.2.1.2_1_4AHB_v_gen_TBO[[#This Row],[NO_OVHLS]]="RC","RC","LC")</f>
        <v>LC</v>
      </c>
      <c r="L535" t="s">
        <v>403</v>
      </c>
      <c r="M535" t="s">
        <v>104</v>
      </c>
      <c r="N535" t="b">
        <v>0</v>
      </c>
    </row>
    <row r="536" spans="2:14" hidden="1">
      <c r="B536" t="s">
        <v>753</v>
      </c>
      <c r="C536" s="110" t="str">
        <f>RIGHT(B536,3)</f>
        <v>141</v>
      </c>
      <c r="D536" t="s">
        <v>524</v>
      </c>
      <c r="E536" s="110" t="str">
        <f>LEFT(F536,22)</f>
        <v>COVER</v>
      </c>
      <c r="F536" t="s">
        <v>302</v>
      </c>
      <c r="G536" s="110" t="str">
        <f>RIGHT(H536,9)</f>
        <v>011556590</v>
      </c>
      <c r="H536" t="s">
        <v>303</v>
      </c>
      <c r="I536" s="110" t="e">
        <f>Table__10.2.1.2_1_4AHB_v_gen_TBO[[#This Row],[REALDUE]]-Table__10.2.1.2_1_4AHB_v_gen_TBO[[#This Row],[EI_BEG_AGE]]</f>
        <v>#VALUE!</v>
      </c>
      <c r="J536">
        <v>4733.5</v>
      </c>
      <c r="K536" s="110" t="str">
        <f>IF(Table__10.2.1.2_1_4AHB_v_gen_TBO[[#This Row],[NO_OVHLS]]="RC","RC","LC")</f>
        <v>LC</v>
      </c>
      <c r="L536" t="s">
        <v>403</v>
      </c>
      <c r="M536" t="s">
        <v>104</v>
      </c>
      <c r="N536" t="b">
        <v>0</v>
      </c>
    </row>
    <row r="537" spans="2:14" hidden="1">
      <c r="B537" t="s">
        <v>751</v>
      </c>
      <c r="C537" s="110" t="str">
        <f>RIGHT(B537,3)</f>
        <v>119</v>
      </c>
      <c r="D537" t="s">
        <v>525</v>
      </c>
      <c r="E537" s="110" t="str">
        <f>LEFT(F537,22)</f>
        <v>T/R STATIC SUPPORT</v>
      </c>
      <c r="F537" t="s">
        <v>304</v>
      </c>
      <c r="G537" s="110" t="str">
        <f>RIGHT(H537,9)</f>
        <v>013795639</v>
      </c>
      <c r="H537" t="s">
        <v>305</v>
      </c>
      <c r="I537" s="110" t="e">
        <f>Table__10.2.1.2_1_4AHB_v_gen_TBO[[#This Row],[REALDUE]]-Table__10.2.1.2_1_4AHB_v_gen_TBO[[#This Row],[EI_BEG_AGE]]</f>
        <v>#VALUE!</v>
      </c>
      <c r="J537">
        <v>3973.9</v>
      </c>
      <c r="K537" s="110" t="str">
        <f>IF(Table__10.2.1.2_1_4AHB_v_gen_TBO[[#This Row],[NO_OVHLS]]="RC","RC","LC")</f>
        <v>LC</v>
      </c>
      <c r="L537" t="s">
        <v>403</v>
      </c>
      <c r="M537" t="s">
        <v>104</v>
      </c>
      <c r="N537" t="b">
        <v>0</v>
      </c>
    </row>
    <row r="538" spans="2:14" hidden="1">
      <c r="B538" t="s">
        <v>753</v>
      </c>
      <c r="C538" s="110" t="str">
        <f>RIGHT(B538,3)</f>
        <v>141</v>
      </c>
      <c r="D538" t="s">
        <v>525</v>
      </c>
      <c r="E538" s="110" t="str">
        <f>LEFT(F538,22)</f>
        <v>T/R STATIC SUPPORT</v>
      </c>
      <c r="F538" t="s">
        <v>304</v>
      </c>
      <c r="G538" s="110" t="str">
        <f>RIGHT(H538,9)</f>
        <v>013795639</v>
      </c>
      <c r="H538" t="s">
        <v>305</v>
      </c>
      <c r="I538" s="110" t="e">
        <f>Table__10.2.1.2_1_4AHB_v_gen_TBO[[#This Row],[REALDUE]]-Table__10.2.1.2_1_4AHB_v_gen_TBO[[#This Row],[EI_BEG_AGE]]</f>
        <v>#VALUE!</v>
      </c>
      <c r="J538">
        <v>4733.5</v>
      </c>
      <c r="K538" s="110" t="str">
        <f>IF(Table__10.2.1.2_1_4AHB_v_gen_TBO[[#This Row],[NO_OVHLS]]="RC","RC","LC")</f>
        <v>LC</v>
      </c>
      <c r="L538" t="s">
        <v>403</v>
      </c>
      <c r="M538" t="s">
        <v>104</v>
      </c>
      <c r="N538" t="b">
        <v>0</v>
      </c>
    </row>
    <row r="539" spans="2:14" hidden="1">
      <c r="B539" t="s">
        <v>749</v>
      </c>
      <c r="C539" s="110" t="str">
        <f>RIGHT(B539,3)</f>
        <v>187</v>
      </c>
      <c r="D539" t="s">
        <v>525</v>
      </c>
      <c r="E539" s="110" t="str">
        <f>LEFT(F539,22)</f>
        <v>T/R STATIC SUPPORT</v>
      </c>
      <c r="F539" t="s">
        <v>304</v>
      </c>
      <c r="G539" s="110" t="str">
        <f>RIGHT(H539,9)</f>
        <v>013795639</v>
      </c>
      <c r="H539" t="s">
        <v>305</v>
      </c>
      <c r="I539" s="96" t="e">
        <f>Table__10.2.1.2_1_4AHB_v_gen_TBO[[#This Row],[REALDUE]]-Table__10.2.1.2_1_4AHB_v_gen_TBO[[#This Row],[EI_BEG_AGE]]</f>
        <v>#VALUE!</v>
      </c>
      <c r="J539" s="96">
        <v>5314.7</v>
      </c>
      <c r="K539" s="110" t="str">
        <f>IF(Table__10.2.1.2_1_4AHB_v_gen_TBO[[#This Row],[NO_OVHLS]]="RC","RC","LC")</f>
        <v>LC</v>
      </c>
      <c r="L539" t="s">
        <v>403</v>
      </c>
      <c r="M539" t="s">
        <v>104</v>
      </c>
      <c r="N539" t="b">
        <v>0</v>
      </c>
    </row>
    <row r="540" spans="2:14" hidden="1">
      <c r="B540" t="s">
        <v>753</v>
      </c>
      <c r="C540" s="110" t="str">
        <f>RIGHT(B540,3)</f>
        <v>141</v>
      </c>
      <c r="D540" t="s">
        <v>529</v>
      </c>
      <c r="E540" s="110" t="str">
        <f>LEFT(F540,22)</f>
        <v>QUILL SHAFT</v>
      </c>
      <c r="F540" t="s">
        <v>312</v>
      </c>
      <c r="G540" s="110" t="str">
        <f>RIGHT(H540,9)</f>
        <v>011717705</v>
      </c>
      <c r="H540" t="s">
        <v>313</v>
      </c>
      <c r="I540" s="96" t="e">
        <f>Table__10.2.1.2_1_4AHB_v_gen_TBO[[#This Row],[REALDUE]]-Table__10.2.1.2_1_4AHB_v_gen_TBO[[#This Row],[EI_BEG_AGE]]</f>
        <v>#VALUE!</v>
      </c>
      <c r="J540" s="96">
        <v>4733.5</v>
      </c>
      <c r="K540" s="110" t="str">
        <f>IF(Table__10.2.1.2_1_4AHB_v_gen_TBO[[#This Row],[NO_OVHLS]]="RC","RC","LC")</f>
        <v>LC</v>
      </c>
      <c r="L540" t="s">
        <v>403</v>
      </c>
      <c r="M540" t="s">
        <v>104</v>
      </c>
      <c r="N540" t="b">
        <v>0</v>
      </c>
    </row>
    <row r="541" spans="2:14" hidden="1">
      <c r="B541" t="s">
        <v>751</v>
      </c>
      <c r="C541" s="110" t="str">
        <f>RIGHT(B541,3)</f>
        <v>119</v>
      </c>
      <c r="D541" t="s">
        <v>529</v>
      </c>
      <c r="E541" s="110" t="str">
        <f>LEFT(F541,22)</f>
        <v>QUILL SHAFT</v>
      </c>
      <c r="F541" t="s">
        <v>312</v>
      </c>
      <c r="G541" s="110" t="str">
        <f>RIGHT(H541,9)</f>
        <v>011717705</v>
      </c>
      <c r="H541" t="s">
        <v>313</v>
      </c>
      <c r="I541" s="96" t="e">
        <f>Table__10.2.1.2_1_4AHB_v_gen_TBO[[#This Row],[REALDUE]]-Table__10.2.1.2_1_4AHB_v_gen_TBO[[#This Row],[EI_BEG_AGE]]</f>
        <v>#VALUE!</v>
      </c>
      <c r="J541" s="96">
        <v>3973.9</v>
      </c>
      <c r="K541" s="110" t="str">
        <f>IF(Table__10.2.1.2_1_4AHB_v_gen_TBO[[#This Row],[NO_OVHLS]]="RC","RC","LC")</f>
        <v>LC</v>
      </c>
      <c r="L541" t="s">
        <v>403</v>
      </c>
      <c r="M541" t="s">
        <v>104</v>
      </c>
      <c r="N541" t="b">
        <v>0</v>
      </c>
    </row>
    <row r="542" spans="2:14" hidden="1">
      <c r="B542" t="s">
        <v>749</v>
      </c>
      <c r="C542" s="110" t="str">
        <f>RIGHT(B542,3)</f>
        <v>187</v>
      </c>
      <c r="D542" t="s">
        <v>529</v>
      </c>
      <c r="E542" s="110" t="str">
        <f>LEFT(F542,22)</f>
        <v>QUILL SHAFT</v>
      </c>
      <c r="F542" t="s">
        <v>312</v>
      </c>
      <c r="G542" s="110" t="str">
        <f>RIGHT(H542,9)</f>
        <v>011717705</v>
      </c>
      <c r="H542" t="s">
        <v>313</v>
      </c>
      <c r="I542" s="96" t="e">
        <f>Table__10.2.1.2_1_4AHB_v_gen_TBO[[#This Row],[REALDUE]]-Table__10.2.1.2_1_4AHB_v_gen_TBO[[#This Row],[EI_BEG_AGE]]</f>
        <v>#VALUE!</v>
      </c>
      <c r="J542" s="96">
        <v>5314.7</v>
      </c>
      <c r="K542" s="110" t="str">
        <f>IF(Table__10.2.1.2_1_4AHB_v_gen_TBO[[#This Row],[NO_OVHLS]]="RC","RC","LC")</f>
        <v>LC</v>
      </c>
      <c r="L542" t="s">
        <v>403</v>
      </c>
      <c r="M542" t="s">
        <v>104</v>
      </c>
      <c r="N542" t="b">
        <v>0</v>
      </c>
    </row>
    <row r="543" spans="2:14" hidden="1">
      <c r="B543" t="s">
        <v>753</v>
      </c>
      <c r="C543" s="110" t="str">
        <f>RIGHT(B543,3)</f>
        <v>141</v>
      </c>
      <c r="D543" t="s">
        <v>526</v>
      </c>
      <c r="E543" s="110" t="str">
        <f>LEFT(F543,22)</f>
        <v>COLLAR</v>
      </c>
      <c r="F543" t="s">
        <v>306</v>
      </c>
      <c r="G543" s="110" t="str">
        <f>RIGHT(H543,9)</f>
        <v>011779994</v>
      </c>
      <c r="H543" t="s">
        <v>307</v>
      </c>
      <c r="I543" s="96" t="e">
        <f>Table__10.2.1.2_1_4AHB_v_gen_TBO[[#This Row],[REALDUE]]-Table__10.2.1.2_1_4AHB_v_gen_TBO[[#This Row],[EI_BEG_AGE]]</f>
        <v>#VALUE!</v>
      </c>
      <c r="J543" s="96">
        <v>4733.5</v>
      </c>
      <c r="K543" s="110" t="str">
        <f>IF(Table__10.2.1.2_1_4AHB_v_gen_TBO[[#This Row],[NO_OVHLS]]="RC","RC","LC")</f>
        <v>LC</v>
      </c>
      <c r="L543" t="s">
        <v>403</v>
      </c>
      <c r="M543" t="s">
        <v>104</v>
      </c>
      <c r="N543" t="b">
        <v>0</v>
      </c>
    </row>
    <row r="544" spans="2:14" hidden="1">
      <c r="B544" t="s">
        <v>749</v>
      </c>
      <c r="C544" s="110" t="str">
        <f>RIGHT(B544,3)</f>
        <v>187</v>
      </c>
      <c r="D544" t="s">
        <v>526</v>
      </c>
      <c r="E544" s="110" t="str">
        <f>LEFT(F544,22)</f>
        <v>COLLAR</v>
      </c>
      <c r="F544" t="s">
        <v>306</v>
      </c>
      <c r="G544" s="110" t="str">
        <f>RIGHT(H544,9)</f>
        <v>011779994</v>
      </c>
      <c r="H544" t="s">
        <v>307</v>
      </c>
      <c r="I544" s="96" t="e">
        <f>Table__10.2.1.2_1_4AHB_v_gen_TBO[[#This Row],[REALDUE]]-Table__10.2.1.2_1_4AHB_v_gen_TBO[[#This Row],[EI_BEG_AGE]]</f>
        <v>#VALUE!</v>
      </c>
      <c r="J544" s="96">
        <v>5314.7</v>
      </c>
      <c r="K544" s="110" t="str">
        <f>IF(Table__10.2.1.2_1_4AHB_v_gen_TBO[[#This Row],[NO_OVHLS]]="RC","RC","LC")</f>
        <v>LC</v>
      </c>
      <c r="L544" t="s">
        <v>403</v>
      </c>
      <c r="M544" t="s">
        <v>104</v>
      </c>
      <c r="N544" t="b">
        <v>0</v>
      </c>
    </row>
    <row r="545" spans="2:14" hidden="1">
      <c r="B545" t="s">
        <v>751</v>
      </c>
      <c r="C545" s="110" t="str">
        <f>RIGHT(B545,3)</f>
        <v>119</v>
      </c>
      <c r="D545" t="s">
        <v>526</v>
      </c>
      <c r="E545" s="110" t="str">
        <f>LEFT(F545,22)</f>
        <v>COLLAR</v>
      </c>
      <c r="F545" t="s">
        <v>306</v>
      </c>
      <c r="G545" s="110" t="str">
        <f>RIGHT(H545,9)</f>
        <v>011779994</v>
      </c>
      <c r="H545" t="s">
        <v>307</v>
      </c>
      <c r="I545" s="110" t="e">
        <f>Table__10.2.1.2_1_4AHB_v_gen_TBO[[#This Row],[REALDUE]]-Table__10.2.1.2_1_4AHB_v_gen_TBO[[#This Row],[EI_BEG_AGE]]</f>
        <v>#VALUE!</v>
      </c>
      <c r="J545">
        <v>3973.9</v>
      </c>
      <c r="K545" s="110" t="str">
        <f>IF(Table__10.2.1.2_1_4AHB_v_gen_TBO[[#This Row],[NO_OVHLS]]="RC","RC","LC")</f>
        <v>LC</v>
      </c>
      <c r="L545" t="s">
        <v>403</v>
      </c>
      <c r="M545" t="s">
        <v>104</v>
      </c>
      <c r="N545" t="b">
        <v>0</v>
      </c>
    </row>
    <row r="546" spans="2:14" hidden="1">
      <c r="B546" t="s">
        <v>753</v>
      </c>
      <c r="C546" s="110" t="str">
        <f>RIGHT(B546,3)</f>
        <v>141</v>
      </c>
      <c r="D546" t="s">
        <v>433</v>
      </c>
      <c r="E546" s="110" t="str">
        <f>LEFT(F546,22)</f>
        <v>M/R HUB RETENTION NUT</v>
      </c>
      <c r="F546" t="s">
        <v>149</v>
      </c>
      <c r="G546" s="110" t="str">
        <f>RIGHT(H546,9)</f>
        <v>013501346</v>
      </c>
      <c r="H546" t="s">
        <v>150</v>
      </c>
      <c r="I546" s="110" t="e">
        <f>Table__10.2.1.2_1_4AHB_v_gen_TBO[[#This Row],[REALDUE]]-Table__10.2.1.2_1_4AHB_v_gen_TBO[[#This Row],[EI_BEG_AGE]]</f>
        <v>#VALUE!</v>
      </c>
      <c r="J546">
        <v>4733.5</v>
      </c>
      <c r="K546" s="110" t="str">
        <f>IF(Table__10.2.1.2_1_4AHB_v_gen_TBO[[#This Row],[NO_OVHLS]]="RC","RC","LC")</f>
        <v>LC</v>
      </c>
      <c r="L546" t="s">
        <v>403</v>
      </c>
      <c r="M546" t="s">
        <v>104</v>
      </c>
      <c r="N546" t="b">
        <v>0</v>
      </c>
    </row>
    <row r="547" spans="2:14" hidden="1">
      <c r="B547" t="s">
        <v>751</v>
      </c>
      <c r="C547" s="110" t="str">
        <f>RIGHT(B547,3)</f>
        <v>119</v>
      </c>
      <c r="D547" t="s">
        <v>433</v>
      </c>
      <c r="E547" s="110" t="str">
        <f>LEFT(F547,22)</f>
        <v>M/R HUB RETENTION NUT</v>
      </c>
      <c r="F547" t="s">
        <v>149</v>
      </c>
      <c r="G547" s="110" t="str">
        <f>RIGHT(H547,9)</f>
        <v>013501346</v>
      </c>
      <c r="H547" t="s">
        <v>150</v>
      </c>
      <c r="I547" s="110" t="e">
        <f>Table__10.2.1.2_1_4AHB_v_gen_TBO[[#This Row],[REALDUE]]-Table__10.2.1.2_1_4AHB_v_gen_TBO[[#This Row],[EI_BEG_AGE]]</f>
        <v>#VALUE!</v>
      </c>
      <c r="J547">
        <v>3973.9</v>
      </c>
      <c r="K547" s="110" t="str">
        <f>IF(Table__10.2.1.2_1_4AHB_v_gen_TBO[[#This Row],[NO_OVHLS]]="RC","RC","LC")</f>
        <v>LC</v>
      </c>
      <c r="L547" t="s">
        <v>403</v>
      </c>
      <c r="M547" t="s">
        <v>104</v>
      </c>
      <c r="N547" t="b">
        <v>0</v>
      </c>
    </row>
    <row r="548" spans="2:14" hidden="1">
      <c r="B548" t="s">
        <v>749</v>
      </c>
      <c r="C548" s="110" t="str">
        <f>RIGHT(B548,3)</f>
        <v>187</v>
      </c>
      <c r="D548" t="s">
        <v>433</v>
      </c>
      <c r="E548" s="110" t="str">
        <f>LEFT(F548,22)</f>
        <v>M/R HUB RETENTION NUT</v>
      </c>
      <c r="F548" t="s">
        <v>149</v>
      </c>
      <c r="G548" s="110" t="str">
        <f>RIGHT(H548,9)</f>
        <v>013501346</v>
      </c>
      <c r="H548" t="s">
        <v>150</v>
      </c>
      <c r="I548" s="96" t="e">
        <f>Table__10.2.1.2_1_4AHB_v_gen_TBO[[#This Row],[REALDUE]]-Table__10.2.1.2_1_4AHB_v_gen_TBO[[#This Row],[EI_BEG_AGE]]</f>
        <v>#VALUE!</v>
      </c>
      <c r="J548" s="96">
        <v>5314.7</v>
      </c>
      <c r="K548" s="110" t="str">
        <f>IF(Table__10.2.1.2_1_4AHB_v_gen_TBO[[#This Row],[NO_OVHLS]]="RC","RC","LC")</f>
        <v>LC</v>
      </c>
      <c r="L548" t="s">
        <v>403</v>
      </c>
      <c r="M548" t="s">
        <v>104</v>
      </c>
      <c r="N548" t="b">
        <v>0</v>
      </c>
    </row>
    <row r="549" spans="2:14" hidden="1">
      <c r="B549" t="s">
        <v>749</v>
      </c>
      <c r="C549" s="110" t="str">
        <f>RIGHT(B549,3)</f>
        <v>187</v>
      </c>
      <c r="D549" t="s">
        <v>438</v>
      </c>
      <c r="E549" s="110" t="str">
        <f>LEFT(F549,22)</f>
        <v>FEATHERING BEARING</v>
      </c>
      <c r="F549" t="s">
        <v>160</v>
      </c>
      <c r="G549" s="110" t="str">
        <f>RIGHT(H549,9)</f>
        <v>012493982</v>
      </c>
      <c r="H549" t="s">
        <v>161</v>
      </c>
      <c r="I549" s="96" t="e">
        <f>Table__10.2.1.2_1_4AHB_v_gen_TBO[[#This Row],[REALDUE]]-Table__10.2.1.2_1_4AHB_v_gen_TBO[[#This Row],[EI_BEG_AGE]]</f>
        <v>#VALUE!</v>
      </c>
      <c r="J549" s="96">
        <v>5314.7</v>
      </c>
      <c r="K549" s="110" t="str">
        <f>IF(Table__10.2.1.2_1_4AHB_v_gen_TBO[[#This Row],[NO_OVHLS]]="RC","RC","LC")</f>
        <v>LC</v>
      </c>
      <c r="L549" t="s">
        <v>403</v>
      </c>
      <c r="M549" t="s">
        <v>104</v>
      </c>
      <c r="N549" t="b">
        <v>0</v>
      </c>
    </row>
    <row r="550" spans="2:14" hidden="1">
      <c r="B550" t="s">
        <v>749</v>
      </c>
      <c r="C550" s="110" t="str">
        <f>RIGHT(B550,3)</f>
        <v>187</v>
      </c>
      <c r="D550" t="s">
        <v>438</v>
      </c>
      <c r="E550" s="110" t="str">
        <f>LEFT(F550,22)</f>
        <v>FEATHERING BEARING</v>
      </c>
      <c r="F550" t="s">
        <v>160</v>
      </c>
      <c r="G550" s="110" t="str">
        <f>RIGHT(H550,9)</f>
        <v>012493982</v>
      </c>
      <c r="H550" t="s">
        <v>161</v>
      </c>
      <c r="I550" s="96" t="e">
        <f>Table__10.2.1.2_1_4AHB_v_gen_TBO[[#This Row],[REALDUE]]-Table__10.2.1.2_1_4AHB_v_gen_TBO[[#This Row],[EI_BEG_AGE]]</f>
        <v>#VALUE!</v>
      </c>
      <c r="J550" s="96">
        <v>5314.7</v>
      </c>
      <c r="K550" s="110" t="str">
        <f>IF(Table__10.2.1.2_1_4AHB_v_gen_TBO[[#This Row],[NO_OVHLS]]="RC","RC","LC")</f>
        <v>LC</v>
      </c>
      <c r="L550" t="s">
        <v>403</v>
      </c>
      <c r="M550" t="s">
        <v>104</v>
      </c>
      <c r="N550" t="b">
        <v>0</v>
      </c>
    </row>
    <row r="551" spans="2:14" hidden="1">
      <c r="B551" t="s">
        <v>751</v>
      </c>
      <c r="C551" s="110" t="str">
        <f>RIGHT(B551,3)</f>
        <v>119</v>
      </c>
      <c r="D551" t="s">
        <v>438</v>
      </c>
      <c r="E551" s="110" t="str">
        <f>LEFT(F551,22)</f>
        <v>FEATHERING BEARING</v>
      </c>
      <c r="F551" t="s">
        <v>160</v>
      </c>
      <c r="G551" s="110" t="str">
        <f>RIGHT(H551,9)</f>
        <v>012493982</v>
      </c>
      <c r="H551" t="s">
        <v>161</v>
      </c>
      <c r="I551" s="96" t="e">
        <f>Table__10.2.1.2_1_4AHB_v_gen_TBO[[#This Row],[REALDUE]]-Table__10.2.1.2_1_4AHB_v_gen_TBO[[#This Row],[EI_BEG_AGE]]</f>
        <v>#VALUE!</v>
      </c>
      <c r="J551" s="96">
        <v>3973.9</v>
      </c>
      <c r="K551" s="110" t="str">
        <f>IF(Table__10.2.1.2_1_4AHB_v_gen_TBO[[#This Row],[NO_OVHLS]]="RC","RC","LC")</f>
        <v>LC</v>
      </c>
      <c r="L551" t="s">
        <v>403</v>
      </c>
      <c r="M551" t="s">
        <v>104</v>
      </c>
      <c r="N551" t="b">
        <v>0</v>
      </c>
    </row>
    <row r="552" spans="2:14" hidden="1">
      <c r="B552" t="s">
        <v>751</v>
      </c>
      <c r="C552" s="110" t="str">
        <f>RIGHT(B552,3)</f>
        <v>119</v>
      </c>
      <c r="D552" t="s">
        <v>438</v>
      </c>
      <c r="E552" s="110" t="str">
        <f>LEFT(F552,22)</f>
        <v>FEATHERING BEARING</v>
      </c>
      <c r="F552" t="s">
        <v>160</v>
      </c>
      <c r="G552" s="110" t="str">
        <f>RIGHT(H552,9)</f>
        <v>012493982</v>
      </c>
      <c r="H552" t="s">
        <v>161</v>
      </c>
      <c r="I552" s="96" t="e">
        <f>Table__10.2.1.2_1_4AHB_v_gen_TBO[[#This Row],[REALDUE]]-Table__10.2.1.2_1_4AHB_v_gen_TBO[[#This Row],[EI_BEG_AGE]]</f>
        <v>#VALUE!</v>
      </c>
      <c r="J552" s="96">
        <v>3973.9</v>
      </c>
      <c r="K552" s="110" t="str">
        <f>IF(Table__10.2.1.2_1_4AHB_v_gen_TBO[[#This Row],[NO_OVHLS]]="RC","RC","LC")</f>
        <v>LC</v>
      </c>
      <c r="L552" t="s">
        <v>403</v>
      </c>
      <c r="M552" t="s">
        <v>104</v>
      </c>
      <c r="N552" t="b">
        <v>0</v>
      </c>
    </row>
    <row r="553" spans="2:14" hidden="1">
      <c r="B553" t="s">
        <v>751</v>
      </c>
      <c r="C553" s="110" t="str">
        <f>RIGHT(B553,3)</f>
        <v>119</v>
      </c>
      <c r="D553" t="s">
        <v>438</v>
      </c>
      <c r="E553" s="110" t="str">
        <f>LEFT(F553,22)</f>
        <v>FEATHERING BEARING</v>
      </c>
      <c r="F553" t="s">
        <v>160</v>
      </c>
      <c r="G553" s="110" t="str">
        <f>RIGHT(H553,9)</f>
        <v>012493982</v>
      </c>
      <c r="H553" t="s">
        <v>161</v>
      </c>
      <c r="I553" s="96" t="e">
        <f>Table__10.2.1.2_1_4AHB_v_gen_TBO[[#This Row],[REALDUE]]-Table__10.2.1.2_1_4AHB_v_gen_TBO[[#This Row],[EI_BEG_AGE]]</f>
        <v>#VALUE!</v>
      </c>
      <c r="J553" s="96">
        <v>3973.9</v>
      </c>
      <c r="K553" s="110" t="str">
        <f>IF(Table__10.2.1.2_1_4AHB_v_gen_TBO[[#This Row],[NO_OVHLS]]="RC","RC","LC")</f>
        <v>LC</v>
      </c>
      <c r="L553" t="s">
        <v>403</v>
      </c>
      <c r="M553" t="s">
        <v>104</v>
      </c>
      <c r="N553" t="b">
        <v>0</v>
      </c>
    </row>
    <row r="554" spans="2:14" hidden="1">
      <c r="B554" t="s">
        <v>753</v>
      </c>
      <c r="C554" s="110" t="str">
        <f>RIGHT(B554,3)</f>
        <v>141</v>
      </c>
      <c r="D554" t="s">
        <v>438</v>
      </c>
      <c r="E554" s="110" t="str">
        <f>LEFT(F554,22)</f>
        <v>FEATHERING BEARING</v>
      </c>
      <c r="F554" t="s">
        <v>160</v>
      </c>
      <c r="G554" s="110" t="str">
        <f>RIGHT(H554,9)</f>
        <v>012493982</v>
      </c>
      <c r="H554" t="s">
        <v>161</v>
      </c>
      <c r="I554" s="110" t="e">
        <f>Table__10.2.1.2_1_4AHB_v_gen_TBO[[#This Row],[REALDUE]]-Table__10.2.1.2_1_4AHB_v_gen_TBO[[#This Row],[EI_BEG_AGE]]</f>
        <v>#VALUE!</v>
      </c>
      <c r="J554">
        <v>4733.5</v>
      </c>
      <c r="K554" s="110" t="str">
        <f>IF(Table__10.2.1.2_1_4AHB_v_gen_TBO[[#This Row],[NO_OVHLS]]="RC","RC","LC")</f>
        <v>LC</v>
      </c>
      <c r="L554" t="s">
        <v>403</v>
      </c>
      <c r="M554" t="s">
        <v>104</v>
      </c>
      <c r="N554" t="b">
        <v>0</v>
      </c>
    </row>
    <row r="555" spans="2:14" hidden="1">
      <c r="B555" t="s">
        <v>753</v>
      </c>
      <c r="C555" s="110" t="str">
        <f>RIGHT(B555,3)</f>
        <v>141</v>
      </c>
      <c r="D555" t="s">
        <v>438</v>
      </c>
      <c r="E555" s="110" t="str">
        <f>LEFT(F555,22)</f>
        <v>FEATHERING BEARING</v>
      </c>
      <c r="F555" t="s">
        <v>160</v>
      </c>
      <c r="G555" s="110" t="str">
        <f>RIGHT(H555,9)</f>
        <v>012493982</v>
      </c>
      <c r="H555" t="s">
        <v>161</v>
      </c>
      <c r="I555" s="110" t="e">
        <f>Table__10.2.1.2_1_4AHB_v_gen_TBO[[#This Row],[REALDUE]]-Table__10.2.1.2_1_4AHB_v_gen_TBO[[#This Row],[EI_BEG_AGE]]</f>
        <v>#VALUE!</v>
      </c>
      <c r="J555">
        <v>4733.5</v>
      </c>
      <c r="K555" s="110" t="str">
        <f>IF(Table__10.2.1.2_1_4AHB_v_gen_TBO[[#This Row],[NO_OVHLS]]="RC","RC","LC")</f>
        <v>LC</v>
      </c>
      <c r="L555" t="s">
        <v>403</v>
      </c>
      <c r="M555" t="s">
        <v>104</v>
      </c>
      <c r="N555" t="b">
        <v>0</v>
      </c>
    </row>
    <row r="556" spans="2:14" hidden="1">
      <c r="B556" t="s">
        <v>753</v>
      </c>
      <c r="C556" s="110" t="str">
        <f>RIGHT(B556,3)</f>
        <v>141</v>
      </c>
      <c r="D556" t="s">
        <v>438</v>
      </c>
      <c r="E556" s="110" t="str">
        <f>LEFT(F556,22)</f>
        <v>FEATHERING BEARING</v>
      </c>
      <c r="F556" t="s">
        <v>160</v>
      </c>
      <c r="G556" s="110" t="str">
        <f>RIGHT(H556,9)</f>
        <v>012493982</v>
      </c>
      <c r="H556" t="s">
        <v>161</v>
      </c>
      <c r="I556" s="110" t="e">
        <f>Table__10.2.1.2_1_4AHB_v_gen_TBO[[#This Row],[REALDUE]]-Table__10.2.1.2_1_4AHB_v_gen_TBO[[#This Row],[EI_BEG_AGE]]</f>
        <v>#VALUE!</v>
      </c>
      <c r="J556">
        <v>4733.5</v>
      </c>
      <c r="K556" s="110" t="str">
        <f>IF(Table__10.2.1.2_1_4AHB_v_gen_TBO[[#This Row],[NO_OVHLS]]="RC","RC","LC")</f>
        <v>LC</v>
      </c>
      <c r="L556" t="s">
        <v>403</v>
      </c>
      <c r="M556" t="s">
        <v>104</v>
      </c>
      <c r="N556" t="b">
        <v>0</v>
      </c>
    </row>
    <row r="557" spans="2:14" hidden="1">
      <c r="B557" t="s">
        <v>753</v>
      </c>
      <c r="C557" s="110" t="str">
        <f>RIGHT(B557,3)</f>
        <v>141</v>
      </c>
      <c r="D557" t="s">
        <v>438</v>
      </c>
      <c r="E557" s="110" t="str">
        <f>LEFT(F557,22)</f>
        <v>FEATHERING BEARING</v>
      </c>
      <c r="F557" t="s">
        <v>160</v>
      </c>
      <c r="G557" s="110" t="str">
        <f>RIGHT(H557,9)</f>
        <v>012493982</v>
      </c>
      <c r="H557" t="s">
        <v>161</v>
      </c>
      <c r="I557" s="96" t="e">
        <f>Table__10.2.1.2_1_4AHB_v_gen_TBO[[#This Row],[REALDUE]]-Table__10.2.1.2_1_4AHB_v_gen_TBO[[#This Row],[EI_BEG_AGE]]</f>
        <v>#VALUE!</v>
      </c>
      <c r="J557" s="96">
        <v>4733.5</v>
      </c>
      <c r="K557" s="110" t="str">
        <f>IF(Table__10.2.1.2_1_4AHB_v_gen_TBO[[#This Row],[NO_OVHLS]]="RC","RC","LC")</f>
        <v>LC</v>
      </c>
      <c r="L557" t="s">
        <v>403</v>
      </c>
      <c r="M557" t="s">
        <v>104</v>
      </c>
      <c r="N557" t="b">
        <v>0</v>
      </c>
    </row>
    <row r="558" spans="2:14" hidden="1">
      <c r="B558" t="s">
        <v>749</v>
      </c>
      <c r="C558" s="110" t="str">
        <f>RIGHT(B558,3)</f>
        <v>187</v>
      </c>
      <c r="D558" t="s">
        <v>438</v>
      </c>
      <c r="E558" s="110" t="str">
        <f>LEFT(F558,22)</f>
        <v>FEATHERING BEARING</v>
      </c>
      <c r="F558" t="s">
        <v>160</v>
      </c>
      <c r="G558" s="110" t="str">
        <f>RIGHT(H558,9)</f>
        <v>012493982</v>
      </c>
      <c r="H558" t="s">
        <v>161</v>
      </c>
      <c r="I558" s="96" t="e">
        <f>Table__10.2.1.2_1_4AHB_v_gen_TBO[[#This Row],[REALDUE]]-Table__10.2.1.2_1_4AHB_v_gen_TBO[[#This Row],[EI_BEG_AGE]]</f>
        <v>#VALUE!</v>
      </c>
      <c r="J558" s="96">
        <v>5314.7</v>
      </c>
      <c r="K558" s="110" t="str">
        <f>IF(Table__10.2.1.2_1_4AHB_v_gen_TBO[[#This Row],[NO_OVHLS]]="RC","RC","LC")</f>
        <v>LC</v>
      </c>
      <c r="L558" t="s">
        <v>403</v>
      </c>
      <c r="M558" t="s">
        <v>104</v>
      </c>
      <c r="N558" t="b">
        <v>0</v>
      </c>
    </row>
    <row r="559" spans="2:14" hidden="1">
      <c r="B559" t="s">
        <v>749</v>
      </c>
      <c r="C559" s="110" t="str">
        <f>RIGHT(B559,3)</f>
        <v>187</v>
      </c>
      <c r="D559" t="s">
        <v>438</v>
      </c>
      <c r="E559" s="110" t="str">
        <f>LEFT(F559,22)</f>
        <v>FEATHERING BEARING</v>
      </c>
      <c r="F559" t="s">
        <v>160</v>
      </c>
      <c r="G559" s="110" t="str">
        <f>RIGHT(H559,9)</f>
        <v>012493982</v>
      </c>
      <c r="H559" t="s">
        <v>161</v>
      </c>
      <c r="I559" s="96" t="e">
        <f>Table__10.2.1.2_1_4AHB_v_gen_TBO[[#This Row],[REALDUE]]-Table__10.2.1.2_1_4AHB_v_gen_TBO[[#This Row],[EI_BEG_AGE]]</f>
        <v>#VALUE!</v>
      </c>
      <c r="J559" s="96">
        <v>5314.7</v>
      </c>
      <c r="K559" s="110" t="str">
        <f>IF(Table__10.2.1.2_1_4AHB_v_gen_TBO[[#This Row],[NO_OVHLS]]="RC","RC","LC")</f>
        <v>LC</v>
      </c>
      <c r="L559" t="s">
        <v>403</v>
      </c>
      <c r="M559" t="s">
        <v>104</v>
      </c>
      <c r="N559" t="b">
        <v>0</v>
      </c>
    </row>
    <row r="560" spans="2:14" hidden="1">
      <c r="B560" t="s">
        <v>751</v>
      </c>
      <c r="C560" s="110" t="str">
        <f>RIGHT(B560,3)</f>
        <v>119</v>
      </c>
      <c r="D560" t="s">
        <v>438</v>
      </c>
      <c r="E560" s="110" t="str">
        <f>LEFT(F560,22)</f>
        <v>FEATHERING BEARING</v>
      </c>
      <c r="F560" t="s">
        <v>160</v>
      </c>
      <c r="G560" s="110" t="str">
        <f>RIGHT(H560,9)</f>
        <v>012493982</v>
      </c>
      <c r="H560" t="s">
        <v>161</v>
      </c>
      <c r="I560" s="110" t="e">
        <f>Table__10.2.1.2_1_4AHB_v_gen_TBO[[#This Row],[REALDUE]]-Table__10.2.1.2_1_4AHB_v_gen_TBO[[#This Row],[EI_BEG_AGE]]</f>
        <v>#VALUE!</v>
      </c>
      <c r="J560">
        <v>3973.9</v>
      </c>
      <c r="K560" s="110" t="str">
        <f>IF(Table__10.2.1.2_1_4AHB_v_gen_TBO[[#This Row],[NO_OVHLS]]="RC","RC","LC")</f>
        <v>LC</v>
      </c>
      <c r="L560" t="s">
        <v>403</v>
      </c>
      <c r="M560" t="s">
        <v>104</v>
      </c>
      <c r="N560" t="b">
        <v>0</v>
      </c>
    </row>
    <row r="561" spans="2:14" hidden="1">
      <c r="B561" t="s">
        <v>749</v>
      </c>
      <c r="C561" s="110" t="str">
        <f>RIGHT(B561,3)</f>
        <v>187</v>
      </c>
      <c r="D561" t="s">
        <v>436</v>
      </c>
      <c r="E561" s="110" t="str">
        <f>LEFT(F561,22)</f>
        <v>PITCH HOUSING</v>
      </c>
      <c r="F561" t="s">
        <v>154</v>
      </c>
      <c r="G561" s="110" t="str">
        <f>RIGHT(H561,9)</f>
        <v>015075295</v>
      </c>
      <c r="H561" t="s">
        <v>155</v>
      </c>
      <c r="I561" s="110" t="e">
        <f>Table__10.2.1.2_1_4AHB_v_gen_TBO[[#This Row],[REALDUE]]-Table__10.2.1.2_1_4AHB_v_gen_TBO[[#This Row],[EI_BEG_AGE]]</f>
        <v>#VALUE!</v>
      </c>
      <c r="J561">
        <v>5314.7</v>
      </c>
      <c r="K561" s="110" t="str">
        <f>IF(Table__10.2.1.2_1_4AHB_v_gen_TBO[[#This Row],[NO_OVHLS]]="RC","RC","LC")</f>
        <v>LC</v>
      </c>
      <c r="L561" t="s">
        <v>403</v>
      </c>
      <c r="M561" t="s">
        <v>104</v>
      </c>
      <c r="N561" t="b">
        <v>0</v>
      </c>
    </row>
    <row r="562" spans="2:14" hidden="1">
      <c r="B562" t="s">
        <v>749</v>
      </c>
      <c r="C562" s="110" t="str">
        <f>RIGHT(B562,3)</f>
        <v>187</v>
      </c>
      <c r="D562" t="s">
        <v>436</v>
      </c>
      <c r="E562" s="110" t="str">
        <f>LEFT(F562,22)</f>
        <v>PITCH HOUSING</v>
      </c>
      <c r="F562" t="s">
        <v>154</v>
      </c>
      <c r="G562" s="110" t="str">
        <f>RIGHT(H562,9)</f>
        <v>015075295</v>
      </c>
      <c r="H562" t="s">
        <v>155</v>
      </c>
      <c r="I562" s="110" t="e">
        <f>Table__10.2.1.2_1_4AHB_v_gen_TBO[[#This Row],[REALDUE]]-Table__10.2.1.2_1_4AHB_v_gen_TBO[[#This Row],[EI_BEG_AGE]]</f>
        <v>#VALUE!</v>
      </c>
      <c r="J562">
        <v>5314.7</v>
      </c>
      <c r="K562" s="110" t="str">
        <f>IF(Table__10.2.1.2_1_4AHB_v_gen_TBO[[#This Row],[NO_OVHLS]]="RC","RC","LC")</f>
        <v>LC</v>
      </c>
      <c r="L562" t="s">
        <v>403</v>
      </c>
      <c r="M562" t="s">
        <v>104</v>
      </c>
      <c r="N562" t="b">
        <v>0</v>
      </c>
    </row>
    <row r="563" spans="2:14" hidden="1">
      <c r="B563" t="s">
        <v>749</v>
      </c>
      <c r="C563" s="110" t="str">
        <f>RIGHT(B563,3)</f>
        <v>187</v>
      </c>
      <c r="D563" t="s">
        <v>436</v>
      </c>
      <c r="E563" s="110" t="str">
        <f>LEFT(F563,22)</f>
        <v>PITCH HOUSING</v>
      </c>
      <c r="F563" t="s">
        <v>154</v>
      </c>
      <c r="G563" s="110" t="str">
        <f>RIGHT(H563,9)</f>
        <v>015075295</v>
      </c>
      <c r="H563" t="s">
        <v>155</v>
      </c>
      <c r="I563" s="110" t="e">
        <f>Table__10.2.1.2_1_4AHB_v_gen_TBO[[#This Row],[REALDUE]]-Table__10.2.1.2_1_4AHB_v_gen_TBO[[#This Row],[EI_BEG_AGE]]</f>
        <v>#VALUE!</v>
      </c>
      <c r="J563">
        <v>5314.7</v>
      </c>
      <c r="K563" s="110" t="str">
        <f>IF(Table__10.2.1.2_1_4AHB_v_gen_TBO[[#This Row],[NO_OVHLS]]="RC","RC","LC")</f>
        <v>LC</v>
      </c>
      <c r="L563" t="s">
        <v>403</v>
      </c>
      <c r="M563" t="s">
        <v>104</v>
      </c>
      <c r="N563" t="b">
        <v>0</v>
      </c>
    </row>
    <row r="564" spans="2:14" hidden="1">
      <c r="B564" t="s">
        <v>751</v>
      </c>
      <c r="C564" s="110" t="str">
        <f>RIGHT(B564,3)</f>
        <v>119</v>
      </c>
      <c r="D564" t="s">
        <v>436</v>
      </c>
      <c r="E564" s="110" t="str">
        <f>LEFT(F564,22)</f>
        <v>PITCH HOUSING</v>
      </c>
      <c r="F564" t="s">
        <v>154</v>
      </c>
      <c r="G564" s="110" t="str">
        <f>RIGHT(H564,9)</f>
        <v>015075295</v>
      </c>
      <c r="H564" t="s">
        <v>155</v>
      </c>
      <c r="I564" s="110" t="e">
        <f>Table__10.2.1.2_1_4AHB_v_gen_TBO[[#This Row],[REALDUE]]-Table__10.2.1.2_1_4AHB_v_gen_TBO[[#This Row],[EI_BEG_AGE]]</f>
        <v>#VALUE!</v>
      </c>
      <c r="J564">
        <v>3973.9</v>
      </c>
      <c r="K564" s="110" t="str">
        <f>IF(Table__10.2.1.2_1_4AHB_v_gen_TBO[[#This Row],[NO_OVHLS]]="RC","RC","LC")</f>
        <v>LC</v>
      </c>
      <c r="L564" t="s">
        <v>403</v>
      </c>
      <c r="M564" t="s">
        <v>104</v>
      </c>
      <c r="N564" t="b">
        <v>0</v>
      </c>
    </row>
    <row r="565" spans="2:14" hidden="1">
      <c r="B565" t="s">
        <v>753</v>
      </c>
      <c r="C565" s="110" t="str">
        <f>RIGHT(B565,3)</f>
        <v>141</v>
      </c>
      <c r="D565" t="s">
        <v>436</v>
      </c>
      <c r="E565" s="110" t="str">
        <f>LEFT(F565,22)</f>
        <v>PITCH HOUSING</v>
      </c>
      <c r="F565" t="s">
        <v>154</v>
      </c>
      <c r="G565" s="110" t="str">
        <f>RIGHT(H565,9)</f>
        <v>015075295</v>
      </c>
      <c r="H565" t="s">
        <v>155</v>
      </c>
      <c r="I565" s="110" t="e">
        <f>Table__10.2.1.2_1_4AHB_v_gen_TBO[[#This Row],[REALDUE]]-Table__10.2.1.2_1_4AHB_v_gen_TBO[[#This Row],[EI_BEG_AGE]]</f>
        <v>#VALUE!</v>
      </c>
      <c r="J565">
        <v>4733.5</v>
      </c>
      <c r="K565" s="110" t="str">
        <f>IF(Table__10.2.1.2_1_4AHB_v_gen_TBO[[#This Row],[NO_OVHLS]]="RC","RC","LC")</f>
        <v>LC</v>
      </c>
      <c r="L565" t="s">
        <v>403</v>
      </c>
      <c r="M565" t="s">
        <v>104</v>
      </c>
      <c r="N565" t="b">
        <v>0</v>
      </c>
    </row>
    <row r="566" spans="2:14" hidden="1">
      <c r="B566" t="s">
        <v>751</v>
      </c>
      <c r="C566" s="110" t="str">
        <f>RIGHT(B566,3)</f>
        <v>119</v>
      </c>
      <c r="D566" t="s">
        <v>436</v>
      </c>
      <c r="E566" s="110" t="str">
        <f>LEFT(F566,22)</f>
        <v>PITCH HOUSING</v>
      </c>
      <c r="F566" t="s">
        <v>154</v>
      </c>
      <c r="G566" s="110" t="str">
        <f>RIGHT(H566,9)</f>
        <v>015075295</v>
      </c>
      <c r="H566" t="s">
        <v>155</v>
      </c>
      <c r="I566" s="110" t="e">
        <f>Table__10.2.1.2_1_4AHB_v_gen_TBO[[#This Row],[REALDUE]]-Table__10.2.1.2_1_4AHB_v_gen_TBO[[#This Row],[EI_BEG_AGE]]</f>
        <v>#VALUE!</v>
      </c>
      <c r="J566">
        <v>3973.9</v>
      </c>
      <c r="K566" s="110" t="str">
        <f>IF(Table__10.2.1.2_1_4AHB_v_gen_TBO[[#This Row],[NO_OVHLS]]="RC","RC","LC")</f>
        <v>LC</v>
      </c>
      <c r="L566" t="s">
        <v>403</v>
      </c>
      <c r="M566" t="s">
        <v>104</v>
      </c>
      <c r="N566" t="b">
        <v>0</v>
      </c>
    </row>
    <row r="567" spans="2:14" hidden="1">
      <c r="B567" t="s">
        <v>751</v>
      </c>
      <c r="C567" s="110" t="str">
        <f>RIGHT(B567,3)</f>
        <v>119</v>
      </c>
      <c r="D567" t="s">
        <v>436</v>
      </c>
      <c r="E567" s="110" t="str">
        <f>LEFT(F567,22)</f>
        <v>PITCH HOUSING</v>
      </c>
      <c r="F567" t="s">
        <v>154</v>
      </c>
      <c r="G567" s="110" t="str">
        <f>RIGHT(H567,9)</f>
        <v>015075295</v>
      </c>
      <c r="H567" t="s">
        <v>155</v>
      </c>
      <c r="I567" s="110" t="e">
        <f>Table__10.2.1.2_1_4AHB_v_gen_TBO[[#This Row],[REALDUE]]-Table__10.2.1.2_1_4AHB_v_gen_TBO[[#This Row],[EI_BEG_AGE]]</f>
        <v>#VALUE!</v>
      </c>
      <c r="J567">
        <v>3973.9</v>
      </c>
      <c r="K567" s="110" t="str">
        <f>IF(Table__10.2.1.2_1_4AHB_v_gen_TBO[[#This Row],[NO_OVHLS]]="RC","RC","LC")</f>
        <v>LC</v>
      </c>
      <c r="L567" t="s">
        <v>403</v>
      </c>
      <c r="M567" t="s">
        <v>104</v>
      </c>
      <c r="N567" t="b">
        <v>0</v>
      </c>
    </row>
    <row r="568" spans="2:14" hidden="1">
      <c r="B568" t="s">
        <v>751</v>
      </c>
      <c r="C568" s="110" t="str">
        <f>RIGHT(B568,3)</f>
        <v>119</v>
      </c>
      <c r="D568" t="s">
        <v>436</v>
      </c>
      <c r="E568" s="110" t="str">
        <f>LEFT(F568,22)</f>
        <v>PITCH HOUSING</v>
      </c>
      <c r="F568" t="s">
        <v>154</v>
      </c>
      <c r="G568" s="110" t="str">
        <f>RIGHT(H568,9)</f>
        <v>015075295</v>
      </c>
      <c r="H568" t="s">
        <v>155</v>
      </c>
      <c r="I568" s="110" t="e">
        <f>Table__10.2.1.2_1_4AHB_v_gen_TBO[[#This Row],[REALDUE]]-Table__10.2.1.2_1_4AHB_v_gen_TBO[[#This Row],[EI_BEG_AGE]]</f>
        <v>#VALUE!</v>
      </c>
      <c r="J568">
        <v>3973.9</v>
      </c>
      <c r="K568" s="110" t="str">
        <f>IF(Table__10.2.1.2_1_4AHB_v_gen_TBO[[#This Row],[NO_OVHLS]]="RC","RC","LC")</f>
        <v>LC</v>
      </c>
      <c r="L568" t="s">
        <v>403</v>
      </c>
      <c r="M568" t="s">
        <v>104</v>
      </c>
      <c r="N568" t="b">
        <v>0</v>
      </c>
    </row>
    <row r="569" spans="2:14" hidden="1">
      <c r="B569" t="s">
        <v>753</v>
      </c>
      <c r="C569" s="110" t="str">
        <f>RIGHT(B569,3)</f>
        <v>141</v>
      </c>
      <c r="D569" t="s">
        <v>436</v>
      </c>
      <c r="E569" s="110" t="str">
        <f>LEFT(F569,22)</f>
        <v>PITCH HOUSING</v>
      </c>
      <c r="F569" t="s">
        <v>154</v>
      </c>
      <c r="G569" s="110" t="str">
        <f>RIGHT(H569,9)</f>
        <v>015075295</v>
      </c>
      <c r="H569" t="s">
        <v>155</v>
      </c>
      <c r="I569" s="110" t="e">
        <f>Table__10.2.1.2_1_4AHB_v_gen_TBO[[#This Row],[REALDUE]]-Table__10.2.1.2_1_4AHB_v_gen_TBO[[#This Row],[EI_BEG_AGE]]</f>
        <v>#VALUE!</v>
      </c>
      <c r="J569">
        <v>4733.5</v>
      </c>
      <c r="K569" s="110" t="str">
        <f>IF(Table__10.2.1.2_1_4AHB_v_gen_TBO[[#This Row],[NO_OVHLS]]="RC","RC","LC")</f>
        <v>LC</v>
      </c>
      <c r="L569" t="s">
        <v>403</v>
      </c>
      <c r="M569" t="s">
        <v>104</v>
      </c>
      <c r="N569" t="b">
        <v>0</v>
      </c>
    </row>
    <row r="570" spans="2:14" hidden="1">
      <c r="B570" t="s">
        <v>753</v>
      </c>
      <c r="C570" s="110" t="str">
        <f>RIGHT(B570,3)</f>
        <v>141</v>
      </c>
      <c r="D570" t="s">
        <v>436</v>
      </c>
      <c r="E570" s="110" t="str">
        <f>LEFT(F570,22)</f>
        <v>PITCH HOUSING</v>
      </c>
      <c r="F570" t="s">
        <v>154</v>
      </c>
      <c r="G570" s="110" t="str">
        <f>RIGHT(H570,9)</f>
        <v>015075295</v>
      </c>
      <c r="H570" t="s">
        <v>155</v>
      </c>
      <c r="I570" s="110" t="e">
        <f>Table__10.2.1.2_1_4AHB_v_gen_TBO[[#This Row],[REALDUE]]-Table__10.2.1.2_1_4AHB_v_gen_TBO[[#This Row],[EI_BEG_AGE]]</f>
        <v>#VALUE!</v>
      </c>
      <c r="J570">
        <v>4733.5</v>
      </c>
      <c r="K570" s="110" t="str">
        <f>IF(Table__10.2.1.2_1_4AHB_v_gen_TBO[[#This Row],[NO_OVHLS]]="RC","RC","LC")</f>
        <v>LC</v>
      </c>
      <c r="L570" t="s">
        <v>403</v>
      </c>
      <c r="M570" t="s">
        <v>104</v>
      </c>
      <c r="N570" t="b">
        <v>0</v>
      </c>
    </row>
    <row r="571" spans="2:14" hidden="1">
      <c r="B571" t="s">
        <v>753</v>
      </c>
      <c r="C571" s="110" t="str">
        <f>RIGHT(B571,3)</f>
        <v>141</v>
      </c>
      <c r="D571" t="s">
        <v>436</v>
      </c>
      <c r="E571" s="110" t="str">
        <f>LEFT(F571,22)</f>
        <v>PITCH HOUSING</v>
      </c>
      <c r="F571" t="s">
        <v>154</v>
      </c>
      <c r="G571" s="110" t="str">
        <f>RIGHT(H571,9)</f>
        <v>015075295</v>
      </c>
      <c r="H571" t="s">
        <v>155</v>
      </c>
      <c r="I571" s="110" t="e">
        <f>Table__10.2.1.2_1_4AHB_v_gen_TBO[[#This Row],[REALDUE]]-Table__10.2.1.2_1_4AHB_v_gen_TBO[[#This Row],[EI_BEG_AGE]]</f>
        <v>#VALUE!</v>
      </c>
      <c r="J571">
        <v>4733.5</v>
      </c>
      <c r="K571" s="110" t="str">
        <f>IF(Table__10.2.1.2_1_4AHB_v_gen_TBO[[#This Row],[NO_OVHLS]]="RC","RC","LC")</f>
        <v>LC</v>
      </c>
      <c r="L571" t="s">
        <v>403</v>
      </c>
      <c r="M571" t="s">
        <v>104</v>
      </c>
      <c r="N571" t="b">
        <v>0</v>
      </c>
    </row>
    <row r="572" spans="2:14" hidden="1">
      <c r="B572" t="s">
        <v>749</v>
      </c>
      <c r="C572" s="110" t="str">
        <f>RIGHT(B572,3)</f>
        <v>187</v>
      </c>
      <c r="D572" t="s">
        <v>436</v>
      </c>
      <c r="E572" s="110" t="str">
        <f>LEFT(F572,22)</f>
        <v>PITCH HOUSING</v>
      </c>
      <c r="F572" t="s">
        <v>154</v>
      </c>
      <c r="G572" s="110" t="str">
        <f>RIGHT(H572,9)</f>
        <v>015075295</v>
      </c>
      <c r="H572" t="s">
        <v>155</v>
      </c>
      <c r="I572" s="110" t="e">
        <f>Table__10.2.1.2_1_4AHB_v_gen_TBO[[#This Row],[REALDUE]]-Table__10.2.1.2_1_4AHB_v_gen_TBO[[#This Row],[EI_BEG_AGE]]</f>
        <v>#VALUE!</v>
      </c>
      <c r="J572">
        <v>5314.7</v>
      </c>
      <c r="K572" s="110" t="str">
        <f>IF(Table__10.2.1.2_1_4AHB_v_gen_TBO[[#This Row],[NO_OVHLS]]="RC","RC","LC")</f>
        <v>LC</v>
      </c>
      <c r="L572" t="s">
        <v>403</v>
      </c>
      <c r="M572" t="s">
        <v>104</v>
      </c>
      <c r="N572" t="b">
        <v>0</v>
      </c>
    </row>
    <row r="573" spans="2:14" hidden="1">
      <c r="B573" t="s">
        <v>751</v>
      </c>
      <c r="C573" s="110" t="str">
        <f>RIGHT(B573,3)</f>
        <v>119</v>
      </c>
      <c r="D573" t="s">
        <v>466</v>
      </c>
      <c r="E573" s="110" t="str">
        <f>LEFT(F573,22)</f>
        <v>TAIL ROTOR HEAD ASSY</v>
      </c>
      <c r="F573" t="s">
        <v>215</v>
      </c>
      <c r="G573" s="110" t="str">
        <f>RIGHT(H573,9)</f>
        <v>013070156</v>
      </c>
      <c r="H573" t="s">
        <v>216</v>
      </c>
      <c r="I573" s="110" t="e">
        <f>Table__10.2.1.2_1_4AHB_v_gen_TBO[[#This Row],[REALDUE]]-Table__10.2.1.2_1_4AHB_v_gen_TBO[[#This Row],[EI_BEG_AGE]]</f>
        <v>#VALUE!</v>
      </c>
      <c r="J573">
        <v>3973.9</v>
      </c>
      <c r="K573" s="110" t="str">
        <f>IF(Table__10.2.1.2_1_4AHB_v_gen_TBO[[#This Row],[NO_OVHLS]]="RC","RC","LC")</f>
        <v>LC</v>
      </c>
      <c r="L573" t="s">
        <v>403</v>
      </c>
      <c r="M573" t="s">
        <v>104</v>
      </c>
      <c r="N573" t="b">
        <v>0</v>
      </c>
    </row>
    <row r="574" spans="2:14" hidden="1">
      <c r="B574" t="s">
        <v>753</v>
      </c>
      <c r="C574" s="110" t="str">
        <f>RIGHT(B574,3)</f>
        <v>141</v>
      </c>
      <c r="D574" t="s">
        <v>466</v>
      </c>
      <c r="E574" s="110" t="str">
        <f>LEFT(F574,22)</f>
        <v>TAIL ROTOR HEAD ASSY</v>
      </c>
      <c r="F574" t="s">
        <v>215</v>
      </c>
      <c r="G574" s="110" t="str">
        <f>RIGHT(H574,9)</f>
        <v>013070156</v>
      </c>
      <c r="H574" t="s">
        <v>216</v>
      </c>
      <c r="I574" s="110" t="e">
        <f>Table__10.2.1.2_1_4AHB_v_gen_TBO[[#This Row],[REALDUE]]-Table__10.2.1.2_1_4AHB_v_gen_TBO[[#This Row],[EI_BEG_AGE]]</f>
        <v>#VALUE!</v>
      </c>
      <c r="J574">
        <v>4733.5</v>
      </c>
      <c r="K574" s="110" t="str">
        <f>IF(Table__10.2.1.2_1_4AHB_v_gen_TBO[[#This Row],[NO_OVHLS]]="RC","RC","LC")</f>
        <v>LC</v>
      </c>
      <c r="L574" t="s">
        <v>403</v>
      </c>
      <c r="M574" t="s">
        <v>104</v>
      </c>
      <c r="N574" t="b">
        <v>0</v>
      </c>
    </row>
    <row r="575" spans="2:14" hidden="1">
      <c r="B575" t="s">
        <v>749</v>
      </c>
      <c r="C575" s="110" t="str">
        <f>RIGHT(B575,3)</f>
        <v>187</v>
      </c>
      <c r="D575" t="s">
        <v>466</v>
      </c>
      <c r="E575" s="110" t="str">
        <f>LEFT(F575,22)</f>
        <v>TAIL ROTOR HEAD ASSY</v>
      </c>
      <c r="F575" t="s">
        <v>215</v>
      </c>
      <c r="G575" s="110" t="str">
        <f>RIGHT(H575,9)</f>
        <v>013070156</v>
      </c>
      <c r="H575" t="s">
        <v>216</v>
      </c>
      <c r="I575" s="110" t="e">
        <f>Table__10.2.1.2_1_4AHB_v_gen_TBO[[#This Row],[REALDUE]]-Table__10.2.1.2_1_4AHB_v_gen_TBO[[#This Row],[EI_BEG_AGE]]</f>
        <v>#VALUE!</v>
      </c>
      <c r="J575">
        <v>5314.7</v>
      </c>
      <c r="K575" s="110" t="str">
        <f>IF(Table__10.2.1.2_1_4AHB_v_gen_TBO[[#This Row],[NO_OVHLS]]="RC","RC","LC")</f>
        <v>LC</v>
      </c>
      <c r="L575" t="s">
        <v>403</v>
      </c>
      <c r="M575" t="s">
        <v>104</v>
      </c>
      <c r="N575" t="b">
        <v>0</v>
      </c>
    </row>
    <row r="576" spans="2:14" hidden="1">
      <c r="B576" t="s">
        <v>749</v>
      </c>
      <c r="C576" s="110" t="str">
        <f>RIGHT(B576,3)</f>
        <v>187</v>
      </c>
      <c r="D576" t="s">
        <v>454</v>
      </c>
      <c r="E576" s="110" t="str">
        <f>LEFT(F576,22)</f>
        <v>M/R SWASHPLATE ASSY</v>
      </c>
      <c r="F576" t="s">
        <v>195</v>
      </c>
      <c r="G576" s="110" t="str">
        <f>RIGHT(H576,9)</f>
        <v>013257002</v>
      </c>
      <c r="H576" t="s">
        <v>196</v>
      </c>
      <c r="I576" s="110" t="e">
        <f>Table__10.2.1.2_1_4AHB_v_gen_TBO[[#This Row],[REALDUE]]-Table__10.2.1.2_1_4AHB_v_gen_TBO[[#This Row],[EI_BEG_AGE]]</f>
        <v>#VALUE!</v>
      </c>
      <c r="J576">
        <v>5314.7</v>
      </c>
      <c r="K576" s="110" t="str">
        <f>IF(Table__10.2.1.2_1_4AHB_v_gen_TBO[[#This Row],[NO_OVHLS]]="RC","RC","LC")</f>
        <v>LC</v>
      </c>
      <c r="L576" t="s">
        <v>403</v>
      </c>
      <c r="M576" t="s">
        <v>104</v>
      </c>
      <c r="N576" t="b">
        <v>0</v>
      </c>
    </row>
    <row r="577" spans="2:14" hidden="1">
      <c r="B577" t="s">
        <v>753</v>
      </c>
      <c r="C577" s="110" t="str">
        <f>RIGHT(B577,3)</f>
        <v>141</v>
      </c>
      <c r="D577" t="s">
        <v>454</v>
      </c>
      <c r="E577" s="110" t="str">
        <f>LEFT(F577,22)</f>
        <v>M/R SWASHPLATE ASSY</v>
      </c>
      <c r="F577" t="s">
        <v>195</v>
      </c>
      <c r="G577" s="110" t="str">
        <f>RIGHT(H577,9)</f>
        <v>013257002</v>
      </c>
      <c r="H577" t="s">
        <v>196</v>
      </c>
      <c r="I577" s="110" t="e">
        <f>Table__10.2.1.2_1_4AHB_v_gen_TBO[[#This Row],[REALDUE]]-Table__10.2.1.2_1_4AHB_v_gen_TBO[[#This Row],[EI_BEG_AGE]]</f>
        <v>#VALUE!</v>
      </c>
      <c r="J577">
        <v>4733.5</v>
      </c>
      <c r="K577" s="110" t="str">
        <f>IF(Table__10.2.1.2_1_4AHB_v_gen_TBO[[#This Row],[NO_OVHLS]]="RC","RC","LC")</f>
        <v>LC</v>
      </c>
      <c r="L577" t="s">
        <v>403</v>
      </c>
      <c r="M577" t="s">
        <v>104</v>
      </c>
      <c r="N577" t="b">
        <v>0</v>
      </c>
    </row>
    <row r="578" spans="2:14" hidden="1">
      <c r="B578" t="s">
        <v>751</v>
      </c>
      <c r="C578" s="110" t="str">
        <f>RIGHT(B578,3)</f>
        <v>119</v>
      </c>
      <c r="D578" t="s">
        <v>454</v>
      </c>
      <c r="E578" s="110" t="str">
        <f>LEFT(F578,22)</f>
        <v>M/R SWASHPLATE ASSY</v>
      </c>
      <c r="F578" t="s">
        <v>195</v>
      </c>
      <c r="G578" s="110" t="str">
        <f>RIGHT(H578,9)</f>
        <v>013257002</v>
      </c>
      <c r="H578" t="s">
        <v>196</v>
      </c>
      <c r="I578" s="110" t="e">
        <f>Table__10.2.1.2_1_4AHB_v_gen_TBO[[#This Row],[REALDUE]]-Table__10.2.1.2_1_4AHB_v_gen_TBO[[#This Row],[EI_BEG_AGE]]</f>
        <v>#VALUE!</v>
      </c>
      <c r="J578">
        <v>3973.9</v>
      </c>
      <c r="K578" s="110" t="str">
        <f>IF(Table__10.2.1.2_1_4AHB_v_gen_TBO[[#This Row],[NO_OVHLS]]="RC","RC","LC")</f>
        <v>LC</v>
      </c>
      <c r="L578" t="s">
        <v>403</v>
      </c>
      <c r="M578" t="s">
        <v>104</v>
      </c>
      <c r="N578" t="b">
        <v>0</v>
      </c>
    </row>
    <row r="579" spans="2:14" hidden="1">
      <c r="B579" t="s">
        <v>749</v>
      </c>
      <c r="C579" s="110" t="str">
        <f>RIGHT(B579,3)</f>
        <v>187</v>
      </c>
      <c r="D579" t="s">
        <v>456</v>
      </c>
      <c r="E579" s="110" t="str">
        <f>LEFT(F579,22)</f>
        <v>M/R ROTATING SWASHPLAT</v>
      </c>
      <c r="F579" t="s">
        <v>199</v>
      </c>
      <c r="G579" s="110" t="str">
        <f>RIGHT(H579,9)</f>
        <v>013257003</v>
      </c>
      <c r="H579" t="s">
        <v>200</v>
      </c>
      <c r="I579" s="110" t="e">
        <f>Table__10.2.1.2_1_4AHB_v_gen_TBO[[#This Row],[REALDUE]]-Table__10.2.1.2_1_4AHB_v_gen_TBO[[#This Row],[EI_BEG_AGE]]</f>
        <v>#VALUE!</v>
      </c>
      <c r="J579">
        <v>5314.7</v>
      </c>
      <c r="K579" s="110" t="str">
        <f>IF(Table__10.2.1.2_1_4AHB_v_gen_TBO[[#This Row],[NO_OVHLS]]="RC","RC","LC")</f>
        <v>LC</v>
      </c>
      <c r="L579" t="s">
        <v>403</v>
      </c>
      <c r="M579" t="s">
        <v>104</v>
      </c>
      <c r="N579" t="b">
        <v>0</v>
      </c>
    </row>
    <row r="580" spans="2:14" hidden="1">
      <c r="B580" t="s">
        <v>751</v>
      </c>
      <c r="C580" s="110" t="str">
        <f>RIGHT(B580,3)</f>
        <v>119</v>
      </c>
      <c r="D580" t="s">
        <v>456</v>
      </c>
      <c r="E580" s="110" t="str">
        <f>LEFT(F580,22)</f>
        <v>M/R ROTATING SWASHPLAT</v>
      </c>
      <c r="F580" t="s">
        <v>199</v>
      </c>
      <c r="G580" s="110" t="str">
        <f>RIGHT(H580,9)</f>
        <v>013257003</v>
      </c>
      <c r="H580" t="s">
        <v>200</v>
      </c>
      <c r="I580" s="110" t="e">
        <f>Table__10.2.1.2_1_4AHB_v_gen_TBO[[#This Row],[REALDUE]]-Table__10.2.1.2_1_4AHB_v_gen_TBO[[#This Row],[EI_BEG_AGE]]</f>
        <v>#VALUE!</v>
      </c>
      <c r="J580">
        <v>3973.9</v>
      </c>
      <c r="K580" s="110" t="str">
        <f>IF(Table__10.2.1.2_1_4AHB_v_gen_TBO[[#This Row],[NO_OVHLS]]="RC","RC","LC")</f>
        <v>LC</v>
      </c>
      <c r="L580" t="s">
        <v>403</v>
      </c>
      <c r="M580" t="s">
        <v>104</v>
      </c>
      <c r="N580" t="b">
        <v>0</v>
      </c>
    </row>
    <row r="581" spans="2:14" hidden="1">
      <c r="B581" t="s">
        <v>753</v>
      </c>
      <c r="C581" s="110" t="str">
        <f>RIGHT(B581,3)</f>
        <v>141</v>
      </c>
      <c r="D581" t="s">
        <v>456</v>
      </c>
      <c r="E581" s="110" t="str">
        <f>LEFT(F581,22)</f>
        <v>M/R ROTATING SWASHPLAT</v>
      </c>
      <c r="F581" t="s">
        <v>199</v>
      </c>
      <c r="G581" s="110" t="str">
        <f>RIGHT(H581,9)</f>
        <v>013257003</v>
      </c>
      <c r="H581" t="s">
        <v>200</v>
      </c>
      <c r="I581" s="110" t="e">
        <f>Table__10.2.1.2_1_4AHB_v_gen_TBO[[#This Row],[REALDUE]]-Table__10.2.1.2_1_4AHB_v_gen_TBO[[#This Row],[EI_BEG_AGE]]</f>
        <v>#VALUE!</v>
      </c>
      <c r="J581">
        <v>4733.5</v>
      </c>
      <c r="K581" s="110" t="str">
        <f>IF(Table__10.2.1.2_1_4AHB_v_gen_TBO[[#This Row],[NO_OVHLS]]="RC","RC","LC")</f>
        <v>LC</v>
      </c>
      <c r="L581" t="s">
        <v>403</v>
      </c>
      <c r="M581" t="s">
        <v>104</v>
      </c>
      <c r="N581" t="b">
        <v>0</v>
      </c>
    </row>
    <row r="582" spans="2:14" hidden="1">
      <c r="B582" t="s">
        <v>753</v>
      </c>
      <c r="C582" s="110" t="str">
        <f>RIGHT(B582,3)</f>
        <v>141</v>
      </c>
      <c r="D582" t="s">
        <v>573</v>
      </c>
      <c r="E582" s="110" t="str">
        <f>LEFT(F582,22)</f>
        <v>AFT LONGITUDE BELLCRAN</v>
      </c>
      <c r="F582" t="s">
        <v>374</v>
      </c>
      <c r="G582" s="110" t="str">
        <f>RIGHT(H582,9)</f>
        <v>N PENDING</v>
      </c>
      <c r="H582" t="s">
        <v>106</v>
      </c>
      <c r="I582" s="110" t="e">
        <f>Table__10.2.1.2_1_4AHB_v_gen_TBO[[#This Row],[REALDUE]]-Table__10.2.1.2_1_4AHB_v_gen_TBO[[#This Row],[EI_BEG_AGE]]</f>
        <v>#VALUE!</v>
      </c>
      <c r="J582">
        <v>4733.5</v>
      </c>
      <c r="K582" s="110" t="str">
        <f>IF(Table__10.2.1.2_1_4AHB_v_gen_TBO[[#This Row],[NO_OVHLS]]="RC","RC","LC")</f>
        <v>RC</v>
      </c>
      <c r="L582" t="s">
        <v>405</v>
      </c>
      <c r="M582" t="s">
        <v>104</v>
      </c>
      <c r="N582" t="b">
        <v>0</v>
      </c>
    </row>
    <row r="583" spans="2:14" hidden="1">
      <c r="B583" t="s">
        <v>751</v>
      </c>
      <c r="C583" s="110" t="str">
        <f>RIGHT(B583,3)</f>
        <v>119</v>
      </c>
      <c r="D583" t="s">
        <v>574</v>
      </c>
      <c r="E583" s="110" t="str">
        <f>LEFT(F583,22)</f>
        <v>AFT LONGITUDE BELLCRAN</v>
      </c>
      <c r="F583" t="s">
        <v>374</v>
      </c>
      <c r="G583" s="110" t="str">
        <f>RIGHT(H583,9)</f>
        <v>N PENDING</v>
      </c>
      <c r="H583" t="s">
        <v>106</v>
      </c>
      <c r="I583" s="110" t="e">
        <f>Table__10.2.1.2_1_4AHB_v_gen_TBO[[#This Row],[REALDUE]]-Table__10.2.1.2_1_4AHB_v_gen_TBO[[#This Row],[EI_BEG_AGE]]</f>
        <v>#VALUE!</v>
      </c>
      <c r="J583">
        <v>3973.9</v>
      </c>
      <c r="K583" s="110" t="str">
        <f>IF(Table__10.2.1.2_1_4AHB_v_gen_TBO[[#This Row],[NO_OVHLS]]="RC","RC","LC")</f>
        <v>RC</v>
      </c>
      <c r="L583" t="s">
        <v>405</v>
      </c>
      <c r="M583" t="s">
        <v>104</v>
      </c>
      <c r="N583" t="b">
        <v>0</v>
      </c>
    </row>
    <row r="584" spans="2:14" hidden="1">
      <c r="B584" t="s">
        <v>749</v>
      </c>
      <c r="C584" s="110" t="str">
        <f>RIGHT(B584,3)</f>
        <v>187</v>
      </c>
      <c r="D584" t="s">
        <v>574</v>
      </c>
      <c r="E584" s="110" t="str">
        <f>LEFT(F584,22)</f>
        <v>AFT LONGITUDE BELLCRAN</v>
      </c>
      <c r="F584" t="s">
        <v>374</v>
      </c>
      <c r="G584" s="110" t="str">
        <f>RIGHT(H584,9)</f>
        <v>N PENDING</v>
      </c>
      <c r="H584" t="s">
        <v>106</v>
      </c>
      <c r="I584" s="110" t="e">
        <f>Table__10.2.1.2_1_4AHB_v_gen_TBO[[#This Row],[REALDUE]]-Table__10.2.1.2_1_4AHB_v_gen_TBO[[#This Row],[EI_BEG_AGE]]</f>
        <v>#VALUE!</v>
      </c>
      <c r="J584">
        <v>5314.7</v>
      </c>
      <c r="K584" s="110" t="str">
        <f>IF(Table__10.2.1.2_1_4AHB_v_gen_TBO[[#This Row],[NO_OVHLS]]="RC","RC","LC")</f>
        <v>RC</v>
      </c>
      <c r="L584" t="s">
        <v>405</v>
      </c>
      <c r="M584" t="s">
        <v>104</v>
      </c>
      <c r="N584" t="b">
        <v>0</v>
      </c>
    </row>
    <row r="585" spans="2:14" hidden="1">
      <c r="B585" t="s">
        <v>751</v>
      </c>
      <c r="C585" s="110" t="str">
        <f>RIGHT(B585,3)</f>
        <v>119</v>
      </c>
      <c r="D585" t="s">
        <v>572</v>
      </c>
      <c r="E585" s="110" t="str">
        <f>LEFT(F585,22)</f>
        <v>LONGITUDINAL LINK</v>
      </c>
      <c r="F585" t="s">
        <v>372</v>
      </c>
      <c r="G585" s="110" t="str">
        <f>RIGHT(H585,9)</f>
        <v>014328239</v>
      </c>
      <c r="H585" t="s">
        <v>373</v>
      </c>
      <c r="I585" s="110" t="e">
        <f>Table__10.2.1.2_1_4AHB_v_gen_TBO[[#This Row],[REALDUE]]-Table__10.2.1.2_1_4AHB_v_gen_TBO[[#This Row],[EI_BEG_AGE]]</f>
        <v>#VALUE!</v>
      </c>
      <c r="J585">
        <v>3973.9</v>
      </c>
      <c r="K585" s="110" t="str">
        <f>IF(Table__10.2.1.2_1_4AHB_v_gen_TBO[[#This Row],[NO_OVHLS]]="RC","RC","LC")</f>
        <v>LC</v>
      </c>
      <c r="L585" t="s">
        <v>403</v>
      </c>
      <c r="M585" t="s">
        <v>104</v>
      </c>
      <c r="N585" t="b">
        <v>0</v>
      </c>
    </row>
    <row r="586" spans="2:14" hidden="1">
      <c r="B586" t="s">
        <v>751</v>
      </c>
      <c r="C586" s="110" t="str">
        <f>RIGHT(B586,3)</f>
        <v>119</v>
      </c>
      <c r="D586" t="s">
        <v>572</v>
      </c>
      <c r="E586" s="110" t="str">
        <f>LEFT(F586,22)</f>
        <v>LONGITUDINAL LINK</v>
      </c>
      <c r="F586" t="s">
        <v>372</v>
      </c>
      <c r="G586" s="110" t="str">
        <f>RIGHT(H586,9)</f>
        <v>014328239</v>
      </c>
      <c r="H586" t="s">
        <v>373</v>
      </c>
      <c r="I586" s="110" t="e">
        <f>Table__10.2.1.2_1_4AHB_v_gen_TBO[[#This Row],[REALDUE]]-Table__10.2.1.2_1_4AHB_v_gen_TBO[[#This Row],[EI_BEG_AGE]]</f>
        <v>#VALUE!</v>
      </c>
      <c r="J586">
        <v>3973.9</v>
      </c>
      <c r="K586" s="110" t="str">
        <f>IF(Table__10.2.1.2_1_4AHB_v_gen_TBO[[#This Row],[NO_OVHLS]]="RC","RC","LC")</f>
        <v>LC</v>
      </c>
      <c r="L586" t="s">
        <v>403</v>
      </c>
      <c r="M586" t="s">
        <v>104</v>
      </c>
      <c r="N586" t="b">
        <v>0</v>
      </c>
    </row>
    <row r="587" spans="2:14" hidden="1">
      <c r="B587" t="s">
        <v>753</v>
      </c>
      <c r="C587" s="110" t="str">
        <f>RIGHT(B587,3)</f>
        <v>141</v>
      </c>
      <c r="D587" t="s">
        <v>572</v>
      </c>
      <c r="E587" s="110" t="str">
        <f>LEFT(F587,22)</f>
        <v>LONGITUDINAL LINK</v>
      </c>
      <c r="F587" t="s">
        <v>372</v>
      </c>
      <c r="G587" s="110" t="str">
        <f>RIGHT(H587,9)</f>
        <v>014328239</v>
      </c>
      <c r="H587" t="s">
        <v>373</v>
      </c>
      <c r="I587" s="110" t="e">
        <f>Table__10.2.1.2_1_4AHB_v_gen_TBO[[#This Row],[REALDUE]]-Table__10.2.1.2_1_4AHB_v_gen_TBO[[#This Row],[EI_BEG_AGE]]</f>
        <v>#VALUE!</v>
      </c>
      <c r="J587">
        <v>4733.5</v>
      </c>
      <c r="K587" s="110" t="str">
        <f>IF(Table__10.2.1.2_1_4AHB_v_gen_TBO[[#This Row],[NO_OVHLS]]="RC","RC","LC")</f>
        <v>LC</v>
      </c>
      <c r="L587" t="s">
        <v>403</v>
      </c>
      <c r="M587" t="s">
        <v>104</v>
      </c>
      <c r="N587" t="b">
        <v>0</v>
      </c>
    </row>
    <row r="588" spans="2:14" hidden="1">
      <c r="B588" t="s">
        <v>753</v>
      </c>
      <c r="C588" s="110" t="str">
        <f>RIGHT(B588,3)</f>
        <v>141</v>
      </c>
      <c r="D588" t="s">
        <v>572</v>
      </c>
      <c r="E588" s="110" t="str">
        <f>LEFT(F588,22)</f>
        <v>LONGITUDINAL LINK</v>
      </c>
      <c r="F588" t="s">
        <v>372</v>
      </c>
      <c r="G588" s="110" t="str">
        <f>RIGHT(H588,9)</f>
        <v>014328239</v>
      </c>
      <c r="H588" t="s">
        <v>373</v>
      </c>
      <c r="I588" s="110" t="e">
        <f>Table__10.2.1.2_1_4AHB_v_gen_TBO[[#This Row],[REALDUE]]-Table__10.2.1.2_1_4AHB_v_gen_TBO[[#This Row],[EI_BEG_AGE]]</f>
        <v>#VALUE!</v>
      </c>
      <c r="J588">
        <v>4733.5</v>
      </c>
      <c r="K588" s="110" t="str">
        <f>IF(Table__10.2.1.2_1_4AHB_v_gen_TBO[[#This Row],[NO_OVHLS]]="RC","RC","LC")</f>
        <v>LC</v>
      </c>
      <c r="L588" t="s">
        <v>403</v>
      </c>
      <c r="M588" t="s">
        <v>104</v>
      </c>
      <c r="N588" t="b">
        <v>0</v>
      </c>
    </row>
    <row r="589" spans="2:14" hidden="1">
      <c r="B589" t="s">
        <v>749</v>
      </c>
      <c r="C589" s="110" t="str">
        <f>RIGHT(B589,3)</f>
        <v>187</v>
      </c>
      <c r="D589" t="s">
        <v>572</v>
      </c>
      <c r="E589" s="110" t="str">
        <f>LEFT(F589,22)</f>
        <v>LONGITUDINAL LINK</v>
      </c>
      <c r="F589" t="s">
        <v>372</v>
      </c>
      <c r="G589" s="110" t="str">
        <f>RIGHT(H589,9)</f>
        <v>014328239</v>
      </c>
      <c r="H589" t="s">
        <v>373</v>
      </c>
      <c r="I589" s="110" t="e">
        <f>Table__10.2.1.2_1_4AHB_v_gen_TBO[[#This Row],[REALDUE]]-Table__10.2.1.2_1_4AHB_v_gen_TBO[[#This Row],[EI_BEG_AGE]]</f>
        <v>#VALUE!</v>
      </c>
      <c r="J589">
        <v>5314.7</v>
      </c>
      <c r="K589" s="110" t="str">
        <f>IF(Table__10.2.1.2_1_4AHB_v_gen_TBO[[#This Row],[NO_OVHLS]]="RC","RC","LC")</f>
        <v>LC</v>
      </c>
      <c r="L589" t="s">
        <v>403</v>
      </c>
      <c r="M589" t="s">
        <v>104</v>
      </c>
      <c r="N589" t="b">
        <v>0</v>
      </c>
    </row>
    <row r="590" spans="2:14" hidden="1">
      <c r="B590" t="s">
        <v>749</v>
      </c>
      <c r="C590" s="110" t="str">
        <f>RIGHT(B590,3)</f>
        <v>187</v>
      </c>
      <c r="D590" t="s">
        <v>572</v>
      </c>
      <c r="E590" s="110" t="str">
        <f>LEFT(F590,22)</f>
        <v>LONGITUDINAL LINK</v>
      </c>
      <c r="F590" t="s">
        <v>372</v>
      </c>
      <c r="G590" s="110" t="str">
        <f>RIGHT(H590,9)</f>
        <v>014328239</v>
      </c>
      <c r="H590" t="s">
        <v>373</v>
      </c>
      <c r="I590" s="110" t="e">
        <f>Table__10.2.1.2_1_4AHB_v_gen_TBO[[#This Row],[REALDUE]]-Table__10.2.1.2_1_4AHB_v_gen_TBO[[#This Row],[EI_BEG_AGE]]</f>
        <v>#VALUE!</v>
      </c>
      <c r="J590">
        <v>5314.7</v>
      </c>
      <c r="K590" s="110" t="str">
        <f>IF(Table__10.2.1.2_1_4AHB_v_gen_TBO[[#This Row],[NO_OVHLS]]="RC","RC","LC")</f>
        <v>LC</v>
      </c>
      <c r="L590" t="s">
        <v>403</v>
      </c>
      <c r="M590" t="s">
        <v>104</v>
      </c>
      <c r="N590" t="b">
        <v>0</v>
      </c>
    </row>
    <row r="591" spans="2:14" hidden="1">
      <c r="B591" t="s">
        <v>749</v>
      </c>
      <c r="C591" s="110" t="str">
        <f>RIGHT(B591,3)</f>
        <v>187</v>
      </c>
      <c r="D591" t="s">
        <v>460</v>
      </c>
      <c r="E591" s="110" t="str">
        <f>LEFT(F591,22)</f>
        <v>M/R PITCH LINK ASSY</v>
      </c>
      <c r="F591" t="s">
        <v>209</v>
      </c>
      <c r="G591" s="110" t="str">
        <f>RIGHT(H591,9)</f>
        <v>012575795</v>
      </c>
      <c r="H591" t="s">
        <v>210</v>
      </c>
      <c r="I591" s="110" t="e">
        <f>Table__10.2.1.2_1_4AHB_v_gen_TBO[[#This Row],[REALDUE]]-Table__10.2.1.2_1_4AHB_v_gen_TBO[[#This Row],[EI_BEG_AGE]]</f>
        <v>#VALUE!</v>
      </c>
      <c r="J591">
        <v>5314.7</v>
      </c>
      <c r="K591" s="110" t="str">
        <f>IF(Table__10.2.1.2_1_4AHB_v_gen_TBO[[#This Row],[NO_OVHLS]]="RC","RC","LC")</f>
        <v>LC</v>
      </c>
      <c r="L591" t="s">
        <v>403</v>
      </c>
      <c r="M591" t="s">
        <v>104</v>
      </c>
      <c r="N591" t="b">
        <v>0</v>
      </c>
    </row>
    <row r="592" spans="2:14" hidden="1">
      <c r="B592" t="s">
        <v>749</v>
      </c>
      <c r="C592" s="110" t="str">
        <f>RIGHT(B592,3)</f>
        <v>187</v>
      </c>
      <c r="D592" t="s">
        <v>460</v>
      </c>
      <c r="E592" s="110" t="str">
        <f>LEFT(F592,22)</f>
        <v>M/R PITCH LINK ASSY</v>
      </c>
      <c r="F592" t="s">
        <v>209</v>
      </c>
      <c r="G592" s="110" t="str">
        <f>RIGHT(H592,9)</f>
        <v>012575795</v>
      </c>
      <c r="H592" t="s">
        <v>210</v>
      </c>
      <c r="I592" s="110" t="e">
        <f>Table__10.2.1.2_1_4AHB_v_gen_TBO[[#This Row],[REALDUE]]-Table__10.2.1.2_1_4AHB_v_gen_TBO[[#This Row],[EI_BEG_AGE]]</f>
        <v>#VALUE!</v>
      </c>
      <c r="J592">
        <v>5314.7</v>
      </c>
      <c r="K592" s="110" t="str">
        <f>IF(Table__10.2.1.2_1_4AHB_v_gen_TBO[[#This Row],[NO_OVHLS]]="RC","RC","LC")</f>
        <v>LC</v>
      </c>
      <c r="L592" t="s">
        <v>403</v>
      </c>
      <c r="M592" t="s">
        <v>104</v>
      </c>
      <c r="N592" t="b">
        <v>0</v>
      </c>
    </row>
    <row r="593" spans="2:14" hidden="1">
      <c r="B593" t="s">
        <v>749</v>
      </c>
      <c r="C593" s="110" t="str">
        <f>RIGHT(B593,3)</f>
        <v>187</v>
      </c>
      <c r="D593" t="s">
        <v>460</v>
      </c>
      <c r="E593" s="110" t="str">
        <f>LEFT(F593,22)</f>
        <v>M/R PITCH LINK ASSY</v>
      </c>
      <c r="F593" t="s">
        <v>209</v>
      </c>
      <c r="G593" s="110" t="str">
        <f>RIGHT(H593,9)</f>
        <v>012575795</v>
      </c>
      <c r="H593" t="s">
        <v>210</v>
      </c>
      <c r="I593" s="110" t="e">
        <f>Table__10.2.1.2_1_4AHB_v_gen_TBO[[#This Row],[REALDUE]]-Table__10.2.1.2_1_4AHB_v_gen_TBO[[#This Row],[EI_BEG_AGE]]</f>
        <v>#VALUE!</v>
      </c>
      <c r="J593">
        <v>5314.7</v>
      </c>
      <c r="K593" s="110" t="str">
        <f>IF(Table__10.2.1.2_1_4AHB_v_gen_TBO[[#This Row],[NO_OVHLS]]="RC","RC","LC")</f>
        <v>LC</v>
      </c>
      <c r="L593" t="s">
        <v>403</v>
      </c>
      <c r="M593" t="s">
        <v>104</v>
      </c>
      <c r="N593" t="b">
        <v>0</v>
      </c>
    </row>
    <row r="594" spans="2:14" hidden="1">
      <c r="B594" t="s">
        <v>753</v>
      </c>
      <c r="C594" s="110" t="str">
        <f>RIGHT(B594,3)</f>
        <v>141</v>
      </c>
      <c r="D594" t="s">
        <v>460</v>
      </c>
      <c r="E594" s="110" t="str">
        <f>LEFT(F594,22)</f>
        <v>M/R PITCH LINK ASSY</v>
      </c>
      <c r="F594" t="s">
        <v>209</v>
      </c>
      <c r="G594" s="110" t="str">
        <f>RIGHT(H594,9)</f>
        <v>012575795</v>
      </c>
      <c r="H594" t="s">
        <v>210</v>
      </c>
      <c r="I594" s="110" t="e">
        <f>Table__10.2.1.2_1_4AHB_v_gen_TBO[[#This Row],[REALDUE]]-Table__10.2.1.2_1_4AHB_v_gen_TBO[[#This Row],[EI_BEG_AGE]]</f>
        <v>#VALUE!</v>
      </c>
      <c r="J594">
        <v>4733.5</v>
      </c>
      <c r="K594" s="110" t="str">
        <f>IF(Table__10.2.1.2_1_4AHB_v_gen_TBO[[#This Row],[NO_OVHLS]]="RC","RC","LC")</f>
        <v>LC</v>
      </c>
      <c r="L594" t="s">
        <v>403</v>
      </c>
      <c r="M594" t="s">
        <v>104</v>
      </c>
      <c r="N594" t="b">
        <v>0</v>
      </c>
    </row>
    <row r="595" spans="2:14" hidden="1">
      <c r="B595" t="s">
        <v>751</v>
      </c>
      <c r="C595" s="110" t="str">
        <f>RIGHT(B595,3)</f>
        <v>119</v>
      </c>
      <c r="D595" t="s">
        <v>460</v>
      </c>
      <c r="E595" s="110" t="str">
        <f>LEFT(F595,22)</f>
        <v xml:space="preserve">MAIN ROTOR PITCH LINK </v>
      </c>
      <c r="F595" t="s">
        <v>610</v>
      </c>
      <c r="G595" s="110" t="str">
        <f>RIGHT(H595,9)</f>
        <v>012575795</v>
      </c>
      <c r="H595" t="s">
        <v>210</v>
      </c>
      <c r="I595" s="110" t="e">
        <f>Table__10.2.1.2_1_4AHB_v_gen_TBO[[#This Row],[REALDUE]]-Table__10.2.1.2_1_4AHB_v_gen_TBO[[#This Row],[EI_BEG_AGE]]</f>
        <v>#VALUE!</v>
      </c>
      <c r="J595">
        <v>3973.9</v>
      </c>
      <c r="K595" s="110" t="str">
        <f>IF(Table__10.2.1.2_1_4AHB_v_gen_TBO[[#This Row],[NO_OVHLS]]="RC","RC","LC")</f>
        <v>LC</v>
      </c>
      <c r="L595" t="s">
        <v>403</v>
      </c>
      <c r="M595" t="s">
        <v>104</v>
      </c>
      <c r="N595" t="b">
        <v>0</v>
      </c>
    </row>
    <row r="596" spans="2:14" hidden="1">
      <c r="B596" t="s">
        <v>751</v>
      </c>
      <c r="C596" s="110" t="str">
        <f>RIGHT(B596,3)</f>
        <v>119</v>
      </c>
      <c r="D596" t="s">
        <v>460</v>
      </c>
      <c r="E596" s="110" t="str">
        <f>LEFT(F596,22)</f>
        <v xml:space="preserve">MAIN ROTOR PITCH LINK </v>
      </c>
      <c r="F596" t="s">
        <v>610</v>
      </c>
      <c r="G596" s="110" t="str">
        <f>RIGHT(H596,9)</f>
        <v>012575795</v>
      </c>
      <c r="H596" t="s">
        <v>210</v>
      </c>
      <c r="I596" s="110" t="e">
        <f>Table__10.2.1.2_1_4AHB_v_gen_TBO[[#This Row],[REALDUE]]-Table__10.2.1.2_1_4AHB_v_gen_TBO[[#This Row],[EI_BEG_AGE]]</f>
        <v>#VALUE!</v>
      </c>
      <c r="J596">
        <v>3973.9</v>
      </c>
      <c r="K596" s="110" t="str">
        <f>IF(Table__10.2.1.2_1_4AHB_v_gen_TBO[[#This Row],[NO_OVHLS]]="RC","RC","LC")</f>
        <v>LC</v>
      </c>
      <c r="L596" t="s">
        <v>403</v>
      </c>
      <c r="M596" t="s">
        <v>104</v>
      </c>
      <c r="N596" t="b">
        <v>0</v>
      </c>
    </row>
    <row r="597" spans="2:14" hidden="1">
      <c r="B597" t="s">
        <v>749</v>
      </c>
      <c r="C597" s="110" t="str">
        <f>RIGHT(B597,3)</f>
        <v>187</v>
      </c>
      <c r="D597" t="s">
        <v>461</v>
      </c>
      <c r="E597" s="110" t="str">
        <f>LEFT(F597,22)</f>
        <v>M/R PITCH LINK ASSY</v>
      </c>
      <c r="F597" t="s">
        <v>209</v>
      </c>
      <c r="G597" s="110" t="str">
        <f>RIGHT(H597,9)</f>
        <v>012575795</v>
      </c>
      <c r="H597" t="s">
        <v>210</v>
      </c>
      <c r="I597" s="110" t="e">
        <f>Table__10.2.1.2_1_4AHB_v_gen_TBO[[#This Row],[REALDUE]]-Table__10.2.1.2_1_4AHB_v_gen_TBO[[#This Row],[EI_BEG_AGE]]</f>
        <v>#VALUE!</v>
      </c>
      <c r="J597">
        <v>5314.7</v>
      </c>
      <c r="K597" s="110" t="str">
        <f>IF(Table__10.2.1.2_1_4AHB_v_gen_TBO[[#This Row],[NO_OVHLS]]="RC","RC","LC")</f>
        <v>LC</v>
      </c>
      <c r="L597" t="s">
        <v>403</v>
      </c>
      <c r="M597" t="s">
        <v>104</v>
      </c>
      <c r="N597" t="b">
        <v>0</v>
      </c>
    </row>
    <row r="598" spans="2:14" hidden="1">
      <c r="B598" t="s">
        <v>753</v>
      </c>
      <c r="C598" s="110" t="str">
        <f>RIGHT(B598,3)</f>
        <v>141</v>
      </c>
      <c r="D598" t="s">
        <v>461</v>
      </c>
      <c r="E598" s="110" t="str">
        <f>LEFT(F598,22)</f>
        <v>M/R PITCH LINK ASSY</v>
      </c>
      <c r="F598" t="s">
        <v>209</v>
      </c>
      <c r="G598" s="110" t="str">
        <f>RIGHT(H598,9)</f>
        <v>012575795</v>
      </c>
      <c r="H598" t="s">
        <v>210</v>
      </c>
      <c r="I598" s="110" t="e">
        <f>Table__10.2.1.2_1_4AHB_v_gen_TBO[[#This Row],[REALDUE]]-Table__10.2.1.2_1_4AHB_v_gen_TBO[[#This Row],[EI_BEG_AGE]]</f>
        <v>#VALUE!</v>
      </c>
      <c r="J598">
        <v>4733.5</v>
      </c>
      <c r="K598" s="110" t="str">
        <f>IF(Table__10.2.1.2_1_4AHB_v_gen_TBO[[#This Row],[NO_OVHLS]]="RC","RC","LC")</f>
        <v>LC</v>
      </c>
      <c r="L598" t="s">
        <v>403</v>
      </c>
      <c r="M598" t="s">
        <v>104</v>
      </c>
      <c r="N598" t="b">
        <v>0</v>
      </c>
    </row>
    <row r="599" spans="2:14" hidden="1">
      <c r="B599" t="s">
        <v>753</v>
      </c>
      <c r="C599" s="110" t="str">
        <f>RIGHT(B599,3)</f>
        <v>141</v>
      </c>
      <c r="D599" t="s">
        <v>461</v>
      </c>
      <c r="E599" s="110" t="str">
        <f>LEFT(F599,22)</f>
        <v>M/R PITCH LINK ASSY</v>
      </c>
      <c r="F599" t="s">
        <v>209</v>
      </c>
      <c r="G599" s="110" t="str">
        <f>RIGHT(H599,9)</f>
        <v>012575795</v>
      </c>
      <c r="H599" t="s">
        <v>210</v>
      </c>
      <c r="I599" s="110" t="e">
        <f>Table__10.2.1.2_1_4AHB_v_gen_TBO[[#This Row],[REALDUE]]-Table__10.2.1.2_1_4AHB_v_gen_TBO[[#This Row],[EI_BEG_AGE]]</f>
        <v>#VALUE!</v>
      </c>
      <c r="J599">
        <v>4733.5</v>
      </c>
      <c r="K599" s="110" t="str">
        <f>IF(Table__10.2.1.2_1_4AHB_v_gen_TBO[[#This Row],[NO_OVHLS]]="RC","RC","LC")</f>
        <v>LC</v>
      </c>
      <c r="L599" t="s">
        <v>403</v>
      </c>
      <c r="M599" t="s">
        <v>104</v>
      </c>
      <c r="N599" t="b">
        <v>0</v>
      </c>
    </row>
    <row r="600" spans="2:14" hidden="1">
      <c r="B600" t="s">
        <v>753</v>
      </c>
      <c r="C600" s="110" t="str">
        <f>RIGHT(B600,3)</f>
        <v>141</v>
      </c>
      <c r="D600" t="s">
        <v>461</v>
      </c>
      <c r="E600" s="110" t="str">
        <f>LEFT(F600,22)</f>
        <v>M/R PITCH LINK ASSY</v>
      </c>
      <c r="F600" t="s">
        <v>209</v>
      </c>
      <c r="G600" s="110" t="str">
        <f>RIGHT(H600,9)</f>
        <v>012575795</v>
      </c>
      <c r="H600" t="s">
        <v>210</v>
      </c>
      <c r="I600" s="110" t="e">
        <f>Table__10.2.1.2_1_4AHB_v_gen_TBO[[#This Row],[REALDUE]]-Table__10.2.1.2_1_4AHB_v_gen_TBO[[#This Row],[EI_BEG_AGE]]</f>
        <v>#VALUE!</v>
      </c>
      <c r="J600">
        <v>4733.5</v>
      </c>
      <c r="K600" s="110" t="str">
        <f>IF(Table__10.2.1.2_1_4AHB_v_gen_TBO[[#This Row],[NO_OVHLS]]="RC","RC","LC")</f>
        <v>LC</v>
      </c>
      <c r="L600" t="s">
        <v>403</v>
      </c>
      <c r="M600" t="s">
        <v>104</v>
      </c>
      <c r="N600" t="b">
        <v>0</v>
      </c>
    </row>
    <row r="601" spans="2:14" hidden="1">
      <c r="B601" t="s">
        <v>751</v>
      </c>
      <c r="C601" s="110" t="str">
        <f>RIGHT(B601,3)</f>
        <v>119</v>
      </c>
      <c r="D601" t="s">
        <v>461</v>
      </c>
      <c r="E601" s="110" t="str">
        <f>LEFT(F601,22)</f>
        <v>M/R PITCH LINK ASSY</v>
      </c>
      <c r="F601" t="s">
        <v>209</v>
      </c>
      <c r="G601" s="110" t="str">
        <f>RIGHT(H601,9)</f>
        <v>012575795</v>
      </c>
      <c r="H601" t="s">
        <v>210</v>
      </c>
      <c r="I601" s="110" t="e">
        <f>Table__10.2.1.2_1_4AHB_v_gen_TBO[[#This Row],[REALDUE]]-Table__10.2.1.2_1_4AHB_v_gen_TBO[[#This Row],[EI_BEG_AGE]]</f>
        <v>#VALUE!</v>
      </c>
      <c r="J601">
        <v>3973.9</v>
      </c>
      <c r="K601" s="110" t="str">
        <f>IF(Table__10.2.1.2_1_4AHB_v_gen_TBO[[#This Row],[NO_OVHLS]]="RC","RC","LC")</f>
        <v>LC</v>
      </c>
      <c r="L601" t="s">
        <v>403</v>
      </c>
      <c r="M601" t="s">
        <v>104</v>
      </c>
      <c r="N601" t="b">
        <v>0</v>
      </c>
    </row>
    <row r="602" spans="2:14" hidden="1">
      <c r="B602" t="s">
        <v>751</v>
      </c>
      <c r="C602" s="110" t="str">
        <f>RIGHT(B602,3)</f>
        <v>119</v>
      </c>
      <c r="D602" t="s">
        <v>461</v>
      </c>
      <c r="E602" s="110" t="str">
        <f>LEFT(F602,22)</f>
        <v>M/R PITCH LINK ASSY</v>
      </c>
      <c r="F602" t="s">
        <v>209</v>
      </c>
      <c r="G602" s="110" t="str">
        <f>RIGHT(H602,9)</f>
        <v>012575795</v>
      </c>
      <c r="H602" t="s">
        <v>210</v>
      </c>
      <c r="I602" s="96" t="e">
        <f>Table__10.2.1.2_1_4AHB_v_gen_TBO[[#This Row],[REALDUE]]-Table__10.2.1.2_1_4AHB_v_gen_TBO[[#This Row],[EI_BEG_AGE]]</f>
        <v>#VALUE!</v>
      </c>
      <c r="J602" s="96">
        <v>3973.9</v>
      </c>
      <c r="K602" s="110" t="str">
        <f>IF(Table__10.2.1.2_1_4AHB_v_gen_TBO[[#This Row],[NO_OVHLS]]="RC","RC","LC")</f>
        <v>LC</v>
      </c>
      <c r="L602" t="s">
        <v>403</v>
      </c>
      <c r="M602" t="s">
        <v>104</v>
      </c>
      <c r="N602" t="b">
        <v>0</v>
      </c>
    </row>
    <row r="603" spans="2:14" hidden="1">
      <c r="B603" t="s">
        <v>749</v>
      </c>
      <c r="C603" s="110" t="str">
        <f>RIGHT(B603,3)</f>
        <v>187</v>
      </c>
      <c r="D603" t="s">
        <v>462</v>
      </c>
      <c r="E603" s="110" t="str">
        <f>LEFT(F603,22)</f>
        <v>PITCH ROD END (UPPER)</v>
      </c>
      <c r="F603" t="s">
        <v>211</v>
      </c>
      <c r="G603" s="110" t="str">
        <f>RIGHT(H603,9)</f>
        <v>012575796</v>
      </c>
      <c r="H603" t="s">
        <v>212</v>
      </c>
      <c r="I603" s="110" t="e">
        <f>Table__10.2.1.2_1_4AHB_v_gen_TBO[[#This Row],[REALDUE]]-Table__10.2.1.2_1_4AHB_v_gen_TBO[[#This Row],[EI_BEG_AGE]]</f>
        <v>#VALUE!</v>
      </c>
      <c r="J603">
        <v>5314.7</v>
      </c>
      <c r="K603" s="110" t="str">
        <f>IF(Table__10.2.1.2_1_4AHB_v_gen_TBO[[#This Row],[NO_OVHLS]]="RC","RC","LC")</f>
        <v>LC</v>
      </c>
      <c r="L603" t="s">
        <v>403</v>
      </c>
      <c r="M603" t="s">
        <v>104</v>
      </c>
      <c r="N603" t="b">
        <v>0</v>
      </c>
    </row>
    <row r="604" spans="2:14" hidden="1">
      <c r="B604" t="s">
        <v>749</v>
      </c>
      <c r="C604" s="110" t="str">
        <f>RIGHT(B604,3)</f>
        <v>187</v>
      </c>
      <c r="D604" t="s">
        <v>462</v>
      </c>
      <c r="E604" s="110" t="str">
        <f>LEFT(F604,22)</f>
        <v>PITCH ROD END (UPPER)</v>
      </c>
      <c r="F604" t="s">
        <v>211</v>
      </c>
      <c r="G604" s="110" t="str">
        <f>RIGHT(H604,9)</f>
        <v>012575796</v>
      </c>
      <c r="H604" t="s">
        <v>212</v>
      </c>
      <c r="I604" s="110" t="e">
        <f>Table__10.2.1.2_1_4AHB_v_gen_TBO[[#This Row],[REALDUE]]-Table__10.2.1.2_1_4AHB_v_gen_TBO[[#This Row],[EI_BEG_AGE]]</f>
        <v>#VALUE!</v>
      </c>
      <c r="J604">
        <v>5314.7</v>
      </c>
      <c r="K604" s="110" t="str">
        <f>IF(Table__10.2.1.2_1_4AHB_v_gen_TBO[[#This Row],[NO_OVHLS]]="RC","RC","LC")</f>
        <v>LC</v>
      </c>
      <c r="L604" t="s">
        <v>403</v>
      </c>
      <c r="M604" t="s">
        <v>104</v>
      </c>
      <c r="N604" t="b">
        <v>0</v>
      </c>
    </row>
    <row r="605" spans="2:14" hidden="1">
      <c r="B605" t="s">
        <v>749</v>
      </c>
      <c r="C605" s="110" t="str">
        <f>RIGHT(B605,3)</f>
        <v>187</v>
      </c>
      <c r="D605" t="s">
        <v>462</v>
      </c>
      <c r="E605" s="110" t="str">
        <f>LEFT(F605,22)</f>
        <v>PITCH ROD END (UPPER)</v>
      </c>
      <c r="F605" t="s">
        <v>211</v>
      </c>
      <c r="G605" s="110" t="str">
        <f>RIGHT(H605,9)</f>
        <v>012575796</v>
      </c>
      <c r="H605" t="s">
        <v>212</v>
      </c>
      <c r="I605" s="110" t="e">
        <f>Table__10.2.1.2_1_4AHB_v_gen_TBO[[#This Row],[REALDUE]]-Table__10.2.1.2_1_4AHB_v_gen_TBO[[#This Row],[EI_BEG_AGE]]</f>
        <v>#VALUE!</v>
      </c>
      <c r="J605">
        <v>5314.7</v>
      </c>
      <c r="K605" s="110" t="str">
        <f>IF(Table__10.2.1.2_1_4AHB_v_gen_TBO[[#This Row],[NO_OVHLS]]="RC","RC","LC")</f>
        <v>LC</v>
      </c>
      <c r="L605" t="s">
        <v>403</v>
      </c>
      <c r="M605" t="s">
        <v>104</v>
      </c>
      <c r="N605" t="b">
        <v>0</v>
      </c>
    </row>
    <row r="606" spans="2:14" hidden="1">
      <c r="B606" t="s">
        <v>753</v>
      </c>
      <c r="C606" s="110" t="str">
        <f>RIGHT(B606,3)</f>
        <v>141</v>
      </c>
      <c r="D606" t="s">
        <v>462</v>
      </c>
      <c r="E606" s="110" t="str">
        <f>LEFT(F606,22)</f>
        <v>PITCH ROD END (UPPER)</v>
      </c>
      <c r="F606" t="s">
        <v>211</v>
      </c>
      <c r="G606" s="110" t="str">
        <f>RIGHT(H606,9)</f>
        <v>012575796</v>
      </c>
      <c r="H606" t="s">
        <v>212</v>
      </c>
      <c r="I606" s="110" t="e">
        <f>Table__10.2.1.2_1_4AHB_v_gen_TBO[[#This Row],[REALDUE]]-Table__10.2.1.2_1_4AHB_v_gen_TBO[[#This Row],[EI_BEG_AGE]]</f>
        <v>#VALUE!</v>
      </c>
      <c r="J606">
        <v>4733.5</v>
      </c>
      <c r="K606" s="110" t="str">
        <f>IF(Table__10.2.1.2_1_4AHB_v_gen_TBO[[#This Row],[NO_OVHLS]]="RC","RC","LC")</f>
        <v>LC</v>
      </c>
      <c r="L606" t="s">
        <v>403</v>
      </c>
      <c r="M606" t="s">
        <v>104</v>
      </c>
      <c r="N606" t="b">
        <v>0</v>
      </c>
    </row>
    <row r="607" spans="2:14" hidden="1">
      <c r="B607" t="s">
        <v>749</v>
      </c>
      <c r="C607" s="110" t="str">
        <f>RIGHT(B607,3)</f>
        <v>187</v>
      </c>
      <c r="D607" t="s">
        <v>463</v>
      </c>
      <c r="E607" s="110" t="str">
        <f>LEFT(F607,22)</f>
        <v>PITCH ROD END (LOWER)</v>
      </c>
      <c r="F607" t="s">
        <v>214</v>
      </c>
      <c r="G607" s="110" t="str">
        <f>RIGHT(H607,9)</f>
        <v>012575794</v>
      </c>
      <c r="H607" t="s">
        <v>213</v>
      </c>
      <c r="I607" s="110" t="e">
        <f>Table__10.2.1.2_1_4AHB_v_gen_TBO[[#This Row],[REALDUE]]-Table__10.2.1.2_1_4AHB_v_gen_TBO[[#This Row],[EI_BEG_AGE]]</f>
        <v>#VALUE!</v>
      </c>
      <c r="J607">
        <v>5314.7</v>
      </c>
      <c r="K607" s="110" t="str">
        <f>IF(Table__10.2.1.2_1_4AHB_v_gen_TBO[[#This Row],[NO_OVHLS]]="RC","RC","LC")</f>
        <v>LC</v>
      </c>
      <c r="L607" t="s">
        <v>403</v>
      </c>
      <c r="M607" t="s">
        <v>104</v>
      </c>
      <c r="N607" t="b">
        <v>0</v>
      </c>
    </row>
    <row r="608" spans="2:14" hidden="1">
      <c r="B608" t="s">
        <v>749</v>
      </c>
      <c r="C608" s="110" t="str">
        <f>RIGHT(B608,3)</f>
        <v>187</v>
      </c>
      <c r="D608" t="s">
        <v>463</v>
      </c>
      <c r="E608" s="110" t="str">
        <f>LEFT(F608,22)</f>
        <v>PITCH ROD END (LOWER)</v>
      </c>
      <c r="F608" t="s">
        <v>214</v>
      </c>
      <c r="G608" s="110" t="str">
        <f>RIGHT(H608,9)</f>
        <v>012575794</v>
      </c>
      <c r="H608" t="s">
        <v>213</v>
      </c>
      <c r="I608" s="110" t="e">
        <f>Table__10.2.1.2_1_4AHB_v_gen_TBO[[#This Row],[REALDUE]]-Table__10.2.1.2_1_4AHB_v_gen_TBO[[#This Row],[EI_BEG_AGE]]</f>
        <v>#VALUE!</v>
      </c>
      <c r="J608">
        <v>5314.7</v>
      </c>
      <c r="K608" s="110" t="str">
        <f>IF(Table__10.2.1.2_1_4AHB_v_gen_TBO[[#This Row],[NO_OVHLS]]="RC","RC","LC")</f>
        <v>LC</v>
      </c>
      <c r="L608" t="s">
        <v>403</v>
      </c>
      <c r="M608" t="s">
        <v>104</v>
      </c>
      <c r="N608" t="b">
        <v>0</v>
      </c>
    </row>
    <row r="609" spans="2:14" hidden="1">
      <c r="B609" t="s">
        <v>753</v>
      </c>
      <c r="C609" s="110" t="str">
        <f>RIGHT(B609,3)</f>
        <v>141</v>
      </c>
      <c r="D609" t="s">
        <v>463</v>
      </c>
      <c r="E609" s="110" t="str">
        <f>LEFT(F609,22)</f>
        <v>PITCH ROD END (LOWER)</v>
      </c>
      <c r="F609" t="s">
        <v>214</v>
      </c>
      <c r="G609" s="110" t="str">
        <f>RIGHT(H609,9)</f>
        <v>012575794</v>
      </c>
      <c r="H609" t="s">
        <v>213</v>
      </c>
      <c r="I609" s="96" t="e">
        <f>Table__10.2.1.2_1_4AHB_v_gen_TBO[[#This Row],[REALDUE]]-Table__10.2.1.2_1_4AHB_v_gen_TBO[[#This Row],[EI_BEG_AGE]]</f>
        <v>#VALUE!</v>
      </c>
      <c r="J609" s="96">
        <v>4733.5</v>
      </c>
      <c r="K609" s="110" t="str">
        <f>IF(Table__10.2.1.2_1_4AHB_v_gen_TBO[[#This Row],[NO_OVHLS]]="RC","RC","LC")</f>
        <v>LC</v>
      </c>
      <c r="L609" t="s">
        <v>403</v>
      </c>
      <c r="M609" t="s">
        <v>104</v>
      </c>
      <c r="N609" t="b">
        <v>0</v>
      </c>
    </row>
    <row r="610" spans="2:14" hidden="1">
      <c r="B610" t="s">
        <v>749</v>
      </c>
      <c r="C610" s="110" t="str">
        <f>RIGHT(B610,3)</f>
        <v>187</v>
      </c>
      <c r="D610" t="s">
        <v>463</v>
      </c>
      <c r="E610" s="110" t="str">
        <f>LEFT(F610,22)</f>
        <v>PITCH ROD END (LOWER)</v>
      </c>
      <c r="F610" t="s">
        <v>214</v>
      </c>
      <c r="G610" s="110" t="str">
        <f>RIGHT(H610,9)</f>
        <v>012575794</v>
      </c>
      <c r="H610" t="s">
        <v>213</v>
      </c>
      <c r="I610" s="96" t="e">
        <f>Table__10.2.1.2_1_4AHB_v_gen_TBO[[#This Row],[REALDUE]]-Table__10.2.1.2_1_4AHB_v_gen_TBO[[#This Row],[EI_BEG_AGE]]</f>
        <v>#VALUE!</v>
      </c>
      <c r="J610" s="96">
        <v>5314.7</v>
      </c>
      <c r="K610" s="110" t="str">
        <f>IF(Table__10.2.1.2_1_4AHB_v_gen_TBO[[#This Row],[NO_OVHLS]]="RC","RC","LC")</f>
        <v>LC</v>
      </c>
      <c r="L610" t="s">
        <v>403</v>
      </c>
      <c r="M610" t="s">
        <v>104</v>
      </c>
      <c r="N610" t="b">
        <v>0</v>
      </c>
    </row>
    <row r="611" spans="2:14" hidden="1">
      <c r="B611" t="s">
        <v>753</v>
      </c>
      <c r="C611" s="110" t="str">
        <f>RIGHT(B611,3)</f>
        <v>141</v>
      </c>
      <c r="D611" t="s">
        <v>464</v>
      </c>
      <c r="E611" s="110" t="str">
        <f>LEFT(F611,22)</f>
        <v>PITCH ROD END (UPPER)</v>
      </c>
      <c r="F611" t="s">
        <v>211</v>
      </c>
      <c r="G611" s="110" t="str">
        <f>RIGHT(H611,9)</f>
        <v>012575796</v>
      </c>
      <c r="H611" t="s">
        <v>212</v>
      </c>
      <c r="I611" s="96" t="e">
        <f>Table__10.2.1.2_1_4AHB_v_gen_TBO[[#This Row],[REALDUE]]-Table__10.2.1.2_1_4AHB_v_gen_TBO[[#This Row],[EI_BEG_AGE]]</f>
        <v>#VALUE!</v>
      </c>
      <c r="J611" s="96">
        <v>4733.5</v>
      </c>
      <c r="K611" s="110" t="str">
        <f>IF(Table__10.2.1.2_1_4AHB_v_gen_TBO[[#This Row],[NO_OVHLS]]="RC","RC","LC")</f>
        <v>LC</v>
      </c>
      <c r="L611" t="s">
        <v>403</v>
      </c>
      <c r="M611" t="s">
        <v>104</v>
      </c>
      <c r="N611" t="b">
        <v>0</v>
      </c>
    </row>
    <row r="612" spans="2:14" hidden="1">
      <c r="B612" t="s">
        <v>753</v>
      </c>
      <c r="C612" s="110" t="str">
        <f>RIGHT(B612,3)</f>
        <v>141</v>
      </c>
      <c r="D612" t="s">
        <v>464</v>
      </c>
      <c r="E612" s="110" t="str">
        <f>LEFT(F612,22)</f>
        <v>PITCH ROD END (UPPER)</v>
      </c>
      <c r="F612" t="s">
        <v>211</v>
      </c>
      <c r="G612" s="110" t="str">
        <f>RIGHT(H612,9)</f>
        <v>012575796</v>
      </c>
      <c r="H612" t="s">
        <v>212</v>
      </c>
      <c r="I612" s="110" t="e">
        <f>Table__10.2.1.2_1_4AHB_v_gen_TBO[[#This Row],[REALDUE]]-Table__10.2.1.2_1_4AHB_v_gen_TBO[[#This Row],[EI_BEG_AGE]]</f>
        <v>#VALUE!</v>
      </c>
      <c r="J612">
        <v>4733.5</v>
      </c>
      <c r="K612" s="110" t="str">
        <f>IF(Table__10.2.1.2_1_4AHB_v_gen_TBO[[#This Row],[NO_OVHLS]]="RC","RC","LC")</f>
        <v>LC</v>
      </c>
      <c r="L612" t="s">
        <v>403</v>
      </c>
      <c r="M612" t="s">
        <v>104</v>
      </c>
      <c r="N612" t="b">
        <v>0</v>
      </c>
    </row>
    <row r="613" spans="2:14" hidden="1">
      <c r="B613" t="s">
        <v>749</v>
      </c>
      <c r="C613" s="110" t="str">
        <f>RIGHT(B613,3)</f>
        <v>187</v>
      </c>
      <c r="D613" t="s">
        <v>464</v>
      </c>
      <c r="E613" s="110" t="str">
        <f>LEFT(F613,22)</f>
        <v>PITCH ROD END (UPPER)</v>
      </c>
      <c r="F613" t="s">
        <v>211</v>
      </c>
      <c r="G613" s="110" t="str">
        <f>RIGHT(H613,9)</f>
        <v>012575796</v>
      </c>
      <c r="H613" t="s">
        <v>212</v>
      </c>
      <c r="I613" s="110" t="e">
        <f>Table__10.2.1.2_1_4AHB_v_gen_TBO[[#This Row],[REALDUE]]-Table__10.2.1.2_1_4AHB_v_gen_TBO[[#This Row],[EI_BEG_AGE]]</f>
        <v>#VALUE!</v>
      </c>
      <c r="J613">
        <v>5314.7</v>
      </c>
      <c r="K613" s="110" t="str">
        <f>IF(Table__10.2.1.2_1_4AHB_v_gen_TBO[[#This Row],[NO_OVHLS]]="RC","RC","LC")</f>
        <v>LC</v>
      </c>
      <c r="L613" t="s">
        <v>403</v>
      </c>
      <c r="M613" t="s">
        <v>104</v>
      </c>
      <c r="N613" t="b">
        <v>0</v>
      </c>
    </row>
    <row r="614" spans="2:14" hidden="1">
      <c r="B614" t="s">
        <v>753</v>
      </c>
      <c r="C614" s="110" t="str">
        <f>RIGHT(B614,3)</f>
        <v>141</v>
      </c>
      <c r="D614" t="s">
        <v>464</v>
      </c>
      <c r="E614" s="110" t="str">
        <f>LEFT(F614,22)</f>
        <v>PITCH ROD END (UPPER)</v>
      </c>
      <c r="F614" t="s">
        <v>211</v>
      </c>
      <c r="G614" s="110" t="str">
        <f>RIGHT(H614,9)</f>
        <v>012575796</v>
      </c>
      <c r="H614" t="s">
        <v>212</v>
      </c>
      <c r="I614" s="110" t="e">
        <f>Table__10.2.1.2_1_4AHB_v_gen_TBO[[#This Row],[REALDUE]]-Table__10.2.1.2_1_4AHB_v_gen_TBO[[#This Row],[EI_BEG_AGE]]</f>
        <v>#VALUE!</v>
      </c>
      <c r="J614">
        <v>4733.5</v>
      </c>
      <c r="K614" s="110" t="str">
        <f>IF(Table__10.2.1.2_1_4AHB_v_gen_TBO[[#This Row],[NO_OVHLS]]="RC","RC","LC")</f>
        <v>LC</v>
      </c>
      <c r="L614" t="s">
        <v>403</v>
      </c>
      <c r="M614" t="s">
        <v>104</v>
      </c>
      <c r="N614" t="b">
        <v>0</v>
      </c>
    </row>
    <row r="615" spans="2:14" hidden="1">
      <c r="B615" t="s">
        <v>753</v>
      </c>
      <c r="C615" s="110" t="str">
        <f>RIGHT(B615,3)</f>
        <v>141</v>
      </c>
      <c r="D615" t="s">
        <v>464</v>
      </c>
      <c r="E615" s="110" t="str">
        <f>LEFT(F615,22)</f>
        <v>PITCH ROD END (UPPER)</v>
      </c>
      <c r="F615" t="s">
        <v>211</v>
      </c>
      <c r="G615" s="110" t="str">
        <f>RIGHT(H615,9)</f>
        <v>012575796</v>
      </c>
      <c r="H615" t="s">
        <v>212</v>
      </c>
      <c r="I615" s="96" t="e">
        <f>Table__10.2.1.2_1_4AHB_v_gen_TBO[[#This Row],[REALDUE]]-Table__10.2.1.2_1_4AHB_v_gen_TBO[[#This Row],[EI_BEG_AGE]]</f>
        <v>#VALUE!</v>
      </c>
      <c r="J615" s="96">
        <v>4733.5</v>
      </c>
      <c r="K615" s="110" t="str">
        <f>IF(Table__10.2.1.2_1_4AHB_v_gen_TBO[[#This Row],[NO_OVHLS]]="RC","RC","LC")</f>
        <v>LC</v>
      </c>
      <c r="L615" t="s">
        <v>403</v>
      </c>
      <c r="M615" t="s">
        <v>104</v>
      </c>
      <c r="N615" t="b">
        <v>0</v>
      </c>
    </row>
    <row r="616" spans="2:14" hidden="1">
      <c r="B616" t="s">
        <v>753</v>
      </c>
      <c r="C616" s="110" t="str">
        <f>RIGHT(B616,3)</f>
        <v>141</v>
      </c>
      <c r="D616" t="s">
        <v>465</v>
      </c>
      <c r="E616" s="110" t="str">
        <f>LEFT(F616,22)</f>
        <v>PITCH ROD END (LOWER)</v>
      </c>
      <c r="F616" t="s">
        <v>214</v>
      </c>
      <c r="G616" s="110" t="str">
        <f>RIGHT(H616,9)</f>
        <v>012575794</v>
      </c>
      <c r="H616" t="s">
        <v>213</v>
      </c>
      <c r="I616" s="96" t="e">
        <f>Table__10.2.1.2_1_4AHB_v_gen_TBO[[#This Row],[REALDUE]]-Table__10.2.1.2_1_4AHB_v_gen_TBO[[#This Row],[EI_BEG_AGE]]</f>
        <v>#VALUE!</v>
      </c>
      <c r="J616" s="96">
        <v>4733.5</v>
      </c>
      <c r="K616" s="110" t="str">
        <f>IF(Table__10.2.1.2_1_4AHB_v_gen_TBO[[#This Row],[NO_OVHLS]]="RC","RC","LC")</f>
        <v>LC</v>
      </c>
      <c r="L616" t="s">
        <v>403</v>
      </c>
      <c r="M616" t="s">
        <v>104</v>
      </c>
      <c r="N616" t="b">
        <v>0</v>
      </c>
    </row>
    <row r="617" spans="2:14" hidden="1">
      <c r="B617" t="s">
        <v>753</v>
      </c>
      <c r="C617" s="110" t="str">
        <f>RIGHT(B617,3)</f>
        <v>141</v>
      </c>
      <c r="D617" t="s">
        <v>465</v>
      </c>
      <c r="E617" s="110" t="str">
        <f>LEFT(F617,22)</f>
        <v>PITCH ROD END (LOWER)</v>
      </c>
      <c r="F617" t="s">
        <v>214</v>
      </c>
      <c r="G617" s="110" t="str">
        <f>RIGHT(H617,9)</f>
        <v>012575794</v>
      </c>
      <c r="H617" t="s">
        <v>213</v>
      </c>
      <c r="I617" s="96" t="e">
        <f>Table__10.2.1.2_1_4AHB_v_gen_TBO[[#This Row],[REALDUE]]-Table__10.2.1.2_1_4AHB_v_gen_TBO[[#This Row],[EI_BEG_AGE]]</f>
        <v>#VALUE!</v>
      </c>
      <c r="J617" s="96">
        <v>4733.5</v>
      </c>
      <c r="K617" s="110" t="str">
        <f>IF(Table__10.2.1.2_1_4AHB_v_gen_TBO[[#This Row],[NO_OVHLS]]="RC","RC","LC")</f>
        <v>LC</v>
      </c>
      <c r="L617" t="s">
        <v>403</v>
      </c>
      <c r="M617" t="s">
        <v>104</v>
      </c>
      <c r="N617" t="b">
        <v>0</v>
      </c>
    </row>
    <row r="618" spans="2:14" hidden="1">
      <c r="B618" t="s">
        <v>749</v>
      </c>
      <c r="C618" s="110" t="str">
        <f>RIGHT(B618,3)</f>
        <v>187</v>
      </c>
      <c r="D618" t="s">
        <v>465</v>
      </c>
      <c r="E618" s="110" t="str">
        <f>LEFT(F618,22)</f>
        <v>PITCH ROD END (LOWER)</v>
      </c>
      <c r="F618" t="s">
        <v>214</v>
      </c>
      <c r="G618" s="110" t="str">
        <f>RIGHT(H618,9)</f>
        <v>012575794</v>
      </c>
      <c r="H618" t="s">
        <v>213</v>
      </c>
      <c r="I618" s="96" t="e">
        <f>Table__10.2.1.2_1_4AHB_v_gen_TBO[[#This Row],[REALDUE]]-Table__10.2.1.2_1_4AHB_v_gen_TBO[[#This Row],[EI_BEG_AGE]]</f>
        <v>#VALUE!</v>
      </c>
      <c r="J618" s="96">
        <v>5314.7</v>
      </c>
      <c r="K618" s="110" t="str">
        <f>IF(Table__10.2.1.2_1_4AHB_v_gen_TBO[[#This Row],[NO_OVHLS]]="RC","RC","LC")</f>
        <v>LC</v>
      </c>
      <c r="L618" t="s">
        <v>403</v>
      </c>
      <c r="M618" t="s">
        <v>104</v>
      </c>
      <c r="N618" t="b">
        <v>0</v>
      </c>
    </row>
    <row r="619" spans="2:14" hidden="1">
      <c r="B619" t="s">
        <v>753</v>
      </c>
      <c r="C619" s="110" t="str">
        <f>RIGHT(B619,3)</f>
        <v>141</v>
      </c>
      <c r="D619" t="s">
        <v>465</v>
      </c>
      <c r="E619" s="110" t="str">
        <f>LEFT(F619,22)</f>
        <v>PITCH ROD END (LOWER)</v>
      </c>
      <c r="F619" t="s">
        <v>214</v>
      </c>
      <c r="G619" s="110" t="str">
        <f>RIGHT(H619,9)</f>
        <v>012575794</v>
      </c>
      <c r="H619" t="s">
        <v>213</v>
      </c>
      <c r="I619" s="96" t="e">
        <f>Table__10.2.1.2_1_4AHB_v_gen_TBO[[#This Row],[REALDUE]]-Table__10.2.1.2_1_4AHB_v_gen_TBO[[#This Row],[EI_BEG_AGE]]</f>
        <v>#VALUE!</v>
      </c>
      <c r="J619" s="96">
        <v>4733.5</v>
      </c>
      <c r="K619" s="110" t="str">
        <f>IF(Table__10.2.1.2_1_4AHB_v_gen_TBO[[#This Row],[NO_OVHLS]]="RC","RC","LC")</f>
        <v>LC</v>
      </c>
      <c r="L619" t="s">
        <v>403</v>
      </c>
      <c r="M619" t="s">
        <v>104</v>
      </c>
      <c r="N619" t="b">
        <v>0</v>
      </c>
    </row>
    <row r="620" spans="2:14" hidden="1">
      <c r="B620" t="s">
        <v>753</v>
      </c>
      <c r="C620" s="110" t="str">
        <f>RIGHT(B620,3)</f>
        <v>141</v>
      </c>
      <c r="D620" t="s">
        <v>465</v>
      </c>
      <c r="E620" s="110" t="str">
        <f>LEFT(F620,22)</f>
        <v>PITCH ROD END (LOWER)</v>
      </c>
      <c r="F620" t="s">
        <v>214</v>
      </c>
      <c r="G620" s="110" t="str">
        <f>RIGHT(H620,9)</f>
        <v>012575794</v>
      </c>
      <c r="H620" t="s">
        <v>213</v>
      </c>
      <c r="I620" s="96" t="e">
        <f>Table__10.2.1.2_1_4AHB_v_gen_TBO[[#This Row],[REALDUE]]-Table__10.2.1.2_1_4AHB_v_gen_TBO[[#This Row],[EI_BEG_AGE]]</f>
        <v>#VALUE!</v>
      </c>
      <c r="J620" s="96">
        <v>4733.5</v>
      </c>
      <c r="K620" s="110" t="str">
        <f>IF(Table__10.2.1.2_1_4AHB_v_gen_TBO[[#This Row],[NO_OVHLS]]="RC","RC","LC")</f>
        <v>LC</v>
      </c>
      <c r="L620" t="s">
        <v>403</v>
      </c>
      <c r="M620" t="s">
        <v>104</v>
      </c>
      <c r="N620" t="b">
        <v>0</v>
      </c>
    </row>
    <row r="621" spans="2:14" hidden="1">
      <c r="B621" t="s">
        <v>751</v>
      </c>
      <c r="C621" s="110" t="str">
        <f>RIGHT(B621,3)</f>
        <v>119</v>
      </c>
      <c r="D621" t="s">
        <v>558</v>
      </c>
      <c r="E621" s="110" t="str">
        <f>LEFT(F621,22)</f>
        <v>ACTUATOR SUPPORT</v>
      </c>
      <c r="F621" t="s">
        <v>349</v>
      </c>
      <c r="G621" s="110" t="str">
        <f>RIGHT(H621,9)</f>
        <v>011719071</v>
      </c>
      <c r="H621" t="s">
        <v>356</v>
      </c>
      <c r="I621" s="96" t="e">
        <f>Table__10.2.1.2_1_4AHB_v_gen_TBO[[#This Row],[REALDUE]]-Table__10.2.1.2_1_4AHB_v_gen_TBO[[#This Row],[EI_BEG_AGE]]</f>
        <v>#VALUE!</v>
      </c>
      <c r="J621" s="96">
        <v>3973.9</v>
      </c>
      <c r="K621" s="110" t="str">
        <f>IF(Table__10.2.1.2_1_4AHB_v_gen_TBO[[#This Row],[NO_OVHLS]]="RC","RC","LC")</f>
        <v>LC</v>
      </c>
      <c r="L621" t="s">
        <v>403</v>
      </c>
      <c r="M621" t="s">
        <v>104</v>
      </c>
      <c r="N621" t="b">
        <v>0</v>
      </c>
    </row>
    <row r="622" spans="2:14" hidden="1">
      <c r="B622" t="s">
        <v>753</v>
      </c>
      <c r="C622" s="110" t="str">
        <f>RIGHT(B622,3)</f>
        <v>141</v>
      </c>
      <c r="D622" t="s">
        <v>559</v>
      </c>
      <c r="E622" s="110" t="str">
        <f>LEFT(F622,22)</f>
        <v>ACTUATOR SUPPORT</v>
      </c>
      <c r="F622" t="s">
        <v>349</v>
      </c>
      <c r="G622" s="110" t="str">
        <f>RIGHT(H622,9)</f>
        <v>012639843</v>
      </c>
      <c r="H622" t="s">
        <v>357</v>
      </c>
      <c r="I622" s="96" t="e">
        <f>Table__10.2.1.2_1_4AHB_v_gen_TBO[[#This Row],[REALDUE]]-Table__10.2.1.2_1_4AHB_v_gen_TBO[[#This Row],[EI_BEG_AGE]]</f>
        <v>#VALUE!</v>
      </c>
      <c r="J622" s="96">
        <v>4733.5</v>
      </c>
      <c r="K622" s="110" t="str">
        <f>IF(Table__10.2.1.2_1_4AHB_v_gen_TBO[[#This Row],[NO_OVHLS]]="RC","RC","LC")</f>
        <v>LC</v>
      </c>
      <c r="L622" t="s">
        <v>403</v>
      </c>
      <c r="M622" t="s">
        <v>104</v>
      </c>
      <c r="N622" t="b">
        <v>0</v>
      </c>
    </row>
    <row r="623" spans="2:14" hidden="1">
      <c r="B623" t="s">
        <v>749</v>
      </c>
      <c r="C623" s="110" t="str">
        <f>RIGHT(B623,3)</f>
        <v>187</v>
      </c>
      <c r="D623" t="s">
        <v>559</v>
      </c>
      <c r="E623" s="110" t="str">
        <f>LEFT(F623,22)</f>
        <v>ACTUATOR SUPPORT</v>
      </c>
      <c r="F623" t="s">
        <v>349</v>
      </c>
      <c r="G623" s="110" t="str">
        <f>RIGHT(H623,9)</f>
        <v>012639843</v>
      </c>
      <c r="H623" t="s">
        <v>357</v>
      </c>
      <c r="I623" s="96" t="e">
        <f>Table__10.2.1.2_1_4AHB_v_gen_TBO[[#This Row],[REALDUE]]-Table__10.2.1.2_1_4AHB_v_gen_TBO[[#This Row],[EI_BEG_AGE]]</f>
        <v>#VALUE!</v>
      </c>
      <c r="J623" s="96">
        <v>5314.7</v>
      </c>
      <c r="K623" s="110" t="str">
        <f>IF(Table__10.2.1.2_1_4AHB_v_gen_TBO[[#This Row],[NO_OVHLS]]="RC","RC","LC")</f>
        <v>LC</v>
      </c>
      <c r="L623" t="s">
        <v>403</v>
      </c>
      <c r="M623" t="s">
        <v>104</v>
      </c>
      <c r="N623" t="b">
        <v>0</v>
      </c>
    </row>
    <row r="624" spans="2:14" hidden="1">
      <c r="B624" t="s">
        <v>751</v>
      </c>
      <c r="C624" s="110" t="str">
        <f>RIGHT(B624,3)</f>
        <v>119</v>
      </c>
      <c r="D624" t="s">
        <v>459</v>
      </c>
      <c r="E624" s="110" t="str">
        <f>LEFT(F624,22)</f>
        <v>ARM ASSY, FLIGHT CONTR</v>
      </c>
      <c r="F624" t="s">
        <v>206</v>
      </c>
      <c r="G624" s="110" t="str">
        <f>RIGHT(H624,9)</f>
        <v>011656775</v>
      </c>
      <c r="H624" t="s">
        <v>207</v>
      </c>
      <c r="I624" s="96" t="e">
        <f>Table__10.2.1.2_1_4AHB_v_gen_TBO[[#This Row],[REALDUE]]-Table__10.2.1.2_1_4AHB_v_gen_TBO[[#This Row],[EI_BEG_AGE]]</f>
        <v>#VALUE!</v>
      </c>
      <c r="J624" s="96">
        <v>3973.9</v>
      </c>
      <c r="K624" s="110" t="str">
        <f>IF(Table__10.2.1.2_1_4AHB_v_gen_TBO[[#This Row],[NO_OVHLS]]="RC","RC","LC")</f>
        <v>LC</v>
      </c>
      <c r="L624" t="s">
        <v>403</v>
      </c>
      <c r="M624" t="s">
        <v>104</v>
      </c>
      <c r="N624" t="b">
        <v>0</v>
      </c>
    </row>
    <row r="625" spans="2:14" hidden="1">
      <c r="B625" t="s">
        <v>749</v>
      </c>
      <c r="C625" s="110" t="str">
        <f>RIGHT(B625,3)</f>
        <v>187</v>
      </c>
      <c r="D625" t="s">
        <v>459</v>
      </c>
      <c r="E625" s="110" t="str">
        <f>LEFT(F625,22)</f>
        <v>ARM ASSY, FLIGHT CONTR</v>
      </c>
      <c r="F625" t="s">
        <v>206</v>
      </c>
      <c r="G625" s="110" t="str">
        <f>RIGHT(H625,9)</f>
        <v>011656775</v>
      </c>
      <c r="H625" t="s">
        <v>207</v>
      </c>
      <c r="I625" s="96" t="e">
        <f>Table__10.2.1.2_1_4AHB_v_gen_TBO[[#This Row],[REALDUE]]-Table__10.2.1.2_1_4AHB_v_gen_TBO[[#This Row],[EI_BEG_AGE]]</f>
        <v>#VALUE!</v>
      </c>
      <c r="J625" s="96">
        <v>5314.7</v>
      </c>
      <c r="K625" s="110" t="str">
        <f>IF(Table__10.2.1.2_1_4AHB_v_gen_TBO[[#This Row],[NO_OVHLS]]="RC","RC","LC")</f>
        <v>LC</v>
      </c>
      <c r="L625" t="s">
        <v>403</v>
      </c>
      <c r="M625" t="s">
        <v>104</v>
      </c>
      <c r="N625" t="b">
        <v>0</v>
      </c>
    </row>
    <row r="626" spans="2:14" hidden="1">
      <c r="B626" t="s">
        <v>749</v>
      </c>
      <c r="C626" s="110" t="str">
        <f>RIGHT(B626,3)</f>
        <v>187</v>
      </c>
      <c r="D626" t="s">
        <v>459</v>
      </c>
      <c r="E626" s="110" t="str">
        <f>LEFT(F626,22)</f>
        <v>ARM ASSY, FLIGHT CONTR</v>
      </c>
      <c r="F626" t="s">
        <v>206</v>
      </c>
      <c r="G626" s="110" t="str">
        <f>RIGHT(H626,9)</f>
        <v>011656775</v>
      </c>
      <c r="H626" t="s">
        <v>207</v>
      </c>
      <c r="I626" s="96" t="e">
        <f>Table__10.2.1.2_1_4AHB_v_gen_TBO[[#This Row],[REALDUE]]-Table__10.2.1.2_1_4AHB_v_gen_TBO[[#This Row],[EI_BEG_AGE]]</f>
        <v>#VALUE!</v>
      </c>
      <c r="J626" s="96">
        <v>5314.7</v>
      </c>
      <c r="K626" s="110" t="str">
        <f>IF(Table__10.2.1.2_1_4AHB_v_gen_TBO[[#This Row],[NO_OVHLS]]="RC","RC","LC")</f>
        <v>LC</v>
      </c>
      <c r="L626" t="s">
        <v>403</v>
      </c>
      <c r="M626" t="s">
        <v>104</v>
      </c>
      <c r="N626" t="b">
        <v>0</v>
      </c>
    </row>
    <row r="627" spans="2:14" hidden="1">
      <c r="B627" t="s">
        <v>751</v>
      </c>
      <c r="C627" s="110" t="str">
        <f>RIGHT(B627,3)</f>
        <v>119</v>
      </c>
      <c r="D627" t="s">
        <v>459</v>
      </c>
      <c r="E627" s="110" t="str">
        <f>LEFT(F627,22)</f>
        <v>ARM ASSY, FLIGHT CONTR</v>
      </c>
      <c r="F627" t="s">
        <v>206</v>
      </c>
      <c r="G627" s="110" t="str">
        <f>RIGHT(H627,9)</f>
        <v>011656775</v>
      </c>
      <c r="H627" t="s">
        <v>207</v>
      </c>
      <c r="I627" s="96" t="e">
        <f>Table__10.2.1.2_1_4AHB_v_gen_TBO[[#This Row],[REALDUE]]-Table__10.2.1.2_1_4AHB_v_gen_TBO[[#This Row],[EI_BEG_AGE]]</f>
        <v>#VALUE!</v>
      </c>
      <c r="J627" s="96">
        <v>3973.9</v>
      </c>
      <c r="K627" s="110" t="str">
        <f>IF(Table__10.2.1.2_1_4AHB_v_gen_TBO[[#This Row],[NO_OVHLS]]="RC","RC","LC")</f>
        <v>LC</v>
      </c>
      <c r="L627" t="s">
        <v>403</v>
      </c>
      <c r="M627" t="s">
        <v>104</v>
      </c>
      <c r="N627" t="b">
        <v>0</v>
      </c>
    </row>
    <row r="628" spans="2:14" hidden="1">
      <c r="B628" t="s">
        <v>753</v>
      </c>
      <c r="C628" s="110" t="str">
        <f>RIGHT(B628,3)</f>
        <v>141</v>
      </c>
      <c r="D628" t="s">
        <v>459</v>
      </c>
      <c r="E628" s="110" t="str">
        <f>LEFT(F628,22)</f>
        <v>ARM ASSY, FLIGHT CONTR</v>
      </c>
      <c r="F628" t="s">
        <v>206</v>
      </c>
      <c r="G628" s="110" t="str">
        <f>RIGHT(H628,9)</f>
        <v>011656775</v>
      </c>
      <c r="H628" t="s">
        <v>207</v>
      </c>
      <c r="I628" s="96" t="e">
        <f>Table__10.2.1.2_1_4AHB_v_gen_TBO[[#This Row],[REALDUE]]-Table__10.2.1.2_1_4AHB_v_gen_TBO[[#This Row],[EI_BEG_AGE]]</f>
        <v>#VALUE!</v>
      </c>
      <c r="J628" s="96">
        <v>4733.5</v>
      </c>
      <c r="K628" s="110" t="str">
        <f>IF(Table__10.2.1.2_1_4AHB_v_gen_TBO[[#This Row],[NO_OVHLS]]="RC","RC","LC")</f>
        <v>LC</v>
      </c>
      <c r="L628" t="s">
        <v>403</v>
      </c>
      <c r="M628" t="s">
        <v>104</v>
      </c>
      <c r="N628" t="b">
        <v>0</v>
      </c>
    </row>
    <row r="629" spans="2:14" hidden="1">
      <c r="B629" t="s">
        <v>753</v>
      </c>
      <c r="C629" s="110" t="str">
        <f>RIGHT(B629,3)</f>
        <v>141</v>
      </c>
      <c r="D629" t="s">
        <v>459</v>
      </c>
      <c r="E629" s="110" t="str">
        <f>LEFT(F629,22)</f>
        <v>ARM ASSY, FLT CONTROL</v>
      </c>
      <c r="F629" t="s">
        <v>208</v>
      </c>
      <c r="G629" s="110" t="str">
        <f>RIGHT(H629,9)</f>
        <v>011656775</v>
      </c>
      <c r="H629" t="s">
        <v>207</v>
      </c>
      <c r="I629" s="96" t="e">
        <f>Table__10.2.1.2_1_4AHB_v_gen_TBO[[#This Row],[REALDUE]]-Table__10.2.1.2_1_4AHB_v_gen_TBO[[#This Row],[EI_BEG_AGE]]</f>
        <v>#VALUE!</v>
      </c>
      <c r="J629" s="96">
        <v>4733.5</v>
      </c>
      <c r="K629" s="110" t="str">
        <f>IF(Table__10.2.1.2_1_4AHB_v_gen_TBO[[#This Row],[NO_OVHLS]]="RC","RC","LC")</f>
        <v>LC</v>
      </c>
      <c r="L629" t="s">
        <v>403</v>
      </c>
      <c r="M629" t="s">
        <v>104</v>
      </c>
      <c r="N629" t="b">
        <v>0</v>
      </c>
    </row>
    <row r="630" spans="2:14" hidden="1">
      <c r="B630" t="s">
        <v>749</v>
      </c>
      <c r="C630" s="110" t="str">
        <f>RIGHT(B630,3)</f>
        <v>187</v>
      </c>
      <c r="D630" t="s">
        <v>568</v>
      </c>
      <c r="E630" s="110" t="str">
        <f>LEFT(F630,22)</f>
        <v>LONG TORQUE LINK ASSY</v>
      </c>
      <c r="F630" t="s">
        <v>368</v>
      </c>
      <c r="G630" s="110" t="str">
        <f>RIGHT(H630,9)</f>
        <v>012242260</v>
      </c>
      <c r="H630" t="s">
        <v>369</v>
      </c>
      <c r="I630" s="96" t="e">
        <f>Table__10.2.1.2_1_4AHB_v_gen_TBO[[#This Row],[REALDUE]]-Table__10.2.1.2_1_4AHB_v_gen_TBO[[#This Row],[EI_BEG_AGE]]</f>
        <v>#VALUE!</v>
      </c>
      <c r="J630" s="96">
        <v>5314.7</v>
      </c>
      <c r="K630" s="110" t="str">
        <f>IF(Table__10.2.1.2_1_4AHB_v_gen_TBO[[#This Row],[NO_OVHLS]]="RC","RC","LC")</f>
        <v>LC</v>
      </c>
      <c r="L630" t="s">
        <v>403</v>
      </c>
      <c r="M630" t="s">
        <v>104</v>
      </c>
      <c r="N630" t="b">
        <v>0</v>
      </c>
    </row>
    <row r="631" spans="2:14" hidden="1">
      <c r="B631" t="s">
        <v>751</v>
      </c>
      <c r="C631" s="110" t="str">
        <f>RIGHT(B631,3)</f>
        <v>119</v>
      </c>
      <c r="D631" t="s">
        <v>568</v>
      </c>
      <c r="E631" s="110" t="str">
        <f>LEFT(F631,22)</f>
        <v>LONG TORQUE LINK ASSY</v>
      </c>
      <c r="F631" t="s">
        <v>368</v>
      </c>
      <c r="G631" s="110" t="str">
        <f>RIGHT(H631,9)</f>
        <v>012242260</v>
      </c>
      <c r="H631" t="s">
        <v>369</v>
      </c>
      <c r="I631" s="96" t="e">
        <f>Table__10.2.1.2_1_4AHB_v_gen_TBO[[#This Row],[REALDUE]]-Table__10.2.1.2_1_4AHB_v_gen_TBO[[#This Row],[EI_BEG_AGE]]</f>
        <v>#VALUE!</v>
      </c>
      <c r="J631" s="96">
        <v>3973.9</v>
      </c>
      <c r="K631" s="110" t="str">
        <f>IF(Table__10.2.1.2_1_4AHB_v_gen_TBO[[#This Row],[NO_OVHLS]]="RC","RC","LC")</f>
        <v>LC</v>
      </c>
      <c r="L631" t="s">
        <v>403</v>
      </c>
      <c r="M631" t="s">
        <v>104</v>
      </c>
      <c r="N631" t="b">
        <v>0</v>
      </c>
    </row>
    <row r="632" spans="2:14" hidden="1">
      <c r="B632" t="s">
        <v>753</v>
      </c>
      <c r="C632" s="110" t="str">
        <f>RIGHT(B632,3)</f>
        <v>141</v>
      </c>
      <c r="D632" t="s">
        <v>569</v>
      </c>
      <c r="E632" s="110" t="str">
        <f>LEFT(F632,22)</f>
        <v>LONG TORQUE LINK ASSY</v>
      </c>
      <c r="F632" t="s">
        <v>368</v>
      </c>
      <c r="G632" s="110" t="str">
        <f>RIGHT(H632,9)</f>
        <v>012242260</v>
      </c>
      <c r="H632" t="s">
        <v>369</v>
      </c>
      <c r="I632" s="96" t="e">
        <f>Table__10.2.1.2_1_4AHB_v_gen_TBO[[#This Row],[REALDUE]]-Table__10.2.1.2_1_4AHB_v_gen_TBO[[#This Row],[EI_BEG_AGE]]</f>
        <v>#VALUE!</v>
      </c>
      <c r="J632" s="96">
        <v>4733.5</v>
      </c>
      <c r="K632" s="110" t="str">
        <f>IF(Table__10.2.1.2_1_4AHB_v_gen_TBO[[#This Row],[NO_OVHLS]]="RC","RC","LC")</f>
        <v>LC</v>
      </c>
      <c r="L632" t="s">
        <v>403</v>
      </c>
      <c r="M632" t="s">
        <v>104</v>
      </c>
      <c r="N632" t="b">
        <v>0</v>
      </c>
    </row>
    <row r="633" spans="2:14" hidden="1">
      <c r="B633" t="s">
        <v>749</v>
      </c>
      <c r="C633" s="110" t="str">
        <f>RIGHT(B633,3)</f>
        <v>187</v>
      </c>
      <c r="D633" t="s">
        <v>550</v>
      </c>
      <c r="E633" s="110" t="str">
        <f>LEFT(F633,22)</f>
        <v>T/R DIRECTIONAL BELLCR</v>
      </c>
      <c r="F633" t="s">
        <v>343</v>
      </c>
      <c r="G633" s="110" t="str">
        <f>RIGHT(H633,9)</f>
        <v>012639849</v>
      </c>
      <c r="H633" t="s">
        <v>344</v>
      </c>
      <c r="I633" s="110" t="e">
        <f>Table__10.2.1.2_1_4AHB_v_gen_TBO[[#This Row],[REALDUE]]-Table__10.2.1.2_1_4AHB_v_gen_TBO[[#This Row],[EI_BEG_AGE]]</f>
        <v>#VALUE!</v>
      </c>
      <c r="J633">
        <v>5314.7</v>
      </c>
      <c r="K633" s="110" t="str">
        <f>IF(Table__10.2.1.2_1_4AHB_v_gen_TBO[[#This Row],[NO_OVHLS]]="RC","RC","LC")</f>
        <v>LC</v>
      </c>
      <c r="L633" t="s">
        <v>403</v>
      </c>
      <c r="M633" t="s">
        <v>104</v>
      </c>
      <c r="N633" t="b">
        <v>0</v>
      </c>
    </row>
    <row r="634" spans="2:14" hidden="1">
      <c r="B634" t="s">
        <v>753</v>
      </c>
      <c r="C634" s="110" t="str">
        <f>RIGHT(B634,3)</f>
        <v>141</v>
      </c>
      <c r="D634" t="s">
        <v>550</v>
      </c>
      <c r="E634" s="110" t="str">
        <f>LEFT(F634,22)</f>
        <v>T/R DIRECTIONAL BELLCR</v>
      </c>
      <c r="F634" t="s">
        <v>343</v>
      </c>
      <c r="G634" s="110" t="str">
        <f>RIGHT(H634,9)</f>
        <v>012639849</v>
      </c>
      <c r="H634" t="s">
        <v>344</v>
      </c>
      <c r="I634" s="110" t="e">
        <f>Table__10.2.1.2_1_4AHB_v_gen_TBO[[#This Row],[REALDUE]]-Table__10.2.1.2_1_4AHB_v_gen_TBO[[#This Row],[EI_BEG_AGE]]</f>
        <v>#VALUE!</v>
      </c>
      <c r="J634">
        <v>4733.5</v>
      </c>
      <c r="K634" s="110" t="str">
        <f>IF(Table__10.2.1.2_1_4AHB_v_gen_TBO[[#This Row],[NO_OVHLS]]="RC","RC","LC")</f>
        <v>LC</v>
      </c>
      <c r="L634" t="s">
        <v>403</v>
      </c>
      <c r="M634" t="s">
        <v>104</v>
      </c>
      <c r="N634" t="b">
        <v>0</v>
      </c>
    </row>
    <row r="635" spans="2:14" hidden="1">
      <c r="B635" t="s">
        <v>751</v>
      </c>
      <c r="C635" s="110" t="str">
        <f>RIGHT(B635,3)</f>
        <v>119</v>
      </c>
      <c r="D635" t="s">
        <v>550</v>
      </c>
      <c r="E635" s="110" t="str">
        <f>LEFT(F635,22)</f>
        <v>T/R DIRECTIONAL BELLCR</v>
      </c>
      <c r="F635" t="s">
        <v>343</v>
      </c>
      <c r="G635" s="110" t="str">
        <f>RIGHT(H635,9)</f>
        <v>012639849</v>
      </c>
      <c r="H635" t="s">
        <v>344</v>
      </c>
      <c r="I635" s="110" t="e">
        <f>Table__10.2.1.2_1_4AHB_v_gen_TBO[[#This Row],[REALDUE]]-Table__10.2.1.2_1_4AHB_v_gen_TBO[[#This Row],[EI_BEG_AGE]]</f>
        <v>#VALUE!</v>
      </c>
      <c r="J635">
        <v>3973.9</v>
      </c>
      <c r="K635" s="110" t="str">
        <f>IF(Table__10.2.1.2_1_4AHB_v_gen_TBO[[#This Row],[NO_OVHLS]]="RC","RC","LC")</f>
        <v>LC</v>
      </c>
      <c r="L635" t="s">
        <v>403</v>
      </c>
      <c r="M635" t="s">
        <v>104</v>
      </c>
      <c r="N635" t="b">
        <v>0</v>
      </c>
    </row>
    <row r="636" spans="2:14" hidden="1">
      <c r="B636" t="s">
        <v>753</v>
      </c>
      <c r="C636" s="110" t="str">
        <f>RIGHT(B636,3)</f>
        <v>141</v>
      </c>
      <c r="D636" t="s">
        <v>544</v>
      </c>
      <c r="E636" s="110" t="str">
        <f>LEFT(F636,22)</f>
        <v>VALVE ASSY, CROSSFEED</v>
      </c>
      <c r="F636" t="s">
        <v>335</v>
      </c>
      <c r="G636" s="110" t="str">
        <f>RIGHT(H636,9)</f>
        <v>014426929</v>
      </c>
      <c r="H636" t="s">
        <v>336</v>
      </c>
      <c r="I636" s="96" t="e">
        <f>Table__10.2.1.2_1_4AHB_v_gen_TBO[[#This Row],[REALDUE]]-Table__10.2.1.2_1_4AHB_v_gen_TBO[[#This Row],[EI_BEG_AGE]]</f>
        <v>#VALUE!</v>
      </c>
      <c r="J636" s="96">
        <v>4733.5</v>
      </c>
      <c r="K636" s="110" t="str">
        <f>IF(Table__10.2.1.2_1_4AHB_v_gen_TBO[[#This Row],[NO_OVHLS]]="RC","RC","LC")</f>
        <v>LC</v>
      </c>
      <c r="L636" t="s">
        <v>403</v>
      </c>
      <c r="M636" t="s">
        <v>104</v>
      </c>
      <c r="N636" t="b">
        <v>0</v>
      </c>
    </row>
    <row r="637" spans="2:14" hidden="1">
      <c r="B637" t="s">
        <v>751</v>
      </c>
      <c r="C637" s="110" t="str">
        <f>RIGHT(B637,3)</f>
        <v>119</v>
      </c>
      <c r="D637" t="s">
        <v>544</v>
      </c>
      <c r="E637" s="110" t="str">
        <f>LEFT(F637,22)</f>
        <v>VALVE ASSY, CROSSFEED</v>
      </c>
      <c r="F637" t="s">
        <v>335</v>
      </c>
      <c r="G637" s="110" t="str">
        <f>RIGHT(H637,9)</f>
        <v>014426929</v>
      </c>
      <c r="H637" t="s">
        <v>336</v>
      </c>
      <c r="I637" s="96" t="e">
        <f>Table__10.2.1.2_1_4AHB_v_gen_TBO[[#This Row],[REALDUE]]-Table__10.2.1.2_1_4AHB_v_gen_TBO[[#This Row],[EI_BEG_AGE]]</f>
        <v>#VALUE!</v>
      </c>
      <c r="J637" s="96">
        <v>3973.9</v>
      </c>
      <c r="K637" s="110" t="str">
        <f>IF(Table__10.2.1.2_1_4AHB_v_gen_TBO[[#This Row],[NO_OVHLS]]="RC","RC","LC")</f>
        <v>LC</v>
      </c>
      <c r="L637" t="s">
        <v>403</v>
      </c>
      <c r="M637" t="s">
        <v>104</v>
      </c>
      <c r="N637" t="b">
        <v>0</v>
      </c>
    </row>
    <row r="638" spans="2:14" hidden="1">
      <c r="B638" t="s">
        <v>749</v>
      </c>
      <c r="C638" s="110" t="str">
        <f>RIGHT(B638,3)</f>
        <v>187</v>
      </c>
      <c r="D638" t="s">
        <v>544</v>
      </c>
      <c r="E638" s="110" t="str">
        <f>LEFT(F638,22)</f>
        <v>VALVE ASSY, CROSSFEED</v>
      </c>
      <c r="F638" t="s">
        <v>335</v>
      </c>
      <c r="G638" s="110" t="str">
        <f>RIGHT(H638,9)</f>
        <v>014426929</v>
      </c>
      <c r="H638" t="s">
        <v>336</v>
      </c>
      <c r="I638" s="96" t="e">
        <f>Table__10.2.1.2_1_4AHB_v_gen_TBO[[#This Row],[REALDUE]]-Table__10.2.1.2_1_4AHB_v_gen_TBO[[#This Row],[EI_BEG_AGE]]</f>
        <v>#VALUE!</v>
      </c>
      <c r="J638" s="96">
        <v>5314.7</v>
      </c>
      <c r="K638" s="110" t="str">
        <f>IF(Table__10.2.1.2_1_4AHB_v_gen_TBO[[#This Row],[NO_OVHLS]]="RC","RC","LC")</f>
        <v>LC</v>
      </c>
      <c r="L638" t="s">
        <v>403</v>
      </c>
      <c r="M638" t="s">
        <v>104</v>
      </c>
      <c r="N638" t="b">
        <v>0</v>
      </c>
    </row>
    <row r="639" spans="2:14" hidden="1">
      <c r="B639" t="s">
        <v>749</v>
      </c>
      <c r="C639" s="110" t="str">
        <f>RIGHT(B639,3)</f>
        <v>187</v>
      </c>
      <c r="D639" t="s">
        <v>544</v>
      </c>
      <c r="E639" s="110" t="str">
        <f>LEFT(F639,22)</f>
        <v>VALVE ASSY, CROSSFEED</v>
      </c>
      <c r="F639" t="s">
        <v>335</v>
      </c>
      <c r="G639" s="110" t="str">
        <f>RIGHT(H639,9)</f>
        <v>014426929</v>
      </c>
      <c r="H639" t="s">
        <v>336</v>
      </c>
      <c r="I639" s="96" t="e">
        <f>Table__10.2.1.2_1_4AHB_v_gen_TBO[[#This Row],[REALDUE]]-Table__10.2.1.2_1_4AHB_v_gen_TBO[[#This Row],[EI_BEG_AGE]]</f>
        <v>#VALUE!</v>
      </c>
      <c r="J639" s="96">
        <v>5314.7</v>
      </c>
      <c r="K639" s="110" t="str">
        <f>IF(Table__10.2.1.2_1_4AHB_v_gen_TBO[[#This Row],[NO_OVHLS]]="RC","RC","LC")</f>
        <v>LC</v>
      </c>
      <c r="L639" t="s">
        <v>403</v>
      </c>
      <c r="M639" t="s">
        <v>104</v>
      </c>
      <c r="N639" t="b">
        <v>0</v>
      </c>
    </row>
    <row r="640" spans="2:14" hidden="1">
      <c r="B640" t="s">
        <v>753</v>
      </c>
      <c r="C640" s="110" t="str">
        <f>RIGHT(B640,3)</f>
        <v>141</v>
      </c>
      <c r="D640" t="s">
        <v>544</v>
      </c>
      <c r="E640" s="110" t="str">
        <f>LEFT(F640,22)</f>
        <v>VALVE ASSY, CROSSFEED</v>
      </c>
      <c r="F640" t="s">
        <v>335</v>
      </c>
      <c r="G640" s="110" t="str">
        <f>RIGHT(H640,9)</f>
        <v>014426929</v>
      </c>
      <c r="H640" t="s">
        <v>336</v>
      </c>
      <c r="I640" s="96" t="e">
        <f>Table__10.2.1.2_1_4AHB_v_gen_TBO[[#This Row],[REALDUE]]-Table__10.2.1.2_1_4AHB_v_gen_TBO[[#This Row],[EI_BEG_AGE]]</f>
        <v>#VALUE!</v>
      </c>
      <c r="J640" s="96">
        <v>4733.5</v>
      </c>
      <c r="K640" s="110" t="str">
        <f>IF(Table__10.2.1.2_1_4AHB_v_gen_TBO[[#This Row],[NO_OVHLS]]="RC","RC","LC")</f>
        <v>LC</v>
      </c>
      <c r="L640" t="s">
        <v>403</v>
      </c>
      <c r="M640" t="s">
        <v>104</v>
      </c>
      <c r="N640" t="b">
        <v>0</v>
      </c>
    </row>
    <row r="641" spans="2:14" hidden="1">
      <c r="B641" t="s">
        <v>751</v>
      </c>
      <c r="C641" s="110" t="str">
        <f>RIGHT(B641,3)</f>
        <v>119</v>
      </c>
      <c r="D641" t="s">
        <v>544</v>
      </c>
      <c r="E641" s="110" t="str">
        <f>LEFT(F641,22)</f>
        <v>VALVE ASSY, CROSSFEED</v>
      </c>
      <c r="F641" t="s">
        <v>335</v>
      </c>
      <c r="G641" s="110" t="str">
        <f>RIGHT(H641,9)</f>
        <v>014426929</v>
      </c>
      <c r="H641" t="s">
        <v>336</v>
      </c>
      <c r="I641" s="96" t="e">
        <f>Table__10.2.1.2_1_4AHB_v_gen_TBO[[#This Row],[REALDUE]]-Table__10.2.1.2_1_4AHB_v_gen_TBO[[#This Row],[EI_BEG_AGE]]</f>
        <v>#VALUE!</v>
      </c>
      <c r="J641" s="96">
        <v>3973.9</v>
      </c>
      <c r="K641" s="110" t="str">
        <f>IF(Table__10.2.1.2_1_4AHB_v_gen_TBO[[#This Row],[NO_OVHLS]]="RC","RC","LC")</f>
        <v>LC</v>
      </c>
      <c r="L641" t="s">
        <v>403</v>
      </c>
      <c r="M641" t="s">
        <v>104</v>
      </c>
      <c r="N641" t="b">
        <v>0</v>
      </c>
    </row>
    <row r="642" spans="2:14" hidden="1">
      <c r="B642" t="s">
        <v>749</v>
      </c>
      <c r="C642" s="110" t="str">
        <f>RIGHT(B642,3)</f>
        <v>187</v>
      </c>
      <c r="D642" t="s">
        <v>546</v>
      </c>
      <c r="E642" s="110" t="str">
        <f>LEFT(F642,22)</f>
        <v>NITROGEN INERTING UNIT</v>
      </c>
      <c r="F642" t="s">
        <v>337</v>
      </c>
      <c r="G642" s="110" t="str">
        <f>RIGHT(H642,9)</f>
        <v>011659449</v>
      </c>
      <c r="H642" t="s">
        <v>338</v>
      </c>
      <c r="I642" s="110" t="e">
        <f>Table__10.2.1.2_1_4AHB_v_gen_TBO[[#This Row],[REALDUE]]-Table__10.2.1.2_1_4AHB_v_gen_TBO[[#This Row],[EI_BEG_AGE]]</f>
        <v>#VALUE!</v>
      </c>
      <c r="J642">
        <v>5314.7</v>
      </c>
      <c r="K642" s="110" t="str">
        <f>IF(Table__10.2.1.2_1_4AHB_v_gen_TBO[[#This Row],[NO_OVHLS]]="RC","RC","LC")</f>
        <v>LC</v>
      </c>
      <c r="L642" t="s">
        <v>403</v>
      </c>
      <c r="M642" t="s">
        <v>104</v>
      </c>
      <c r="N642" t="b">
        <v>0</v>
      </c>
    </row>
    <row r="643" spans="2:14" hidden="1">
      <c r="B643" t="s">
        <v>749</v>
      </c>
      <c r="C643" s="110" t="str">
        <f>RIGHT(B643,3)</f>
        <v>187</v>
      </c>
      <c r="D643" t="s">
        <v>402</v>
      </c>
      <c r="E643" s="110" t="str">
        <f>LEFT(F643,22)</f>
        <v>ENG MOUNT SPT FWD INBD</v>
      </c>
      <c r="F643" t="s">
        <v>102</v>
      </c>
      <c r="G643" s="110" t="str">
        <f>RIGHT(H643,9)</f>
        <v>012642085</v>
      </c>
      <c r="H643" t="s">
        <v>103</v>
      </c>
      <c r="I643" s="110" t="e">
        <f>Table__10.2.1.2_1_4AHB_v_gen_TBO[[#This Row],[REALDUE]]-Table__10.2.1.2_1_4AHB_v_gen_TBO[[#This Row],[EI_BEG_AGE]]</f>
        <v>#VALUE!</v>
      </c>
      <c r="J643">
        <v>5314.7</v>
      </c>
      <c r="K643" s="110" t="str">
        <f>IF(Table__10.2.1.2_1_4AHB_v_gen_TBO[[#This Row],[NO_OVHLS]]="RC","RC","LC")</f>
        <v>LC</v>
      </c>
      <c r="L643" t="s">
        <v>403</v>
      </c>
      <c r="M643" t="s">
        <v>104</v>
      </c>
      <c r="N643" t="b">
        <v>0</v>
      </c>
    </row>
    <row r="644" spans="2:14" hidden="1">
      <c r="B644" t="s">
        <v>753</v>
      </c>
      <c r="C644" s="110" t="str">
        <f>RIGHT(B644,3)</f>
        <v>141</v>
      </c>
      <c r="D644" t="s">
        <v>402</v>
      </c>
      <c r="E644" s="110" t="str">
        <f>LEFT(F644,22)</f>
        <v>ENG MOUNT SPT FWD INBD</v>
      </c>
      <c r="F644" t="s">
        <v>102</v>
      </c>
      <c r="G644" s="110" t="str">
        <f>RIGHT(H644,9)</f>
        <v>012642085</v>
      </c>
      <c r="H644" t="s">
        <v>103</v>
      </c>
      <c r="I644" s="110" t="e">
        <f>Table__10.2.1.2_1_4AHB_v_gen_TBO[[#This Row],[REALDUE]]-Table__10.2.1.2_1_4AHB_v_gen_TBO[[#This Row],[EI_BEG_AGE]]</f>
        <v>#VALUE!</v>
      </c>
      <c r="J644">
        <v>4733.5</v>
      </c>
      <c r="K644" s="110" t="str">
        <f>IF(Table__10.2.1.2_1_4AHB_v_gen_TBO[[#This Row],[NO_OVHLS]]="RC","RC","LC")</f>
        <v>LC</v>
      </c>
      <c r="L644" t="s">
        <v>403</v>
      </c>
      <c r="M644" t="s">
        <v>104</v>
      </c>
      <c r="N644" t="b">
        <v>0</v>
      </c>
    </row>
    <row r="645" spans="2:14" hidden="1">
      <c r="B645" t="s">
        <v>751</v>
      </c>
      <c r="C645" s="110" t="str">
        <f>RIGHT(B645,3)</f>
        <v>119</v>
      </c>
      <c r="D645" t="s">
        <v>402</v>
      </c>
      <c r="E645" s="110" t="str">
        <f>LEFT(F645,22)</f>
        <v>ENG MOUNT SPT FWD INBD</v>
      </c>
      <c r="F645" t="s">
        <v>102</v>
      </c>
      <c r="G645" s="110" t="str">
        <f>RIGHT(H645,9)</f>
        <v>012642085</v>
      </c>
      <c r="H645" t="s">
        <v>103</v>
      </c>
      <c r="I645" s="110" t="e">
        <f>Table__10.2.1.2_1_4AHB_v_gen_TBO[[#This Row],[REALDUE]]-Table__10.2.1.2_1_4AHB_v_gen_TBO[[#This Row],[EI_BEG_AGE]]</f>
        <v>#VALUE!</v>
      </c>
      <c r="J645">
        <v>3973.9</v>
      </c>
      <c r="K645" s="110" t="str">
        <f>IF(Table__10.2.1.2_1_4AHB_v_gen_TBO[[#This Row],[NO_OVHLS]]="RC","RC","LC")</f>
        <v>LC</v>
      </c>
      <c r="L645" t="s">
        <v>403</v>
      </c>
      <c r="M645" t="s">
        <v>104</v>
      </c>
      <c r="N645" t="b">
        <v>0</v>
      </c>
    </row>
    <row r="646" spans="2:14" hidden="1">
      <c r="B646" t="s">
        <v>753</v>
      </c>
      <c r="C646" s="110" t="str">
        <f>RIGHT(B646,3)</f>
        <v>141</v>
      </c>
      <c r="D646" t="s">
        <v>402</v>
      </c>
      <c r="E646" s="110" t="str">
        <f>LEFT(F646,22)</f>
        <v>ENG MOUNT SPT FWD INBD</v>
      </c>
      <c r="F646" t="s">
        <v>102</v>
      </c>
      <c r="G646" s="110" t="str">
        <f>RIGHT(H646,9)</f>
        <v>012642085</v>
      </c>
      <c r="H646" t="s">
        <v>103</v>
      </c>
      <c r="I646" s="110" t="e">
        <f>Table__10.2.1.2_1_4AHB_v_gen_TBO[[#This Row],[REALDUE]]-Table__10.2.1.2_1_4AHB_v_gen_TBO[[#This Row],[EI_BEG_AGE]]</f>
        <v>#VALUE!</v>
      </c>
      <c r="J646">
        <v>4733.5</v>
      </c>
      <c r="K646" s="110" t="str">
        <f>IF(Table__10.2.1.2_1_4AHB_v_gen_TBO[[#This Row],[NO_OVHLS]]="RC","RC","LC")</f>
        <v>LC</v>
      </c>
      <c r="L646" t="s">
        <v>403</v>
      </c>
      <c r="M646" t="s">
        <v>104</v>
      </c>
      <c r="N646" t="b">
        <v>0</v>
      </c>
    </row>
    <row r="647" spans="2:14" hidden="1">
      <c r="B647" t="s">
        <v>751</v>
      </c>
      <c r="C647" s="110" t="str">
        <f>RIGHT(B647,3)</f>
        <v>119</v>
      </c>
      <c r="D647" t="s">
        <v>402</v>
      </c>
      <c r="E647" s="110" t="str">
        <f>LEFT(F647,22)</f>
        <v>ENG MOUNT SPT FWD INBD</v>
      </c>
      <c r="F647" t="s">
        <v>102</v>
      </c>
      <c r="G647" s="110" t="str">
        <f>RIGHT(H647,9)</f>
        <v>012642085</v>
      </c>
      <c r="H647" t="s">
        <v>103</v>
      </c>
      <c r="I647" s="110" t="e">
        <f>Table__10.2.1.2_1_4AHB_v_gen_TBO[[#This Row],[REALDUE]]-Table__10.2.1.2_1_4AHB_v_gen_TBO[[#This Row],[EI_BEG_AGE]]</f>
        <v>#VALUE!</v>
      </c>
      <c r="J647">
        <v>3973.9</v>
      </c>
      <c r="K647" s="110" t="str">
        <f>IF(Table__10.2.1.2_1_4AHB_v_gen_TBO[[#This Row],[NO_OVHLS]]="RC","RC","LC")</f>
        <v>LC</v>
      </c>
      <c r="L647" t="s">
        <v>403</v>
      </c>
      <c r="M647" t="s">
        <v>104</v>
      </c>
      <c r="N647" t="b">
        <v>0</v>
      </c>
    </row>
    <row r="648" spans="2:14" hidden="1">
      <c r="B648" t="s">
        <v>749</v>
      </c>
      <c r="C648" s="110" t="str">
        <f>RIGHT(B648,3)</f>
        <v>187</v>
      </c>
      <c r="D648" t="s">
        <v>402</v>
      </c>
      <c r="E648" s="110" t="str">
        <f>LEFT(F648,22)</f>
        <v>ENG MOUNT SPT FWD INBD</v>
      </c>
      <c r="F648" t="s">
        <v>102</v>
      </c>
      <c r="G648" s="110" t="str">
        <f>RIGHT(H648,9)</f>
        <v>012642085</v>
      </c>
      <c r="H648" t="s">
        <v>103</v>
      </c>
      <c r="I648" s="110" t="e">
        <f>Table__10.2.1.2_1_4AHB_v_gen_TBO[[#This Row],[REALDUE]]-Table__10.2.1.2_1_4AHB_v_gen_TBO[[#This Row],[EI_BEG_AGE]]</f>
        <v>#VALUE!</v>
      </c>
      <c r="J648">
        <v>5314.7</v>
      </c>
      <c r="K648" s="110" t="str">
        <f>IF(Table__10.2.1.2_1_4AHB_v_gen_TBO[[#This Row],[NO_OVHLS]]="RC","RC","LC")</f>
        <v>LC</v>
      </c>
      <c r="L648" t="s">
        <v>403</v>
      </c>
      <c r="M648" t="s">
        <v>104</v>
      </c>
      <c r="N648" t="b">
        <v>0</v>
      </c>
    </row>
    <row r="649" spans="2:14" hidden="1">
      <c r="B649" t="s">
        <v>751</v>
      </c>
      <c r="C649" s="110" t="str">
        <f>RIGHT(B649,3)</f>
        <v>119</v>
      </c>
      <c r="D649" t="s">
        <v>538</v>
      </c>
      <c r="E649" s="110" t="str">
        <f>LEFT(F649,22)</f>
        <v>HYDRAULIC PUMP</v>
      </c>
      <c r="F649" t="s">
        <v>325</v>
      </c>
      <c r="G649" s="110" t="str">
        <f>RIGHT(H649,9)</f>
        <v>011580893</v>
      </c>
      <c r="H649" t="s">
        <v>326</v>
      </c>
      <c r="I649" s="110" t="e">
        <f>Table__10.2.1.2_1_4AHB_v_gen_TBO[[#This Row],[REALDUE]]-Table__10.2.1.2_1_4AHB_v_gen_TBO[[#This Row],[EI_BEG_AGE]]</f>
        <v>#VALUE!</v>
      </c>
      <c r="J649">
        <v>3973.9</v>
      </c>
      <c r="K649" s="110" t="str">
        <f>IF(Table__10.2.1.2_1_4AHB_v_gen_TBO[[#This Row],[NO_OVHLS]]="RC","RC","LC")</f>
        <v>LC</v>
      </c>
      <c r="L649" t="s">
        <v>403</v>
      </c>
      <c r="M649" t="s">
        <v>104</v>
      </c>
      <c r="N649" t="b">
        <v>0</v>
      </c>
    </row>
    <row r="650" spans="2:14" hidden="1">
      <c r="B650" t="s">
        <v>751</v>
      </c>
      <c r="C650" s="110" t="str">
        <f>RIGHT(B650,3)</f>
        <v>119</v>
      </c>
      <c r="D650" t="s">
        <v>538</v>
      </c>
      <c r="E650" s="110" t="str">
        <f>LEFT(F650,22)</f>
        <v>HYDRAULIC PUMP, UTILIT</v>
      </c>
      <c r="F650" t="s">
        <v>622</v>
      </c>
      <c r="G650" s="110" t="str">
        <f>RIGHT(H650,9)</f>
        <v>011580893</v>
      </c>
      <c r="H650" t="s">
        <v>326</v>
      </c>
      <c r="I650" s="110" t="e">
        <f>Table__10.2.1.2_1_4AHB_v_gen_TBO[[#This Row],[REALDUE]]-Table__10.2.1.2_1_4AHB_v_gen_TBO[[#This Row],[EI_BEG_AGE]]</f>
        <v>#VALUE!</v>
      </c>
      <c r="J650">
        <v>3973.9</v>
      </c>
      <c r="K650" s="110" t="str">
        <f>IF(Table__10.2.1.2_1_4AHB_v_gen_TBO[[#This Row],[NO_OVHLS]]="RC","RC","LC")</f>
        <v>LC</v>
      </c>
      <c r="L650" t="s">
        <v>403</v>
      </c>
      <c r="M650" t="s">
        <v>104</v>
      </c>
      <c r="N650" t="b">
        <v>0</v>
      </c>
    </row>
    <row r="651" spans="2:14" hidden="1">
      <c r="B651" t="s">
        <v>753</v>
      </c>
      <c r="C651" s="110" t="str">
        <f>RIGHT(B651,3)</f>
        <v>141</v>
      </c>
      <c r="D651" t="s">
        <v>552</v>
      </c>
      <c r="E651" s="110" t="str">
        <f>LEFT(F651,22)</f>
        <v>ACTUATOR</v>
      </c>
      <c r="F651" t="s">
        <v>345</v>
      </c>
      <c r="G651" s="110" t="str">
        <f>RIGHT(H651,9)</f>
        <v>012737610</v>
      </c>
      <c r="H651" t="s">
        <v>346</v>
      </c>
      <c r="I651" s="110" t="e">
        <f>Table__10.2.1.2_1_4AHB_v_gen_TBO[[#This Row],[REALDUE]]-Table__10.2.1.2_1_4AHB_v_gen_TBO[[#This Row],[EI_BEG_AGE]]</f>
        <v>#VALUE!</v>
      </c>
      <c r="J651">
        <v>4733.5</v>
      </c>
      <c r="K651" s="110" t="str">
        <f>IF(Table__10.2.1.2_1_4AHB_v_gen_TBO[[#This Row],[NO_OVHLS]]="RC","RC","LC")</f>
        <v>LC</v>
      </c>
      <c r="L651" t="s">
        <v>403</v>
      </c>
      <c r="M651" t="s">
        <v>104</v>
      </c>
      <c r="N651" t="b">
        <v>0</v>
      </c>
    </row>
    <row r="652" spans="2:14" hidden="1">
      <c r="B652" t="s">
        <v>749</v>
      </c>
      <c r="C652" s="110" t="str">
        <f>RIGHT(B652,3)</f>
        <v>187</v>
      </c>
      <c r="D652" t="s">
        <v>552</v>
      </c>
      <c r="E652" s="110" t="str">
        <f>LEFT(F652,22)</f>
        <v>ACTUATOR</v>
      </c>
      <c r="F652" t="s">
        <v>345</v>
      </c>
      <c r="G652" s="110" t="str">
        <f>RIGHT(H652,9)</f>
        <v>012737610</v>
      </c>
      <c r="H652" t="s">
        <v>346</v>
      </c>
      <c r="I652" s="110" t="e">
        <f>Table__10.2.1.2_1_4AHB_v_gen_TBO[[#This Row],[REALDUE]]-Table__10.2.1.2_1_4AHB_v_gen_TBO[[#This Row],[EI_BEG_AGE]]</f>
        <v>#VALUE!</v>
      </c>
      <c r="J652">
        <v>5314.7</v>
      </c>
      <c r="K652" s="110" t="str">
        <f>IF(Table__10.2.1.2_1_4AHB_v_gen_TBO[[#This Row],[NO_OVHLS]]="RC","RC","LC")</f>
        <v>LC</v>
      </c>
      <c r="L652" t="s">
        <v>403</v>
      </c>
      <c r="M652" t="s">
        <v>104</v>
      </c>
      <c r="N652" t="b">
        <v>0</v>
      </c>
    </row>
    <row r="653" spans="2:14" hidden="1">
      <c r="B653" t="s">
        <v>751</v>
      </c>
      <c r="C653" s="110" t="str">
        <f>RIGHT(B653,3)</f>
        <v>119</v>
      </c>
      <c r="D653" t="s">
        <v>552</v>
      </c>
      <c r="E653" s="110" t="str">
        <f>LEFT(F653,22)</f>
        <v>ACTUATOR</v>
      </c>
      <c r="F653" t="s">
        <v>345</v>
      </c>
      <c r="G653" s="110" t="str">
        <f>RIGHT(H653,9)</f>
        <v>012737610</v>
      </c>
      <c r="H653" t="s">
        <v>346</v>
      </c>
      <c r="I653" s="110" t="e">
        <f>Table__10.2.1.2_1_4AHB_v_gen_TBO[[#This Row],[REALDUE]]-Table__10.2.1.2_1_4AHB_v_gen_TBO[[#This Row],[EI_BEG_AGE]]</f>
        <v>#VALUE!</v>
      </c>
      <c r="J653">
        <v>3973.9</v>
      </c>
      <c r="K653" s="110" t="str">
        <f>IF(Table__10.2.1.2_1_4AHB_v_gen_TBO[[#This Row],[NO_OVHLS]]="RC","RC","LC")</f>
        <v>LC</v>
      </c>
      <c r="L653" t="s">
        <v>403</v>
      </c>
      <c r="M653" t="s">
        <v>104</v>
      </c>
      <c r="N653" t="b">
        <v>0</v>
      </c>
    </row>
    <row r="654" spans="2:14" hidden="1">
      <c r="B654" t="s">
        <v>749</v>
      </c>
      <c r="C654" s="110" t="str">
        <f>RIGHT(B654,3)</f>
        <v>187</v>
      </c>
      <c r="D654" t="s">
        <v>552</v>
      </c>
      <c r="E654" s="110" t="str">
        <f>LEFT(F654,22)</f>
        <v>ACTUATOR</v>
      </c>
      <c r="F654" t="s">
        <v>345</v>
      </c>
      <c r="G654" s="110" t="str">
        <f>RIGHT(H654,9)</f>
        <v>012737610</v>
      </c>
      <c r="H654" t="s">
        <v>346</v>
      </c>
      <c r="I654" s="110" t="e">
        <f>Table__10.2.1.2_1_4AHB_v_gen_TBO[[#This Row],[REALDUE]]-Table__10.2.1.2_1_4AHB_v_gen_TBO[[#This Row],[EI_BEG_AGE]]</f>
        <v>#VALUE!</v>
      </c>
      <c r="J654">
        <v>5314.7</v>
      </c>
      <c r="K654" s="110" t="str">
        <f>IF(Table__10.2.1.2_1_4AHB_v_gen_TBO[[#This Row],[NO_OVHLS]]="RC","RC","LC")</f>
        <v>LC</v>
      </c>
      <c r="L654" t="s">
        <v>403</v>
      </c>
      <c r="M654" t="s">
        <v>104</v>
      </c>
      <c r="N654" t="b">
        <v>0</v>
      </c>
    </row>
    <row r="655" spans="2:14" hidden="1">
      <c r="B655" t="s">
        <v>751</v>
      </c>
      <c r="C655" s="110" t="str">
        <f>RIGHT(B655,3)</f>
        <v>119</v>
      </c>
      <c r="D655" t="s">
        <v>552</v>
      </c>
      <c r="E655" s="110" t="str">
        <f>LEFT(F655,22)</f>
        <v>COLL. MAIN ROTOR ACTUA</v>
      </c>
      <c r="F655" t="s">
        <v>347</v>
      </c>
      <c r="G655" s="110" t="str">
        <f>RIGHT(H655,9)</f>
        <v>014770559</v>
      </c>
      <c r="H655" t="s">
        <v>348</v>
      </c>
      <c r="I655" s="110" t="e">
        <f>Table__10.2.1.2_1_4AHB_v_gen_TBO[[#This Row],[REALDUE]]-Table__10.2.1.2_1_4AHB_v_gen_TBO[[#This Row],[EI_BEG_AGE]]</f>
        <v>#VALUE!</v>
      </c>
      <c r="J655">
        <v>3973.9</v>
      </c>
      <c r="K655" s="110" t="str">
        <f>IF(Table__10.2.1.2_1_4AHB_v_gen_TBO[[#This Row],[NO_OVHLS]]="RC","RC","LC")</f>
        <v>LC</v>
      </c>
      <c r="L655" t="s">
        <v>403</v>
      </c>
      <c r="M655" t="s">
        <v>104</v>
      </c>
      <c r="N655" t="b">
        <v>0</v>
      </c>
    </row>
    <row r="656" spans="2:14" hidden="1">
      <c r="B656" t="s">
        <v>753</v>
      </c>
      <c r="C656" s="110" t="str">
        <f>RIGHT(B656,3)</f>
        <v>141</v>
      </c>
      <c r="D656" t="s">
        <v>555</v>
      </c>
      <c r="E656" s="110" t="str">
        <f>LEFT(F656,22)</f>
        <v>ACTUATOR</v>
      </c>
      <c r="F656" t="s">
        <v>345</v>
      </c>
      <c r="G656" s="110" t="str">
        <f>RIGHT(H656,9)</f>
        <v>014940084</v>
      </c>
      <c r="H656" t="s">
        <v>353</v>
      </c>
      <c r="I656" s="110" t="e">
        <f>Table__10.2.1.2_1_4AHB_v_gen_TBO[[#This Row],[REALDUE]]-Table__10.2.1.2_1_4AHB_v_gen_TBO[[#This Row],[EI_BEG_AGE]]</f>
        <v>#VALUE!</v>
      </c>
      <c r="J656">
        <v>4733.5</v>
      </c>
      <c r="K656" s="110" t="str">
        <f>IF(Table__10.2.1.2_1_4AHB_v_gen_TBO[[#This Row],[NO_OVHLS]]="RC","RC","LC")</f>
        <v>LC</v>
      </c>
      <c r="L656" t="s">
        <v>403</v>
      </c>
      <c r="M656" t="s">
        <v>104</v>
      </c>
      <c r="N656" t="b">
        <v>0</v>
      </c>
    </row>
    <row r="657" spans="2:14" hidden="1">
      <c r="B657" t="s">
        <v>751</v>
      </c>
      <c r="C657" s="110" t="str">
        <f>RIGHT(B657,3)</f>
        <v>119</v>
      </c>
      <c r="D657" t="s">
        <v>555</v>
      </c>
      <c r="E657" s="110" t="str">
        <f>LEFT(F657,22)</f>
        <v>ACTUATOR</v>
      </c>
      <c r="F657" t="s">
        <v>345</v>
      </c>
      <c r="G657" s="110" t="str">
        <f>RIGHT(H657,9)</f>
        <v>014940084</v>
      </c>
      <c r="H657" t="s">
        <v>353</v>
      </c>
      <c r="I657" s="96" t="e">
        <f>Table__10.2.1.2_1_4AHB_v_gen_TBO[[#This Row],[REALDUE]]-Table__10.2.1.2_1_4AHB_v_gen_TBO[[#This Row],[EI_BEG_AGE]]</f>
        <v>#VALUE!</v>
      </c>
      <c r="J657" s="96">
        <v>3973.9</v>
      </c>
      <c r="K657" s="110" t="str">
        <f>IF(Table__10.2.1.2_1_4AHB_v_gen_TBO[[#This Row],[NO_OVHLS]]="RC","RC","LC")</f>
        <v>LC</v>
      </c>
      <c r="L657" t="s">
        <v>403</v>
      </c>
      <c r="M657" t="s">
        <v>104</v>
      </c>
      <c r="N657" t="b">
        <v>0</v>
      </c>
    </row>
    <row r="658" spans="2:14" hidden="1">
      <c r="B658" t="s">
        <v>749</v>
      </c>
      <c r="C658" s="110" t="str">
        <f>RIGHT(B658,3)</f>
        <v>187</v>
      </c>
      <c r="D658" t="s">
        <v>555</v>
      </c>
      <c r="E658" s="110" t="str">
        <f>LEFT(F658,22)</f>
        <v>ACTUATOR</v>
      </c>
      <c r="F658" t="s">
        <v>345</v>
      </c>
      <c r="G658" s="110" t="str">
        <f>RIGHT(H658,9)</f>
        <v>014940084</v>
      </c>
      <c r="H658" t="s">
        <v>353</v>
      </c>
      <c r="I658" s="96" t="e">
        <f>Table__10.2.1.2_1_4AHB_v_gen_TBO[[#This Row],[REALDUE]]-Table__10.2.1.2_1_4AHB_v_gen_TBO[[#This Row],[EI_BEG_AGE]]</f>
        <v>#VALUE!</v>
      </c>
      <c r="J658" s="96">
        <v>5314.7</v>
      </c>
      <c r="K658" s="110" t="str">
        <f>IF(Table__10.2.1.2_1_4AHB_v_gen_TBO[[#This Row],[NO_OVHLS]]="RC","RC","LC")</f>
        <v>LC</v>
      </c>
      <c r="L658" t="s">
        <v>403</v>
      </c>
      <c r="M658" t="s">
        <v>104</v>
      </c>
      <c r="N658" t="b">
        <v>0</v>
      </c>
    </row>
    <row r="659" spans="2:14" hidden="1">
      <c r="B659" t="s">
        <v>751</v>
      </c>
      <c r="C659" s="110" t="str">
        <f>RIGHT(B659,3)</f>
        <v>119</v>
      </c>
      <c r="D659" t="s">
        <v>548</v>
      </c>
      <c r="E659" s="110" t="str">
        <f>LEFT(F659,22)</f>
        <v>TAIL ROTOR ACTUATOR</v>
      </c>
      <c r="F659" t="s">
        <v>339</v>
      </c>
      <c r="G659" s="110" t="str">
        <f>RIGHT(H659,9)</f>
        <v>014940083</v>
      </c>
      <c r="H659" t="s">
        <v>340</v>
      </c>
      <c r="I659" s="96" t="e">
        <f>Table__10.2.1.2_1_4AHB_v_gen_TBO[[#This Row],[REALDUE]]-Table__10.2.1.2_1_4AHB_v_gen_TBO[[#This Row],[EI_BEG_AGE]]</f>
        <v>#VALUE!</v>
      </c>
      <c r="J659" s="96">
        <v>3973.9</v>
      </c>
      <c r="K659" s="110" t="str">
        <f>IF(Table__10.2.1.2_1_4AHB_v_gen_TBO[[#This Row],[NO_OVHLS]]="RC","RC","LC")</f>
        <v>LC</v>
      </c>
      <c r="L659" t="s">
        <v>403</v>
      </c>
      <c r="M659" t="s">
        <v>104</v>
      </c>
      <c r="N659" t="b">
        <v>0</v>
      </c>
    </row>
    <row r="660" spans="2:14" hidden="1">
      <c r="B660" t="s">
        <v>749</v>
      </c>
      <c r="C660" s="110" t="str">
        <f>RIGHT(B660,3)</f>
        <v>187</v>
      </c>
      <c r="D660" t="s">
        <v>548</v>
      </c>
      <c r="E660" s="110" t="str">
        <f>LEFT(F660,22)</f>
        <v>TAIL ROTOR ACTUATOR</v>
      </c>
      <c r="F660" t="s">
        <v>339</v>
      </c>
      <c r="G660" s="110" t="str">
        <f>RIGHT(H660,9)</f>
        <v>014940083</v>
      </c>
      <c r="H660" t="s">
        <v>340</v>
      </c>
      <c r="I660" s="96" t="e">
        <f>Table__10.2.1.2_1_4AHB_v_gen_TBO[[#This Row],[REALDUE]]-Table__10.2.1.2_1_4AHB_v_gen_TBO[[#This Row],[EI_BEG_AGE]]</f>
        <v>#VALUE!</v>
      </c>
      <c r="J660" s="96">
        <v>5314.7</v>
      </c>
      <c r="K660" s="110" t="str">
        <f>IF(Table__10.2.1.2_1_4AHB_v_gen_TBO[[#This Row],[NO_OVHLS]]="RC","RC","LC")</f>
        <v>LC</v>
      </c>
      <c r="L660" t="s">
        <v>403</v>
      </c>
      <c r="M660" t="s">
        <v>104</v>
      </c>
      <c r="N660" t="b">
        <v>0</v>
      </c>
    </row>
    <row r="661" spans="2:14" hidden="1">
      <c r="B661" t="s">
        <v>753</v>
      </c>
      <c r="C661" s="110" t="str">
        <f>RIGHT(B661,3)</f>
        <v>141</v>
      </c>
      <c r="D661" t="s">
        <v>578</v>
      </c>
      <c r="E661" s="110" t="str">
        <f>LEFT(F661,22)</f>
        <v>STABILATOR ACTUATOR</v>
      </c>
      <c r="F661" t="s">
        <v>380</v>
      </c>
      <c r="G661" s="110" t="str">
        <f>RIGHT(H661,9)</f>
        <v>012697284</v>
      </c>
      <c r="H661" t="s">
        <v>381</v>
      </c>
      <c r="I661" s="96" t="e">
        <f>Table__10.2.1.2_1_4AHB_v_gen_TBO[[#This Row],[REALDUE]]-Table__10.2.1.2_1_4AHB_v_gen_TBO[[#This Row],[EI_BEG_AGE]]</f>
        <v>#VALUE!</v>
      </c>
      <c r="J661" s="96">
        <v>4733.5</v>
      </c>
      <c r="K661" s="110" t="str">
        <f>IF(Table__10.2.1.2_1_4AHB_v_gen_TBO[[#This Row],[NO_OVHLS]]="RC","RC","LC")</f>
        <v>LC</v>
      </c>
      <c r="L661" t="s">
        <v>403</v>
      </c>
      <c r="M661" t="s">
        <v>104</v>
      </c>
      <c r="N661" t="b">
        <v>0</v>
      </c>
    </row>
    <row r="662" spans="2:14" hidden="1">
      <c r="B662" t="s">
        <v>753</v>
      </c>
      <c r="C662" s="110" t="str">
        <f>RIGHT(B662,3)</f>
        <v>141</v>
      </c>
      <c r="D662" t="s">
        <v>578</v>
      </c>
      <c r="E662" s="110" t="str">
        <f>LEFT(F662,22)</f>
        <v>STABILATOR ACTUATOR</v>
      </c>
      <c r="F662" t="s">
        <v>380</v>
      </c>
      <c r="G662" s="110" t="str">
        <f>RIGHT(H662,9)</f>
        <v>012697284</v>
      </c>
      <c r="H662" t="s">
        <v>381</v>
      </c>
      <c r="I662" s="96" t="e">
        <f>Table__10.2.1.2_1_4AHB_v_gen_TBO[[#This Row],[REALDUE]]-Table__10.2.1.2_1_4AHB_v_gen_TBO[[#This Row],[EI_BEG_AGE]]</f>
        <v>#VALUE!</v>
      </c>
      <c r="J662" s="96">
        <v>4733.5</v>
      </c>
      <c r="K662" s="110" t="str">
        <f>IF(Table__10.2.1.2_1_4AHB_v_gen_TBO[[#This Row],[NO_OVHLS]]="RC","RC","LC")</f>
        <v>LC</v>
      </c>
      <c r="L662" t="s">
        <v>403</v>
      </c>
      <c r="M662" t="s">
        <v>104</v>
      </c>
      <c r="N662" t="b">
        <v>0</v>
      </c>
    </row>
    <row r="663" spans="2:14" hidden="1">
      <c r="B663" t="s">
        <v>751</v>
      </c>
      <c r="C663" s="110" t="str">
        <f>RIGHT(B663,3)</f>
        <v>119</v>
      </c>
      <c r="D663" t="s">
        <v>578</v>
      </c>
      <c r="E663" s="110" t="str">
        <f>LEFT(F663,22)</f>
        <v>STABILATOR ACTUATOR</v>
      </c>
      <c r="F663" t="s">
        <v>380</v>
      </c>
      <c r="G663" s="110" t="str">
        <f>RIGHT(H663,9)</f>
        <v>012697284</v>
      </c>
      <c r="H663" t="s">
        <v>381</v>
      </c>
      <c r="I663" s="96" t="e">
        <f>Table__10.2.1.2_1_4AHB_v_gen_TBO[[#This Row],[REALDUE]]-Table__10.2.1.2_1_4AHB_v_gen_TBO[[#This Row],[EI_BEG_AGE]]</f>
        <v>#VALUE!</v>
      </c>
      <c r="J663" s="96">
        <v>3973.9</v>
      </c>
      <c r="K663" s="110" t="str">
        <f>IF(Table__10.2.1.2_1_4AHB_v_gen_TBO[[#This Row],[NO_OVHLS]]="RC","RC","LC")</f>
        <v>LC</v>
      </c>
      <c r="L663" t="s">
        <v>403</v>
      </c>
      <c r="M663" t="s">
        <v>104</v>
      </c>
      <c r="N663" t="b">
        <v>0</v>
      </c>
    </row>
    <row r="664" spans="2:14" hidden="1">
      <c r="B664" t="s">
        <v>749</v>
      </c>
      <c r="C664" s="110" t="str">
        <f>RIGHT(B664,3)</f>
        <v>187</v>
      </c>
      <c r="D664" t="s">
        <v>578</v>
      </c>
      <c r="E664" s="110" t="str">
        <f>LEFT(F664,22)</f>
        <v>STABILATOR ACTUATOR</v>
      </c>
      <c r="F664" t="s">
        <v>380</v>
      </c>
      <c r="G664" s="110" t="str">
        <f>RIGHT(H664,9)</f>
        <v>012697284</v>
      </c>
      <c r="H664" t="s">
        <v>381</v>
      </c>
      <c r="I664" s="96" t="e">
        <f>Table__10.2.1.2_1_4AHB_v_gen_TBO[[#This Row],[REALDUE]]-Table__10.2.1.2_1_4AHB_v_gen_TBO[[#This Row],[EI_BEG_AGE]]</f>
        <v>#VALUE!</v>
      </c>
      <c r="J664" s="96">
        <v>5314.7</v>
      </c>
      <c r="K664" s="110" t="str">
        <f>IF(Table__10.2.1.2_1_4AHB_v_gen_TBO[[#This Row],[NO_OVHLS]]="RC","RC","LC")</f>
        <v>LC</v>
      </c>
      <c r="L664" t="s">
        <v>403</v>
      </c>
      <c r="M664" t="s">
        <v>104</v>
      </c>
      <c r="N664" t="b">
        <v>0</v>
      </c>
    </row>
    <row r="665" spans="2:14" hidden="1">
      <c r="B665" t="s">
        <v>751</v>
      </c>
      <c r="C665" s="110" t="str">
        <f>RIGHT(B665,3)</f>
        <v>119</v>
      </c>
      <c r="D665" t="s">
        <v>578</v>
      </c>
      <c r="E665" s="110" t="str">
        <f>LEFT(F665,22)</f>
        <v>STABILATOR ACTUATOR</v>
      </c>
      <c r="F665" t="s">
        <v>380</v>
      </c>
      <c r="G665" s="110" t="str">
        <f>RIGHT(H665,9)</f>
        <v>012697284</v>
      </c>
      <c r="H665" t="s">
        <v>381</v>
      </c>
      <c r="I665" s="96" t="e">
        <f>Table__10.2.1.2_1_4AHB_v_gen_TBO[[#This Row],[REALDUE]]-Table__10.2.1.2_1_4AHB_v_gen_TBO[[#This Row],[EI_BEG_AGE]]</f>
        <v>#VALUE!</v>
      </c>
      <c r="J665" s="96">
        <v>3973.9</v>
      </c>
      <c r="K665" s="110" t="str">
        <f>IF(Table__10.2.1.2_1_4AHB_v_gen_TBO[[#This Row],[NO_OVHLS]]="RC","RC","LC")</f>
        <v>LC</v>
      </c>
      <c r="L665" t="s">
        <v>403</v>
      </c>
      <c r="M665" t="s">
        <v>104</v>
      </c>
      <c r="N665" t="b">
        <v>0</v>
      </c>
    </row>
    <row r="666" spans="2:14" hidden="1">
      <c r="B666" t="s">
        <v>749</v>
      </c>
      <c r="C666" s="110" t="str">
        <f>RIGHT(B666,3)</f>
        <v>187</v>
      </c>
      <c r="D666" t="s">
        <v>585</v>
      </c>
      <c r="E666" s="110" t="str">
        <f>LEFT(F666,22)</f>
        <v>WING PYLON ACTUATOR</v>
      </c>
      <c r="F666" t="s">
        <v>393</v>
      </c>
      <c r="G666" s="110" t="str">
        <f>RIGHT(H666,9)</f>
        <v>012637856</v>
      </c>
      <c r="H666" t="s">
        <v>394</v>
      </c>
      <c r="I666" s="96" t="e">
        <f>Table__10.2.1.2_1_4AHB_v_gen_TBO[[#This Row],[REALDUE]]-Table__10.2.1.2_1_4AHB_v_gen_TBO[[#This Row],[EI_BEG_AGE]]</f>
        <v>#VALUE!</v>
      </c>
      <c r="J666" s="96">
        <v>5314.7</v>
      </c>
      <c r="K666" s="110" t="str">
        <f>IF(Table__10.2.1.2_1_4AHB_v_gen_TBO[[#This Row],[NO_OVHLS]]="RC","RC","LC")</f>
        <v>LC</v>
      </c>
      <c r="L666" t="s">
        <v>403</v>
      </c>
      <c r="M666" t="s">
        <v>104</v>
      </c>
      <c r="N666" t="b">
        <v>0</v>
      </c>
    </row>
    <row r="667" spans="2:14" hidden="1">
      <c r="B667" t="s">
        <v>749</v>
      </c>
      <c r="C667" s="110" t="str">
        <f>RIGHT(B667,3)</f>
        <v>187</v>
      </c>
      <c r="D667" t="s">
        <v>585</v>
      </c>
      <c r="E667" s="110" t="str">
        <f>LEFT(F667,22)</f>
        <v>WING PYLON ACTUATOR</v>
      </c>
      <c r="F667" t="s">
        <v>393</v>
      </c>
      <c r="G667" s="110" t="str">
        <f>RIGHT(H667,9)</f>
        <v>012637856</v>
      </c>
      <c r="H667" t="s">
        <v>394</v>
      </c>
      <c r="I667" s="96" t="e">
        <f>Table__10.2.1.2_1_4AHB_v_gen_TBO[[#This Row],[REALDUE]]-Table__10.2.1.2_1_4AHB_v_gen_TBO[[#This Row],[EI_BEG_AGE]]</f>
        <v>#VALUE!</v>
      </c>
      <c r="J667" s="96">
        <v>5314.7</v>
      </c>
      <c r="K667" s="110" t="str">
        <f>IF(Table__10.2.1.2_1_4AHB_v_gen_TBO[[#This Row],[NO_OVHLS]]="RC","RC","LC")</f>
        <v>LC</v>
      </c>
      <c r="L667" t="s">
        <v>403</v>
      </c>
      <c r="M667" t="s">
        <v>104</v>
      </c>
      <c r="N667" t="b">
        <v>0</v>
      </c>
    </row>
    <row r="668" spans="2:14" hidden="1">
      <c r="B668" t="s">
        <v>749</v>
      </c>
      <c r="C668" s="110" t="str">
        <f>RIGHT(B668,3)</f>
        <v>187</v>
      </c>
      <c r="D668" t="s">
        <v>585</v>
      </c>
      <c r="E668" s="110" t="str">
        <f>LEFT(F668,22)</f>
        <v>WING PYLON ACTUATOR</v>
      </c>
      <c r="F668" t="s">
        <v>393</v>
      </c>
      <c r="G668" s="110" t="str">
        <f>RIGHT(H668,9)</f>
        <v>012637856</v>
      </c>
      <c r="H668" t="s">
        <v>394</v>
      </c>
      <c r="I668" s="96" t="e">
        <f>Table__10.2.1.2_1_4AHB_v_gen_TBO[[#This Row],[REALDUE]]-Table__10.2.1.2_1_4AHB_v_gen_TBO[[#This Row],[EI_BEG_AGE]]</f>
        <v>#VALUE!</v>
      </c>
      <c r="J668" s="96">
        <v>5314.7</v>
      </c>
      <c r="K668" s="110" t="str">
        <f>IF(Table__10.2.1.2_1_4AHB_v_gen_TBO[[#This Row],[NO_OVHLS]]="RC","RC","LC")</f>
        <v>LC</v>
      </c>
      <c r="L668" t="s">
        <v>403</v>
      </c>
      <c r="M668" t="s">
        <v>104</v>
      </c>
      <c r="N668" t="b">
        <v>0</v>
      </c>
    </row>
    <row r="669" spans="2:14" hidden="1">
      <c r="B669" t="s">
        <v>753</v>
      </c>
      <c r="C669" s="110" t="str">
        <f>RIGHT(B669,3)</f>
        <v>141</v>
      </c>
      <c r="D669" t="s">
        <v>585</v>
      </c>
      <c r="E669" s="110" t="str">
        <f>LEFT(F669,22)</f>
        <v>WING PYLON ACTUATOR</v>
      </c>
      <c r="F669" t="s">
        <v>393</v>
      </c>
      <c r="G669" s="110" t="str">
        <f>RIGHT(H669,9)</f>
        <v>012637856</v>
      </c>
      <c r="H669" t="s">
        <v>394</v>
      </c>
      <c r="I669" s="96" t="e">
        <f>Table__10.2.1.2_1_4AHB_v_gen_TBO[[#This Row],[REALDUE]]-Table__10.2.1.2_1_4AHB_v_gen_TBO[[#This Row],[EI_BEG_AGE]]</f>
        <v>#VALUE!</v>
      </c>
      <c r="J669" s="96">
        <v>4733.5</v>
      </c>
      <c r="K669" s="110" t="str">
        <f>IF(Table__10.2.1.2_1_4AHB_v_gen_TBO[[#This Row],[NO_OVHLS]]="RC","RC","LC")</f>
        <v>LC</v>
      </c>
      <c r="L669" t="s">
        <v>403</v>
      </c>
      <c r="M669" t="s">
        <v>104</v>
      </c>
      <c r="N669" t="b">
        <v>0</v>
      </c>
    </row>
    <row r="670" spans="2:14" hidden="1">
      <c r="B670" t="s">
        <v>753</v>
      </c>
      <c r="C670" s="110" t="str">
        <f>RIGHT(B670,3)</f>
        <v>141</v>
      </c>
      <c r="D670" t="s">
        <v>585</v>
      </c>
      <c r="E670" s="110" t="str">
        <f>LEFT(F670,22)</f>
        <v>WING PYLON ACTUATOR</v>
      </c>
      <c r="F670" t="s">
        <v>393</v>
      </c>
      <c r="G670" s="110" t="str">
        <f>RIGHT(H670,9)</f>
        <v>012637856</v>
      </c>
      <c r="H670" t="s">
        <v>394</v>
      </c>
      <c r="I670" s="96" t="e">
        <f>Table__10.2.1.2_1_4AHB_v_gen_TBO[[#This Row],[REALDUE]]-Table__10.2.1.2_1_4AHB_v_gen_TBO[[#This Row],[EI_BEG_AGE]]</f>
        <v>#VALUE!</v>
      </c>
      <c r="J670" s="96">
        <v>4733.5</v>
      </c>
      <c r="K670" s="110" t="str">
        <f>IF(Table__10.2.1.2_1_4AHB_v_gen_TBO[[#This Row],[NO_OVHLS]]="RC","RC","LC")</f>
        <v>LC</v>
      </c>
      <c r="L670" t="s">
        <v>403</v>
      </c>
      <c r="M670" t="s">
        <v>104</v>
      </c>
      <c r="N670" t="b">
        <v>0</v>
      </c>
    </row>
    <row r="671" spans="2:14" hidden="1">
      <c r="B671" t="s">
        <v>753</v>
      </c>
      <c r="C671" s="110" t="str">
        <f>RIGHT(B671,3)</f>
        <v>141</v>
      </c>
      <c r="D671" t="s">
        <v>585</v>
      </c>
      <c r="E671" s="110" t="str">
        <f>LEFT(F671,22)</f>
        <v>WING PYLON ACTUATOR</v>
      </c>
      <c r="F671" t="s">
        <v>393</v>
      </c>
      <c r="G671" s="110" t="str">
        <f>RIGHT(H671,9)</f>
        <v>012637856</v>
      </c>
      <c r="H671" t="s">
        <v>394</v>
      </c>
      <c r="I671" s="96" t="e">
        <f>Table__10.2.1.2_1_4AHB_v_gen_TBO[[#This Row],[REALDUE]]-Table__10.2.1.2_1_4AHB_v_gen_TBO[[#This Row],[EI_BEG_AGE]]</f>
        <v>#VALUE!</v>
      </c>
      <c r="J671" s="96">
        <v>4733.5</v>
      </c>
      <c r="K671" s="110" t="str">
        <f>IF(Table__10.2.1.2_1_4AHB_v_gen_TBO[[#This Row],[NO_OVHLS]]="RC","RC","LC")</f>
        <v>LC</v>
      </c>
      <c r="L671" t="s">
        <v>403</v>
      </c>
      <c r="M671" t="s">
        <v>104</v>
      </c>
      <c r="N671" t="b">
        <v>0</v>
      </c>
    </row>
    <row r="672" spans="2:14" hidden="1">
      <c r="B672" t="s">
        <v>753</v>
      </c>
      <c r="C672" s="110" t="str">
        <f>RIGHT(B672,3)</f>
        <v>141</v>
      </c>
      <c r="D672" t="s">
        <v>585</v>
      </c>
      <c r="E672" s="110" t="str">
        <f>LEFT(F672,22)</f>
        <v>WING PYLON ACTUATOR</v>
      </c>
      <c r="F672" t="s">
        <v>393</v>
      </c>
      <c r="G672" s="110" t="str">
        <f>RIGHT(H672,9)</f>
        <v>012637856</v>
      </c>
      <c r="H672" t="s">
        <v>394</v>
      </c>
      <c r="I672" s="96" t="e">
        <f>Table__10.2.1.2_1_4AHB_v_gen_TBO[[#This Row],[REALDUE]]-Table__10.2.1.2_1_4AHB_v_gen_TBO[[#This Row],[EI_BEG_AGE]]</f>
        <v>#VALUE!</v>
      </c>
      <c r="J672" s="96">
        <v>4733.5</v>
      </c>
      <c r="K672" s="110" t="str">
        <f>IF(Table__10.2.1.2_1_4AHB_v_gen_TBO[[#This Row],[NO_OVHLS]]="RC","RC","LC")</f>
        <v>LC</v>
      </c>
      <c r="L672" t="s">
        <v>403</v>
      </c>
      <c r="M672" t="s">
        <v>104</v>
      </c>
      <c r="N672" t="b">
        <v>0</v>
      </c>
    </row>
    <row r="673" spans="2:14" hidden="1">
      <c r="B673" t="s">
        <v>751</v>
      </c>
      <c r="C673" s="110" t="str">
        <f>RIGHT(B673,3)</f>
        <v>119</v>
      </c>
      <c r="D673" t="s">
        <v>585</v>
      </c>
      <c r="E673" s="110" t="str">
        <f>LEFT(F673,22)</f>
        <v>WING PYLON ACTUATOR</v>
      </c>
      <c r="F673" t="s">
        <v>393</v>
      </c>
      <c r="G673" s="110" t="str">
        <f>RIGHT(H673,9)</f>
        <v>012637856</v>
      </c>
      <c r="H673" t="s">
        <v>394</v>
      </c>
      <c r="I673" s="96" t="e">
        <f>Table__10.2.1.2_1_4AHB_v_gen_TBO[[#This Row],[REALDUE]]-Table__10.2.1.2_1_4AHB_v_gen_TBO[[#This Row],[EI_BEG_AGE]]</f>
        <v>#VALUE!</v>
      </c>
      <c r="J673" s="96">
        <v>3973.9</v>
      </c>
      <c r="K673" s="110" t="str">
        <f>IF(Table__10.2.1.2_1_4AHB_v_gen_TBO[[#This Row],[NO_OVHLS]]="RC","RC","LC")</f>
        <v>LC</v>
      </c>
      <c r="L673" t="s">
        <v>403</v>
      </c>
      <c r="M673" t="s">
        <v>104</v>
      </c>
      <c r="N673" t="b">
        <v>0</v>
      </c>
    </row>
    <row r="674" spans="2:14" hidden="1">
      <c r="B674" t="s">
        <v>751</v>
      </c>
      <c r="C674" s="110" t="str">
        <f>RIGHT(B674,3)</f>
        <v>119</v>
      </c>
      <c r="D674" t="s">
        <v>585</v>
      </c>
      <c r="E674" s="110" t="str">
        <f>LEFT(F674,22)</f>
        <v>WING PYLON ACTUATOR</v>
      </c>
      <c r="F674" t="s">
        <v>393</v>
      </c>
      <c r="G674" s="110" t="str">
        <f>RIGHT(H674,9)</f>
        <v>012637856</v>
      </c>
      <c r="H674" t="s">
        <v>394</v>
      </c>
      <c r="I674" s="96" t="e">
        <f>Table__10.2.1.2_1_4AHB_v_gen_TBO[[#This Row],[REALDUE]]-Table__10.2.1.2_1_4AHB_v_gen_TBO[[#This Row],[EI_BEG_AGE]]</f>
        <v>#VALUE!</v>
      </c>
      <c r="J674" s="96">
        <v>3973.9</v>
      </c>
      <c r="K674" s="110" t="str">
        <f>IF(Table__10.2.1.2_1_4AHB_v_gen_TBO[[#This Row],[NO_OVHLS]]="RC","RC","LC")</f>
        <v>LC</v>
      </c>
      <c r="L674" t="s">
        <v>403</v>
      </c>
      <c r="M674" t="s">
        <v>104</v>
      </c>
      <c r="N674" t="b">
        <v>0</v>
      </c>
    </row>
    <row r="675" spans="2:14" hidden="1">
      <c r="B675" t="s">
        <v>751</v>
      </c>
      <c r="C675" s="110" t="str">
        <f>RIGHT(B675,3)</f>
        <v>119</v>
      </c>
      <c r="D675" t="s">
        <v>585</v>
      </c>
      <c r="E675" s="110" t="str">
        <f>LEFT(F675,22)</f>
        <v>WING PYLON ACTUATOR</v>
      </c>
      <c r="F675" t="s">
        <v>393</v>
      </c>
      <c r="G675" s="110" t="str">
        <f>RIGHT(H675,9)</f>
        <v>012637856</v>
      </c>
      <c r="H675" t="s">
        <v>394</v>
      </c>
      <c r="I675" s="96" t="e">
        <f>Table__10.2.1.2_1_4AHB_v_gen_TBO[[#This Row],[REALDUE]]-Table__10.2.1.2_1_4AHB_v_gen_TBO[[#This Row],[EI_BEG_AGE]]</f>
        <v>#VALUE!</v>
      </c>
      <c r="J675" s="96">
        <v>3973.9</v>
      </c>
      <c r="K675" s="110" t="str">
        <f>IF(Table__10.2.1.2_1_4AHB_v_gen_TBO[[#This Row],[NO_OVHLS]]="RC","RC","LC")</f>
        <v>LC</v>
      </c>
      <c r="L675" t="s">
        <v>403</v>
      </c>
      <c r="M675" t="s">
        <v>104</v>
      </c>
      <c r="N675" t="b">
        <v>0</v>
      </c>
    </row>
    <row r="676" spans="2:14" hidden="1">
      <c r="B676" t="s">
        <v>751</v>
      </c>
      <c r="C676" s="110" t="str">
        <f>RIGHT(B676,3)</f>
        <v>119</v>
      </c>
      <c r="D676" t="s">
        <v>585</v>
      </c>
      <c r="E676" s="110" t="str">
        <f>LEFT(F676,22)</f>
        <v>WING PYLON ACTUATOR</v>
      </c>
      <c r="F676" t="s">
        <v>393</v>
      </c>
      <c r="G676" s="110" t="str">
        <f>RIGHT(H676,9)</f>
        <v>012637856</v>
      </c>
      <c r="H676" t="s">
        <v>394</v>
      </c>
      <c r="I676" s="96" t="e">
        <f>Table__10.2.1.2_1_4AHB_v_gen_TBO[[#This Row],[REALDUE]]-Table__10.2.1.2_1_4AHB_v_gen_TBO[[#This Row],[EI_BEG_AGE]]</f>
        <v>#VALUE!</v>
      </c>
      <c r="J676" s="96">
        <v>3973.9</v>
      </c>
      <c r="K676" s="110" t="str">
        <f>IF(Table__10.2.1.2_1_4AHB_v_gen_TBO[[#This Row],[NO_OVHLS]]="RC","RC","LC")</f>
        <v>LC</v>
      </c>
      <c r="L676" t="s">
        <v>403</v>
      </c>
      <c r="M676" t="s">
        <v>104</v>
      </c>
      <c r="N676" t="b">
        <v>0</v>
      </c>
    </row>
    <row r="677" spans="2:14" hidden="1">
      <c r="B677" t="s">
        <v>749</v>
      </c>
      <c r="C677" s="110" t="str">
        <f>RIGHT(B677,3)</f>
        <v>187</v>
      </c>
      <c r="D677" t="s">
        <v>585</v>
      </c>
      <c r="E677" s="110" t="str">
        <f>LEFT(F677,22)</f>
        <v>WING PYLON ACTUATOR</v>
      </c>
      <c r="F677" t="s">
        <v>393</v>
      </c>
      <c r="G677" s="110" t="str">
        <f>RIGHT(H677,9)</f>
        <v>012637856</v>
      </c>
      <c r="H677" t="s">
        <v>394</v>
      </c>
      <c r="I677" s="96" t="e">
        <f>Table__10.2.1.2_1_4AHB_v_gen_TBO[[#This Row],[REALDUE]]-Table__10.2.1.2_1_4AHB_v_gen_TBO[[#This Row],[EI_BEG_AGE]]</f>
        <v>#VALUE!</v>
      </c>
      <c r="J677" s="96">
        <v>5314.7</v>
      </c>
      <c r="K677" s="110" t="str">
        <f>IF(Table__10.2.1.2_1_4AHB_v_gen_TBO[[#This Row],[NO_OVHLS]]="RC","RC","LC")</f>
        <v>LC</v>
      </c>
      <c r="L677" t="s">
        <v>403</v>
      </c>
      <c r="M677" t="s">
        <v>104</v>
      </c>
      <c r="N677" t="b">
        <v>0</v>
      </c>
    </row>
    <row r="678" spans="2:14" hidden="1">
      <c r="B678" t="s">
        <v>753</v>
      </c>
      <c r="C678" s="110" t="str">
        <f>RIGHT(B678,3)</f>
        <v>141</v>
      </c>
      <c r="D678" t="s">
        <v>593</v>
      </c>
      <c r="E678" s="110" t="str">
        <f>LEFT(F678,22)</f>
        <v>WING ASSY LH</v>
      </c>
      <c r="F678" t="s">
        <v>105</v>
      </c>
      <c r="G678" s="110" t="str">
        <f>RIGHT(H678,9)</f>
        <v>N PENDING</v>
      </c>
      <c r="H678" t="s">
        <v>106</v>
      </c>
      <c r="I678" s="96" t="e">
        <f>Table__10.2.1.2_1_4AHB_v_gen_TBO[[#This Row],[REALDUE]]-Table__10.2.1.2_1_4AHB_v_gen_TBO[[#This Row],[EI_BEG_AGE]]</f>
        <v>#VALUE!</v>
      </c>
      <c r="J678" s="96">
        <v>4733.5</v>
      </c>
      <c r="K678" s="110" t="str">
        <f>IF(Table__10.2.1.2_1_4AHB_v_gen_TBO[[#This Row],[NO_OVHLS]]="RC","RC","LC")</f>
        <v>LC</v>
      </c>
      <c r="L678" t="s">
        <v>403</v>
      </c>
      <c r="M678" t="s">
        <v>104</v>
      </c>
      <c r="N678" t="b">
        <v>0</v>
      </c>
    </row>
    <row r="679" spans="2:14" hidden="1">
      <c r="B679" t="s">
        <v>751</v>
      </c>
      <c r="C679" s="110" t="str">
        <f>RIGHT(B679,3)</f>
        <v>119</v>
      </c>
      <c r="D679" t="s">
        <v>593</v>
      </c>
      <c r="E679" s="110" t="str">
        <f>LEFT(F679,22)</f>
        <v>WING ASSY LH</v>
      </c>
      <c r="F679" t="s">
        <v>105</v>
      </c>
      <c r="G679" s="110" t="str">
        <f>RIGHT(H679,9)</f>
        <v>N PENDING</v>
      </c>
      <c r="H679" t="s">
        <v>106</v>
      </c>
      <c r="I679" s="96" t="e">
        <f>Table__10.2.1.2_1_4AHB_v_gen_TBO[[#This Row],[REALDUE]]-Table__10.2.1.2_1_4AHB_v_gen_TBO[[#This Row],[EI_BEG_AGE]]</f>
        <v>#VALUE!</v>
      </c>
      <c r="J679" s="96">
        <v>3973.9</v>
      </c>
      <c r="K679" s="110" t="str">
        <f>IF(Table__10.2.1.2_1_4AHB_v_gen_TBO[[#This Row],[NO_OVHLS]]="RC","RC","LC")</f>
        <v>LC</v>
      </c>
      <c r="L679" t="s">
        <v>403</v>
      </c>
      <c r="M679" t="s">
        <v>104</v>
      </c>
      <c r="N679" t="b">
        <v>0</v>
      </c>
    </row>
    <row r="680" spans="2:14" hidden="1">
      <c r="B680" t="s">
        <v>749</v>
      </c>
      <c r="C680" s="110" t="str">
        <f>RIGHT(B680,3)</f>
        <v>187</v>
      </c>
      <c r="D680" t="s">
        <v>593</v>
      </c>
      <c r="E680" s="110" t="str">
        <f>LEFT(F680,22)</f>
        <v>WING ASSY LH</v>
      </c>
      <c r="F680" t="s">
        <v>105</v>
      </c>
      <c r="G680" s="110" t="str">
        <f>RIGHT(H680,9)</f>
        <v>N PENDING</v>
      </c>
      <c r="H680" t="s">
        <v>106</v>
      </c>
      <c r="I680" s="96" t="e">
        <f>Table__10.2.1.2_1_4AHB_v_gen_TBO[[#This Row],[REALDUE]]-Table__10.2.1.2_1_4AHB_v_gen_TBO[[#This Row],[EI_BEG_AGE]]</f>
        <v>#VALUE!</v>
      </c>
      <c r="J680" s="96">
        <v>5314.7</v>
      </c>
      <c r="K680" s="110" t="str">
        <f>IF(Table__10.2.1.2_1_4AHB_v_gen_TBO[[#This Row],[NO_OVHLS]]="RC","RC","LC")</f>
        <v>LC</v>
      </c>
      <c r="L680" t="s">
        <v>403</v>
      </c>
      <c r="M680" t="s">
        <v>104</v>
      </c>
      <c r="N680" t="b">
        <v>0</v>
      </c>
    </row>
    <row r="681" spans="2:14" hidden="1">
      <c r="B681" t="s">
        <v>751</v>
      </c>
      <c r="C681" s="110" t="str">
        <f>RIGHT(B681,3)</f>
        <v>119</v>
      </c>
      <c r="D681" t="s">
        <v>594</v>
      </c>
      <c r="E681" s="110" t="str">
        <f>LEFT(F681,22)</f>
        <v>WING ASSY RH</v>
      </c>
      <c r="F681" t="s">
        <v>107</v>
      </c>
      <c r="G681" s="110" t="str">
        <f>RIGHT(H681,9)</f>
        <v>N PENDING</v>
      </c>
      <c r="H681" t="s">
        <v>106</v>
      </c>
      <c r="I681" s="96" t="e">
        <f>Table__10.2.1.2_1_4AHB_v_gen_TBO[[#This Row],[REALDUE]]-Table__10.2.1.2_1_4AHB_v_gen_TBO[[#This Row],[EI_BEG_AGE]]</f>
        <v>#VALUE!</v>
      </c>
      <c r="J681" s="96">
        <v>3973.9</v>
      </c>
      <c r="K681" s="110" t="str">
        <f>IF(Table__10.2.1.2_1_4AHB_v_gen_TBO[[#This Row],[NO_OVHLS]]="RC","RC","LC")</f>
        <v>LC</v>
      </c>
      <c r="L681" t="s">
        <v>403</v>
      </c>
      <c r="M681" t="s">
        <v>104</v>
      </c>
      <c r="N681" t="b">
        <v>0</v>
      </c>
    </row>
    <row r="682" spans="2:14" hidden="1">
      <c r="B682" t="s">
        <v>749</v>
      </c>
      <c r="C682" s="110" t="str">
        <f>RIGHT(B682,3)</f>
        <v>187</v>
      </c>
      <c r="D682" t="s">
        <v>594</v>
      </c>
      <c r="E682" s="110" t="str">
        <f>LEFT(F682,22)</f>
        <v>WING ASSY RH</v>
      </c>
      <c r="F682" t="s">
        <v>107</v>
      </c>
      <c r="G682" s="110" t="str">
        <f>RIGHT(H682,9)</f>
        <v>N PENDING</v>
      </c>
      <c r="H682" t="s">
        <v>106</v>
      </c>
      <c r="I682" s="96" t="e">
        <f>Table__10.2.1.2_1_4AHB_v_gen_TBO[[#This Row],[REALDUE]]-Table__10.2.1.2_1_4AHB_v_gen_TBO[[#This Row],[EI_BEG_AGE]]</f>
        <v>#VALUE!</v>
      </c>
      <c r="J682" s="96">
        <v>5314.7</v>
      </c>
      <c r="K682" s="110" t="str">
        <f>IF(Table__10.2.1.2_1_4AHB_v_gen_TBO[[#This Row],[NO_OVHLS]]="RC","RC","LC")</f>
        <v>LC</v>
      </c>
      <c r="L682" t="s">
        <v>403</v>
      </c>
      <c r="M682" t="s">
        <v>104</v>
      </c>
      <c r="N682" t="b">
        <v>0</v>
      </c>
    </row>
    <row r="683" spans="2:14" hidden="1">
      <c r="B683" t="s">
        <v>753</v>
      </c>
      <c r="C683" s="110" t="str">
        <f>RIGHT(B683,3)</f>
        <v>141</v>
      </c>
      <c r="D683" t="s">
        <v>594</v>
      </c>
      <c r="E683" s="110" t="str">
        <f>LEFT(F683,22)</f>
        <v>WING ASSY RH</v>
      </c>
      <c r="F683" t="s">
        <v>107</v>
      </c>
      <c r="G683" s="110" t="str">
        <f>RIGHT(H683,9)</f>
        <v>N PENDING</v>
      </c>
      <c r="H683" t="s">
        <v>106</v>
      </c>
      <c r="I683" s="96" t="e">
        <f>Table__10.2.1.2_1_4AHB_v_gen_TBO[[#This Row],[REALDUE]]-Table__10.2.1.2_1_4AHB_v_gen_TBO[[#This Row],[EI_BEG_AGE]]</f>
        <v>#VALUE!</v>
      </c>
      <c r="J683" s="96">
        <v>4733.5</v>
      </c>
      <c r="K683" s="110" t="str">
        <f>IF(Table__10.2.1.2_1_4AHB_v_gen_TBO[[#This Row],[NO_OVHLS]]="RC","RC","LC")</f>
        <v>LC</v>
      </c>
      <c r="L683" t="s">
        <v>403</v>
      </c>
      <c r="M683" t="s">
        <v>104</v>
      </c>
      <c r="N683" t="b">
        <v>0</v>
      </c>
    </row>
    <row r="684" spans="2:14" hidden="1">
      <c r="B684" t="s">
        <v>749</v>
      </c>
      <c r="C684" s="110" t="str">
        <f>RIGHT(B684,3)</f>
        <v>187</v>
      </c>
      <c r="D684" t="s">
        <v>586</v>
      </c>
      <c r="E684" s="110" t="str">
        <f>LEFT(F684,22)</f>
        <v>DRIVE PLATE COVER</v>
      </c>
      <c r="F684" t="s">
        <v>395</v>
      </c>
      <c r="G684" s="110" t="str">
        <f>RIGHT(H684,9)</f>
        <v>014294980</v>
      </c>
      <c r="H684" t="s">
        <v>396</v>
      </c>
      <c r="I684" s="96" t="e">
        <f>Table__10.2.1.2_1_4AHB_v_gen_TBO[[#This Row],[REALDUE]]-Table__10.2.1.2_1_4AHB_v_gen_TBO[[#This Row],[EI_BEG_AGE]]</f>
        <v>#VALUE!</v>
      </c>
      <c r="J684" s="96">
        <v>5314.7</v>
      </c>
      <c r="K684" s="110" t="str">
        <f>IF(Table__10.2.1.2_1_4AHB_v_gen_TBO[[#This Row],[NO_OVHLS]]="RC","RC","LC")</f>
        <v>LC</v>
      </c>
      <c r="L684" t="s">
        <v>403</v>
      </c>
      <c r="M684" t="s">
        <v>104</v>
      </c>
      <c r="N684" t="b">
        <v>0</v>
      </c>
    </row>
    <row r="685" spans="2:14" hidden="1">
      <c r="B685" t="s">
        <v>751</v>
      </c>
      <c r="C685" s="110" t="str">
        <f>RIGHT(B685,3)</f>
        <v>119</v>
      </c>
      <c r="D685" t="s">
        <v>586</v>
      </c>
      <c r="E685" s="110" t="str">
        <f>LEFT(F685,22)</f>
        <v>DRIVE PLATE COVER</v>
      </c>
      <c r="F685" t="s">
        <v>395</v>
      </c>
      <c r="G685" s="110" t="str">
        <f>RIGHT(H685,9)</f>
        <v>014294980</v>
      </c>
      <c r="H685" t="s">
        <v>396</v>
      </c>
      <c r="I685" s="110" t="e">
        <f>Table__10.2.1.2_1_4AHB_v_gen_TBO[[#This Row],[REALDUE]]-Table__10.2.1.2_1_4AHB_v_gen_TBO[[#This Row],[EI_BEG_AGE]]</f>
        <v>#VALUE!</v>
      </c>
      <c r="J685">
        <v>3973.9</v>
      </c>
      <c r="K685" s="110" t="str">
        <f>IF(Table__10.2.1.2_1_4AHB_v_gen_TBO[[#This Row],[NO_OVHLS]]="RC","RC","LC")</f>
        <v>LC</v>
      </c>
      <c r="L685" t="s">
        <v>403</v>
      </c>
      <c r="M685" t="s">
        <v>104</v>
      </c>
      <c r="N685" t="b">
        <v>0</v>
      </c>
    </row>
    <row r="686" spans="2:14" hidden="1">
      <c r="B686" t="s">
        <v>753</v>
      </c>
      <c r="C686" s="110" t="str">
        <f>RIGHT(B686,3)</f>
        <v>141</v>
      </c>
      <c r="D686" t="s">
        <v>586</v>
      </c>
      <c r="E686" s="110" t="str">
        <f>LEFT(F686,22)</f>
        <v>DRIVE PLATE COVER</v>
      </c>
      <c r="F686" t="s">
        <v>395</v>
      </c>
      <c r="G686" s="110" t="str">
        <f>RIGHT(H686,9)</f>
        <v>014294980</v>
      </c>
      <c r="H686" t="s">
        <v>396</v>
      </c>
      <c r="I686" s="96" t="e">
        <f>Table__10.2.1.2_1_4AHB_v_gen_TBO[[#This Row],[REALDUE]]-Table__10.2.1.2_1_4AHB_v_gen_TBO[[#This Row],[EI_BEG_AGE]]</f>
        <v>#VALUE!</v>
      </c>
      <c r="J686" s="96">
        <v>4733.5</v>
      </c>
      <c r="K686" s="110" t="str">
        <f>IF(Table__10.2.1.2_1_4AHB_v_gen_TBO[[#This Row],[NO_OVHLS]]="RC","RC","LC")</f>
        <v>LC</v>
      </c>
      <c r="L686" t="s">
        <v>403</v>
      </c>
      <c r="M686" t="s">
        <v>104</v>
      </c>
      <c r="N686" t="b">
        <v>0</v>
      </c>
    </row>
    <row r="687" spans="2:14" hidden="1">
      <c r="B687" t="s">
        <v>751</v>
      </c>
      <c r="C687" s="110" t="str">
        <f>RIGHT(B687,3)</f>
        <v>119</v>
      </c>
      <c r="D687" t="s">
        <v>581</v>
      </c>
      <c r="E687" s="110" t="str">
        <f>LEFT(F687,22)</f>
        <v>AUXILIARY POWER UNIT</v>
      </c>
      <c r="F687" t="s">
        <v>386</v>
      </c>
      <c r="G687" s="110" t="str">
        <f>RIGHT(H687,9)</f>
        <v>N PENDING</v>
      </c>
      <c r="H687" t="s">
        <v>106</v>
      </c>
      <c r="I687" s="96" t="e">
        <f>Table__10.2.1.2_1_4AHB_v_gen_TBO[[#This Row],[REALDUE]]-Table__10.2.1.2_1_4AHB_v_gen_TBO[[#This Row],[EI_BEG_AGE]]</f>
        <v>#VALUE!</v>
      </c>
      <c r="J687" s="96">
        <v>3973.9</v>
      </c>
      <c r="K687" s="110" t="str">
        <f>IF(Table__10.2.1.2_1_4AHB_v_gen_TBO[[#This Row],[NO_OVHLS]]="RC","RC","LC")</f>
        <v>LC</v>
      </c>
      <c r="L687" t="s">
        <v>403</v>
      </c>
      <c r="M687" t="s">
        <v>104</v>
      </c>
      <c r="N687" t="b">
        <v>0</v>
      </c>
    </row>
    <row r="688" spans="2:14" hidden="1">
      <c r="B688" t="s">
        <v>753</v>
      </c>
      <c r="C688" s="110" t="str">
        <f>RIGHT(B688,3)</f>
        <v>141</v>
      </c>
      <c r="D688" t="s">
        <v>581</v>
      </c>
      <c r="E688" s="110" t="str">
        <f>LEFT(F688,22)</f>
        <v>AUXILIARY POWER UNIT</v>
      </c>
      <c r="F688" t="s">
        <v>386</v>
      </c>
      <c r="G688" s="110" t="str">
        <f>RIGHT(H688,9)</f>
        <v>N PENDING</v>
      </c>
      <c r="H688" t="s">
        <v>106</v>
      </c>
      <c r="I688" s="96" t="e">
        <f>Table__10.2.1.2_1_4AHB_v_gen_TBO[[#This Row],[REALDUE]]-Table__10.2.1.2_1_4AHB_v_gen_TBO[[#This Row],[EI_BEG_AGE]]</f>
        <v>#VALUE!</v>
      </c>
      <c r="J688" s="96">
        <v>4733.5</v>
      </c>
      <c r="K688" s="110" t="str">
        <f>IF(Table__10.2.1.2_1_4AHB_v_gen_TBO[[#This Row],[NO_OVHLS]]="RC","RC","LC")</f>
        <v>LC</v>
      </c>
      <c r="L688" t="s">
        <v>403</v>
      </c>
      <c r="M688" t="s">
        <v>104</v>
      </c>
      <c r="N688" t="b">
        <v>0</v>
      </c>
    </row>
    <row r="689" spans="2:14" hidden="1">
      <c r="B689" t="s">
        <v>749</v>
      </c>
      <c r="C689" s="110" t="str">
        <f>RIGHT(B689,3)</f>
        <v>187</v>
      </c>
      <c r="D689" t="s">
        <v>582</v>
      </c>
      <c r="E689" s="110" t="str">
        <f>LEFT(F689,22)</f>
        <v>AUXILIARY POWER UNIT</v>
      </c>
      <c r="F689" t="s">
        <v>386</v>
      </c>
      <c r="G689" s="110" t="str">
        <f>RIGHT(H689,9)</f>
        <v>N PENDING</v>
      </c>
      <c r="H689" t="s">
        <v>106</v>
      </c>
      <c r="I689" s="96" t="e">
        <f>Table__10.2.1.2_1_4AHB_v_gen_TBO[[#This Row],[REALDUE]]-Table__10.2.1.2_1_4AHB_v_gen_TBO[[#This Row],[EI_BEG_AGE]]</f>
        <v>#VALUE!</v>
      </c>
      <c r="J689" s="96">
        <v>5314.7</v>
      </c>
      <c r="K689" s="110" t="str">
        <f>IF(Table__10.2.1.2_1_4AHB_v_gen_TBO[[#This Row],[NO_OVHLS]]="RC","RC","LC")</f>
        <v>LC</v>
      </c>
      <c r="L689" t="s">
        <v>403</v>
      </c>
      <c r="M689" t="s">
        <v>104</v>
      </c>
      <c r="N689" t="b">
        <v>0</v>
      </c>
    </row>
    <row r="690" spans="2:14" hidden="1">
      <c r="B690" t="s">
        <v>753</v>
      </c>
      <c r="C690" s="110" t="str">
        <f>RIGHT(B690,3)</f>
        <v>141</v>
      </c>
      <c r="D690" t="s">
        <v>541</v>
      </c>
      <c r="E690" s="110" t="str">
        <f>LEFT(F690,22)</f>
        <v>ENGINE STARTER</v>
      </c>
      <c r="F690" t="s">
        <v>329</v>
      </c>
      <c r="G690" s="110" t="str">
        <f>RIGHT(H690,9)</f>
        <v>014132163</v>
      </c>
      <c r="H690" t="s">
        <v>330</v>
      </c>
      <c r="I690" s="96" t="e">
        <f>Table__10.2.1.2_1_4AHB_v_gen_TBO[[#This Row],[REALDUE]]-Table__10.2.1.2_1_4AHB_v_gen_TBO[[#This Row],[EI_BEG_AGE]]</f>
        <v>#VALUE!</v>
      </c>
      <c r="J690" s="96">
        <v>4733.5</v>
      </c>
      <c r="K690" s="110" t="str">
        <f>IF(Table__10.2.1.2_1_4AHB_v_gen_TBO[[#This Row],[NO_OVHLS]]="RC","RC","LC")</f>
        <v>LC</v>
      </c>
      <c r="L690" t="s">
        <v>403</v>
      </c>
      <c r="M690" t="s">
        <v>104</v>
      </c>
      <c r="N690" t="b">
        <v>0</v>
      </c>
    </row>
    <row r="691" spans="2:14" hidden="1">
      <c r="B691" t="s">
        <v>753</v>
      </c>
      <c r="C691" s="110" t="str">
        <f>RIGHT(B691,3)</f>
        <v>141</v>
      </c>
      <c r="D691" t="s">
        <v>541</v>
      </c>
      <c r="E691" s="110" t="str">
        <f>LEFT(F691,22)</f>
        <v>ENGINE STARTER</v>
      </c>
      <c r="F691" t="s">
        <v>329</v>
      </c>
      <c r="G691" s="110" t="str">
        <f>RIGHT(H691,9)</f>
        <v>014132163</v>
      </c>
      <c r="H691" t="s">
        <v>330</v>
      </c>
      <c r="I691" s="96" t="e">
        <f>Table__10.2.1.2_1_4AHB_v_gen_TBO[[#This Row],[REALDUE]]-Table__10.2.1.2_1_4AHB_v_gen_TBO[[#This Row],[EI_BEG_AGE]]</f>
        <v>#VALUE!</v>
      </c>
      <c r="J691" s="96">
        <v>4733.5</v>
      </c>
      <c r="K691" s="110" t="str">
        <f>IF(Table__10.2.1.2_1_4AHB_v_gen_TBO[[#This Row],[NO_OVHLS]]="RC","RC","LC")</f>
        <v>LC</v>
      </c>
      <c r="L691" t="s">
        <v>403</v>
      </c>
      <c r="M691" t="s">
        <v>104</v>
      </c>
      <c r="N691" t="b">
        <v>0</v>
      </c>
    </row>
    <row r="692" spans="2:14" hidden="1">
      <c r="B692" t="s">
        <v>751</v>
      </c>
      <c r="C692" s="110" t="str">
        <f>RIGHT(B692,3)</f>
        <v>119</v>
      </c>
      <c r="D692" t="s">
        <v>541</v>
      </c>
      <c r="E692" s="110" t="str">
        <f>LEFT(F692,22)</f>
        <v>ENGINE STARTER</v>
      </c>
      <c r="F692" t="s">
        <v>329</v>
      </c>
      <c r="G692" s="110" t="str">
        <f>RIGHT(H692,9)</f>
        <v>014132163</v>
      </c>
      <c r="H692" t="s">
        <v>330</v>
      </c>
      <c r="I692" s="96" t="e">
        <f>Table__10.2.1.2_1_4AHB_v_gen_TBO[[#This Row],[REALDUE]]-Table__10.2.1.2_1_4AHB_v_gen_TBO[[#This Row],[EI_BEG_AGE]]</f>
        <v>#VALUE!</v>
      </c>
      <c r="J692" s="96">
        <v>3973.9</v>
      </c>
      <c r="K692" s="110" t="str">
        <f>IF(Table__10.2.1.2_1_4AHB_v_gen_TBO[[#This Row],[NO_OVHLS]]="RC","RC","LC")</f>
        <v>LC</v>
      </c>
      <c r="L692" t="s">
        <v>403</v>
      </c>
      <c r="M692" t="s">
        <v>104</v>
      </c>
      <c r="N692" t="b">
        <v>0</v>
      </c>
    </row>
    <row r="693" spans="2:14" hidden="1">
      <c r="B693" t="s">
        <v>749</v>
      </c>
      <c r="C693" s="110" t="str">
        <f>RIGHT(B693,3)</f>
        <v>187</v>
      </c>
      <c r="D693" t="s">
        <v>541</v>
      </c>
      <c r="E693" s="110" t="str">
        <f>LEFT(F693,22)</f>
        <v>ENGINE STARTER</v>
      </c>
      <c r="F693" t="s">
        <v>329</v>
      </c>
      <c r="G693" s="110" t="str">
        <f>RIGHT(H693,9)</f>
        <v>014132163</v>
      </c>
      <c r="H693" t="s">
        <v>330</v>
      </c>
      <c r="I693" s="96" t="e">
        <f>Table__10.2.1.2_1_4AHB_v_gen_TBO[[#This Row],[REALDUE]]-Table__10.2.1.2_1_4AHB_v_gen_TBO[[#This Row],[EI_BEG_AGE]]</f>
        <v>#VALUE!</v>
      </c>
      <c r="J693" s="96">
        <v>5314.7</v>
      </c>
      <c r="K693" s="110" t="str">
        <f>IF(Table__10.2.1.2_1_4AHB_v_gen_TBO[[#This Row],[NO_OVHLS]]="RC","RC","LC")</f>
        <v>LC</v>
      </c>
      <c r="L693" t="s">
        <v>403</v>
      </c>
      <c r="M693" t="s">
        <v>104</v>
      </c>
      <c r="N693" t="b">
        <v>0</v>
      </c>
    </row>
    <row r="694" spans="2:14" hidden="1">
      <c r="B694" t="s">
        <v>749</v>
      </c>
      <c r="C694" s="110" t="str">
        <f>RIGHT(B694,3)</f>
        <v>187</v>
      </c>
      <c r="D694" t="s">
        <v>541</v>
      </c>
      <c r="E694" s="110" t="str">
        <f>LEFT(F694,22)</f>
        <v>ENGINE STARTER</v>
      </c>
      <c r="F694" t="s">
        <v>329</v>
      </c>
      <c r="G694" s="110" t="str">
        <f>RIGHT(H694,9)</f>
        <v>014132163</v>
      </c>
      <c r="H694" t="s">
        <v>330</v>
      </c>
      <c r="I694" s="96" t="e">
        <f>Table__10.2.1.2_1_4AHB_v_gen_TBO[[#This Row],[REALDUE]]-Table__10.2.1.2_1_4AHB_v_gen_TBO[[#This Row],[EI_BEG_AGE]]</f>
        <v>#VALUE!</v>
      </c>
      <c r="J694" s="96">
        <v>5314.7</v>
      </c>
      <c r="K694" s="110" t="str">
        <f>IF(Table__10.2.1.2_1_4AHB_v_gen_TBO[[#This Row],[NO_OVHLS]]="RC","RC","LC")</f>
        <v>LC</v>
      </c>
      <c r="L694" t="s">
        <v>403</v>
      </c>
      <c r="M694" t="s">
        <v>104</v>
      </c>
      <c r="N694" t="b">
        <v>0</v>
      </c>
    </row>
    <row r="695" spans="2:14" hidden="1">
      <c r="B695" t="s">
        <v>751</v>
      </c>
      <c r="C695" s="110" t="str">
        <f>RIGHT(B695,3)</f>
        <v>119</v>
      </c>
      <c r="D695" t="s">
        <v>541</v>
      </c>
      <c r="E695" s="110" t="str">
        <f>LEFT(F695,22)</f>
        <v>ENGINE STARTER</v>
      </c>
      <c r="F695" t="s">
        <v>329</v>
      </c>
      <c r="G695" s="110" t="str">
        <f>RIGHT(H695,9)</f>
        <v>014132163</v>
      </c>
      <c r="H695" t="s">
        <v>330</v>
      </c>
      <c r="I695" s="96" t="e">
        <f>Table__10.2.1.2_1_4AHB_v_gen_TBO[[#This Row],[REALDUE]]-Table__10.2.1.2_1_4AHB_v_gen_TBO[[#This Row],[EI_BEG_AGE]]</f>
        <v>#VALUE!</v>
      </c>
      <c r="J695" s="96">
        <v>3973.9</v>
      </c>
      <c r="K695" s="110" t="str">
        <f>IF(Table__10.2.1.2_1_4AHB_v_gen_TBO[[#This Row],[NO_OVHLS]]="RC","RC","LC")</f>
        <v>LC</v>
      </c>
      <c r="L695" t="s">
        <v>403</v>
      </c>
      <c r="M695" t="s">
        <v>104</v>
      </c>
      <c r="N695" t="b">
        <v>0</v>
      </c>
    </row>
    <row r="696" spans="2:14" hidden="1">
      <c r="B696" t="s">
        <v>751</v>
      </c>
      <c r="C696" s="110" t="str">
        <f>RIGHT(B696,3)</f>
        <v>119</v>
      </c>
      <c r="D696" t="s">
        <v>1032</v>
      </c>
      <c r="E696" s="110" t="str">
        <f>LEFT(F696,22)</f>
        <v>IMPROVED DATA MODEM</v>
      </c>
      <c r="F696" t="s">
        <v>391</v>
      </c>
      <c r="G696" s="110" t="str">
        <f>RIGHT(H696,9)</f>
        <v>014265318</v>
      </c>
      <c r="H696" t="s">
        <v>392</v>
      </c>
      <c r="I696" s="96" t="e">
        <f>Table__10.2.1.2_1_4AHB_v_gen_TBO[[#This Row],[REALDUE]]-Table__10.2.1.2_1_4AHB_v_gen_TBO[[#This Row],[EI_BEG_AGE]]</f>
        <v>#VALUE!</v>
      </c>
      <c r="J696" s="96">
        <v>3973.9</v>
      </c>
      <c r="K696" s="110" t="str">
        <f>IF(Table__10.2.1.2_1_4AHB_v_gen_TBO[[#This Row],[NO_OVHLS]]="RC","RC","LC")</f>
        <v>LC</v>
      </c>
      <c r="L696" t="s">
        <v>403</v>
      </c>
      <c r="M696" t="s">
        <v>104</v>
      </c>
      <c r="N696" t="b">
        <v>0</v>
      </c>
    </row>
    <row r="697" spans="2:14" hidden="1">
      <c r="B697" t="s">
        <v>751</v>
      </c>
      <c r="C697" s="110" t="str">
        <f>RIGHT(B697,3)</f>
        <v>119</v>
      </c>
      <c r="D697" t="s">
        <v>703</v>
      </c>
      <c r="E697" s="110" t="str">
        <f>LEFT(F697,22)</f>
        <v>RECEIVER-TRANSMITTER,R</v>
      </c>
      <c r="F697" t="s">
        <v>704</v>
      </c>
      <c r="G697" s="110" t="str">
        <f>RIGHT(H697,9)</f>
        <v>012459094</v>
      </c>
      <c r="H697" t="s">
        <v>705</v>
      </c>
      <c r="I697" s="96" t="e">
        <f>Table__10.2.1.2_1_4AHB_v_gen_TBO[[#This Row],[REALDUE]]-Table__10.2.1.2_1_4AHB_v_gen_TBO[[#This Row],[EI_BEG_AGE]]</f>
        <v>#VALUE!</v>
      </c>
      <c r="J697" s="96">
        <v>3973.9</v>
      </c>
      <c r="K697" s="110" t="str">
        <f>IF(Table__10.2.1.2_1_4AHB_v_gen_TBO[[#This Row],[NO_OVHLS]]="RC","RC","LC")</f>
        <v>LC</v>
      </c>
      <c r="L697" t="s">
        <v>403</v>
      </c>
      <c r="M697" t="s">
        <v>104</v>
      </c>
      <c r="N697" t="b">
        <v>0</v>
      </c>
    </row>
    <row r="698" spans="2:14" hidden="1">
      <c r="B698" t="s">
        <v>749</v>
      </c>
      <c r="C698" s="110" t="str">
        <f>RIGHT(B698,3)</f>
        <v>187</v>
      </c>
      <c r="D698" t="s">
        <v>627</v>
      </c>
      <c r="E698" s="110" t="str">
        <f>LEFT(F698,22)</f>
        <v>STABILATOR ACTUATOR</v>
      </c>
      <c r="F698" t="s">
        <v>380</v>
      </c>
      <c r="G698" s="110" t="str">
        <f>RIGHT(H698,9)</f>
        <v>012697284</v>
      </c>
      <c r="H698" t="s">
        <v>381</v>
      </c>
      <c r="I698" s="96" t="e">
        <f>Table__10.2.1.2_1_4AHB_v_gen_TBO[[#This Row],[REALDUE]]-Table__10.2.1.2_1_4AHB_v_gen_TBO[[#This Row],[EI_BEG_AGE]]</f>
        <v>#VALUE!</v>
      </c>
      <c r="J698" s="96">
        <v>5314.7</v>
      </c>
      <c r="K698" s="110" t="str">
        <f>IF(Table__10.2.1.2_1_4AHB_v_gen_TBO[[#This Row],[NO_OVHLS]]="RC","RC","LC")</f>
        <v>LC</v>
      </c>
      <c r="L698" t="s">
        <v>403</v>
      </c>
      <c r="M698" t="s">
        <v>104</v>
      </c>
      <c r="N698" t="b">
        <v>0</v>
      </c>
    </row>
    <row r="699" spans="2:14" hidden="1">
      <c r="B699" t="s">
        <v>749</v>
      </c>
      <c r="C699" s="110" t="str">
        <f>RIGHT(B699,3)</f>
        <v>187</v>
      </c>
      <c r="D699" t="s">
        <v>1033</v>
      </c>
      <c r="E699" s="110" t="str">
        <f>LEFT(F699,22)</f>
        <v>IMPROVED DATA MODEM</v>
      </c>
      <c r="F699" t="s">
        <v>391</v>
      </c>
      <c r="G699" s="110" t="str">
        <f>RIGHT(H699,9)</f>
        <v>014265318</v>
      </c>
      <c r="H699" t="s">
        <v>392</v>
      </c>
      <c r="I699" s="96" t="e">
        <f>Table__10.2.1.2_1_4AHB_v_gen_TBO[[#This Row],[REALDUE]]-Table__10.2.1.2_1_4AHB_v_gen_TBO[[#This Row],[EI_BEG_AGE]]</f>
        <v>#VALUE!</v>
      </c>
      <c r="J699" s="96">
        <v>5314.7</v>
      </c>
      <c r="K699" s="110" t="str">
        <f>IF(Table__10.2.1.2_1_4AHB_v_gen_TBO[[#This Row],[NO_OVHLS]]="RC","RC","LC")</f>
        <v>LC</v>
      </c>
      <c r="L699" t="s">
        <v>403</v>
      </c>
      <c r="M699" t="s">
        <v>104</v>
      </c>
      <c r="N699" t="b">
        <v>0</v>
      </c>
    </row>
    <row r="700" spans="2:14" hidden="1">
      <c r="B700" t="s">
        <v>753</v>
      </c>
      <c r="C700" s="110" t="str">
        <f>RIGHT(B700,3)</f>
        <v>141</v>
      </c>
      <c r="D700" t="s">
        <v>1034</v>
      </c>
      <c r="E700" s="110" t="str">
        <f>LEFT(F700,22)</f>
        <v>RECEIVER-TRANSMITTER,R</v>
      </c>
      <c r="F700" t="s">
        <v>704</v>
      </c>
      <c r="G700" s="110" t="str">
        <f>RIGHT(H700,9)</f>
        <v>015475286</v>
      </c>
      <c r="H700" t="s">
        <v>708</v>
      </c>
      <c r="I700" s="96" t="e">
        <f>Table__10.2.1.2_1_4AHB_v_gen_TBO[[#This Row],[REALDUE]]-Table__10.2.1.2_1_4AHB_v_gen_TBO[[#This Row],[EI_BEG_AGE]]</f>
        <v>#VALUE!</v>
      </c>
      <c r="J700" s="96">
        <v>4733.5</v>
      </c>
      <c r="K700" s="110" t="str">
        <f>IF(Table__10.2.1.2_1_4AHB_v_gen_TBO[[#This Row],[NO_OVHLS]]="RC","RC","LC")</f>
        <v>LC</v>
      </c>
      <c r="L700" t="s">
        <v>403</v>
      </c>
      <c r="M700" t="s">
        <v>104</v>
      </c>
      <c r="N700" t="b">
        <v>0</v>
      </c>
    </row>
    <row r="701" spans="2:14" hidden="1">
      <c r="B701" t="s">
        <v>753</v>
      </c>
      <c r="C701" s="110" t="str">
        <f>RIGHT(B701,3)</f>
        <v>141</v>
      </c>
      <c r="D701" t="s">
        <v>1040</v>
      </c>
      <c r="E701" s="110" t="str">
        <f>LEFT(F701,22)</f>
        <v>IMPROVED DATA MODEM</v>
      </c>
      <c r="F701" t="s">
        <v>391</v>
      </c>
      <c r="G701" s="110" t="str">
        <f>RIGHT(H701,9)</f>
        <v>013720114</v>
      </c>
      <c r="H701" t="s">
        <v>1041</v>
      </c>
      <c r="I701" s="96" t="e">
        <f>Table__10.2.1.2_1_4AHB_v_gen_TBO[[#This Row],[REALDUE]]-Table__10.2.1.2_1_4AHB_v_gen_TBO[[#This Row],[EI_BEG_AGE]]</f>
        <v>#VALUE!</v>
      </c>
      <c r="J701" s="96">
        <v>4733.5</v>
      </c>
      <c r="K701" s="110" t="str">
        <f>IF(Table__10.2.1.2_1_4AHB_v_gen_TBO[[#This Row],[NO_OVHLS]]="RC","RC","LC")</f>
        <v>LC</v>
      </c>
      <c r="L701" t="s">
        <v>403</v>
      </c>
      <c r="M701" t="s">
        <v>104</v>
      </c>
      <c r="N701" t="b">
        <v>0</v>
      </c>
    </row>
    <row r="702" spans="2:14" hidden="1">
      <c r="B702" s="110" t="s">
        <v>749</v>
      </c>
      <c r="C702" s="110" t="str">
        <f>RIGHT(B702,3)</f>
        <v>187</v>
      </c>
      <c r="D702" s="110" t="s">
        <v>1050</v>
      </c>
      <c r="E702" s="110" t="str">
        <f>LEFT(F702,22)</f>
        <v xml:space="preserve">RECIEVER-TRANSMITTER, </v>
      </c>
      <c r="F702" s="110" t="s">
        <v>1051</v>
      </c>
      <c r="G702" s="110" t="str">
        <f>RIGHT(H702,9)</f>
        <v>N PENDING</v>
      </c>
      <c r="H702" s="110" t="s">
        <v>106</v>
      </c>
      <c r="I702" s="96" t="e">
        <f>Table__10.2.1.2_1_4AHB_v_gen_TBO[[#This Row],[REALDUE]]-Table__10.2.1.2_1_4AHB_v_gen_TBO[[#This Row],[EI_BEG_AGE]]</f>
        <v>#VALUE!</v>
      </c>
      <c r="J702" s="96">
        <v>5314.7</v>
      </c>
      <c r="K702" s="110" t="str">
        <f>IF(Table__10.2.1.2_1_4AHB_v_gen_TBO[[#This Row],[NO_OVHLS]]="RC","RC","LC")</f>
        <v>LC</v>
      </c>
      <c r="L702" s="110" t="s">
        <v>403</v>
      </c>
      <c r="M702" s="110" t="s">
        <v>104</v>
      </c>
      <c r="N702" s="110" t="b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6"/>
  <dimension ref="A1:F392"/>
  <sheetViews>
    <sheetView workbookViewId="0">
      <selection activeCell="F1" sqref="F1:F1048255"/>
    </sheetView>
  </sheetViews>
  <sheetFormatPr defaultRowHeight="12.75"/>
  <cols>
    <col min="1" max="1" width="9.140625" style="101"/>
    <col min="2" max="2" width="31" style="101" customWidth="1"/>
    <col min="3" max="3" width="14.140625" style="101" customWidth="1"/>
    <col min="4" max="4" width="6.5703125" style="98" bestFit="1" customWidth="1"/>
    <col min="5" max="5" width="14.42578125" style="128" bestFit="1" customWidth="1"/>
    <col min="6" max="6" width="10.7109375" style="101" customWidth="1"/>
    <col min="7" max="16384" width="9.140625" style="101"/>
  </cols>
  <sheetData>
    <row r="1" spans="1:6">
      <c r="A1" s="101" t="s">
        <v>1055</v>
      </c>
      <c r="B1" s="101" t="s">
        <v>1054</v>
      </c>
      <c r="C1" s="101" t="s">
        <v>398</v>
      </c>
      <c r="D1" s="101" t="s">
        <v>591</v>
      </c>
      <c r="E1" s="128" t="s">
        <v>1056</v>
      </c>
      <c r="F1" s="101" t="s">
        <v>1057</v>
      </c>
    </row>
    <row r="2" spans="1:6">
      <c r="A2" s="101" t="s">
        <v>1060</v>
      </c>
      <c r="B2" s="101" t="s">
        <v>181</v>
      </c>
      <c r="C2" s="101" t="s">
        <v>1134</v>
      </c>
      <c r="D2" s="101"/>
      <c r="E2" s="128">
        <v>142.30000000000018</v>
      </c>
      <c r="F2" s="102" t="s">
        <v>405</v>
      </c>
    </row>
    <row r="3" spans="1:6">
      <c r="A3" s="101" t="s">
        <v>1059</v>
      </c>
      <c r="B3" s="101" t="s">
        <v>177</v>
      </c>
      <c r="C3" s="101" t="s">
        <v>1130</v>
      </c>
      <c r="D3" s="275"/>
      <c r="E3" s="128">
        <v>152.5</v>
      </c>
      <c r="F3" s="274" t="s">
        <v>405</v>
      </c>
    </row>
    <row r="4" spans="1:6">
      <c r="A4" s="101" t="s">
        <v>1059</v>
      </c>
      <c r="B4" s="101" t="s">
        <v>177</v>
      </c>
      <c r="C4" s="101" t="s">
        <v>1130</v>
      </c>
      <c r="D4" s="275"/>
      <c r="E4" s="128">
        <v>152.5</v>
      </c>
      <c r="F4" s="274" t="s">
        <v>405</v>
      </c>
    </row>
    <row r="5" spans="1:6">
      <c r="A5" s="101" t="s">
        <v>1060</v>
      </c>
      <c r="B5" s="101" t="s">
        <v>358</v>
      </c>
      <c r="C5" s="101" t="s">
        <v>1145</v>
      </c>
      <c r="D5" s="275"/>
      <c r="E5" s="128">
        <v>208.30000000000018</v>
      </c>
      <c r="F5" s="274" t="s">
        <v>405</v>
      </c>
    </row>
    <row r="6" spans="1:6">
      <c r="A6" s="101" t="s">
        <v>1059</v>
      </c>
      <c r="B6" s="101" t="s">
        <v>171</v>
      </c>
      <c r="C6" s="101" t="s">
        <v>1083</v>
      </c>
      <c r="D6" s="275"/>
      <c r="E6" s="128">
        <v>222.5</v>
      </c>
      <c r="F6" s="274" t="s">
        <v>405</v>
      </c>
    </row>
    <row r="7" spans="1:6">
      <c r="A7" s="101" t="s">
        <v>1058</v>
      </c>
      <c r="B7" s="101" t="s">
        <v>248</v>
      </c>
      <c r="C7" s="101" t="s">
        <v>1089</v>
      </c>
      <c r="D7" s="275"/>
      <c r="E7" s="128">
        <v>234.09999999999991</v>
      </c>
      <c r="F7" s="274" t="s">
        <v>405</v>
      </c>
    </row>
    <row r="8" spans="1:6">
      <c r="A8" s="101" t="s">
        <v>1058</v>
      </c>
      <c r="B8" s="101" t="s">
        <v>1062</v>
      </c>
      <c r="C8" s="101" t="s">
        <v>1089</v>
      </c>
      <c r="D8" s="275"/>
      <c r="E8" s="128">
        <v>234.09999999999991</v>
      </c>
      <c r="F8" s="274" t="s">
        <v>405</v>
      </c>
    </row>
    <row r="9" spans="1:6">
      <c r="A9" s="101" t="s">
        <v>1060</v>
      </c>
      <c r="B9" s="101" t="s">
        <v>151</v>
      </c>
      <c r="C9" s="101" t="s">
        <v>1151</v>
      </c>
      <c r="D9" s="275"/>
      <c r="E9" s="128">
        <v>252.30000000000018</v>
      </c>
      <c r="F9" s="274" t="s">
        <v>405</v>
      </c>
    </row>
    <row r="10" spans="1:6">
      <c r="A10" s="101" t="s">
        <v>1060</v>
      </c>
      <c r="B10" s="101" t="s">
        <v>332</v>
      </c>
      <c r="C10" s="101" t="s">
        <v>1153</v>
      </c>
      <c r="D10" s="275"/>
      <c r="E10" s="128">
        <v>285.30000000000018</v>
      </c>
      <c r="F10" s="274" t="s">
        <v>1157</v>
      </c>
    </row>
    <row r="11" spans="1:6">
      <c r="A11" s="101" t="s">
        <v>1060</v>
      </c>
      <c r="B11" s="101" t="s">
        <v>145</v>
      </c>
      <c r="C11" s="101" t="s">
        <v>1124</v>
      </c>
      <c r="D11" s="275"/>
      <c r="E11" s="128">
        <v>304.30000000000018</v>
      </c>
      <c r="F11" s="274" t="s">
        <v>1157</v>
      </c>
    </row>
    <row r="12" spans="1:6">
      <c r="A12" s="101" t="s">
        <v>1060</v>
      </c>
      <c r="B12" s="101" t="s">
        <v>1076</v>
      </c>
      <c r="C12" s="101" t="s">
        <v>1126</v>
      </c>
      <c r="D12" s="275"/>
      <c r="E12" s="128">
        <v>304.30000000000018</v>
      </c>
      <c r="F12" s="274" t="s">
        <v>405</v>
      </c>
    </row>
    <row r="13" spans="1:6">
      <c r="A13" s="101" t="s">
        <v>1060</v>
      </c>
      <c r="B13" s="101" t="s">
        <v>1076</v>
      </c>
      <c r="C13" s="101" t="s">
        <v>1126</v>
      </c>
      <c r="D13" s="275"/>
      <c r="E13" s="128">
        <v>304.30000000000018</v>
      </c>
      <c r="F13" s="274" t="s">
        <v>405</v>
      </c>
    </row>
    <row r="14" spans="1:6">
      <c r="A14" s="101" t="s">
        <v>1060</v>
      </c>
      <c r="B14" s="101" t="s">
        <v>173</v>
      </c>
      <c r="C14" s="101" t="s">
        <v>1132</v>
      </c>
      <c r="D14" s="275"/>
      <c r="E14" s="128">
        <v>304.30000000000018</v>
      </c>
      <c r="F14" s="274" t="s">
        <v>405</v>
      </c>
    </row>
    <row r="15" spans="1:6">
      <c r="A15" s="101" t="s">
        <v>1060</v>
      </c>
      <c r="B15" s="101" t="s">
        <v>187</v>
      </c>
      <c r="C15" s="101" t="s">
        <v>1136</v>
      </c>
      <c r="D15" s="275"/>
      <c r="E15" s="128">
        <v>365.30000000000018</v>
      </c>
      <c r="F15" s="274" t="s">
        <v>405</v>
      </c>
    </row>
    <row r="16" spans="1:6">
      <c r="A16" s="101" t="s">
        <v>1059</v>
      </c>
      <c r="B16" s="101" t="s">
        <v>349</v>
      </c>
      <c r="C16" s="101" t="s">
        <v>1143</v>
      </c>
      <c r="D16" s="275"/>
      <c r="E16" s="128">
        <v>379.5</v>
      </c>
      <c r="F16" s="101" t="s">
        <v>405</v>
      </c>
    </row>
    <row r="17" spans="1:6">
      <c r="A17" s="101" t="s">
        <v>1059</v>
      </c>
      <c r="B17" s="101" t="s">
        <v>248</v>
      </c>
      <c r="C17" s="101" t="s">
        <v>1089</v>
      </c>
      <c r="D17" s="275"/>
      <c r="E17" s="128">
        <v>389.5</v>
      </c>
      <c r="F17" s="101" t="s">
        <v>405</v>
      </c>
    </row>
    <row r="18" spans="1:6">
      <c r="A18" s="101" t="s">
        <v>1059</v>
      </c>
      <c r="B18" s="101" t="s">
        <v>1062</v>
      </c>
      <c r="C18" s="101" t="s">
        <v>1089</v>
      </c>
      <c r="D18" s="275"/>
      <c r="E18" s="128">
        <v>389.5</v>
      </c>
      <c r="F18" s="101" t="s">
        <v>405</v>
      </c>
    </row>
    <row r="19" spans="1:6">
      <c r="A19" s="101" t="s">
        <v>1060</v>
      </c>
      <c r="B19" s="101" t="s">
        <v>171</v>
      </c>
      <c r="C19" s="101" t="s">
        <v>1083</v>
      </c>
      <c r="D19" s="275"/>
      <c r="E19" s="128">
        <v>429.30000000000018</v>
      </c>
      <c r="F19" s="101" t="s">
        <v>405</v>
      </c>
    </row>
    <row r="20" spans="1:6">
      <c r="A20" s="101" t="s">
        <v>1059</v>
      </c>
      <c r="B20" s="101" t="s">
        <v>387</v>
      </c>
      <c r="C20" s="101" t="s">
        <v>1087</v>
      </c>
      <c r="D20" s="275"/>
      <c r="E20" s="128">
        <v>500.5</v>
      </c>
      <c r="F20" s="101" t="s">
        <v>1157</v>
      </c>
    </row>
    <row r="21" spans="1:6">
      <c r="A21" s="101" t="s">
        <v>1058</v>
      </c>
      <c r="B21" s="101" t="s">
        <v>358</v>
      </c>
      <c r="C21" s="101" t="s">
        <v>1145</v>
      </c>
      <c r="D21" s="275"/>
      <c r="E21" s="128">
        <v>534.09999999999991</v>
      </c>
      <c r="F21" s="101" t="s">
        <v>405</v>
      </c>
    </row>
    <row r="22" spans="1:6">
      <c r="A22" s="101" t="s">
        <v>1058</v>
      </c>
      <c r="B22" s="101" t="s">
        <v>358</v>
      </c>
      <c r="C22" s="101" t="s">
        <v>1146</v>
      </c>
      <c r="D22" s="275"/>
      <c r="E22" s="128">
        <v>534.09999999999991</v>
      </c>
      <c r="F22" s="101" t="s">
        <v>405</v>
      </c>
    </row>
    <row r="23" spans="1:6">
      <c r="A23" s="101" t="s">
        <v>1059</v>
      </c>
      <c r="B23" s="101" t="s">
        <v>256</v>
      </c>
      <c r="C23" s="101" t="s">
        <v>1091</v>
      </c>
      <c r="D23" s="101"/>
      <c r="E23" s="128">
        <v>562.5</v>
      </c>
      <c r="F23" s="101" t="s">
        <v>405</v>
      </c>
    </row>
    <row r="24" spans="1:6">
      <c r="A24" s="101" t="s">
        <v>1060</v>
      </c>
      <c r="B24" s="101" t="s">
        <v>171</v>
      </c>
      <c r="C24" s="101" t="s">
        <v>1083</v>
      </c>
      <c r="D24" s="275"/>
      <c r="E24" s="128">
        <v>602.30000000000018</v>
      </c>
      <c r="F24" s="101" t="s">
        <v>405</v>
      </c>
    </row>
    <row r="25" spans="1:6">
      <c r="A25" s="101" t="s">
        <v>1060</v>
      </c>
      <c r="B25" s="101" t="s">
        <v>171</v>
      </c>
      <c r="C25" s="101" t="s">
        <v>1083</v>
      </c>
      <c r="D25" s="275"/>
      <c r="E25" s="128">
        <v>602.30000000000018</v>
      </c>
      <c r="F25" s="101" t="s">
        <v>405</v>
      </c>
    </row>
    <row r="26" spans="1:6">
      <c r="A26" s="101" t="s">
        <v>1058</v>
      </c>
      <c r="B26" s="101" t="s">
        <v>145</v>
      </c>
      <c r="C26" s="101" t="s">
        <v>1124</v>
      </c>
      <c r="D26" s="275"/>
      <c r="E26" s="128">
        <v>693.09999999999991</v>
      </c>
      <c r="F26" s="101" t="s">
        <v>1157</v>
      </c>
    </row>
    <row r="27" spans="1:6">
      <c r="A27" s="101" t="s">
        <v>1059</v>
      </c>
      <c r="B27" s="101" t="s">
        <v>177</v>
      </c>
      <c r="C27" s="101" t="s">
        <v>1130</v>
      </c>
      <c r="D27" s="275"/>
      <c r="E27" s="128">
        <v>698.5</v>
      </c>
      <c r="F27" s="101" t="s">
        <v>405</v>
      </c>
    </row>
    <row r="28" spans="1:6">
      <c r="A28" s="101" t="s">
        <v>1059</v>
      </c>
      <c r="B28" s="101" t="s">
        <v>177</v>
      </c>
      <c r="C28" s="101" t="s">
        <v>1130</v>
      </c>
      <c r="D28" s="275"/>
      <c r="E28" s="128">
        <v>739.5</v>
      </c>
      <c r="F28" s="101" t="s">
        <v>405</v>
      </c>
    </row>
    <row r="29" spans="1:6">
      <c r="A29" s="101" t="s">
        <v>1059</v>
      </c>
      <c r="B29" s="101" t="s">
        <v>171</v>
      </c>
      <c r="C29" s="101" t="s">
        <v>1083</v>
      </c>
      <c r="D29" s="275"/>
      <c r="E29" s="128">
        <v>807.5</v>
      </c>
      <c r="F29" s="101" t="s">
        <v>405</v>
      </c>
    </row>
    <row r="30" spans="1:6">
      <c r="A30" s="101" t="s">
        <v>1060</v>
      </c>
      <c r="B30" s="101" t="s">
        <v>1063</v>
      </c>
      <c r="C30" s="101" t="s">
        <v>1089</v>
      </c>
      <c r="D30" s="275"/>
      <c r="E30" s="128">
        <v>844.30000000000018</v>
      </c>
      <c r="F30" s="101" t="s">
        <v>405</v>
      </c>
    </row>
    <row r="31" spans="1:6">
      <c r="A31" s="101" t="s">
        <v>1060</v>
      </c>
      <c r="B31" s="101" t="s">
        <v>1062</v>
      </c>
      <c r="C31" s="101" t="s">
        <v>1089</v>
      </c>
      <c r="E31" s="128">
        <v>844.30000000000018</v>
      </c>
      <c r="F31" s="101" t="s">
        <v>405</v>
      </c>
    </row>
    <row r="32" spans="1:6">
      <c r="A32" s="101" t="s">
        <v>1060</v>
      </c>
      <c r="B32" s="101" t="s">
        <v>332</v>
      </c>
      <c r="C32" s="101" t="s">
        <v>1153</v>
      </c>
      <c r="E32" s="128">
        <v>902.30000000000018</v>
      </c>
      <c r="F32" s="101" t="s">
        <v>1157</v>
      </c>
    </row>
    <row r="33" spans="1:6">
      <c r="A33" s="101" t="s">
        <v>1060</v>
      </c>
      <c r="B33" s="101" t="s">
        <v>1081</v>
      </c>
      <c r="C33" s="101" t="s">
        <v>1147</v>
      </c>
      <c r="E33" s="128">
        <v>918.30000000000018</v>
      </c>
      <c r="F33" s="101" t="s">
        <v>405</v>
      </c>
    </row>
    <row r="34" spans="1:6">
      <c r="A34" s="101" t="s">
        <v>1060</v>
      </c>
      <c r="B34" s="101" t="s">
        <v>227</v>
      </c>
      <c r="C34" s="101" t="s">
        <v>1152</v>
      </c>
      <c r="E34" s="128">
        <v>918.30000000000018</v>
      </c>
      <c r="F34" s="101" t="s">
        <v>1157</v>
      </c>
    </row>
    <row r="35" spans="1:6">
      <c r="A35" s="101" t="s">
        <v>1059</v>
      </c>
      <c r="B35" s="101" t="s">
        <v>181</v>
      </c>
      <c r="C35" s="101" t="s">
        <v>1134</v>
      </c>
      <c r="E35" s="128">
        <v>948.5</v>
      </c>
      <c r="F35" s="101" t="s">
        <v>405</v>
      </c>
    </row>
    <row r="36" spans="1:6">
      <c r="A36" s="101" t="s">
        <v>1059</v>
      </c>
      <c r="B36" s="101" t="s">
        <v>171</v>
      </c>
      <c r="C36" s="101" t="s">
        <v>1083</v>
      </c>
      <c r="E36" s="128">
        <v>977.5</v>
      </c>
      <c r="F36" s="101" t="s">
        <v>405</v>
      </c>
    </row>
    <row r="37" spans="1:6">
      <c r="A37" s="101" t="s">
        <v>1060</v>
      </c>
      <c r="B37" s="101" t="s">
        <v>177</v>
      </c>
      <c r="C37" s="101" t="s">
        <v>1130</v>
      </c>
      <c r="E37" s="128">
        <v>979.30000000000018</v>
      </c>
      <c r="F37" s="101" t="s">
        <v>405</v>
      </c>
    </row>
    <row r="38" spans="1:6">
      <c r="A38" s="101" t="s">
        <v>1060</v>
      </c>
      <c r="B38" s="101" t="s">
        <v>177</v>
      </c>
      <c r="C38" s="101" t="s">
        <v>1130</v>
      </c>
      <c r="E38" s="128">
        <v>979.30000000000018</v>
      </c>
      <c r="F38" s="101" t="s">
        <v>405</v>
      </c>
    </row>
    <row r="39" spans="1:6">
      <c r="A39" s="101" t="s">
        <v>1060</v>
      </c>
      <c r="B39" s="101" t="s">
        <v>177</v>
      </c>
      <c r="C39" s="101" t="s">
        <v>1130</v>
      </c>
      <c r="E39" s="128">
        <v>979.30000000000018</v>
      </c>
      <c r="F39" s="101" t="s">
        <v>405</v>
      </c>
    </row>
    <row r="40" spans="1:6">
      <c r="A40" s="101" t="s">
        <v>1060</v>
      </c>
      <c r="B40" s="101" t="s">
        <v>177</v>
      </c>
      <c r="C40" s="101" t="s">
        <v>1130</v>
      </c>
      <c r="E40" s="128">
        <v>979.30000000000018</v>
      </c>
      <c r="F40" s="101" t="s">
        <v>405</v>
      </c>
    </row>
    <row r="41" spans="1:6">
      <c r="A41" s="101" t="s">
        <v>1060</v>
      </c>
      <c r="B41" s="101" t="s">
        <v>177</v>
      </c>
      <c r="C41" s="101" t="s">
        <v>1130</v>
      </c>
      <c r="E41" s="128">
        <v>979.30000000000018</v>
      </c>
      <c r="F41" s="101" t="s">
        <v>405</v>
      </c>
    </row>
    <row r="42" spans="1:6">
      <c r="A42" s="101" t="s">
        <v>1058</v>
      </c>
      <c r="B42" s="101" t="s">
        <v>1081</v>
      </c>
      <c r="C42" s="101" t="s">
        <v>1147</v>
      </c>
      <c r="E42" s="128">
        <v>984.09999999999991</v>
      </c>
      <c r="F42" s="101" t="s">
        <v>405</v>
      </c>
    </row>
    <row r="43" spans="1:6">
      <c r="A43" s="101" t="s">
        <v>1058</v>
      </c>
      <c r="B43" s="101" t="s">
        <v>227</v>
      </c>
      <c r="C43" s="101" t="s">
        <v>1152</v>
      </c>
      <c r="E43" s="128">
        <v>984.09999999999991</v>
      </c>
      <c r="F43" s="101" t="s">
        <v>1157</v>
      </c>
    </row>
    <row r="44" spans="1:6">
      <c r="A44" s="101" t="s">
        <v>1060</v>
      </c>
      <c r="B44" s="101" t="s">
        <v>891</v>
      </c>
      <c r="C44" s="101" t="s">
        <v>1101</v>
      </c>
      <c r="E44" s="128">
        <v>984.30000000000018</v>
      </c>
      <c r="F44" s="101" t="s">
        <v>405</v>
      </c>
    </row>
    <row r="45" spans="1:6">
      <c r="A45" s="101" t="s">
        <v>1060</v>
      </c>
      <c r="B45" s="101" t="s">
        <v>891</v>
      </c>
      <c r="C45" s="101" t="s">
        <v>1102</v>
      </c>
      <c r="E45" s="128">
        <v>984.30000000000018</v>
      </c>
      <c r="F45" s="101" t="s">
        <v>405</v>
      </c>
    </row>
    <row r="46" spans="1:6">
      <c r="A46" s="101" t="s">
        <v>1060</v>
      </c>
      <c r="B46" s="101" t="s">
        <v>891</v>
      </c>
      <c r="C46" s="101" t="s">
        <v>1103</v>
      </c>
      <c r="E46" s="128">
        <v>984.30000000000018</v>
      </c>
      <c r="F46" s="101" t="s">
        <v>405</v>
      </c>
    </row>
    <row r="47" spans="1:6">
      <c r="A47" s="101" t="s">
        <v>1060</v>
      </c>
      <c r="B47" s="101" t="s">
        <v>891</v>
      </c>
      <c r="C47" s="101" t="s">
        <v>1104</v>
      </c>
      <c r="E47" s="128">
        <v>984.30000000000018</v>
      </c>
      <c r="F47" s="101" t="s">
        <v>405</v>
      </c>
    </row>
    <row r="48" spans="1:6">
      <c r="A48" s="101" t="s">
        <v>1059</v>
      </c>
      <c r="B48" s="101" t="s">
        <v>171</v>
      </c>
      <c r="C48" s="101" t="s">
        <v>1083</v>
      </c>
      <c r="E48" s="128">
        <v>1007.5</v>
      </c>
      <c r="F48" s="101" t="s">
        <v>405</v>
      </c>
    </row>
    <row r="49" spans="1:6">
      <c r="A49" s="101" t="s">
        <v>1058</v>
      </c>
      <c r="B49" s="101" t="s">
        <v>231</v>
      </c>
      <c r="C49" s="101" t="s">
        <v>1114</v>
      </c>
      <c r="E49" s="128">
        <v>1021.0999999999999</v>
      </c>
      <c r="F49" s="101" t="s">
        <v>1157</v>
      </c>
    </row>
    <row r="50" spans="1:6">
      <c r="A50" s="101" t="s">
        <v>1059</v>
      </c>
      <c r="B50" s="101" t="s">
        <v>171</v>
      </c>
      <c r="C50" s="101" t="s">
        <v>1083</v>
      </c>
      <c r="E50" s="128">
        <v>1035.5</v>
      </c>
      <c r="F50" s="101" t="s">
        <v>405</v>
      </c>
    </row>
    <row r="51" spans="1:6">
      <c r="A51" s="101" t="s">
        <v>1059</v>
      </c>
      <c r="B51" s="101" t="s">
        <v>177</v>
      </c>
      <c r="C51" s="101" t="s">
        <v>1130</v>
      </c>
      <c r="E51" s="128">
        <v>1053.5</v>
      </c>
      <c r="F51" s="101" t="s">
        <v>405</v>
      </c>
    </row>
    <row r="52" spans="1:6">
      <c r="A52" s="101" t="s">
        <v>1059</v>
      </c>
      <c r="B52" s="101" t="s">
        <v>171</v>
      </c>
      <c r="C52" s="101" t="s">
        <v>1083</v>
      </c>
      <c r="E52" s="128">
        <v>1053.5</v>
      </c>
      <c r="F52" s="101" t="s">
        <v>405</v>
      </c>
    </row>
    <row r="53" spans="1:6">
      <c r="A53" s="101" t="s">
        <v>1059</v>
      </c>
      <c r="B53" s="101" t="s">
        <v>171</v>
      </c>
      <c r="C53" s="101" t="s">
        <v>1083</v>
      </c>
      <c r="E53" s="128">
        <v>1054.5</v>
      </c>
      <c r="F53" s="101" t="s">
        <v>405</v>
      </c>
    </row>
    <row r="54" spans="1:6">
      <c r="A54" s="101" t="s">
        <v>1058</v>
      </c>
      <c r="B54" s="101" t="s">
        <v>387</v>
      </c>
      <c r="C54" s="101" t="s">
        <v>1087</v>
      </c>
      <c r="E54" s="128">
        <v>1059.0999999999999</v>
      </c>
      <c r="F54" s="101" t="s">
        <v>1157</v>
      </c>
    </row>
    <row r="55" spans="1:6">
      <c r="A55" s="101" t="s">
        <v>1058</v>
      </c>
      <c r="B55" s="101" t="s">
        <v>177</v>
      </c>
      <c r="C55" s="101" t="s">
        <v>1130</v>
      </c>
      <c r="E55" s="128">
        <v>1061.0999999999999</v>
      </c>
      <c r="F55" s="101" t="s">
        <v>405</v>
      </c>
    </row>
    <row r="56" spans="1:6">
      <c r="A56" s="101" t="s">
        <v>1058</v>
      </c>
      <c r="B56" s="101" t="s">
        <v>349</v>
      </c>
      <c r="C56" s="101" t="s">
        <v>1099</v>
      </c>
      <c r="E56" s="128">
        <v>1139.0999999999999</v>
      </c>
      <c r="F56" s="101" t="s">
        <v>405</v>
      </c>
    </row>
    <row r="57" spans="1:6">
      <c r="A57" s="101" t="s">
        <v>1060</v>
      </c>
      <c r="B57" s="101" t="s">
        <v>177</v>
      </c>
      <c r="C57" s="101" t="s">
        <v>1130</v>
      </c>
      <c r="D57" s="274"/>
      <c r="E57" s="128">
        <v>1139.3000000000002</v>
      </c>
      <c r="F57" s="101" t="s">
        <v>405</v>
      </c>
    </row>
    <row r="58" spans="1:6">
      <c r="A58" s="101" t="s">
        <v>1059</v>
      </c>
      <c r="B58" s="101" t="s">
        <v>1081</v>
      </c>
      <c r="C58" s="101" t="s">
        <v>1147</v>
      </c>
      <c r="E58" s="128">
        <v>1139.5</v>
      </c>
      <c r="F58" s="101" t="s">
        <v>405</v>
      </c>
    </row>
    <row r="59" spans="1:6">
      <c r="A59" s="101" t="s">
        <v>1059</v>
      </c>
      <c r="B59" s="101" t="s">
        <v>227</v>
      </c>
      <c r="C59" s="101" t="s">
        <v>1152</v>
      </c>
      <c r="E59" s="128">
        <v>1139.5</v>
      </c>
      <c r="F59" s="101" t="s">
        <v>1157</v>
      </c>
    </row>
    <row r="60" spans="1:6">
      <c r="A60" s="101" t="s">
        <v>1058</v>
      </c>
      <c r="B60" s="101" t="s">
        <v>171</v>
      </c>
      <c r="C60" s="101" t="s">
        <v>1083</v>
      </c>
      <c r="E60" s="128">
        <v>1145.0999999999999</v>
      </c>
      <c r="F60" s="101" t="s">
        <v>405</v>
      </c>
    </row>
    <row r="61" spans="1:6">
      <c r="A61" s="101" t="s">
        <v>1058</v>
      </c>
      <c r="B61" s="101" t="s">
        <v>171</v>
      </c>
      <c r="C61" s="101" t="s">
        <v>1083</v>
      </c>
      <c r="E61" s="128">
        <v>1145.0999999999999</v>
      </c>
      <c r="F61" s="101" t="s">
        <v>405</v>
      </c>
    </row>
    <row r="62" spans="1:6">
      <c r="A62" s="101" t="s">
        <v>1058</v>
      </c>
      <c r="B62" s="101" t="s">
        <v>171</v>
      </c>
      <c r="C62" s="101" t="s">
        <v>1083</v>
      </c>
      <c r="E62" s="128">
        <v>1145.0999999999999</v>
      </c>
      <c r="F62" s="101" t="s">
        <v>405</v>
      </c>
    </row>
    <row r="63" spans="1:6">
      <c r="A63" s="101" t="s">
        <v>1058</v>
      </c>
      <c r="B63" s="101" t="s">
        <v>171</v>
      </c>
      <c r="C63" s="101" t="s">
        <v>1083</v>
      </c>
      <c r="D63" s="274"/>
      <c r="E63" s="128">
        <v>1145.0999999999999</v>
      </c>
      <c r="F63" s="102" t="s">
        <v>405</v>
      </c>
    </row>
    <row r="64" spans="1:6">
      <c r="A64" s="101" t="s">
        <v>1058</v>
      </c>
      <c r="B64" s="101" t="s">
        <v>171</v>
      </c>
      <c r="C64" s="101" t="s">
        <v>1083</v>
      </c>
      <c r="E64" s="128">
        <v>1145.0999999999999</v>
      </c>
      <c r="F64" s="101" t="s">
        <v>405</v>
      </c>
    </row>
    <row r="65" spans="1:6">
      <c r="A65" s="101" t="s">
        <v>1058</v>
      </c>
      <c r="B65" s="101" t="s">
        <v>171</v>
      </c>
      <c r="C65" s="101" t="s">
        <v>1083</v>
      </c>
      <c r="E65" s="128">
        <v>1145.0999999999999</v>
      </c>
      <c r="F65" s="101" t="s">
        <v>405</v>
      </c>
    </row>
    <row r="66" spans="1:6">
      <c r="A66" s="101" t="s">
        <v>1058</v>
      </c>
      <c r="B66" s="101" t="s">
        <v>171</v>
      </c>
      <c r="C66" s="101" t="s">
        <v>1083</v>
      </c>
      <c r="E66" s="128">
        <v>1145.0999999999999</v>
      </c>
      <c r="F66" s="101" t="s">
        <v>405</v>
      </c>
    </row>
    <row r="67" spans="1:6">
      <c r="A67" s="101" t="s">
        <v>1058</v>
      </c>
      <c r="B67" s="101" t="s">
        <v>171</v>
      </c>
      <c r="C67" s="101" t="s">
        <v>1083</v>
      </c>
      <c r="E67" s="128">
        <v>1145.0999999999999</v>
      </c>
      <c r="F67" s="101" t="s">
        <v>405</v>
      </c>
    </row>
    <row r="68" spans="1:6">
      <c r="A68" s="101" t="s">
        <v>1059</v>
      </c>
      <c r="B68" s="101" t="s">
        <v>239</v>
      </c>
      <c r="C68" s="101" t="s">
        <v>1099</v>
      </c>
      <c r="E68" s="128">
        <v>1151.5</v>
      </c>
      <c r="F68" s="101" t="s">
        <v>405</v>
      </c>
    </row>
    <row r="69" spans="1:6">
      <c r="A69" s="101" t="s">
        <v>1058</v>
      </c>
      <c r="B69" s="101" t="s">
        <v>332</v>
      </c>
      <c r="C69" s="101" t="s">
        <v>1153</v>
      </c>
      <c r="E69" s="128">
        <v>1172.0999999999999</v>
      </c>
      <c r="F69" s="101" t="s">
        <v>1157</v>
      </c>
    </row>
    <row r="70" spans="1:6">
      <c r="A70" s="101" t="s">
        <v>1058</v>
      </c>
      <c r="B70" s="101" t="s">
        <v>332</v>
      </c>
      <c r="C70" s="101" t="s">
        <v>1153</v>
      </c>
      <c r="E70" s="128">
        <v>1172.0999999999999</v>
      </c>
      <c r="F70" s="101" t="s">
        <v>1157</v>
      </c>
    </row>
    <row r="71" spans="1:6">
      <c r="A71" s="101" t="s">
        <v>1059</v>
      </c>
      <c r="B71" s="101" t="s">
        <v>177</v>
      </c>
      <c r="C71" s="101" t="s">
        <v>1130</v>
      </c>
      <c r="E71" s="128">
        <v>1179.5</v>
      </c>
      <c r="F71" s="101" t="s">
        <v>405</v>
      </c>
    </row>
    <row r="72" spans="1:6">
      <c r="A72" s="101" t="s">
        <v>1058</v>
      </c>
      <c r="B72" s="101" t="s">
        <v>217</v>
      </c>
      <c r="C72" s="101" t="s">
        <v>1094</v>
      </c>
      <c r="E72" s="128">
        <v>1190.0999999999999</v>
      </c>
      <c r="F72" s="101" t="s">
        <v>405</v>
      </c>
    </row>
    <row r="73" spans="1:6">
      <c r="A73" s="101" t="s">
        <v>1060</v>
      </c>
      <c r="B73" s="101" t="s">
        <v>171</v>
      </c>
      <c r="C73" s="101" t="s">
        <v>1083</v>
      </c>
      <c r="E73" s="128">
        <v>1226.3000000000002</v>
      </c>
      <c r="F73" s="101" t="s">
        <v>405</v>
      </c>
    </row>
    <row r="74" spans="1:6">
      <c r="A74" s="101" t="s">
        <v>1060</v>
      </c>
      <c r="B74" s="101" t="s">
        <v>171</v>
      </c>
      <c r="C74" s="101" t="s">
        <v>1083</v>
      </c>
      <c r="E74" s="128">
        <v>1226.3000000000002</v>
      </c>
      <c r="F74" s="101" t="s">
        <v>405</v>
      </c>
    </row>
    <row r="75" spans="1:6">
      <c r="A75" s="101" t="s">
        <v>1060</v>
      </c>
      <c r="B75" s="101" t="s">
        <v>171</v>
      </c>
      <c r="C75" s="101" t="s">
        <v>1083</v>
      </c>
      <c r="E75" s="128">
        <v>1226.3000000000002</v>
      </c>
      <c r="F75" s="101" t="s">
        <v>405</v>
      </c>
    </row>
    <row r="76" spans="1:6">
      <c r="A76" s="101" t="s">
        <v>1060</v>
      </c>
      <c r="B76" s="101" t="s">
        <v>171</v>
      </c>
      <c r="C76" s="101" t="s">
        <v>1083</v>
      </c>
      <c r="E76" s="128">
        <v>1226.3000000000002</v>
      </c>
      <c r="F76" s="101" t="s">
        <v>405</v>
      </c>
    </row>
    <row r="77" spans="1:6">
      <c r="A77" s="101" t="s">
        <v>1059</v>
      </c>
      <c r="B77" s="101" t="s">
        <v>231</v>
      </c>
      <c r="C77" s="101" t="s">
        <v>1113</v>
      </c>
      <c r="E77" s="128">
        <v>1240.5</v>
      </c>
      <c r="F77" s="101" t="s">
        <v>1157</v>
      </c>
    </row>
    <row r="78" spans="1:6">
      <c r="A78" s="101" t="s">
        <v>1059</v>
      </c>
      <c r="B78" s="101" t="s">
        <v>171</v>
      </c>
      <c r="C78" s="101" t="s">
        <v>1083</v>
      </c>
      <c r="E78" s="128">
        <v>1240.5</v>
      </c>
      <c r="F78" s="101" t="s">
        <v>405</v>
      </c>
    </row>
    <row r="79" spans="1:6">
      <c r="A79" s="101" t="s">
        <v>1058</v>
      </c>
      <c r="B79" s="101" t="s">
        <v>151</v>
      </c>
      <c r="C79" s="101" t="s">
        <v>1151</v>
      </c>
      <c r="E79" s="128">
        <v>1270.0999999999999</v>
      </c>
      <c r="F79" s="101" t="s">
        <v>405</v>
      </c>
    </row>
    <row r="80" spans="1:6">
      <c r="A80" s="101" t="s">
        <v>1059</v>
      </c>
      <c r="B80" s="101" t="s">
        <v>321</v>
      </c>
      <c r="C80" s="101" t="s">
        <v>1090</v>
      </c>
      <c r="E80" s="128">
        <v>1278.5</v>
      </c>
      <c r="F80" s="101" t="s">
        <v>1157</v>
      </c>
    </row>
    <row r="81" spans="1:6">
      <c r="A81" s="101" t="s">
        <v>1058</v>
      </c>
      <c r="B81" s="101" t="s">
        <v>151</v>
      </c>
      <c r="C81" s="101" t="s">
        <v>1151</v>
      </c>
      <c r="E81" s="128">
        <v>1347.1</v>
      </c>
      <c r="F81" s="101" t="s">
        <v>405</v>
      </c>
    </row>
    <row r="82" spans="1:6">
      <c r="A82" s="101" t="s">
        <v>1060</v>
      </c>
      <c r="B82" s="101" t="s">
        <v>177</v>
      </c>
      <c r="C82" s="101" t="s">
        <v>1130</v>
      </c>
      <c r="E82" s="128">
        <v>1380.3000000000002</v>
      </c>
      <c r="F82" s="101" t="s">
        <v>405</v>
      </c>
    </row>
    <row r="83" spans="1:6">
      <c r="A83" s="101" t="s">
        <v>1058</v>
      </c>
      <c r="B83" s="101" t="s">
        <v>173</v>
      </c>
      <c r="C83" s="101" t="s">
        <v>1132</v>
      </c>
      <c r="E83" s="128">
        <v>1422.1</v>
      </c>
      <c r="F83" s="101" t="s">
        <v>405</v>
      </c>
    </row>
    <row r="84" spans="1:6">
      <c r="A84" s="101" t="s">
        <v>1060</v>
      </c>
      <c r="B84" s="101" t="s">
        <v>387</v>
      </c>
      <c r="C84" s="101" t="s">
        <v>1087</v>
      </c>
      <c r="E84" s="128">
        <v>1435.3000000000002</v>
      </c>
      <c r="F84" s="101" t="s">
        <v>1157</v>
      </c>
    </row>
    <row r="85" spans="1:6">
      <c r="A85" s="101" t="s">
        <v>1059</v>
      </c>
      <c r="B85" s="101" t="s">
        <v>177</v>
      </c>
      <c r="C85" s="101" t="s">
        <v>1130</v>
      </c>
      <c r="E85" s="128">
        <v>1441.5</v>
      </c>
      <c r="F85" s="101" t="s">
        <v>405</v>
      </c>
    </row>
    <row r="86" spans="1:6">
      <c r="A86" s="101" t="s">
        <v>1059</v>
      </c>
      <c r="B86" s="101" t="s">
        <v>332</v>
      </c>
      <c r="C86" s="101" t="s">
        <v>1153</v>
      </c>
      <c r="E86" s="128">
        <v>1457.5</v>
      </c>
      <c r="F86" s="101" t="s">
        <v>1157</v>
      </c>
    </row>
    <row r="87" spans="1:6">
      <c r="A87" s="101" t="s">
        <v>1059</v>
      </c>
      <c r="B87" s="101" t="s">
        <v>332</v>
      </c>
      <c r="C87" s="101" t="s">
        <v>1153</v>
      </c>
      <c r="D87" s="274"/>
      <c r="E87" s="128">
        <v>1457.5</v>
      </c>
      <c r="F87" s="101" t="s">
        <v>1157</v>
      </c>
    </row>
    <row r="88" spans="1:6">
      <c r="A88" s="101" t="s">
        <v>1060</v>
      </c>
      <c r="B88" s="101" t="s">
        <v>171</v>
      </c>
      <c r="C88" s="101" t="s">
        <v>1083</v>
      </c>
      <c r="E88" s="128">
        <v>1472.3000000000002</v>
      </c>
      <c r="F88" s="101" t="s">
        <v>405</v>
      </c>
    </row>
    <row r="89" spans="1:6">
      <c r="A89" s="101" t="s">
        <v>1059</v>
      </c>
      <c r="B89" s="101" t="s">
        <v>181</v>
      </c>
      <c r="C89" s="101" t="s">
        <v>1134</v>
      </c>
      <c r="E89" s="128">
        <v>1477.5</v>
      </c>
      <c r="F89" s="101" t="s">
        <v>405</v>
      </c>
    </row>
    <row r="90" spans="1:6">
      <c r="A90" s="101" t="s">
        <v>1060</v>
      </c>
      <c r="B90" s="101" t="s">
        <v>256</v>
      </c>
      <c r="C90" s="101" t="s">
        <v>1091</v>
      </c>
      <c r="E90" s="128">
        <v>1554.3000000000002</v>
      </c>
      <c r="F90" s="101" t="s">
        <v>405</v>
      </c>
    </row>
    <row r="91" spans="1:6">
      <c r="A91" s="101" t="s">
        <v>1060</v>
      </c>
      <c r="B91" s="101" t="s">
        <v>151</v>
      </c>
      <c r="C91" s="101" t="s">
        <v>1151</v>
      </c>
      <c r="E91" s="128">
        <v>1573.3000000000002</v>
      </c>
      <c r="F91" s="101" t="s">
        <v>405</v>
      </c>
    </row>
    <row r="92" spans="1:6">
      <c r="A92" s="101" t="s">
        <v>1059</v>
      </c>
      <c r="B92" s="101" t="s">
        <v>145</v>
      </c>
      <c r="C92" s="101" t="s">
        <v>1124</v>
      </c>
      <c r="E92" s="128">
        <v>1595.5</v>
      </c>
      <c r="F92" s="101" t="s">
        <v>1157</v>
      </c>
    </row>
    <row r="93" spans="1:6">
      <c r="A93" s="101" t="s">
        <v>1059</v>
      </c>
      <c r="B93" s="101" t="s">
        <v>173</v>
      </c>
      <c r="C93" s="101" t="s">
        <v>1132</v>
      </c>
      <c r="E93" s="128">
        <v>1595.5</v>
      </c>
      <c r="F93" s="101" t="s">
        <v>405</v>
      </c>
    </row>
    <row r="94" spans="1:6">
      <c r="A94" s="101" t="s">
        <v>1060</v>
      </c>
      <c r="B94" s="101" t="s">
        <v>187</v>
      </c>
      <c r="C94" s="101" t="s">
        <v>1136</v>
      </c>
      <c r="E94" s="128">
        <v>1633.3000000000002</v>
      </c>
      <c r="F94" s="101" t="s">
        <v>405</v>
      </c>
    </row>
    <row r="95" spans="1:6">
      <c r="A95" s="101" t="s">
        <v>1060</v>
      </c>
      <c r="B95" s="101" t="s">
        <v>151</v>
      </c>
      <c r="C95" s="101" t="s">
        <v>1151</v>
      </c>
      <c r="E95" s="128">
        <v>1652.3000000000002</v>
      </c>
      <c r="F95" s="101" t="s">
        <v>405</v>
      </c>
    </row>
    <row r="96" spans="1:6">
      <c r="A96" s="101" t="s">
        <v>1059</v>
      </c>
      <c r="B96" s="101" t="s">
        <v>177</v>
      </c>
      <c r="C96" s="101" t="s">
        <v>1130</v>
      </c>
      <c r="E96" s="128">
        <v>1675.5</v>
      </c>
      <c r="F96" s="101" t="s">
        <v>405</v>
      </c>
    </row>
    <row r="97" spans="1:6">
      <c r="A97" s="101" t="s">
        <v>1058</v>
      </c>
      <c r="B97" s="101" t="s">
        <v>891</v>
      </c>
      <c r="C97" s="101" t="s">
        <v>1101</v>
      </c>
      <c r="E97" s="128">
        <v>1677.1</v>
      </c>
      <c r="F97" s="101" t="s">
        <v>405</v>
      </c>
    </row>
    <row r="98" spans="1:6">
      <c r="A98" s="101" t="s">
        <v>1058</v>
      </c>
      <c r="B98" s="101" t="s">
        <v>891</v>
      </c>
      <c r="C98" s="101" t="s">
        <v>1102</v>
      </c>
      <c r="E98" s="128">
        <v>1677.1</v>
      </c>
      <c r="F98" s="101" t="s">
        <v>405</v>
      </c>
    </row>
    <row r="99" spans="1:6">
      <c r="A99" s="101" t="s">
        <v>1058</v>
      </c>
      <c r="B99" s="101" t="s">
        <v>891</v>
      </c>
      <c r="C99" s="101" t="s">
        <v>1103</v>
      </c>
      <c r="E99" s="128">
        <v>1677.1</v>
      </c>
      <c r="F99" s="101" t="s">
        <v>405</v>
      </c>
    </row>
    <row r="100" spans="1:6">
      <c r="A100" s="101" t="s">
        <v>1058</v>
      </c>
      <c r="B100" s="101" t="s">
        <v>891</v>
      </c>
      <c r="C100" s="101" t="s">
        <v>1104</v>
      </c>
      <c r="E100" s="128">
        <v>1677.1</v>
      </c>
      <c r="F100" s="101" t="s">
        <v>405</v>
      </c>
    </row>
    <row r="101" spans="1:6">
      <c r="A101" s="101" t="s">
        <v>1060</v>
      </c>
      <c r="B101" s="101" t="s">
        <v>1075</v>
      </c>
      <c r="C101" s="101" t="s">
        <v>1122</v>
      </c>
      <c r="E101" s="128">
        <v>1696.3000000000002</v>
      </c>
      <c r="F101" s="101" t="s">
        <v>1157</v>
      </c>
    </row>
    <row r="102" spans="1:6">
      <c r="A102" s="101" t="s">
        <v>1058</v>
      </c>
      <c r="B102" s="101" t="s">
        <v>177</v>
      </c>
      <c r="C102" s="101" t="s">
        <v>1130</v>
      </c>
      <c r="E102" s="128">
        <v>1729.1</v>
      </c>
      <c r="F102" s="101" t="s">
        <v>405</v>
      </c>
    </row>
    <row r="103" spans="1:6">
      <c r="A103" s="101" t="s">
        <v>1058</v>
      </c>
      <c r="B103" s="101" t="s">
        <v>177</v>
      </c>
      <c r="C103" s="101" t="s">
        <v>1130</v>
      </c>
      <c r="E103" s="128">
        <v>1729.1</v>
      </c>
      <c r="F103" s="101" t="s">
        <v>405</v>
      </c>
    </row>
    <row r="104" spans="1:6">
      <c r="A104" s="101" t="s">
        <v>1058</v>
      </c>
      <c r="B104" s="101" t="s">
        <v>177</v>
      </c>
      <c r="C104" s="101" t="s">
        <v>1130</v>
      </c>
      <c r="E104" s="128">
        <v>1729.1</v>
      </c>
      <c r="F104" s="101" t="s">
        <v>405</v>
      </c>
    </row>
    <row r="105" spans="1:6">
      <c r="A105" s="101" t="s">
        <v>1058</v>
      </c>
      <c r="B105" s="101" t="s">
        <v>177</v>
      </c>
      <c r="C105" s="101" t="s">
        <v>1130</v>
      </c>
      <c r="E105" s="128">
        <v>1729.1</v>
      </c>
      <c r="F105" s="101" t="s">
        <v>405</v>
      </c>
    </row>
    <row r="106" spans="1:6">
      <c r="A106" s="101" t="s">
        <v>1058</v>
      </c>
      <c r="B106" s="101" t="s">
        <v>177</v>
      </c>
      <c r="C106" s="101" t="s">
        <v>1130</v>
      </c>
      <c r="E106" s="128">
        <v>1729.1</v>
      </c>
      <c r="F106" s="101" t="s">
        <v>405</v>
      </c>
    </row>
    <row r="107" spans="1:6">
      <c r="A107" s="101" t="s">
        <v>1058</v>
      </c>
      <c r="B107" s="101" t="s">
        <v>177</v>
      </c>
      <c r="C107" s="101" t="s">
        <v>1130</v>
      </c>
      <c r="E107" s="128">
        <v>1729.1</v>
      </c>
      <c r="F107" s="101" t="s">
        <v>405</v>
      </c>
    </row>
    <row r="108" spans="1:6">
      <c r="A108" s="101" t="s">
        <v>1058</v>
      </c>
      <c r="B108" s="101" t="s">
        <v>177</v>
      </c>
      <c r="C108" s="101" t="s">
        <v>1130</v>
      </c>
      <c r="E108" s="128">
        <v>1729.1</v>
      </c>
      <c r="F108" s="101" t="s">
        <v>405</v>
      </c>
    </row>
    <row r="109" spans="1:6">
      <c r="A109" s="101" t="s">
        <v>1058</v>
      </c>
      <c r="B109" s="101" t="s">
        <v>1080</v>
      </c>
      <c r="C109" s="101" t="s">
        <v>1141</v>
      </c>
      <c r="E109" s="128">
        <v>1739.1</v>
      </c>
      <c r="F109" s="101" t="s">
        <v>405</v>
      </c>
    </row>
    <row r="110" spans="1:6">
      <c r="A110" s="101" t="s">
        <v>1060</v>
      </c>
      <c r="B110" s="101" t="s">
        <v>1072</v>
      </c>
      <c r="C110" s="101" t="s">
        <v>1116</v>
      </c>
      <c r="E110" s="128">
        <v>1742.3000000000002</v>
      </c>
      <c r="F110" s="101" t="s">
        <v>1157</v>
      </c>
    </row>
    <row r="111" spans="1:6">
      <c r="A111" s="101" t="s">
        <v>1058</v>
      </c>
      <c r="B111" s="101" t="s">
        <v>181</v>
      </c>
      <c r="C111" s="101" t="s">
        <v>1134</v>
      </c>
      <c r="E111" s="128">
        <v>1752.1</v>
      </c>
      <c r="F111" s="101" t="s">
        <v>405</v>
      </c>
    </row>
    <row r="112" spans="1:6">
      <c r="A112" s="101" t="s">
        <v>1059</v>
      </c>
      <c r="B112" s="101" t="s">
        <v>217</v>
      </c>
      <c r="C112" s="101" t="s">
        <v>1094</v>
      </c>
      <c r="E112" s="128">
        <v>1783.5</v>
      </c>
      <c r="F112" s="101" t="s">
        <v>405</v>
      </c>
    </row>
    <row r="113" spans="1:6">
      <c r="A113" s="101" t="s">
        <v>1060</v>
      </c>
      <c r="B113" s="101" t="s">
        <v>151</v>
      </c>
      <c r="C113" s="101" t="s">
        <v>1151</v>
      </c>
      <c r="E113" s="128">
        <v>1824.3000000000002</v>
      </c>
      <c r="F113" s="101" t="s">
        <v>405</v>
      </c>
    </row>
    <row r="114" spans="1:6">
      <c r="A114" s="101" t="s">
        <v>1058</v>
      </c>
      <c r="B114" s="101" t="s">
        <v>181</v>
      </c>
      <c r="C114" s="101" t="s">
        <v>1134</v>
      </c>
      <c r="E114" s="128">
        <v>1826.1</v>
      </c>
      <c r="F114" s="101" t="s">
        <v>405</v>
      </c>
    </row>
    <row r="115" spans="1:6">
      <c r="A115" s="101" t="s">
        <v>1060</v>
      </c>
      <c r="B115" s="101" t="s">
        <v>231</v>
      </c>
      <c r="C115" s="101" t="s">
        <v>1114</v>
      </c>
      <c r="E115" s="128">
        <v>1844.3000000000002</v>
      </c>
      <c r="F115" s="101" t="s">
        <v>1157</v>
      </c>
    </row>
    <row r="116" spans="1:6">
      <c r="A116" s="101" t="s">
        <v>1058</v>
      </c>
      <c r="B116" s="101" t="s">
        <v>316</v>
      </c>
      <c r="C116" s="101" t="s">
        <v>1085</v>
      </c>
      <c r="E116" s="128">
        <v>1860.1</v>
      </c>
      <c r="F116" s="101" t="s">
        <v>405</v>
      </c>
    </row>
    <row r="117" spans="1:6">
      <c r="A117" s="101" t="s">
        <v>1058</v>
      </c>
      <c r="B117" s="101" t="s">
        <v>239</v>
      </c>
      <c r="C117" s="101" t="s">
        <v>1099</v>
      </c>
      <c r="E117" s="128">
        <v>1901.1</v>
      </c>
      <c r="F117" s="101" t="s">
        <v>405</v>
      </c>
    </row>
    <row r="118" spans="1:6">
      <c r="A118" s="101" t="s">
        <v>1060</v>
      </c>
      <c r="B118" s="101" t="s">
        <v>177</v>
      </c>
      <c r="C118" s="101" t="s">
        <v>1130</v>
      </c>
      <c r="E118" s="128">
        <v>1915.3000000000002</v>
      </c>
      <c r="F118" s="101" t="s">
        <v>405</v>
      </c>
    </row>
    <row r="119" spans="1:6">
      <c r="A119" s="101" t="s">
        <v>1058</v>
      </c>
      <c r="B119" s="101" t="s">
        <v>1078</v>
      </c>
      <c r="C119" s="101" t="s">
        <v>1138</v>
      </c>
      <c r="E119" s="128">
        <v>1922.1</v>
      </c>
      <c r="F119" s="101" t="s">
        <v>405</v>
      </c>
    </row>
    <row r="120" spans="1:6">
      <c r="A120" s="101" t="s">
        <v>1058</v>
      </c>
      <c r="B120" s="101" t="s">
        <v>151</v>
      </c>
      <c r="C120" s="101" t="s">
        <v>1151</v>
      </c>
      <c r="E120" s="128">
        <v>1922.1</v>
      </c>
      <c r="F120" s="101" t="s">
        <v>405</v>
      </c>
    </row>
    <row r="121" spans="1:6">
      <c r="A121" s="101" t="s">
        <v>1058</v>
      </c>
      <c r="B121" s="101" t="s">
        <v>151</v>
      </c>
      <c r="C121" s="101" t="s">
        <v>1151</v>
      </c>
      <c r="E121" s="128">
        <v>1922.1</v>
      </c>
      <c r="F121" s="101" t="s">
        <v>405</v>
      </c>
    </row>
    <row r="122" spans="1:6">
      <c r="A122" s="101" t="s">
        <v>1058</v>
      </c>
      <c r="B122" s="101" t="s">
        <v>256</v>
      </c>
      <c r="C122" s="101" t="s">
        <v>1091</v>
      </c>
      <c r="E122" s="128">
        <v>1930.1</v>
      </c>
      <c r="F122" s="101" t="s">
        <v>405</v>
      </c>
    </row>
    <row r="123" spans="1:6">
      <c r="A123" s="101" t="s">
        <v>1058</v>
      </c>
      <c r="B123" s="101" t="s">
        <v>1061</v>
      </c>
      <c r="C123" s="101" t="s">
        <v>1084</v>
      </c>
      <c r="E123" s="128">
        <v>2017.1</v>
      </c>
      <c r="F123" s="101" t="s">
        <v>1157</v>
      </c>
    </row>
    <row r="124" spans="1:6">
      <c r="A124" s="101" t="s">
        <v>1058</v>
      </c>
      <c r="B124" s="101" t="s">
        <v>1075</v>
      </c>
      <c r="C124" s="101" t="s">
        <v>1123</v>
      </c>
      <c r="E124" s="128">
        <v>2017.1</v>
      </c>
      <c r="F124" s="101" t="s">
        <v>1157</v>
      </c>
    </row>
    <row r="125" spans="1:6">
      <c r="A125" s="101" t="s">
        <v>1059</v>
      </c>
      <c r="B125" s="101" t="s">
        <v>1078</v>
      </c>
      <c r="C125" s="101" t="s">
        <v>1138</v>
      </c>
      <c r="E125" s="128">
        <v>2095.5</v>
      </c>
      <c r="F125" s="101" t="s">
        <v>405</v>
      </c>
    </row>
    <row r="126" spans="1:6">
      <c r="A126" s="101" t="s">
        <v>1059</v>
      </c>
      <c r="B126" s="101" t="s">
        <v>151</v>
      </c>
      <c r="C126" s="101" t="s">
        <v>1151</v>
      </c>
      <c r="D126" s="274"/>
      <c r="E126" s="128">
        <v>2095.5</v>
      </c>
      <c r="F126" s="129" t="s">
        <v>405</v>
      </c>
    </row>
    <row r="127" spans="1:6">
      <c r="A127" s="101" t="s">
        <v>1059</v>
      </c>
      <c r="B127" s="101" t="s">
        <v>151</v>
      </c>
      <c r="C127" s="101" t="s">
        <v>1151</v>
      </c>
      <c r="E127" s="128">
        <v>2095.5</v>
      </c>
      <c r="F127" s="101" t="s">
        <v>405</v>
      </c>
    </row>
    <row r="128" spans="1:6">
      <c r="A128" s="101" t="s">
        <v>1059</v>
      </c>
      <c r="B128" s="101" t="s">
        <v>151</v>
      </c>
      <c r="C128" s="101" t="s">
        <v>1151</v>
      </c>
      <c r="E128" s="128">
        <v>2095.5</v>
      </c>
      <c r="F128" s="101" t="s">
        <v>405</v>
      </c>
    </row>
    <row r="129" spans="1:6">
      <c r="A129" s="101" t="s">
        <v>1059</v>
      </c>
      <c r="B129" s="101" t="s">
        <v>151</v>
      </c>
      <c r="C129" s="101" t="s">
        <v>1151</v>
      </c>
      <c r="E129" s="128">
        <v>2095.5</v>
      </c>
      <c r="F129" s="101" t="s">
        <v>405</v>
      </c>
    </row>
    <row r="130" spans="1:6">
      <c r="A130" s="101" t="s">
        <v>1058</v>
      </c>
      <c r="B130" s="101" t="s">
        <v>1072</v>
      </c>
      <c r="C130" s="101" t="s">
        <v>1116</v>
      </c>
      <c r="E130" s="128">
        <v>2130.1</v>
      </c>
      <c r="F130" s="101" t="s">
        <v>1157</v>
      </c>
    </row>
    <row r="131" spans="1:6">
      <c r="A131" s="101" t="s">
        <v>1060</v>
      </c>
      <c r="B131" s="101" t="s">
        <v>1078</v>
      </c>
      <c r="C131" s="101" t="s">
        <v>1138</v>
      </c>
      <c r="E131" s="128">
        <v>2147.3000000000002</v>
      </c>
      <c r="F131" s="101" t="s">
        <v>405</v>
      </c>
    </row>
    <row r="132" spans="1:6">
      <c r="A132" s="101" t="s">
        <v>1059</v>
      </c>
      <c r="B132" s="101" t="s">
        <v>1080</v>
      </c>
      <c r="C132" s="101" t="s">
        <v>1141</v>
      </c>
      <c r="E132" s="128">
        <v>2182.5</v>
      </c>
      <c r="F132" s="101" t="s">
        <v>405</v>
      </c>
    </row>
    <row r="133" spans="1:6">
      <c r="A133" s="101" t="s">
        <v>1060</v>
      </c>
      <c r="B133" s="101" t="s">
        <v>1064</v>
      </c>
      <c r="C133" s="101" t="s">
        <v>1096</v>
      </c>
      <c r="E133" s="128">
        <v>2211.3000000000002</v>
      </c>
      <c r="F133" s="101" t="s">
        <v>405</v>
      </c>
    </row>
    <row r="134" spans="1:6">
      <c r="A134" s="101" t="s">
        <v>1058</v>
      </c>
      <c r="B134" s="101" t="s">
        <v>1072</v>
      </c>
      <c r="C134" s="101" t="s">
        <v>1115</v>
      </c>
      <c r="E134" s="128">
        <v>2306.1</v>
      </c>
      <c r="F134" s="101" t="s">
        <v>1157</v>
      </c>
    </row>
    <row r="135" spans="1:6">
      <c r="A135" s="101" t="s">
        <v>1060</v>
      </c>
      <c r="B135" s="101" t="s">
        <v>117</v>
      </c>
      <c r="C135" s="101" t="s">
        <v>1112</v>
      </c>
      <c r="E135" s="128">
        <v>2333.3000000000002</v>
      </c>
      <c r="F135" s="101" t="s">
        <v>405</v>
      </c>
    </row>
    <row r="136" spans="1:6">
      <c r="A136" s="101" t="s">
        <v>1058</v>
      </c>
      <c r="B136" s="101" t="s">
        <v>1074</v>
      </c>
      <c r="C136" s="101" t="s">
        <v>1120</v>
      </c>
      <c r="E136" s="128">
        <v>2341.1</v>
      </c>
      <c r="F136" s="101" t="s">
        <v>1157</v>
      </c>
    </row>
    <row r="137" spans="1:6">
      <c r="A137" s="101" t="s">
        <v>1059</v>
      </c>
      <c r="B137" s="101" t="s">
        <v>891</v>
      </c>
      <c r="C137" s="101" t="s">
        <v>1101</v>
      </c>
      <c r="E137" s="128">
        <v>2383.5</v>
      </c>
      <c r="F137" s="101" t="s">
        <v>405</v>
      </c>
    </row>
    <row r="138" spans="1:6">
      <c r="A138" s="101" t="s">
        <v>1059</v>
      </c>
      <c r="B138" s="101" t="s">
        <v>891</v>
      </c>
      <c r="C138" s="101" t="s">
        <v>1102</v>
      </c>
      <c r="E138" s="128">
        <v>2383.5</v>
      </c>
      <c r="F138" s="101" t="s">
        <v>405</v>
      </c>
    </row>
    <row r="139" spans="1:6">
      <c r="A139" s="101" t="s">
        <v>1059</v>
      </c>
      <c r="B139" s="101" t="s">
        <v>891</v>
      </c>
      <c r="C139" s="101" t="s">
        <v>1103</v>
      </c>
      <c r="E139" s="128">
        <v>2383.5</v>
      </c>
      <c r="F139" s="101" t="s">
        <v>405</v>
      </c>
    </row>
    <row r="140" spans="1:6">
      <c r="A140" s="101" t="s">
        <v>1059</v>
      </c>
      <c r="B140" s="101" t="s">
        <v>891</v>
      </c>
      <c r="C140" s="101" t="s">
        <v>1104</v>
      </c>
      <c r="E140" s="128">
        <v>2383.5</v>
      </c>
      <c r="F140" s="101" t="s">
        <v>405</v>
      </c>
    </row>
    <row r="141" spans="1:6">
      <c r="A141" s="101" t="s">
        <v>1058</v>
      </c>
      <c r="B141" s="101" t="s">
        <v>181</v>
      </c>
      <c r="C141" s="101" t="s">
        <v>1134</v>
      </c>
      <c r="E141" s="128">
        <v>2516.1</v>
      </c>
      <c r="F141" s="101" t="s">
        <v>405</v>
      </c>
    </row>
    <row r="142" spans="1:6">
      <c r="A142" s="101" t="s">
        <v>1058</v>
      </c>
      <c r="B142" s="101" t="s">
        <v>187</v>
      </c>
      <c r="C142" s="101" t="s">
        <v>1136</v>
      </c>
      <c r="E142" s="128">
        <v>2516.1</v>
      </c>
      <c r="F142" s="101" t="s">
        <v>405</v>
      </c>
    </row>
    <row r="143" spans="1:6">
      <c r="A143" s="101" t="s">
        <v>1060</v>
      </c>
      <c r="B143" s="101" t="s">
        <v>1061</v>
      </c>
      <c r="C143" s="101" t="s">
        <v>1090</v>
      </c>
      <c r="E143" s="128">
        <v>2572.3000000000002</v>
      </c>
      <c r="F143" s="101" t="s">
        <v>1157</v>
      </c>
    </row>
    <row r="144" spans="1:6">
      <c r="A144" s="101" t="s">
        <v>1058</v>
      </c>
      <c r="B144" s="101" t="s">
        <v>181</v>
      </c>
      <c r="C144" s="101" t="s">
        <v>1133</v>
      </c>
      <c r="E144" s="128">
        <v>2590.1</v>
      </c>
      <c r="F144" s="101" t="s">
        <v>405</v>
      </c>
    </row>
    <row r="145" spans="1:6">
      <c r="A145" s="101" t="s">
        <v>1058</v>
      </c>
      <c r="B145" s="101" t="s">
        <v>187</v>
      </c>
      <c r="C145" s="101" t="s">
        <v>1136</v>
      </c>
      <c r="E145" s="128">
        <v>2590.1</v>
      </c>
      <c r="F145" s="101" t="s">
        <v>405</v>
      </c>
    </row>
    <row r="146" spans="1:6">
      <c r="A146" s="101" t="s">
        <v>1060</v>
      </c>
      <c r="B146" s="101" t="s">
        <v>1077</v>
      </c>
      <c r="C146" s="101" t="s">
        <v>1135</v>
      </c>
      <c r="E146" s="128">
        <v>2592.3000000000002</v>
      </c>
      <c r="F146" s="101" t="s">
        <v>405</v>
      </c>
    </row>
    <row r="147" spans="1:6">
      <c r="A147" s="101" t="s">
        <v>1059</v>
      </c>
      <c r="B147" s="101" t="s">
        <v>121</v>
      </c>
      <c r="C147" s="101" t="s">
        <v>1150</v>
      </c>
      <c r="E147" s="128">
        <v>2723.5</v>
      </c>
      <c r="F147" s="101" t="s">
        <v>405</v>
      </c>
    </row>
    <row r="148" spans="1:6">
      <c r="A148" s="101" t="s">
        <v>1058</v>
      </c>
      <c r="B148" s="101" t="s">
        <v>108</v>
      </c>
      <c r="C148" s="101" t="s">
        <v>1109</v>
      </c>
      <c r="E148" s="128">
        <v>2846.1</v>
      </c>
      <c r="F148" s="101" t="s">
        <v>405</v>
      </c>
    </row>
    <row r="149" spans="1:6">
      <c r="A149" s="101" t="s">
        <v>1060</v>
      </c>
      <c r="B149" s="101" t="s">
        <v>239</v>
      </c>
      <c r="C149" s="101" t="s">
        <v>1099</v>
      </c>
      <c r="E149" s="128">
        <v>2872.3</v>
      </c>
      <c r="F149" s="101" t="s">
        <v>405</v>
      </c>
    </row>
    <row r="150" spans="1:6">
      <c r="A150" s="101" t="s">
        <v>1060</v>
      </c>
      <c r="B150" s="101" t="s">
        <v>121</v>
      </c>
      <c r="C150" s="101" t="s">
        <v>1149</v>
      </c>
      <c r="E150" s="128">
        <v>2946.3</v>
      </c>
      <c r="F150" s="101" t="s">
        <v>405</v>
      </c>
    </row>
    <row r="151" spans="1:6">
      <c r="A151" s="101" t="s">
        <v>1058</v>
      </c>
      <c r="B151" s="101" t="s">
        <v>187</v>
      </c>
      <c r="C151" s="101" t="s">
        <v>1136</v>
      </c>
      <c r="E151" s="128">
        <v>2959.1</v>
      </c>
      <c r="F151" s="101" t="s">
        <v>405</v>
      </c>
    </row>
    <row r="152" spans="1:6">
      <c r="A152" s="101" t="s">
        <v>1060</v>
      </c>
      <c r="B152" s="101" t="s">
        <v>224</v>
      </c>
      <c r="C152" s="101" t="s">
        <v>1137</v>
      </c>
      <c r="E152" s="128">
        <v>2986.3</v>
      </c>
      <c r="F152" s="101" t="s">
        <v>405</v>
      </c>
    </row>
    <row r="153" spans="1:6">
      <c r="A153" s="101" t="s">
        <v>1060</v>
      </c>
      <c r="B153" s="101" t="s">
        <v>147</v>
      </c>
      <c r="C153" s="101" t="s">
        <v>1125</v>
      </c>
      <c r="E153" s="128">
        <v>2988.3</v>
      </c>
      <c r="F153" s="101" t="s">
        <v>405</v>
      </c>
    </row>
    <row r="154" spans="1:6">
      <c r="A154" s="101" t="s">
        <v>1059</v>
      </c>
      <c r="B154" s="101" t="s">
        <v>1064</v>
      </c>
      <c r="C154" s="101" t="s">
        <v>1096</v>
      </c>
      <c r="E154" s="128">
        <v>2989.5</v>
      </c>
      <c r="F154" s="101" t="s">
        <v>405</v>
      </c>
    </row>
    <row r="155" spans="1:6">
      <c r="A155" s="101" t="s">
        <v>1060</v>
      </c>
      <c r="B155" s="101" t="s">
        <v>181</v>
      </c>
      <c r="C155" s="101" t="s">
        <v>1134</v>
      </c>
      <c r="E155" s="128">
        <v>3024.3</v>
      </c>
      <c r="F155" s="101" t="s">
        <v>405</v>
      </c>
    </row>
    <row r="156" spans="1:6">
      <c r="A156" s="101" t="s">
        <v>1059</v>
      </c>
      <c r="B156" s="101" t="s">
        <v>1075</v>
      </c>
      <c r="C156" s="101" t="s">
        <v>1122</v>
      </c>
      <c r="E156" s="128">
        <v>3095.5</v>
      </c>
      <c r="F156" s="101" t="s">
        <v>1157</v>
      </c>
    </row>
    <row r="157" spans="1:6">
      <c r="A157" s="101" t="s">
        <v>1058</v>
      </c>
      <c r="B157" s="101" t="s">
        <v>170</v>
      </c>
      <c r="C157" s="101" t="s">
        <v>1128</v>
      </c>
      <c r="E157" s="128">
        <v>3114.1</v>
      </c>
      <c r="F157" s="101" t="s">
        <v>405</v>
      </c>
    </row>
    <row r="158" spans="1:6">
      <c r="A158" s="101" t="s">
        <v>1060</v>
      </c>
      <c r="B158" s="101" t="s">
        <v>259</v>
      </c>
      <c r="C158" s="101" t="s">
        <v>1088</v>
      </c>
      <c r="E158" s="128">
        <v>3115.3</v>
      </c>
      <c r="F158" s="101" t="s">
        <v>405</v>
      </c>
    </row>
    <row r="159" spans="1:6">
      <c r="A159" s="101" t="s">
        <v>1060</v>
      </c>
      <c r="B159" s="101" t="s">
        <v>259</v>
      </c>
      <c r="C159" s="101" t="s">
        <v>1088</v>
      </c>
      <c r="E159" s="128">
        <v>3115.3</v>
      </c>
      <c r="F159" s="101" t="s">
        <v>405</v>
      </c>
    </row>
    <row r="160" spans="1:6">
      <c r="A160" s="101" t="s">
        <v>1060</v>
      </c>
      <c r="B160" s="101" t="s">
        <v>259</v>
      </c>
      <c r="C160" s="101" t="s">
        <v>1088</v>
      </c>
      <c r="E160" s="128">
        <v>3115.3</v>
      </c>
      <c r="F160" s="101" t="s">
        <v>405</v>
      </c>
    </row>
    <row r="161" spans="1:6">
      <c r="A161" s="101" t="s">
        <v>1060</v>
      </c>
      <c r="B161" s="101" t="s">
        <v>259</v>
      </c>
      <c r="C161" s="101" t="s">
        <v>1088</v>
      </c>
      <c r="D161" s="274"/>
      <c r="E161" s="128">
        <v>3115.3</v>
      </c>
      <c r="F161" s="101" t="s">
        <v>405</v>
      </c>
    </row>
    <row r="162" spans="1:6">
      <c r="A162" s="101" t="s">
        <v>1059</v>
      </c>
      <c r="B162" s="101" t="s">
        <v>187</v>
      </c>
      <c r="C162" s="101" t="s">
        <v>1136</v>
      </c>
      <c r="D162" s="274"/>
      <c r="E162" s="128">
        <v>3116.5</v>
      </c>
      <c r="F162" s="101" t="s">
        <v>405</v>
      </c>
    </row>
    <row r="163" spans="1:6">
      <c r="A163" s="101" t="s">
        <v>1058</v>
      </c>
      <c r="B163" s="101" t="s">
        <v>187</v>
      </c>
      <c r="C163" s="101" t="s">
        <v>1136</v>
      </c>
      <c r="D163" s="274"/>
      <c r="E163" s="128">
        <v>3155.1</v>
      </c>
      <c r="F163" s="101" t="s">
        <v>405</v>
      </c>
    </row>
    <row r="164" spans="1:6">
      <c r="A164" s="101" t="s">
        <v>1060</v>
      </c>
      <c r="B164" s="101" t="s">
        <v>1076</v>
      </c>
      <c r="C164" s="101" t="s">
        <v>1126</v>
      </c>
      <c r="D164" s="274"/>
      <c r="E164" s="128">
        <v>3201.3</v>
      </c>
      <c r="F164" s="101" t="s">
        <v>405</v>
      </c>
    </row>
    <row r="165" spans="1:6">
      <c r="A165" s="101" t="s">
        <v>1060</v>
      </c>
      <c r="B165" s="101" t="s">
        <v>1076</v>
      </c>
      <c r="C165" s="101" t="s">
        <v>1126</v>
      </c>
      <c r="E165" s="128">
        <v>3201.3</v>
      </c>
      <c r="F165" s="101" t="s">
        <v>405</v>
      </c>
    </row>
    <row r="166" spans="1:6">
      <c r="A166" s="101" t="s">
        <v>1059</v>
      </c>
      <c r="B166" s="101" t="s">
        <v>108</v>
      </c>
      <c r="C166" s="101" t="s">
        <v>1109</v>
      </c>
      <c r="E166" s="128">
        <v>3206.5</v>
      </c>
      <c r="F166" s="101" t="s">
        <v>405</v>
      </c>
    </row>
    <row r="167" spans="1:6">
      <c r="A167" s="101" t="s">
        <v>1060</v>
      </c>
      <c r="B167" s="101" t="s">
        <v>187</v>
      </c>
      <c r="C167" s="101" t="s">
        <v>1136</v>
      </c>
      <c r="E167" s="128">
        <v>3490.3</v>
      </c>
      <c r="F167" s="101" t="s">
        <v>405</v>
      </c>
    </row>
    <row r="168" spans="1:6">
      <c r="A168" s="101" t="s">
        <v>1059</v>
      </c>
      <c r="B168" s="101" t="s">
        <v>181</v>
      </c>
      <c r="C168" s="101" t="s">
        <v>1134</v>
      </c>
      <c r="E168" s="128">
        <v>3500.5</v>
      </c>
      <c r="F168" s="101" t="s">
        <v>405</v>
      </c>
    </row>
    <row r="169" spans="1:6">
      <c r="A169" s="101" t="s">
        <v>1059</v>
      </c>
      <c r="B169" s="101" t="s">
        <v>168</v>
      </c>
      <c r="C169" s="101" t="s">
        <v>1128</v>
      </c>
      <c r="E169" s="128">
        <v>3664.5</v>
      </c>
      <c r="F169" s="101" t="s">
        <v>405</v>
      </c>
    </row>
    <row r="170" spans="1:6">
      <c r="A170" s="101" t="s">
        <v>1059</v>
      </c>
      <c r="B170" s="101" t="s">
        <v>349</v>
      </c>
      <c r="C170" s="101" t="s">
        <v>1142</v>
      </c>
      <c r="E170" s="128">
        <v>3683.5</v>
      </c>
      <c r="F170" s="101" t="s">
        <v>405</v>
      </c>
    </row>
    <row r="171" spans="1:6">
      <c r="A171" s="101" t="s">
        <v>1060</v>
      </c>
      <c r="B171" s="101" t="s">
        <v>108</v>
      </c>
      <c r="C171" s="101" t="s">
        <v>1109</v>
      </c>
      <c r="E171" s="128">
        <v>3732.3</v>
      </c>
      <c r="F171" s="101" t="s">
        <v>405</v>
      </c>
    </row>
    <row r="172" spans="1:6">
      <c r="A172" s="101" t="s">
        <v>1060</v>
      </c>
      <c r="B172" s="101" t="s">
        <v>1073</v>
      </c>
      <c r="C172" s="101" t="s">
        <v>1119</v>
      </c>
      <c r="E172" s="128">
        <v>3732.3</v>
      </c>
      <c r="F172" s="101" t="s">
        <v>1157</v>
      </c>
    </row>
    <row r="173" spans="1:6">
      <c r="A173" s="101" t="s">
        <v>1058</v>
      </c>
      <c r="B173" s="101" t="s">
        <v>121</v>
      </c>
      <c r="C173" s="101" t="s">
        <v>1149</v>
      </c>
      <c r="E173" s="128">
        <v>3734.1</v>
      </c>
      <c r="F173" s="101" t="s">
        <v>405</v>
      </c>
    </row>
    <row r="174" spans="1:6">
      <c r="A174" s="101" t="s">
        <v>1059</v>
      </c>
      <c r="B174" s="101" t="s">
        <v>117</v>
      </c>
      <c r="C174" s="101" t="s">
        <v>1112</v>
      </c>
      <c r="E174" s="128">
        <v>3861.5</v>
      </c>
      <c r="F174" s="101" t="s">
        <v>405</v>
      </c>
    </row>
    <row r="175" spans="1:6">
      <c r="A175" s="101" t="s">
        <v>1059</v>
      </c>
      <c r="B175" s="101" t="s">
        <v>316</v>
      </c>
      <c r="C175" s="101" t="s">
        <v>1085</v>
      </c>
      <c r="E175" s="128">
        <v>3889.5</v>
      </c>
      <c r="F175" s="101" t="s">
        <v>405</v>
      </c>
    </row>
    <row r="176" spans="1:6">
      <c r="A176" s="101" t="s">
        <v>1060</v>
      </c>
      <c r="B176" s="101" t="s">
        <v>181</v>
      </c>
      <c r="C176" s="101" t="s">
        <v>1134</v>
      </c>
      <c r="E176" s="128">
        <v>3902.3</v>
      </c>
      <c r="F176" s="101" t="s">
        <v>405</v>
      </c>
    </row>
    <row r="177" spans="1:6">
      <c r="A177" s="101" t="s">
        <v>1060</v>
      </c>
      <c r="B177" s="101" t="s">
        <v>358</v>
      </c>
      <c r="C177" s="101" t="s">
        <v>1145</v>
      </c>
      <c r="E177" s="128">
        <v>3910.3</v>
      </c>
      <c r="F177" s="101" t="s">
        <v>405</v>
      </c>
    </row>
    <row r="178" spans="1:6">
      <c r="A178" s="101" t="s">
        <v>1060</v>
      </c>
      <c r="B178" s="101" t="s">
        <v>1082</v>
      </c>
      <c r="C178" s="101" t="s">
        <v>1092</v>
      </c>
      <c r="D178" s="274"/>
      <c r="E178" s="128">
        <v>3940.3</v>
      </c>
      <c r="F178" s="129" t="s">
        <v>405</v>
      </c>
    </row>
    <row r="179" spans="1:6">
      <c r="A179" s="101" t="s">
        <v>1060</v>
      </c>
      <c r="B179" s="101" t="s">
        <v>316</v>
      </c>
      <c r="C179" s="101" t="s">
        <v>1085</v>
      </c>
      <c r="E179" s="128">
        <v>3942.3</v>
      </c>
      <c r="F179" s="101" t="s">
        <v>405</v>
      </c>
    </row>
    <row r="180" spans="1:6">
      <c r="A180" s="101" t="s">
        <v>1059</v>
      </c>
      <c r="B180" s="101" t="s">
        <v>1072</v>
      </c>
      <c r="C180" s="101" t="s">
        <v>1116</v>
      </c>
      <c r="E180" s="128">
        <v>3991.5</v>
      </c>
      <c r="F180" s="101" t="s">
        <v>1157</v>
      </c>
    </row>
    <row r="181" spans="1:6">
      <c r="A181" s="101" t="s">
        <v>1058</v>
      </c>
      <c r="B181" s="101" t="s">
        <v>224</v>
      </c>
      <c r="C181" s="101" t="s">
        <v>1137</v>
      </c>
      <c r="E181" s="128">
        <v>4168.1000000000004</v>
      </c>
      <c r="F181" s="101" t="s">
        <v>405</v>
      </c>
    </row>
    <row r="182" spans="1:6">
      <c r="A182" s="101" t="s">
        <v>1058</v>
      </c>
      <c r="B182" s="101" t="s">
        <v>224</v>
      </c>
      <c r="C182" s="101" t="s">
        <v>1137</v>
      </c>
      <c r="E182" s="128">
        <v>4168.1000000000004</v>
      </c>
      <c r="F182" s="101" t="s">
        <v>405</v>
      </c>
    </row>
    <row r="183" spans="1:6">
      <c r="A183" s="101" t="s">
        <v>1058</v>
      </c>
      <c r="B183" s="101" t="s">
        <v>224</v>
      </c>
      <c r="C183" s="101" t="s">
        <v>1137</v>
      </c>
      <c r="E183" s="128">
        <v>4168.1000000000004</v>
      </c>
      <c r="F183" s="101" t="s">
        <v>405</v>
      </c>
    </row>
    <row r="184" spans="1:6">
      <c r="A184" s="101" t="s">
        <v>1058</v>
      </c>
      <c r="B184" s="101" t="s">
        <v>1064</v>
      </c>
      <c r="C184" s="101" t="s">
        <v>1096</v>
      </c>
      <c r="E184" s="128">
        <v>4180.1000000000004</v>
      </c>
      <c r="F184" s="101" t="s">
        <v>405</v>
      </c>
    </row>
    <row r="185" spans="1:6">
      <c r="A185" s="101" t="s">
        <v>1060</v>
      </c>
      <c r="B185" s="101" t="s">
        <v>224</v>
      </c>
      <c r="C185" s="101" t="s">
        <v>1137</v>
      </c>
      <c r="E185" s="128">
        <v>4183.3</v>
      </c>
      <c r="F185" s="101" t="s">
        <v>405</v>
      </c>
    </row>
    <row r="186" spans="1:6">
      <c r="A186" s="101" t="s">
        <v>1058</v>
      </c>
      <c r="B186" s="101" t="s">
        <v>341</v>
      </c>
      <c r="C186" s="101" t="s">
        <v>1086</v>
      </c>
      <c r="E186" s="128">
        <v>4184.1000000000004</v>
      </c>
      <c r="F186" s="101" t="s">
        <v>405</v>
      </c>
    </row>
    <row r="187" spans="1:6">
      <c r="A187" s="101" t="s">
        <v>1059</v>
      </c>
      <c r="B187" s="101" t="s">
        <v>1072</v>
      </c>
      <c r="C187" s="101" t="s">
        <v>1115</v>
      </c>
      <c r="E187" s="128">
        <v>4214.5</v>
      </c>
      <c r="F187" s="101" t="s">
        <v>1157</v>
      </c>
    </row>
    <row r="188" spans="1:6">
      <c r="A188" s="101" t="s">
        <v>1060</v>
      </c>
      <c r="B188" s="101" t="s">
        <v>1074</v>
      </c>
      <c r="C188" s="101" t="s">
        <v>1120</v>
      </c>
      <c r="E188" s="128">
        <v>4232.3</v>
      </c>
      <c r="F188" s="101" t="s">
        <v>1157</v>
      </c>
    </row>
    <row r="189" spans="1:6">
      <c r="A189" s="101" t="s">
        <v>1060</v>
      </c>
      <c r="B189" s="101" t="s">
        <v>259</v>
      </c>
      <c r="C189" s="101" t="s">
        <v>1088</v>
      </c>
      <c r="D189" s="274"/>
      <c r="E189" s="128">
        <v>4259.3</v>
      </c>
      <c r="F189" s="129" t="s">
        <v>405</v>
      </c>
    </row>
    <row r="190" spans="1:6">
      <c r="A190" s="101" t="s">
        <v>1060</v>
      </c>
      <c r="B190" s="101" t="s">
        <v>259</v>
      </c>
      <c r="C190" s="101" t="s">
        <v>1088</v>
      </c>
      <c r="E190" s="128">
        <v>4259.3</v>
      </c>
      <c r="F190" s="101" t="s">
        <v>405</v>
      </c>
    </row>
    <row r="191" spans="1:6">
      <c r="A191" s="101" t="s">
        <v>1060</v>
      </c>
      <c r="B191" s="101" t="s">
        <v>187</v>
      </c>
      <c r="C191" s="101" t="s">
        <v>1136</v>
      </c>
      <c r="E191" s="128">
        <v>4260.3</v>
      </c>
      <c r="F191" s="101" t="s">
        <v>405</v>
      </c>
    </row>
    <row r="192" spans="1:6">
      <c r="A192" s="101" t="s">
        <v>1059</v>
      </c>
      <c r="B192" s="101" t="s">
        <v>224</v>
      </c>
      <c r="C192" s="101" t="s">
        <v>1137</v>
      </c>
      <c r="D192" s="274"/>
      <c r="E192" s="128">
        <v>4265.5</v>
      </c>
      <c r="F192" s="101" t="s">
        <v>405</v>
      </c>
    </row>
    <row r="193" spans="1:6">
      <c r="A193" s="101" t="s">
        <v>1058</v>
      </c>
      <c r="B193" s="101" t="s">
        <v>1082</v>
      </c>
      <c r="C193" s="101" t="s">
        <v>1092</v>
      </c>
      <c r="E193" s="128">
        <v>4277.1000000000004</v>
      </c>
      <c r="F193" s="101" t="s">
        <v>405</v>
      </c>
    </row>
    <row r="194" spans="1:6">
      <c r="A194" s="101" t="s">
        <v>1058</v>
      </c>
      <c r="B194" s="101" t="s">
        <v>1082</v>
      </c>
      <c r="C194" s="101" t="s">
        <v>1092</v>
      </c>
      <c r="E194" s="128">
        <v>4277.1000000000004</v>
      </c>
      <c r="F194" s="101" t="s">
        <v>405</v>
      </c>
    </row>
    <row r="195" spans="1:6">
      <c r="A195" s="101" t="s">
        <v>1058</v>
      </c>
      <c r="B195" s="101" t="s">
        <v>1082</v>
      </c>
      <c r="C195" s="101" t="s">
        <v>1092</v>
      </c>
      <c r="E195" s="128">
        <v>4277.1000000000004</v>
      </c>
      <c r="F195" s="101" t="s">
        <v>405</v>
      </c>
    </row>
    <row r="196" spans="1:6">
      <c r="A196" s="101" t="s">
        <v>1059</v>
      </c>
      <c r="B196" s="101" t="s">
        <v>181</v>
      </c>
      <c r="C196" s="101" t="s">
        <v>1134</v>
      </c>
      <c r="E196" s="128">
        <v>4334.5</v>
      </c>
      <c r="F196" s="101" t="s">
        <v>405</v>
      </c>
    </row>
    <row r="197" spans="1:6">
      <c r="A197" s="101" t="s">
        <v>1059</v>
      </c>
      <c r="B197" s="101" t="s">
        <v>187</v>
      </c>
      <c r="C197" s="101" t="s">
        <v>1136</v>
      </c>
      <c r="E197" s="128">
        <v>4334.5</v>
      </c>
      <c r="F197" s="101" t="s">
        <v>405</v>
      </c>
    </row>
    <row r="198" spans="1:6">
      <c r="A198" s="101" t="s">
        <v>1059</v>
      </c>
      <c r="B198" s="101" t="s">
        <v>187</v>
      </c>
      <c r="C198" s="101" t="s">
        <v>1136</v>
      </c>
      <c r="D198" s="98" t="s">
        <v>592</v>
      </c>
      <c r="E198" s="128">
        <v>4345.5</v>
      </c>
      <c r="F198" s="101" t="s">
        <v>405</v>
      </c>
    </row>
    <row r="199" spans="1:6">
      <c r="A199" s="101" t="s">
        <v>1059</v>
      </c>
      <c r="B199" s="101" t="s">
        <v>187</v>
      </c>
      <c r="C199" s="101" t="s">
        <v>1136</v>
      </c>
      <c r="E199" s="128">
        <v>4345.5</v>
      </c>
      <c r="F199" s="101" t="s">
        <v>405</v>
      </c>
    </row>
    <row r="200" spans="1:6">
      <c r="A200" s="101" t="s">
        <v>1059</v>
      </c>
      <c r="B200" s="101" t="s">
        <v>1076</v>
      </c>
      <c r="C200" s="101" t="s">
        <v>1126</v>
      </c>
      <c r="E200" s="128">
        <v>4379.5</v>
      </c>
      <c r="F200" s="101" t="s">
        <v>405</v>
      </c>
    </row>
    <row r="201" spans="1:6">
      <c r="A201" s="101" t="s">
        <v>1059</v>
      </c>
      <c r="B201" s="101" t="s">
        <v>1074</v>
      </c>
      <c r="C201" s="101" t="s">
        <v>1120</v>
      </c>
      <c r="E201" s="128">
        <v>4389.5</v>
      </c>
      <c r="F201" s="101" t="s">
        <v>1157</v>
      </c>
    </row>
    <row r="202" spans="1:6">
      <c r="A202" s="101" t="s">
        <v>1058</v>
      </c>
      <c r="B202" s="101" t="s">
        <v>349</v>
      </c>
      <c r="C202" s="101" t="s">
        <v>1142</v>
      </c>
      <c r="E202" s="128">
        <v>4443.1000000000004</v>
      </c>
      <c r="F202" s="101" t="s">
        <v>405</v>
      </c>
    </row>
    <row r="203" spans="1:6">
      <c r="A203" s="101" t="s">
        <v>1059</v>
      </c>
      <c r="B203" s="101" t="s">
        <v>1073</v>
      </c>
      <c r="C203" s="101" t="s">
        <v>1118</v>
      </c>
      <c r="E203" s="128">
        <v>4579.5</v>
      </c>
      <c r="F203" s="101" t="s">
        <v>1157</v>
      </c>
    </row>
    <row r="204" spans="1:6">
      <c r="A204" s="101" t="s">
        <v>1059</v>
      </c>
      <c r="B204" s="101" t="s">
        <v>225</v>
      </c>
      <c r="C204" s="101" t="s">
        <v>1154</v>
      </c>
      <c r="E204" s="128">
        <v>4624.5</v>
      </c>
      <c r="F204" s="101" t="s">
        <v>405</v>
      </c>
    </row>
    <row r="205" spans="1:6">
      <c r="A205" s="101" t="s">
        <v>1059</v>
      </c>
      <c r="B205" s="101" t="s">
        <v>225</v>
      </c>
      <c r="C205" s="101" t="s">
        <v>1154</v>
      </c>
      <c r="E205" s="128">
        <v>4624.5</v>
      </c>
      <c r="F205" s="101" t="s">
        <v>405</v>
      </c>
    </row>
    <row r="206" spans="1:6">
      <c r="A206" s="101" t="s">
        <v>1060</v>
      </c>
      <c r="B206" s="101" t="s">
        <v>1082</v>
      </c>
      <c r="C206" s="101" t="s">
        <v>1092</v>
      </c>
      <c r="E206" s="128">
        <v>4637.3</v>
      </c>
      <c r="F206" s="101" t="s">
        <v>405</v>
      </c>
    </row>
    <row r="207" spans="1:6">
      <c r="A207" s="101" t="s">
        <v>1060</v>
      </c>
      <c r="B207" s="101" t="s">
        <v>168</v>
      </c>
      <c r="C207" s="101" t="s">
        <v>1128</v>
      </c>
      <c r="E207" s="128">
        <v>4655.3</v>
      </c>
      <c r="F207" s="101" t="s">
        <v>405</v>
      </c>
    </row>
    <row r="208" spans="1:6">
      <c r="A208" s="101" t="s">
        <v>1058</v>
      </c>
      <c r="B208" s="101" t="s">
        <v>1073</v>
      </c>
      <c r="C208" s="101" t="s">
        <v>1119</v>
      </c>
      <c r="E208" s="128">
        <v>4672.1000000000004</v>
      </c>
      <c r="F208" s="101" t="s">
        <v>1157</v>
      </c>
    </row>
    <row r="209" spans="1:6">
      <c r="A209" s="101" t="s">
        <v>1059</v>
      </c>
      <c r="B209" s="101" t="s">
        <v>224</v>
      </c>
      <c r="C209" s="101" t="s">
        <v>1137</v>
      </c>
      <c r="E209" s="128">
        <v>4682.5</v>
      </c>
      <c r="F209" s="101" t="s">
        <v>405</v>
      </c>
    </row>
    <row r="210" spans="1:6">
      <c r="A210" s="101" t="s">
        <v>1060</v>
      </c>
      <c r="B210" s="101" t="s">
        <v>349</v>
      </c>
      <c r="C210" s="101" t="s">
        <v>1144</v>
      </c>
      <c r="E210" s="128">
        <v>4833.3</v>
      </c>
      <c r="F210" s="101" t="s">
        <v>405</v>
      </c>
    </row>
    <row r="211" spans="1:6">
      <c r="A211" s="101" t="s">
        <v>1060</v>
      </c>
      <c r="B211" s="101" t="s">
        <v>1082</v>
      </c>
      <c r="C211" s="101" t="s">
        <v>1092</v>
      </c>
      <c r="E211" s="128">
        <v>4857.3</v>
      </c>
      <c r="F211" s="101" t="s">
        <v>405</v>
      </c>
    </row>
    <row r="212" spans="1:6">
      <c r="A212" s="101" t="s">
        <v>1058</v>
      </c>
      <c r="B212" s="101" t="s">
        <v>117</v>
      </c>
      <c r="C212" s="101" t="s">
        <v>1112</v>
      </c>
      <c r="E212" s="128">
        <v>4866.1000000000004</v>
      </c>
      <c r="F212" s="101" t="s">
        <v>405</v>
      </c>
    </row>
    <row r="213" spans="1:6">
      <c r="A213" s="101" t="s">
        <v>1060</v>
      </c>
      <c r="B213" s="101" t="s">
        <v>272</v>
      </c>
      <c r="C213" s="101" t="s">
        <v>1117</v>
      </c>
      <c r="E213" s="128">
        <v>4897.3</v>
      </c>
      <c r="F213" s="101" t="s">
        <v>1157</v>
      </c>
    </row>
    <row r="214" spans="1:6">
      <c r="A214" s="101" t="s">
        <v>1060</v>
      </c>
      <c r="B214" s="101" t="s">
        <v>246</v>
      </c>
      <c r="C214" s="101" t="s">
        <v>1148</v>
      </c>
      <c r="E214" s="128">
        <v>5025.3</v>
      </c>
      <c r="F214" s="101" t="s">
        <v>405</v>
      </c>
    </row>
    <row r="215" spans="1:6">
      <c r="A215" s="101" t="s">
        <v>1060</v>
      </c>
      <c r="B215" s="101" t="s">
        <v>1082</v>
      </c>
      <c r="C215" s="101" t="s">
        <v>1092</v>
      </c>
      <c r="E215" s="128">
        <v>5042.3</v>
      </c>
      <c r="F215" s="101" t="s">
        <v>405</v>
      </c>
    </row>
    <row r="216" spans="1:6">
      <c r="A216" s="101" t="s">
        <v>1059</v>
      </c>
      <c r="B216" s="101" t="s">
        <v>1082</v>
      </c>
      <c r="C216" s="101" t="s">
        <v>1092</v>
      </c>
      <c r="E216" s="128">
        <v>5070.5</v>
      </c>
      <c r="F216" s="101" t="s">
        <v>405</v>
      </c>
    </row>
    <row r="217" spans="1:6">
      <c r="A217" s="101" t="s">
        <v>1058</v>
      </c>
      <c r="B217" s="101" t="s">
        <v>147</v>
      </c>
      <c r="C217" s="101" t="s">
        <v>1125</v>
      </c>
      <c r="E217" s="128">
        <v>5119.1000000000004</v>
      </c>
      <c r="F217" s="101" t="s">
        <v>405</v>
      </c>
    </row>
    <row r="218" spans="1:6">
      <c r="A218" s="101" t="s">
        <v>1060</v>
      </c>
      <c r="B218" s="101" t="s">
        <v>224</v>
      </c>
      <c r="C218" s="101" t="s">
        <v>1137</v>
      </c>
      <c r="E218" s="128">
        <v>5129.3</v>
      </c>
      <c r="F218" s="101" t="s">
        <v>405</v>
      </c>
    </row>
    <row r="219" spans="1:6">
      <c r="A219" s="101" t="s">
        <v>1060</v>
      </c>
      <c r="B219" s="101" t="s">
        <v>1080</v>
      </c>
      <c r="C219" s="101" t="s">
        <v>1141</v>
      </c>
      <c r="E219" s="128">
        <v>5217.3</v>
      </c>
      <c r="F219" s="101" t="s">
        <v>405</v>
      </c>
    </row>
    <row r="220" spans="1:6">
      <c r="A220" s="101" t="s">
        <v>1059</v>
      </c>
      <c r="B220" s="101" t="s">
        <v>147</v>
      </c>
      <c r="C220" s="101" t="s">
        <v>1125</v>
      </c>
      <c r="E220" s="128">
        <v>5221.5</v>
      </c>
      <c r="F220" s="101" t="s">
        <v>405</v>
      </c>
    </row>
    <row r="221" spans="1:6">
      <c r="A221" s="101" t="s">
        <v>1058</v>
      </c>
      <c r="B221" s="101" t="s">
        <v>259</v>
      </c>
      <c r="C221" s="101" t="s">
        <v>1088</v>
      </c>
      <c r="E221" s="128">
        <v>5234.1000000000004</v>
      </c>
      <c r="F221" s="101" t="s">
        <v>405</v>
      </c>
    </row>
    <row r="222" spans="1:6">
      <c r="A222" s="101" t="s">
        <v>1058</v>
      </c>
      <c r="B222" s="101" t="s">
        <v>259</v>
      </c>
      <c r="C222" s="101" t="s">
        <v>1088</v>
      </c>
      <c r="E222" s="128">
        <v>5234.1000000000004</v>
      </c>
      <c r="F222" s="101" t="s">
        <v>405</v>
      </c>
    </row>
    <row r="223" spans="1:6">
      <c r="A223" s="101" t="s">
        <v>1058</v>
      </c>
      <c r="B223" s="101" t="s">
        <v>259</v>
      </c>
      <c r="C223" s="101" t="s">
        <v>1088</v>
      </c>
      <c r="E223" s="128">
        <v>5234.1000000000004</v>
      </c>
      <c r="F223" s="101" t="s">
        <v>405</v>
      </c>
    </row>
    <row r="224" spans="1:6">
      <c r="A224" s="101" t="s">
        <v>1058</v>
      </c>
      <c r="B224" s="101" t="s">
        <v>259</v>
      </c>
      <c r="C224" s="101" t="s">
        <v>1088</v>
      </c>
      <c r="D224" s="274"/>
      <c r="E224" s="128">
        <v>5234.1000000000004</v>
      </c>
      <c r="F224" s="101" t="s">
        <v>405</v>
      </c>
    </row>
    <row r="225" spans="1:6">
      <c r="A225" s="101" t="s">
        <v>1058</v>
      </c>
      <c r="B225" s="101" t="s">
        <v>259</v>
      </c>
      <c r="C225" s="101" t="s">
        <v>1088</v>
      </c>
      <c r="D225" s="274"/>
      <c r="E225" s="128">
        <v>5234.1000000000004</v>
      </c>
      <c r="F225" s="101" t="s">
        <v>405</v>
      </c>
    </row>
    <row r="226" spans="1:6">
      <c r="A226" s="101" t="s">
        <v>1058</v>
      </c>
      <c r="B226" s="101" t="s">
        <v>259</v>
      </c>
      <c r="C226" s="101" t="s">
        <v>1088</v>
      </c>
      <c r="D226" s="274"/>
      <c r="E226" s="128">
        <v>5234.1000000000004</v>
      </c>
      <c r="F226" s="101" t="s">
        <v>405</v>
      </c>
    </row>
    <row r="227" spans="1:6">
      <c r="A227" s="101" t="s">
        <v>1058</v>
      </c>
      <c r="B227" s="101" t="s">
        <v>1082</v>
      </c>
      <c r="C227" s="101" t="s">
        <v>1092</v>
      </c>
      <c r="D227" s="274"/>
      <c r="E227" s="128">
        <v>5449.1</v>
      </c>
      <c r="F227" s="101" t="s">
        <v>405</v>
      </c>
    </row>
    <row r="228" spans="1:6">
      <c r="A228" s="101" t="s">
        <v>1058</v>
      </c>
      <c r="B228" s="101" t="s">
        <v>1082</v>
      </c>
      <c r="C228" s="101" t="s">
        <v>1092</v>
      </c>
      <c r="D228" s="274"/>
      <c r="E228" s="128">
        <v>5449.1</v>
      </c>
      <c r="F228" s="101" t="s">
        <v>405</v>
      </c>
    </row>
    <row r="229" spans="1:6">
      <c r="A229" s="101" t="s">
        <v>1058</v>
      </c>
      <c r="B229" s="101" t="s">
        <v>1082</v>
      </c>
      <c r="C229" s="101" t="s">
        <v>1092</v>
      </c>
      <c r="D229" s="274"/>
      <c r="E229" s="128">
        <v>5449.1</v>
      </c>
      <c r="F229" s="101" t="s">
        <v>405</v>
      </c>
    </row>
    <row r="230" spans="1:6">
      <c r="A230" s="101" t="s">
        <v>1058</v>
      </c>
      <c r="B230" s="101" t="s">
        <v>1082</v>
      </c>
      <c r="C230" s="101" t="s">
        <v>1092</v>
      </c>
      <c r="E230" s="128">
        <v>5449.1</v>
      </c>
      <c r="F230" s="101" t="s">
        <v>405</v>
      </c>
    </row>
    <row r="231" spans="1:6">
      <c r="A231" s="101" t="s">
        <v>1058</v>
      </c>
      <c r="B231" s="101" t="s">
        <v>1082</v>
      </c>
      <c r="C231" s="101" t="s">
        <v>1092</v>
      </c>
      <c r="E231" s="128">
        <v>5449.1</v>
      </c>
      <c r="F231" s="101" t="s">
        <v>405</v>
      </c>
    </row>
    <row r="232" spans="1:6">
      <c r="A232" s="101" t="s">
        <v>1058</v>
      </c>
      <c r="B232" s="101" t="s">
        <v>224</v>
      </c>
      <c r="C232" s="101" t="s">
        <v>1137</v>
      </c>
      <c r="E232" s="128">
        <v>5531.1</v>
      </c>
      <c r="F232" s="101" t="s">
        <v>405</v>
      </c>
    </row>
    <row r="233" spans="1:6">
      <c r="A233" s="101" t="s">
        <v>1059</v>
      </c>
      <c r="B233" s="101" t="s">
        <v>189</v>
      </c>
      <c r="C233" s="101" t="s">
        <v>1092</v>
      </c>
      <c r="D233" s="98" t="s">
        <v>592</v>
      </c>
      <c r="E233" s="128">
        <v>5542.5</v>
      </c>
      <c r="F233" s="101" t="s">
        <v>405</v>
      </c>
    </row>
    <row r="234" spans="1:6">
      <c r="A234" s="101" t="s">
        <v>1060</v>
      </c>
      <c r="B234" s="101" t="s">
        <v>1082</v>
      </c>
      <c r="C234" s="101" t="s">
        <v>1092</v>
      </c>
      <c r="E234" s="128">
        <v>5654.3</v>
      </c>
      <c r="F234" s="101" t="s">
        <v>405</v>
      </c>
    </row>
    <row r="235" spans="1:6">
      <c r="A235" s="101" t="s">
        <v>1060</v>
      </c>
      <c r="B235" s="101" t="s">
        <v>1082</v>
      </c>
      <c r="C235" s="101" t="s">
        <v>1092</v>
      </c>
      <c r="E235" s="128">
        <v>5654.3</v>
      </c>
      <c r="F235" s="101" t="s">
        <v>405</v>
      </c>
    </row>
    <row r="236" spans="1:6">
      <c r="A236" s="101" t="s">
        <v>1060</v>
      </c>
      <c r="B236" s="101" t="s">
        <v>1082</v>
      </c>
      <c r="C236" s="101" t="s">
        <v>1092</v>
      </c>
      <c r="E236" s="128">
        <v>5654.3</v>
      </c>
      <c r="F236" s="101" t="s">
        <v>405</v>
      </c>
    </row>
    <row r="237" spans="1:6">
      <c r="A237" s="101" t="s">
        <v>1060</v>
      </c>
      <c r="B237" s="101" t="s">
        <v>1082</v>
      </c>
      <c r="C237" s="101" t="s">
        <v>1092</v>
      </c>
      <c r="D237" s="98" t="s">
        <v>592</v>
      </c>
      <c r="E237" s="128">
        <v>5654.3</v>
      </c>
      <c r="F237" s="101" t="s">
        <v>405</v>
      </c>
    </row>
    <row r="238" spans="1:6">
      <c r="A238" s="101" t="s">
        <v>1059</v>
      </c>
      <c r="B238" s="101" t="s">
        <v>189</v>
      </c>
      <c r="C238" s="101" t="s">
        <v>1092</v>
      </c>
      <c r="E238" s="128">
        <v>5654.5</v>
      </c>
      <c r="F238" s="101" t="s">
        <v>405</v>
      </c>
    </row>
    <row r="239" spans="1:6">
      <c r="A239" s="101" t="s">
        <v>1058</v>
      </c>
      <c r="B239" s="101" t="s">
        <v>128</v>
      </c>
      <c r="C239" s="101" t="s">
        <v>1106</v>
      </c>
      <c r="E239" s="128">
        <v>5666.1</v>
      </c>
      <c r="F239" s="101" t="s">
        <v>405</v>
      </c>
    </row>
    <row r="240" spans="1:6">
      <c r="A240" s="101" t="s">
        <v>1059</v>
      </c>
      <c r="B240" s="101" t="s">
        <v>189</v>
      </c>
      <c r="C240" s="101" t="s">
        <v>1092</v>
      </c>
      <c r="E240" s="128">
        <v>5699.5</v>
      </c>
      <c r="F240" s="101" t="s">
        <v>405</v>
      </c>
    </row>
    <row r="241" spans="1:6">
      <c r="A241" s="101" t="s">
        <v>1060</v>
      </c>
      <c r="B241" s="101" t="s">
        <v>341</v>
      </c>
      <c r="C241" s="101" t="s">
        <v>1086</v>
      </c>
      <c r="E241" s="128">
        <v>5719.3</v>
      </c>
      <c r="F241" s="101" t="s">
        <v>405</v>
      </c>
    </row>
    <row r="242" spans="1:6">
      <c r="A242" s="101" t="s">
        <v>1059</v>
      </c>
      <c r="B242" s="101" t="s">
        <v>224</v>
      </c>
      <c r="C242" s="101" t="s">
        <v>1137</v>
      </c>
      <c r="E242" s="128">
        <v>5747.5</v>
      </c>
      <c r="F242" s="101" t="s">
        <v>405</v>
      </c>
    </row>
    <row r="243" spans="1:6">
      <c r="A243" s="101" t="s">
        <v>1059</v>
      </c>
      <c r="B243" s="101" t="s">
        <v>189</v>
      </c>
      <c r="C243" s="101" t="s">
        <v>1092</v>
      </c>
      <c r="E243" s="128">
        <v>5761.5</v>
      </c>
      <c r="F243" s="101" t="s">
        <v>405</v>
      </c>
    </row>
    <row r="244" spans="1:6">
      <c r="A244" s="101" t="s">
        <v>1059</v>
      </c>
      <c r="B244" s="101" t="s">
        <v>1076</v>
      </c>
      <c r="C244" s="101" t="s">
        <v>1126</v>
      </c>
      <c r="D244" s="274"/>
      <c r="E244" s="128">
        <v>6037.5</v>
      </c>
      <c r="F244" s="129" t="s">
        <v>405</v>
      </c>
    </row>
    <row r="245" spans="1:6">
      <c r="A245" s="101" t="s">
        <v>1059</v>
      </c>
      <c r="B245" s="101" t="s">
        <v>224</v>
      </c>
      <c r="C245" s="101" t="s">
        <v>1137</v>
      </c>
      <c r="E245" s="128">
        <v>6046.5</v>
      </c>
      <c r="F245" s="101" t="s">
        <v>405</v>
      </c>
    </row>
    <row r="246" spans="1:6">
      <c r="A246" s="101" t="s">
        <v>1060</v>
      </c>
      <c r="B246" s="101" t="s">
        <v>224</v>
      </c>
      <c r="C246" s="101" t="s">
        <v>1137</v>
      </c>
      <c r="E246" s="128">
        <v>6098.3</v>
      </c>
      <c r="F246" s="101" t="s">
        <v>405</v>
      </c>
    </row>
    <row r="247" spans="1:6">
      <c r="A247" s="101" t="s">
        <v>1059</v>
      </c>
      <c r="B247" s="101" t="s">
        <v>246</v>
      </c>
      <c r="C247" s="101" t="s">
        <v>1148</v>
      </c>
      <c r="E247" s="128">
        <v>6135.5</v>
      </c>
      <c r="F247" s="101" t="s">
        <v>405</v>
      </c>
    </row>
    <row r="248" spans="1:6">
      <c r="A248" s="101" t="s">
        <v>1059</v>
      </c>
      <c r="B248" s="101" t="s">
        <v>189</v>
      </c>
      <c r="C248" s="101" t="s">
        <v>1092</v>
      </c>
      <c r="E248" s="128">
        <v>6144.5</v>
      </c>
      <c r="F248" s="101" t="s">
        <v>405</v>
      </c>
    </row>
    <row r="249" spans="1:6">
      <c r="A249" s="101" t="s">
        <v>1059</v>
      </c>
      <c r="B249" s="101" t="s">
        <v>189</v>
      </c>
      <c r="C249" s="101" t="s">
        <v>1092</v>
      </c>
      <c r="E249" s="128">
        <v>6155.5</v>
      </c>
      <c r="F249" s="101" t="s">
        <v>405</v>
      </c>
    </row>
    <row r="250" spans="1:6">
      <c r="A250" s="101" t="s">
        <v>1059</v>
      </c>
      <c r="B250" s="101" t="s">
        <v>189</v>
      </c>
      <c r="C250" s="101" t="s">
        <v>1092</v>
      </c>
      <c r="E250" s="128">
        <v>6155.5</v>
      </c>
      <c r="F250" s="101" t="s">
        <v>405</v>
      </c>
    </row>
    <row r="251" spans="1:6">
      <c r="A251" s="101" t="s">
        <v>1059</v>
      </c>
      <c r="B251" s="101" t="s">
        <v>1076</v>
      </c>
      <c r="C251" s="101" t="s">
        <v>1126</v>
      </c>
      <c r="E251" s="128">
        <v>6284.5</v>
      </c>
      <c r="F251" s="101" t="s">
        <v>405</v>
      </c>
    </row>
    <row r="252" spans="1:6">
      <c r="A252" s="101" t="s">
        <v>1060</v>
      </c>
      <c r="B252" s="101" t="s">
        <v>153</v>
      </c>
      <c r="C252" s="101" t="s">
        <v>1099</v>
      </c>
      <c r="E252" s="128">
        <v>6289.3</v>
      </c>
      <c r="F252" s="101" t="s">
        <v>405</v>
      </c>
    </row>
    <row r="253" spans="1:6">
      <c r="A253" s="101" t="s">
        <v>1060</v>
      </c>
      <c r="B253" s="101" t="s">
        <v>153</v>
      </c>
      <c r="C253" s="101" t="s">
        <v>1099</v>
      </c>
      <c r="E253" s="128">
        <v>6289.3</v>
      </c>
      <c r="F253" s="101" t="s">
        <v>405</v>
      </c>
    </row>
    <row r="254" spans="1:6">
      <c r="A254" s="101" t="s">
        <v>1060</v>
      </c>
      <c r="B254" s="101" t="s">
        <v>153</v>
      </c>
      <c r="C254" s="101" t="s">
        <v>1099</v>
      </c>
      <c r="E254" s="128">
        <v>6289.3</v>
      </c>
      <c r="F254" s="101" t="s">
        <v>405</v>
      </c>
    </row>
    <row r="255" spans="1:6">
      <c r="A255" s="101" t="s">
        <v>1060</v>
      </c>
      <c r="B255" s="101" t="s">
        <v>153</v>
      </c>
      <c r="C255" s="101" t="s">
        <v>1099</v>
      </c>
      <c r="E255" s="128">
        <v>6289.3</v>
      </c>
      <c r="F255" s="101" t="s">
        <v>405</v>
      </c>
    </row>
    <row r="256" spans="1:6">
      <c r="A256" s="101" t="s">
        <v>1060</v>
      </c>
      <c r="B256" s="101" t="s">
        <v>153</v>
      </c>
      <c r="C256" s="101" t="s">
        <v>1099</v>
      </c>
      <c r="E256" s="128">
        <v>6289.3</v>
      </c>
      <c r="F256" s="101" t="s">
        <v>405</v>
      </c>
    </row>
    <row r="257" spans="1:6">
      <c r="A257" s="101" t="s">
        <v>1060</v>
      </c>
      <c r="B257" s="101" t="s">
        <v>153</v>
      </c>
      <c r="C257" s="101" t="s">
        <v>1099</v>
      </c>
      <c r="D257" s="98" t="s">
        <v>592</v>
      </c>
      <c r="E257" s="128">
        <v>6289.3</v>
      </c>
      <c r="F257" s="101" t="s">
        <v>405</v>
      </c>
    </row>
    <row r="258" spans="1:6">
      <c r="A258" s="101" t="s">
        <v>1060</v>
      </c>
      <c r="B258" s="101" t="s">
        <v>153</v>
      </c>
      <c r="C258" s="101" t="s">
        <v>1099</v>
      </c>
      <c r="D258" s="98" t="s">
        <v>592</v>
      </c>
      <c r="E258" s="128">
        <v>6289.3</v>
      </c>
      <c r="F258" s="101" t="s">
        <v>405</v>
      </c>
    </row>
    <row r="259" spans="1:6">
      <c r="A259" s="101" t="s">
        <v>1060</v>
      </c>
      <c r="B259" s="101" t="s">
        <v>153</v>
      </c>
      <c r="C259" s="101" t="s">
        <v>1099</v>
      </c>
      <c r="E259" s="128">
        <v>6289.3</v>
      </c>
      <c r="F259" s="101" t="s">
        <v>405</v>
      </c>
    </row>
    <row r="260" spans="1:6">
      <c r="A260" s="101" t="s">
        <v>1059</v>
      </c>
      <c r="B260" s="101" t="s">
        <v>1076</v>
      </c>
      <c r="C260" s="101" t="s">
        <v>1126</v>
      </c>
      <c r="E260" s="128">
        <v>6458.5</v>
      </c>
      <c r="F260" s="101" t="s">
        <v>405</v>
      </c>
    </row>
    <row r="261" spans="1:6">
      <c r="A261" s="101" t="s">
        <v>1060</v>
      </c>
      <c r="B261" s="101" t="s">
        <v>126</v>
      </c>
      <c r="C261" s="101" t="s">
        <v>1099</v>
      </c>
      <c r="E261" s="128">
        <v>6504.3</v>
      </c>
      <c r="F261" s="101" t="s">
        <v>405</v>
      </c>
    </row>
    <row r="262" spans="1:6">
      <c r="A262" s="101" t="s">
        <v>1060</v>
      </c>
      <c r="B262" s="101" t="s">
        <v>113</v>
      </c>
      <c r="C262" s="101" t="s">
        <v>1111</v>
      </c>
      <c r="E262" s="128">
        <v>6540.3</v>
      </c>
      <c r="F262" s="101" t="s">
        <v>405</v>
      </c>
    </row>
    <row r="263" spans="1:6">
      <c r="A263" s="101" t="s">
        <v>1059</v>
      </c>
      <c r="B263" s="101" t="s">
        <v>153</v>
      </c>
      <c r="C263" s="101" t="s">
        <v>1099</v>
      </c>
      <c r="E263" s="128">
        <v>6732.5</v>
      </c>
      <c r="F263" s="101" t="s">
        <v>405</v>
      </c>
    </row>
    <row r="264" spans="1:6">
      <c r="A264" s="101" t="s">
        <v>1059</v>
      </c>
      <c r="B264" s="101" t="s">
        <v>153</v>
      </c>
      <c r="C264" s="101" t="s">
        <v>1099</v>
      </c>
      <c r="E264" s="128">
        <v>6732.5</v>
      </c>
      <c r="F264" s="101" t="s">
        <v>405</v>
      </c>
    </row>
    <row r="265" spans="1:6">
      <c r="A265" s="101" t="s">
        <v>1059</v>
      </c>
      <c r="B265" s="101" t="s">
        <v>153</v>
      </c>
      <c r="C265" s="101" t="s">
        <v>1099</v>
      </c>
      <c r="E265" s="128">
        <v>6732.5</v>
      </c>
      <c r="F265" s="101" t="s">
        <v>405</v>
      </c>
    </row>
    <row r="266" spans="1:6">
      <c r="A266" s="101" t="s">
        <v>1059</v>
      </c>
      <c r="B266" s="101" t="s">
        <v>153</v>
      </c>
      <c r="C266" s="101" t="s">
        <v>1099</v>
      </c>
      <c r="E266" s="128">
        <v>6732.5</v>
      </c>
      <c r="F266" s="101" t="s">
        <v>405</v>
      </c>
    </row>
    <row r="267" spans="1:6">
      <c r="A267" s="101" t="s">
        <v>1059</v>
      </c>
      <c r="B267" s="101" t="s">
        <v>153</v>
      </c>
      <c r="C267" s="101" t="s">
        <v>1099</v>
      </c>
      <c r="E267" s="128">
        <v>6732.5</v>
      </c>
      <c r="F267" s="101" t="s">
        <v>405</v>
      </c>
    </row>
    <row r="268" spans="1:6">
      <c r="A268" s="101" t="s">
        <v>1059</v>
      </c>
      <c r="B268" s="101" t="s">
        <v>153</v>
      </c>
      <c r="C268" s="101" t="s">
        <v>1099</v>
      </c>
      <c r="D268" s="98" t="s">
        <v>592</v>
      </c>
      <c r="E268" s="128">
        <v>6732.5</v>
      </c>
      <c r="F268" s="101" t="s">
        <v>405</v>
      </c>
    </row>
    <row r="269" spans="1:6">
      <c r="A269" s="101" t="s">
        <v>1059</v>
      </c>
      <c r="B269" s="101" t="s">
        <v>153</v>
      </c>
      <c r="C269" s="101" t="s">
        <v>1099</v>
      </c>
      <c r="E269" s="128">
        <v>6732.5</v>
      </c>
      <c r="F269" s="101" t="s">
        <v>405</v>
      </c>
    </row>
    <row r="270" spans="1:6">
      <c r="A270" s="101" t="s">
        <v>1059</v>
      </c>
      <c r="B270" s="101" t="s">
        <v>153</v>
      </c>
      <c r="C270" s="101" t="s">
        <v>1099</v>
      </c>
      <c r="D270" s="98" t="s">
        <v>592</v>
      </c>
      <c r="E270" s="128">
        <v>6732.5</v>
      </c>
      <c r="F270" s="101" t="s">
        <v>405</v>
      </c>
    </row>
    <row r="271" spans="1:6">
      <c r="A271" s="101" t="s">
        <v>1058</v>
      </c>
      <c r="B271" s="101" t="s">
        <v>1076</v>
      </c>
      <c r="C271" s="101" t="s">
        <v>1126</v>
      </c>
      <c r="E271" s="128">
        <v>6772.1</v>
      </c>
      <c r="F271" s="101" t="s">
        <v>405</v>
      </c>
    </row>
    <row r="272" spans="1:6">
      <c r="A272" s="101" t="s">
        <v>1058</v>
      </c>
      <c r="B272" s="101" t="s">
        <v>1076</v>
      </c>
      <c r="C272" s="101" t="s">
        <v>1126</v>
      </c>
      <c r="E272" s="128">
        <v>6772.1</v>
      </c>
      <c r="F272" s="101" t="s">
        <v>405</v>
      </c>
    </row>
    <row r="273" spans="1:6">
      <c r="A273" s="101" t="s">
        <v>1058</v>
      </c>
      <c r="B273" s="101" t="s">
        <v>1076</v>
      </c>
      <c r="C273" s="101" t="s">
        <v>1126</v>
      </c>
      <c r="E273" s="128">
        <v>6772.1</v>
      </c>
      <c r="F273" s="101" t="s">
        <v>405</v>
      </c>
    </row>
    <row r="274" spans="1:6">
      <c r="A274" s="101" t="s">
        <v>1058</v>
      </c>
      <c r="B274" s="101" t="s">
        <v>1076</v>
      </c>
      <c r="C274" s="101" t="s">
        <v>1126</v>
      </c>
      <c r="E274" s="128">
        <v>6772.1</v>
      </c>
      <c r="F274" s="101" t="s">
        <v>405</v>
      </c>
    </row>
    <row r="275" spans="1:6">
      <c r="A275" s="101" t="s">
        <v>1060</v>
      </c>
      <c r="B275" s="101" t="s">
        <v>349</v>
      </c>
      <c r="C275" s="101" t="s">
        <v>1142</v>
      </c>
      <c r="E275" s="128">
        <v>6863.3</v>
      </c>
      <c r="F275" s="101" t="s">
        <v>405</v>
      </c>
    </row>
    <row r="276" spans="1:6">
      <c r="A276" s="101" t="s">
        <v>1059</v>
      </c>
      <c r="B276" s="101" t="s">
        <v>126</v>
      </c>
      <c r="C276" s="101" t="s">
        <v>1099</v>
      </c>
      <c r="E276" s="128">
        <v>7085.5</v>
      </c>
      <c r="F276" s="101" t="s">
        <v>405</v>
      </c>
    </row>
    <row r="277" spans="1:6">
      <c r="A277" s="101" t="s">
        <v>1059</v>
      </c>
      <c r="B277" s="101" t="s">
        <v>156</v>
      </c>
      <c r="C277" s="101" t="s">
        <v>1131</v>
      </c>
      <c r="E277" s="128">
        <v>7188.5</v>
      </c>
      <c r="F277" s="101" t="s">
        <v>405</v>
      </c>
    </row>
    <row r="278" spans="1:6">
      <c r="A278" s="101" t="s">
        <v>1060</v>
      </c>
      <c r="B278" s="101" t="s">
        <v>222</v>
      </c>
      <c r="C278" s="101" t="s">
        <v>1095</v>
      </c>
      <c r="E278" s="128">
        <v>7245.3</v>
      </c>
      <c r="F278" s="101" t="s">
        <v>405</v>
      </c>
    </row>
    <row r="279" spans="1:6">
      <c r="A279" s="101" t="s">
        <v>1060</v>
      </c>
      <c r="B279" s="101" t="s">
        <v>222</v>
      </c>
      <c r="C279" s="101" t="s">
        <v>1095</v>
      </c>
      <c r="E279" s="128">
        <v>7245.3</v>
      </c>
      <c r="F279" s="101" t="s">
        <v>405</v>
      </c>
    </row>
    <row r="280" spans="1:6">
      <c r="A280" s="101" t="s">
        <v>1059</v>
      </c>
      <c r="B280" s="101" t="s">
        <v>128</v>
      </c>
      <c r="C280" s="101" t="s">
        <v>1099</v>
      </c>
      <c r="E280" s="128">
        <v>7500.5</v>
      </c>
      <c r="F280" s="101" t="s">
        <v>405</v>
      </c>
    </row>
    <row r="281" spans="1:6">
      <c r="A281" s="101" t="s">
        <v>1058</v>
      </c>
      <c r="B281" s="101" t="s">
        <v>341</v>
      </c>
      <c r="C281" s="101" t="s">
        <v>1086</v>
      </c>
      <c r="E281" s="128">
        <v>7549.1</v>
      </c>
      <c r="F281" s="101" t="s">
        <v>405</v>
      </c>
    </row>
    <row r="282" spans="1:6">
      <c r="A282" s="101" t="s">
        <v>1060</v>
      </c>
      <c r="B282" s="101" t="s">
        <v>156</v>
      </c>
      <c r="C282" s="101" t="s">
        <v>1131</v>
      </c>
      <c r="E282" s="128">
        <v>7569.3</v>
      </c>
      <c r="F282" s="101" t="s">
        <v>405</v>
      </c>
    </row>
    <row r="283" spans="1:6">
      <c r="A283" s="101" t="s">
        <v>1059</v>
      </c>
      <c r="B283" s="101" t="s">
        <v>156</v>
      </c>
      <c r="C283" s="101" t="s">
        <v>1131</v>
      </c>
      <c r="E283" s="128">
        <v>7690.5</v>
      </c>
      <c r="F283" s="101" t="s">
        <v>405</v>
      </c>
    </row>
    <row r="284" spans="1:6">
      <c r="A284" s="101" t="s">
        <v>1059</v>
      </c>
      <c r="B284" s="101" t="s">
        <v>225</v>
      </c>
      <c r="C284" s="101" t="s">
        <v>1154</v>
      </c>
      <c r="D284" s="274"/>
      <c r="E284" s="128">
        <v>7839.5</v>
      </c>
      <c r="F284" s="102" t="s">
        <v>405</v>
      </c>
    </row>
    <row r="285" spans="1:6">
      <c r="A285" s="101" t="s">
        <v>1058</v>
      </c>
      <c r="B285" s="101" t="s">
        <v>126</v>
      </c>
      <c r="C285" s="101" t="s">
        <v>1099</v>
      </c>
      <c r="E285" s="128">
        <v>7845.1</v>
      </c>
      <c r="F285" s="101" t="s">
        <v>405</v>
      </c>
    </row>
    <row r="286" spans="1:6">
      <c r="A286" s="101" t="s">
        <v>1059</v>
      </c>
      <c r="B286" s="101" t="s">
        <v>113</v>
      </c>
      <c r="C286" s="101" t="s">
        <v>1111</v>
      </c>
      <c r="E286" s="128">
        <v>7953.5</v>
      </c>
      <c r="F286" s="101" t="s">
        <v>405</v>
      </c>
    </row>
    <row r="287" spans="1:6">
      <c r="A287" s="101" t="s">
        <v>1060</v>
      </c>
      <c r="B287" s="101" t="s">
        <v>1067</v>
      </c>
      <c r="C287" s="101" t="s">
        <v>1098</v>
      </c>
      <c r="E287" s="128">
        <v>7961.3</v>
      </c>
      <c r="F287" s="101" t="s">
        <v>405</v>
      </c>
    </row>
    <row r="288" spans="1:6">
      <c r="A288" s="101" t="s">
        <v>1059</v>
      </c>
      <c r="B288" s="101" t="s">
        <v>225</v>
      </c>
      <c r="C288" s="101" t="s">
        <v>1154</v>
      </c>
      <c r="E288" s="128">
        <v>8000.5</v>
      </c>
      <c r="F288" s="101" t="s">
        <v>405</v>
      </c>
    </row>
    <row r="289" spans="1:6">
      <c r="A289" s="101" t="s">
        <v>1058</v>
      </c>
      <c r="B289" s="101" t="s">
        <v>156</v>
      </c>
      <c r="C289" s="101" t="s">
        <v>1131</v>
      </c>
      <c r="E289" s="128">
        <v>8151.1</v>
      </c>
      <c r="F289" s="101" t="s">
        <v>405</v>
      </c>
    </row>
    <row r="290" spans="1:6">
      <c r="A290" s="101" t="s">
        <v>1060</v>
      </c>
      <c r="B290" s="101" t="s">
        <v>156</v>
      </c>
      <c r="C290" s="101" t="s">
        <v>1131</v>
      </c>
      <c r="E290" s="128">
        <v>8233.2999999999993</v>
      </c>
      <c r="F290" s="101" t="s">
        <v>405</v>
      </c>
    </row>
    <row r="291" spans="1:6">
      <c r="A291" s="101" t="s">
        <v>1058</v>
      </c>
      <c r="B291" s="101" t="s">
        <v>341</v>
      </c>
      <c r="C291" s="101" t="s">
        <v>1086</v>
      </c>
      <c r="E291" s="128">
        <v>8268.1</v>
      </c>
      <c r="F291" s="101" t="s">
        <v>405</v>
      </c>
    </row>
    <row r="292" spans="1:6">
      <c r="A292" s="101" t="s">
        <v>1059</v>
      </c>
      <c r="B292" s="101" t="s">
        <v>156</v>
      </c>
      <c r="C292" s="101" t="s">
        <v>1131</v>
      </c>
      <c r="E292" s="128">
        <v>8369.5</v>
      </c>
      <c r="F292" s="101" t="s">
        <v>405</v>
      </c>
    </row>
    <row r="293" spans="1:6">
      <c r="A293" s="101" t="s">
        <v>1060</v>
      </c>
      <c r="B293" s="101" t="s">
        <v>225</v>
      </c>
      <c r="C293" s="101" t="s">
        <v>1154</v>
      </c>
      <c r="E293" s="128">
        <v>8402.2999999999993</v>
      </c>
      <c r="F293" s="101" t="s">
        <v>405</v>
      </c>
    </row>
    <row r="294" spans="1:6">
      <c r="A294" s="101" t="s">
        <v>1060</v>
      </c>
      <c r="B294" s="101" t="s">
        <v>225</v>
      </c>
      <c r="C294" s="101" t="s">
        <v>1154</v>
      </c>
      <c r="D294" s="274"/>
      <c r="E294" s="128">
        <v>8402.2999999999993</v>
      </c>
      <c r="F294" s="102" t="s">
        <v>405</v>
      </c>
    </row>
    <row r="295" spans="1:6">
      <c r="A295" s="101" t="s">
        <v>1060</v>
      </c>
      <c r="B295" s="101" t="s">
        <v>225</v>
      </c>
      <c r="C295" s="101" t="s">
        <v>1154</v>
      </c>
      <c r="E295" s="128">
        <v>8402.2999999999993</v>
      </c>
      <c r="F295" s="101" t="s">
        <v>405</v>
      </c>
    </row>
    <row r="296" spans="1:6">
      <c r="A296" s="101" t="s">
        <v>1060</v>
      </c>
      <c r="B296" s="101" t="s">
        <v>225</v>
      </c>
      <c r="C296" s="101" t="s">
        <v>1154</v>
      </c>
      <c r="E296" s="128">
        <v>8402.2999999999993</v>
      </c>
      <c r="F296" s="101" t="s">
        <v>405</v>
      </c>
    </row>
    <row r="297" spans="1:6">
      <c r="A297" s="101" t="s">
        <v>1058</v>
      </c>
      <c r="B297" s="101" t="s">
        <v>1079</v>
      </c>
      <c r="C297" s="101" t="s">
        <v>1139</v>
      </c>
      <c r="E297" s="128">
        <v>8461.1</v>
      </c>
      <c r="F297" s="101" t="s">
        <v>405</v>
      </c>
    </row>
    <row r="298" spans="1:6">
      <c r="A298" s="101" t="s">
        <v>1060</v>
      </c>
      <c r="B298" s="101" t="s">
        <v>341</v>
      </c>
      <c r="C298" s="101" t="s">
        <v>1086</v>
      </c>
      <c r="E298" s="128">
        <v>8621.2999999999993</v>
      </c>
      <c r="F298" s="101" t="s">
        <v>405</v>
      </c>
    </row>
    <row r="299" spans="1:6">
      <c r="A299" s="101" t="s">
        <v>1058</v>
      </c>
      <c r="B299" s="101" t="s">
        <v>222</v>
      </c>
      <c r="C299" s="101" t="s">
        <v>1095</v>
      </c>
      <c r="E299" s="128">
        <v>8672.1</v>
      </c>
      <c r="F299" s="101" t="s">
        <v>405</v>
      </c>
    </row>
    <row r="300" spans="1:6">
      <c r="A300" s="101" t="s">
        <v>1058</v>
      </c>
      <c r="B300" s="101" t="s">
        <v>222</v>
      </c>
      <c r="C300" s="101" t="s">
        <v>1095</v>
      </c>
      <c r="E300" s="128">
        <v>8672.1</v>
      </c>
      <c r="F300" s="101" t="s">
        <v>405</v>
      </c>
    </row>
    <row r="301" spans="1:6">
      <c r="A301" s="101" t="s">
        <v>1058</v>
      </c>
      <c r="B301" s="101" t="s">
        <v>1036</v>
      </c>
      <c r="C301" s="101" t="s">
        <v>1155</v>
      </c>
      <c r="D301" s="274"/>
      <c r="E301" s="128">
        <v>8672.1</v>
      </c>
      <c r="F301" s="102" t="s">
        <v>405</v>
      </c>
    </row>
    <row r="302" spans="1:6">
      <c r="A302" s="101" t="s">
        <v>1058</v>
      </c>
      <c r="B302" s="101" t="s">
        <v>1036</v>
      </c>
      <c r="C302" s="101" t="s">
        <v>1155</v>
      </c>
      <c r="E302" s="128">
        <v>8672.1</v>
      </c>
      <c r="F302" s="101" t="s">
        <v>405</v>
      </c>
    </row>
    <row r="303" spans="1:6">
      <c r="A303" s="101" t="s">
        <v>1058</v>
      </c>
      <c r="B303" s="101" t="s">
        <v>1036</v>
      </c>
      <c r="C303" s="101" t="s">
        <v>1155</v>
      </c>
      <c r="E303" s="128">
        <v>8672.1</v>
      </c>
      <c r="F303" s="101" t="s">
        <v>405</v>
      </c>
    </row>
    <row r="304" spans="1:6">
      <c r="A304" s="101" t="s">
        <v>1058</v>
      </c>
      <c r="B304" s="101" t="s">
        <v>1036</v>
      </c>
      <c r="C304" s="101" t="s">
        <v>1155</v>
      </c>
      <c r="E304" s="128">
        <v>8672.1</v>
      </c>
      <c r="F304" s="101" t="s">
        <v>405</v>
      </c>
    </row>
    <row r="305" spans="1:6">
      <c r="A305" s="101" t="s">
        <v>1060</v>
      </c>
      <c r="B305" s="101" t="s">
        <v>341</v>
      </c>
      <c r="C305" s="101" t="s">
        <v>1086</v>
      </c>
      <c r="E305" s="128">
        <v>8680.2999999999993</v>
      </c>
      <c r="F305" s="101" t="s">
        <v>405</v>
      </c>
    </row>
    <row r="306" spans="1:6">
      <c r="A306" s="101" t="s">
        <v>1059</v>
      </c>
      <c r="B306" s="101" t="s">
        <v>341</v>
      </c>
      <c r="C306" s="101" t="s">
        <v>1086</v>
      </c>
      <c r="E306" s="128">
        <v>8705.5</v>
      </c>
      <c r="F306" s="101" t="s">
        <v>405</v>
      </c>
    </row>
    <row r="307" spans="1:6">
      <c r="A307" s="101" t="s">
        <v>1058</v>
      </c>
      <c r="B307" s="101" t="s">
        <v>246</v>
      </c>
      <c r="C307" s="101" t="s">
        <v>1148</v>
      </c>
      <c r="E307" s="128">
        <v>8708.1</v>
      </c>
      <c r="F307" s="101" t="s">
        <v>405</v>
      </c>
    </row>
    <row r="308" spans="1:6">
      <c r="A308" s="101" t="s">
        <v>1059</v>
      </c>
      <c r="B308" s="101" t="s">
        <v>1079</v>
      </c>
      <c r="C308" s="101" t="s">
        <v>1139</v>
      </c>
      <c r="D308" s="274"/>
      <c r="E308" s="128">
        <v>8723.5</v>
      </c>
      <c r="F308" s="129" t="s">
        <v>405</v>
      </c>
    </row>
    <row r="309" spans="1:6">
      <c r="A309" s="101" t="s">
        <v>1060</v>
      </c>
      <c r="B309" s="101" t="s">
        <v>341</v>
      </c>
      <c r="C309" s="101" t="s">
        <v>1086</v>
      </c>
      <c r="D309" s="274"/>
      <c r="E309" s="128">
        <v>8768.2999999999993</v>
      </c>
      <c r="F309" s="102" t="s">
        <v>405</v>
      </c>
    </row>
    <row r="310" spans="1:6">
      <c r="A310" s="101" t="s">
        <v>1060</v>
      </c>
      <c r="B310" s="101" t="s">
        <v>225</v>
      </c>
      <c r="C310" s="101" t="s">
        <v>1156</v>
      </c>
      <c r="E310" s="128">
        <v>8809.2999999999993</v>
      </c>
      <c r="F310" s="101" t="s">
        <v>405</v>
      </c>
    </row>
    <row r="311" spans="1:6">
      <c r="A311" s="101" t="s">
        <v>1059</v>
      </c>
      <c r="B311" s="101" t="s">
        <v>222</v>
      </c>
      <c r="C311" s="101" t="s">
        <v>1095</v>
      </c>
      <c r="E311" s="128">
        <v>8845.5</v>
      </c>
      <c r="F311" s="101" t="s">
        <v>405</v>
      </c>
    </row>
    <row r="312" spans="1:6">
      <c r="A312" s="101" t="s">
        <v>1059</v>
      </c>
      <c r="B312" s="101" t="s">
        <v>222</v>
      </c>
      <c r="C312" s="101" t="s">
        <v>1095</v>
      </c>
      <c r="D312" s="274"/>
      <c r="E312" s="128">
        <v>8845.5</v>
      </c>
      <c r="F312" s="101" t="s">
        <v>405</v>
      </c>
    </row>
    <row r="313" spans="1:6">
      <c r="A313" s="101" t="s">
        <v>1058</v>
      </c>
      <c r="B313" s="101" t="s">
        <v>1065</v>
      </c>
      <c r="C313" s="101" t="s">
        <v>1097</v>
      </c>
      <c r="E313" s="128">
        <v>8910.1</v>
      </c>
      <c r="F313" s="101" t="s">
        <v>405</v>
      </c>
    </row>
    <row r="314" spans="1:6">
      <c r="A314" s="101" t="s">
        <v>1058</v>
      </c>
      <c r="B314" s="101" t="s">
        <v>1065</v>
      </c>
      <c r="C314" s="101" t="s">
        <v>1097</v>
      </c>
      <c r="E314" s="128">
        <v>8938.1</v>
      </c>
      <c r="F314" s="101" t="s">
        <v>405</v>
      </c>
    </row>
    <row r="315" spans="1:6">
      <c r="A315" s="101" t="s">
        <v>1058</v>
      </c>
      <c r="B315" s="101" t="s">
        <v>1067</v>
      </c>
      <c r="C315" s="101" t="s">
        <v>1098</v>
      </c>
      <c r="E315" s="128">
        <v>8938.1</v>
      </c>
      <c r="F315" s="101" t="s">
        <v>405</v>
      </c>
    </row>
    <row r="316" spans="1:6">
      <c r="A316" s="101" t="s">
        <v>1058</v>
      </c>
      <c r="B316" s="101" t="s">
        <v>377</v>
      </c>
      <c r="C316" s="101" t="s">
        <v>1140</v>
      </c>
      <c r="E316" s="128">
        <v>8938.1</v>
      </c>
      <c r="F316" s="101" t="s">
        <v>405</v>
      </c>
    </row>
    <row r="317" spans="1:6">
      <c r="A317" s="101" t="s">
        <v>1058</v>
      </c>
      <c r="B317" s="101" t="s">
        <v>156</v>
      </c>
      <c r="C317" s="101" t="s">
        <v>1131</v>
      </c>
      <c r="E317" s="128">
        <v>8990.1</v>
      </c>
      <c r="F317" s="101" t="s">
        <v>405</v>
      </c>
    </row>
    <row r="318" spans="1:6">
      <c r="A318" s="101" t="s">
        <v>1060</v>
      </c>
      <c r="B318" s="101" t="s">
        <v>156</v>
      </c>
      <c r="C318" s="101" t="s">
        <v>1131</v>
      </c>
      <c r="E318" s="128">
        <v>9170.2999999999993</v>
      </c>
      <c r="F318" s="101" t="s">
        <v>405</v>
      </c>
    </row>
    <row r="319" spans="1:6">
      <c r="A319" s="101" t="s">
        <v>1060</v>
      </c>
      <c r="B319" s="101" t="s">
        <v>156</v>
      </c>
      <c r="C319" s="101" t="s">
        <v>1131</v>
      </c>
      <c r="E319" s="128">
        <v>9176.2999999999993</v>
      </c>
      <c r="F319" s="101" t="s">
        <v>405</v>
      </c>
    </row>
    <row r="320" spans="1:6">
      <c r="A320" s="101" t="s">
        <v>1060</v>
      </c>
      <c r="B320" s="101" t="s">
        <v>1069</v>
      </c>
      <c r="C320" s="101" t="s">
        <v>1105</v>
      </c>
      <c r="E320" s="128">
        <v>9184.2999999999993</v>
      </c>
      <c r="F320" s="101" t="s">
        <v>405</v>
      </c>
    </row>
    <row r="321" spans="1:6">
      <c r="A321" s="101" t="s">
        <v>1058</v>
      </c>
      <c r="B321" s="101" t="s">
        <v>156</v>
      </c>
      <c r="C321" s="101" t="s">
        <v>1131</v>
      </c>
      <c r="E321" s="128">
        <v>9216.1</v>
      </c>
      <c r="F321" s="101" t="s">
        <v>405</v>
      </c>
    </row>
    <row r="322" spans="1:6">
      <c r="A322" s="101" t="s">
        <v>1059</v>
      </c>
      <c r="B322" s="101" t="s">
        <v>377</v>
      </c>
      <c r="C322" s="101" t="s">
        <v>1140</v>
      </c>
      <c r="E322" s="128">
        <v>9276.5</v>
      </c>
      <c r="F322" s="101" t="s">
        <v>405</v>
      </c>
    </row>
    <row r="323" spans="1:6">
      <c r="A323" s="101" t="s">
        <v>1059</v>
      </c>
      <c r="B323" s="101" t="s">
        <v>225</v>
      </c>
      <c r="C323" s="101" t="s">
        <v>1156</v>
      </c>
      <c r="E323" s="128">
        <v>9335.5</v>
      </c>
      <c r="F323" s="101" t="s">
        <v>405</v>
      </c>
    </row>
    <row r="324" spans="1:6">
      <c r="A324" s="101" t="s">
        <v>1058</v>
      </c>
      <c r="B324" s="101" t="s">
        <v>156</v>
      </c>
      <c r="C324" s="101" t="s">
        <v>1131</v>
      </c>
      <c r="E324" s="128">
        <v>9929.1</v>
      </c>
      <c r="F324" s="101" t="s">
        <v>405</v>
      </c>
    </row>
    <row r="325" spans="1:6">
      <c r="A325" s="101" t="s">
        <v>1058</v>
      </c>
      <c r="B325" s="101" t="s">
        <v>225</v>
      </c>
      <c r="C325" s="101" t="s">
        <v>1156</v>
      </c>
      <c r="E325" s="128">
        <v>10095.1</v>
      </c>
      <c r="F325" s="101" t="s">
        <v>405</v>
      </c>
    </row>
    <row r="326" spans="1:6">
      <c r="A326" s="101" t="s">
        <v>1058</v>
      </c>
      <c r="B326" s="101" t="s">
        <v>113</v>
      </c>
      <c r="C326" s="101" t="s">
        <v>1111</v>
      </c>
      <c r="E326" s="128">
        <v>10096.1</v>
      </c>
      <c r="F326" s="101" t="s">
        <v>405</v>
      </c>
    </row>
    <row r="327" spans="1:6">
      <c r="A327" s="101" t="s">
        <v>1059</v>
      </c>
      <c r="B327" s="101" t="s">
        <v>164</v>
      </c>
      <c r="C327" s="101" t="s">
        <v>1129</v>
      </c>
      <c r="E327" s="128">
        <v>10323.5</v>
      </c>
      <c r="F327" s="101" t="s">
        <v>405</v>
      </c>
    </row>
    <row r="328" spans="1:6">
      <c r="A328" s="101" t="s">
        <v>1059</v>
      </c>
      <c r="B328" s="101" t="s">
        <v>156</v>
      </c>
      <c r="C328" s="101" t="s">
        <v>1131</v>
      </c>
      <c r="E328" s="128">
        <v>10331.5</v>
      </c>
      <c r="F328" s="101" t="s">
        <v>405</v>
      </c>
    </row>
    <row r="329" spans="1:6">
      <c r="A329" s="101" t="s">
        <v>1060</v>
      </c>
      <c r="B329" s="101" t="s">
        <v>166</v>
      </c>
      <c r="C329" s="101" t="s">
        <v>1127</v>
      </c>
      <c r="E329" s="128">
        <v>10347.299999999999</v>
      </c>
      <c r="F329" s="101" t="s">
        <v>405</v>
      </c>
    </row>
    <row r="330" spans="1:6">
      <c r="A330" s="101" t="s">
        <v>1060</v>
      </c>
      <c r="B330" s="101" t="s">
        <v>164</v>
      </c>
      <c r="C330" s="101" t="s">
        <v>1129</v>
      </c>
      <c r="E330" s="128">
        <v>10347.299999999999</v>
      </c>
      <c r="F330" s="101" t="s">
        <v>405</v>
      </c>
    </row>
    <row r="331" spans="1:6">
      <c r="A331" s="101" t="s">
        <v>1060</v>
      </c>
      <c r="B331" s="101" t="s">
        <v>128</v>
      </c>
      <c r="C331" s="101" t="s">
        <v>1107</v>
      </c>
      <c r="E331" s="128">
        <v>10350.299999999999</v>
      </c>
      <c r="F331" s="101" t="s">
        <v>405</v>
      </c>
    </row>
    <row r="332" spans="1:6">
      <c r="A332" s="101" t="s">
        <v>1058</v>
      </c>
      <c r="B332" s="101" t="s">
        <v>341</v>
      </c>
      <c r="C332" s="101" t="s">
        <v>1086</v>
      </c>
      <c r="E332" s="128">
        <v>10600.1</v>
      </c>
      <c r="F332" s="101" t="s">
        <v>405</v>
      </c>
    </row>
    <row r="333" spans="1:6">
      <c r="A333" s="101" t="s">
        <v>1059</v>
      </c>
      <c r="B333" s="101" t="s">
        <v>166</v>
      </c>
      <c r="C333" s="101" t="s">
        <v>1127</v>
      </c>
      <c r="E333" s="128">
        <v>10797.5</v>
      </c>
      <c r="F333" s="101" t="s">
        <v>405</v>
      </c>
    </row>
    <row r="334" spans="1:6">
      <c r="A334" s="101" t="s">
        <v>1059</v>
      </c>
      <c r="B334" s="101" t="s">
        <v>341</v>
      </c>
      <c r="C334" s="101" t="s">
        <v>1086</v>
      </c>
      <c r="E334" s="128">
        <v>10804.5</v>
      </c>
      <c r="F334" s="101" t="s">
        <v>405</v>
      </c>
    </row>
    <row r="335" spans="1:6">
      <c r="A335" s="101" t="s">
        <v>1059</v>
      </c>
      <c r="B335" s="101" t="s">
        <v>341</v>
      </c>
      <c r="C335" s="101" t="s">
        <v>1086</v>
      </c>
      <c r="D335" s="274"/>
      <c r="E335" s="128">
        <v>10804.5</v>
      </c>
      <c r="F335" s="102" t="s">
        <v>405</v>
      </c>
    </row>
    <row r="336" spans="1:6">
      <c r="A336" s="101" t="s">
        <v>1060</v>
      </c>
      <c r="B336" s="101" t="s">
        <v>1079</v>
      </c>
      <c r="C336" s="101" t="s">
        <v>1139</v>
      </c>
      <c r="E336" s="128">
        <v>10903.3</v>
      </c>
      <c r="F336" s="101" t="s">
        <v>405</v>
      </c>
    </row>
    <row r="337" spans="1:6">
      <c r="A337" s="101" t="s">
        <v>1060</v>
      </c>
      <c r="B337" s="101" t="s">
        <v>1065</v>
      </c>
      <c r="C337" s="101" t="s">
        <v>1097</v>
      </c>
      <c r="D337" s="274"/>
      <c r="E337" s="128">
        <v>11087.3</v>
      </c>
      <c r="F337" s="129" t="s">
        <v>405</v>
      </c>
    </row>
    <row r="338" spans="1:6">
      <c r="A338" s="101" t="s">
        <v>1060</v>
      </c>
      <c r="B338" s="101" t="s">
        <v>1065</v>
      </c>
      <c r="C338" s="101" t="s">
        <v>1097</v>
      </c>
      <c r="D338" s="274"/>
      <c r="E338" s="128">
        <v>11087.3</v>
      </c>
      <c r="F338" s="129" t="s">
        <v>405</v>
      </c>
    </row>
    <row r="339" spans="1:6">
      <c r="A339" s="101" t="s">
        <v>1058</v>
      </c>
      <c r="B339" s="101" t="s">
        <v>166</v>
      </c>
      <c r="C339" s="101" t="s">
        <v>1127</v>
      </c>
      <c r="E339" s="128">
        <v>11191.1</v>
      </c>
      <c r="F339" s="101" t="s">
        <v>405</v>
      </c>
    </row>
    <row r="340" spans="1:6">
      <c r="A340" s="101" t="s">
        <v>1058</v>
      </c>
      <c r="B340" s="101" t="s">
        <v>164</v>
      </c>
      <c r="C340" s="101" t="s">
        <v>1129</v>
      </c>
      <c r="E340" s="128">
        <v>11465.1</v>
      </c>
      <c r="F340" s="101" t="s">
        <v>405</v>
      </c>
    </row>
    <row r="341" spans="1:6">
      <c r="A341" s="101" t="s">
        <v>1060</v>
      </c>
      <c r="B341" s="101" t="s">
        <v>124</v>
      </c>
      <c r="C341" s="101" t="s">
        <v>1099</v>
      </c>
      <c r="E341" s="128">
        <v>11542.3</v>
      </c>
      <c r="F341" s="101" t="s">
        <v>405</v>
      </c>
    </row>
    <row r="342" spans="1:6">
      <c r="A342" s="101" t="s">
        <v>1060</v>
      </c>
      <c r="B342" s="101" t="s">
        <v>139</v>
      </c>
      <c r="C342" s="101" t="s">
        <v>1099</v>
      </c>
      <c r="E342" s="128">
        <v>11589.3</v>
      </c>
      <c r="F342" s="101" t="s">
        <v>405</v>
      </c>
    </row>
    <row r="343" spans="1:6">
      <c r="A343" s="101" t="s">
        <v>1059</v>
      </c>
      <c r="B343" s="101" t="s">
        <v>1067</v>
      </c>
      <c r="C343" s="101" t="s">
        <v>1098</v>
      </c>
      <c r="E343" s="128">
        <v>11909.5</v>
      </c>
      <c r="F343" s="101" t="s">
        <v>405</v>
      </c>
    </row>
    <row r="344" spans="1:6">
      <c r="A344" s="101" t="s">
        <v>1059</v>
      </c>
      <c r="B344" s="101" t="s">
        <v>124</v>
      </c>
      <c r="C344" s="101" t="s">
        <v>1099</v>
      </c>
      <c r="E344" s="128">
        <v>12113.5</v>
      </c>
      <c r="F344" s="101" t="s">
        <v>405</v>
      </c>
    </row>
    <row r="345" spans="1:6">
      <c r="A345" s="101" t="s">
        <v>1060</v>
      </c>
      <c r="B345" s="101" t="s">
        <v>377</v>
      </c>
      <c r="C345" s="101" t="s">
        <v>1140</v>
      </c>
      <c r="E345" s="128">
        <v>12309.3</v>
      </c>
      <c r="F345" s="101" t="s">
        <v>405</v>
      </c>
    </row>
    <row r="346" spans="1:6">
      <c r="A346" s="101" t="s">
        <v>1058</v>
      </c>
      <c r="B346" s="101" t="s">
        <v>179</v>
      </c>
      <c r="C346" s="101" t="s">
        <v>1093</v>
      </c>
      <c r="E346" s="128">
        <v>12731.1</v>
      </c>
      <c r="F346" s="101" t="s">
        <v>405</v>
      </c>
    </row>
    <row r="347" spans="1:6">
      <c r="A347" s="101" t="s">
        <v>1058</v>
      </c>
      <c r="B347" s="101" t="s">
        <v>179</v>
      </c>
      <c r="C347" s="101" t="s">
        <v>1093</v>
      </c>
      <c r="E347" s="128">
        <v>12845.1</v>
      </c>
      <c r="F347" s="101" t="s">
        <v>405</v>
      </c>
    </row>
    <row r="348" spans="1:6">
      <c r="A348" s="101" t="s">
        <v>1059</v>
      </c>
      <c r="B348" s="101" t="s">
        <v>1066</v>
      </c>
      <c r="C348" s="101" t="s">
        <v>1097</v>
      </c>
      <c r="E348" s="128">
        <v>12879.5</v>
      </c>
      <c r="F348" s="101" t="s">
        <v>405</v>
      </c>
    </row>
    <row r="349" spans="1:6">
      <c r="A349" s="101" t="s">
        <v>1059</v>
      </c>
      <c r="B349" s="101" t="s">
        <v>1066</v>
      </c>
      <c r="C349" s="101" t="s">
        <v>1097</v>
      </c>
      <c r="E349" s="128">
        <v>12879.5</v>
      </c>
      <c r="F349" s="101" t="s">
        <v>405</v>
      </c>
    </row>
    <row r="350" spans="1:6">
      <c r="A350" s="101" t="s">
        <v>1058</v>
      </c>
      <c r="B350" s="101" t="s">
        <v>139</v>
      </c>
      <c r="C350" s="101" t="s">
        <v>1099</v>
      </c>
      <c r="E350" s="128">
        <v>12930.1</v>
      </c>
      <c r="F350" s="101" t="s">
        <v>405</v>
      </c>
    </row>
    <row r="351" spans="1:6">
      <c r="A351" s="101" t="s">
        <v>1059</v>
      </c>
      <c r="B351" s="101" t="s">
        <v>179</v>
      </c>
      <c r="C351" s="101" t="s">
        <v>1093</v>
      </c>
      <c r="E351" s="128">
        <v>12995.5</v>
      </c>
      <c r="F351" s="101" t="s">
        <v>405</v>
      </c>
    </row>
    <row r="352" spans="1:6">
      <c r="A352" s="101" t="s">
        <v>1058</v>
      </c>
      <c r="B352" s="101" t="s">
        <v>179</v>
      </c>
      <c r="C352" s="101" t="s">
        <v>1093</v>
      </c>
      <c r="E352" s="128">
        <v>13073.1</v>
      </c>
      <c r="F352" s="101" t="s">
        <v>405</v>
      </c>
    </row>
    <row r="353" spans="1:6">
      <c r="A353" s="101" t="s">
        <v>1058</v>
      </c>
      <c r="B353" s="101" t="s">
        <v>179</v>
      </c>
      <c r="C353" s="101" t="s">
        <v>1093</v>
      </c>
      <c r="E353" s="128">
        <v>13073.1</v>
      </c>
      <c r="F353" s="101" t="s">
        <v>405</v>
      </c>
    </row>
    <row r="354" spans="1:6">
      <c r="A354" s="101" t="s">
        <v>1058</v>
      </c>
      <c r="B354" s="101" t="s">
        <v>179</v>
      </c>
      <c r="C354" s="101" t="s">
        <v>1093</v>
      </c>
      <c r="E354" s="128">
        <v>13073.1</v>
      </c>
      <c r="F354" s="101" t="s">
        <v>405</v>
      </c>
    </row>
    <row r="355" spans="1:6">
      <c r="A355" s="101" t="s">
        <v>1058</v>
      </c>
      <c r="B355" s="101" t="s">
        <v>179</v>
      </c>
      <c r="C355" s="101" t="s">
        <v>1093</v>
      </c>
      <c r="E355" s="128">
        <v>13073.1</v>
      </c>
      <c r="F355" s="101" t="s">
        <v>405</v>
      </c>
    </row>
    <row r="356" spans="1:6">
      <c r="A356" s="101" t="s">
        <v>1058</v>
      </c>
      <c r="B356" s="101" t="s">
        <v>179</v>
      </c>
      <c r="C356" s="101" t="s">
        <v>1093</v>
      </c>
      <c r="E356" s="128">
        <v>13169.1</v>
      </c>
      <c r="F356" s="101" t="s">
        <v>405</v>
      </c>
    </row>
    <row r="357" spans="1:6">
      <c r="A357" s="101" t="s">
        <v>1058</v>
      </c>
      <c r="B357" s="101" t="s">
        <v>179</v>
      </c>
      <c r="C357" s="101" t="s">
        <v>1093</v>
      </c>
      <c r="E357" s="128">
        <v>13169.1</v>
      </c>
      <c r="F357" s="101" t="s">
        <v>405</v>
      </c>
    </row>
    <row r="358" spans="1:6">
      <c r="A358" s="101" t="s">
        <v>1059</v>
      </c>
      <c r="B358" s="101" t="s">
        <v>179</v>
      </c>
      <c r="C358" s="101" t="s">
        <v>1093</v>
      </c>
      <c r="E358" s="128">
        <v>13225.5</v>
      </c>
      <c r="F358" s="101" t="s">
        <v>405</v>
      </c>
    </row>
    <row r="359" spans="1:6">
      <c r="A359" s="101" t="s">
        <v>1060</v>
      </c>
      <c r="B359" s="101" t="s">
        <v>179</v>
      </c>
      <c r="C359" s="101" t="s">
        <v>1093</v>
      </c>
      <c r="E359" s="128">
        <v>13315.3</v>
      </c>
      <c r="F359" s="101" t="s">
        <v>405</v>
      </c>
    </row>
    <row r="360" spans="1:6">
      <c r="A360" s="101" t="s">
        <v>1060</v>
      </c>
      <c r="B360" s="101" t="s">
        <v>179</v>
      </c>
      <c r="C360" s="101" t="s">
        <v>1093</v>
      </c>
      <c r="E360" s="128">
        <v>13315.3</v>
      </c>
      <c r="F360" s="101" t="s">
        <v>405</v>
      </c>
    </row>
    <row r="361" spans="1:6">
      <c r="A361" s="101" t="s">
        <v>1060</v>
      </c>
      <c r="B361" s="101" t="s">
        <v>179</v>
      </c>
      <c r="C361" s="101" t="s">
        <v>1093</v>
      </c>
      <c r="E361" s="128">
        <v>13315.3</v>
      </c>
      <c r="F361" s="101" t="s">
        <v>405</v>
      </c>
    </row>
    <row r="362" spans="1:6">
      <c r="A362" s="101" t="s">
        <v>1060</v>
      </c>
      <c r="B362" s="101" t="s">
        <v>179</v>
      </c>
      <c r="C362" s="101" t="s">
        <v>1093</v>
      </c>
      <c r="E362" s="128">
        <v>13315.3</v>
      </c>
      <c r="F362" s="101" t="s">
        <v>405</v>
      </c>
    </row>
    <row r="363" spans="1:6">
      <c r="A363" s="101" t="s">
        <v>1060</v>
      </c>
      <c r="B363" s="101" t="s">
        <v>179</v>
      </c>
      <c r="C363" s="101" t="s">
        <v>1093</v>
      </c>
      <c r="E363" s="128">
        <v>13315.3</v>
      </c>
      <c r="F363" s="101" t="s">
        <v>405</v>
      </c>
    </row>
    <row r="364" spans="1:6">
      <c r="A364" s="101" t="s">
        <v>1060</v>
      </c>
      <c r="B364" s="101" t="s">
        <v>179</v>
      </c>
      <c r="C364" s="101" t="s">
        <v>1093</v>
      </c>
      <c r="E364" s="128">
        <v>13315.3</v>
      </c>
      <c r="F364" s="101" t="s">
        <v>405</v>
      </c>
    </row>
    <row r="365" spans="1:6">
      <c r="A365" s="101" t="s">
        <v>1060</v>
      </c>
      <c r="B365" s="101" t="s">
        <v>179</v>
      </c>
      <c r="C365" s="101" t="s">
        <v>1093</v>
      </c>
      <c r="E365" s="128">
        <v>13315.3</v>
      </c>
      <c r="F365" s="101" t="s">
        <v>405</v>
      </c>
    </row>
    <row r="366" spans="1:6">
      <c r="A366" s="101" t="s">
        <v>1060</v>
      </c>
      <c r="B366" s="101" t="s">
        <v>179</v>
      </c>
      <c r="C366" s="101" t="s">
        <v>1093</v>
      </c>
      <c r="E366" s="128">
        <v>13315.3</v>
      </c>
      <c r="F366" s="101" t="s">
        <v>405</v>
      </c>
    </row>
    <row r="367" spans="1:6">
      <c r="A367" s="101" t="s">
        <v>1059</v>
      </c>
      <c r="B367" s="101" t="s">
        <v>1068</v>
      </c>
      <c r="C367" s="101" t="s">
        <v>1100</v>
      </c>
      <c r="E367" s="128">
        <v>13336.5</v>
      </c>
      <c r="F367" s="101" t="s">
        <v>405</v>
      </c>
    </row>
    <row r="368" spans="1:6">
      <c r="A368" s="101" t="s">
        <v>1059</v>
      </c>
      <c r="B368" s="101" t="s">
        <v>179</v>
      </c>
      <c r="C368" s="101" t="s">
        <v>1093</v>
      </c>
      <c r="E368" s="128">
        <v>13512.5</v>
      </c>
      <c r="F368" s="101" t="s">
        <v>405</v>
      </c>
    </row>
    <row r="369" spans="1:6">
      <c r="A369" s="101" t="s">
        <v>1059</v>
      </c>
      <c r="B369" s="101" t="s">
        <v>179</v>
      </c>
      <c r="C369" s="101" t="s">
        <v>1093</v>
      </c>
      <c r="E369" s="128">
        <v>13758.5</v>
      </c>
      <c r="F369" s="101" t="s">
        <v>405</v>
      </c>
    </row>
    <row r="370" spans="1:6">
      <c r="A370" s="101" t="s">
        <v>1059</v>
      </c>
      <c r="B370" s="101" t="s">
        <v>179</v>
      </c>
      <c r="C370" s="101" t="s">
        <v>1093</v>
      </c>
      <c r="E370" s="128">
        <v>13758.5</v>
      </c>
      <c r="F370" s="101" t="s">
        <v>405</v>
      </c>
    </row>
    <row r="371" spans="1:6">
      <c r="A371" s="101" t="s">
        <v>1059</v>
      </c>
      <c r="B371" s="101" t="s">
        <v>179</v>
      </c>
      <c r="C371" s="101" t="s">
        <v>1093</v>
      </c>
      <c r="E371" s="128">
        <v>13758.5</v>
      </c>
      <c r="F371" s="101" t="s">
        <v>405</v>
      </c>
    </row>
    <row r="372" spans="1:6">
      <c r="A372" s="101" t="s">
        <v>1059</v>
      </c>
      <c r="B372" s="101" t="s">
        <v>179</v>
      </c>
      <c r="C372" s="101" t="s">
        <v>1093</v>
      </c>
      <c r="E372" s="128">
        <v>13758.5</v>
      </c>
      <c r="F372" s="101" t="s">
        <v>405</v>
      </c>
    </row>
    <row r="373" spans="1:6">
      <c r="A373" s="101" t="s">
        <v>1059</v>
      </c>
      <c r="B373" s="101" t="s">
        <v>179</v>
      </c>
      <c r="C373" s="101" t="s">
        <v>1093</v>
      </c>
      <c r="E373" s="128">
        <v>13758.5</v>
      </c>
      <c r="F373" s="101" t="s">
        <v>405</v>
      </c>
    </row>
    <row r="374" spans="1:6">
      <c r="A374" s="101" t="s">
        <v>1058</v>
      </c>
      <c r="B374" s="101" t="s">
        <v>1068</v>
      </c>
      <c r="C374" s="101" t="s">
        <v>1100</v>
      </c>
      <c r="E374" s="128">
        <v>14096.1</v>
      </c>
      <c r="F374" s="101" t="s">
        <v>405</v>
      </c>
    </row>
    <row r="375" spans="1:6">
      <c r="A375" s="101" t="s">
        <v>1058</v>
      </c>
      <c r="B375" s="101" t="s">
        <v>310</v>
      </c>
      <c r="C375" s="101" t="s">
        <v>1121</v>
      </c>
      <c r="E375" s="128">
        <v>14112.1</v>
      </c>
      <c r="F375" s="101" t="s">
        <v>1157</v>
      </c>
    </row>
    <row r="376" spans="1:6">
      <c r="A376" s="101" t="s">
        <v>1059</v>
      </c>
      <c r="B376" s="101" t="s">
        <v>1070</v>
      </c>
      <c r="C376" s="101" t="s">
        <v>1108</v>
      </c>
      <c r="E376" s="128">
        <v>14343.5</v>
      </c>
      <c r="F376" s="101" t="s">
        <v>405</v>
      </c>
    </row>
    <row r="377" spans="1:6">
      <c r="A377" s="101" t="s">
        <v>1060</v>
      </c>
      <c r="B377" s="101" t="s">
        <v>310</v>
      </c>
      <c r="C377" s="101" t="s">
        <v>1121</v>
      </c>
      <c r="E377" s="128">
        <v>15068.3</v>
      </c>
      <c r="F377" s="101" t="s">
        <v>1157</v>
      </c>
    </row>
    <row r="378" spans="1:6">
      <c r="A378" s="101" t="s">
        <v>1060</v>
      </c>
      <c r="B378" s="101" t="s">
        <v>1068</v>
      </c>
      <c r="C378" s="101" t="s">
        <v>1100</v>
      </c>
      <c r="E378" s="128">
        <v>15156.3</v>
      </c>
      <c r="F378" s="101" t="s">
        <v>405</v>
      </c>
    </row>
    <row r="379" spans="1:6">
      <c r="A379" s="101" t="s">
        <v>1060</v>
      </c>
      <c r="B379" s="101" t="s">
        <v>110</v>
      </c>
      <c r="C379" s="101" t="s">
        <v>1110</v>
      </c>
      <c r="E379" s="128">
        <v>15505.3</v>
      </c>
      <c r="F379" s="101" t="s">
        <v>405</v>
      </c>
    </row>
    <row r="380" spans="1:6">
      <c r="A380" s="101" t="s">
        <v>1058</v>
      </c>
      <c r="B380" s="101" t="s">
        <v>1070</v>
      </c>
      <c r="C380" s="101" t="s">
        <v>1108</v>
      </c>
      <c r="E380" s="128">
        <v>15875.1</v>
      </c>
      <c r="F380" s="101" t="s">
        <v>405</v>
      </c>
    </row>
    <row r="381" spans="1:6">
      <c r="A381" s="101" t="s">
        <v>1059</v>
      </c>
      <c r="B381" s="101" t="s">
        <v>139</v>
      </c>
      <c r="C381" s="101" t="s">
        <v>1099</v>
      </c>
      <c r="E381" s="128">
        <v>15904.5</v>
      </c>
      <c r="F381" s="101" t="s">
        <v>405</v>
      </c>
    </row>
    <row r="382" spans="1:6">
      <c r="A382" s="101" t="s">
        <v>1060</v>
      </c>
      <c r="B382" s="101" t="s">
        <v>1070</v>
      </c>
      <c r="C382" s="101" t="s">
        <v>1108</v>
      </c>
      <c r="E382" s="128">
        <v>17193.3</v>
      </c>
      <c r="F382" s="101" t="s">
        <v>405</v>
      </c>
    </row>
    <row r="383" spans="1:6">
      <c r="A383" s="101" t="s">
        <v>1058</v>
      </c>
      <c r="B383" s="101" t="s">
        <v>110</v>
      </c>
      <c r="C383" s="101" t="s">
        <v>1110</v>
      </c>
      <c r="E383" s="128">
        <v>17369.099999999999</v>
      </c>
      <c r="F383" s="101" t="s">
        <v>405</v>
      </c>
    </row>
    <row r="384" spans="1:6">
      <c r="A384" s="101" t="s">
        <v>1059</v>
      </c>
      <c r="B384" s="101" t="s">
        <v>1071</v>
      </c>
      <c r="C384" s="101" t="s">
        <v>1110</v>
      </c>
      <c r="E384" s="128">
        <v>17980.5</v>
      </c>
      <c r="F384" s="101" t="s">
        <v>405</v>
      </c>
    </row>
    <row r="385" spans="1:6">
      <c r="A385" s="101" t="s">
        <v>1059</v>
      </c>
      <c r="B385" s="101" t="s">
        <v>310</v>
      </c>
      <c r="C385" s="101" t="s">
        <v>1121</v>
      </c>
      <c r="E385" s="128">
        <v>17989.5</v>
      </c>
      <c r="F385" s="101" t="s">
        <v>1157</v>
      </c>
    </row>
    <row r="392" spans="1:6">
      <c r="D392" s="98" t="s">
        <v>592</v>
      </c>
    </row>
  </sheetData>
  <sortState ref="A2:F1048261">
    <sortCondition ref="E2:E1048261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dimension ref="A3:B7"/>
  <sheetViews>
    <sheetView workbookViewId="0">
      <selection activeCell="B4" sqref="B4"/>
    </sheetView>
  </sheetViews>
  <sheetFormatPr defaultRowHeight="12.75"/>
  <cols>
    <col min="1" max="1" width="15.140625" bestFit="1" customWidth="1"/>
    <col min="2" max="2" width="22.140625" customWidth="1"/>
  </cols>
  <sheetData>
    <row r="3" spans="1:2">
      <c r="A3" s="95" t="s">
        <v>31</v>
      </c>
      <c r="B3" t="s">
        <v>1191</v>
      </c>
    </row>
    <row r="4" spans="1:2">
      <c r="A4" s="289" t="s">
        <v>748</v>
      </c>
      <c r="B4" s="288">
        <v>26475</v>
      </c>
    </row>
    <row r="5" spans="1:2">
      <c r="A5" s="289" t="s">
        <v>750</v>
      </c>
      <c r="B5" s="288">
        <v>18916</v>
      </c>
    </row>
    <row r="6" spans="1:2">
      <c r="A6" s="289" t="s">
        <v>752</v>
      </c>
      <c r="B6" s="288">
        <v>7331</v>
      </c>
    </row>
    <row r="7" spans="1:2">
      <c r="A7" s="289" t="s">
        <v>32</v>
      </c>
      <c r="B7" s="288">
        <v>26475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dimension ref="A1:AU4"/>
  <sheetViews>
    <sheetView workbookViewId="0">
      <selection activeCell="C4" sqref="A2:AU4"/>
    </sheetView>
  </sheetViews>
  <sheetFormatPr defaultRowHeight="12.75"/>
  <cols>
    <col min="1" max="1" width="9" bestFit="1" customWidth="1"/>
    <col min="2" max="2" width="14.140625" bestFit="1" customWidth="1"/>
    <col min="3" max="3" width="9.7109375" bestFit="1" customWidth="1"/>
    <col min="4" max="4" width="21.28515625" bestFit="1" customWidth="1"/>
    <col min="5" max="5" width="19.28515625" bestFit="1" customWidth="1"/>
    <col min="6" max="6" width="18.28515625" style="288" bestFit="1" customWidth="1"/>
    <col min="7" max="7" width="17.140625" style="288" bestFit="1" customWidth="1"/>
    <col min="8" max="8" width="13" bestFit="1" customWidth="1"/>
    <col min="9" max="9" width="16.7109375" bestFit="1" customWidth="1"/>
    <col min="10" max="10" width="15.140625" bestFit="1" customWidth="1"/>
    <col min="11" max="11" width="22.42578125" bestFit="1" customWidth="1"/>
    <col min="12" max="12" width="22.140625" bestFit="1" customWidth="1"/>
    <col min="13" max="13" width="26.28515625" bestFit="1" customWidth="1"/>
    <col min="14" max="14" width="15.140625" bestFit="1" customWidth="1"/>
    <col min="15" max="15" width="22" bestFit="1" customWidth="1"/>
    <col min="16" max="16" width="16.42578125" bestFit="1" customWidth="1"/>
    <col min="17" max="17" width="14.42578125" bestFit="1" customWidth="1"/>
    <col min="18" max="18" width="8.28515625" bestFit="1" customWidth="1"/>
    <col min="19" max="19" width="18.85546875" bestFit="1" customWidth="1"/>
    <col min="20" max="20" width="14.42578125" bestFit="1" customWidth="1"/>
    <col min="21" max="21" width="21.85546875" bestFit="1" customWidth="1"/>
    <col min="22" max="22" width="17" bestFit="1" customWidth="1"/>
    <col min="23" max="23" width="21.28515625" bestFit="1" customWidth="1"/>
    <col min="24" max="24" width="18" bestFit="1" customWidth="1"/>
    <col min="25" max="25" width="19.42578125" bestFit="1" customWidth="1"/>
    <col min="26" max="26" width="36.140625" bestFit="1" customWidth="1"/>
    <col min="27" max="27" width="17.7109375" bestFit="1" customWidth="1"/>
    <col min="28" max="28" width="18.85546875" bestFit="1" customWidth="1"/>
    <col min="29" max="29" width="21.85546875" bestFit="1" customWidth="1"/>
    <col min="30" max="30" width="20.5703125" bestFit="1" customWidth="1"/>
    <col min="31" max="31" width="15.28515625" bestFit="1" customWidth="1"/>
    <col min="32" max="32" width="17.28515625" bestFit="1" customWidth="1"/>
    <col min="33" max="33" width="13" bestFit="1" customWidth="1"/>
    <col min="34" max="34" width="18.85546875" bestFit="1" customWidth="1"/>
    <col min="35" max="35" width="18.140625" bestFit="1" customWidth="1"/>
    <col min="36" max="36" width="8.28515625" bestFit="1" customWidth="1"/>
    <col min="37" max="37" width="14.85546875" bestFit="1" customWidth="1"/>
    <col min="38" max="38" width="15.5703125" bestFit="1" customWidth="1"/>
    <col min="39" max="39" width="15" bestFit="1" customWidth="1"/>
    <col min="40" max="40" width="15.7109375" bestFit="1" customWidth="1"/>
    <col min="41" max="41" width="17.5703125" bestFit="1" customWidth="1"/>
    <col min="42" max="42" width="24.7109375" bestFit="1" customWidth="1"/>
    <col min="43" max="43" width="15.85546875" bestFit="1" customWidth="1"/>
    <col min="44" max="44" width="14.28515625" bestFit="1" customWidth="1"/>
    <col min="45" max="45" width="19.140625" bestFit="1" customWidth="1"/>
    <col min="46" max="46" width="21.42578125" bestFit="1" customWidth="1"/>
    <col min="47" max="47" width="15.28515625" bestFit="1" customWidth="1"/>
  </cols>
  <sheetData>
    <row r="1" spans="1:47">
      <c r="A1" s="110" t="s">
        <v>18</v>
      </c>
      <c r="B1" t="s">
        <v>14</v>
      </c>
      <c r="C1" t="s">
        <v>35</v>
      </c>
      <c r="D1" t="s">
        <v>41</v>
      </c>
      <c r="E1" t="s">
        <v>42</v>
      </c>
      <c r="F1" s="288" t="s">
        <v>43</v>
      </c>
      <c r="G1" s="288" t="s">
        <v>44</v>
      </c>
      <c r="H1" t="s">
        <v>45</v>
      </c>
      <c r="I1" t="s">
        <v>46</v>
      </c>
      <c r="J1" t="s">
        <v>47</v>
      </c>
      <c r="K1" t="s">
        <v>36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  <c r="Y1" t="s">
        <v>61</v>
      </c>
      <c r="Z1" t="s">
        <v>62</v>
      </c>
      <c r="AA1" t="s">
        <v>63</v>
      </c>
      <c r="AB1" t="s">
        <v>64</v>
      </c>
      <c r="AC1" t="s">
        <v>65</v>
      </c>
      <c r="AD1" t="s">
        <v>66</v>
      </c>
      <c r="AE1" t="s">
        <v>67</v>
      </c>
      <c r="AF1" t="s">
        <v>68</v>
      </c>
      <c r="AG1" t="s">
        <v>69</v>
      </c>
      <c r="AH1" t="s">
        <v>70</v>
      </c>
      <c r="AI1" t="s">
        <v>71</v>
      </c>
      <c r="AJ1" t="s">
        <v>72</v>
      </c>
      <c r="AK1" t="s">
        <v>73</v>
      </c>
      <c r="AL1" t="s">
        <v>74</v>
      </c>
      <c r="AM1" t="s">
        <v>75</v>
      </c>
      <c r="AN1" t="s">
        <v>76</v>
      </c>
      <c r="AO1" t="s">
        <v>37</v>
      </c>
      <c r="AP1" t="s">
        <v>21</v>
      </c>
      <c r="AQ1" t="s">
        <v>22</v>
      </c>
      <c r="AR1" t="s">
        <v>23</v>
      </c>
      <c r="AS1" t="s">
        <v>24</v>
      </c>
      <c r="AT1" t="s">
        <v>763</v>
      </c>
      <c r="AU1" t="s">
        <v>764</v>
      </c>
    </row>
    <row r="2" spans="1:47">
      <c r="A2" t="s">
        <v>748</v>
      </c>
      <c r="B2" t="s">
        <v>25</v>
      </c>
      <c r="C2" t="s">
        <v>749</v>
      </c>
      <c r="D2" t="s">
        <v>765</v>
      </c>
      <c r="E2" t="b">
        <v>0</v>
      </c>
      <c r="F2" s="288">
        <v>0</v>
      </c>
      <c r="G2" s="288">
        <v>26475</v>
      </c>
      <c r="H2" t="s">
        <v>655</v>
      </c>
      <c r="I2">
        <v>5711.60009765625</v>
      </c>
      <c r="J2">
        <v>1</v>
      </c>
      <c r="K2">
        <v>1</v>
      </c>
      <c r="L2">
        <v>0</v>
      </c>
      <c r="M2">
        <v>41360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3521</v>
      </c>
      <c r="U2">
        <v>20</v>
      </c>
      <c r="V2">
        <v>522.4000244140625</v>
      </c>
      <c r="W2">
        <v>0</v>
      </c>
      <c r="X2">
        <v>2054</v>
      </c>
      <c r="Z2" t="s">
        <v>766</v>
      </c>
      <c r="AA2" t="s">
        <v>655</v>
      </c>
      <c r="AB2" t="s">
        <v>655</v>
      </c>
      <c r="AD2">
        <v>0</v>
      </c>
      <c r="AE2">
        <v>41688</v>
      </c>
      <c r="AF2">
        <v>5313.7001953125</v>
      </c>
      <c r="AG2" t="s">
        <v>655</v>
      </c>
      <c r="AJ2">
        <v>0</v>
      </c>
      <c r="AK2" t="s">
        <v>38</v>
      </c>
      <c r="AL2" t="s">
        <v>655</v>
      </c>
      <c r="AM2" t="s">
        <v>655</v>
      </c>
      <c r="AN2">
        <v>500</v>
      </c>
      <c r="AO2">
        <v>1</v>
      </c>
      <c r="AP2">
        <v>41705.563092974538</v>
      </c>
      <c r="AQ2" t="s">
        <v>78</v>
      </c>
      <c r="AR2" t="b">
        <v>0</v>
      </c>
      <c r="AS2" t="b">
        <v>1</v>
      </c>
      <c r="AT2">
        <v>0</v>
      </c>
      <c r="AU2">
        <v>0</v>
      </c>
    </row>
    <row r="3" spans="1:47">
      <c r="A3" t="s">
        <v>750</v>
      </c>
      <c r="B3" t="s">
        <v>25</v>
      </c>
      <c r="C3" t="s">
        <v>751</v>
      </c>
      <c r="D3" t="s">
        <v>765</v>
      </c>
      <c r="E3" t="b">
        <v>0</v>
      </c>
      <c r="F3" s="288">
        <v>0</v>
      </c>
      <c r="G3" s="288">
        <v>18916</v>
      </c>
      <c r="H3" t="s">
        <v>655</v>
      </c>
      <c r="I3">
        <v>4146.10009765625</v>
      </c>
      <c r="J3">
        <v>1</v>
      </c>
      <c r="K3">
        <v>1</v>
      </c>
      <c r="L3">
        <v>0</v>
      </c>
      <c r="M3">
        <v>40043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2228</v>
      </c>
      <c r="U3">
        <v>29</v>
      </c>
      <c r="V3">
        <v>346.79998779296875</v>
      </c>
      <c r="W3">
        <v>5.6999998092651367</v>
      </c>
      <c r="X3">
        <v>1342</v>
      </c>
      <c r="Z3" t="s">
        <v>766</v>
      </c>
      <c r="AA3" t="s">
        <v>655</v>
      </c>
      <c r="AB3" t="s">
        <v>655</v>
      </c>
      <c r="AD3">
        <v>0</v>
      </c>
      <c r="AE3">
        <v>41682</v>
      </c>
      <c r="AF3">
        <v>3972.89990234375</v>
      </c>
      <c r="AG3" t="s">
        <v>655</v>
      </c>
      <c r="AJ3">
        <v>0</v>
      </c>
      <c r="AK3" t="s">
        <v>77</v>
      </c>
      <c r="AL3" t="s">
        <v>77</v>
      </c>
      <c r="AM3" t="s">
        <v>655</v>
      </c>
      <c r="AN3">
        <v>500</v>
      </c>
      <c r="AO3">
        <v>1</v>
      </c>
      <c r="AP3">
        <v>41705.565212581016</v>
      </c>
      <c r="AQ3" t="s">
        <v>78</v>
      </c>
      <c r="AR3" t="b">
        <v>0</v>
      </c>
      <c r="AS3" t="b">
        <v>1</v>
      </c>
      <c r="AT3">
        <v>0</v>
      </c>
      <c r="AU3">
        <v>0</v>
      </c>
    </row>
    <row r="4" spans="1:47">
      <c r="A4" t="s">
        <v>752</v>
      </c>
      <c r="B4" t="s">
        <v>25</v>
      </c>
      <c r="C4" t="s">
        <v>753</v>
      </c>
      <c r="D4" t="s">
        <v>765</v>
      </c>
      <c r="E4" t="b">
        <v>0</v>
      </c>
      <c r="F4" s="288">
        <v>5725</v>
      </c>
      <c r="G4" s="288">
        <v>7331</v>
      </c>
      <c r="H4" t="s">
        <v>655</v>
      </c>
      <c r="I4">
        <v>5078.7001953125</v>
      </c>
      <c r="J4">
        <v>1</v>
      </c>
      <c r="K4">
        <v>1</v>
      </c>
      <c r="L4">
        <v>0</v>
      </c>
      <c r="M4">
        <v>39924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1374</v>
      </c>
      <c r="U4">
        <v>12</v>
      </c>
      <c r="V4">
        <v>3369.89990234375</v>
      </c>
      <c r="W4">
        <v>1.7999999523162842</v>
      </c>
      <c r="X4">
        <v>1640</v>
      </c>
      <c r="Z4" t="s">
        <v>766</v>
      </c>
      <c r="AA4" t="s">
        <v>655</v>
      </c>
      <c r="AB4" t="s">
        <v>655</v>
      </c>
      <c r="AD4">
        <v>0</v>
      </c>
      <c r="AE4">
        <v>41688</v>
      </c>
      <c r="AF4">
        <v>4733.5</v>
      </c>
      <c r="AG4" t="s">
        <v>655</v>
      </c>
      <c r="AJ4">
        <v>0</v>
      </c>
      <c r="AK4" t="s">
        <v>77</v>
      </c>
      <c r="AL4" t="s">
        <v>655</v>
      </c>
      <c r="AM4" t="s">
        <v>655</v>
      </c>
      <c r="AN4">
        <v>500</v>
      </c>
      <c r="AO4">
        <v>1</v>
      </c>
      <c r="AP4">
        <v>41705.571686226853</v>
      </c>
      <c r="AQ4" t="s">
        <v>78</v>
      </c>
      <c r="AR4" t="b">
        <v>0</v>
      </c>
      <c r="AS4" t="b">
        <v>1</v>
      </c>
      <c r="AT4">
        <v>0</v>
      </c>
      <c r="AU4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T56"/>
  <sheetViews>
    <sheetView workbookViewId="0">
      <selection activeCell="B11" sqref="B11"/>
    </sheetView>
  </sheetViews>
  <sheetFormatPr defaultRowHeight="12.75"/>
  <cols>
    <col min="1" max="1" width="9.140625" style="98"/>
    <col min="2" max="2" width="9.5703125" bestFit="1" customWidth="1"/>
    <col min="3" max="3" width="9.7109375" style="96" bestFit="1" customWidth="1"/>
    <col min="4" max="4" width="11.28515625" style="96" customWidth="1"/>
    <col min="5" max="5" width="9.5703125" style="96" customWidth="1"/>
    <col min="6" max="6" width="9.140625" style="96"/>
    <col min="9" max="9" width="9.140625" style="87"/>
    <col min="11" max="11" width="9.140625" style="87"/>
    <col min="18" max="20" width="9.140625" style="82"/>
  </cols>
  <sheetData>
    <row r="1" spans="1:20">
      <c r="D1" s="190"/>
    </row>
    <row r="2" spans="1:20">
      <c r="E2" s="135"/>
      <c r="G2" s="98">
        <v>50</v>
      </c>
      <c r="I2" s="98">
        <v>55</v>
      </c>
      <c r="J2" s="98"/>
      <c r="K2" s="98">
        <v>60</v>
      </c>
    </row>
    <row r="3" spans="1:20">
      <c r="A3" s="176">
        <v>25</v>
      </c>
      <c r="B3" s="99" t="str">
        <f>CONCATENATE("B"," ",RIGHT(STATUS!A50,3))</f>
        <v xml:space="preserve">B </v>
      </c>
      <c r="C3" s="100" t="e">
        <f>STATUS!J50</f>
        <v>#REF!</v>
      </c>
      <c r="D3" s="190"/>
      <c r="E3" s="136"/>
      <c r="F3" s="100"/>
      <c r="G3" s="92">
        <v>500</v>
      </c>
      <c r="H3" s="91"/>
      <c r="I3" s="92">
        <v>500</v>
      </c>
      <c r="J3" s="92"/>
      <c r="K3" s="92">
        <v>500</v>
      </c>
      <c r="L3" s="93"/>
      <c r="M3" s="93"/>
      <c r="N3" s="93"/>
      <c r="O3" s="94"/>
      <c r="P3" s="93"/>
    </row>
    <row r="4" spans="1:20">
      <c r="A4" s="176">
        <v>24</v>
      </c>
      <c r="B4" s="99" t="str">
        <f>CONCATENATE("C"," ",RIGHT(STATUS!A72,3))</f>
        <v xml:space="preserve">C </v>
      </c>
      <c r="C4" s="100" t="e">
        <f>STATUS!J72</f>
        <v>#REF!</v>
      </c>
      <c r="D4" s="190"/>
      <c r="E4" s="136"/>
      <c r="F4" s="100"/>
      <c r="G4" s="92">
        <f t="shared" ref="G4:G25" si="0">G3-21.7</f>
        <v>478.3</v>
      </c>
      <c r="H4" s="91"/>
      <c r="I4" s="92">
        <v>483.2</v>
      </c>
      <c r="J4" s="92"/>
      <c r="K4" s="92">
        <v>488.09999999999997</v>
      </c>
      <c r="L4" s="93"/>
      <c r="M4" s="93"/>
      <c r="N4" s="93"/>
      <c r="O4" s="94"/>
      <c r="P4" s="83" t="s">
        <v>4</v>
      </c>
      <c r="Q4" s="83" t="s">
        <v>630</v>
      </c>
    </row>
    <row r="5" spans="1:20">
      <c r="A5" s="176">
        <v>23</v>
      </c>
      <c r="B5" s="99" t="str">
        <f>CONCATENATE("A"," ",RIGHT(STATUS!A28,3))</f>
        <v xml:space="preserve">A </v>
      </c>
      <c r="C5" s="100" t="e">
        <f>STATUS!J28</f>
        <v>#REF!</v>
      </c>
      <c r="D5" s="190" t="e">
        <f t="shared" ref="D5:D26" si="1">C5-G5</f>
        <v>#REF!</v>
      </c>
      <c r="E5" s="136"/>
      <c r="F5" s="100"/>
      <c r="G5" s="92">
        <f t="shared" si="0"/>
        <v>456.6</v>
      </c>
      <c r="H5" s="91"/>
      <c r="I5" s="92">
        <v>466.40000000000003</v>
      </c>
      <c r="J5" s="92"/>
      <c r="K5" s="92">
        <v>476.20000000000005</v>
      </c>
      <c r="L5" s="93"/>
      <c r="M5" s="93"/>
      <c r="N5" s="93"/>
      <c r="O5" s="94"/>
      <c r="P5" s="85" t="s">
        <v>1</v>
      </c>
      <c r="Q5" s="84" t="s">
        <v>5</v>
      </c>
    </row>
    <row r="6" spans="1:20">
      <c r="A6" s="176">
        <v>22</v>
      </c>
      <c r="B6" s="99" t="s">
        <v>27</v>
      </c>
      <c r="C6" s="100" t="e">
        <f>STATUS!J44</f>
        <v>#REF!</v>
      </c>
      <c r="D6" s="190" t="e">
        <f t="shared" si="1"/>
        <v>#REF!</v>
      </c>
      <c r="E6" s="136"/>
      <c r="F6" s="100"/>
      <c r="G6" s="92">
        <f t="shared" si="0"/>
        <v>434.90000000000003</v>
      </c>
      <c r="H6" s="91"/>
      <c r="I6" s="92">
        <v>449.6</v>
      </c>
      <c r="J6" s="92"/>
      <c r="K6" s="92">
        <v>464.3</v>
      </c>
      <c r="L6" s="93"/>
      <c r="M6" s="93"/>
      <c r="N6" s="93"/>
      <c r="O6" s="94"/>
      <c r="P6" s="83" t="s">
        <v>0</v>
      </c>
      <c r="Q6" s="84"/>
    </row>
    <row r="7" spans="1:20">
      <c r="A7" s="176">
        <v>21</v>
      </c>
      <c r="B7" s="99" t="s">
        <v>29</v>
      </c>
      <c r="C7" s="100" t="e">
        <f>STATUS!J63</f>
        <v>#REF!</v>
      </c>
      <c r="D7" s="190" t="e">
        <f t="shared" si="1"/>
        <v>#REF!</v>
      </c>
      <c r="E7" s="136"/>
      <c r="F7" s="100"/>
      <c r="G7" s="92">
        <f t="shared" si="0"/>
        <v>413.20000000000005</v>
      </c>
      <c r="H7" s="91"/>
      <c r="I7" s="92">
        <v>432.80000000000007</v>
      </c>
      <c r="J7" s="92"/>
      <c r="K7" s="92">
        <v>452.40000000000009</v>
      </c>
      <c r="L7" s="93"/>
      <c r="M7" s="93"/>
      <c r="N7" s="93"/>
      <c r="O7" s="94"/>
      <c r="P7" s="83" t="s">
        <v>2</v>
      </c>
      <c r="Q7" s="86"/>
    </row>
    <row r="8" spans="1:20">
      <c r="A8" s="176">
        <v>20</v>
      </c>
      <c r="B8" s="99" t="str">
        <f>CONCATENATE("A"," ",RIGHT(STATUS!A13,3))</f>
        <v>A 141</v>
      </c>
      <c r="C8" s="100">
        <f>STATUS!J13</f>
        <v>345.2001967592596</v>
      </c>
      <c r="D8" s="190">
        <f t="shared" si="1"/>
        <v>-46.299803240740459</v>
      </c>
      <c r="E8" s="136"/>
      <c r="F8" s="100"/>
      <c r="G8" s="92">
        <f t="shared" si="0"/>
        <v>391.50000000000006</v>
      </c>
      <c r="H8" s="91"/>
      <c r="I8" s="92">
        <v>416.00000000000006</v>
      </c>
      <c r="J8" s="92"/>
      <c r="K8" s="92">
        <v>440.50000000000006</v>
      </c>
      <c r="L8" s="93"/>
      <c r="M8" s="93"/>
      <c r="N8" s="93"/>
      <c r="O8" s="94"/>
      <c r="P8" s="83" t="s">
        <v>3</v>
      </c>
    </row>
    <row r="9" spans="1:20">
      <c r="A9" s="176">
        <v>19</v>
      </c>
      <c r="B9" s="99" t="str">
        <f>CONCATENATE("B"," ",RIGHT(STATUS!A35,3))</f>
        <v xml:space="preserve">B </v>
      </c>
      <c r="C9" s="100" t="e">
        <f>STATUS!J35</f>
        <v>#REF!</v>
      </c>
      <c r="D9" s="190" t="e">
        <f t="shared" si="1"/>
        <v>#REF!</v>
      </c>
      <c r="E9" s="136"/>
      <c r="F9" s="100"/>
      <c r="G9" s="92">
        <f t="shared" si="0"/>
        <v>369.80000000000007</v>
      </c>
      <c r="H9" s="91"/>
      <c r="I9" s="92">
        <v>399.20000000000005</v>
      </c>
      <c r="J9" s="92"/>
      <c r="K9" s="92">
        <v>428.6</v>
      </c>
      <c r="L9" s="93"/>
      <c r="M9" s="93"/>
      <c r="N9" s="93"/>
      <c r="O9" s="94"/>
      <c r="P9" s="83"/>
    </row>
    <row r="10" spans="1:20">
      <c r="A10" s="176">
        <v>18</v>
      </c>
      <c r="B10" s="99" t="str">
        <f>CONCATENATE("C"," ",RIGHT(STATUS!A57,3))</f>
        <v xml:space="preserve">C </v>
      </c>
      <c r="C10" s="100" t="e">
        <f>STATUS!J57</f>
        <v>#REF!</v>
      </c>
      <c r="D10" s="190" t="e">
        <f t="shared" si="1"/>
        <v>#REF!</v>
      </c>
      <c r="E10" s="136"/>
      <c r="F10" s="100"/>
      <c r="G10" s="92">
        <f t="shared" si="0"/>
        <v>348.10000000000008</v>
      </c>
      <c r="H10" s="91"/>
      <c r="I10" s="92">
        <v>382.40000000000009</v>
      </c>
      <c r="J10" s="92"/>
      <c r="K10" s="92">
        <v>416.7000000000001</v>
      </c>
      <c r="L10" s="93"/>
      <c r="M10" s="93"/>
      <c r="N10" s="93"/>
      <c r="O10" s="94"/>
      <c r="P10" s="83"/>
      <c r="R10" s="82" t="s">
        <v>26</v>
      </c>
      <c r="S10" s="82" t="s">
        <v>635</v>
      </c>
      <c r="T10" s="82" t="s">
        <v>629</v>
      </c>
    </row>
    <row r="11" spans="1:20">
      <c r="A11" s="176">
        <v>17</v>
      </c>
      <c r="B11" s="99" t="str">
        <f>CONCATENATE("A"," ",RIGHT(STATUS!A25,3))</f>
        <v>A 008</v>
      </c>
      <c r="C11" s="100" t="e">
        <f>STATUS!J25</f>
        <v>#REF!</v>
      </c>
      <c r="D11" s="190" t="e">
        <f t="shared" si="1"/>
        <v>#REF!</v>
      </c>
      <c r="E11" s="136"/>
      <c r="F11" s="100"/>
      <c r="G11" s="92">
        <f t="shared" si="0"/>
        <v>326.40000000000009</v>
      </c>
      <c r="H11" s="91"/>
      <c r="I11" s="92">
        <v>365.60000000000008</v>
      </c>
      <c r="J11" s="92"/>
      <c r="K11" s="92">
        <v>404.80000000000007</v>
      </c>
      <c r="L11" s="93"/>
      <c r="M11" s="93"/>
      <c r="N11" s="93"/>
      <c r="O11" s="94"/>
      <c r="P11" s="93"/>
      <c r="R11" s="82">
        <v>5778.6</v>
      </c>
    </row>
    <row r="12" spans="1:20">
      <c r="A12" s="176">
        <v>16</v>
      </c>
      <c r="B12" s="99" t="str">
        <f>CONCATENATE("B"," ",RIGHT(STATUS!A38,3))</f>
        <v xml:space="preserve">B </v>
      </c>
      <c r="C12" s="100" t="e">
        <f>STATUS!J38</f>
        <v>#REF!</v>
      </c>
      <c r="D12" s="190" t="e">
        <f t="shared" si="1"/>
        <v>#REF!</v>
      </c>
      <c r="E12" s="136"/>
      <c r="F12" s="100"/>
      <c r="G12" s="92">
        <f t="shared" si="0"/>
        <v>304.7000000000001</v>
      </c>
      <c r="H12" s="91"/>
      <c r="I12" s="92">
        <v>348.80000000000007</v>
      </c>
      <c r="J12" s="92"/>
      <c r="K12" s="92">
        <v>392.90000000000009</v>
      </c>
      <c r="L12" s="93"/>
      <c r="M12" s="93"/>
      <c r="N12" s="93"/>
      <c r="O12" s="94"/>
      <c r="P12" s="93"/>
      <c r="R12" s="82">
        <v>4140.2</v>
      </c>
    </row>
    <row r="13" spans="1:20">
      <c r="A13" s="176">
        <v>15</v>
      </c>
      <c r="B13" s="99" t="str">
        <f>CONCATENATE("C"," ",RIGHT(STATUS!A66,3))</f>
        <v xml:space="preserve">C </v>
      </c>
      <c r="C13" s="100" t="e">
        <f>STATUS!J66</f>
        <v>#REF!</v>
      </c>
      <c r="D13" s="190" t="e">
        <f t="shared" si="1"/>
        <v>#REF!</v>
      </c>
      <c r="E13" s="136"/>
      <c r="F13" s="100"/>
      <c r="G13" s="92">
        <f t="shared" si="0"/>
        <v>283.00000000000011</v>
      </c>
      <c r="H13" s="91"/>
      <c r="I13" s="92">
        <v>332.00000000000011</v>
      </c>
      <c r="J13" s="92"/>
      <c r="K13" s="92">
        <v>381.00000000000011</v>
      </c>
      <c r="L13" s="93"/>
      <c r="M13" s="93"/>
      <c r="N13" s="93"/>
      <c r="O13" s="94"/>
      <c r="P13" s="93"/>
      <c r="R13" s="82">
        <v>5951.6</v>
      </c>
    </row>
    <row r="14" spans="1:20">
      <c r="A14" s="176">
        <v>14</v>
      </c>
      <c r="B14" s="99" t="str">
        <f>CONCATENATE("A"," ",RIGHT(STATUS!A16,3))</f>
        <v>A 055</v>
      </c>
      <c r="C14" s="100" t="e">
        <f>STATUS!J16</f>
        <v>#REF!</v>
      </c>
      <c r="D14" s="190" t="e">
        <f t="shared" si="1"/>
        <v>#REF!</v>
      </c>
      <c r="E14" s="136"/>
      <c r="F14" s="100"/>
      <c r="G14" s="92">
        <f t="shared" si="0"/>
        <v>261.30000000000013</v>
      </c>
      <c r="H14" s="91"/>
      <c r="I14" s="92">
        <v>315.2000000000001</v>
      </c>
      <c r="J14" s="92"/>
      <c r="K14" s="92">
        <v>369.10000000000008</v>
      </c>
      <c r="L14" s="93"/>
      <c r="M14" s="93"/>
      <c r="N14" s="93"/>
      <c r="O14" s="114"/>
      <c r="P14" s="115"/>
      <c r="Q14" s="101"/>
      <c r="R14" s="82">
        <v>6079.6</v>
      </c>
    </row>
    <row r="15" spans="1:20">
      <c r="A15" s="176">
        <v>13</v>
      </c>
      <c r="B15" s="99" t="str">
        <f>CONCATENATE("B"," ",RIGHT(STATUS!A32,3))</f>
        <v xml:space="preserve">B </v>
      </c>
      <c r="C15" s="100" t="e">
        <f>STATUS!J32</f>
        <v>#REF!</v>
      </c>
      <c r="D15" s="190" t="e">
        <f t="shared" si="1"/>
        <v>#REF!</v>
      </c>
      <c r="E15" s="136"/>
      <c r="F15" s="100"/>
      <c r="G15" s="92">
        <f t="shared" si="0"/>
        <v>239.60000000000014</v>
      </c>
      <c r="H15" s="91"/>
      <c r="I15" s="92">
        <v>293.50000000000011</v>
      </c>
      <c r="J15" s="92"/>
      <c r="K15" s="92">
        <v>347.40000000000009</v>
      </c>
      <c r="L15" s="93"/>
      <c r="M15" s="93"/>
      <c r="N15" s="93"/>
      <c r="O15" s="114"/>
      <c r="P15" s="115" t="s">
        <v>636</v>
      </c>
      <c r="Q15" s="101"/>
      <c r="R15" s="82">
        <v>5785.9</v>
      </c>
    </row>
    <row r="16" spans="1:20">
      <c r="A16" s="176">
        <v>12</v>
      </c>
      <c r="B16" s="99" t="str">
        <f>CONCATENATE("C"," ",RIGHT(STATUS!A60,3))</f>
        <v xml:space="preserve">C </v>
      </c>
      <c r="C16" s="100" t="e">
        <f>STATUS!J60</f>
        <v>#REF!</v>
      </c>
      <c r="D16" s="190" t="e">
        <f t="shared" si="1"/>
        <v>#REF!</v>
      </c>
      <c r="E16" s="136"/>
      <c r="F16" s="100"/>
      <c r="G16" s="92">
        <f t="shared" si="0"/>
        <v>217.90000000000015</v>
      </c>
      <c r="H16" s="91"/>
      <c r="I16" s="92">
        <v>266.90000000000015</v>
      </c>
      <c r="J16" s="92"/>
      <c r="K16" s="92">
        <v>315.90000000000015</v>
      </c>
      <c r="L16" s="93"/>
      <c r="M16" s="93"/>
      <c r="N16" s="93" t="s">
        <v>26</v>
      </c>
      <c r="O16" s="114" t="e">
        <f>SUM(STATUS!E7,STATUS!E10,STATUS!E13,STATUS!E16,STATUS!E19,STATUS!E22,STATUS!E25,STATUS!E28)</f>
        <v>#REF!</v>
      </c>
      <c r="P16" s="116">
        <v>45047.100000000006</v>
      </c>
      <c r="Q16" s="101"/>
      <c r="R16" s="82">
        <v>33</v>
      </c>
    </row>
    <row r="17" spans="1:18">
      <c r="A17" s="176">
        <v>11</v>
      </c>
      <c r="B17" s="99" t="str">
        <f>CONCATENATE("A"," ",RIGHT(STATUS!A7,3))</f>
        <v>A 187</v>
      </c>
      <c r="C17" s="100">
        <f>STATUS!J7</f>
        <v>396.90009259259296</v>
      </c>
      <c r="D17" s="190">
        <f t="shared" si="1"/>
        <v>200.7000925925928</v>
      </c>
      <c r="E17" s="136"/>
      <c r="F17" s="100"/>
      <c r="G17" s="92">
        <f t="shared" si="0"/>
        <v>196.20000000000016</v>
      </c>
      <c r="H17" s="91"/>
      <c r="I17" s="92">
        <v>240.30000000000015</v>
      </c>
      <c r="J17" s="92"/>
      <c r="K17" s="92">
        <v>284.40000000000015</v>
      </c>
      <c r="L17" s="93"/>
      <c r="M17" s="93"/>
      <c r="N17" s="93" t="s">
        <v>635</v>
      </c>
      <c r="O17" s="114" t="e">
        <f>SUM(STATUS!E32,STATUS!E35,STATUS!E38,STATUS!E41,STATUS!E44,STATUS!E47,STATUS!E50,STATUS!E53)</f>
        <v>#REF!</v>
      </c>
      <c r="P17" s="116">
        <v>37085.000000000007</v>
      </c>
      <c r="Q17" s="101"/>
      <c r="R17" s="82">
        <v>2</v>
      </c>
    </row>
    <row r="18" spans="1:18">
      <c r="A18" s="176">
        <v>10</v>
      </c>
      <c r="B18" s="99" t="str">
        <f>CONCATENATE("B"," ",RIGHT(STATUS!A53,3))</f>
        <v xml:space="preserve">B </v>
      </c>
      <c r="C18" s="100" t="e">
        <f>STATUS!J53</f>
        <v>#REF!</v>
      </c>
      <c r="D18" s="190" t="e">
        <f t="shared" si="1"/>
        <v>#REF!</v>
      </c>
      <c r="E18" s="136"/>
      <c r="F18" s="100"/>
      <c r="G18" s="92">
        <f t="shared" si="0"/>
        <v>174.50000000000017</v>
      </c>
      <c r="H18" s="91"/>
      <c r="I18" s="92">
        <v>213.70000000000016</v>
      </c>
      <c r="J18" s="92"/>
      <c r="K18" s="92">
        <v>252.90000000000015</v>
      </c>
      <c r="L18" s="93"/>
      <c r="M18" s="93"/>
      <c r="N18" s="93" t="s">
        <v>629</v>
      </c>
      <c r="O18" s="114" t="e">
        <f>SUM(STATUS!E57,STATUS!E60,STATUS!E63,STATUS!E66,STATUS!E69,STATUS!E72,STATUS!E75,STATUS!E78)</f>
        <v>#REF!</v>
      </c>
      <c r="P18" s="116">
        <v>44731.600000000006</v>
      </c>
      <c r="Q18" s="101"/>
      <c r="R18" s="82">
        <v>1</v>
      </c>
    </row>
    <row r="19" spans="1:18">
      <c r="A19" s="176">
        <v>9</v>
      </c>
      <c r="B19" s="99" t="str">
        <f>CONCATENATE("C"," ",RIGHT(STATUS!A75,3))</f>
        <v xml:space="preserve">C </v>
      </c>
      <c r="C19" s="100" t="e">
        <f>STATUS!J75</f>
        <v>#REF!</v>
      </c>
      <c r="D19" s="190" t="e">
        <f t="shared" si="1"/>
        <v>#REF!</v>
      </c>
      <c r="E19" s="136"/>
      <c r="F19" s="100"/>
      <c r="G19" s="92">
        <f t="shared" si="0"/>
        <v>152.80000000000018</v>
      </c>
      <c r="I19" s="92">
        <v>187.10000000000019</v>
      </c>
      <c r="J19" s="92"/>
      <c r="K19" s="92">
        <v>221.4000000000002</v>
      </c>
      <c r="N19" s="87"/>
      <c r="O19" s="101"/>
      <c r="P19" s="101"/>
      <c r="Q19" s="101"/>
    </row>
    <row r="20" spans="1:18">
      <c r="A20" s="176">
        <v>8</v>
      </c>
      <c r="B20" s="99" t="str">
        <f>CONCATENATE("A"," ",RIGHT(STATUS!A19,3))</f>
        <v>A 168</v>
      </c>
      <c r="C20" s="100" t="e">
        <f>STATUS!J19</f>
        <v>#REF!</v>
      </c>
      <c r="D20" s="190" t="e">
        <f t="shared" si="1"/>
        <v>#REF!</v>
      </c>
      <c r="E20" s="136"/>
      <c r="F20" s="100"/>
      <c r="G20" s="92">
        <f t="shared" si="0"/>
        <v>131.10000000000019</v>
      </c>
      <c r="I20" s="92">
        <v>160.5000000000002</v>
      </c>
      <c r="J20" s="92"/>
      <c r="K20" s="92">
        <v>189.9000000000002</v>
      </c>
      <c r="N20" s="82"/>
      <c r="O20" s="101"/>
      <c r="P20" s="101"/>
      <c r="Q20" s="101"/>
    </row>
    <row r="21" spans="1:18">
      <c r="A21" s="176">
        <v>7</v>
      </c>
      <c r="B21" s="99" t="str">
        <f>CONCATENATE("B"," ",RIGHT(STATUS!A41,3))</f>
        <v xml:space="preserve">B </v>
      </c>
      <c r="C21" s="100" t="e">
        <f>STATUS!J41</f>
        <v>#REF!</v>
      </c>
      <c r="D21" s="190" t="e">
        <f t="shared" si="1"/>
        <v>#REF!</v>
      </c>
      <c r="E21" s="136"/>
      <c r="F21" s="100"/>
      <c r="G21" s="92">
        <f t="shared" si="0"/>
        <v>109.40000000000019</v>
      </c>
      <c r="I21" s="92">
        <v>133.9000000000002</v>
      </c>
      <c r="J21" s="92"/>
      <c r="K21" s="92">
        <v>158.4000000000002</v>
      </c>
    </row>
    <row r="22" spans="1:18">
      <c r="A22" s="176">
        <v>6</v>
      </c>
      <c r="B22" s="99" t="str">
        <f>CONCATENATE("C"," ",RIGHT(STATUS!A69,3))</f>
        <v xml:space="preserve">C </v>
      </c>
      <c r="C22" s="100" t="e">
        <f>STATUS!J69</f>
        <v>#REF!</v>
      </c>
      <c r="D22" s="190" t="e">
        <f t="shared" si="1"/>
        <v>#REF!</v>
      </c>
      <c r="E22" s="136"/>
      <c r="F22" s="100"/>
      <c r="G22" s="92">
        <f t="shared" si="0"/>
        <v>87.700000000000188</v>
      </c>
      <c r="I22" s="92">
        <v>107.30000000000018</v>
      </c>
      <c r="J22" s="92"/>
      <c r="K22" s="92">
        <v>126.90000000000018</v>
      </c>
    </row>
    <row r="23" spans="1:18">
      <c r="A23" s="176">
        <v>5</v>
      </c>
      <c r="B23" s="99" t="str">
        <f>CONCATENATE("A"," ",RIGHT(STATUS!A10,3))</f>
        <v>A 119</v>
      </c>
      <c r="C23" s="100">
        <f>STATUS!J10</f>
        <v>172.20009259259268</v>
      </c>
      <c r="D23" s="190">
        <f t="shared" si="1"/>
        <v>106.2000925925925</v>
      </c>
      <c r="E23" s="136"/>
      <c r="F23" s="100"/>
      <c r="G23" s="92">
        <f t="shared" si="0"/>
        <v>66.000000000000185</v>
      </c>
      <c r="H23" s="91"/>
      <c r="I23" s="92">
        <v>80.700000000000188</v>
      </c>
      <c r="J23" s="92"/>
      <c r="K23" s="92">
        <v>95.40000000000019</v>
      </c>
    </row>
    <row r="24" spans="1:18">
      <c r="A24" s="176">
        <v>4</v>
      </c>
      <c r="B24" s="99" t="str">
        <f>CONCATENATE("B"," ",RIGHT(STATUS!A47,3))</f>
        <v xml:space="preserve">B </v>
      </c>
      <c r="C24" s="100" t="e">
        <f>STATUS!J47</f>
        <v>#REF!</v>
      </c>
      <c r="D24" s="190" t="e">
        <f t="shared" si="1"/>
        <v>#REF!</v>
      </c>
      <c r="E24" s="136"/>
      <c r="F24" s="100"/>
      <c r="G24" s="92">
        <f t="shared" si="0"/>
        <v>44.300000000000182</v>
      </c>
      <c r="H24" s="91"/>
      <c r="I24" s="92">
        <v>54.100000000000179</v>
      </c>
      <c r="J24" s="92"/>
      <c r="K24" s="92">
        <v>63.900000000000176</v>
      </c>
      <c r="N24">
        <v>6896.2</v>
      </c>
      <c r="O24">
        <v>5783.7</v>
      </c>
      <c r="P24">
        <v>5345.8</v>
      </c>
    </row>
    <row r="25" spans="1:18">
      <c r="A25" s="134">
        <v>3</v>
      </c>
      <c r="B25" s="99" t="str">
        <f>CONCATENATE("C"," ",RIGHT(STATUS!A78,3))</f>
        <v xml:space="preserve">C </v>
      </c>
      <c r="C25" s="96" t="e">
        <f>STATUS!J78</f>
        <v>#REF!</v>
      </c>
      <c r="D25" s="190" t="e">
        <f t="shared" si="1"/>
        <v>#REF!</v>
      </c>
      <c r="E25" s="136"/>
      <c r="F25" s="100"/>
      <c r="G25" s="92">
        <f t="shared" si="0"/>
        <v>22.600000000000183</v>
      </c>
      <c r="H25" s="91"/>
      <c r="I25" s="92">
        <v>27.500000000000185</v>
      </c>
      <c r="J25" s="92"/>
      <c r="K25" s="92">
        <v>32.400000000000183</v>
      </c>
      <c r="N25">
        <v>6685.2</v>
      </c>
      <c r="O25">
        <v>533.70000000000005</v>
      </c>
      <c r="P25">
        <v>6610.1</v>
      </c>
    </row>
    <row r="26" spans="1:18">
      <c r="A26" s="98">
        <v>2</v>
      </c>
      <c r="B26" s="99" t="str">
        <f>CONCATENATE("A"," ",RIGHT(STATUS!A22,3))</f>
        <v>A 167</v>
      </c>
      <c r="C26" s="100" t="e">
        <f>STATUS!J22</f>
        <v>#REF!</v>
      </c>
      <c r="D26" s="190" t="e">
        <f t="shared" si="1"/>
        <v>#REF!</v>
      </c>
      <c r="E26" s="136"/>
      <c r="F26" s="100"/>
      <c r="G26" s="92">
        <v>0</v>
      </c>
      <c r="H26" s="91"/>
      <c r="I26" s="92">
        <v>0</v>
      </c>
      <c r="J26" s="92"/>
      <c r="K26" s="92">
        <v>0</v>
      </c>
      <c r="N26">
        <v>5799.9</v>
      </c>
      <c r="O26">
        <v>7021.9</v>
      </c>
      <c r="P26">
        <v>6850.6</v>
      </c>
    </row>
    <row r="27" spans="1:18">
      <c r="E27" s="135"/>
      <c r="G27" s="97"/>
      <c r="H27" s="97"/>
      <c r="I27" s="98"/>
      <c r="J27" s="97"/>
      <c r="K27" s="98"/>
      <c r="N27">
        <v>4147</v>
      </c>
      <c r="O27">
        <v>3505.8</v>
      </c>
      <c r="P27">
        <v>6254.4</v>
      </c>
    </row>
    <row r="28" spans="1:18">
      <c r="G28" s="98">
        <f>SUM(G3:G26)</f>
        <v>6009.9000000000033</v>
      </c>
      <c r="H28" s="97"/>
      <c r="I28" s="98">
        <f>SUM(I3:I26)</f>
        <v>6656.7000000000025</v>
      </c>
      <c r="J28" s="97"/>
      <c r="K28" s="98">
        <f>SUM(K3:K26)</f>
        <v>7303.5000000000055</v>
      </c>
      <c r="N28">
        <v>3438.1</v>
      </c>
      <c r="O28">
        <v>5533.6</v>
      </c>
      <c r="P28">
        <v>4372.6000000000004</v>
      </c>
    </row>
    <row r="29" spans="1:18">
      <c r="N29">
        <v>6091.3</v>
      </c>
      <c r="O29">
        <v>4522.7</v>
      </c>
      <c r="P29">
        <v>5860.1</v>
      </c>
    </row>
    <row r="30" spans="1:18">
      <c r="G30" s="98"/>
      <c r="H30" s="98"/>
      <c r="I30" s="98"/>
      <c r="J30" s="98"/>
      <c r="N30">
        <v>5834.6</v>
      </c>
      <c r="O30">
        <v>3363.8</v>
      </c>
      <c r="P30">
        <v>3233.3</v>
      </c>
    </row>
    <row r="31" spans="1:18">
      <c r="G31" s="91"/>
      <c r="H31" s="92"/>
      <c r="I31" s="92"/>
      <c r="J31" s="92"/>
      <c r="N31">
        <v>5979.1</v>
      </c>
      <c r="O31">
        <v>6714.5</v>
      </c>
      <c r="P31">
        <v>6073.8</v>
      </c>
    </row>
    <row r="32" spans="1:18">
      <c r="B32" s="127">
        <f ca="1">DATE(C33,B33,16)</f>
        <v>41714</v>
      </c>
      <c r="C32" s="145">
        <f ca="1">TODAY()</f>
        <v>41706</v>
      </c>
      <c r="D32" s="96" t="e">
        <f>SUM(#REF!)</f>
        <v>#REF!</v>
      </c>
      <c r="E32" s="146" t="e">
        <f>D32/D33</f>
        <v>#REF!</v>
      </c>
      <c r="G32" s="91"/>
      <c r="H32" s="92"/>
      <c r="I32" s="92"/>
      <c r="J32" s="92"/>
      <c r="N32">
        <f>SUM(N24:N31)</f>
        <v>44871.399999999994</v>
      </c>
      <c r="O32" s="110">
        <f>SUM(O24:O31)</f>
        <v>36979.699999999997</v>
      </c>
      <c r="P32" s="110">
        <f>SUM(P24:P31)</f>
        <v>44600.700000000004</v>
      </c>
    </row>
    <row r="33" spans="1:12">
      <c r="B33" s="138">
        <f ca="1">MONTH(TODAY())</f>
        <v>3</v>
      </c>
      <c r="C33" s="144">
        <f ca="1">YEAR(TODAY())</f>
        <v>2014</v>
      </c>
      <c r="D33" s="96" t="e">
        <f>SUM(#REF!)</f>
        <v>#REF!</v>
      </c>
      <c r="G33" s="91"/>
      <c r="H33" s="92"/>
      <c r="I33" s="92"/>
      <c r="J33" s="92"/>
    </row>
    <row r="34" spans="1:12">
      <c r="B34" s="138"/>
      <c r="C34" s="82"/>
      <c r="G34" s="91"/>
      <c r="H34" s="92"/>
      <c r="I34" s="92"/>
      <c r="J34" s="92"/>
    </row>
    <row r="35" spans="1:12">
      <c r="B35" s="143"/>
      <c r="G35" s="91"/>
      <c r="H35" s="92"/>
      <c r="I35" s="92"/>
      <c r="J35" s="92"/>
    </row>
    <row r="36" spans="1:12">
      <c r="G36" s="91"/>
      <c r="H36" s="92"/>
      <c r="I36" s="92"/>
      <c r="J36" s="92"/>
    </row>
    <row r="37" spans="1:12">
      <c r="G37" s="91"/>
      <c r="H37" s="92"/>
      <c r="I37" s="92"/>
      <c r="J37" s="92"/>
    </row>
    <row r="38" spans="1:12">
      <c r="G38" s="91"/>
      <c r="H38" s="92"/>
      <c r="I38" s="92"/>
      <c r="J38" s="92"/>
    </row>
    <row r="39" spans="1:12">
      <c r="G39" s="91"/>
      <c r="H39" s="92"/>
      <c r="I39" s="92"/>
      <c r="J39" s="92"/>
      <c r="L39" s="96"/>
    </row>
    <row r="40" spans="1:12">
      <c r="A40" s="506" t="s">
        <v>589</v>
      </c>
      <c r="B40" s="506"/>
      <c r="C40" s="506" t="s">
        <v>649</v>
      </c>
      <c r="D40" s="506"/>
      <c r="E40" s="506"/>
      <c r="F40" s="506"/>
      <c r="G40" s="101" t="s">
        <v>651</v>
      </c>
      <c r="H40" s="101" t="s">
        <v>652</v>
      </c>
      <c r="I40" s="101" t="s">
        <v>650</v>
      </c>
      <c r="J40" s="92"/>
      <c r="L40" s="96">
        <v>19.7</v>
      </c>
    </row>
    <row r="41" spans="1:12">
      <c r="A41" s="129">
        <v>41502</v>
      </c>
      <c r="B41" s="130">
        <v>0.65486111111111112</v>
      </c>
      <c r="C41" s="129"/>
      <c r="D41" s="129">
        <v>41503</v>
      </c>
      <c r="E41" s="130">
        <v>0.70972222222222225</v>
      </c>
      <c r="F41" s="130"/>
      <c r="G41" s="128">
        <f>SUM(24-(B41*24))</f>
        <v>8.2833333333333332</v>
      </c>
      <c r="H41" s="128">
        <f>E41*24</f>
        <v>17.033333333333335</v>
      </c>
      <c r="I41" s="128">
        <f>(SUM((D41+E41)-(A41+B41)))*24</f>
        <v>25.316666666592937</v>
      </c>
      <c r="J41" s="92"/>
      <c r="L41" s="96">
        <v>24</v>
      </c>
    </row>
    <row r="42" spans="1:12">
      <c r="A42" s="110"/>
      <c r="B42" s="110"/>
      <c r="C42" s="110"/>
      <c r="D42" s="110"/>
      <c r="E42" s="110"/>
      <c r="F42" s="110"/>
      <c r="G42" s="110"/>
      <c r="H42" s="110"/>
      <c r="I42" s="110"/>
      <c r="J42" s="92"/>
      <c r="L42" s="96">
        <v>24</v>
      </c>
    </row>
    <row r="43" spans="1:12">
      <c r="A43" s="110"/>
      <c r="B43" s="110"/>
      <c r="C43" s="110"/>
      <c r="D43" s="110"/>
      <c r="E43" s="110"/>
      <c r="F43" s="110"/>
      <c r="G43" s="110"/>
      <c r="H43" s="110"/>
      <c r="I43" s="110"/>
      <c r="J43" s="92"/>
      <c r="L43" s="96">
        <v>24</v>
      </c>
    </row>
    <row r="44" spans="1:12">
      <c r="A44" s="507" t="s">
        <v>653</v>
      </c>
      <c r="B44" s="507"/>
      <c r="C44" s="507" t="s">
        <v>653</v>
      </c>
      <c r="D44" s="507"/>
      <c r="E44" s="507"/>
      <c r="F44" s="507"/>
      <c r="G44" s="110"/>
      <c r="H44" s="110"/>
      <c r="I44" s="110"/>
      <c r="J44" s="92"/>
      <c r="L44" s="96">
        <v>24</v>
      </c>
    </row>
    <row r="45" spans="1:12">
      <c r="A45" s="129">
        <v>41443</v>
      </c>
      <c r="B45" s="130">
        <v>0.375</v>
      </c>
      <c r="C45" s="129">
        <v>41444</v>
      </c>
      <c r="D45" s="129"/>
      <c r="E45" s="129"/>
      <c r="F45" s="130">
        <v>0.54166666666666663</v>
      </c>
      <c r="G45" s="128">
        <f>SUM(24-(B45*24))</f>
        <v>15</v>
      </c>
      <c r="H45" s="128">
        <f>F45*24</f>
        <v>13</v>
      </c>
      <c r="I45" s="128">
        <f>(SUM((C45+F45)-(A45+B45)))*24</f>
        <v>27.999999999941792</v>
      </c>
      <c r="J45" s="92"/>
      <c r="L45" s="96">
        <v>24</v>
      </c>
    </row>
    <row r="46" spans="1:12">
      <c r="G46" s="91"/>
      <c r="H46" s="92"/>
      <c r="I46" s="92"/>
      <c r="J46" s="92"/>
      <c r="L46" s="96">
        <v>24</v>
      </c>
    </row>
    <row r="47" spans="1:12">
      <c r="G47" s="91"/>
      <c r="H47" s="92"/>
      <c r="I47" s="92"/>
      <c r="J47" s="92"/>
      <c r="L47" s="96">
        <v>24</v>
      </c>
    </row>
    <row r="48" spans="1:12">
      <c r="G48" s="91"/>
      <c r="H48" s="92"/>
      <c r="I48" s="92"/>
      <c r="J48" s="92"/>
      <c r="L48" s="96">
        <v>24</v>
      </c>
    </row>
    <row r="49" spans="7:12">
      <c r="G49" s="91"/>
      <c r="H49" s="92"/>
      <c r="I49" s="92"/>
      <c r="J49" s="92"/>
      <c r="L49" s="96">
        <v>24</v>
      </c>
    </row>
    <row r="50" spans="7:12">
      <c r="G50" s="91"/>
      <c r="H50" s="92"/>
      <c r="I50" s="92"/>
      <c r="J50" s="92"/>
      <c r="L50" s="96">
        <v>48</v>
      </c>
    </row>
    <row r="51" spans="7:12">
      <c r="G51" s="91"/>
      <c r="H51" s="92"/>
      <c r="I51" s="92"/>
      <c r="J51" s="92"/>
      <c r="L51" s="96">
        <f>SUM(L40:L50)</f>
        <v>283.7</v>
      </c>
    </row>
    <row r="52" spans="7:12">
      <c r="G52" s="91"/>
      <c r="H52" s="92"/>
      <c r="I52" s="92"/>
      <c r="J52" s="92"/>
    </row>
    <row r="53" spans="7:12">
      <c r="G53" s="91"/>
      <c r="H53" s="92"/>
      <c r="I53" s="92"/>
      <c r="J53" s="92"/>
    </row>
    <row r="54" spans="7:12">
      <c r="G54" s="91"/>
      <c r="H54" s="92"/>
      <c r="I54" s="92"/>
      <c r="J54" s="92"/>
    </row>
    <row r="55" spans="7:12">
      <c r="G55" s="97"/>
      <c r="H55" s="98"/>
      <c r="I55" s="97"/>
      <c r="J55" s="98"/>
    </row>
    <row r="56" spans="7:12">
      <c r="G56" s="97"/>
      <c r="H56" s="98"/>
      <c r="I56" s="97"/>
      <c r="J56" s="98"/>
    </row>
  </sheetData>
  <sortState ref="A3:D26">
    <sortCondition descending="1" ref="A3"/>
  </sortState>
  <mergeCells count="4">
    <mergeCell ref="A40:B40"/>
    <mergeCell ref="C40:F40"/>
    <mergeCell ref="A44:B44"/>
    <mergeCell ref="C44:F4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dimension ref="A1:G4"/>
  <sheetViews>
    <sheetView workbookViewId="0"/>
  </sheetViews>
  <sheetFormatPr defaultRowHeight="12.75"/>
  <cols>
    <col min="1" max="1" width="11.5703125" bestFit="1" customWidth="1"/>
    <col min="2" max="2" width="17.42578125" bestFit="1" customWidth="1"/>
    <col min="3" max="3" width="16.140625" bestFit="1" customWidth="1"/>
    <col min="4" max="4" width="24.7109375" bestFit="1" customWidth="1"/>
    <col min="5" max="5" width="36.140625" bestFit="1" customWidth="1"/>
    <col min="6" max="6" width="14.28515625" bestFit="1" customWidth="1"/>
    <col min="7" max="7" width="19.140625" bestFit="1" customWidth="1"/>
  </cols>
  <sheetData>
    <row r="1" spans="1:7">
      <c r="A1" s="110" t="s">
        <v>93</v>
      </c>
      <c r="B1" t="s">
        <v>94</v>
      </c>
      <c r="C1" t="s">
        <v>95</v>
      </c>
      <c r="D1" t="s">
        <v>21</v>
      </c>
      <c r="E1" t="s">
        <v>22</v>
      </c>
      <c r="F1" t="s">
        <v>23</v>
      </c>
      <c r="G1" t="s">
        <v>24</v>
      </c>
    </row>
    <row r="2" spans="1:7">
      <c r="A2" t="s">
        <v>748</v>
      </c>
      <c r="B2" t="s">
        <v>1192</v>
      </c>
      <c r="C2" t="b">
        <v>0</v>
      </c>
      <c r="D2">
        <v>41703.639618055553</v>
      </c>
      <c r="E2" t="s">
        <v>766</v>
      </c>
      <c r="F2" t="b">
        <v>0</v>
      </c>
      <c r="G2" t="b">
        <v>0</v>
      </c>
    </row>
    <row r="3" spans="1:7">
      <c r="A3" t="s">
        <v>750</v>
      </c>
      <c r="B3" t="s">
        <v>1193</v>
      </c>
      <c r="C3" t="b">
        <v>0</v>
      </c>
      <c r="D3">
        <v>41703.640092592592</v>
      </c>
      <c r="E3" t="s">
        <v>766</v>
      </c>
      <c r="F3" t="b">
        <v>0</v>
      </c>
      <c r="G3" t="b">
        <v>0</v>
      </c>
    </row>
    <row r="4" spans="1:7">
      <c r="A4" t="s">
        <v>752</v>
      </c>
      <c r="B4" t="s">
        <v>1194</v>
      </c>
      <c r="C4" t="b">
        <v>0</v>
      </c>
      <c r="D4">
        <v>41703.640439814815</v>
      </c>
      <c r="E4" t="s">
        <v>766</v>
      </c>
      <c r="F4" t="b">
        <v>0</v>
      </c>
      <c r="G4" t="b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dimension ref="A1:L349"/>
  <sheetViews>
    <sheetView workbookViewId="0"/>
  </sheetViews>
  <sheetFormatPr defaultRowHeight="12.75"/>
  <cols>
    <col min="1" max="1" width="14.7109375" bestFit="1" customWidth="1"/>
    <col min="2" max="2" width="15" bestFit="1" customWidth="1"/>
    <col min="3" max="3" width="12.85546875" bestFit="1" customWidth="1"/>
    <col min="4" max="4" width="14.85546875" bestFit="1" customWidth="1"/>
    <col min="5" max="5" width="8.85546875" bestFit="1" customWidth="1"/>
    <col min="6" max="6" width="15.7109375" bestFit="1" customWidth="1"/>
    <col min="7" max="7" width="13.7109375" bestFit="1" customWidth="1"/>
    <col min="8" max="8" width="24.7109375" bestFit="1" customWidth="1"/>
    <col min="9" max="9" width="42.7109375" bestFit="1" customWidth="1"/>
    <col min="10" max="10" width="14.28515625" bestFit="1" customWidth="1"/>
    <col min="11" max="11" width="19.140625" bestFit="1" customWidth="1"/>
    <col min="12" max="12" width="25.7109375" bestFit="1" customWidth="1"/>
  </cols>
  <sheetData>
    <row r="1" spans="1:12">
      <c r="A1" s="110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770</v>
      </c>
    </row>
    <row r="2" spans="1:12">
      <c r="A2" t="s">
        <v>25</v>
      </c>
      <c r="B2" t="s">
        <v>26</v>
      </c>
      <c r="C2">
        <v>15</v>
      </c>
      <c r="D2" t="s">
        <v>27</v>
      </c>
      <c r="E2" t="s">
        <v>748</v>
      </c>
      <c r="F2">
        <v>41690</v>
      </c>
      <c r="H2">
        <v>41689.650416666664</v>
      </c>
      <c r="I2" t="s">
        <v>759</v>
      </c>
      <c r="J2" t="b">
        <v>0</v>
      </c>
      <c r="K2" t="b">
        <v>0</v>
      </c>
    </row>
    <row r="3" spans="1:12">
      <c r="A3" t="s">
        <v>25</v>
      </c>
      <c r="B3" t="s">
        <v>26</v>
      </c>
      <c r="C3">
        <v>15</v>
      </c>
      <c r="D3" t="s">
        <v>27</v>
      </c>
      <c r="E3" t="s">
        <v>750</v>
      </c>
      <c r="F3">
        <v>41681</v>
      </c>
      <c r="H3">
        <v>41681.795798611114</v>
      </c>
      <c r="I3" t="s">
        <v>771</v>
      </c>
      <c r="J3" t="b">
        <v>0</v>
      </c>
      <c r="K3" t="b">
        <v>0</v>
      </c>
    </row>
    <row r="4" spans="1:12">
      <c r="A4" t="s">
        <v>25</v>
      </c>
      <c r="B4" t="s">
        <v>26</v>
      </c>
      <c r="C4">
        <v>15</v>
      </c>
      <c r="D4" t="s">
        <v>27</v>
      </c>
      <c r="E4" t="s">
        <v>752</v>
      </c>
      <c r="F4">
        <v>41680</v>
      </c>
      <c r="H4">
        <v>41680.538761574076</v>
      </c>
      <c r="I4" t="s">
        <v>772</v>
      </c>
      <c r="J4" t="b">
        <v>0</v>
      </c>
      <c r="K4" t="b">
        <v>0</v>
      </c>
    </row>
    <row r="5" spans="1:12">
      <c r="A5" t="s">
        <v>25</v>
      </c>
      <c r="B5" t="s">
        <v>26</v>
      </c>
      <c r="C5">
        <v>25</v>
      </c>
      <c r="D5" t="s">
        <v>27</v>
      </c>
      <c r="E5" t="s">
        <v>748</v>
      </c>
      <c r="F5">
        <v>41698</v>
      </c>
      <c r="H5">
        <v>41698.672094907408</v>
      </c>
      <c r="I5" t="s">
        <v>1195</v>
      </c>
      <c r="J5" t="b">
        <v>0</v>
      </c>
      <c r="K5" t="b">
        <v>0</v>
      </c>
    </row>
    <row r="6" spans="1:12">
      <c r="A6" t="s">
        <v>25</v>
      </c>
      <c r="B6" t="s">
        <v>26</v>
      </c>
      <c r="C6">
        <v>25</v>
      </c>
      <c r="D6" t="s">
        <v>27</v>
      </c>
      <c r="E6" t="s">
        <v>750</v>
      </c>
      <c r="F6">
        <v>41698</v>
      </c>
      <c r="H6">
        <v>41698.6875462963</v>
      </c>
      <c r="I6" t="s">
        <v>1196</v>
      </c>
      <c r="J6" t="b">
        <v>0</v>
      </c>
      <c r="K6" t="b">
        <v>0</v>
      </c>
    </row>
    <row r="7" spans="1:12">
      <c r="A7" t="s">
        <v>25</v>
      </c>
      <c r="B7" t="s">
        <v>26</v>
      </c>
      <c r="C7">
        <v>25</v>
      </c>
      <c r="D7" t="s">
        <v>27</v>
      </c>
      <c r="E7" t="s">
        <v>752</v>
      </c>
      <c r="F7">
        <v>41698</v>
      </c>
      <c r="H7">
        <v>41698.679432870369</v>
      </c>
      <c r="I7" t="s">
        <v>1195</v>
      </c>
      <c r="J7" t="b">
        <v>0</v>
      </c>
      <c r="K7" t="b">
        <v>0</v>
      </c>
    </row>
    <row r="8" spans="1:12">
      <c r="A8" t="s">
        <v>25</v>
      </c>
      <c r="B8" t="s">
        <v>26</v>
      </c>
      <c r="C8">
        <v>25</v>
      </c>
      <c r="D8" t="s">
        <v>28</v>
      </c>
      <c r="E8" t="s">
        <v>748</v>
      </c>
      <c r="G8">
        <v>5314.7001953125</v>
      </c>
      <c r="H8">
        <v>41698.672106481485</v>
      </c>
      <c r="I8" t="s">
        <v>1195</v>
      </c>
      <c r="J8" t="b">
        <v>0</v>
      </c>
      <c r="K8" t="b">
        <v>0</v>
      </c>
    </row>
    <row r="9" spans="1:12">
      <c r="A9" t="s">
        <v>25</v>
      </c>
      <c r="B9" t="s">
        <v>26</v>
      </c>
      <c r="C9">
        <v>25</v>
      </c>
      <c r="D9" t="s">
        <v>28</v>
      </c>
      <c r="E9" t="s">
        <v>750</v>
      </c>
      <c r="G9">
        <v>3973.89990234375</v>
      </c>
      <c r="H9">
        <v>41698.6875462963</v>
      </c>
      <c r="I9" t="s">
        <v>1196</v>
      </c>
      <c r="J9" t="b">
        <v>0</v>
      </c>
      <c r="K9" t="b">
        <v>0</v>
      </c>
    </row>
    <row r="10" spans="1:12">
      <c r="A10" t="s">
        <v>25</v>
      </c>
      <c r="B10" t="s">
        <v>26</v>
      </c>
      <c r="C10">
        <v>25</v>
      </c>
      <c r="D10" t="s">
        <v>28</v>
      </c>
      <c r="E10" t="s">
        <v>752</v>
      </c>
      <c r="G10">
        <v>4733.5</v>
      </c>
      <c r="H10">
        <v>41698.679432870369</v>
      </c>
      <c r="I10" t="s">
        <v>1195</v>
      </c>
      <c r="J10" t="b">
        <v>0</v>
      </c>
      <c r="K10" t="b">
        <v>0</v>
      </c>
    </row>
    <row r="11" spans="1:12">
      <c r="A11" t="s">
        <v>25</v>
      </c>
      <c r="B11" t="s">
        <v>26</v>
      </c>
      <c r="C11">
        <v>35</v>
      </c>
      <c r="D11" t="s">
        <v>28</v>
      </c>
      <c r="E11" t="s">
        <v>748</v>
      </c>
      <c r="G11">
        <v>5211.60009765625</v>
      </c>
      <c r="H11">
        <v>41493.962141203701</v>
      </c>
      <c r="I11" t="s">
        <v>774</v>
      </c>
      <c r="J11" t="b">
        <v>0</v>
      </c>
      <c r="K11" t="b">
        <v>0</v>
      </c>
    </row>
    <row r="12" spans="1:12">
      <c r="A12" t="s">
        <v>25</v>
      </c>
      <c r="B12" t="s">
        <v>26</v>
      </c>
      <c r="C12">
        <v>35</v>
      </c>
      <c r="D12" t="s">
        <v>28</v>
      </c>
      <c r="E12" t="s">
        <v>750</v>
      </c>
      <c r="G12">
        <v>3646.10009765625</v>
      </c>
      <c r="H12">
        <v>40891.365393518521</v>
      </c>
      <c r="I12" t="s">
        <v>775</v>
      </c>
      <c r="J12" t="b">
        <v>0</v>
      </c>
      <c r="K12" t="b">
        <v>0</v>
      </c>
    </row>
    <row r="13" spans="1:12">
      <c r="A13" t="s">
        <v>25</v>
      </c>
      <c r="B13" t="s">
        <v>26</v>
      </c>
      <c r="C13">
        <v>35</v>
      </c>
      <c r="D13" t="s">
        <v>28</v>
      </c>
      <c r="E13" t="s">
        <v>752</v>
      </c>
      <c r="G13">
        <v>4578.7001953125</v>
      </c>
      <c r="H13">
        <v>41201.283506944441</v>
      </c>
      <c r="I13" t="s">
        <v>776</v>
      </c>
      <c r="J13" t="b">
        <v>0</v>
      </c>
      <c r="K13" t="b">
        <v>0</v>
      </c>
    </row>
    <row r="14" spans="1:12">
      <c r="A14" t="s">
        <v>25</v>
      </c>
      <c r="B14" t="s">
        <v>26</v>
      </c>
      <c r="C14">
        <v>41</v>
      </c>
      <c r="D14" t="s">
        <v>28</v>
      </c>
      <c r="E14" t="s">
        <v>748</v>
      </c>
      <c r="G14">
        <v>5314.89990234375</v>
      </c>
      <c r="H14">
        <v>41655.33666666667</v>
      </c>
      <c r="I14" t="s">
        <v>773</v>
      </c>
      <c r="J14" t="b">
        <v>0</v>
      </c>
      <c r="K14" t="b">
        <v>0</v>
      </c>
    </row>
    <row r="15" spans="1:12">
      <c r="A15" t="s">
        <v>25</v>
      </c>
      <c r="B15" t="s">
        <v>26</v>
      </c>
      <c r="C15">
        <v>41</v>
      </c>
      <c r="D15" t="s">
        <v>28</v>
      </c>
      <c r="E15" t="s">
        <v>750</v>
      </c>
      <c r="G15">
        <v>3939.10009765625</v>
      </c>
      <c r="H15">
        <v>41583.884120370371</v>
      </c>
      <c r="I15" t="s">
        <v>777</v>
      </c>
      <c r="J15" t="b">
        <v>0</v>
      </c>
      <c r="K15" t="b">
        <v>0</v>
      </c>
    </row>
    <row r="16" spans="1:12">
      <c r="A16" t="s">
        <v>25</v>
      </c>
      <c r="B16" t="s">
        <v>26</v>
      </c>
      <c r="C16">
        <v>41</v>
      </c>
      <c r="D16" t="s">
        <v>28</v>
      </c>
      <c r="E16" t="s">
        <v>752</v>
      </c>
      <c r="G16">
        <v>4733.7001953125</v>
      </c>
      <c r="H16">
        <v>41648.682638888888</v>
      </c>
      <c r="I16" t="s">
        <v>778</v>
      </c>
      <c r="J16" t="b">
        <v>0</v>
      </c>
      <c r="K16" t="b">
        <v>0</v>
      </c>
    </row>
    <row r="17" spans="1:11">
      <c r="A17" t="s">
        <v>25</v>
      </c>
      <c r="B17" t="s">
        <v>26</v>
      </c>
      <c r="C17">
        <v>45</v>
      </c>
      <c r="D17" t="s">
        <v>27</v>
      </c>
      <c r="E17" t="s">
        <v>748</v>
      </c>
      <c r="F17">
        <v>41698</v>
      </c>
      <c r="H17">
        <v>41698.657581018517</v>
      </c>
      <c r="I17" t="s">
        <v>1195</v>
      </c>
      <c r="J17" t="b">
        <v>0</v>
      </c>
      <c r="K17" t="b">
        <v>0</v>
      </c>
    </row>
    <row r="18" spans="1:11">
      <c r="A18" t="s">
        <v>25</v>
      </c>
      <c r="B18" t="s">
        <v>26</v>
      </c>
      <c r="C18">
        <v>45</v>
      </c>
      <c r="D18" t="s">
        <v>27</v>
      </c>
      <c r="E18" t="s">
        <v>750</v>
      </c>
      <c r="F18">
        <v>41698</v>
      </c>
      <c r="H18">
        <v>41698.687025462961</v>
      </c>
      <c r="I18" t="s">
        <v>1196</v>
      </c>
      <c r="J18" t="b">
        <v>0</v>
      </c>
      <c r="K18" t="b">
        <v>0</v>
      </c>
    </row>
    <row r="19" spans="1:11">
      <c r="A19" t="s">
        <v>25</v>
      </c>
      <c r="B19" t="s">
        <v>26</v>
      </c>
      <c r="C19">
        <v>45</v>
      </c>
      <c r="D19" t="s">
        <v>27</v>
      </c>
      <c r="E19" t="s">
        <v>752</v>
      </c>
      <c r="F19">
        <v>41698</v>
      </c>
      <c r="H19">
        <v>41698.655636574076</v>
      </c>
      <c r="I19" t="s">
        <v>1195</v>
      </c>
      <c r="J19" t="b">
        <v>0</v>
      </c>
      <c r="K19" t="b">
        <v>0</v>
      </c>
    </row>
    <row r="20" spans="1:11">
      <c r="A20" t="s">
        <v>25</v>
      </c>
      <c r="B20" t="s">
        <v>26</v>
      </c>
      <c r="C20">
        <v>45</v>
      </c>
      <c r="D20" t="s">
        <v>28</v>
      </c>
      <c r="E20" t="s">
        <v>748</v>
      </c>
      <c r="G20">
        <v>5314.7001953125</v>
      </c>
      <c r="H20">
        <v>41698.657581018517</v>
      </c>
      <c r="I20" t="s">
        <v>1195</v>
      </c>
      <c r="J20" t="b">
        <v>0</v>
      </c>
      <c r="K20" t="b">
        <v>0</v>
      </c>
    </row>
    <row r="21" spans="1:11">
      <c r="A21" t="s">
        <v>25</v>
      </c>
      <c r="B21" t="s">
        <v>26</v>
      </c>
      <c r="C21">
        <v>45</v>
      </c>
      <c r="D21" t="s">
        <v>28</v>
      </c>
      <c r="E21" t="s">
        <v>750</v>
      </c>
      <c r="G21">
        <v>3973.89990234375</v>
      </c>
      <c r="H21">
        <v>41698.687025462961</v>
      </c>
      <c r="I21" t="s">
        <v>1196</v>
      </c>
      <c r="J21" t="b">
        <v>0</v>
      </c>
      <c r="K21" t="b">
        <v>0</v>
      </c>
    </row>
    <row r="22" spans="1:11">
      <c r="A22" t="s">
        <v>25</v>
      </c>
      <c r="B22" t="s">
        <v>26</v>
      </c>
      <c r="C22">
        <v>45</v>
      </c>
      <c r="D22" t="s">
        <v>28</v>
      </c>
      <c r="E22" t="s">
        <v>752</v>
      </c>
      <c r="G22">
        <v>4733.5</v>
      </c>
      <c r="H22">
        <v>41698.655636574076</v>
      </c>
      <c r="I22" t="s">
        <v>1195</v>
      </c>
      <c r="J22" t="b">
        <v>0</v>
      </c>
      <c r="K22" t="b">
        <v>0</v>
      </c>
    </row>
    <row r="23" spans="1:11">
      <c r="A23" t="s">
        <v>25</v>
      </c>
      <c r="B23" t="s">
        <v>26</v>
      </c>
      <c r="C23">
        <v>55</v>
      </c>
      <c r="D23" t="s">
        <v>28</v>
      </c>
      <c r="E23" t="s">
        <v>748</v>
      </c>
      <c r="G23">
        <v>5314.7001953125</v>
      </c>
      <c r="H23">
        <v>41699.374328703707</v>
      </c>
      <c r="I23" t="s">
        <v>801</v>
      </c>
      <c r="J23" t="b">
        <v>0</v>
      </c>
      <c r="K23" t="b">
        <v>0</v>
      </c>
    </row>
    <row r="24" spans="1:11">
      <c r="A24" t="s">
        <v>25</v>
      </c>
      <c r="B24" t="s">
        <v>26</v>
      </c>
      <c r="C24">
        <v>55</v>
      </c>
      <c r="D24" t="s">
        <v>28</v>
      </c>
      <c r="E24" t="s">
        <v>750</v>
      </c>
      <c r="G24">
        <v>3973.89990234375</v>
      </c>
      <c r="H24">
        <v>41699.298506944448</v>
      </c>
      <c r="I24" t="s">
        <v>801</v>
      </c>
      <c r="J24" t="b">
        <v>0</v>
      </c>
      <c r="K24" t="b">
        <v>0</v>
      </c>
    </row>
    <row r="25" spans="1:11">
      <c r="A25" t="s">
        <v>25</v>
      </c>
      <c r="B25" t="s">
        <v>26</v>
      </c>
      <c r="C25">
        <v>55</v>
      </c>
      <c r="D25" t="s">
        <v>28</v>
      </c>
      <c r="E25" t="s">
        <v>752</v>
      </c>
      <c r="G25">
        <v>4733.5</v>
      </c>
      <c r="H25">
        <v>41699.303912037038</v>
      </c>
      <c r="I25" t="s">
        <v>801</v>
      </c>
      <c r="J25" t="b">
        <v>0</v>
      </c>
      <c r="K25" t="b">
        <v>0</v>
      </c>
    </row>
    <row r="26" spans="1:11">
      <c r="A26" t="s">
        <v>25</v>
      </c>
      <c r="B26" t="s">
        <v>26</v>
      </c>
      <c r="C26">
        <v>62</v>
      </c>
      <c r="D26" t="s">
        <v>28</v>
      </c>
      <c r="E26" t="s">
        <v>748</v>
      </c>
      <c r="G26">
        <v>5313.7001953125</v>
      </c>
      <c r="H26">
        <v>41662.693159722221</v>
      </c>
      <c r="I26" t="s">
        <v>779</v>
      </c>
      <c r="J26" t="b">
        <v>0</v>
      </c>
      <c r="K26" t="b">
        <v>0</v>
      </c>
    </row>
    <row r="27" spans="1:11">
      <c r="A27" t="s">
        <v>25</v>
      </c>
      <c r="B27" t="s">
        <v>26</v>
      </c>
      <c r="C27">
        <v>62</v>
      </c>
      <c r="D27" t="s">
        <v>28</v>
      </c>
      <c r="E27" t="s">
        <v>750</v>
      </c>
      <c r="G27">
        <v>3971.89990234375</v>
      </c>
      <c r="H27">
        <v>41677.768252314818</v>
      </c>
      <c r="I27" t="s">
        <v>780</v>
      </c>
      <c r="J27" t="b">
        <v>0</v>
      </c>
      <c r="K27" t="b">
        <v>0</v>
      </c>
    </row>
    <row r="28" spans="1:11">
      <c r="A28" t="s">
        <v>25</v>
      </c>
      <c r="B28" t="s">
        <v>26</v>
      </c>
      <c r="C28">
        <v>62</v>
      </c>
      <c r="D28" t="s">
        <v>28</v>
      </c>
      <c r="E28" t="s">
        <v>752</v>
      </c>
      <c r="G28">
        <v>4733.5</v>
      </c>
      <c r="H28">
        <v>41660.496354166666</v>
      </c>
      <c r="I28" t="s">
        <v>781</v>
      </c>
      <c r="J28" t="b">
        <v>0</v>
      </c>
      <c r="K28" t="b">
        <v>0</v>
      </c>
    </row>
    <row r="29" spans="1:11">
      <c r="A29" t="s">
        <v>25</v>
      </c>
      <c r="B29" t="s">
        <v>26</v>
      </c>
      <c r="C29">
        <v>79</v>
      </c>
      <c r="D29" t="s">
        <v>27</v>
      </c>
      <c r="E29" t="s">
        <v>748</v>
      </c>
      <c r="F29">
        <v>41698</v>
      </c>
      <c r="H29">
        <v>41698.651701388888</v>
      </c>
      <c r="I29" t="s">
        <v>1195</v>
      </c>
      <c r="J29" t="b">
        <v>0</v>
      </c>
      <c r="K29" t="b">
        <v>0</v>
      </c>
    </row>
    <row r="30" spans="1:11">
      <c r="A30" t="s">
        <v>25</v>
      </c>
      <c r="B30" t="s">
        <v>26</v>
      </c>
      <c r="C30">
        <v>79</v>
      </c>
      <c r="D30" t="s">
        <v>27</v>
      </c>
      <c r="E30" t="s">
        <v>750</v>
      </c>
      <c r="F30">
        <v>41698</v>
      </c>
      <c r="H30">
        <v>41699.29351851852</v>
      </c>
      <c r="I30" t="s">
        <v>801</v>
      </c>
      <c r="J30" t="b">
        <v>0</v>
      </c>
      <c r="K30" t="b">
        <v>0</v>
      </c>
    </row>
    <row r="31" spans="1:11">
      <c r="A31" t="s">
        <v>25</v>
      </c>
      <c r="B31" t="s">
        <v>26</v>
      </c>
      <c r="C31">
        <v>79</v>
      </c>
      <c r="D31" t="s">
        <v>27</v>
      </c>
      <c r="E31" t="s">
        <v>752</v>
      </c>
      <c r="F31">
        <v>41698</v>
      </c>
      <c r="H31">
        <v>41698.647361111114</v>
      </c>
      <c r="I31" t="s">
        <v>1195</v>
      </c>
      <c r="J31" t="b">
        <v>0</v>
      </c>
      <c r="K31" t="b">
        <v>0</v>
      </c>
    </row>
    <row r="32" spans="1:11">
      <c r="A32" t="s">
        <v>25</v>
      </c>
      <c r="B32" t="s">
        <v>26</v>
      </c>
      <c r="C32">
        <v>79</v>
      </c>
      <c r="D32" t="s">
        <v>28</v>
      </c>
      <c r="E32" t="s">
        <v>748</v>
      </c>
      <c r="G32">
        <v>5314.7001953125</v>
      </c>
      <c r="H32">
        <v>41698.651701388888</v>
      </c>
      <c r="I32" t="s">
        <v>1195</v>
      </c>
      <c r="J32" t="b">
        <v>0</v>
      </c>
      <c r="K32" t="b">
        <v>0</v>
      </c>
    </row>
    <row r="33" spans="1:11">
      <c r="A33" t="s">
        <v>25</v>
      </c>
      <c r="B33" t="s">
        <v>26</v>
      </c>
      <c r="C33">
        <v>79</v>
      </c>
      <c r="D33" t="s">
        <v>28</v>
      </c>
      <c r="E33" t="s">
        <v>750</v>
      </c>
      <c r="G33">
        <v>3973.89990234375</v>
      </c>
      <c r="H33">
        <v>41699.29351851852</v>
      </c>
      <c r="I33" t="s">
        <v>801</v>
      </c>
      <c r="J33" t="b">
        <v>0</v>
      </c>
      <c r="K33" t="b">
        <v>0</v>
      </c>
    </row>
    <row r="34" spans="1:11">
      <c r="A34" t="s">
        <v>25</v>
      </c>
      <c r="B34" t="s">
        <v>26</v>
      </c>
      <c r="C34">
        <v>79</v>
      </c>
      <c r="D34" t="s">
        <v>28</v>
      </c>
      <c r="E34" t="s">
        <v>752</v>
      </c>
      <c r="G34">
        <v>4733.5</v>
      </c>
      <c r="H34">
        <v>41698.647361111114</v>
      </c>
      <c r="I34" t="s">
        <v>1195</v>
      </c>
      <c r="J34" t="b">
        <v>0</v>
      </c>
      <c r="K34" t="b">
        <v>0</v>
      </c>
    </row>
    <row r="35" spans="1:11">
      <c r="A35" t="s">
        <v>25</v>
      </c>
      <c r="B35" t="s">
        <v>26</v>
      </c>
      <c r="C35">
        <v>85</v>
      </c>
      <c r="D35" t="s">
        <v>27</v>
      </c>
      <c r="E35" t="s">
        <v>748</v>
      </c>
      <c r="F35">
        <v>41698</v>
      </c>
      <c r="H35">
        <v>41698.652546296296</v>
      </c>
      <c r="I35" t="s">
        <v>1195</v>
      </c>
      <c r="J35" t="b">
        <v>0</v>
      </c>
      <c r="K35" t="b">
        <v>0</v>
      </c>
    </row>
    <row r="36" spans="1:11">
      <c r="A36" t="s">
        <v>25</v>
      </c>
      <c r="B36" t="s">
        <v>26</v>
      </c>
      <c r="C36">
        <v>85</v>
      </c>
      <c r="D36" t="s">
        <v>27</v>
      </c>
      <c r="E36" t="s">
        <v>750</v>
      </c>
      <c r="F36">
        <v>41698</v>
      </c>
      <c r="H36">
        <v>41698.688090277778</v>
      </c>
      <c r="I36" t="s">
        <v>1196</v>
      </c>
      <c r="J36" t="b">
        <v>0</v>
      </c>
      <c r="K36" t="b">
        <v>0</v>
      </c>
    </row>
    <row r="37" spans="1:11">
      <c r="A37" t="s">
        <v>25</v>
      </c>
      <c r="B37" t="s">
        <v>26</v>
      </c>
      <c r="C37">
        <v>85</v>
      </c>
      <c r="D37" t="s">
        <v>27</v>
      </c>
      <c r="E37" t="s">
        <v>752</v>
      </c>
      <c r="F37">
        <v>41698</v>
      </c>
      <c r="H37">
        <v>41698.647928240738</v>
      </c>
      <c r="I37" t="s">
        <v>1195</v>
      </c>
      <c r="J37" t="b">
        <v>0</v>
      </c>
      <c r="K37" t="b">
        <v>0</v>
      </c>
    </row>
    <row r="38" spans="1:11">
      <c r="A38" t="s">
        <v>25</v>
      </c>
      <c r="B38" t="s">
        <v>26</v>
      </c>
      <c r="C38">
        <v>85</v>
      </c>
      <c r="D38" t="s">
        <v>28</v>
      </c>
      <c r="E38" t="s">
        <v>748</v>
      </c>
      <c r="G38">
        <v>5314.7001953125</v>
      </c>
      <c r="H38">
        <v>41698.652546296296</v>
      </c>
      <c r="I38" t="s">
        <v>1195</v>
      </c>
      <c r="J38" t="b">
        <v>0</v>
      </c>
      <c r="K38" t="b">
        <v>0</v>
      </c>
    </row>
    <row r="39" spans="1:11">
      <c r="A39" t="s">
        <v>25</v>
      </c>
      <c r="B39" t="s">
        <v>26</v>
      </c>
      <c r="C39">
        <v>85</v>
      </c>
      <c r="D39" t="s">
        <v>28</v>
      </c>
      <c r="E39" t="s">
        <v>750</v>
      </c>
      <c r="G39">
        <v>3973.89990234375</v>
      </c>
      <c r="H39">
        <v>41698.688090277778</v>
      </c>
      <c r="I39" t="s">
        <v>1196</v>
      </c>
      <c r="J39" t="b">
        <v>0</v>
      </c>
      <c r="K39" t="b">
        <v>0</v>
      </c>
    </row>
    <row r="40" spans="1:11">
      <c r="A40" t="s">
        <v>25</v>
      </c>
      <c r="B40" t="s">
        <v>26</v>
      </c>
      <c r="C40">
        <v>85</v>
      </c>
      <c r="D40" t="s">
        <v>28</v>
      </c>
      <c r="E40" t="s">
        <v>752</v>
      </c>
      <c r="G40">
        <v>4733.5</v>
      </c>
      <c r="H40">
        <v>41698.647928240738</v>
      </c>
      <c r="I40" t="s">
        <v>1195</v>
      </c>
      <c r="J40" t="b">
        <v>0</v>
      </c>
      <c r="K40" t="b">
        <v>0</v>
      </c>
    </row>
    <row r="41" spans="1:11">
      <c r="A41" t="s">
        <v>25</v>
      </c>
      <c r="B41" t="s">
        <v>26</v>
      </c>
      <c r="C41">
        <v>100</v>
      </c>
      <c r="D41" t="s">
        <v>27</v>
      </c>
      <c r="E41" t="s">
        <v>748</v>
      </c>
      <c r="F41">
        <v>41688</v>
      </c>
      <c r="H41">
        <v>41688.500625000001</v>
      </c>
      <c r="I41" t="s">
        <v>773</v>
      </c>
      <c r="J41" t="b">
        <v>0</v>
      </c>
      <c r="K41" t="b">
        <v>0</v>
      </c>
    </row>
    <row r="42" spans="1:11">
      <c r="A42" t="s">
        <v>25</v>
      </c>
      <c r="B42" t="s">
        <v>26</v>
      </c>
      <c r="C42">
        <v>100</v>
      </c>
      <c r="D42" t="s">
        <v>27</v>
      </c>
      <c r="E42" t="s">
        <v>750</v>
      </c>
      <c r="F42">
        <v>41685</v>
      </c>
      <c r="H42">
        <v>41683.740312499998</v>
      </c>
      <c r="I42" t="s">
        <v>782</v>
      </c>
      <c r="J42" t="b">
        <v>0</v>
      </c>
      <c r="K42" t="b">
        <v>0</v>
      </c>
    </row>
    <row r="43" spans="1:11">
      <c r="A43" t="s">
        <v>25</v>
      </c>
      <c r="B43" t="s">
        <v>26</v>
      </c>
      <c r="C43">
        <v>100</v>
      </c>
      <c r="D43" t="s">
        <v>27</v>
      </c>
      <c r="E43" t="s">
        <v>752</v>
      </c>
      <c r="F43">
        <v>41684</v>
      </c>
      <c r="H43">
        <v>41683.681122685186</v>
      </c>
      <c r="I43" t="s">
        <v>761</v>
      </c>
      <c r="J43" t="b">
        <v>0</v>
      </c>
      <c r="K43" t="b">
        <v>0</v>
      </c>
    </row>
    <row r="44" spans="1:11">
      <c r="A44" t="s">
        <v>25</v>
      </c>
      <c r="B44" t="s">
        <v>26</v>
      </c>
      <c r="C44">
        <v>101</v>
      </c>
      <c r="D44" t="s">
        <v>27</v>
      </c>
      <c r="E44" t="s">
        <v>748</v>
      </c>
      <c r="F44">
        <v>41688</v>
      </c>
      <c r="H44">
        <v>41688.501342592594</v>
      </c>
      <c r="I44" t="s">
        <v>773</v>
      </c>
      <c r="J44" t="b">
        <v>0</v>
      </c>
      <c r="K44" t="b">
        <v>0</v>
      </c>
    </row>
    <row r="45" spans="1:11">
      <c r="A45" t="s">
        <v>25</v>
      </c>
      <c r="B45" t="s">
        <v>26</v>
      </c>
      <c r="C45">
        <v>101</v>
      </c>
      <c r="D45" t="s">
        <v>27</v>
      </c>
      <c r="E45" t="s">
        <v>750</v>
      </c>
      <c r="F45">
        <v>41685</v>
      </c>
      <c r="H45">
        <v>41683.740624999999</v>
      </c>
      <c r="I45" t="s">
        <v>782</v>
      </c>
      <c r="J45" t="b">
        <v>0</v>
      </c>
      <c r="K45" t="b">
        <v>0</v>
      </c>
    </row>
    <row r="46" spans="1:11">
      <c r="A46" t="s">
        <v>25</v>
      </c>
      <c r="B46" t="s">
        <v>26</v>
      </c>
      <c r="C46">
        <v>101</v>
      </c>
      <c r="D46" t="s">
        <v>27</v>
      </c>
      <c r="E46" t="s">
        <v>752</v>
      </c>
      <c r="F46">
        <v>41684</v>
      </c>
      <c r="H46">
        <v>41683.681238425925</v>
      </c>
      <c r="I46" t="s">
        <v>761</v>
      </c>
      <c r="J46" t="b">
        <v>0</v>
      </c>
      <c r="K46" t="b">
        <v>0</v>
      </c>
    </row>
    <row r="47" spans="1:11">
      <c r="A47" t="s">
        <v>25</v>
      </c>
      <c r="B47" t="s">
        <v>26</v>
      </c>
      <c r="C47">
        <v>102</v>
      </c>
      <c r="D47" t="s">
        <v>27</v>
      </c>
      <c r="E47" t="s">
        <v>748</v>
      </c>
      <c r="F47">
        <v>41688</v>
      </c>
      <c r="H47">
        <v>41688.487685185188</v>
      </c>
      <c r="I47" t="s">
        <v>773</v>
      </c>
      <c r="J47" t="b">
        <v>0</v>
      </c>
      <c r="K47" t="b">
        <v>0</v>
      </c>
    </row>
    <row r="48" spans="1:11">
      <c r="A48" t="s">
        <v>25</v>
      </c>
      <c r="B48" t="s">
        <v>26</v>
      </c>
      <c r="C48">
        <v>102</v>
      </c>
      <c r="D48" t="s">
        <v>27</v>
      </c>
      <c r="E48" t="s">
        <v>750</v>
      </c>
      <c r="F48">
        <v>41681</v>
      </c>
      <c r="H48">
        <v>41681.781909722224</v>
      </c>
      <c r="I48" t="s">
        <v>771</v>
      </c>
      <c r="J48" t="b">
        <v>0</v>
      </c>
      <c r="K48" t="b">
        <v>0</v>
      </c>
    </row>
    <row r="49" spans="1:11">
      <c r="A49" t="s">
        <v>25</v>
      </c>
      <c r="B49" t="s">
        <v>26</v>
      </c>
      <c r="C49">
        <v>102</v>
      </c>
      <c r="D49" t="s">
        <v>27</v>
      </c>
      <c r="E49" t="s">
        <v>752</v>
      </c>
      <c r="F49">
        <v>41688</v>
      </c>
      <c r="H49">
        <v>41688.736030092594</v>
      </c>
      <c r="I49" t="s">
        <v>772</v>
      </c>
      <c r="J49" t="b">
        <v>0</v>
      </c>
      <c r="K49" t="b">
        <v>0</v>
      </c>
    </row>
    <row r="50" spans="1:11">
      <c r="A50" t="s">
        <v>25</v>
      </c>
      <c r="B50" t="s">
        <v>26</v>
      </c>
      <c r="C50">
        <v>103</v>
      </c>
      <c r="D50" t="s">
        <v>27</v>
      </c>
      <c r="E50" t="s">
        <v>748</v>
      </c>
      <c r="F50">
        <v>41683</v>
      </c>
      <c r="H50">
        <v>41688.409756944442</v>
      </c>
      <c r="I50" t="s">
        <v>773</v>
      </c>
      <c r="J50" t="b">
        <v>0</v>
      </c>
      <c r="K50" t="b">
        <v>0</v>
      </c>
    </row>
    <row r="51" spans="1:11">
      <c r="A51" t="s">
        <v>25</v>
      </c>
      <c r="B51" t="s">
        <v>26</v>
      </c>
      <c r="C51">
        <v>103</v>
      </c>
      <c r="D51" t="s">
        <v>27</v>
      </c>
      <c r="E51" t="s">
        <v>750</v>
      </c>
      <c r="F51">
        <v>41649</v>
      </c>
      <c r="H51">
        <v>41649.294363425928</v>
      </c>
      <c r="I51" t="s">
        <v>783</v>
      </c>
      <c r="J51" t="b">
        <v>0</v>
      </c>
      <c r="K51" t="b">
        <v>0</v>
      </c>
    </row>
    <row r="52" spans="1:11">
      <c r="A52" t="s">
        <v>25</v>
      </c>
      <c r="B52" t="s">
        <v>26</v>
      </c>
      <c r="C52">
        <v>103</v>
      </c>
      <c r="D52" t="s">
        <v>27</v>
      </c>
      <c r="E52" t="s">
        <v>752</v>
      </c>
      <c r="F52">
        <v>41636</v>
      </c>
      <c r="H52">
        <v>41641.438356481478</v>
      </c>
      <c r="I52" t="s">
        <v>784</v>
      </c>
      <c r="J52" t="b">
        <v>0</v>
      </c>
      <c r="K52" t="b">
        <v>0</v>
      </c>
    </row>
    <row r="53" spans="1:11">
      <c r="A53" t="s">
        <v>25</v>
      </c>
      <c r="B53" t="s">
        <v>26</v>
      </c>
      <c r="C53">
        <v>130</v>
      </c>
      <c r="D53" t="s">
        <v>28</v>
      </c>
      <c r="E53" t="s">
        <v>748</v>
      </c>
      <c r="G53">
        <v>5314.89990234375</v>
      </c>
      <c r="H53">
        <v>41654.728935185187</v>
      </c>
      <c r="I53" t="s">
        <v>785</v>
      </c>
      <c r="J53" t="b">
        <v>0</v>
      </c>
      <c r="K53" t="b">
        <v>0</v>
      </c>
    </row>
    <row r="54" spans="1:11">
      <c r="A54" t="s">
        <v>25</v>
      </c>
      <c r="B54" t="s">
        <v>26</v>
      </c>
      <c r="C54">
        <v>130</v>
      </c>
      <c r="D54" t="s">
        <v>28</v>
      </c>
      <c r="E54" t="s">
        <v>750</v>
      </c>
      <c r="G54">
        <v>3939.10009765625</v>
      </c>
      <c r="H54">
        <v>41583.803877314815</v>
      </c>
      <c r="I54" t="s">
        <v>779</v>
      </c>
      <c r="J54" t="b">
        <v>0</v>
      </c>
      <c r="K54" t="b">
        <v>0</v>
      </c>
    </row>
    <row r="55" spans="1:11">
      <c r="A55" t="s">
        <v>25</v>
      </c>
      <c r="B55" t="s">
        <v>26</v>
      </c>
      <c r="C55">
        <v>130</v>
      </c>
      <c r="D55" t="s">
        <v>28</v>
      </c>
      <c r="E55" t="s">
        <v>752</v>
      </c>
      <c r="G55">
        <v>4731.89990234375</v>
      </c>
      <c r="H55">
        <v>41648.754629629628</v>
      </c>
      <c r="I55" t="s">
        <v>778</v>
      </c>
      <c r="J55" t="b">
        <v>0</v>
      </c>
      <c r="K55" t="b">
        <v>0</v>
      </c>
    </row>
    <row r="56" spans="1:11">
      <c r="A56" t="s">
        <v>25</v>
      </c>
      <c r="B56" t="s">
        <v>26</v>
      </c>
      <c r="C56">
        <v>135</v>
      </c>
      <c r="D56" t="s">
        <v>28</v>
      </c>
      <c r="E56" t="s">
        <v>748</v>
      </c>
      <c r="G56">
        <v>5314.89990234375</v>
      </c>
      <c r="H56">
        <v>41655.326793981483</v>
      </c>
      <c r="I56" t="s">
        <v>773</v>
      </c>
      <c r="J56" t="b">
        <v>0</v>
      </c>
      <c r="K56" t="b">
        <v>0</v>
      </c>
    </row>
    <row r="57" spans="1:11">
      <c r="A57" t="s">
        <v>25</v>
      </c>
      <c r="B57" t="s">
        <v>26</v>
      </c>
      <c r="C57">
        <v>135</v>
      </c>
      <c r="D57" t="s">
        <v>28</v>
      </c>
      <c r="E57" t="s">
        <v>750</v>
      </c>
      <c r="G57">
        <v>3939.10009765625</v>
      </c>
      <c r="H57">
        <v>41583.803784722222</v>
      </c>
      <c r="I57" t="s">
        <v>779</v>
      </c>
      <c r="J57" t="b">
        <v>0</v>
      </c>
      <c r="K57" t="b">
        <v>0</v>
      </c>
    </row>
    <row r="58" spans="1:11">
      <c r="A58" t="s">
        <v>25</v>
      </c>
      <c r="B58" t="s">
        <v>26</v>
      </c>
      <c r="C58">
        <v>135</v>
      </c>
      <c r="D58" t="s">
        <v>28</v>
      </c>
      <c r="E58" t="s">
        <v>752</v>
      </c>
      <c r="G58">
        <v>4733.7001953125</v>
      </c>
      <c r="H58">
        <v>41648.719826388886</v>
      </c>
      <c r="I58" t="s">
        <v>778</v>
      </c>
      <c r="J58" t="b">
        <v>0</v>
      </c>
      <c r="K58" t="b">
        <v>0</v>
      </c>
    </row>
    <row r="59" spans="1:11">
      <c r="A59" t="s">
        <v>25</v>
      </c>
      <c r="B59" t="s">
        <v>26</v>
      </c>
      <c r="C59">
        <v>145</v>
      </c>
      <c r="D59" t="s">
        <v>28</v>
      </c>
      <c r="E59" t="s">
        <v>748</v>
      </c>
      <c r="G59">
        <v>5314.89990234375</v>
      </c>
      <c r="H59">
        <v>41654.957048611112</v>
      </c>
      <c r="I59" t="s">
        <v>785</v>
      </c>
      <c r="J59" t="b">
        <v>0</v>
      </c>
      <c r="K59" t="b">
        <v>0</v>
      </c>
    </row>
    <row r="60" spans="1:11">
      <c r="A60" t="s">
        <v>25</v>
      </c>
      <c r="B60" t="s">
        <v>26</v>
      </c>
      <c r="C60">
        <v>145</v>
      </c>
      <c r="D60" t="s">
        <v>28</v>
      </c>
      <c r="E60" t="s">
        <v>750</v>
      </c>
      <c r="G60">
        <v>3939.10009765625</v>
      </c>
      <c r="H60">
        <v>41584.777175925927</v>
      </c>
      <c r="I60" t="s">
        <v>786</v>
      </c>
      <c r="J60" t="b">
        <v>0</v>
      </c>
      <c r="K60" t="b">
        <v>0</v>
      </c>
    </row>
    <row r="61" spans="1:11">
      <c r="A61" t="s">
        <v>25</v>
      </c>
      <c r="B61" t="s">
        <v>26</v>
      </c>
      <c r="C61">
        <v>145</v>
      </c>
      <c r="D61" t="s">
        <v>28</v>
      </c>
      <c r="E61" t="s">
        <v>752</v>
      </c>
      <c r="G61">
        <v>4733.7001953125</v>
      </c>
      <c r="H61">
        <v>41648.73300925926</v>
      </c>
      <c r="I61" t="s">
        <v>778</v>
      </c>
      <c r="J61" t="b">
        <v>0</v>
      </c>
      <c r="K61" t="b">
        <v>0</v>
      </c>
    </row>
    <row r="62" spans="1:11">
      <c r="A62" t="s">
        <v>25</v>
      </c>
      <c r="B62" t="s">
        <v>26</v>
      </c>
      <c r="C62">
        <v>150</v>
      </c>
      <c r="D62" t="s">
        <v>28</v>
      </c>
      <c r="E62" t="s">
        <v>748</v>
      </c>
      <c r="G62">
        <v>5216.60009765625</v>
      </c>
      <c r="H62">
        <v>41493.968391203707</v>
      </c>
      <c r="I62" t="s">
        <v>774</v>
      </c>
      <c r="J62" t="b">
        <v>0</v>
      </c>
      <c r="K62" t="b">
        <v>0</v>
      </c>
    </row>
    <row r="63" spans="1:11">
      <c r="A63" t="s">
        <v>25</v>
      </c>
      <c r="B63" t="s">
        <v>26</v>
      </c>
      <c r="C63">
        <v>150</v>
      </c>
      <c r="D63" t="s">
        <v>28</v>
      </c>
      <c r="E63" t="s">
        <v>750</v>
      </c>
      <c r="G63">
        <v>3890.5</v>
      </c>
      <c r="H63">
        <v>41507.924884259257</v>
      </c>
      <c r="I63" t="s">
        <v>787</v>
      </c>
      <c r="J63" t="b">
        <v>0</v>
      </c>
      <c r="K63" t="b">
        <v>0</v>
      </c>
    </row>
    <row r="64" spans="1:11">
      <c r="A64" t="s">
        <v>25</v>
      </c>
      <c r="B64" t="s">
        <v>26</v>
      </c>
      <c r="C64">
        <v>150</v>
      </c>
      <c r="D64" t="s">
        <v>28</v>
      </c>
      <c r="E64" t="s">
        <v>752</v>
      </c>
      <c r="G64">
        <v>4703.7001953125</v>
      </c>
      <c r="H64">
        <v>41541.918553240743</v>
      </c>
      <c r="I64" t="s">
        <v>788</v>
      </c>
      <c r="J64" t="b">
        <v>0</v>
      </c>
      <c r="K64" t="b">
        <v>0</v>
      </c>
    </row>
    <row r="65" spans="1:11">
      <c r="A65" t="s">
        <v>25</v>
      </c>
      <c r="B65" t="s">
        <v>26</v>
      </c>
      <c r="C65">
        <v>152</v>
      </c>
      <c r="D65" t="s">
        <v>28</v>
      </c>
      <c r="E65" t="s">
        <v>748</v>
      </c>
      <c r="G65">
        <v>5211.60009765625</v>
      </c>
      <c r="H65">
        <v>41498.728715277779</v>
      </c>
      <c r="I65" t="s">
        <v>789</v>
      </c>
      <c r="J65" t="b">
        <v>0</v>
      </c>
      <c r="K65" t="b">
        <v>0</v>
      </c>
    </row>
    <row r="66" spans="1:11">
      <c r="A66" t="s">
        <v>25</v>
      </c>
      <c r="B66" t="s">
        <v>26</v>
      </c>
      <c r="C66">
        <v>152</v>
      </c>
      <c r="D66" t="s">
        <v>28</v>
      </c>
      <c r="E66" t="s">
        <v>750</v>
      </c>
      <c r="G66">
        <v>3890.5</v>
      </c>
      <c r="H66">
        <v>41507.940381944441</v>
      </c>
      <c r="I66" t="s">
        <v>787</v>
      </c>
      <c r="J66" t="b">
        <v>0</v>
      </c>
      <c r="K66" t="b">
        <v>0</v>
      </c>
    </row>
    <row r="67" spans="1:11">
      <c r="A67" t="s">
        <v>25</v>
      </c>
      <c r="B67" t="s">
        <v>26</v>
      </c>
      <c r="C67">
        <v>152</v>
      </c>
      <c r="D67" t="s">
        <v>28</v>
      </c>
      <c r="E67" t="s">
        <v>752</v>
      </c>
      <c r="G67">
        <v>4703.7001953125</v>
      </c>
      <c r="H67">
        <v>41540.925462962965</v>
      </c>
      <c r="I67" t="s">
        <v>790</v>
      </c>
      <c r="J67" t="b">
        <v>0</v>
      </c>
      <c r="K67" t="b">
        <v>0</v>
      </c>
    </row>
    <row r="68" spans="1:11">
      <c r="A68" t="s">
        <v>25</v>
      </c>
      <c r="B68" t="s">
        <v>26</v>
      </c>
      <c r="C68">
        <v>160</v>
      </c>
      <c r="D68" t="s">
        <v>27</v>
      </c>
      <c r="E68" t="s">
        <v>748</v>
      </c>
      <c r="F68">
        <v>41683</v>
      </c>
      <c r="H68">
        <v>41683.043692129628</v>
      </c>
      <c r="I68" t="s">
        <v>791</v>
      </c>
      <c r="J68" t="b">
        <v>0</v>
      </c>
      <c r="K68" t="b">
        <v>0</v>
      </c>
    </row>
    <row r="69" spans="1:11">
      <c r="A69" t="s">
        <v>25</v>
      </c>
      <c r="B69" t="s">
        <v>26</v>
      </c>
      <c r="C69">
        <v>160</v>
      </c>
      <c r="D69" t="s">
        <v>27</v>
      </c>
      <c r="E69" t="s">
        <v>750</v>
      </c>
      <c r="F69">
        <v>41702</v>
      </c>
      <c r="H69">
        <v>41702.717233796298</v>
      </c>
      <c r="I69" t="s">
        <v>767</v>
      </c>
      <c r="J69" t="b">
        <v>0</v>
      </c>
      <c r="K69" t="b">
        <v>0</v>
      </c>
    </row>
    <row r="70" spans="1:11">
      <c r="A70" t="s">
        <v>25</v>
      </c>
      <c r="B70" t="s">
        <v>26</v>
      </c>
      <c r="C70">
        <v>160</v>
      </c>
      <c r="D70" t="s">
        <v>27</v>
      </c>
      <c r="E70" t="s">
        <v>752</v>
      </c>
      <c r="F70">
        <v>41657</v>
      </c>
      <c r="H70">
        <v>41660.48814814815</v>
      </c>
      <c r="I70" t="s">
        <v>781</v>
      </c>
      <c r="J70" t="b">
        <v>0</v>
      </c>
      <c r="K70" t="b">
        <v>0</v>
      </c>
    </row>
    <row r="71" spans="1:11">
      <c r="A71" t="s">
        <v>25</v>
      </c>
      <c r="B71" t="s">
        <v>26</v>
      </c>
      <c r="C71">
        <v>177</v>
      </c>
      <c r="D71" t="s">
        <v>27</v>
      </c>
      <c r="E71" t="s">
        <v>748</v>
      </c>
      <c r="F71">
        <v>41653</v>
      </c>
      <c r="H71">
        <v>41653.921701388892</v>
      </c>
      <c r="I71" t="s">
        <v>758</v>
      </c>
      <c r="J71" t="b">
        <v>0</v>
      </c>
      <c r="K71" t="b">
        <v>0</v>
      </c>
    </row>
    <row r="72" spans="1:11">
      <c r="A72" t="s">
        <v>25</v>
      </c>
      <c r="B72" t="s">
        <v>26</v>
      </c>
      <c r="C72">
        <v>177</v>
      </c>
      <c r="D72" t="s">
        <v>27</v>
      </c>
      <c r="E72" t="s">
        <v>750</v>
      </c>
      <c r="F72">
        <v>41663</v>
      </c>
      <c r="H72">
        <v>41682.650520833333</v>
      </c>
      <c r="I72" t="s">
        <v>792</v>
      </c>
      <c r="J72" t="b">
        <v>0</v>
      </c>
      <c r="K72" t="b">
        <v>0</v>
      </c>
    </row>
    <row r="73" spans="1:11">
      <c r="A73" t="s">
        <v>25</v>
      </c>
      <c r="B73" t="s">
        <v>26</v>
      </c>
      <c r="C73">
        <v>177</v>
      </c>
      <c r="D73" t="s">
        <v>27</v>
      </c>
      <c r="E73" t="s">
        <v>752</v>
      </c>
      <c r="F73">
        <v>41663</v>
      </c>
      <c r="H73">
        <v>41683.800671296296</v>
      </c>
      <c r="I73" t="s">
        <v>793</v>
      </c>
      <c r="J73" t="b">
        <v>0</v>
      </c>
      <c r="K73" t="b">
        <v>0</v>
      </c>
    </row>
    <row r="74" spans="1:11">
      <c r="A74" t="s">
        <v>25</v>
      </c>
      <c r="B74" t="s">
        <v>26</v>
      </c>
      <c r="C74">
        <v>192</v>
      </c>
      <c r="D74" t="s">
        <v>28</v>
      </c>
      <c r="E74" t="s">
        <v>748</v>
      </c>
      <c r="G74">
        <v>5216.60009765625</v>
      </c>
      <c r="H74">
        <v>41446.046793981484</v>
      </c>
      <c r="I74" t="s">
        <v>794</v>
      </c>
      <c r="J74" t="b">
        <v>0</v>
      </c>
      <c r="K74" t="b">
        <v>0</v>
      </c>
    </row>
    <row r="75" spans="1:11">
      <c r="A75" t="s">
        <v>25</v>
      </c>
      <c r="B75" t="s">
        <v>26</v>
      </c>
      <c r="C75">
        <v>192</v>
      </c>
      <c r="D75" t="s">
        <v>28</v>
      </c>
      <c r="E75" t="s">
        <v>750</v>
      </c>
      <c r="G75">
        <v>3890.5</v>
      </c>
      <c r="H75">
        <v>41513.777175925927</v>
      </c>
      <c r="I75" t="s">
        <v>779</v>
      </c>
      <c r="J75" t="b">
        <v>0</v>
      </c>
      <c r="K75" t="b">
        <v>0</v>
      </c>
    </row>
    <row r="76" spans="1:11">
      <c r="A76" t="s">
        <v>25</v>
      </c>
      <c r="B76" t="s">
        <v>26</v>
      </c>
      <c r="C76">
        <v>192</v>
      </c>
      <c r="D76" t="s">
        <v>28</v>
      </c>
      <c r="E76" t="s">
        <v>752</v>
      </c>
      <c r="G76">
        <v>4703.7001953125</v>
      </c>
      <c r="H76">
        <v>41537.681979166664</v>
      </c>
      <c r="I76" t="s">
        <v>795</v>
      </c>
      <c r="J76" t="b">
        <v>0</v>
      </c>
      <c r="K76" t="b">
        <v>0</v>
      </c>
    </row>
    <row r="77" spans="1:11">
      <c r="A77" t="s">
        <v>25</v>
      </c>
      <c r="B77" t="s">
        <v>26</v>
      </c>
      <c r="C77">
        <v>195</v>
      </c>
      <c r="D77" t="s">
        <v>28</v>
      </c>
      <c r="E77" t="s">
        <v>748</v>
      </c>
      <c r="G77">
        <v>5216.60009765625</v>
      </c>
      <c r="H77">
        <v>41493.968622685185</v>
      </c>
      <c r="I77" t="s">
        <v>774</v>
      </c>
      <c r="J77" t="b">
        <v>0</v>
      </c>
      <c r="K77" t="b">
        <v>0</v>
      </c>
    </row>
    <row r="78" spans="1:11">
      <c r="A78" t="s">
        <v>25</v>
      </c>
      <c r="B78" t="s">
        <v>26</v>
      </c>
      <c r="C78">
        <v>195</v>
      </c>
      <c r="D78" t="s">
        <v>28</v>
      </c>
      <c r="E78" t="s">
        <v>750</v>
      </c>
      <c r="G78">
        <v>3890.5</v>
      </c>
      <c r="H78">
        <v>41507.925057870372</v>
      </c>
      <c r="I78" t="s">
        <v>787</v>
      </c>
      <c r="J78" t="b">
        <v>0</v>
      </c>
      <c r="K78" t="b">
        <v>0</v>
      </c>
    </row>
    <row r="79" spans="1:11">
      <c r="A79" t="s">
        <v>25</v>
      </c>
      <c r="B79" t="s">
        <v>26</v>
      </c>
      <c r="C79">
        <v>195</v>
      </c>
      <c r="D79" t="s">
        <v>28</v>
      </c>
      <c r="E79" t="s">
        <v>752</v>
      </c>
      <c r="G79">
        <v>4703.7001953125</v>
      </c>
      <c r="H79">
        <v>41543.863854166666</v>
      </c>
      <c r="I79" t="s">
        <v>788</v>
      </c>
      <c r="J79" t="b">
        <v>0</v>
      </c>
      <c r="K79" t="b">
        <v>0</v>
      </c>
    </row>
    <row r="80" spans="1:11">
      <c r="A80" t="s">
        <v>25</v>
      </c>
      <c r="B80" t="s">
        <v>26</v>
      </c>
      <c r="C80">
        <v>198</v>
      </c>
      <c r="D80" t="s">
        <v>28</v>
      </c>
      <c r="E80" t="s">
        <v>748</v>
      </c>
      <c r="G80">
        <v>5216.60009765625</v>
      </c>
      <c r="H80">
        <v>41494.004328703704</v>
      </c>
      <c r="I80" t="s">
        <v>774</v>
      </c>
      <c r="J80" t="b">
        <v>0</v>
      </c>
      <c r="K80" t="b">
        <v>0</v>
      </c>
    </row>
    <row r="81" spans="1:11">
      <c r="A81" t="s">
        <v>25</v>
      </c>
      <c r="B81" t="s">
        <v>26</v>
      </c>
      <c r="C81">
        <v>198</v>
      </c>
      <c r="D81" t="s">
        <v>28</v>
      </c>
      <c r="E81" t="s">
        <v>750</v>
      </c>
      <c r="G81">
        <v>3890.5</v>
      </c>
      <c r="H81">
        <v>41513.747789351852</v>
      </c>
      <c r="I81" t="s">
        <v>779</v>
      </c>
      <c r="J81" t="b">
        <v>0</v>
      </c>
      <c r="K81" t="b">
        <v>0</v>
      </c>
    </row>
    <row r="82" spans="1:11">
      <c r="A82" t="s">
        <v>25</v>
      </c>
      <c r="B82" t="s">
        <v>26</v>
      </c>
      <c r="C82">
        <v>198</v>
      </c>
      <c r="D82" t="s">
        <v>28</v>
      </c>
      <c r="E82" t="s">
        <v>752</v>
      </c>
      <c r="G82">
        <v>4703.7001953125</v>
      </c>
      <c r="H82">
        <v>41556.589108796295</v>
      </c>
      <c r="I82" t="s">
        <v>796</v>
      </c>
      <c r="J82" t="b">
        <v>0</v>
      </c>
      <c r="K82" t="b">
        <v>0</v>
      </c>
    </row>
    <row r="83" spans="1:11">
      <c r="A83" t="s">
        <v>25</v>
      </c>
      <c r="B83" t="s">
        <v>26</v>
      </c>
      <c r="C83">
        <v>200</v>
      </c>
      <c r="D83" t="s">
        <v>28</v>
      </c>
      <c r="E83" t="s">
        <v>748</v>
      </c>
      <c r="G83">
        <v>5216.60009765625</v>
      </c>
      <c r="H83">
        <v>41493.955821759257</v>
      </c>
      <c r="I83" t="s">
        <v>774</v>
      </c>
      <c r="J83" t="b">
        <v>0</v>
      </c>
      <c r="K83" t="b">
        <v>0</v>
      </c>
    </row>
    <row r="84" spans="1:11">
      <c r="A84" t="s">
        <v>25</v>
      </c>
      <c r="B84" t="s">
        <v>26</v>
      </c>
      <c r="C84">
        <v>200</v>
      </c>
      <c r="D84" t="s">
        <v>28</v>
      </c>
      <c r="E84" t="s">
        <v>750</v>
      </c>
      <c r="G84">
        <v>3890.5</v>
      </c>
      <c r="H84">
        <v>41512.924780092595</v>
      </c>
      <c r="I84" t="s">
        <v>797</v>
      </c>
      <c r="J84" t="b">
        <v>0</v>
      </c>
      <c r="K84" t="b">
        <v>0</v>
      </c>
    </row>
    <row r="85" spans="1:11">
      <c r="A85" t="s">
        <v>25</v>
      </c>
      <c r="B85" t="s">
        <v>26</v>
      </c>
      <c r="C85">
        <v>200</v>
      </c>
      <c r="D85" t="s">
        <v>28</v>
      </c>
      <c r="E85" t="s">
        <v>752</v>
      </c>
      <c r="G85">
        <v>4703.7001953125</v>
      </c>
      <c r="H85">
        <v>41543.735868055555</v>
      </c>
      <c r="I85" t="s">
        <v>798</v>
      </c>
      <c r="J85" t="b">
        <v>0</v>
      </c>
      <c r="K85" t="b">
        <v>0</v>
      </c>
    </row>
    <row r="86" spans="1:11">
      <c r="A86" t="s">
        <v>25</v>
      </c>
      <c r="B86" t="s">
        <v>26</v>
      </c>
      <c r="C86">
        <v>222</v>
      </c>
      <c r="D86" t="s">
        <v>27</v>
      </c>
      <c r="E86" t="s">
        <v>748</v>
      </c>
      <c r="F86">
        <v>41502</v>
      </c>
      <c r="H86">
        <v>41505.832141203704</v>
      </c>
      <c r="I86" t="s">
        <v>799</v>
      </c>
      <c r="J86" t="b">
        <v>0</v>
      </c>
      <c r="K86" t="b">
        <v>0</v>
      </c>
    </row>
    <row r="87" spans="1:11">
      <c r="A87" t="s">
        <v>25</v>
      </c>
      <c r="B87" t="s">
        <v>26</v>
      </c>
      <c r="C87">
        <v>222</v>
      </c>
      <c r="D87" t="s">
        <v>27</v>
      </c>
      <c r="E87" t="s">
        <v>750</v>
      </c>
      <c r="F87">
        <v>41648</v>
      </c>
      <c r="H87">
        <v>41648.427025462966</v>
      </c>
      <c r="I87" t="s">
        <v>779</v>
      </c>
      <c r="J87" t="b">
        <v>0</v>
      </c>
      <c r="K87" t="b">
        <v>0</v>
      </c>
    </row>
    <row r="88" spans="1:11">
      <c r="A88" t="s">
        <v>25</v>
      </c>
      <c r="B88" t="s">
        <v>26</v>
      </c>
      <c r="C88">
        <v>222</v>
      </c>
      <c r="D88" t="s">
        <v>27</v>
      </c>
      <c r="E88" t="s">
        <v>752</v>
      </c>
      <c r="F88">
        <v>41460</v>
      </c>
      <c r="H88">
        <v>41583.763356481482</v>
      </c>
      <c r="I88" t="s">
        <v>760</v>
      </c>
      <c r="J88" t="b">
        <v>0</v>
      </c>
      <c r="K88" t="b">
        <v>0</v>
      </c>
    </row>
    <row r="89" spans="1:11">
      <c r="A89" t="s">
        <v>25</v>
      </c>
      <c r="B89" t="s">
        <v>26</v>
      </c>
      <c r="C89">
        <v>223</v>
      </c>
      <c r="D89" t="s">
        <v>28</v>
      </c>
      <c r="E89" t="s">
        <v>748</v>
      </c>
      <c r="G89">
        <v>5216.60009765625</v>
      </c>
      <c r="H89">
        <v>41493.956400462965</v>
      </c>
      <c r="I89" t="s">
        <v>774</v>
      </c>
      <c r="J89" t="b">
        <v>0</v>
      </c>
      <c r="K89" t="b">
        <v>0</v>
      </c>
    </row>
    <row r="90" spans="1:11">
      <c r="A90" t="s">
        <v>25</v>
      </c>
      <c r="B90" t="s">
        <v>26</v>
      </c>
      <c r="C90">
        <v>223</v>
      </c>
      <c r="D90" t="s">
        <v>28</v>
      </c>
      <c r="E90" t="s">
        <v>750</v>
      </c>
      <c r="G90">
        <v>3890.699951171875</v>
      </c>
      <c r="H90">
        <v>41507.971747685187</v>
      </c>
      <c r="I90" t="s">
        <v>800</v>
      </c>
      <c r="J90" t="b">
        <v>0</v>
      </c>
      <c r="K90" t="b">
        <v>0</v>
      </c>
    </row>
    <row r="91" spans="1:11">
      <c r="A91" t="s">
        <v>25</v>
      </c>
      <c r="B91" t="s">
        <v>26</v>
      </c>
      <c r="C91">
        <v>223</v>
      </c>
      <c r="D91" t="s">
        <v>28</v>
      </c>
      <c r="E91" t="s">
        <v>752</v>
      </c>
      <c r="G91">
        <v>4578.7001953125</v>
      </c>
      <c r="H91">
        <v>41361.439618055556</v>
      </c>
      <c r="I91" t="s">
        <v>801</v>
      </c>
      <c r="J91" t="b">
        <v>0</v>
      </c>
      <c r="K91" t="b">
        <v>0</v>
      </c>
    </row>
    <row r="92" spans="1:11">
      <c r="A92" t="s">
        <v>25</v>
      </c>
      <c r="B92" t="s">
        <v>26</v>
      </c>
      <c r="C92">
        <v>224</v>
      </c>
      <c r="D92" t="s">
        <v>28</v>
      </c>
      <c r="E92" t="s">
        <v>748</v>
      </c>
      <c r="G92">
        <v>5216.60009765625</v>
      </c>
      <c r="H92">
        <v>41699.376863425925</v>
      </c>
      <c r="I92" t="s">
        <v>801</v>
      </c>
      <c r="J92" t="b">
        <v>0</v>
      </c>
      <c r="K92" t="b">
        <v>0</v>
      </c>
    </row>
    <row r="93" spans="1:11">
      <c r="A93" t="s">
        <v>25</v>
      </c>
      <c r="B93" t="s">
        <v>26</v>
      </c>
      <c r="C93">
        <v>224</v>
      </c>
      <c r="D93" t="s">
        <v>28</v>
      </c>
      <c r="E93" t="s">
        <v>750</v>
      </c>
      <c r="G93">
        <v>3890.699951171875</v>
      </c>
      <c r="H93">
        <v>41513.789699074077</v>
      </c>
      <c r="I93" t="s">
        <v>779</v>
      </c>
      <c r="J93" t="b">
        <v>0</v>
      </c>
      <c r="K93" t="b">
        <v>0</v>
      </c>
    </row>
    <row r="94" spans="1:11">
      <c r="A94" t="s">
        <v>25</v>
      </c>
      <c r="B94" t="s">
        <v>26</v>
      </c>
      <c r="C94">
        <v>224</v>
      </c>
      <c r="D94" t="s">
        <v>28</v>
      </c>
      <c r="E94" t="s">
        <v>752</v>
      </c>
      <c r="G94">
        <v>4703.7001953125</v>
      </c>
      <c r="H94">
        <v>41554.73369212963</v>
      </c>
      <c r="I94" t="s">
        <v>788</v>
      </c>
      <c r="J94" t="b">
        <v>0</v>
      </c>
      <c r="K94" t="b">
        <v>0</v>
      </c>
    </row>
    <row r="95" spans="1:11">
      <c r="A95" t="s">
        <v>25</v>
      </c>
      <c r="B95" t="s">
        <v>26</v>
      </c>
      <c r="C95">
        <v>226</v>
      </c>
      <c r="D95" t="s">
        <v>28</v>
      </c>
      <c r="E95" t="s">
        <v>748</v>
      </c>
      <c r="G95">
        <v>5216.60009765625</v>
      </c>
      <c r="H95">
        <v>41493.956620370373</v>
      </c>
      <c r="I95" t="s">
        <v>774</v>
      </c>
      <c r="J95" t="b">
        <v>0</v>
      </c>
      <c r="K95" t="b">
        <v>0</v>
      </c>
    </row>
    <row r="96" spans="1:11">
      <c r="A96" t="s">
        <v>25</v>
      </c>
      <c r="B96" t="s">
        <v>26</v>
      </c>
      <c r="C96">
        <v>226</v>
      </c>
      <c r="D96" t="s">
        <v>28</v>
      </c>
      <c r="E96" t="s">
        <v>750</v>
      </c>
      <c r="G96">
        <v>3646.10009765625</v>
      </c>
      <c r="H96">
        <v>40890.611724537041</v>
      </c>
      <c r="I96" t="s">
        <v>775</v>
      </c>
      <c r="J96" t="b">
        <v>0</v>
      </c>
      <c r="K96" t="b">
        <v>0</v>
      </c>
    </row>
    <row r="97" spans="1:11">
      <c r="A97" t="s">
        <v>25</v>
      </c>
      <c r="B97" t="s">
        <v>26</v>
      </c>
      <c r="C97">
        <v>226</v>
      </c>
      <c r="D97" t="s">
        <v>28</v>
      </c>
      <c r="E97" t="s">
        <v>752</v>
      </c>
      <c r="G97">
        <v>4578.7001953125</v>
      </c>
      <c r="H97">
        <v>41361.439699074072</v>
      </c>
      <c r="I97" t="s">
        <v>801</v>
      </c>
      <c r="J97" t="b">
        <v>0</v>
      </c>
      <c r="K97" t="b">
        <v>0</v>
      </c>
    </row>
    <row r="98" spans="1:11">
      <c r="A98" t="s">
        <v>25</v>
      </c>
      <c r="B98" t="s">
        <v>26</v>
      </c>
      <c r="C98">
        <v>230</v>
      </c>
      <c r="D98" t="s">
        <v>28</v>
      </c>
      <c r="E98" t="s">
        <v>748</v>
      </c>
      <c r="G98">
        <v>5216.60009765625</v>
      </c>
      <c r="H98">
        <v>41493.956875000003</v>
      </c>
      <c r="I98" t="s">
        <v>774</v>
      </c>
      <c r="J98" t="b">
        <v>0</v>
      </c>
      <c r="K98" t="b">
        <v>0</v>
      </c>
    </row>
    <row r="99" spans="1:11">
      <c r="A99" t="s">
        <v>25</v>
      </c>
      <c r="B99" t="s">
        <v>26</v>
      </c>
      <c r="C99">
        <v>230</v>
      </c>
      <c r="D99" t="s">
        <v>28</v>
      </c>
      <c r="E99" t="s">
        <v>750</v>
      </c>
      <c r="G99">
        <v>3646.10009765625</v>
      </c>
      <c r="H99">
        <v>40891.262129629627</v>
      </c>
      <c r="I99" t="s">
        <v>754</v>
      </c>
      <c r="J99" t="b">
        <v>0</v>
      </c>
      <c r="K99" t="b">
        <v>0</v>
      </c>
    </row>
    <row r="100" spans="1:11">
      <c r="A100" t="s">
        <v>25</v>
      </c>
      <c r="B100" t="s">
        <v>26</v>
      </c>
      <c r="C100">
        <v>230</v>
      </c>
      <c r="D100" t="s">
        <v>28</v>
      </c>
      <c r="E100" t="s">
        <v>752</v>
      </c>
      <c r="G100">
        <v>4578.7001953125</v>
      </c>
      <c r="H100">
        <v>41361.439780092594</v>
      </c>
      <c r="I100" t="s">
        <v>801</v>
      </c>
      <c r="J100" t="b">
        <v>0</v>
      </c>
      <c r="K100" t="b">
        <v>0</v>
      </c>
    </row>
    <row r="101" spans="1:11">
      <c r="A101" t="s">
        <v>25</v>
      </c>
      <c r="B101" t="s">
        <v>26</v>
      </c>
      <c r="C101">
        <v>231</v>
      </c>
      <c r="D101" t="s">
        <v>28</v>
      </c>
      <c r="E101" t="s">
        <v>748</v>
      </c>
      <c r="G101">
        <v>5216.60009765625</v>
      </c>
      <c r="H101">
        <v>41494.007569444446</v>
      </c>
      <c r="I101" t="s">
        <v>774</v>
      </c>
      <c r="J101" t="b">
        <v>0</v>
      </c>
      <c r="K101" t="b">
        <v>0</v>
      </c>
    </row>
    <row r="102" spans="1:11">
      <c r="A102" t="s">
        <v>25</v>
      </c>
      <c r="B102" t="s">
        <v>26</v>
      </c>
      <c r="C102">
        <v>231</v>
      </c>
      <c r="D102" t="s">
        <v>28</v>
      </c>
      <c r="E102" t="s">
        <v>750</v>
      </c>
      <c r="G102">
        <v>3890.699951171875</v>
      </c>
      <c r="H102">
        <v>41509.869942129626</v>
      </c>
      <c r="I102" t="s">
        <v>802</v>
      </c>
      <c r="J102" t="b">
        <v>0</v>
      </c>
      <c r="K102" t="b">
        <v>0</v>
      </c>
    </row>
    <row r="103" spans="1:11">
      <c r="A103" t="s">
        <v>25</v>
      </c>
      <c r="B103" t="s">
        <v>26</v>
      </c>
      <c r="C103">
        <v>231</v>
      </c>
      <c r="D103" t="s">
        <v>28</v>
      </c>
      <c r="E103" t="s">
        <v>752</v>
      </c>
      <c r="G103">
        <v>4578.7001953125</v>
      </c>
      <c r="H103">
        <v>41361.439918981479</v>
      </c>
      <c r="I103" t="s">
        <v>801</v>
      </c>
      <c r="J103" t="b">
        <v>0</v>
      </c>
      <c r="K103" t="b">
        <v>0</v>
      </c>
    </row>
    <row r="104" spans="1:11">
      <c r="A104" t="s">
        <v>25</v>
      </c>
      <c r="B104" t="s">
        <v>26</v>
      </c>
      <c r="C104">
        <v>234</v>
      </c>
      <c r="D104" t="s">
        <v>28</v>
      </c>
      <c r="E104" t="s">
        <v>748</v>
      </c>
      <c r="G104">
        <v>5216.60009765625</v>
      </c>
      <c r="H104">
        <v>41494.0077662037</v>
      </c>
      <c r="I104" t="s">
        <v>774</v>
      </c>
      <c r="J104" t="b">
        <v>0</v>
      </c>
      <c r="K104" t="b">
        <v>0</v>
      </c>
    </row>
    <row r="105" spans="1:11">
      <c r="A105" t="s">
        <v>25</v>
      </c>
      <c r="B105" t="s">
        <v>26</v>
      </c>
      <c r="C105">
        <v>234</v>
      </c>
      <c r="D105" t="s">
        <v>28</v>
      </c>
      <c r="E105" t="s">
        <v>750</v>
      </c>
      <c r="G105">
        <v>3890.699951171875</v>
      </c>
      <c r="H105">
        <v>41509.870173611111</v>
      </c>
      <c r="I105" t="s">
        <v>802</v>
      </c>
      <c r="J105" t="b">
        <v>0</v>
      </c>
      <c r="K105" t="b">
        <v>0</v>
      </c>
    </row>
    <row r="106" spans="1:11">
      <c r="A106" t="s">
        <v>25</v>
      </c>
      <c r="B106" t="s">
        <v>26</v>
      </c>
      <c r="C106">
        <v>234</v>
      </c>
      <c r="D106" t="s">
        <v>28</v>
      </c>
      <c r="E106" t="s">
        <v>752</v>
      </c>
      <c r="G106">
        <v>4578.7001953125</v>
      </c>
      <c r="H106">
        <v>41361.439988425926</v>
      </c>
      <c r="I106" t="s">
        <v>801</v>
      </c>
      <c r="J106" t="b">
        <v>0</v>
      </c>
      <c r="K106" t="b">
        <v>0</v>
      </c>
    </row>
    <row r="107" spans="1:11">
      <c r="A107" t="s">
        <v>25</v>
      </c>
      <c r="B107" t="s">
        <v>26</v>
      </c>
      <c r="C107">
        <v>261</v>
      </c>
      <c r="D107" t="s">
        <v>27</v>
      </c>
      <c r="E107" t="s">
        <v>748</v>
      </c>
      <c r="F107">
        <v>41493</v>
      </c>
      <c r="H107">
        <v>41493.958726851852</v>
      </c>
      <c r="I107" t="s">
        <v>774</v>
      </c>
      <c r="J107" t="b">
        <v>0</v>
      </c>
      <c r="K107" t="b">
        <v>0</v>
      </c>
    </row>
    <row r="108" spans="1:11">
      <c r="A108" t="s">
        <v>25</v>
      </c>
      <c r="B108" t="s">
        <v>26</v>
      </c>
      <c r="C108">
        <v>261</v>
      </c>
      <c r="D108" t="s">
        <v>27</v>
      </c>
      <c r="E108" t="s">
        <v>750</v>
      </c>
      <c r="F108">
        <v>41513</v>
      </c>
      <c r="H108">
        <v>41513.741550925923</v>
      </c>
      <c r="I108" t="s">
        <v>779</v>
      </c>
      <c r="J108" t="b">
        <v>0</v>
      </c>
      <c r="K108" t="b">
        <v>0</v>
      </c>
    </row>
    <row r="109" spans="1:11">
      <c r="A109" t="s">
        <v>25</v>
      </c>
      <c r="B109" t="s">
        <v>26</v>
      </c>
      <c r="C109">
        <v>261</v>
      </c>
      <c r="D109" t="s">
        <v>27</v>
      </c>
      <c r="E109" t="s">
        <v>752</v>
      </c>
      <c r="F109">
        <v>41472</v>
      </c>
      <c r="H109">
        <v>41472.014039351852</v>
      </c>
      <c r="I109" t="s">
        <v>803</v>
      </c>
      <c r="J109" t="b">
        <v>0</v>
      </c>
      <c r="K109" t="b">
        <v>0</v>
      </c>
    </row>
    <row r="110" spans="1:11">
      <c r="A110" t="s">
        <v>25</v>
      </c>
      <c r="B110" t="s">
        <v>26</v>
      </c>
      <c r="C110">
        <v>261</v>
      </c>
      <c r="D110" t="s">
        <v>28</v>
      </c>
      <c r="E110" t="s">
        <v>748</v>
      </c>
      <c r="G110">
        <v>5211.60009765625</v>
      </c>
      <c r="H110">
        <v>41493.958726851852</v>
      </c>
      <c r="I110" t="s">
        <v>774</v>
      </c>
      <c r="J110" t="b">
        <v>0</v>
      </c>
      <c r="K110" t="b">
        <v>0</v>
      </c>
    </row>
    <row r="111" spans="1:11">
      <c r="A111" t="s">
        <v>25</v>
      </c>
      <c r="B111" t="s">
        <v>26</v>
      </c>
      <c r="C111">
        <v>261</v>
      </c>
      <c r="D111" t="s">
        <v>28</v>
      </c>
      <c r="E111" t="s">
        <v>750</v>
      </c>
      <c r="G111">
        <v>3890.699951171875</v>
      </c>
      <c r="H111">
        <v>41513.741562499999</v>
      </c>
      <c r="I111" t="s">
        <v>779</v>
      </c>
      <c r="J111" t="b">
        <v>0</v>
      </c>
      <c r="K111" t="b">
        <v>0</v>
      </c>
    </row>
    <row r="112" spans="1:11">
      <c r="A112" t="s">
        <v>25</v>
      </c>
      <c r="B112" t="s">
        <v>26</v>
      </c>
      <c r="C112">
        <v>261</v>
      </c>
      <c r="D112" t="s">
        <v>28</v>
      </c>
      <c r="E112" t="s">
        <v>752</v>
      </c>
      <c r="G112">
        <v>4637.60009765625</v>
      </c>
      <c r="H112">
        <v>41472.014039351852</v>
      </c>
      <c r="I112" t="s">
        <v>803</v>
      </c>
      <c r="J112" t="b">
        <v>0</v>
      </c>
      <c r="K112" t="b">
        <v>0</v>
      </c>
    </row>
    <row r="113" spans="1:11">
      <c r="A113" t="s">
        <v>25</v>
      </c>
      <c r="B113" t="s">
        <v>26</v>
      </c>
      <c r="C113">
        <v>270</v>
      </c>
      <c r="D113" t="s">
        <v>28</v>
      </c>
      <c r="E113" t="s">
        <v>748</v>
      </c>
      <c r="G113">
        <v>5216.60009765625</v>
      </c>
      <c r="H113">
        <v>41493.957291666666</v>
      </c>
      <c r="I113" t="s">
        <v>774</v>
      </c>
      <c r="J113" t="b">
        <v>0</v>
      </c>
      <c r="K113" t="b">
        <v>0</v>
      </c>
    </row>
    <row r="114" spans="1:11">
      <c r="A114" t="s">
        <v>25</v>
      </c>
      <c r="B114" t="s">
        <v>26</v>
      </c>
      <c r="C114">
        <v>270</v>
      </c>
      <c r="D114" t="s">
        <v>28</v>
      </c>
      <c r="E114" t="s">
        <v>750</v>
      </c>
      <c r="G114">
        <v>3890.699951171875</v>
      </c>
      <c r="H114">
        <v>41507.968877314815</v>
      </c>
      <c r="I114" t="s">
        <v>800</v>
      </c>
      <c r="J114" t="b">
        <v>0</v>
      </c>
      <c r="K114" t="b">
        <v>0</v>
      </c>
    </row>
    <row r="115" spans="1:11">
      <c r="A115" t="s">
        <v>25</v>
      </c>
      <c r="B115" t="s">
        <v>26</v>
      </c>
      <c r="C115">
        <v>270</v>
      </c>
      <c r="D115" t="s">
        <v>28</v>
      </c>
      <c r="E115" t="s">
        <v>752</v>
      </c>
      <c r="G115">
        <v>4578.7001953125</v>
      </c>
      <c r="H115">
        <v>41361.440208333333</v>
      </c>
      <c r="I115" t="s">
        <v>801</v>
      </c>
      <c r="J115" t="b">
        <v>0</v>
      </c>
      <c r="K115" t="b">
        <v>0</v>
      </c>
    </row>
    <row r="116" spans="1:11">
      <c r="A116" t="s">
        <v>25</v>
      </c>
      <c r="B116" t="s">
        <v>26</v>
      </c>
      <c r="C116">
        <v>275</v>
      </c>
      <c r="D116" t="s">
        <v>28</v>
      </c>
      <c r="E116" t="s">
        <v>748</v>
      </c>
      <c r="G116">
        <v>5216.60009765625</v>
      </c>
      <c r="H116">
        <v>41493.95752314815</v>
      </c>
      <c r="I116" t="s">
        <v>774</v>
      </c>
      <c r="J116" t="b">
        <v>0</v>
      </c>
      <c r="K116" t="b">
        <v>0</v>
      </c>
    </row>
    <row r="117" spans="1:11">
      <c r="A117" t="s">
        <v>25</v>
      </c>
      <c r="B117" t="s">
        <v>26</v>
      </c>
      <c r="C117">
        <v>275</v>
      </c>
      <c r="D117" t="s">
        <v>28</v>
      </c>
      <c r="E117" t="s">
        <v>750</v>
      </c>
      <c r="G117">
        <v>3890.699951171875</v>
      </c>
      <c r="H117">
        <v>41507.952557870369</v>
      </c>
      <c r="I117" t="s">
        <v>787</v>
      </c>
      <c r="J117" t="b">
        <v>0</v>
      </c>
      <c r="K117" t="b">
        <v>0</v>
      </c>
    </row>
    <row r="118" spans="1:11">
      <c r="A118" t="s">
        <v>25</v>
      </c>
      <c r="B118" t="s">
        <v>26</v>
      </c>
      <c r="C118">
        <v>275</v>
      </c>
      <c r="D118" t="s">
        <v>28</v>
      </c>
      <c r="E118" t="s">
        <v>752</v>
      </c>
      <c r="G118">
        <v>4578.7001953125</v>
      </c>
      <c r="H118">
        <v>41361.44027777778</v>
      </c>
      <c r="I118" t="s">
        <v>801</v>
      </c>
      <c r="J118" t="b">
        <v>0</v>
      </c>
      <c r="K118" t="b">
        <v>0</v>
      </c>
    </row>
    <row r="119" spans="1:11">
      <c r="A119" t="s">
        <v>25</v>
      </c>
      <c r="B119" t="s">
        <v>26</v>
      </c>
      <c r="C119">
        <v>290</v>
      </c>
      <c r="D119" t="s">
        <v>28</v>
      </c>
      <c r="E119" t="s">
        <v>748</v>
      </c>
      <c r="G119">
        <v>5216.60009765625</v>
      </c>
      <c r="H119">
        <v>41493.957766203705</v>
      </c>
      <c r="I119" t="s">
        <v>774</v>
      </c>
      <c r="J119" t="b">
        <v>0</v>
      </c>
      <c r="K119" t="b">
        <v>0</v>
      </c>
    </row>
    <row r="120" spans="1:11">
      <c r="A120" t="s">
        <v>25</v>
      </c>
      <c r="B120" t="s">
        <v>26</v>
      </c>
      <c r="C120">
        <v>290</v>
      </c>
      <c r="D120" t="s">
        <v>28</v>
      </c>
      <c r="E120" t="s">
        <v>750</v>
      </c>
      <c r="G120">
        <v>3890.699951171875</v>
      </c>
      <c r="H120">
        <v>41507.963020833333</v>
      </c>
      <c r="I120" t="s">
        <v>787</v>
      </c>
      <c r="J120" t="b">
        <v>0</v>
      </c>
      <c r="K120" t="b">
        <v>0</v>
      </c>
    </row>
    <row r="121" spans="1:11">
      <c r="A121" t="s">
        <v>25</v>
      </c>
      <c r="B121" t="s">
        <v>26</v>
      </c>
      <c r="C121">
        <v>290</v>
      </c>
      <c r="D121" t="s">
        <v>28</v>
      </c>
      <c r="E121" t="s">
        <v>752</v>
      </c>
      <c r="G121">
        <v>4578.7001953125</v>
      </c>
      <c r="H121">
        <v>41361.440347222226</v>
      </c>
      <c r="I121" t="s">
        <v>801</v>
      </c>
      <c r="J121" t="b">
        <v>0</v>
      </c>
      <c r="K121" t="b">
        <v>0</v>
      </c>
    </row>
    <row r="122" spans="1:11">
      <c r="A122" t="s">
        <v>25</v>
      </c>
      <c r="B122" t="s">
        <v>26</v>
      </c>
      <c r="C122">
        <v>291</v>
      </c>
      <c r="D122" t="s">
        <v>28</v>
      </c>
      <c r="E122" t="s">
        <v>748</v>
      </c>
      <c r="G122">
        <v>5216.60009765625</v>
      </c>
      <c r="H122">
        <v>41493.959143518521</v>
      </c>
      <c r="I122" t="s">
        <v>774</v>
      </c>
      <c r="J122" t="b">
        <v>0</v>
      </c>
      <c r="K122" t="b">
        <v>0</v>
      </c>
    </row>
    <row r="123" spans="1:11">
      <c r="A123" t="s">
        <v>25</v>
      </c>
      <c r="B123" t="s">
        <v>26</v>
      </c>
      <c r="C123">
        <v>291</v>
      </c>
      <c r="D123" t="s">
        <v>28</v>
      </c>
      <c r="E123" t="s">
        <v>750</v>
      </c>
      <c r="G123">
        <v>3890.699951171875</v>
      </c>
      <c r="H123">
        <v>41507.955046296294</v>
      </c>
      <c r="I123" t="s">
        <v>787</v>
      </c>
      <c r="J123" t="b">
        <v>0</v>
      </c>
      <c r="K123" t="b">
        <v>0</v>
      </c>
    </row>
    <row r="124" spans="1:11">
      <c r="A124" t="s">
        <v>25</v>
      </c>
      <c r="B124" t="s">
        <v>26</v>
      </c>
      <c r="C124">
        <v>291</v>
      </c>
      <c r="D124" t="s">
        <v>28</v>
      </c>
      <c r="E124" t="s">
        <v>752</v>
      </c>
      <c r="G124">
        <v>4578.7001953125</v>
      </c>
      <c r="H124">
        <v>41361.440416666665</v>
      </c>
      <c r="I124" t="s">
        <v>801</v>
      </c>
      <c r="J124" t="b">
        <v>0</v>
      </c>
      <c r="K124" t="b">
        <v>0</v>
      </c>
    </row>
    <row r="125" spans="1:11">
      <c r="A125" t="s">
        <v>25</v>
      </c>
      <c r="B125" t="s">
        <v>26</v>
      </c>
      <c r="C125">
        <v>295</v>
      </c>
      <c r="D125" t="s">
        <v>28</v>
      </c>
      <c r="E125" t="s">
        <v>748</v>
      </c>
      <c r="G125">
        <v>5216.60009765625</v>
      </c>
      <c r="H125">
        <v>41493.959374999999</v>
      </c>
      <c r="I125" t="s">
        <v>774</v>
      </c>
      <c r="J125" t="b">
        <v>0</v>
      </c>
      <c r="K125" t="b">
        <v>0</v>
      </c>
    </row>
    <row r="126" spans="1:11">
      <c r="A126" t="s">
        <v>25</v>
      </c>
      <c r="B126" t="s">
        <v>26</v>
      </c>
      <c r="C126">
        <v>295</v>
      </c>
      <c r="D126" t="s">
        <v>28</v>
      </c>
      <c r="E126" t="s">
        <v>750</v>
      </c>
      <c r="G126">
        <v>3890.699951171875</v>
      </c>
      <c r="H126">
        <v>41507.970208333332</v>
      </c>
      <c r="I126" t="s">
        <v>800</v>
      </c>
      <c r="J126" t="b">
        <v>0</v>
      </c>
      <c r="K126" t="b">
        <v>0</v>
      </c>
    </row>
    <row r="127" spans="1:11">
      <c r="A127" t="s">
        <v>25</v>
      </c>
      <c r="B127" t="s">
        <v>26</v>
      </c>
      <c r="C127">
        <v>295</v>
      </c>
      <c r="D127" t="s">
        <v>28</v>
      </c>
      <c r="E127" t="s">
        <v>752</v>
      </c>
      <c r="G127">
        <v>4578.7001953125</v>
      </c>
      <c r="H127">
        <v>41361.440555555557</v>
      </c>
      <c r="I127" t="s">
        <v>801</v>
      </c>
      <c r="J127" t="b">
        <v>0</v>
      </c>
      <c r="K127" t="b">
        <v>0</v>
      </c>
    </row>
    <row r="128" spans="1:11">
      <c r="A128" t="s">
        <v>25</v>
      </c>
      <c r="B128" t="s">
        <v>26</v>
      </c>
      <c r="C128">
        <v>300</v>
      </c>
      <c r="D128" t="s">
        <v>28</v>
      </c>
      <c r="E128" t="s">
        <v>748</v>
      </c>
      <c r="G128">
        <v>5216.60009765625</v>
      </c>
      <c r="H128">
        <v>41493.959699074076</v>
      </c>
      <c r="I128" t="s">
        <v>774</v>
      </c>
      <c r="J128" t="b">
        <v>0</v>
      </c>
      <c r="K128" t="b">
        <v>0</v>
      </c>
    </row>
    <row r="129" spans="1:11">
      <c r="A129" t="s">
        <v>25</v>
      </c>
      <c r="B129" t="s">
        <v>26</v>
      </c>
      <c r="C129">
        <v>300</v>
      </c>
      <c r="D129" t="s">
        <v>28</v>
      </c>
      <c r="E129" t="s">
        <v>750</v>
      </c>
      <c r="G129">
        <v>3890.699951171875</v>
      </c>
      <c r="H129">
        <v>41507.97074074074</v>
      </c>
      <c r="I129" t="s">
        <v>800</v>
      </c>
      <c r="J129" t="b">
        <v>0</v>
      </c>
      <c r="K129" t="b">
        <v>0</v>
      </c>
    </row>
    <row r="130" spans="1:11">
      <c r="A130" t="s">
        <v>25</v>
      </c>
      <c r="B130" t="s">
        <v>26</v>
      </c>
      <c r="C130">
        <v>300</v>
      </c>
      <c r="D130" t="s">
        <v>28</v>
      </c>
      <c r="E130" t="s">
        <v>752</v>
      </c>
      <c r="G130">
        <v>4578.7001953125</v>
      </c>
      <c r="H130">
        <v>41361.440613425926</v>
      </c>
      <c r="I130" t="s">
        <v>801</v>
      </c>
      <c r="J130" t="b">
        <v>0</v>
      </c>
      <c r="K130" t="b">
        <v>0</v>
      </c>
    </row>
    <row r="131" spans="1:11">
      <c r="A131" t="s">
        <v>25</v>
      </c>
      <c r="B131" t="s">
        <v>26</v>
      </c>
      <c r="C131">
        <v>400</v>
      </c>
      <c r="D131" t="s">
        <v>28</v>
      </c>
      <c r="E131" t="s">
        <v>748</v>
      </c>
      <c r="G131">
        <v>5211.60009765625</v>
      </c>
      <c r="H131">
        <v>41493.964525462965</v>
      </c>
      <c r="I131" t="s">
        <v>774</v>
      </c>
      <c r="J131" t="b">
        <v>0</v>
      </c>
      <c r="K131" t="b">
        <v>0</v>
      </c>
    </row>
    <row r="132" spans="1:11">
      <c r="A132" t="s">
        <v>25</v>
      </c>
      <c r="B132" t="s">
        <v>26</v>
      </c>
      <c r="C132">
        <v>400</v>
      </c>
      <c r="D132" t="s">
        <v>28</v>
      </c>
      <c r="E132" t="s">
        <v>750</v>
      </c>
      <c r="G132">
        <v>3646.10009765625</v>
      </c>
      <c r="H132">
        <v>40891.258032407408</v>
      </c>
      <c r="I132" t="s">
        <v>754</v>
      </c>
      <c r="J132" t="b">
        <v>0</v>
      </c>
      <c r="K132" t="b">
        <v>0</v>
      </c>
    </row>
    <row r="133" spans="1:11">
      <c r="A133" t="s">
        <v>25</v>
      </c>
      <c r="B133" t="s">
        <v>26</v>
      </c>
      <c r="C133">
        <v>400</v>
      </c>
      <c r="D133" t="s">
        <v>28</v>
      </c>
      <c r="E133" t="s">
        <v>752</v>
      </c>
      <c r="G133">
        <v>4578.7001953125</v>
      </c>
      <c r="H133">
        <v>41361.440682870372</v>
      </c>
      <c r="I133" t="s">
        <v>801</v>
      </c>
      <c r="J133" t="b">
        <v>0</v>
      </c>
      <c r="K133" t="b">
        <v>0</v>
      </c>
    </row>
    <row r="134" spans="1:11">
      <c r="A134" t="s">
        <v>25</v>
      </c>
      <c r="B134" t="s">
        <v>26</v>
      </c>
      <c r="C134">
        <v>465</v>
      </c>
      <c r="D134" t="s">
        <v>28</v>
      </c>
      <c r="E134" t="s">
        <v>748</v>
      </c>
      <c r="G134">
        <v>5216.60009765625</v>
      </c>
      <c r="H134">
        <v>41493.959976851853</v>
      </c>
      <c r="I134" t="s">
        <v>774</v>
      </c>
      <c r="J134" t="b">
        <v>0</v>
      </c>
      <c r="K134" t="b">
        <v>0</v>
      </c>
    </row>
    <row r="135" spans="1:11">
      <c r="A135" t="s">
        <v>25</v>
      </c>
      <c r="B135" t="s">
        <v>26</v>
      </c>
      <c r="C135">
        <v>465</v>
      </c>
      <c r="D135" t="s">
        <v>28</v>
      </c>
      <c r="E135" t="s">
        <v>750</v>
      </c>
      <c r="G135">
        <v>3890.699951171875</v>
      </c>
      <c r="H135">
        <v>41512.925636574073</v>
      </c>
      <c r="I135" t="s">
        <v>797</v>
      </c>
      <c r="J135" t="b">
        <v>0</v>
      </c>
      <c r="K135" t="b">
        <v>0</v>
      </c>
    </row>
    <row r="136" spans="1:11">
      <c r="A136" t="s">
        <v>25</v>
      </c>
      <c r="B136" t="s">
        <v>26</v>
      </c>
      <c r="C136">
        <v>465</v>
      </c>
      <c r="D136" t="s">
        <v>28</v>
      </c>
      <c r="E136" t="s">
        <v>752</v>
      </c>
      <c r="G136">
        <v>4578.7001953125</v>
      </c>
      <c r="H136">
        <v>41361.440775462965</v>
      </c>
      <c r="I136" t="s">
        <v>801</v>
      </c>
      <c r="J136" t="b">
        <v>0</v>
      </c>
      <c r="K136" t="b">
        <v>0</v>
      </c>
    </row>
    <row r="137" spans="1:11">
      <c r="A137" t="s">
        <v>25</v>
      </c>
      <c r="B137" t="s">
        <v>26</v>
      </c>
      <c r="C137">
        <v>496</v>
      </c>
      <c r="D137" t="s">
        <v>27</v>
      </c>
      <c r="E137" t="s">
        <v>748</v>
      </c>
      <c r="F137">
        <v>41533</v>
      </c>
      <c r="H137">
        <v>41535.422858796293</v>
      </c>
      <c r="I137" t="s">
        <v>804</v>
      </c>
      <c r="J137" t="b">
        <v>0</v>
      </c>
      <c r="K137" t="b">
        <v>0</v>
      </c>
    </row>
    <row r="138" spans="1:11">
      <c r="A138" t="s">
        <v>25</v>
      </c>
      <c r="B138" t="s">
        <v>26</v>
      </c>
      <c r="C138">
        <v>496</v>
      </c>
      <c r="D138" t="s">
        <v>27</v>
      </c>
      <c r="E138" t="s">
        <v>750</v>
      </c>
      <c r="F138">
        <v>41680</v>
      </c>
      <c r="H138">
        <v>41681.782685185186</v>
      </c>
      <c r="I138" t="s">
        <v>771</v>
      </c>
      <c r="J138" t="b">
        <v>0</v>
      </c>
      <c r="K138" t="b">
        <v>0</v>
      </c>
    </row>
    <row r="139" spans="1:11">
      <c r="A139" t="s">
        <v>25</v>
      </c>
      <c r="B139" t="s">
        <v>26</v>
      </c>
      <c r="C139">
        <v>496</v>
      </c>
      <c r="D139" t="s">
        <v>27</v>
      </c>
      <c r="E139" t="s">
        <v>752</v>
      </c>
      <c r="F139">
        <v>41546</v>
      </c>
      <c r="H139">
        <v>41544.745925925927</v>
      </c>
      <c r="I139" t="s">
        <v>788</v>
      </c>
      <c r="J139" t="b">
        <v>0</v>
      </c>
      <c r="K139" t="b">
        <v>0</v>
      </c>
    </row>
    <row r="140" spans="1:11">
      <c r="A140" t="s">
        <v>25</v>
      </c>
      <c r="B140" t="s">
        <v>26</v>
      </c>
      <c r="C140">
        <v>500</v>
      </c>
      <c r="D140" t="s">
        <v>13</v>
      </c>
      <c r="E140" t="s">
        <v>748</v>
      </c>
      <c r="F140">
        <v>41542</v>
      </c>
      <c r="H140">
        <v>41542.928159722222</v>
      </c>
      <c r="I140" t="s">
        <v>788</v>
      </c>
      <c r="J140" t="b">
        <v>0</v>
      </c>
      <c r="K140" t="b">
        <v>0</v>
      </c>
    </row>
    <row r="141" spans="1:11">
      <c r="A141" t="s">
        <v>25</v>
      </c>
      <c r="B141" t="s">
        <v>26</v>
      </c>
      <c r="C141">
        <v>500</v>
      </c>
      <c r="D141" t="s">
        <v>13</v>
      </c>
      <c r="E141" t="s">
        <v>750</v>
      </c>
      <c r="F141">
        <v>41634</v>
      </c>
      <c r="H141">
        <v>41625.384618055556</v>
      </c>
      <c r="I141" t="s">
        <v>773</v>
      </c>
      <c r="J141" t="b">
        <v>0</v>
      </c>
      <c r="K141" t="b">
        <v>0</v>
      </c>
    </row>
    <row r="142" spans="1:11">
      <c r="A142" t="s">
        <v>25</v>
      </c>
      <c r="B142" t="s">
        <v>26</v>
      </c>
      <c r="C142">
        <v>500</v>
      </c>
      <c r="D142" t="s">
        <v>13</v>
      </c>
      <c r="E142" t="s">
        <v>752</v>
      </c>
      <c r="F142">
        <v>41655</v>
      </c>
      <c r="H142">
        <v>41655.672581018516</v>
      </c>
      <c r="I142" t="s">
        <v>773</v>
      </c>
      <c r="J142" t="b">
        <v>0</v>
      </c>
      <c r="K142" t="b">
        <v>0</v>
      </c>
    </row>
    <row r="143" spans="1:11">
      <c r="A143" t="s">
        <v>25</v>
      </c>
      <c r="B143" t="s">
        <v>26</v>
      </c>
      <c r="C143">
        <v>530</v>
      </c>
      <c r="D143" t="s">
        <v>13</v>
      </c>
      <c r="E143" t="s">
        <v>748</v>
      </c>
      <c r="F143">
        <v>41467</v>
      </c>
      <c r="H143">
        <v>41493.982708333337</v>
      </c>
      <c r="I143" t="s">
        <v>774</v>
      </c>
      <c r="J143" t="b">
        <v>0</v>
      </c>
      <c r="K143" t="b">
        <v>0</v>
      </c>
    </row>
    <row r="144" spans="1:11">
      <c r="A144" t="s">
        <v>25</v>
      </c>
      <c r="B144" t="s">
        <v>26</v>
      </c>
      <c r="C144">
        <v>530</v>
      </c>
      <c r="D144" t="s">
        <v>13</v>
      </c>
      <c r="E144" t="s">
        <v>750</v>
      </c>
      <c r="F144">
        <v>41523</v>
      </c>
      <c r="H144">
        <v>41549.706932870373</v>
      </c>
      <c r="I144" t="s">
        <v>786</v>
      </c>
      <c r="J144" t="b">
        <v>0</v>
      </c>
      <c r="K144" t="b">
        <v>0</v>
      </c>
    </row>
    <row r="145" spans="1:11">
      <c r="A145" t="s">
        <v>25</v>
      </c>
      <c r="B145" t="s">
        <v>26</v>
      </c>
      <c r="C145">
        <v>530</v>
      </c>
      <c r="D145" t="s">
        <v>13</v>
      </c>
      <c r="E145" t="s">
        <v>752</v>
      </c>
      <c r="F145">
        <v>41361</v>
      </c>
      <c r="H145">
        <v>41361.367511574077</v>
      </c>
      <c r="I145" t="s">
        <v>805</v>
      </c>
      <c r="J145" t="b">
        <v>0</v>
      </c>
      <c r="K145" t="b">
        <v>0</v>
      </c>
    </row>
    <row r="146" spans="1:11">
      <c r="A146" t="s">
        <v>25</v>
      </c>
      <c r="B146" t="s">
        <v>26</v>
      </c>
      <c r="C146">
        <v>531</v>
      </c>
      <c r="D146" t="s">
        <v>13</v>
      </c>
      <c r="E146" t="s">
        <v>748</v>
      </c>
      <c r="F146">
        <v>41702</v>
      </c>
      <c r="H146">
        <v>41702.748159722221</v>
      </c>
      <c r="I146" t="s">
        <v>767</v>
      </c>
      <c r="J146" t="b">
        <v>0</v>
      </c>
      <c r="K146" t="b">
        <v>0</v>
      </c>
    </row>
    <row r="147" spans="1:11">
      <c r="A147" t="s">
        <v>25</v>
      </c>
      <c r="B147" t="s">
        <v>26</v>
      </c>
      <c r="C147">
        <v>531</v>
      </c>
      <c r="D147" t="s">
        <v>13</v>
      </c>
      <c r="E147" t="s">
        <v>750</v>
      </c>
      <c r="F147">
        <v>41643</v>
      </c>
      <c r="H147">
        <v>41647.945243055554</v>
      </c>
      <c r="I147" t="s">
        <v>755</v>
      </c>
      <c r="J147" t="b">
        <v>0</v>
      </c>
      <c r="K147" t="b">
        <v>0</v>
      </c>
    </row>
    <row r="148" spans="1:11">
      <c r="A148" t="s">
        <v>25</v>
      </c>
      <c r="B148" t="s">
        <v>26</v>
      </c>
      <c r="C148">
        <v>531</v>
      </c>
      <c r="D148" t="s">
        <v>13</v>
      </c>
      <c r="E148" t="s">
        <v>752</v>
      </c>
      <c r="F148">
        <v>41404</v>
      </c>
      <c r="H148">
        <v>41409.574212962965</v>
      </c>
      <c r="I148" t="s">
        <v>784</v>
      </c>
      <c r="J148" t="b">
        <v>0</v>
      </c>
      <c r="K148" t="b">
        <v>0</v>
      </c>
    </row>
    <row r="149" spans="1:11">
      <c r="A149" t="s">
        <v>25</v>
      </c>
      <c r="B149" t="s">
        <v>26</v>
      </c>
      <c r="C149">
        <v>532</v>
      </c>
      <c r="D149" t="s">
        <v>13</v>
      </c>
      <c r="E149" t="s">
        <v>748</v>
      </c>
      <c r="F149">
        <v>41325</v>
      </c>
      <c r="H149">
        <v>41325.463506944441</v>
      </c>
      <c r="I149" t="s">
        <v>757</v>
      </c>
      <c r="J149" t="b">
        <v>0</v>
      </c>
      <c r="K149" t="b">
        <v>0</v>
      </c>
    </row>
    <row r="150" spans="1:11">
      <c r="A150" t="s">
        <v>25</v>
      </c>
      <c r="B150" t="s">
        <v>26</v>
      </c>
      <c r="C150">
        <v>532</v>
      </c>
      <c r="D150" t="s">
        <v>13</v>
      </c>
      <c r="E150" t="s">
        <v>750</v>
      </c>
      <c r="F150">
        <v>41457</v>
      </c>
      <c r="H150">
        <v>41619.649456018517</v>
      </c>
      <c r="I150" t="s">
        <v>773</v>
      </c>
      <c r="J150" t="b">
        <v>0</v>
      </c>
      <c r="K150" t="b">
        <v>0</v>
      </c>
    </row>
    <row r="151" spans="1:11">
      <c r="A151" t="s">
        <v>25</v>
      </c>
      <c r="B151" t="s">
        <v>26</v>
      </c>
      <c r="C151">
        <v>532</v>
      </c>
      <c r="D151" t="s">
        <v>13</v>
      </c>
      <c r="E151" t="s">
        <v>752</v>
      </c>
      <c r="F151">
        <v>41565</v>
      </c>
      <c r="H151">
        <v>41577.305960648147</v>
      </c>
      <c r="I151" t="s">
        <v>801</v>
      </c>
      <c r="J151" t="b">
        <v>0</v>
      </c>
      <c r="K151" t="b">
        <v>0</v>
      </c>
    </row>
    <row r="152" spans="1:11">
      <c r="A152" t="s">
        <v>25</v>
      </c>
      <c r="B152" t="s">
        <v>26</v>
      </c>
      <c r="C152">
        <v>533</v>
      </c>
      <c r="D152" t="s">
        <v>13</v>
      </c>
      <c r="E152" t="s">
        <v>748</v>
      </c>
      <c r="F152">
        <v>41702</v>
      </c>
      <c r="H152">
        <v>41702.748368055552</v>
      </c>
      <c r="I152" t="s">
        <v>767</v>
      </c>
      <c r="J152" t="b">
        <v>0</v>
      </c>
      <c r="K152" t="b">
        <v>0</v>
      </c>
    </row>
    <row r="153" spans="1:11">
      <c r="A153" t="s">
        <v>25</v>
      </c>
      <c r="B153" t="s">
        <v>26</v>
      </c>
      <c r="C153">
        <v>533</v>
      </c>
      <c r="D153" t="s">
        <v>13</v>
      </c>
      <c r="E153" t="s">
        <v>750</v>
      </c>
      <c r="F153">
        <v>41643</v>
      </c>
      <c r="H153">
        <v>41647.945370370369</v>
      </c>
      <c r="I153" t="s">
        <v>755</v>
      </c>
      <c r="J153" t="b">
        <v>0</v>
      </c>
      <c r="K153" t="b">
        <v>0</v>
      </c>
    </row>
    <row r="154" spans="1:11">
      <c r="A154" t="s">
        <v>25</v>
      </c>
      <c r="B154" t="s">
        <v>26</v>
      </c>
      <c r="C154">
        <v>533</v>
      </c>
      <c r="D154" t="s">
        <v>13</v>
      </c>
      <c r="E154" t="s">
        <v>752</v>
      </c>
      <c r="F154">
        <v>41404</v>
      </c>
      <c r="H154">
        <v>41409.574374999997</v>
      </c>
      <c r="I154" t="s">
        <v>784</v>
      </c>
      <c r="J154" t="b">
        <v>0</v>
      </c>
      <c r="K154" t="b">
        <v>0</v>
      </c>
    </row>
    <row r="155" spans="1:11">
      <c r="A155" t="s">
        <v>25</v>
      </c>
      <c r="B155" t="s">
        <v>26</v>
      </c>
      <c r="C155">
        <v>534</v>
      </c>
      <c r="D155" t="s">
        <v>13</v>
      </c>
      <c r="E155" t="s">
        <v>748</v>
      </c>
      <c r="F155">
        <v>41702</v>
      </c>
      <c r="H155">
        <v>41702.748506944445</v>
      </c>
      <c r="I155" t="s">
        <v>767</v>
      </c>
      <c r="J155" t="b">
        <v>0</v>
      </c>
      <c r="K155" t="b">
        <v>0</v>
      </c>
    </row>
    <row r="156" spans="1:11">
      <c r="A156" t="s">
        <v>25</v>
      </c>
      <c r="B156" t="s">
        <v>26</v>
      </c>
      <c r="C156">
        <v>534</v>
      </c>
      <c r="D156" t="s">
        <v>13</v>
      </c>
      <c r="E156" t="s">
        <v>750</v>
      </c>
      <c r="F156">
        <v>41664</v>
      </c>
      <c r="H156">
        <v>41647.945740740739</v>
      </c>
      <c r="I156" t="s">
        <v>755</v>
      </c>
      <c r="J156" t="b">
        <v>0</v>
      </c>
      <c r="K156" t="b">
        <v>0</v>
      </c>
    </row>
    <row r="157" spans="1:11">
      <c r="A157" t="s">
        <v>25</v>
      </c>
      <c r="B157" t="s">
        <v>26</v>
      </c>
      <c r="C157">
        <v>534</v>
      </c>
      <c r="D157" t="s">
        <v>13</v>
      </c>
      <c r="E157" t="s">
        <v>752</v>
      </c>
      <c r="F157">
        <v>41404</v>
      </c>
      <c r="H157">
        <v>41409.574537037035</v>
      </c>
      <c r="I157" t="s">
        <v>784</v>
      </c>
      <c r="J157" t="b">
        <v>0</v>
      </c>
      <c r="K157" t="b">
        <v>0</v>
      </c>
    </row>
    <row r="158" spans="1:11">
      <c r="A158" t="s">
        <v>25</v>
      </c>
      <c r="B158" t="s">
        <v>26</v>
      </c>
      <c r="C158">
        <v>535</v>
      </c>
      <c r="D158" t="s">
        <v>13</v>
      </c>
      <c r="E158" t="s">
        <v>748</v>
      </c>
      <c r="F158">
        <v>41471</v>
      </c>
      <c r="H158">
        <v>41494.000324074077</v>
      </c>
      <c r="I158" t="s">
        <v>774</v>
      </c>
      <c r="J158" t="b">
        <v>0</v>
      </c>
      <c r="K158" t="b">
        <v>0</v>
      </c>
    </row>
    <row r="159" spans="1:11">
      <c r="A159" t="s">
        <v>25</v>
      </c>
      <c r="B159" t="s">
        <v>26</v>
      </c>
      <c r="C159">
        <v>535</v>
      </c>
      <c r="D159" t="s">
        <v>13</v>
      </c>
      <c r="E159" t="s">
        <v>750</v>
      </c>
      <c r="F159">
        <v>41499</v>
      </c>
      <c r="H159">
        <v>41527.726203703707</v>
      </c>
      <c r="I159" t="s">
        <v>779</v>
      </c>
      <c r="J159" t="b">
        <v>0</v>
      </c>
      <c r="K159" t="b">
        <v>0</v>
      </c>
    </row>
    <row r="160" spans="1:11">
      <c r="A160" t="s">
        <v>25</v>
      </c>
      <c r="B160" t="s">
        <v>26</v>
      </c>
      <c r="C160">
        <v>535</v>
      </c>
      <c r="D160" t="s">
        <v>13</v>
      </c>
      <c r="E160" t="s">
        <v>752</v>
      </c>
      <c r="F160">
        <v>41591</v>
      </c>
      <c r="H160">
        <v>41592.370659722219</v>
      </c>
      <c r="I160" t="s">
        <v>804</v>
      </c>
      <c r="J160" t="b">
        <v>0</v>
      </c>
      <c r="K160" t="b">
        <v>0</v>
      </c>
    </row>
    <row r="161" spans="1:11">
      <c r="A161" t="s">
        <v>25</v>
      </c>
      <c r="B161" t="s">
        <v>26</v>
      </c>
      <c r="C161">
        <v>542</v>
      </c>
      <c r="D161" t="s">
        <v>13</v>
      </c>
      <c r="E161" t="s">
        <v>748</v>
      </c>
      <c r="F161">
        <v>41702</v>
      </c>
      <c r="H161">
        <v>41702.748622685183</v>
      </c>
      <c r="I161" t="s">
        <v>767</v>
      </c>
      <c r="J161" t="b">
        <v>0</v>
      </c>
      <c r="K161" t="b">
        <v>0</v>
      </c>
    </row>
    <row r="162" spans="1:11">
      <c r="A162" t="s">
        <v>25</v>
      </c>
      <c r="B162" t="s">
        <v>26</v>
      </c>
      <c r="C162">
        <v>542</v>
      </c>
      <c r="D162" t="s">
        <v>13</v>
      </c>
      <c r="E162" t="s">
        <v>750</v>
      </c>
      <c r="F162">
        <v>41643</v>
      </c>
      <c r="H162">
        <v>41647.945486111108</v>
      </c>
      <c r="I162" t="s">
        <v>755</v>
      </c>
      <c r="J162" t="b">
        <v>0</v>
      </c>
      <c r="K162" t="b">
        <v>0</v>
      </c>
    </row>
    <row r="163" spans="1:11">
      <c r="A163" t="s">
        <v>25</v>
      </c>
      <c r="B163" t="s">
        <v>26</v>
      </c>
      <c r="C163">
        <v>542</v>
      </c>
      <c r="D163" t="s">
        <v>13</v>
      </c>
      <c r="E163" t="s">
        <v>752</v>
      </c>
      <c r="F163">
        <v>41404</v>
      </c>
      <c r="H163">
        <v>41409.574652777781</v>
      </c>
      <c r="I163" t="s">
        <v>784</v>
      </c>
      <c r="J163" t="b">
        <v>0</v>
      </c>
      <c r="K163" t="b">
        <v>0</v>
      </c>
    </row>
    <row r="164" spans="1:11">
      <c r="A164" t="s">
        <v>25</v>
      </c>
      <c r="B164" t="s">
        <v>26</v>
      </c>
      <c r="C164">
        <v>551</v>
      </c>
      <c r="D164" t="s">
        <v>13</v>
      </c>
      <c r="E164" t="s">
        <v>748</v>
      </c>
      <c r="F164">
        <v>41428</v>
      </c>
      <c r="H164">
        <v>41428.744791666664</v>
      </c>
      <c r="I164" t="s">
        <v>808</v>
      </c>
      <c r="J164" t="b">
        <v>0</v>
      </c>
      <c r="K164" t="b">
        <v>0</v>
      </c>
    </row>
    <row r="165" spans="1:11">
      <c r="A165" t="s">
        <v>25</v>
      </c>
      <c r="B165" t="s">
        <v>26</v>
      </c>
      <c r="C165">
        <v>551</v>
      </c>
      <c r="D165" t="s">
        <v>13</v>
      </c>
      <c r="E165" t="s">
        <v>750</v>
      </c>
      <c r="F165">
        <v>41502</v>
      </c>
      <c r="H165">
        <v>41508.693692129629</v>
      </c>
      <c r="I165" t="s">
        <v>809</v>
      </c>
      <c r="J165" t="b">
        <v>0</v>
      </c>
      <c r="K165" t="b">
        <v>0</v>
      </c>
    </row>
    <row r="166" spans="1:11">
      <c r="A166" t="s">
        <v>25</v>
      </c>
      <c r="B166" t="s">
        <v>26</v>
      </c>
      <c r="C166">
        <v>551</v>
      </c>
      <c r="D166" t="s">
        <v>13</v>
      </c>
      <c r="E166" t="s">
        <v>752</v>
      </c>
      <c r="F166">
        <v>41446</v>
      </c>
      <c r="H166">
        <v>41446.480937499997</v>
      </c>
      <c r="I166" t="s">
        <v>810</v>
      </c>
      <c r="J166" t="b">
        <v>0</v>
      </c>
      <c r="K166" t="b">
        <v>0</v>
      </c>
    </row>
    <row r="167" spans="1:11">
      <c r="A167" t="s">
        <v>25</v>
      </c>
      <c r="B167" t="s">
        <v>26</v>
      </c>
      <c r="C167">
        <v>553</v>
      </c>
      <c r="D167" t="s">
        <v>13</v>
      </c>
      <c r="E167" t="s">
        <v>748</v>
      </c>
      <c r="F167">
        <v>41387</v>
      </c>
      <c r="H167">
        <v>41387.841446759259</v>
      </c>
      <c r="I167" t="s">
        <v>801</v>
      </c>
      <c r="J167" t="b">
        <v>0</v>
      </c>
      <c r="K167" t="b">
        <v>0</v>
      </c>
    </row>
    <row r="168" spans="1:11">
      <c r="A168" t="s">
        <v>25</v>
      </c>
      <c r="B168" t="s">
        <v>26</v>
      </c>
      <c r="C168">
        <v>553</v>
      </c>
      <c r="D168" t="s">
        <v>13</v>
      </c>
      <c r="E168" t="s">
        <v>750</v>
      </c>
      <c r="F168">
        <v>41536</v>
      </c>
      <c r="H168">
        <v>41536.422280092593</v>
      </c>
      <c r="I168" t="s">
        <v>780</v>
      </c>
      <c r="J168" t="b">
        <v>0</v>
      </c>
      <c r="K168" t="b">
        <v>0</v>
      </c>
    </row>
    <row r="169" spans="1:11">
      <c r="A169" t="s">
        <v>25</v>
      </c>
      <c r="B169" t="s">
        <v>26</v>
      </c>
      <c r="C169">
        <v>553</v>
      </c>
      <c r="D169" t="s">
        <v>13</v>
      </c>
      <c r="E169" t="s">
        <v>752</v>
      </c>
      <c r="F169">
        <v>41495</v>
      </c>
      <c r="H169">
        <v>41495.377604166664</v>
      </c>
      <c r="I169" t="s">
        <v>804</v>
      </c>
      <c r="J169" t="b">
        <v>0</v>
      </c>
      <c r="K169" t="b">
        <v>0</v>
      </c>
    </row>
    <row r="170" spans="1:11">
      <c r="A170" t="s">
        <v>25</v>
      </c>
      <c r="B170" t="s">
        <v>26</v>
      </c>
      <c r="C170">
        <v>570</v>
      </c>
      <c r="D170" t="s">
        <v>13</v>
      </c>
      <c r="E170" t="s">
        <v>748</v>
      </c>
      <c r="F170">
        <v>41358</v>
      </c>
      <c r="H170">
        <v>41366.563935185186</v>
      </c>
      <c r="I170" t="s">
        <v>792</v>
      </c>
      <c r="J170" t="b">
        <v>0</v>
      </c>
      <c r="K170" t="b">
        <v>0</v>
      </c>
    </row>
    <row r="171" spans="1:11">
      <c r="A171" t="s">
        <v>25</v>
      </c>
      <c r="B171" t="s">
        <v>26</v>
      </c>
      <c r="C171">
        <v>570</v>
      </c>
      <c r="D171" t="s">
        <v>13</v>
      </c>
      <c r="E171" t="s">
        <v>750</v>
      </c>
      <c r="F171">
        <v>41374</v>
      </c>
      <c r="H171">
        <v>41374.416747685187</v>
      </c>
      <c r="I171" t="s">
        <v>786</v>
      </c>
      <c r="J171" t="b">
        <v>0</v>
      </c>
      <c r="K171" t="b">
        <v>0</v>
      </c>
    </row>
    <row r="172" spans="1:11">
      <c r="A172" t="s">
        <v>25</v>
      </c>
      <c r="B172" t="s">
        <v>26</v>
      </c>
      <c r="C172">
        <v>570</v>
      </c>
      <c r="D172" t="s">
        <v>13</v>
      </c>
      <c r="E172" t="s">
        <v>752</v>
      </c>
      <c r="F172">
        <v>41563</v>
      </c>
      <c r="H172">
        <v>41562.483726851853</v>
      </c>
      <c r="I172" t="s">
        <v>788</v>
      </c>
      <c r="J172" t="b">
        <v>0</v>
      </c>
      <c r="K172" t="b">
        <v>0</v>
      </c>
    </row>
    <row r="173" spans="1:11">
      <c r="A173" t="s">
        <v>25</v>
      </c>
      <c r="B173" t="s">
        <v>26</v>
      </c>
      <c r="C173">
        <v>580</v>
      </c>
      <c r="D173" t="s">
        <v>13</v>
      </c>
      <c r="E173" t="s">
        <v>748</v>
      </c>
      <c r="F173">
        <v>41358</v>
      </c>
      <c r="H173">
        <v>41366.567858796298</v>
      </c>
      <c r="I173" t="s">
        <v>792</v>
      </c>
      <c r="J173" t="b">
        <v>0</v>
      </c>
      <c r="K173" t="b">
        <v>0</v>
      </c>
    </row>
    <row r="174" spans="1:11">
      <c r="A174" t="s">
        <v>25</v>
      </c>
      <c r="B174" t="s">
        <v>26</v>
      </c>
      <c r="C174">
        <v>580</v>
      </c>
      <c r="D174" t="s">
        <v>13</v>
      </c>
      <c r="E174" t="s">
        <v>750</v>
      </c>
      <c r="F174">
        <v>41374</v>
      </c>
      <c r="H174">
        <v>41374.417245370372</v>
      </c>
      <c r="I174" t="s">
        <v>786</v>
      </c>
      <c r="J174" t="b">
        <v>0</v>
      </c>
      <c r="K174" t="b">
        <v>0</v>
      </c>
    </row>
    <row r="175" spans="1:11">
      <c r="A175" t="s">
        <v>25</v>
      </c>
      <c r="B175" t="s">
        <v>26</v>
      </c>
      <c r="C175">
        <v>580</v>
      </c>
      <c r="D175" t="s">
        <v>13</v>
      </c>
      <c r="E175" t="s">
        <v>752</v>
      </c>
      <c r="F175">
        <v>41563</v>
      </c>
      <c r="H175">
        <v>41562.484074074076</v>
      </c>
      <c r="I175" t="s">
        <v>788</v>
      </c>
      <c r="J175" t="b">
        <v>0</v>
      </c>
      <c r="K175" t="b">
        <v>0</v>
      </c>
    </row>
    <row r="176" spans="1:11">
      <c r="A176" t="s">
        <v>25</v>
      </c>
      <c r="B176" t="s">
        <v>26</v>
      </c>
      <c r="C176">
        <v>591</v>
      </c>
      <c r="D176" t="s">
        <v>13</v>
      </c>
      <c r="E176" t="s">
        <v>748</v>
      </c>
      <c r="F176">
        <v>41579</v>
      </c>
      <c r="H176">
        <v>41699.377835648149</v>
      </c>
      <c r="I176" t="s">
        <v>801</v>
      </c>
      <c r="J176" t="b">
        <v>0</v>
      </c>
      <c r="K176" t="b">
        <v>0</v>
      </c>
    </row>
    <row r="177" spans="1:11">
      <c r="A177" t="s">
        <v>25</v>
      </c>
      <c r="B177" t="s">
        <v>26</v>
      </c>
      <c r="C177">
        <v>591</v>
      </c>
      <c r="D177" t="s">
        <v>13</v>
      </c>
      <c r="E177" t="s">
        <v>750</v>
      </c>
      <c r="F177">
        <v>41518</v>
      </c>
      <c r="H177">
        <v>41699.299837962964</v>
      </c>
      <c r="I177" t="s">
        <v>801</v>
      </c>
      <c r="J177" t="b">
        <v>0</v>
      </c>
      <c r="K177" t="b">
        <v>0</v>
      </c>
    </row>
    <row r="178" spans="1:11">
      <c r="A178" t="s">
        <v>25</v>
      </c>
      <c r="B178" t="s">
        <v>26</v>
      </c>
      <c r="C178">
        <v>591</v>
      </c>
      <c r="D178" t="s">
        <v>13</v>
      </c>
      <c r="E178" t="s">
        <v>752</v>
      </c>
      <c r="F178">
        <v>41548</v>
      </c>
      <c r="H178">
        <v>41699.305196759262</v>
      </c>
      <c r="I178" t="s">
        <v>801</v>
      </c>
      <c r="J178" t="b">
        <v>0</v>
      </c>
      <c r="K178" t="b">
        <v>0</v>
      </c>
    </row>
    <row r="179" spans="1:11">
      <c r="A179" t="s">
        <v>25</v>
      </c>
      <c r="B179" t="s">
        <v>26</v>
      </c>
      <c r="C179">
        <v>649</v>
      </c>
      <c r="D179" t="s">
        <v>13</v>
      </c>
      <c r="E179" t="s">
        <v>748</v>
      </c>
      <c r="F179">
        <v>41022</v>
      </c>
      <c r="H179">
        <v>41022.219456018516</v>
      </c>
      <c r="I179" t="s">
        <v>811</v>
      </c>
      <c r="J179" t="b">
        <v>0</v>
      </c>
      <c r="K179" t="b">
        <v>0</v>
      </c>
    </row>
    <row r="180" spans="1:11">
      <c r="A180" t="s">
        <v>25</v>
      </c>
      <c r="B180" t="s">
        <v>26</v>
      </c>
      <c r="C180">
        <v>649</v>
      </c>
      <c r="D180" t="s">
        <v>13</v>
      </c>
      <c r="E180" t="s">
        <v>750</v>
      </c>
      <c r="F180">
        <v>41172</v>
      </c>
      <c r="H180">
        <v>41172.815937500003</v>
      </c>
      <c r="I180" t="s">
        <v>812</v>
      </c>
      <c r="J180" t="b">
        <v>0</v>
      </c>
      <c r="K180" t="b">
        <v>0</v>
      </c>
    </row>
    <row r="181" spans="1:11">
      <c r="A181" t="s">
        <v>25</v>
      </c>
      <c r="B181" t="s">
        <v>26</v>
      </c>
      <c r="C181">
        <v>649</v>
      </c>
      <c r="D181" t="s">
        <v>13</v>
      </c>
      <c r="E181" t="s">
        <v>752</v>
      </c>
      <c r="F181">
        <v>41495</v>
      </c>
      <c r="H181">
        <v>41495.37773148148</v>
      </c>
      <c r="I181" t="s">
        <v>804</v>
      </c>
      <c r="J181" t="b">
        <v>0</v>
      </c>
      <c r="K181" t="b">
        <v>0</v>
      </c>
    </row>
    <row r="182" spans="1:11">
      <c r="A182" t="s">
        <v>25</v>
      </c>
      <c r="B182" t="s">
        <v>26</v>
      </c>
      <c r="C182">
        <v>680</v>
      </c>
      <c r="D182" t="s">
        <v>13</v>
      </c>
      <c r="E182" t="s">
        <v>748</v>
      </c>
      <c r="F182">
        <v>39965</v>
      </c>
      <c r="H182">
        <v>40645.467511574076</v>
      </c>
      <c r="I182" t="s">
        <v>813</v>
      </c>
      <c r="J182" t="b">
        <v>0</v>
      </c>
      <c r="K182" t="b">
        <v>0</v>
      </c>
    </row>
    <row r="183" spans="1:11">
      <c r="A183" t="s">
        <v>25</v>
      </c>
      <c r="B183" t="s">
        <v>26</v>
      </c>
      <c r="C183">
        <v>680</v>
      </c>
      <c r="D183" t="s">
        <v>13</v>
      </c>
      <c r="E183" t="s">
        <v>750</v>
      </c>
      <c r="F183">
        <v>40210</v>
      </c>
      <c r="H183">
        <v>40639.896377314813</v>
      </c>
      <c r="I183" t="s">
        <v>813</v>
      </c>
      <c r="J183" t="b">
        <v>0</v>
      </c>
      <c r="K183" t="b">
        <v>0</v>
      </c>
    </row>
    <row r="184" spans="1:11">
      <c r="A184" t="s">
        <v>25</v>
      </c>
      <c r="B184" t="s">
        <v>26</v>
      </c>
      <c r="C184">
        <v>680</v>
      </c>
      <c r="D184" t="s">
        <v>13</v>
      </c>
      <c r="E184" t="s">
        <v>752</v>
      </c>
      <c r="F184">
        <v>41091</v>
      </c>
      <c r="H184">
        <v>41116.865949074076</v>
      </c>
      <c r="I184" t="s">
        <v>814</v>
      </c>
      <c r="J184" t="b">
        <v>0</v>
      </c>
      <c r="K184" t="b">
        <v>0</v>
      </c>
    </row>
    <row r="185" spans="1:11">
      <c r="A185" t="s">
        <v>25</v>
      </c>
      <c r="B185" t="s">
        <v>26</v>
      </c>
      <c r="C185">
        <v>681</v>
      </c>
      <c r="D185" t="s">
        <v>13</v>
      </c>
      <c r="E185" t="s">
        <v>748</v>
      </c>
      <c r="F185">
        <v>41122</v>
      </c>
      <c r="H185">
        <v>41128.460879629631</v>
      </c>
      <c r="I185" t="s">
        <v>815</v>
      </c>
      <c r="J185" t="b">
        <v>0</v>
      </c>
      <c r="K185" t="b">
        <v>0</v>
      </c>
    </row>
    <row r="186" spans="1:11">
      <c r="A186" t="s">
        <v>25</v>
      </c>
      <c r="B186" t="s">
        <v>26</v>
      </c>
      <c r="C186">
        <v>681</v>
      </c>
      <c r="D186" t="s">
        <v>13</v>
      </c>
      <c r="E186" t="s">
        <v>750</v>
      </c>
      <c r="F186">
        <v>40210</v>
      </c>
      <c r="H186">
        <v>40639.896608796298</v>
      </c>
      <c r="I186" t="s">
        <v>813</v>
      </c>
      <c r="J186" t="b">
        <v>0</v>
      </c>
      <c r="K186" t="b">
        <v>0</v>
      </c>
    </row>
    <row r="187" spans="1:11">
      <c r="A187" t="s">
        <v>25</v>
      </c>
      <c r="B187" t="s">
        <v>26</v>
      </c>
      <c r="C187">
        <v>681</v>
      </c>
      <c r="D187" t="s">
        <v>13</v>
      </c>
      <c r="E187" t="s">
        <v>752</v>
      </c>
      <c r="F187">
        <v>41091</v>
      </c>
      <c r="H187">
        <v>41198.554479166669</v>
      </c>
      <c r="I187" t="s">
        <v>816</v>
      </c>
      <c r="J187" t="b">
        <v>0</v>
      </c>
      <c r="K187" t="b">
        <v>0</v>
      </c>
    </row>
    <row r="188" spans="1:11">
      <c r="A188" t="s">
        <v>25</v>
      </c>
      <c r="B188" t="s">
        <v>26</v>
      </c>
      <c r="C188">
        <v>682</v>
      </c>
      <c r="D188" t="s">
        <v>13</v>
      </c>
      <c r="E188" t="s">
        <v>748</v>
      </c>
      <c r="F188">
        <v>41122</v>
      </c>
      <c r="H188">
        <v>41128.522499999999</v>
      </c>
      <c r="I188" t="s">
        <v>815</v>
      </c>
      <c r="J188" t="b">
        <v>0</v>
      </c>
      <c r="K188" t="b">
        <v>0</v>
      </c>
    </row>
    <row r="189" spans="1:11">
      <c r="A189" t="s">
        <v>25</v>
      </c>
      <c r="B189" t="s">
        <v>26</v>
      </c>
      <c r="C189">
        <v>682</v>
      </c>
      <c r="D189" t="s">
        <v>13</v>
      </c>
      <c r="E189" t="s">
        <v>750</v>
      </c>
      <c r="F189">
        <v>40210</v>
      </c>
      <c r="H189">
        <v>40639.896053240744</v>
      </c>
      <c r="I189" t="s">
        <v>813</v>
      </c>
      <c r="J189" t="b">
        <v>0</v>
      </c>
      <c r="K189" t="b">
        <v>0</v>
      </c>
    </row>
    <row r="190" spans="1:11">
      <c r="A190" t="s">
        <v>25</v>
      </c>
      <c r="B190" t="s">
        <v>26</v>
      </c>
      <c r="C190">
        <v>682</v>
      </c>
      <c r="D190" t="s">
        <v>13</v>
      </c>
      <c r="E190" t="s">
        <v>752</v>
      </c>
      <c r="F190">
        <v>41091</v>
      </c>
      <c r="H190">
        <v>41121.561041666668</v>
      </c>
      <c r="I190" t="s">
        <v>817</v>
      </c>
      <c r="J190" t="b">
        <v>0</v>
      </c>
      <c r="K190" t="b">
        <v>0</v>
      </c>
    </row>
    <row r="191" spans="1:11">
      <c r="A191" t="s">
        <v>25</v>
      </c>
      <c r="B191" t="s">
        <v>26</v>
      </c>
      <c r="C191">
        <v>683</v>
      </c>
      <c r="D191" t="s">
        <v>13</v>
      </c>
      <c r="E191" t="s">
        <v>748</v>
      </c>
      <c r="F191">
        <v>41122</v>
      </c>
      <c r="H191">
        <v>41128.493206018517</v>
      </c>
      <c r="I191" t="s">
        <v>815</v>
      </c>
      <c r="J191" t="b">
        <v>0</v>
      </c>
      <c r="K191" t="b">
        <v>0</v>
      </c>
    </row>
    <row r="192" spans="1:11">
      <c r="A192" t="s">
        <v>25</v>
      </c>
      <c r="B192" t="s">
        <v>26</v>
      </c>
      <c r="C192">
        <v>683</v>
      </c>
      <c r="D192" t="s">
        <v>13</v>
      </c>
      <c r="E192" t="s">
        <v>750</v>
      </c>
      <c r="F192">
        <v>40210</v>
      </c>
      <c r="H192">
        <v>40639.896990740737</v>
      </c>
      <c r="I192" t="s">
        <v>813</v>
      </c>
      <c r="J192" t="b">
        <v>0</v>
      </c>
      <c r="K192" t="b">
        <v>0</v>
      </c>
    </row>
    <row r="193" spans="1:11">
      <c r="A193" t="s">
        <v>25</v>
      </c>
      <c r="B193" t="s">
        <v>26</v>
      </c>
      <c r="C193">
        <v>683</v>
      </c>
      <c r="D193" t="s">
        <v>13</v>
      </c>
      <c r="E193" t="s">
        <v>752</v>
      </c>
      <c r="F193">
        <v>41091</v>
      </c>
      <c r="H193">
        <v>41121.564479166664</v>
      </c>
      <c r="I193" t="s">
        <v>818</v>
      </c>
      <c r="J193" t="b">
        <v>0</v>
      </c>
      <c r="K193" t="b">
        <v>0</v>
      </c>
    </row>
    <row r="194" spans="1:11">
      <c r="A194" t="s">
        <v>25</v>
      </c>
      <c r="B194" t="s">
        <v>26</v>
      </c>
      <c r="C194">
        <v>684</v>
      </c>
      <c r="D194" t="s">
        <v>13</v>
      </c>
      <c r="E194" t="s">
        <v>748</v>
      </c>
      <c r="F194">
        <v>41122</v>
      </c>
      <c r="H194">
        <v>41373.394305555557</v>
      </c>
      <c r="I194" t="s">
        <v>819</v>
      </c>
      <c r="J194" t="b">
        <v>0</v>
      </c>
      <c r="K194" t="b">
        <v>0</v>
      </c>
    </row>
    <row r="195" spans="1:11">
      <c r="A195" t="s">
        <v>25</v>
      </c>
      <c r="B195" t="s">
        <v>26</v>
      </c>
      <c r="C195">
        <v>684</v>
      </c>
      <c r="D195" t="s">
        <v>13</v>
      </c>
      <c r="E195" t="s">
        <v>750</v>
      </c>
      <c r="F195">
        <v>40210</v>
      </c>
      <c r="H195">
        <v>40639.897349537037</v>
      </c>
      <c r="I195" t="s">
        <v>813</v>
      </c>
      <c r="J195" t="b">
        <v>0</v>
      </c>
      <c r="K195" t="b">
        <v>0</v>
      </c>
    </row>
    <row r="196" spans="1:11">
      <c r="A196" t="s">
        <v>25</v>
      </c>
      <c r="B196" t="s">
        <v>26</v>
      </c>
      <c r="C196">
        <v>684</v>
      </c>
      <c r="D196" t="s">
        <v>13</v>
      </c>
      <c r="E196" t="s">
        <v>752</v>
      </c>
      <c r="F196">
        <v>41091</v>
      </c>
      <c r="H196">
        <v>41116.899375000001</v>
      </c>
      <c r="I196" t="s">
        <v>820</v>
      </c>
      <c r="J196" t="b">
        <v>0</v>
      </c>
      <c r="K196" t="b">
        <v>0</v>
      </c>
    </row>
    <row r="197" spans="1:11">
      <c r="A197" t="s">
        <v>25</v>
      </c>
      <c r="B197" t="s">
        <v>26</v>
      </c>
      <c r="C197">
        <v>685</v>
      </c>
      <c r="D197" t="s">
        <v>13</v>
      </c>
      <c r="E197" t="s">
        <v>748</v>
      </c>
      <c r="F197">
        <v>41122</v>
      </c>
      <c r="H197">
        <v>41373.394583333335</v>
      </c>
      <c r="I197" t="s">
        <v>819</v>
      </c>
      <c r="J197" t="b">
        <v>0</v>
      </c>
      <c r="K197" t="b">
        <v>0</v>
      </c>
    </row>
    <row r="198" spans="1:11">
      <c r="A198" t="s">
        <v>25</v>
      </c>
      <c r="B198" t="s">
        <v>26</v>
      </c>
      <c r="C198">
        <v>685</v>
      </c>
      <c r="D198" t="s">
        <v>13</v>
      </c>
      <c r="E198" t="s">
        <v>750</v>
      </c>
      <c r="F198">
        <v>40210</v>
      </c>
      <c r="H198">
        <v>40639.897592592592</v>
      </c>
      <c r="I198" t="s">
        <v>813</v>
      </c>
      <c r="J198" t="b">
        <v>0</v>
      </c>
      <c r="K198" t="b">
        <v>0</v>
      </c>
    </row>
    <row r="199" spans="1:11">
      <c r="A199" t="s">
        <v>25</v>
      </c>
      <c r="B199" t="s">
        <v>26</v>
      </c>
      <c r="C199">
        <v>685</v>
      </c>
      <c r="D199" t="s">
        <v>13</v>
      </c>
      <c r="E199" t="s">
        <v>752</v>
      </c>
      <c r="F199">
        <v>41091</v>
      </c>
      <c r="H199">
        <v>41116.903437499997</v>
      </c>
      <c r="I199" t="s">
        <v>820</v>
      </c>
      <c r="J199" t="b">
        <v>0</v>
      </c>
      <c r="K199" t="b">
        <v>0</v>
      </c>
    </row>
    <row r="200" spans="1:11">
      <c r="A200" t="s">
        <v>25</v>
      </c>
      <c r="B200" t="s">
        <v>26</v>
      </c>
      <c r="C200">
        <v>700</v>
      </c>
      <c r="D200" t="s">
        <v>13</v>
      </c>
      <c r="E200" t="s">
        <v>748</v>
      </c>
      <c r="F200">
        <v>39264</v>
      </c>
      <c r="H200">
        <v>40645.475543981483</v>
      </c>
      <c r="I200" t="s">
        <v>813</v>
      </c>
      <c r="J200" t="b">
        <v>0</v>
      </c>
      <c r="K200" t="b">
        <v>0</v>
      </c>
    </row>
    <row r="201" spans="1:11">
      <c r="A201" t="s">
        <v>25</v>
      </c>
      <c r="B201" t="s">
        <v>26</v>
      </c>
      <c r="C201">
        <v>700</v>
      </c>
      <c r="D201" t="s">
        <v>13</v>
      </c>
      <c r="E201" t="s">
        <v>750</v>
      </c>
      <c r="F201">
        <v>39114</v>
      </c>
      <c r="H201">
        <v>40639.900925925926</v>
      </c>
      <c r="I201" t="s">
        <v>813</v>
      </c>
      <c r="J201" t="b">
        <v>0</v>
      </c>
      <c r="K201" t="b">
        <v>0</v>
      </c>
    </row>
    <row r="202" spans="1:11">
      <c r="A202" t="s">
        <v>25</v>
      </c>
      <c r="B202" t="s">
        <v>26</v>
      </c>
      <c r="C202">
        <v>700</v>
      </c>
      <c r="D202" t="s">
        <v>13</v>
      </c>
      <c r="E202" t="s">
        <v>752</v>
      </c>
      <c r="F202">
        <v>39873</v>
      </c>
      <c r="H202">
        <v>40644.553414351853</v>
      </c>
      <c r="I202" t="s">
        <v>813</v>
      </c>
      <c r="J202" t="b">
        <v>0</v>
      </c>
      <c r="K202" t="b">
        <v>0</v>
      </c>
    </row>
    <row r="203" spans="1:11">
      <c r="A203" t="s">
        <v>25</v>
      </c>
      <c r="B203" t="s">
        <v>26</v>
      </c>
      <c r="C203">
        <v>703</v>
      </c>
      <c r="D203" t="s">
        <v>13</v>
      </c>
      <c r="E203" t="s">
        <v>748</v>
      </c>
      <c r="F203">
        <v>40391</v>
      </c>
      <c r="H203">
        <v>40645.475821759261</v>
      </c>
      <c r="I203" t="s">
        <v>813</v>
      </c>
      <c r="J203" t="b">
        <v>0</v>
      </c>
      <c r="K203" t="b">
        <v>0</v>
      </c>
    </row>
    <row r="204" spans="1:11">
      <c r="A204" t="s">
        <v>25</v>
      </c>
      <c r="B204" t="s">
        <v>26</v>
      </c>
      <c r="C204">
        <v>703</v>
      </c>
      <c r="D204" t="s">
        <v>13</v>
      </c>
      <c r="E204" t="s">
        <v>750</v>
      </c>
      <c r="F204">
        <v>40179</v>
      </c>
      <c r="H204">
        <v>40639.901238425926</v>
      </c>
      <c r="I204" t="s">
        <v>813</v>
      </c>
      <c r="J204" t="b">
        <v>0</v>
      </c>
      <c r="K204" t="b">
        <v>0</v>
      </c>
    </row>
    <row r="205" spans="1:11">
      <c r="A205" t="s">
        <v>25</v>
      </c>
      <c r="B205" t="s">
        <v>26</v>
      </c>
      <c r="C205">
        <v>703</v>
      </c>
      <c r="D205" t="s">
        <v>13</v>
      </c>
      <c r="E205" t="s">
        <v>752</v>
      </c>
      <c r="F205">
        <v>39203</v>
      </c>
      <c r="H205">
        <v>40644.554016203707</v>
      </c>
      <c r="I205" t="s">
        <v>813</v>
      </c>
      <c r="J205" t="b">
        <v>0</v>
      </c>
      <c r="K205" t="b">
        <v>0</v>
      </c>
    </row>
    <row r="206" spans="1:11">
      <c r="A206" t="s">
        <v>25</v>
      </c>
      <c r="B206" t="s">
        <v>26</v>
      </c>
      <c r="C206">
        <v>705</v>
      </c>
      <c r="D206" t="s">
        <v>13</v>
      </c>
      <c r="E206" t="s">
        <v>748</v>
      </c>
      <c r="F206">
        <v>39264</v>
      </c>
      <c r="H206">
        <v>40645.476134259261</v>
      </c>
      <c r="I206" t="s">
        <v>813</v>
      </c>
      <c r="J206" t="b">
        <v>0</v>
      </c>
      <c r="K206" t="b">
        <v>0</v>
      </c>
    </row>
    <row r="207" spans="1:11">
      <c r="A207" t="s">
        <v>25</v>
      </c>
      <c r="B207" t="s">
        <v>26</v>
      </c>
      <c r="C207">
        <v>705</v>
      </c>
      <c r="D207" t="s">
        <v>13</v>
      </c>
      <c r="E207" t="s">
        <v>750</v>
      </c>
      <c r="F207">
        <v>40391</v>
      </c>
      <c r="H207">
        <v>40639.901562500003</v>
      </c>
      <c r="I207" t="s">
        <v>813</v>
      </c>
      <c r="J207" t="b">
        <v>0</v>
      </c>
      <c r="K207" t="b">
        <v>0</v>
      </c>
    </row>
    <row r="208" spans="1:11">
      <c r="A208" t="s">
        <v>25</v>
      </c>
      <c r="B208" t="s">
        <v>26</v>
      </c>
      <c r="C208">
        <v>705</v>
      </c>
      <c r="D208" t="s">
        <v>13</v>
      </c>
      <c r="E208" t="s">
        <v>752</v>
      </c>
      <c r="F208">
        <v>39114</v>
      </c>
      <c r="H208">
        <v>41373.394872685189</v>
      </c>
      <c r="I208" t="s">
        <v>819</v>
      </c>
      <c r="J208" t="b">
        <v>0</v>
      </c>
      <c r="K208" t="b">
        <v>0</v>
      </c>
    </row>
    <row r="209" spans="1:11">
      <c r="A209" t="s">
        <v>25</v>
      </c>
      <c r="B209" t="s">
        <v>26</v>
      </c>
      <c r="C209">
        <v>708</v>
      </c>
      <c r="D209" t="s">
        <v>13</v>
      </c>
      <c r="E209" t="s">
        <v>748</v>
      </c>
      <c r="F209">
        <v>40210</v>
      </c>
      <c r="H209">
        <v>40645.4765625</v>
      </c>
      <c r="I209" t="s">
        <v>813</v>
      </c>
      <c r="J209" t="b">
        <v>0</v>
      </c>
      <c r="K209" t="b">
        <v>0</v>
      </c>
    </row>
    <row r="210" spans="1:11">
      <c r="A210" t="s">
        <v>25</v>
      </c>
      <c r="B210" t="s">
        <v>26</v>
      </c>
      <c r="C210">
        <v>708</v>
      </c>
      <c r="D210" t="s">
        <v>13</v>
      </c>
      <c r="E210" t="s">
        <v>750</v>
      </c>
      <c r="F210">
        <v>40269</v>
      </c>
      <c r="H210">
        <v>40639.901828703703</v>
      </c>
      <c r="I210" t="s">
        <v>813</v>
      </c>
      <c r="J210" t="b">
        <v>0</v>
      </c>
      <c r="K210" t="b">
        <v>0</v>
      </c>
    </row>
    <row r="211" spans="1:11">
      <c r="A211" t="s">
        <v>25</v>
      </c>
      <c r="B211" t="s">
        <v>26</v>
      </c>
      <c r="C211">
        <v>708</v>
      </c>
      <c r="D211" t="s">
        <v>13</v>
      </c>
      <c r="E211" t="s">
        <v>752</v>
      </c>
      <c r="F211">
        <v>39203</v>
      </c>
      <c r="H211">
        <v>40644.554930555554</v>
      </c>
      <c r="I211" t="s">
        <v>813</v>
      </c>
      <c r="J211" t="b">
        <v>0</v>
      </c>
      <c r="K211" t="b">
        <v>0</v>
      </c>
    </row>
    <row r="212" spans="1:11">
      <c r="A212" t="s">
        <v>25</v>
      </c>
      <c r="B212" t="s">
        <v>26</v>
      </c>
      <c r="C212">
        <v>709</v>
      </c>
      <c r="D212" t="s">
        <v>13</v>
      </c>
      <c r="E212" t="s">
        <v>748</v>
      </c>
      <c r="F212">
        <v>39692</v>
      </c>
      <c r="H212">
        <v>40645.476875</v>
      </c>
      <c r="I212" t="s">
        <v>813</v>
      </c>
      <c r="J212" t="b">
        <v>0</v>
      </c>
      <c r="K212" t="b">
        <v>0</v>
      </c>
    </row>
    <row r="213" spans="1:11">
      <c r="A213" t="s">
        <v>25</v>
      </c>
      <c r="B213" t="s">
        <v>26</v>
      </c>
      <c r="C213">
        <v>709</v>
      </c>
      <c r="D213" t="s">
        <v>13</v>
      </c>
      <c r="E213" t="s">
        <v>750</v>
      </c>
      <c r="F213">
        <v>39630</v>
      </c>
      <c r="H213">
        <v>40639.923587962963</v>
      </c>
      <c r="I213" t="s">
        <v>813</v>
      </c>
      <c r="J213" t="b">
        <v>0</v>
      </c>
      <c r="K213" t="b">
        <v>0</v>
      </c>
    </row>
    <row r="214" spans="1:11">
      <c r="A214" t="s">
        <v>25</v>
      </c>
      <c r="B214" t="s">
        <v>26</v>
      </c>
      <c r="C214">
        <v>709</v>
      </c>
      <c r="D214" t="s">
        <v>13</v>
      </c>
      <c r="E214" t="s">
        <v>752</v>
      </c>
      <c r="F214">
        <v>39600</v>
      </c>
      <c r="H214">
        <v>40644.555381944447</v>
      </c>
      <c r="I214" t="s">
        <v>813</v>
      </c>
      <c r="J214" t="b">
        <v>0</v>
      </c>
      <c r="K214" t="b">
        <v>0</v>
      </c>
    </row>
    <row r="215" spans="1:11">
      <c r="A215" t="s">
        <v>25</v>
      </c>
      <c r="B215" t="s">
        <v>26</v>
      </c>
      <c r="C215">
        <v>710</v>
      </c>
      <c r="D215" t="s">
        <v>13</v>
      </c>
      <c r="E215" t="s">
        <v>748</v>
      </c>
      <c r="F215">
        <v>39692</v>
      </c>
      <c r="H215">
        <v>40645.477152777778</v>
      </c>
      <c r="I215" t="s">
        <v>813</v>
      </c>
      <c r="J215" t="b">
        <v>0</v>
      </c>
      <c r="K215" t="b">
        <v>0</v>
      </c>
    </row>
    <row r="216" spans="1:11">
      <c r="A216" t="s">
        <v>25</v>
      </c>
      <c r="B216" t="s">
        <v>26</v>
      </c>
      <c r="C216">
        <v>710</v>
      </c>
      <c r="D216" t="s">
        <v>13</v>
      </c>
      <c r="E216" t="s">
        <v>750</v>
      </c>
      <c r="F216">
        <v>39508</v>
      </c>
      <c r="H216">
        <v>40639.902233796296</v>
      </c>
      <c r="I216" t="s">
        <v>813</v>
      </c>
      <c r="J216" t="b">
        <v>0</v>
      </c>
      <c r="K216" t="b">
        <v>0</v>
      </c>
    </row>
    <row r="217" spans="1:11">
      <c r="A217" t="s">
        <v>25</v>
      </c>
      <c r="B217" t="s">
        <v>26</v>
      </c>
      <c r="C217">
        <v>710</v>
      </c>
      <c r="D217" t="s">
        <v>13</v>
      </c>
      <c r="E217" t="s">
        <v>752</v>
      </c>
      <c r="F217">
        <v>39600</v>
      </c>
      <c r="H217">
        <v>40644.555798611109</v>
      </c>
      <c r="I217" t="s">
        <v>813</v>
      </c>
      <c r="J217" t="b">
        <v>0</v>
      </c>
      <c r="K217" t="b">
        <v>0</v>
      </c>
    </row>
    <row r="218" spans="1:11">
      <c r="A218" t="s">
        <v>25</v>
      </c>
      <c r="B218" t="s">
        <v>26</v>
      </c>
      <c r="C218">
        <v>711</v>
      </c>
      <c r="D218" t="s">
        <v>13</v>
      </c>
      <c r="E218" t="s">
        <v>748</v>
      </c>
      <c r="F218">
        <v>39692</v>
      </c>
      <c r="H218">
        <v>40645.477685185186</v>
      </c>
      <c r="I218" t="s">
        <v>813</v>
      </c>
      <c r="J218" t="b">
        <v>0</v>
      </c>
      <c r="K218" t="b">
        <v>0</v>
      </c>
    </row>
    <row r="219" spans="1:11">
      <c r="A219" t="s">
        <v>25</v>
      </c>
      <c r="B219" t="s">
        <v>26</v>
      </c>
      <c r="C219">
        <v>711</v>
      </c>
      <c r="D219" t="s">
        <v>13</v>
      </c>
      <c r="E219" t="s">
        <v>750</v>
      </c>
      <c r="F219">
        <v>39508</v>
      </c>
      <c r="H219">
        <v>40639.90247685185</v>
      </c>
      <c r="I219" t="s">
        <v>813</v>
      </c>
      <c r="J219" t="b">
        <v>0</v>
      </c>
      <c r="K219" t="b">
        <v>0</v>
      </c>
    </row>
    <row r="220" spans="1:11">
      <c r="A220" t="s">
        <v>25</v>
      </c>
      <c r="B220" t="s">
        <v>26</v>
      </c>
      <c r="C220">
        <v>711</v>
      </c>
      <c r="D220" t="s">
        <v>13</v>
      </c>
      <c r="E220" t="s">
        <v>752</v>
      </c>
      <c r="F220">
        <v>39600</v>
      </c>
      <c r="H220">
        <v>40644.556574074071</v>
      </c>
      <c r="I220" t="s">
        <v>813</v>
      </c>
      <c r="J220" t="b">
        <v>0</v>
      </c>
      <c r="K220" t="b">
        <v>0</v>
      </c>
    </row>
    <row r="221" spans="1:11">
      <c r="A221" t="s">
        <v>25</v>
      </c>
      <c r="B221" t="s">
        <v>26</v>
      </c>
      <c r="C221">
        <v>712</v>
      </c>
      <c r="D221" t="s">
        <v>13</v>
      </c>
      <c r="E221" t="s">
        <v>748</v>
      </c>
      <c r="F221">
        <v>39692</v>
      </c>
      <c r="H221">
        <v>40645.478020833332</v>
      </c>
      <c r="I221" t="s">
        <v>813</v>
      </c>
      <c r="J221" t="b">
        <v>0</v>
      </c>
      <c r="K221" t="b">
        <v>0</v>
      </c>
    </row>
    <row r="222" spans="1:11">
      <c r="A222" t="s">
        <v>25</v>
      </c>
      <c r="B222" t="s">
        <v>26</v>
      </c>
      <c r="C222">
        <v>712</v>
      </c>
      <c r="D222" t="s">
        <v>13</v>
      </c>
      <c r="E222" t="s">
        <v>750</v>
      </c>
      <c r="F222">
        <v>40210</v>
      </c>
      <c r="H222">
        <v>40639.902673611112</v>
      </c>
      <c r="I222" t="s">
        <v>813</v>
      </c>
      <c r="J222" t="b">
        <v>0</v>
      </c>
      <c r="K222" t="b">
        <v>0</v>
      </c>
    </row>
    <row r="223" spans="1:11">
      <c r="A223" t="s">
        <v>25</v>
      </c>
      <c r="B223" t="s">
        <v>26</v>
      </c>
      <c r="C223">
        <v>712</v>
      </c>
      <c r="D223" t="s">
        <v>13</v>
      </c>
      <c r="E223" t="s">
        <v>752</v>
      </c>
      <c r="F223">
        <v>39264</v>
      </c>
      <c r="H223">
        <v>40644.556875000002</v>
      </c>
      <c r="I223" t="s">
        <v>813</v>
      </c>
      <c r="J223" t="b">
        <v>0</v>
      </c>
      <c r="K223" t="b">
        <v>0</v>
      </c>
    </row>
    <row r="224" spans="1:11">
      <c r="A224" t="s">
        <v>25</v>
      </c>
      <c r="B224" t="s">
        <v>26</v>
      </c>
      <c r="C224">
        <v>714</v>
      </c>
      <c r="D224" t="s">
        <v>13</v>
      </c>
      <c r="E224" t="s">
        <v>748</v>
      </c>
      <c r="F224">
        <v>38899</v>
      </c>
      <c r="H224">
        <v>40645.478530092594</v>
      </c>
      <c r="I224" t="s">
        <v>813</v>
      </c>
      <c r="J224" t="b">
        <v>0</v>
      </c>
      <c r="K224" t="b">
        <v>0</v>
      </c>
    </row>
    <row r="225" spans="1:11">
      <c r="A225" t="s">
        <v>25</v>
      </c>
      <c r="B225" t="s">
        <v>26</v>
      </c>
      <c r="C225">
        <v>714</v>
      </c>
      <c r="D225" t="s">
        <v>13</v>
      </c>
      <c r="E225" t="s">
        <v>750</v>
      </c>
      <c r="F225">
        <v>41334</v>
      </c>
      <c r="H225">
        <v>41386.881435185183</v>
      </c>
      <c r="I225" t="s">
        <v>801</v>
      </c>
      <c r="J225" t="b">
        <v>0</v>
      </c>
      <c r="K225" t="b">
        <v>0</v>
      </c>
    </row>
    <row r="226" spans="1:11">
      <c r="A226" t="s">
        <v>25</v>
      </c>
      <c r="B226" t="s">
        <v>26</v>
      </c>
      <c r="C226">
        <v>714</v>
      </c>
      <c r="D226" t="s">
        <v>13</v>
      </c>
      <c r="E226" t="s">
        <v>752</v>
      </c>
      <c r="F226">
        <v>39203</v>
      </c>
      <c r="H226">
        <v>40644.557395833333</v>
      </c>
      <c r="I226" t="s">
        <v>813</v>
      </c>
      <c r="J226" t="b">
        <v>0</v>
      </c>
      <c r="K226" t="b">
        <v>0</v>
      </c>
    </row>
    <row r="227" spans="1:11">
      <c r="A227" t="s">
        <v>25</v>
      </c>
      <c r="B227" t="s">
        <v>26</v>
      </c>
      <c r="C227">
        <v>716</v>
      </c>
      <c r="D227" t="s">
        <v>13</v>
      </c>
      <c r="E227" t="s">
        <v>748</v>
      </c>
      <c r="F227">
        <v>40391</v>
      </c>
      <c r="H227">
        <v>40645.478842592594</v>
      </c>
      <c r="I227" t="s">
        <v>813</v>
      </c>
      <c r="J227" t="b">
        <v>0</v>
      </c>
      <c r="K227" t="b">
        <v>0</v>
      </c>
    </row>
    <row r="228" spans="1:11">
      <c r="A228" t="s">
        <v>25</v>
      </c>
      <c r="B228" t="s">
        <v>26</v>
      </c>
      <c r="C228">
        <v>716</v>
      </c>
      <c r="D228" t="s">
        <v>13</v>
      </c>
      <c r="E228" t="s">
        <v>750</v>
      </c>
      <c r="F228">
        <v>41456</v>
      </c>
      <c r="H228">
        <v>41486.919918981483</v>
      </c>
      <c r="I228" t="s">
        <v>783</v>
      </c>
      <c r="J228" t="b">
        <v>0</v>
      </c>
      <c r="K228" t="b">
        <v>0</v>
      </c>
    </row>
    <row r="229" spans="1:11">
      <c r="A229" t="s">
        <v>25</v>
      </c>
      <c r="B229" t="s">
        <v>26</v>
      </c>
      <c r="C229">
        <v>716</v>
      </c>
      <c r="D229" t="s">
        <v>13</v>
      </c>
      <c r="E229" t="s">
        <v>752</v>
      </c>
      <c r="F229">
        <v>40885</v>
      </c>
      <c r="H229">
        <v>40886.439409722225</v>
      </c>
      <c r="I229" t="s">
        <v>812</v>
      </c>
      <c r="J229" t="b">
        <v>0</v>
      </c>
      <c r="K229" t="b">
        <v>0</v>
      </c>
    </row>
    <row r="230" spans="1:11">
      <c r="A230" t="s">
        <v>25</v>
      </c>
      <c r="B230" t="s">
        <v>26</v>
      </c>
      <c r="C230">
        <v>718</v>
      </c>
      <c r="D230" t="s">
        <v>13</v>
      </c>
      <c r="E230" t="s">
        <v>748</v>
      </c>
      <c r="F230">
        <v>40026</v>
      </c>
      <c r="H230">
        <v>40645.479143518518</v>
      </c>
      <c r="I230" t="s">
        <v>813</v>
      </c>
      <c r="J230" t="b">
        <v>0</v>
      </c>
      <c r="K230" t="b">
        <v>0</v>
      </c>
    </row>
    <row r="231" spans="1:11">
      <c r="A231" t="s">
        <v>25</v>
      </c>
      <c r="B231" t="s">
        <v>26</v>
      </c>
      <c r="C231">
        <v>718</v>
      </c>
      <c r="D231" t="s">
        <v>13</v>
      </c>
      <c r="E231" t="s">
        <v>750</v>
      </c>
      <c r="F231">
        <v>40210</v>
      </c>
      <c r="H231">
        <v>40639.904120370367</v>
      </c>
      <c r="I231" t="s">
        <v>813</v>
      </c>
      <c r="J231" t="b">
        <v>0</v>
      </c>
      <c r="K231" t="b">
        <v>0</v>
      </c>
    </row>
    <row r="232" spans="1:11">
      <c r="A232" t="s">
        <v>25</v>
      </c>
      <c r="B232" t="s">
        <v>26</v>
      </c>
      <c r="C232">
        <v>718</v>
      </c>
      <c r="D232" t="s">
        <v>13</v>
      </c>
      <c r="E232" t="s">
        <v>752</v>
      </c>
      <c r="F232">
        <v>41122</v>
      </c>
      <c r="H232">
        <v>41122.360358796293</v>
      </c>
      <c r="I232" t="s">
        <v>821</v>
      </c>
      <c r="J232" t="b">
        <v>0</v>
      </c>
      <c r="K232" t="b">
        <v>0</v>
      </c>
    </row>
    <row r="233" spans="1:11">
      <c r="A233" t="s">
        <v>25</v>
      </c>
      <c r="B233" t="s">
        <v>26</v>
      </c>
      <c r="C233">
        <v>720</v>
      </c>
      <c r="D233" t="s">
        <v>13</v>
      </c>
      <c r="E233" t="s">
        <v>748</v>
      </c>
      <c r="F233">
        <v>40026</v>
      </c>
      <c r="H233">
        <v>40645.479537037034</v>
      </c>
      <c r="I233" t="s">
        <v>813</v>
      </c>
      <c r="J233" t="b">
        <v>0</v>
      </c>
      <c r="K233" t="b">
        <v>0</v>
      </c>
    </row>
    <row r="234" spans="1:11">
      <c r="A234" t="s">
        <v>25</v>
      </c>
      <c r="B234" t="s">
        <v>26</v>
      </c>
      <c r="C234">
        <v>720</v>
      </c>
      <c r="D234" t="s">
        <v>13</v>
      </c>
      <c r="E234" t="s">
        <v>750</v>
      </c>
      <c r="F234">
        <v>40210</v>
      </c>
      <c r="H234">
        <v>40639.904293981483</v>
      </c>
      <c r="I234" t="s">
        <v>813</v>
      </c>
      <c r="J234" t="b">
        <v>0</v>
      </c>
      <c r="K234" t="b">
        <v>0</v>
      </c>
    </row>
    <row r="235" spans="1:11">
      <c r="A235" t="s">
        <v>25</v>
      </c>
      <c r="B235" t="s">
        <v>26</v>
      </c>
      <c r="C235">
        <v>720</v>
      </c>
      <c r="D235" t="s">
        <v>13</v>
      </c>
      <c r="E235" t="s">
        <v>752</v>
      </c>
      <c r="F235">
        <v>41122</v>
      </c>
      <c r="H235">
        <v>41122.488680555558</v>
      </c>
      <c r="I235" t="s">
        <v>815</v>
      </c>
      <c r="J235" t="b">
        <v>0</v>
      </c>
      <c r="K235" t="b">
        <v>0</v>
      </c>
    </row>
    <row r="236" spans="1:11">
      <c r="A236" t="s">
        <v>25</v>
      </c>
      <c r="B236" t="s">
        <v>26</v>
      </c>
      <c r="C236">
        <v>725</v>
      </c>
      <c r="D236" t="s">
        <v>13</v>
      </c>
      <c r="E236" t="s">
        <v>748</v>
      </c>
      <c r="F236">
        <v>40026</v>
      </c>
      <c r="H236">
        <v>40645.480231481481</v>
      </c>
      <c r="I236" t="s">
        <v>813</v>
      </c>
      <c r="J236" t="b">
        <v>0</v>
      </c>
      <c r="K236" t="b">
        <v>0</v>
      </c>
    </row>
    <row r="237" spans="1:11">
      <c r="A237" t="s">
        <v>25</v>
      </c>
      <c r="B237" t="s">
        <v>26</v>
      </c>
      <c r="C237">
        <v>725</v>
      </c>
      <c r="D237" t="s">
        <v>13</v>
      </c>
      <c r="E237" t="s">
        <v>750</v>
      </c>
      <c r="F237">
        <v>40210</v>
      </c>
      <c r="H237">
        <v>40639.904583333337</v>
      </c>
      <c r="I237" t="s">
        <v>813</v>
      </c>
      <c r="J237" t="b">
        <v>0</v>
      </c>
      <c r="K237" t="b">
        <v>0</v>
      </c>
    </row>
    <row r="238" spans="1:11">
      <c r="A238" t="s">
        <v>25</v>
      </c>
      <c r="B238" t="s">
        <v>26</v>
      </c>
      <c r="C238">
        <v>725</v>
      </c>
      <c r="D238" t="s">
        <v>13</v>
      </c>
      <c r="E238" t="s">
        <v>752</v>
      </c>
      <c r="F238">
        <v>41122</v>
      </c>
      <c r="H238">
        <v>41122.495821759258</v>
      </c>
      <c r="I238" t="s">
        <v>815</v>
      </c>
      <c r="J238" t="b">
        <v>0</v>
      </c>
      <c r="K238" t="b">
        <v>0</v>
      </c>
    </row>
    <row r="239" spans="1:11">
      <c r="A239" t="s">
        <v>25</v>
      </c>
      <c r="B239" t="s">
        <v>26</v>
      </c>
      <c r="C239">
        <v>730</v>
      </c>
      <c r="D239" t="s">
        <v>13</v>
      </c>
      <c r="E239" t="s">
        <v>748</v>
      </c>
      <c r="F239">
        <v>37803</v>
      </c>
      <c r="H239">
        <v>40645.482824074075</v>
      </c>
      <c r="I239" t="s">
        <v>813</v>
      </c>
      <c r="J239" t="b">
        <v>0</v>
      </c>
      <c r="K239" t="b">
        <v>0</v>
      </c>
    </row>
    <row r="240" spans="1:11">
      <c r="A240" t="s">
        <v>25</v>
      </c>
      <c r="B240" t="s">
        <v>26</v>
      </c>
      <c r="C240">
        <v>730</v>
      </c>
      <c r="D240" t="s">
        <v>13</v>
      </c>
      <c r="E240" t="s">
        <v>750</v>
      </c>
      <c r="F240">
        <v>40057</v>
      </c>
      <c r="H240">
        <v>40639.904814814814</v>
      </c>
      <c r="I240" t="s">
        <v>813</v>
      </c>
      <c r="J240" t="b">
        <v>0</v>
      </c>
      <c r="K240" t="b">
        <v>0</v>
      </c>
    </row>
    <row r="241" spans="1:11">
      <c r="A241" t="s">
        <v>25</v>
      </c>
      <c r="B241" t="s">
        <v>26</v>
      </c>
      <c r="C241">
        <v>730</v>
      </c>
      <c r="D241" t="s">
        <v>13</v>
      </c>
      <c r="E241" t="s">
        <v>752</v>
      </c>
      <c r="F241">
        <v>41275</v>
      </c>
      <c r="H241">
        <v>41285.558055555557</v>
      </c>
      <c r="I241" t="s">
        <v>822</v>
      </c>
      <c r="J241" t="b">
        <v>0</v>
      </c>
      <c r="K241" t="b">
        <v>0</v>
      </c>
    </row>
    <row r="242" spans="1:11">
      <c r="A242" t="s">
        <v>25</v>
      </c>
      <c r="B242" t="s">
        <v>26</v>
      </c>
      <c r="C242">
        <v>735</v>
      </c>
      <c r="D242" t="s">
        <v>13</v>
      </c>
      <c r="E242" t="s">
        <v>748</v>
      </c>
      <c r="F242">
        <v>37803</v>
      </c>
      <c r="H242">
        <v>40645.483611111114</v>
      </c>
      <c r="I242" t="s">
        <v>813</v>
      </c>
      <c r="J242" t="b">
        <v>0</v>
      </c>
      <c r="K242" t="b">
        <v>0</v>
      </c>
    </row>
    <row r="243" spans="1:11">
      <c r="A243" t="s">
        <v>25</v>
      </c>
      <c r="B243" t="s">
        <v>26</v>
      </c>
      <c r="C243">
        <v>735</v>
      </c>
      <c r="D243" t="s">
        <v>13</v>
      </c>
      <c r="E243" t="s">
        <v>750</v>
      </c>
      <c r="F243">
        <v>40057</v>
      </c>
      <c r="H243">
        <v>40639.905011574076</v>
      </c>
      <c r="I243" t="s">
        <v>813</v>
      </c>
      <c r="J243" t="b">
        <v>0</v>
      </c>
      <c r="K243" t="b">
        <v>0</v>
      </c>
    </row>
    <row r="244" spans="1:11">
      <c r="A244" t="s">
        <v>25</v>
      </c>
      <c r="B244" t="s">
        <v>26</v>
      </c>
      <c r="C244">
        <v>735</v>
      </c>
      <c r="D244" t="s">
        <v>13</v>
      </c>
      <c r="E244" t="s">
        <v>752</v>
      </c>
      <c r="F244">
        <v>41275</v>
      </c>
      <c r="H244">
        <v>41285.564710648148</v>
      </c>
      <c r="I244" t="s">
        <v>823</v>
      </c>
      <c r="J244" t="b">
        <v>0</v>
      </c>
      <c r="K244" t="b">
        <v>0</v>
      </c>
    </row>
    <row r="245" spans="1:11">
      <c r="A245" t="s">
        <v>25</v>
      </c>
      <c r="B245" t="s">
        <v>26</v>
      </c>
      <c r="C245">
        <v>740</v>
      </c>
      <c r="D245" t="s">
        <v>13</v>
      </c>
      <c r="E245" t="s">
        <v>748</v>
      </c>
      <c r="F245">
        <v>37681</v>
      </c>
      <c r="H245">
        <v>40645.484548611108</v>
      </c>
      <c r="I245" t="s">
        <v>813</v>
      </c>
      <c r="J245" t="b">
        <v>0</v>
      </c>
      <c r="K245" t="b">
        <v>0</v>
      </c>
    </row>
    <row r="246" spans="1:11">
      <c r="A246" t="s">
        <v>25</v>
      </c>
      <c r="B246" t="s">
        <v>26</v>
      </c>
      <c r="C246">
        <v>740</v>
      </c>
      <c r="D246" t="s">
        <v>13</v>
      </c>
      <c r="E246" t="s">
        <v>750</v>
      </c>
      <c r="F246">
        <v>40057</v>
      </c>
      <c r="H246">
        <v>40639.905219907407</v>
      </c>
      <c r="I246" t="s">
        <v>813</v>
      </c>
      <c r="J246" t="b">
        <v>0</v>
      </c>
      <c r="K246" t="b">
        <v>0</v>
      </c>
    </row>
    <row r="247" spans="1:11">
      <c r="A247" t="s">
        <v>25</v>
      </c>
      <c r="B247" t="s">
        <v>26</v>
      </c>
      <c r="C247">
        <v>740</v>
      </c>
      <c r="D247" t="s">
        <v>13</v>
      </c>
      <c r="E247" t="s">
        <v>752</v>
      </c>
      <c r="F247">
        <v>40660</v>
      </c>
      <c r="H247">
        <v>40667.471828703703</v>
      </c>
      <c r="I247" t="s">
        <v>813</v>
      </c>
      <c r="J247" t="b">
        <v>0</v>
      </c>
      <c r="K247" t="b">
        <v>0</v>
      </c>
    </row>
    <row r="248" spans="1:11">
      <c r="A248" t="s">
        <v>25</v>
      </c>
      <c r="B248" t="s">
        <v>26</v>
      </c>
      <c r="C248">
        <v>745</v>
      </c>
      <c r="D248" t="s">
        <v>13</v>
      </c>
      <c r="E248" t="s">
        <v>748</v>
      </c>
      <c r="F248">
        <v>37803</v>
      </c>
      <c r="H248">
        <v>40645.485532407409</v>
      </c>
      <c r="I248" t="s">
        <v>813</v>
      </c>
      <c r="J248" t="b">
        <v>0</v>
      </c>
      <c r="K248" t="b">
        <v>0</v>
      </c>
    </row>
    <row r="249" spans="1:11">
      <c r="A249" t="s">
        <v>25</v>
      </c>
      <c r="B249" t="s">
        <v>26</v>
      </c>
      <c r="C249">
        <v>745</v>
      </c>
      <c r="D249" t="s">
        <v>13</v>
      </c>
      <c r="E249" t="s">
        <v>750</v>
      </c>
      <c r="F249">
        <v>37681</v>
      </c>
      <c r="H249">
        <v>40639.905509259261</v>
      </c>
      <c r="I249" t="s">
        <v>813</v>
      </c>
      <c r="J249" t="b">
        <v>0</v>
      </c>
      <c r="K249" t="b">
        <v>0</v>
      </c>
    </row>
    <row r="250" spans="1:11">
      <c r="A250" t="s">
        <v>25</v>
      </c>
      <c r="B250" t="s">
        <v>26</v>
      </c>
      <c r="C250">
        <v>745</v>
      </c>
      <c r="D250" t="s">
        <v>13</v>
      </c>
      <c r="E250" t="s">
        <v>752</v>
      </c>
      <c r="F250">
        <v>40634</v>
      </c>
      <c r="H250">
        <v>41373.395381944443</v>
      </c>
      <c r="I250" t="s">
        <v>819</v>
      </c>
      <c r="J250" t="b">
        <v>0</v>
      </c>
      <c r="K250" t="b">
        <v>0</v>
      </c>
    </row>
    <row r="251" spans="1:11">
      <c r="A251" t="s">
        <v>25</v>
      </c>
      <c r="B251" t="s">
        <v>26</v>
      </c>
      <c r="C251">
        <v>751</v>
      </c>
      <c r="D251" t="s">
        <v>28</v>
      </c>
      <c r="E251" t="s">
        <v>748</v>
      </c>
      <c r="G251">
        <v>5216.60009765625</v>
      </c>
      <c r="H251">
        <v>41493.960648148146</v>
      </c>
      <c r="I251" t="s">
        <v>774</v>
      </c>
      <c r="J251" t="b">
        <v>0</v>
      </c>
      <c r="K251" t="b">
        <v>0</v>
      </c>
    </row>
    <row r="252" spans="1:11">
      <c r="A252" t="s">
        <v>25</v>
      </c>
      <c r="B252" t="s">
        <v>26</v>
      </c>
      <c r="C252">
        <v>751</v>
      </c>
      <c r="D252" t="s">
        <v>28</v>
      </c>
      <c r="E252" t="s">
        <v>750</v>
      </c>
      <c r="G252">
        <v>3890.699951171875</v>
      </c>
      <c r="H252">
        <v>41507.9534375</v>
      </c>
      <c r="I252" t="s">
        <v>787</v>
      </c>
      <c r="J252" t="b">
        <v>0</v>
      </c>
      <c r="K252" t="b">
        <v>0</v>
      </c>
    </row>
    <row r="253" spans="1:11">
      <c r="A253" t="s">
        <v>25</v>
      </c>
      <c r="B253" t="s">
        <v>26</v>
      </c>
      <c r="C253">
        <v>751</v>
      </c>
      <c r="D253" t="s">
        <v>28</v>
      </c>
      <c r="E253" t="s">
        <v>752</v>
      </c>
      <c r="G253">
        <v>4578.7001953125</v>
      </c>
      <c r="H253">
        <v>41361.440972222219</v>
      </c>
      <c r="I253" t="s">
        <v>801</v>
      </c>
      <c r="J253" t="b">
        <v>0</v>
      </c>
      <c r="K253" t="b">
        <v>0</v>
      </c>
    </row>
    <row r="254" spans="1:11">
      <c r="A254" t="s">
        <v>25</v>
      </c>
      <c r="B254" t="s">
        <v>26</v>
      </c>
      <c r="C254">
        <v>752</v>
      </c>
      <c r="D254" t="s">
        <v>28</v>
      </c>
      <c r="E254" t="s">
        <v>748</v>
      </c>
      <c r="G254">
        <v>5211.60009765625</v>
      </c>
      <c r="H254">
        <v>41493.965092592596</v>
      </c>
      <c r="I254" t="s">
        <v>774</v>
      </c>
      <c r="J254" t="b">
        <v>0</v>
      </c>
      <c r="K254" t="b">
        <v>0</v>
      </c>
    </row>
    <row r="255" spans="1:11">
      <c r="A255" t="s">
        <v>25</v>
      </c>
      <c r="B255" t="s">
        <v>26</v>
      </c>
      <c r="C255">
        <v>752</v>
      </c>
      <c r="D255" t="s">
        <v>28</v>
      </c>
      <c r="E255" t="s">
        <v>750</v>
      </c>
      <c r="G255">
        <v>3646.10009765625</v>
      </c>
      <c r="H255">
        <v>40891.402175925927</v>
      </c>
      <c r="I255" t="s">
        <v>775</v>
      </c>
      <c r="J255" t="b">
        <v>0</v>
      </c>
      <c r="K255" t="b">
        <v>0</v>
      </c>
    </row>
    <row r="256" spans="1:11">
      <c r="A256" t="s">
        <v>25</v>
      </c>
      <c r="B256" t="s">
        <v>26</v>
      </c>
      <c r="C256">
        <v>752</v>
      </c>
      <c r="D256" t="s">
        <v>28</v>
      </c>
      <c r="E256" t="s">
        <v>752</v>
      </c>
      <c r="G256">
        <v>4578.7001953125</v>
      </c>
      <c r="H256">
        <v>41361.441018518519</v>
      </c>
      <c r="I256" t="s">
        <v>801</v>
      </c>
      <c r="J256" t="b">
        <v>0</v>
      </c>
      <c r="K256" t="b">
        <v>0</v>
      </c>
    </row>
    <row r="257" spans="1:11">
      <c r="A257" t="s">
        <v>25</v>
      </c>
      <c r="B257" t="s">
        <v>26</v>
      </c>
      <c r="C257">
        <v>754</v>
      </c>
      <c r="D257" t="s">
        <v>28</v>
      </c>
      <c r="E257" t="s">
        <v>748</v>
      </c>
      <c r="G257">
        <v>5211.60009765625</v>
      </c>
      <c r="H257">
        <v>41493.965821759259</v>
      </c>
      <c r="I257" t="s">
        <v>774</v>
      </c>
      <c r="J257" t="b">
        <v>0</v>
      </c>
      <c r="K257" t="b">
        <v>0</v>
      </c>
    </row>
    <row r="258" spans="1:11">
      <c r="A258" t="s">
        <v>25</v>
      </c>
      <c r="B258" t="s">
        <v>26</v>
      </c>
      <c r="C258">
        <v>754</v>
      </c>
      <c r="D258" t="s">
        <v>28</v>
      </c>
      <c r="E258" t="s">
        <v>750</v>
      </c>
      <c r="G258">
        <v>3646.10009765625</v>
      </c>
      <c r="H258">
        <v>41065.840694444443</v>
      </c>
      <c r="I258" t="s">
        <v>824</v>
      </c>
      <c r="J258" t="b">
        <v>0</v>
      </c>
      <c r="K258" t="b">
        <v>0</v>
      </c>
    </row>
    <row r="259" spans="1:11">
      <c r="A259" t="s">
        <v>25</v>
      </c>
      <c r="B259" t="s">
        <v>26</v>
      </c>
      <c r="C259">
        <v>754</v>
      </c>
      <c r="D259" t="s">
        <v>28</v>
      </c>
      <c r="E259" t="s">
        <v>752</v>
      </c>
      <c r="G259">
        <v>4578.7001953125</v>
      </c>
      <c r="H259">
        <v>41361.441099537034</v>
      </c>
      <c r="I259" t="s">
        <v>801</v>
      </c>
      <c r="J259" t="b">
        <v>0</v>
      </c>
      <c r="K259" t="b">
        <v>0</v>
      </c>
    </row>
    <row r="260" spans="1:11">
      <c r="A260" t="s">
        <v>25</v>
      </c>
      <c r="B260" t="s">
        <v>26</v>
      </c>
      <c r="C260">
        <v>755</v>
      </c>
      <c r="D260" t="s">
        <v>28</v>
      </c>
      <c r="E260" t="s">
        <v>748</v>
      </c>
      <c r="G260">
        <v>5211.60009765625</v>
      </c>
      <c r="H260">
        <v>41494.028310185182</v>
      </c>
      <c r="I260" t="s">
        <v>801</v>
      </c>
      <c r="J260" t="b">
        <v>0</v>
      </c>
      <c r="K260" t="b">
        <v>0</v>
      </c>
    </row>
    <row r="261" spans="1:11">
      <c r="A261" t="s">
        <v>25</v>
      </c>
      <c r="B261" t="s">
        <v>26</v>
      </c>
      <c r="C261">
        <v>755</v>
      </c>
      <c r="D261" t="s">
        <v>28</v>
      </c>
      <c r="E261" t="s">
        <v>750</v>
      </c>
      <c r="G261">
        <v>3646.10009765625</v>
      </c>
      <c r="H261">
        <v>40891.387858796297</v>
      </c>
      <c r="I261" t="s">
        <v>775</v>
      </c>
      <c r="J261" t="b">
        <v>0</v>
      </c>
      <c r="K261" t="b">
        <v>0</v>
      </c>
    </row>
    <row r="262" spans="1:11">
      <c r="A262" t="s">
        <v>25</v>
      </c>
      <c r="B262" t="s">
        <v>26</v>
      </c>
      <c r="C262">
        <v>755</v>
      </c>
      <c r="D262" t="s">
        <v>28</v>
      </c>
      <c r="E262" t="s">
        <v>752</v>
      </c>
      <c r="G262">
        <v>4578.7001953125</v>
      </c>
      <c r="H262">
        <v>41361.441192129627</v>
      </c>
      <c r="I262" t="s">
        <v>801</v>
      </c>
      <c r="J262" t="b">
        <v>0</v>
      </c>
      <c r="K262" t="b">
        <v>0</v>
      </c>
    </row>
    <row r="263" spans="1:11">
      <c r="A263" t="s">
        <v>25</v>
      </c>
      <c r="B263" t="s">
        <v>26</v>
      </c>
      <c r="C263">
        <v>757</v>
      </c>
      <c r="D263" t="s">
        <v>28</v>
      </c>
      <c r="E263" t="s">
        <v>748</v>
      </c>
      <c r="G263">
        <v>5216.60009765625</v>
      </c>
      <c r="H263">
        <v>41494.046296296299</v>
      </c>
      <c r="I263" t="s">
        <v>774</v>
      </c>
      <c r="J263" t="b">
        <v>0</v>
      </c>
      <c r="K263" t="b">
        <v>0</v>
      </c>
    </row>
    <row r="264" spans="1:11">
      <c r="A264" t="s">
        <v>25</v>
      </c>
      <c r="B264" t="s">
        <v>26</v>
      </c>
      <c r="C264">
        <v>757</v>
      </c>
      <c r="D264" t="s">
        <v>28</v>
      </c>
      <c r="E264" t="s">
        <v>750</v>
      </c>
      <c r="G264">
        <v>3890.699951171875</v>
      </c>
      <c r="H264">
        <v>41512.894293981481</v>
      </c>
      <c r="I264" t="s">
        <v>797</v>
      </c>
      <c r="J264" t="b">
        <v>0</v>
      </c>
      <c r="K264" t="b">
        <v>0</v>
      </c>
    </row>
    <row r="265" spans="1:11">
      <c r="A265" t="s">
        <v>25</v>
      </c>
      <c r="B265" t="s">
        <v>26</v>
      </c>
      <c r="C265">
        <v>757</v>
      </c>
      <c r="D265" t="s">
        <v>28</v>
      </c>
      <c r="E265" t="s">
        <v>752</v>
      </c>
      <c r="G265">
        <v>4578.7001953125</v>
      </c>
      <c r="H265">
        <v>41361.441319444442</v>
      </c>
      <c r="I265" t="s">
        <v>801</v>
      </c>
      <c r="J265" t="b">
        <v>0</v>
      </c>
      <c r="K265" t="b">
        <v>0</v>
      </c>
    </row>
    <row r="266" spans="1:11">
      <c r="A266" t="s">
        <v>25</v>
      </c>
      <c r="B266" t="s">
        <v>26</v>
      </c>
      <c r="C266">
        <v>760</v>
      </c>
      <c r="D266" t="s">
        <v>13</v>
      </c>
      <c r="E266" t="s">
        <v>748</v>
      </c>
      <c r="F266">
        <v>41337</v>
      </c>
      <c r="H266">
        <v>41337.314097222225</v>
      </c>
      <c r="I266" t="s">
        <v>806</v>
      </c>
      <c r="J266" t="b">
        <v>0</v>
      </c>
      <c r="K266" t="b">
        <v>0</v>
      </c>
    </row>
    <row r="267" spans="1:11">
      <c r="A267" t="s">
        <v>25</v>
      </c>
      <c r="B267" t="s">
        <v>26</v>
      </c>
      <c r="C267">
        <v>760</v>
      </c>
      <c r="D267" t="s">
        <v>13</v>
      </c>
      <c r="E267" t="s">
        <v>750</v>
      </c>
      <c r="F267">
        <v>41630</v>
      </c>
      <c r="H267">
        <v>41625.381064814814</v>
      </c>
      <c r="I267" t="s">
        <v>773</v>
      </c>
      <c r="J267" t="b">
        <v>0</v>
      </c>
      <c r="K267" t="b">
        <v>0</v>
      </c>
    </row>
    <row r="268" spans="1:11">
      <c r="A268" t="s">
        <v>25</v>
      </c>
      <c r="B268" t="s">
        <v>26</v>
      </c>
      <c r="C268">
        <v>760</v>
      </c>
      <c r="D268" t="s">
        <v>13</v>
      </c>
      <c r="E268" t="s">
        <v>752</v>
      </c>
      <c r="F268">
        <v>41702</v>
      </c>
      <c r="H268">
        <v>41702.610358796293</v>
      </c>
      <c r="I268" t="s">
        <v>1197</v>
      </c>
      <c r="J268" t="b">
        <v>0</v>
      </c>
      <c r="K268" t="b">
        <v>0</v>
      </c>
    </row>
    <row r="269" spans="1:11">
      <c r="A269" t="s">
        <v>25</v>
      </c>
      <c r="B269" t="s">
        <v>26</v>
      </c>
      <c r="C269">
        <v>775</v>
      </c>
      <c r="D269" t="s">
        <v>13</v>
      </c>
      <c r="E269" t="s">
        <v>748</v>
      </c>
      <c r="F269">
        <v>37681</v>
      </c>
      <c r="H269">
        <v>40645.486168981479</v>
      </c>
      <c r="I269" t="s">
        <v>813</v>
      </c>
      <c r="J269" t="b">
        <v>0</v>
      </c>
      <c r="K269" t="b">
        <v>0</v>
      </c>
    </row>
    <row r="270" spans="1:11">
      <c r="A270" t="s">
        <v>25</v>
      </c>
      <c r="B270" t="s">
        <v>26</v>
      </c>
      <c r="C270">
        <v>775</v>
      </c>
      <c r="D270" t="s">
        <v>13</v>
      </c>
      <c r="E270" t="s">
        <v>750</v>
      </c>
      <c r="F270">
        <v>40057</v>
      </c>
      <c r="H270">
        <v>40639.905844907407</v>
      </c>
      <c r="I270" t="s">
        <v>813</v>
      </c>
      <c r="J270" t="b">
        <v>0</v>
      </c>
      <c r="K270" t="b">
        <v>0</v>
      </c>
    </row>
    <row r="271" spans="1:11">
      <c r="A271" t="s">
        <v>25</v>
      </c>
      <c r="B271" t="s">
        <v>26</v>
      </c>
      <c r="C271">
        <v>775</v>
      </c>
      <c r="D271" t="s">
        <v>13</v>
      </c>
      <c r="E271" t="s">
        <v>752</v>
      </c>
      <c r="F271">
        <v>41275</v>
      </c>
      <c r="H271">
        <v>41283.425208333334</v>
      </c>
      <c r="I271" t="s">
        <v>822</v>
      </c>
      <c r="J271" t="b">
        <v>0</v>
      </c>
      <c r="K271" t="b">
        <v>0</v>
      </c>
    </row>
    <row r="272" spans="1:11">
      <c r="A272" t="s">
        <v>25</v>
      </c>
      <c r="B272" t="s">
        <v>26</v>
      </c>
      <c r="C272">
        <v>780</v>
      </c>
      <c r="D272" t="s">
        <v>13</v>
      </c>
      <c r="E272" t="s">
        <v>748</v>
      </c>
      <c r="F272">
        <v>37803</v>
      </c>
      <c r="H272">
        <v>40645.486655092594</v>
      </c>
      <c r="I272" t="s">
        <v>813</v>
      </c>
      <c r="J272" t="b">
        <v>0</v>
      </c>
      <c r="K272" t="b">
        <v>0</v>
      </c>
    </row>
    <row r="273" spans="1:11">
      <c r="A273" t="s">
        <v>25</v>
      </c>
      <c r="B273" t="s">
        <v>26</v>
      </c>
      <c r="C273">
        <v>780</v>
      </c>
      <c r="D273" t="s">
        <v>13</v>
      </c>
      <c r="E273" t="s">
        <v>750</v>
      </c>
      <c r="F273">
        <v>40057</v>
      </c>
      <c r="H273">
        <v>40639.906030092592</v>
      </c>
      <c r="I273" t="s">
        <v>813</v>
      </c>
      <c r="J273" t="b">
        <v>0</v>
      </c>
      <c r="K273" t="b">
        <v>0</v>
      </c>
    </row>
    <row r="274" spans="1:11">
      <c r="A274" t="s">
        <v>25</v>
      </c>
      <c r="B274" t="s">
        <v>26</v>
      </c>
      <c r="C274">
        <v>780</v>
      </c>
      <c r="D274" t="s">
        <v>13</v>
      </c>
      <c r="E274" t="s">
        <v>752</v>
      </c>
      <c r="F274">
        <v>41275</v>
      </c>
      <c r="H274">
        <v>41285.567280092589</v>
      </c>
      <c r="I274" t="s">
        <v>823</v>
      </c>
      <c r="J274" t="b">
        <v>0</v>
      </c>
      <c r="K274" t="b">
        <v>0</v>
      </c>
    </row>
    <row r="275" spans="1:11">
      <c r="A275" t="s">
        <v>25</v>
      </c>
      <c r="B275" t="s">
        <v>29</v>
      </c>
      <c r="C275">
        <v>108</v>
      </c>
      <c r="D275" t="s">
        <v>27</v>
      </c>
      <c r="E275" t="s">
        <v>748</v>
      </c>
      <c r="F275">
        <v>41678</v>
      </c>
      <c r="H275">
        <v>41676.420960648145</v>
      </c>
      <c r="I275" t="s">
        <v>785</v>
      </c>
      <c r="J275" t="b">
        <v>0</v>
      </c>
      <c r="K275" t="b">
        <v>0</v>
      </c>
    </row>
    <row r="276" spans="1:11">
      <c r="A276" t="s">
        <v>25</v>
      </c>
      <c r="B276" t="s">
        <v>29</v>
      </c>
      <c r="C276">
        <v>108</v>
      </c>
      <c r="D276" t="s">
        <v>27</v>
      </c>
      <c r="E276" t="s">
        <v>750</v>
      </c>
      <c r="F276">
        <v>41681</v>
      </c>
      <c r="H276">
        <v>41681.781377314815</v>
      </c>
      <c r="I276" t="s">
        <v>771</v>
      </c>
      <c r="J276" t="b">
        <v>0</v>
      </c>
      <c r="K276" t="b">
        <v>0</v>
      </c>
    </row>
    <row r="277" spans="1:11">
      <c r="A277" t="s">
        <v>25</v>
      </c>
      <c r="B277" t="s">
        <v>29</v>
      </c>
      <c r="C277">
        <v>108</v>
      </c>
      <c r="D277" t="s">
        <v>27</v>
      </c>
      <c r="E277" t="s">
        <v>752</v>
      </c>
      <c r="F277">
        <v>41676</v>
      </c>
      <c r="H277">
        <v>41676.410775462966</v>
      </c>
      <c r="I277" t="s">
        <v>802</v>
      </c>
      <c r="J277" t="b">
        <v>0</v>
      </c>
      <c r="K277" t="b">
        <v>0</v>
      </c>
    </row>
    <row r="278" spans="1:11">
      <c r="A278" t="s">
        <v>25</v>
      </c>
      <c r="B278" t="s">
        <v>29</v>
      </c>
      <c r="C278">
        <v>110</v>
      </c>
      <c r="D278" t="s">
        <v>27</v>
      </c>
      <c r="E278" t="s">
        <v>748</v>
      </c>
      <c r="F278">
        <v>41673</v>
      </c>
      <c r="H278">
        <v>41674.547280092593</v>
      </c>
      <c r="I278" t="s">
        <v>773</v>
      </c>
      <c r="J278" t="b">
        <v>0</v>
      </c>
      <c r="K278" t="b">
        <v>0</v>
      </c>
    </row>
    <row r="279" spans="1:11">
      <c r="A279" t="s">
        <v>25</v>
      </c>
      <c r="B279" t="s">
        <v>29</v>
      </c>
      <c r="C279">
        <v>110</v>
      </c>
      <c r="D279" t="s">
        <v>27</v>
      </c>
      <c r="E279" t="s">
        <v>750</v>
      </c>
      <c r="F279">
        <v>41649</v>
      </c>
      <c r="H279">
        <v>41649.294895833336</v>
      </c>
      <c r="I279" t="s">
        <v>783</v>
      </c>
      <c r="J279" t="b">
        <v>0</v>
      </c>
      <c r="K279" t="b">
        <v>0</v>
      </c>
    </row>
    <row r="280" spans="1:11">
      <c r="A280" t="s">
        <v>25</v>
      </c>
      <c r="B280" t="s">
        <v>29</v>
      </c>
      <c r="C280">
        <v>110</v>
      </c>
      <c r="D280" t="s">
        <v>27</v>
      </c>
      <c r="E280" t="s">
        <v>752</v>
      </c>
      <c r="F280">
        <v>41558</v>
      </c>
      <c r="H280">
        <v>41554.859756944446</v>
      </c>
      <c r="I280" t="s">
        <v>825</v>
      </c>
      <c r="J280" t="b">
        <v>0</v>
      </c>
      <c r="K280" t="b">
        <v>0</v>
      </c>
    </row>
    <row r="281" spans="1:11">
      <c r="A281" t="s">
        <v>25</v>
      </c>
      <c r="B281" t="s">
        <v>29</v>
      </c>
      <c r="C281">
        <v>125</v>
      </c>
      <c r="D281" t="s">
        <v>27</v>
      </c>
      <c r="E281" t="s">
        <v>748</v>
      </c>
      <c r="F281">
        <v>41678</v>
      </c>
      <c r="H281">
        <v>41674.547650462962</v>
      </c>
      <c r="I281" t="s">
        <v>773</v>
      </c>
      <c r="J281" t="b">
        <v>0</v>
      </c>
      <c r="K281" t="b">
        <v>0</v>
      </c>
    </row>
    <row r="282" spans="1:11">
      <c r="A282" t="s">
        <v>25</v>
      </c>
      <c r="B282" t="s">
        <v>29</v>
      </c>
      <c r="C282">
        <v>125</v>
      </c>
      <c r="D282" t="s">
        <v>27</v>
      </c>
      <c r="E282" t="s">
        <v>750</v>
      </c>
      <c r="F282">
        <v>41623</v>
      </c>
      <c r="H282">
        <v>41619.542349537034</v>
      </c>
      <c r="I282" t="s">
        <v>771</v>
      </c>
      <c r="J282" t="b">
        <v>0</v>
      </c>
      <c r="K282" t="b">
        <v>0</v>
      </c>
    </row>
    <row r="283" spans="1:11">
      <c r="A283" t="s">
        <v>25</v>
      </c>
      <c r="B283" t="s">
        <v>29</v>
      </c>
      <c r="C283">
        <v>125</v>
      </c>
      <c r="D283" t="s">
        <v>27</v>
      </c>
      <c r="E283" t="s">
        <v>752</v>
      </c>
      <c r="F283">
        <v>41648</v>
      </c>
      <c r="H283">
        <v>41646.354016203702</v>
      </c>
      <c r="I283" t="s">
        <v>788</v>
      </c>
      <c r="J283" t="b">
        <v>0</v>
      </c>
      <c r="K283" t="b">
        <v>0</v>
      </c>
    </row>
    <row r="284" spans="1:11">
      <c r="A284" t="s">
        <v>25</v>
      </c>
      <c r="B284" t="s">
        <v>29</v>
      </c>
      <c r="C284">
        <v>145</v>
      </c>
      <c r="D284" t="s">
        <v>13</v>
      </c>
      <c r="E284" t="s">
        <v>748</v>
      </c>
      <c r="F284">
        <v>41557</v>
      </c>
      <c r="H284">
        <v>41699.379548611112</v>
      </c>
      <c r="I284" t="s">
        <v>801</v>
      </c>
      <c r="J284" t="b">
        <v>0</v>
      </c>
      <c r="K284" t="b">
        <v>0</v>
      </c>
    </row>
    <row r="285" spans="1:11">
      <c r="A285" t="s">
        <v>25</v>
      </c>
      <c r="B285" t="s">
        <v>29</v>
      </c>
      <c r="C285">
        <v>145</v>
      </c>
      <c r="D285" t="s">
        <v>13</v>
      </c>
      <c r="E285" t="s">
        <v>750</v>
      </c>
      <c r="F285">
        <v>41596</v>
      </c>
      <c r="H285">
        <v>41596.600578703707</v>
      </c>
      <c r="I285" t="s">
        <v>826</v>
      </c>
      <c r="J285" t="b">
        <v>0</v>
      </c>
      <c r="K285" t="b">
        <v>0</v>
      </c>
    </row>
    <row r="286" spans="1:11">
      <c r="A286" t="s">
        <v>25</v>
      </c>
      <c r="B286" t="s">
        <v>29</v>
      </c>
      <c r="C286">
        <v>145</v>
      </c>
      <c r="D286" t="s">
        <v>13</v>
      </c>
      <c r="E286" t="s">
        <v>752</v>
      </c>
      <c r="F286">
        <v>41668</v>
      </c>
      <c r="H286">
        <v>41664.476770833331</v>
      </c>
      <c r="I286" t="s">
        <v>773</v>
      </c>
      <c r="J286" t="b">
        <v>0</v>
      </c>
      <c r="K286" t="b">
        <v>0</v>
      </c>
    </row>
    <row r="287" spans="1:11">
      <c r="A287" t="s">
        <v>25</v>
      </c>
      <c r="B287" t="s">
        <v>29</v>
      </c>
      <c r="C287">
        <v>155</v>
      </c>
      <c r="D287" t="s">
        <v>27</v>
      </c>
      <c r="E287" t="s">
        <v>748</v>
      </c>
      <c r="F287">
        <v>41540</v>
      </c>
      <c r="H287">
        <v>41542.927106481482</v>
      </c>
      <c r="I287" t="s">
        <v>788</v>
      </c>
      <c r="J287" t="b">
        <v>0</v>
      </c>
      <c r="K287" t="b">
        <v>0</v>
      </c>
    </row>
    <row r="288" spans="1:11">
      <c r="A288" t="s">
        <v>25</v>
      </c>
      <c r="B288" t="s">
        <v>29</v>
      </c>
      <c r="C288">
        <v>155</v>
      </c>
      <c r="D288" t="s">
        <v>27</v>
      </c>
      <c r="E288" t="s">
        <v>750</v>
      </c>
      <c r="F288">
        <v>41664</v>
      </c>
      <c r="H288">
        <v>41649.297534722224</v>
      </c>
      <c r="I288" t="s">
        <v>783</v>
      </c>
      <c r="J288" t="b">
        <v>0</v>
      </c>
      <c r="K288" t="b">
        <v>0</v>
      </c>
    </row>
    <row r="289" spans="1:11">
      <c r="A289" t="s">
        <v>25</v>
      </c>
      <c r="B289" t="s">
        <v>29</v>
      </c>
      <c r="C289">
        <v>155</v>
      </c>
      <c r="D289" t="s">
        <v>27</v>
      </c>
      <c r="E289" t="s">
        <v>752</v>
      </c>
      <c r="F289">
        <v>41558</v>
      </c>
      <c r="H289">
        <v>41544.692962962959</v>
      </c>
      <c r="I289" t="s">
        <v>788</v>
      </c>
      <c r="J289" t="b">
        <v>0</v>
      </c>
      <c r="K289" t="b">
        <v>0</v>
      </c>
    </row>
    <row r="290" spans="1:11">
      <c r="A290" t="s">
        <v>25</v>
      </c>
      <c r="B290" t="s">
        <v>29</v>
      </c>
      <c r="C290">
        <v>351</v>
      </c>
      <c r="D290" t="s">
        <v>13</v>
      </c>
      <c r="E290" t="s">
        <v>748</v>
      </c>
      <c r="F290">
        <v>41678</v>
      </c>
      <c r="H290">
        <v>41699.380856481483</v>
      </c>
      <c r="I290" t="s">
        <v>801</v>
      </c>
      <c r="J290" t="b">
        <v>0</v>
      </c>
      <c r="K290" t="b">
        <v>0</v>
      </c>
    </row>
    <row r="291" spans="1:11">
      <c r="A291" t="s">
        <v>25</v>
      </c>
      <c r="B291" t="s">
        <v>29</v>
      </c>
      <c r="C291">
        <v>351</v>
      </c>
      <c r="D291" t="s">
        <v>13</v>
      </c>
      <c r="E291" t="s">
        <v>750</v>
      </c>
      <c r="F291">
        <v>41682</v>
      </c>
      <c r="H291">
        <v>41699.301249999997</v>
      </c>
      <c r="I291" t="s">
        <v>801</v>
      </c>
      <c r="J291" t="b">
        <v>0</v>
      </c>
      <c r="K291" t="b">
        <v>0</v>
      </c>
    </row>
    <row r="292" spans="1:11">
      <c r="A292" t="s">
        <v>25</v>
      </c>
      <c r="B292" t="s">
        <v>29</v>
      </c>
      <c r="C292">
        <v>351</v>
      </c>
      <c r="D292" t="s">
        <v>13</v>
      </c>
      <c r="E292" t="s">
        <v>752</v>
      </c>
      <c r="F292">
        <v>41544</v>
      </c>
      <c r="H292">
        <v>41699.306770833333</v>
      </c>
      <c r="I292" t="s">
        <v>801</v>
      </c>
      <c r="J292" t="b">
        <v>0</v>
      </c>
      <c r="K292" t="b">
        <v>0</v>
      </c>
    </row>
    <row r="293" spans="1:11">
      <c r="A293" t="s">
        <v>25</v>
      </c>
      <c r="B293" t="s">
        <v>30</v>
      </c>
      <c r="C293">
        <v>105</v>
      </c>
      <c r="D293" t="s">
        <v>27</v>
      </c>
      <c r="E293" t="s">
        <v>748</v>
      </c>
      <c r="F293">
        <v>41702</v>
      </c>
      <c r="H293">
        <v>41702.612511574072</v>
      </c>
      <c r="I293" t="s">
        <v>1197</v>
      </c>
      <c r="J293" t="b">
        <v>0</v>
      </c>
      <c r="K293" t="b">
        <v>0</v>
      </c>
    </row>
    <row r="294" spans="1:11">
      <c r="A294" t="s">
        <v>25</v>
      </c>
      <c r="B294" t="s">
        <v>30</v>
      </c>
      <c r="C294">
        <v>105</v>
      </c>
      <c r="D294" t="s">
        <v>27</v>
      </c>
      <c r="E294" t="s">
        <v>750</v>
      </c>
      <c r="F294">
        <v>41681</v>
      </c>
      <c r="H294">
        <v>41681.78324074074</v>
      </c>
      <c r="I294" t="s">
        <v>771</v>
      </c>
      <c r="J294" t="b">
        <v>0</v>
      </c>
      <c r="K294" t="b">
        <v>0</v>
      </c>
    </row>
    <row r="295" spans="1:11">
      <c r="A295" t="s">
        <v>25</v>
      </c>
      <c r="B295" t="s">
        <v>30</v>
      </c>
      <c r="C295">
        <v>105</v>
      </c>
      <c r="D295" t="s">
        <v>27</v>
      </c>
      <c r="E295" t="s">
        <v>752</v>
      </c>
      <c r="F295">
        <v>41702</v>
      </c>
      <c r="H295">
        <v>41702.611203703702</v>
      </c>
      <c r="I295" t="s">
        <v>1197</v>
      </c>
      <c r="J295" t="b">
        <v>0</v>
      </c>
      <c r="K295" t="b">
        <v>0</v>
      </c>
    </row>
    <row r="296" spans="1:11">
      <c r="A296" t="s">
        <v>25</v>
      </c>
      <c r="B296" t="s">
        <v>30</v>
      </c>
      <c r="C296">
        <v>211</v>
      </c>
      <c r="D296" t="s">
        <v>28</v>
      </c>
      <c r="E296" t="s">
        <v>748</v>
      </c>
      <c r="G296">
        <v>5316.60009765625</v>
      </c>
      <c r="H296">
        <v>41676.417303240742</v>
      </c>
      <c r="I296" t="s">
        <v>785</v>
      </c>
      <c r="J296" t="b">
        <v>0</v>
      </c>
      <c r="K296" t="b">
        <v>0</v>
      </c>
    </row>
    <row r="297" spans="1:11">
      <c r="A297" t="s">
        <v>25</v>
      </c>
      <c r="B297" t="s">
        <v>30</v>
      </c>
      <c r="C297">
        <v>211</v>
      </c>
      <c r="D297" t="s">
        <v>28</v>
      </c>
      <c r="E297" t="s">
        <v>750</v>
      </c>
      <c r="G297">
        <v>3961.5</v>
      </c>
      <c r="H297">
        <v>41625.394606481481</v>
      </c>
      <c r="I297" t="s">
        <v>773</v>
      </c>
      <c r="J297" t="b">
        <v>0</v>
      </c>
      <c r="K297" t="b">
        <v>0</v>
      </c>
    </row>
    <row r="298" spans="1:11">
      <c r="A298" t="s">
        <v>25</v>
      </c>
      <c r="B298" t="s">
        <v>30</v>
      </c>
      <c r="C298">
        <v>211</v>
      </c>
      <c r="D298" t="s">
        <v>28</v>
      </c>
      <c r="E298" t="s">
        <v>752</v>
      </c>
      <c r="G298">
        <v>4695.2001953125</v>
      </c>
      <c r="H298">
        <v>41533.705439814818</v>
      </c>
      <c r="I298" t="s">
        <v>827</v>
      </c>
      <c r="J298" t="b">
        <v>0</v>
      </c>
      <c r="K298" t="b">
        <v>0</v>
      </c>
    </row>
    <row r="299" spans="1:11">
      <c r="A299" t="s">
        <v>25</v>
      </c>
      <c r="B299" t="s">
        <v>30</v>
      </c>
      <c r="C299">
        <v>401</v>
      </c>
      <c r="D299" t="s">
        <v>27</v>
      </c>
      <c r="E299" t="s">
        <v>748</v>
      </c>
      <c r="F299">
        <v>41698</v>
      </c>
      <c r="H299">
        <v>41698.648715277777</v>
      </c>
      <c r="I299" t="s">
        <v>1195</v>
      </c>
      <c r="J299" t="b">
        <v>0</v>
      </c>
      <c r="K299" t="b">
        <v>0</v>
      </c>
    </row>
    <row r="300" spans="1:11">
      <c r="A300" t="s">
        <v>25</v>
      </c>
      <c r="B300" t="s">
        <v>30</v>
      </c>
      <c r="C300">
        <v>401</v>
      </c>
      <c r="D300" t="s">
        <v>27</v>
      </c>
      <c r="E300" t="s">
        <v>750</v>
      </c>
      <c r="F300">
        <v>41698</v>
      </c>
      <c r="H300">
        <v>41698.647685185184</v>
      </c>
      <c r="I300" t="s">
        <v>1198</v>
      </c>
      <c r="J300" t="b">
        <v>0</v>
      </c>
      <c r="K300" t="b">
        <v>0</v>
      </c>
    </row>
    <row r="301" spans="1:11">
      <c r="A301" t="s">
        <v>25</v>
      </c>
      <c r="B301" t="s">
        <v>30</v>
      </c>
      <c r="C301">
        <v>401</v>
      </c>
      <c r="D301" t="s">
        <v>27</v>
      </c>
      <c r="E301" t="s">
        <v>752</v>
      </c>
      <c r="F301">
        <v>41698</v>
      </c>
      <c r="H301">
        <v>41698.640150462961</v>
      </c>
      <c r="I301" t="s">
        <v>1199</v>
      </c>
      <c r="J301" t="b">
        <v>0</v>
      </c>
      <c r="K301" t="b">
        <v>0</v>
      </c>
    </row>
    <row r="302" spans="1:11">
      <c r="A302" t="s">
        <v>25</v>
      </c>
      <c r="B302" t="s">
        <v>30</v>
      </c>
      <c r="C302">
        <v>405</v>
      </c>
      <c r="D302" t="s">
        <v>27</v>
      </c>
      <c r="E302" t="s">
        <v>748</v>
      </c>
      <c r="F302">
        <v>41702</v>
      </c>
      <c r="H302">
        <v>41702.659178240741</v>
      </c>
      <c r="I302" t="s">
        <v>767</v>
      </c>
      <c r="J302" t="b">
        <v>0</v>
      </c>
      <c r="K302" t="b">
        <v>0</v>
      </c>
    </row>
    <row r="303" spans="1:11">
      <c r="A303" t="s">
        <v>25</v>
      </c>
      <c r="B303" t="s">
        <v>30</v>
      </c>
      <c r="C303">
        <v>405</v>
      </c>
      <c r="D303" t="s">
        <v>27</v>
      </c>
      <c r="E303" t="s">
        <v>750</v>
      </c>
      <c r="F303">
        <v>41584</v>
      </c>
      <c r="H303">
        <v>41575.975300925929</v>
      </c>
      <c r="I303" t="s">
        <v>828</v>
      </c>
      <c r="J303" t="b">
        <v>0</v>
      </c>
      <c r="K303" t="b">
        <v>0</v>
      </c>
    </row>
    <row r="304" spans="1:11">
      <c r="A304" t="s">
        <v>25</v>
      </c>
      <c r="B304" t="s">
        <v>30</v>
      </c>
      <c r="C304">
        <v>405</v>
      </c>
      <c r="D304" t="s">
        <v>27</v>
      </c>
      <c r="E304" t="s">
        <v>752</v>
      </c>
      <c r="F304">
        <v>41563</v>
      </c>
      <c r="H304">
        <v>41577.999907407408</v>
      </c>
      <c r="I304" t="s">
        <v>828</v>
      </c>
      <c r="J304" t="b">
        <v>0</v>
      </c>
      <c r="K304" t="b">
        <v>0</v>
      </c>
    </row>
    <row r="305" spans="1:11">
      <c r="A305" t="s">
        <v>25</v>
      </c>
      <c r="B305" t="s">
        <v>30</v>
      </c>
      <c r="C305">
        <v>406</v>
      </c>
      <c r="D305" t="s">
        <v>27</v>
      </c>
      <c r="E305" t="s">
        <v>748</v>
      </c>
      <c r="F305">
        <v>41674</v>
      </c>
      <c r="H305">
        <v>41676.450856481482</v>
      </c>
      <c r="I305" t="s">
        <v>785</v>
      </c>
      <c r="J305" t="b">
        <v>0</v>
      </c>
      <c r="K305" t="b">
        <v>0</v>
      </c>
    </row>
    <row r="306" spans="1:11">
      <c r="A306" t="s">
        <v>25</v>
      </c>
      <c r="B306" t="s">
        <v>30</v>
      </c>
      <c r="C306">
        <v>406</v>
      </c>
      <c r="D306" t="s">
        <v>27</v>
      </c>
      <c r="E306" t="s">
        <v>750</v>
      </c>
      <c r="F306">
        <v>41621</v>
      </c>
      <c r="H306">
        <v>41620.427766203706</v>
      </c>
      <c r="I306" t="s">
        <v>782</v>
      </c>
      <c r="J306" t="b">
        <v>0</v>
      </c>
      <c r="K306" t="b">
        <v>0</v>
      </c>
    </row>
    <row r="307" spans="1:11">
      <c r="A307" t="s">
        <v>25</v>
      </c>
      <c r="B307" t="s">
        <v>30</v>
      </c>
      <c r="C307">
        <v>406</v>
      </c>
      <c r="D307" t="s">
        <v>27</v>
      </c>
      <c r="E307" t="s">
        <v>752</v>
      </c>
      <c r="F307">
        <v>41632</v>
      </c>
      <c r="H307">
        <v>41634.449837962966</v>
      </c>
      <c r="I307" t="s">
        <v>807</v>
      </c>
      <c r="J307" t="b">
        <v>0</v>
      </c>
      <c r="K307" t="b">
        <v>0</v>
      </c>
    </row>
    <row r="308" spans="1:11">
      <c r="A308" t="s">
        <v>25</v>
      </c>
      <c r="B308" t="s">
        <v>30</v>
      </c>
      <c r="C308">
        <v>406</v>
      </c>
      <c r="D308" t="s">
        <v>12</v>
      </c>
      <c r="E308" t="s">
        <v>748</v>
      </c>
      <c r="G308">
        <v>26475</v>
      </c>
      <c r="H308">
        <v>41676.450856481482</v>
      </c>
      <c r="I308" t="s">
        <v>785</v>
      </c>
      <c r="J308" t="b">
        <v>0</v>
      </c>
      <c r="K308" t="b">
        <v>0</v>
      </c>
    </row>
    <row r="309" spans="1:11">
      <c r="A309" t="s">
        <v>25</v>
      </c>
      <c r="B309" t="s">
        <v>30</v>
      </c>
      <c r="C309">
        <v>406</v>
      </c>
      <c r="D309" t="s">
        <v>12</v>
      </c>
      <c r="E309" t="s">
        <v>750</v>
      </c>
      <c r="G309">
        <v>18916</v>
      </c>
      <c r="H309">
        <v>41620.427766203706</v>
      </c>
      <c r="I309" t="s">
        <v>782</v>
      </c>
      <c r="J309" t="b">
        <v>0</v>
      </c>
      <c r="K309" t="b">
        <v>0</v>
      </c>
    </row>
    <row r="310" spans="1:11">
      <c r="A310" t="s">
        <v>25</v>
      </c>
      <c r="B310" t="s">
        <v>30</v>
      </c>
      <c r="C310">
        <v>406</v>
      </c>
      <c r="D310" t="s">
        <v>12</v>
      </c>
      <c r="E310" t="s">
        <v>752</v>
      </c>
      <c r="G310">
        <v>7331</v>
      </c>
      <c r="H310">
        <v>41634.449837962966</v>
      </c>
      <c r="I310" t="s">
        <v>807</v>
      </c>
      <c r="J310" t="b">
        <v>0</v>
      </c>
      <c r="K310" t="b">
        <v>0</v>
      </c>
    </row>
    <row r="311" spans="1:11">
      <c r="A311" t="s">
        <v>25</v>
      </c>
      <c r="B311" t="s">
        <v>30</v>
      </c>
      <c r="C311">
        <v>407</v>
      </c>
      <c r="D311" t="s">
        <v>27</v>
      </c>
      <c r="E311" t="s">
        <v>748</v>
      </c>
      <c r="F311">
        <v>41674</v>
      </c>
      <c r="H311">
        <v>41674.652187500003</v>
      </c>
      <c r="I311" t="s">
        <v>773</v>
      </c>
      <c r="J311" t="b">
        <v>0</v>
      </c>
      <c r="K311" t="b">
        <v>0</v>
      </c>
    </row>
    <row r="312" spans="1:11">
      <c r="A312" t="s">
        <v>25</v>
      </c>
      <c r="B312" t="s">
        <v>30</v>
      </c>
      <c r="C312">
        <v>407</v>
      </c>
      <c r="D312" t="s">
        <v>27</v>
      </c>
      <c r="E312" t="s">
        <v>750</v>
      </c>
      <c r="F312">
        <v>41624</v>
      </c>
      <c r="H312">
        <v>41624.465046296296</v>
      </c>
      <c r="I312" t="s">
        <v>829</v>
      </c>
      <c r="J312" t="b">
        <v>0</v>
      </c>
      <c r="K312" t="b">
        <v>0</v>
      </c>
    </row>
    <row r="313" spans="1:11">
      <c r="A313" t="s">
        <v>25</v>
      </c>
      <c r="B313" t="s">
        <v>30</v>
      </c>
      <c r="C313">
        <v>407</v>
      </c>
      <c r="D313" t="s">
        <v>27</v>
      </c>
      <c r="E313" t="s">
        <v>752</v>
      </c>
      <c r="F313">
        <v>41632</v>
      </c>
      <c r="H313">
        <v>41634.450138888889</v>
      </c>
      <c r="I313" t="s">
        <v>807</v>
      </c>
      <c r="J313" t="b">
        <v>0</v>
      </c>
      <c r="K313" t="b">
        <v>0</v>
      </c>
    </row>
    <row r="314" spans="1:11">
      <c r="A314" t="s">
        <v>25</v>
      </c>
      <c r="B314" t="s">
        <v>30</v>
      </c>
      <c r="C314">
        <v>408</v>
      </c>
      <c r="D314" t="s">
        <v>12</v>
      </c>
      <c r="E314" t="s">
        <v>748</v>
      </c>
      <c r="G314">
        <v>26167</v>
      </c>
      <c r="H314">
        <v>41360.441944444443</v>
      </c>
      <c r="I314" t="s">
        <v>801</v>
      </c>
      <c r="J314" t="b">
        <v>0</v>
      </c>
      <c r="K314" t="b">
        <v>0</v>
      </c>
    </row>
    <row r="315" spans="1:11">
      <c r="A315" t="s">
        <v>25</v>
      </c>
      <c r="B315" t="s">
        <v>30</v>
      </c>
      <c r="C315">
        <v>408</v>
      </c>
      <c r="D315" t="s">
        <v>12</v>
      </c>
      <c r="E315" t="s">
        <v>750</v>
      </c>
      <c r="G315">
        <v>17805</v>
      </c>
      <c r="H315">
        <v>41359.38175925926</v>
      </c>
      <c r="I315" t="s">
        <v>801</v>
      </c>
      <c r="J315" t="b">
        <v>0</v>
      </c>
      <c r="K315" t="b">
        <v>0</v>
      </c>
    </row>
    <row r="316" spans="1:11">
      <c r="A316" t="s">
        <v>25</v>
      </c>
      <c r="B316" t="s">
        <v>30</v>
      </c>
      <c r="C316">
        <v>408</v>
      </c>
      <c r="D316" t="s">
        <v>12</v>
      </c>
      <c r="E316" t="s">
        <v>752</v>
      </c>
      <c r="G316">
        <v>6721</v>
      </c>
      <c r="H316">
        <v>41361.425486111111</v>
      </c>
      <c r="I316" t="s">
        <v>801</v>
      </c>
      <c r="J316" t="b">
        <v>0</v>
      </c>
      <c r="K316" t="b">
        <v>0</v>
      </c>
    </row>
    <row r="317" spans="1:11">
      <c r="A317" t="s">
        <v>25</v>
      </c>
      <c r="B317" t="s">
        <v>30</v>
      </c>
      <c r="C317">
        <v>409</v>
      </c>
      <c r="D317" t="s">
        <v>12</v>
      </c>
      <c r="E317" t="s">
        <v>748</v>
      </c>
      <c r="G317">
        <v>26167</v>
      </c>
      <c r="H317">
        <v>41494.393437500003</v>
      </c>
      <c r="I317" t="s">
        <v>801</v>
      </c>
      <c r="J317" t="b">
        <v>0</v>
      </c>
      <c r="K317" t="b">
        <v>0</v>
      </c>
    </row>
    <row r="318" spans="1:11">
      <c r="A318" t="s">
        <v>25</v>
      </c>
      <c r="B318" t="s">
        <v>30</v>
      </c>
      <c r="C318">
        <v>409</v>
      </c>
      <c r="D318" t="s">
        <v>12</v>
      </c>
      <c r="E318" t="s">
        <v>750</v>
      </c>
      <c r="G318">
        <v>17805</v>
      </c>
      <c r="H318">
        <v>41184.85628472222</v>
      </c>
      <c r="I318" t="s">
        <v>812</v>
      </c>
      <c r="J318" t="b">
        <v>0</v>
      </c>
      <c r="K318" t="b">
        <v>0</v>
      </c>
    </row>
    <row r="319" spans="1:11">
      <c r="A319" t="s">
        <v>25</v>
      </c>
      <c r="B319" t="s">
        <v>30</v>
      </c>
      <c r="C319">
        <v>409</v>
      </c>
      <c r="D319" t="s">
        <v>12</v>
      </c>
      <c r="E319" t="s">
        <v>752</v>
      </c>
      <c r="G319">
        <v>6721</v>
      </c>
      <c r="H319">
        <v>41114.599374999998</v>
      </c>
      <c r="I319" t="s">
        <v>830</v>
      </c>
      <c r="J319" t="b">
        <v>0</v>
      </c>
      <c r="K319" t="b">
        <v>0</v>
      </c>
    </row>
    <row r="320" spans="1:11">
      <c r="A320" t="s">
        <v>25</v>
      </c>
      <c r="B320" t="s">
        <v>30</v>
      </c>
      <c r="C320">
        <v>415</v>
      </c>
      <c r="D320" t="s">
        <v>13</v>
      </c>
      <c r="E320" t="s">
        <v>748</v>
      </c>
      <c r="F320">
        <v>41410</v>
      </c>
      <c r="H320">
        <v>41387.595405092594</v>
      </c>
      <c r="I320" t="s">
        <v>825</v>
      </c>
      <c r="J320" t="b">
        <v>0</v>
      </c>
      <c r="K320" t="b">
        <v>0</v>
      </c>
    </row>
    <row r="321" spans="1:11">
      <c r="A321" t="s">
        <v>25</v>
      </c>
      <c r="B321" t="s">
        <v>30</v>
      </c>
      <c r="C321">
        <v>415</v>
      </c>
      <c r="D321" t="s">
        <v>13</v>
      </c>
      <c r="E321" t="s">
        <v>750</v>
      </c>
      <c r="F321">
        <v>41404</v>
      </c>
      <c r="H321">
        <v>41411.710347222222</v>
      </c>
      <c r="I321" t="s">
        <v>802</v>
      </c>
      <c r="J321" t="b">
        <v>0</v>
      </c>
      <c r="K321" t="b">
        <v>0</v>
      </c>
    </row>
    <row r="322" spans="1:11">
      <c r="A322" t="s">
        <v>25</v>
      </c>
      <c r="B322" t="s">
        <v>30</v>
      </c>
      <c r="C322">
        <v>415</v>
      </c>
      <c r="D322" t="s">
        <v>13</v>
      </c>
      <c r="E322" t="s">
        <v>752</v>
      </c>
      <c r="F322">
        <v>41383</v>
      </c>
      <c r="H322">
        <v>41386.540682870371</v>
      </c>
      <c r="I322" t="s">
        <v>831</v>
      </c>
      <c r="J322" t="b">
        <v>0</v>
      </c>
      <c r="K322" t="b">
        <v>0</v>
      </c>
    </row>
    <row r="323" spans="1:11">
      <c r="A323" t="s">
        <v>25</v>
      </c>
      <c r="B323" t="s">
        <v>30</v>
      </c>
      <c r="C323">
        <v>420</v>
      </c>
      <c r="D323" t="s">
        <v>12</v>
      </c>
      <c r="E323" t="s">
        <v>748</v>
      </c>
      <c r="G323">
        <v>26167</v>
      </c>
      <c r="H323">
        <v>41045.865046296298</v>
      </c>
      <c r="I323" t="s">
        <v>824</v>
      </c>
      <c r="J323" t="b">
        <v>0</v>
      </c>
      <c r="K323" t="b">
        <v>0</v>
      </c>
    </row>
    <row r="324" spans="1:11">
      <c r="A324" t="s">
        <v>25</v>
      </c>
      <c r="B324" t="s">
        <v>30</v>
      </c>
      <c r="C324">
        <v>420</v>
      </c>
      <c r="D324" t="s">
        <v>12</v>
      </c>
      <c r="E324" t="s">
        <v>750</v>
      </c>
      <c r="G324">
        <v>17805</v>
      </c>
      <c r="H324">
        <v>41039.87568287037</v>
      </c>
      <c r="I324" t="s">
        <v>824</v>
      </c>
      <c r="J324" t="b">
        <v>0</v>
      </c>
      <c r="K324" t="b">
        <v>0</v>
      </c>
    </row>
    <row r="325" spans="1:11">
      <c r="A325" t="s">
        <v>25</v>
      </c>
      <c r="B325" t="s">
        <v>30</v>
      </c>
      <c r="C325">
        <v>420</v>
      </c>
      <c r="D325" t="s">
        <v>12</v>
      </c>
      <c r="E325" t="s">
        <v>752</v>
      </c>
      <c r="G325">
        <v>5855</v>
      </c>
      <c r="H325">
        <v>41018.666805555556</v>
      </c>
      <c r="I325" t="s">
        <v>832</v>
      </c>
      <c r="J325" t="b">
        <v>0</v>
      </c>
      <c r="K325" t="b">
        <v>0</v>
      </c>
    </row>
    <row r="326" spans="1:11">
      <c r="A326" t="s">
        <v>25</v>
      </c>
      <c r="B326" t="s">
        <v>30</v>
      </c>
      <c r="C326">
        <v>424</v>
      </c>
      <c r="D326" t="s">
        <v>12</v>
      </c>
      <c r="E326" t="s">
        <v>748</v>
      </c>
      <c r="G326">
        <v>26167</v>
      </c>
      <c r="H326">
        <v>41045.86515046296</v>
      </c>
      <c r="I326" t="s">
        <v>824</v>
      </c>
      <c r="J326" t="b">
        <v>0</v>
      </c>
      <c r="K326" t="b">
        <v>0</v>
      </c>
    </row>
    <row r="327" spans="1:11">
      <c r="A327" t="s">
        <v>25</v>
      </c>
      <c r="B327" t="s">
        <v>30</v>
      </c>
      <c r="C327">
        <v>424</v>
      </c>
      <c r="D327" t="s">
        <v>12</v>
      </c>
      <c r="E327" t="s">
        <v>750</v>
      </c>
      <c r="G327">
        <v>17805</v>
      </c>
      <c r="H327">
        <v>41039.875798611109</v>
      </c>
      <c r="I327" t="s">
        <v>824</v>
      </c>
      <c r="J327" t="b">
        <v>0</v>
      </c>
      <c r="K327" t="b">
        <v>0</v>
      </c>
    </row>
    <row r="328" spans="1:11">
      <c r="A328" t="s">
        <v>25</v>
      </c>
      <c r="B328" t="s">
        <v>30</v>
      </c>
      <c r="C328">
        <v>424</v>
      </c>
      <c r="D328" t="s">
        <v>12</v>
      </c>
      <c r="E328" t="s">
        <v>752</v>
      </c>
      <c r="G328">
        <v>5855</v>
      </c>
      <c r="H328">
        <v>41018.667013888888</v>
      </c>
      <c r="I328" t="s">
        <v>832</v>
      </c>
      <c r="J328" t="b">
        <v>0</v>
      </c>
      <c r="K328" t="b">
        <v>0</v>
      </c>
    </row>
    <row r="329" spans="1:11">
      <c r="A329" t="s">
        <v>25</v>
      </c>
      <c r="B329" t="s">
        <v>30</v>
      </c>
      <c r="C329">
        <v>428</v>
      </c>
      <c r="D329" t="s">
        <v>12</v>
      </c>
      <c r="E329" t="s">
        <v>748</v>
      </c>
      <c r="G329">
        <v>26167</v>
      </c>
      <c r="H329">
        <v>41045.865231481483</v>
      </c>
      <c r="I329" t="s">
        <v>824</v>
      </c>
      <c r="J329" t="b">
        <v>0</v>
      </c>
      <c r="K329" t="b">
        <v>0</v>
      </c>
    </row>
    <row r="330" spans="1:11">
      <c r="A330" t="s">
        <v>25</v>
      </c>
      <c r="B330" t="s">
        <v>30</v>
      </c>
      <c r="C330">
        <v>428</v>
      </c>
      <c r="D330" t="s">
        <v>12</v>
      </c>
      <c r="E330" t="s">
        <v>750</v>
      </c>
      <c r="G330">
        <v>17805</v>
      </c>
      <c r="H330">
        <v>41039.875914351855</v>
      </c>
      <c r="I330" t="s">
        <v>824</v>
      </c>
      <c r="J330" t="b">
        <v>0</v>
      </c>
      <c r="K330" t="b">
        <v>0</v>
      </c>
    </row>
    <row r="331" spans="1:11">
      <c r="A331" t="s">
        <v>25</v>
      </c>
      <c r="B331" t="s">
        <v>30</v>
      </c>
      <c r="C331">
        <v>428</v>
      </c>
      <c r="D331" t="s">
        <v>12</v>
      </c>
      <c r="E331" t="s">
        <v>752</v>
      </c>
      <c r="G331">
        <v>5855</v>
      </c>
      <c r="H331">
        <v>41018.667314814818</v>
      </c>
      <c r="I331" t="s">
        <v>832</v>
      </c>
      <c r="J331" t="b">
        <v>0</v>
      </c>
      <c r="K331" t="b">
        <v>0</v>
      </c>
    </row>
    <row r="332" spans="1:11">
      <c r="A332" t="s">
        <v>25</v>
      </c>
      <c r="B332" t="s">
        <v>30</v>
      </c>
      <c r="C332">
        <v>432</v>
      </c>
      <c r="D332" t="s">
        <v>12</v>
      </c>
      <c r="E332" t="s">
        <v>748</v>
      </c>
      <c r="G332">
        <v>26167</v>
      </c>
      <c r="H332">
        <v>41045.865300925929</v>
      </c>
      <c r="I332" t="s">
        <v>824</v>
      </c>
      <c r="J332" t="b">
        <v>0</v>
      </c>
      <c r="K332" t="b">
        <v>0</v>
      </c>
    </row>
    <row r="333" spans="1:11">
      <c r="A333" t="s">
        <v>25</v>
      </c>
      <c r="B333" t="s">
        <v>30</v>
      </c>
      <c r="C333">
        <v>432</v>
      </c>
      <c r="D333" t="s">
        <v>12</v>
      </c>
      <c r="E333" t="s">
        <v>750</v>
      </c>
      <c r="G333">
        <v>17805</v>
      </c>
      <c r="H333">
        <v>41039.875983796293</v>
      </c>
      <c r="I333" t="s">
        <v>824</v>
      </c>
      <c r="J333" t="b">
        <v>0</v>
      </c>
      <c r="K333" t="b">
        <v>0</v>
      </c>
    </row>
    <row r="334" spans="1:11">
      <c r="A334" t="s">
        <v>25</v>
      </c>
      <c r="B334" t="s">
        <v>30</v>
      </c>
      <c r="C334">
        <v>432</v>
      </c>
      <c r="D334" t="s">
        <v>12</v>
      </c>
      <c r="E334" t="s">
        <v>752</v>
      </c>
      <c r="G334">
        <v>5855</v>
      </c>
      <c r="H334">
        <v>41018.66747685185</v>
      </c>
      <c r="I334" t="s">
        <v>832</v>
      </c>
      <c r="J334" t="b">
        <v>0</v>
      </c>
      <c r="K334" t="b">
        <v>0</v>
      </c>
    </row>
    <row r="335" spans="1:11">
      <c r="A335" t="s">
        <v>25</v>
      </c>
      <c r="B335" t="s">
        <v>30</v>
      </c>
      <c r="C335">
        <v>436</v>
      </c>
      <c r="D335" t="s">
        <v>12</v>
      </c>
      <c r="E335" t="s">
        <v>748</v>
      </c>
      <c r="G335">
        <v>26167</v>
      </c>
      <c r="H335">
        <v>41045.865381944444</v>
      </c>
      <c r="I335" t="s">
        <v>824</v>
      </c>
      <c r="J335" t="b">
        <v>0</v>
      </c>
      <c r="K335" t="b">
        <v>0</v>
      </c>
    </row>
    <row r="336" spans="1:11">
      <c r="A336" t="s">
        <v>25</v>
      </c>
      <c r="B336" t="s">
        <v>30</v>
      </c>
      <c r="C336">
        <v>436</v>
      </c>
      <c r="D336" t="s">
        <v>12</v>
      </c>
      <c r="E336" t="s">
        <v>750</v>
      </c>
      <c r="G336">
        <v>17805</v>
      </c>
      <c r="H336">
        <v>41039.87605324074</v>
      </c>
      <c r="I336" t="s">
        <v>824</v>
      </c>
      <c r="J336" t="b">
        <v>0</v>
      </c>
      <c r="K336" t="b">
        <v>0</v>
      </c>
    </row>
    <row r="337" spans="1:12">
      <c r="A337" t="s">
        <v>25</v>
      </c>
      <c r="B337" t="s">
        <v>30</v>
      </c>
      <c r="C337">
        <v>436</v>
      </c>
      <c r="D337" t="s">
        <v>12</v>
      </c>
      <c r="E337" t="s">
        <v>752</v>
      </c>
      <c r="G337">
        <v>5855</v>
      </c>
      <c r="H337">
        <v>41018.667662037034</v>
      </c>
      <c r="I337" t="s">
        <v>832</v>
      </c>
      <c r="J337" t="b">
        <v>0</v>
      </c>
      <c r="K337" t="b">
        <v>0</v>
      </c>
    </row>
    <row r="338" spans="1:12">
      <c r="A338" t="s">
        <v>25</v>
      </c>
      <c r="B338" t="s">
        <v>30</v>
      </c>
      <c r="C338">
        <v>440</v>
      </c>
      <c r="D338" t="s">
        <v>12</v>
      </c>
      <c r="E338" t="s">
        <v>748</v>
      </c>
      <c r="G338">
        <v>26167</v>
      </c>
      <c r="H338">
        <v>41045.865532407406</v>
      </c>
      <c r="I338" t="s">
        <v>824</v>
      </c>
      <c r="J338" t="b">
        <v>0</v>
      </c>
      <c r="K338" t="b">
        <v>0</v>
      </c>
    </row>
    <row r="339" spans="1:12">
      <c r="A339" t="s">
        <v>25</v>
      </c>
      <c r="B339" t="s">
        <v>30</v>
      </c>
      <c r="C339">
        <v>440</v>
      </c>
      <c r="D339" t="s">
        <v>12</v>
      </c>
      <c r="E339" t="s">
        <v>750</v>
      </c>
      <c r="G339">
        <v>17805</v>
      </c>
      <c r="H339">
        <v>41039.876273148147</v>
      </c>
      <c r="I339" t="s">
        <v>824</v>
      </c>
      <c r="J339" t="b">
        <v>0</v>
      </c>
      <c r="K339" t="b">
        <v>0</v>
      </c>
    </row>
    <row r="340" spans="1:12">
      <c r="A340" t="s">
        <v>25</v>
      </c>
      <c r="B340" t="s">
        <v>30</v>
      </c>
      <c r="C340">
        <v>440</v>
      </c>
      <c r="D340" t="s">
        <v>12</v>
      </c>
      <c r="E340" t="s">
        <v>752</v>
      </c>
      <c r="G340">
        <v>5855</v>
      </c>
      <c r="H340">
        <v>41018.667812500003</v>
      </c>
      <c r="I340" t="s">
        <v>832</v>
      </c>
      <c r="J340" t="b">
        <v>0</v>
      </c>
      <c r="K340" t="b">
        <v>0</v>
      </c>
    </row>
    <row r="341" spans="1:12">
      <c r="A341" t="s">
        <v>25</v>
      </c>
      <c r="B341" t="s">
        <v>30</v>
      </c>
      <c r="C341">
        <v>520</v>
      </c>
      <c r="D341" t="s">
        <v>28</v>
      </c>
      <c r="E341" t="s">
        <v>748</v>
      </c>
      <c r="G341">
        <v>5216.60009765625</v>
      </c>
      <c r="H341">
        <v>41494.005057870374</v>
      </c>
      <c r="I341" t="s">
        <v>774</v>
      </c>
      <c r="J341" t="b">
        <v>0</v>
      </c>
      <c r="K341" t="b">
        <v>0</v>
      </c>
    </row>
    <row r="342" spans="1:12">
      <c r="A342" t="s">
        <v>25</v>
      </c>
      <c r="B342" t="s">
        <v>30</v>
      </c>
      <c r="C342">
        <v>520</v>
      </c>
      <c r="D342" t="s">
        <v>28</v>
      </c>
      <c r="E342" t="s">
        <v>750</v>
      </c>
      <c r="G342">
        <v>3890.699951171875</v>
      </c>
      <c r="H342">
        <v>41507.962789351855</v>
      </c>
      <c r="I342" t="s">
        <v>787</v>
      </c>
      <c r="J342" t="b">
        <v>0</v>
      </c>
      <c r="K342" t="b">
        <v>0</v>
      </c>
    </row>
    <row r="343" spans="1:12">
      <c r="A343" t="s">
        <v>25</v>
      </c>
      <c r="B343" t="s">
        <v>30</v>
      </c>
      <c r="C343">
        <v>520</v>
      </c>
      <c r="D343" t="s">
        <v>28</v>
      </c>
      <c r="E343" t="s">
        <v>752</v>
      </c>
      <c r="G343">
        <v>4583.7001953125</v>
      </c>
      <c r="H343">
        <v>41201.537499999999</v>
      </c>
      <c r="I343" t="s">
        <v>756</v>
      </c>
      <c r="J343" t="b">
        <v>0</v>
      </c>
      <c r="K343" t="b">
        <v>0</v>
      </c>
    </row>
    <row r="344" spans="1:12">
      <c r="A344" t="s">
        <v>25</v>
      </c>
      <c r="B344" t="s">
        <v>30</v>
      </c>
      <c r="C344">
        <v>525</v>
      </c>
      <c r="D344" t="s">
        <v>28</v>
      </c>
      <c r="E344" t="s">
        <v>748</v>
      </c>
      <c r="G344">
        <v>5216.60009765625</v>
      </c>
      <c r="H344">
        <v>41494.005497685182</v>
      </c>
      <c r="I344" t="s">
        <v>774</v>
      </c>
      <c r="J344" t="b">
        <v>0</v>
      </c>
      <c r="K344" t="b">
        <v>0</v>
      </c>
    </row>
    <row r="345" spans="1:12">
      <c r="A345" t="s">
        <v>25</v>
      </c>
      <c r="B345" t="s">
        <v>30</v>
      </c>
      <c r="C345">
        <v>525</v>
      </c>
      <c r="D345" t="s">
        <v>28</v>
      </c>
      <c r="E345" t="s">
        <v>750</v>
      </c>
      <c r="G345">
        <v>3646.10009765625</v>
      </c>
      <c r="H345">
        <v>41065.840509259258</v>
      </c>
      <c r="I345" t="s">
        <v>824</v>
      </c>
      <c r="J345" t="b">
        <v>0</v>
      </c>
      <c r="K345" t="b">
        <v>0</v>
      </c>
    </row>
    <row r="346" spans="1:12">
      <c r="A346" t="s">
        <v>25</v>
      </c>
      <c r="B346" t="s">
        <v>30</v>
      </c>
      <c r="C346">
        <v>525</v>
      </c>
      <c r="D346" t="s">
        <v>28</v>
      </c>
      <c r="E346" t="s">
        <v>752</v>
      </c>
      <c r="G346">
        <v>4583.7001953125</v>
      </c>
      <c r="H346">
        <v>41201.537627314814</v>
      </c>
      <c r="I346" t="s">
        <v>756</v>
      </c>
      <c r="J346" t="b">
        <v>0</v>
      </c>
      <c r="K346" t="b">
        <v>0</v>
      </c>
    </row>
    <row r="347" spans="1:12">
      <c r="A347" t="s">
        <v>25</v>
      </c>
      <c r="B347" t="s">
        <v>30</v>
      </c>
      <c r="C347">
        <v>533</v>
      </c>
      <c r="D347" t="s">
        <v>28</v>
      </c>
      <c r="E347" t="s">
        <v>748</v>
      </c>
      <c r="G347">
        <v>5216.60009765625</v>
      </c>
      <c r="H347">
        <v>41494.00571759259</v>
      </c>
      <c r="I347" t="s">
        <v>774</v>
      </c>
      <c r="J347" t="b">
        <v>0</v>
      </c>
      <c r="K347" t="b">
        <v>0</v>
      </c>
    </row>
    <row r="348" spans="1:12">
      <c r="A348" t="s">
        <v>25</v>
      </c>
      <c r="B348" t="s">
        <v>30</v>
      </c>
      <c r="C348">
        <v>533</v>
      </c>
      <c r="D348" t="s">
        <v>28</v>
      </c>
      <c r="E348" t="s">
        <v>750</v>
      </c>
      <c r="G348">
        <v>3890.5</v>
      </c>
      <c r="H348">
        <v>41509.694212962961</v>
      </c>
      <c r="I348" t="s">
        <v>833</v>
      </c>
      <c r="J348" t="b">
        <v>0</v>
      </c>
      <c r="K348" t="b">
        <v>0</v>
      </c>
    </row>
    <row r="349" spans="1:12">
      <c r="A349" s="110" t="s">
        <v>25</v>
      </c>
      <c r="B349" s="110" t="s">
        <v>30</v>
      </c>
      <c r="C349" s="110">
        <v>533</v>
      </c>
      <c r="D349" s="110" t="s">
        <v>28</v>
      </c>
      <c r="E349" s="110" t="s">
        <v>752</v>
      </c>
      <c r="F349" s="110"/>
      <c r="G349" s="110">
        <v>4703.7001953125</v>
      </c>
      <c r="H349" s="110">
        <v>41540.633344907408</v>
      </c>
      <c r="I349" s="110" t="s">
        <v>790</v>
      </c>
      <c r="J349" s="110" t="b">
        <v>0</v>
      </c>
      <c r="K349" s="110" t="b">
        <v>0</v>
      </c>
      <c r="L349" s="11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Print STATUS</vt:lpstr>
      <vt:lpstr>STATUS</vt:lpstr>
      <vt:lpstr>Armament</vt:lpstr>
      <vt:lpstr>Temp Flow Chart</vt:lpstr>
      <vt:lpstr>READ_DAILY</vt:lpstr>
      <vt:lpstr>For BDE</vt:lpstr>
      <vt:lpstr>V_GEN-READINESS</vt:lpstr>
      <vt:lpstr>H PIVOT</vt:lpstr>
      <vt:lpstr>HOUR PIVOT</vt:lpstr>
      <vt:lpstr>HOUR SQL (ENDITEM)</vt:lpstr>
      <vt:lpstr>D PIVOT</vt:lpstr>
      <vt:lpstr>TBO SQL (V_GEN_TBO)</vt:lpstr>
      <vt:lpstr>TBO DROP</vt:lpstr>
      <vt:lpstr>Rounds</vt:lpstr>
      <vt:lpstr>STATUS SQL (EIAFT)</vt:lpstr>
      <vt:lpstr>FLOW</vt:lpstr>
      <vt:lpstr>MIG SQL (MIG_LOG)</vt:lpstr>
      <vt:lpstr>INSP SQL (SCH_INSP)</vt:lpstr>
      <vt:lpstr>'Print STATUS'!Print_Area</vt:lpstr>
      <vt:lpstr>STATUS!Print_Area</vt:lpstr>
    </vt:vector>
  </TitlesOfParts>
  <Company>US.Army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Daily Status Worksheet</dc:title>
  <dc:creator>Marcus</dc:creator>
  <cp:lastModifiedBy>AGM</cp:lastModifiedBy>
  <cp:lastPrinted>2014-03-05T22:42:19Z</cp:lastPrinted>
  <dcterms:created xsi:type="dcterms:W3CDTF">1997-02-16T17:52:19Z</dcterms:created>
  <dcterms:modified xsi:type="dcterms:W3CDTF">2014-03-08T18:32:32Z</dcterms:modified>
</cp:coreProperties>
</file>