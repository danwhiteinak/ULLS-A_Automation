
<file path=[Content_Types].xml><?xml version="1.0" encoding="utf-8"?>
<Types xmlns="http://schemas.openxmlformats.org/package/2006/content-types">
  <Override PartName="/xl/worksheets/sheet15.xml" ContentType="application/vnd.openxmlformats-officedocument.spreadsheetml.worksheet+xml"/>
  <Override PartName="/xl/queryTables/queryTable1.xml" ContentType="application/vnd.openxmlformats-officedocument.spreadsheetml.queryTable+xml"/>
  <Override PartName="/xl/charts/chart6.xml" ContentType="application/vnd.openxmlformats-officedocument.drawingml.chart+xml"/>
  <Override PartName="/xl/tables/table4.xml" ContentType="application/vnd.openxmlformats-officedocument.spreadsheetml.table+xml"/>
  <Override PartName="/xl/worksheets/sheet9.xml" ContentType="application/vnd.openxmlformats-officedocument.spreadsheetml.worksheet+xml"/>
  <Override PartName="/xl/worksheets/sheet1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tables/table2.xml" ContentType="application/vnd.openxmlformats-officedocument.spreadsheetml.table+xml"/>
  <Override PartName="/xl/charts/chart4.xml" ContentType="application/vnd.openxmlformats-officedocument.drawingml.chart+xml"/>
  <Override PartName="/xl/worksheets/sheet7.xml" ContentType="application/vnd.openxmlformats-officedocument.spreadsheetml.worksheet+xml"/>
  <Override PartName="/xl/worksheets/sheet11.xml" ContentType="application/vnd.openxmlformats-officedocument.spreadsheetml.worksheet+xml"/>
  <Override PartName="/xl/charts/chart2.xml" ContentType="application/vnd.openxmlformats-officedocument.drawingml.chart+xml"/>
  <Override PartName="/xl/pivotTables/pivotTable2.xml" ContentType="application/vnd.openxmlformats-officedocument.spreadsheetml.pivotTable+xml"/>
  <Override PartName="/xl/drawings/drawing4.xml" ContentType="application/vnd.openxmlformats-officedocument.drawing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10.xml" ContentType="application/vnd.openxmlformats-officedocument.spreadsheetml.worksheet+xml"/>
  <Override PartName="/xl/charts/chart1.xml" ContentType="application/vnd.openxmlformats-officedocument.drawingml.chart+xml"/>
  <Override PartName="/xl/drawings/drawing2.xml" ContentType="application/vnd.openxmlformats-officedocument.drawing+xml"/>
  <Override PartName="/xl/drawings/drawing3.xml" ContentType="application/vnd.openxmlformats-officedocument.drawing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externalLinks/externalLink2.xml" ContentType="application/vnd.openxmlformats-officedocument.spreadsheetml.externalLink+xml"/>
  <Override PartName="/xl/connections.xml" ContentType="application/vnd.openxmlformats-officedocument.spreadsheetml.connections+xml"/>
  <Override PartName="/xl/drawings/drawing1.xml" ContentType="application/vnd.openxmlformats-officedocument.drawing+xml"/>
  <Override PartName="/xl/worksheets/sheet1.xml" ContentType="application/vnd.openxmlformats-officedocument.spreadsheetml.worksheet+xml"/>
  <Override PartName="/xl/externalLinks/externalLink1.xml" ContentType="application/vnd.openxmlformats-officedocument.spreadsheetml.externalLink+xml"/>
  <Override PartName="/xl/pivotCache/pivotCacheDefinition1.xml" ContentType="application/vnd.openxmlformats-officedocument.spreadsheetml.pivotCacheDefinition+xml"/>
  <Default Extension="vml" ContentType="application/vnd.openxmlformats-officedocument.vmlDrawing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xl/queryTables/queryTable5.xml" ContentType="application/vnd.openxmlformats-officedocument.spreadsheetml.queryTable+xml"/>
  <Override PartName="/xl/queryTables/queryTable6.xml" ContentType="application/vnd.openxmlformats-officedocument.spreadsheetml.queryTable+xml"/>
  <Override PartName="/xl/worksheets/sheet17.xml" ContentType="application/vnd.openxmlformats-officedocument.spreadsheetml.worksheet+xml"/>
  <Override PartName="/xl/pivotCache/pivotCacheRecords1.xml" ContentType="application/vnd.openxmlformats-officedocument.spreadsheetml.pivotCacheRecords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queryTables/queryTable3.xml" ContentType="application/vnd.openxmlformats-officedocument.spreadsheetml.queryTable+xml"/>
  <Override PartName="/xl/queryTables/queryTable4.xml" ContentType="application/vnd.openxmlformats-officedocument.spreadsheetml.query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docProps/core.xml" ContentType="application/vnd.openxmlformats-package.core-properties+xml"/>
  <Override PartName="/xl/worksheets/sheet16.xml" ContentType="application/vnd.openxmlformats-officedocument.spreadsheetml.worksheet+xml"/>
  <Default Extension="bin" ContentType="application/vnd.openxmlformats-officedocument.spreadsheetml.printerSettings"/>
  <Default Extension="png" ContentType="image/png"/>
  <Override PartName="/xl/queryTables/queryTable2.xml" ContentType="application/vnd.openxmlformats-officedocument.spreadsheetml.queryTable+xml"/>
  <Override PartName="/xl/charts/chart7.xml" ContentType="application/vnd.openxmlformats-officedocument.drawingml.chart+xml"/>
  <Override PartName="/xl/charts/chart10.xml" ContentType="application/vnd.openxmlformats-officedocument.drawingml.chart+xml"/>
  <Override PartName="/xl/tables/table3.xml" ContentType="application/vnd.openxmlformats-officedocument.spreadsheetml.table+xml"/>
  <Override PartName="/xl/worksheets/sheet14.xml" ContentType="application/vnd.openxmlformats-officedocument.spreadsheetml.worksheet+xml"/>
  <Override PartName="/xl/tables/table1.xml" ContentType="application/vnd.openxmlformats-officedocument.spreadsheetml.table+xml"/>
  <Override PartName="/xl/charts/chart5.xml" ContentType="application/vnd.openxmlformats-officedocument.drawingml.chart+xml"/>
  <Override PartName="/xl/worksheets/sheet6.xml" ContentType="application/vnd.openxmlformats-officedocument.spreadsheetml.worksheet+xml"/>
  <Override PartName="/xl/worksheets/sheet8.xml" ContentType="application/vnd.openxmlformats-officedocument.spreadsheetml.worksheet+xml"/>
  <Override PartName="/xl/worksheets/sheet12.xml" ContentType="application/vnd.openxmlformats-officedocument.spreadsheetml.worksheet+xml"/>
  <Default Extension="jpeg" ContentType="image/jpeg"/>
  <Override PartName="/xl/pivotTables/pivotTable1.xml" ContentType="application/vnd.openxmlformats-officedocument.spreadsheetml.pivotTable+xml"/>
  <Override PartName="/xl/charts/chart3.xml" ContentType="application/vnd.openxmlformats-officedocument.drawingml.chart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7" codeName="{B7FE6334-C1A2-E50D-BD3D-5F4D41BBC2E3}"/>
  <workbookPr codeName="ThisWorkbook" defaultThemeVersion="124226"/>
  <bookViews>
    <workbookView xWindow="240" yWindow="45" windowWidth="15150" windowHeight="7590"/>
  </bookViews>
  <sheets>
    <sheet name="Status" sheetId="1" r:id="rId1"/>
    <sheet name="UAS Status" sheetId="5" r:id="rId2"/>
    <sheet name="1-4 ARB" sheetId="3" r:id="rId3"/>
    <sheet name="1-4 ARB Orig" sheetId="4" state="hidden" r:id="rId4"/>
    <sheet name="AH InspectionSQL" sheetId="6" state="hidden" r:id="rId5"/>
    <sheet name="AH H_Pivot" sheetId="8" state="hidden" r:id="rId6"/>
    <sheet name="AH D_Pivot" sheetId="9" state="hidden" r:id="rId7"/>
    <sheet name="AH Readiness" sheetId="10" state="hidden" r:id="rId8"/>
    <sheet name="Closeout" sheetId="12" r:id="rId9"/>
    <sheet name="Sheet1" sheetId="11" state="hidden" r:id="rId10"/>
    <sheet name="A Co Readiness" sheetId="15" state="hidden" r:id="rId11"/>
    <sheet name="BN Readiness" sheetId="21" state="hidden" r:id="rId12"/>
    <sheet name="B Co Readiness" sheetId="18" state="hidden" r:id="rId13"/>
    <sheet name="C Co Readiness" sheetId="19" state="hidden" r:id="rId14"/>
    <sheet name="Flow" sheetId="22" state="hidden" r:id="rId15"/>
    <sheet name="4 CAB Spending" sheetId="23" r:id="rId16"/>
    <sheet name="Sheet2" sheetId="24" r:id="rId17"/>
  </sheets>
  <externalReferences>
    <externalReference r:id="rId18"/>
    <externalReference r:id="rId19"/>
  </externalReferences>
  <definedNames>
    <definedName name="_1_4AHB_SLR_SCH_INSP" localSheetId="4" hidden="1">'AH InspectionSQL'!$A$1:$H$3097</definedName>
    <definedName name="_1_4AHB_v_gen_READINESS" localSheetId="7" hidden="1">'AH Readiness'!$A$1:$AV$25</definedName>
    <definedName name="_xlnm.Print_Area" localSheetId="2">'1-4 ARB'!$A$1:$T$32</definedName>
    <definedName name="_xlnm.Print_Area" localSheetId="9">Sheet1!$A$1:$G$19</definedName>
    <definedName name="_xlnm.Print_Area" localSheetId="0">Status!$A$1:$AC$106</definedName>
    <definedName name="_xlnm.Print_Area" localSheetId="1">'UAS Status'!$A$1:$Q$110</definedName>
    <definedName name="Query_from_A_Readiness" localSheetId="12" hidden="1">'B Co Readiness'!$A$1:$L$241</definedName>
    <definedName name="Query_from_A_Readiness" localSheetId="13" hidden="1">'C Co Readiness'!$A$1:$L$241</definedName>
    <definedName name="Query_from_A_Readiness_1" localSheetId="10" hidden="1">'A Co Readiness'!$A$1:$L$241</definedName>
    <definedName name="Query_from_A_Readiness_1" localSheetId="11" hidden="1">'BN Readiness'!$A$1:$L$721</definedName>
  </definedNames>
  <calcPr calcId="125725" fullPrecision="0"/>
  <pivotCaches>
    <pivotCache cacheId="6" r:id="rId20"/>
  </pivotCaches>
</workbook>
</file>

<file path=xl/calcChain.xml><?xml version="1.0" encoding="utf-8"?>
<calcChain xmlns="http://schemas.openxmlformats.org/spreadsheetml/2006/main">
  <c r="M2" i="19"/>
  <c r="M3"/>
  <c r="M4"/>
  <c r="M5"/>
  <c r="M6"/>
  <c r="M7"/>
  <c r="M8"/>
  <c r="M9"/>
  <c r="M10"/>
  <c r="M11"/>
  <c r="M12"/>
  <c r="M13"/>
  <c r="M14"/>
  <c r="M15"/>
  <c r="M16"/>
  <c r="M17"/>
  <c r="M18"/>
  <c r="M19"/>
  <c r="M20"/>
  <c r="M21"/>
  <c r="M22"/>
  <c r="M23"/>
  <c r="M24"/>
  <c r="M25"/>
  <c r="M26"/>
  <c r="M27"/>
  <c r="M28"/>
  <c r="M29"/>
  <c r="M30"/>
  <c r="M31"/>
  <c r="M32"/>
  <c r="M33"/>
  <c r="M34"/>
  <c r="M35"/>
  <c r="M36"/>
  <c r="M37"/>
  <c r="M38"/>
  <c r="M39"/>
  <c r="M40"/>
  <c r="M41"/>
  <c r="M42"/>
  <c r="M43"/>
  <c r="M44"/>
  <c r="M45"/>
  <c r="M46"/>
  <c r="M47"/>
  <c r="M48"/>
  <c r="M49"/>
  <c r="M50"/>
  <c r="M51"/>
  <c r="M52"/>
  <c r="M53"/>
  <c r="M54"/>
  <c r="M55"/>
  <c r="M56"/>
  <c r="M57"/>
  <c r="M58"/>
  <c r="M59"/>
  <c r="M60"/>
  <c r="M61"/>
  <c r="M62"/>
  <c r="M63"/>
  <c r="M64"/>
  <c r="M65"/>
  <c r="M66"/>
  <c r="M67"/>
  <c r="M68"/>
  <c r="M69"/>
  <c r="M70"/>
  <c r="M71"/>
  <c r="M72"/>
  <c r="M73"/>
  <c r="M74"/>
  <c r="M75"/>
  <c r="M76"/>
  <c r="M77"/>
  <c r="M78"/>
  <c r="M79"/>
  <c r="M80"/>
  <c r="M81"/>
  <c r="M82"/>
  <c r="M83"/>
  <c r="M84"/>
  <c r="M85"/>
  <c r="M86"/>
  <c r="M87"/>
  <c r="M88"/>
  <c r="M89"/>
  <c r="M90"/>
  <c r="M91"/>
  <c r="M92"/>
  <c r="M93"/>
  <c r="M94"/>
  <c r="M95"/>
  <c r="M96"/>
  <c r="M97"/>
  <c r="M98"/>
  <c r="M99"/>
  <c r="M100"/>
  <c r="M101"/>
  <c r="M102"/>
  <c r="M103"/>
  <c r="M104"/>
  <c r="M105"/>
  <c r="M106"/>
  <c r="M107"/>
  <c r="M108"/>
  <c r="M109"/>
  <c r="M110"/>
  <c r="M111"/>
  <c r="M112"/>
  <c r="M113"/>
  <c r="M114"/>
  <c r="M115"/>
  <c r="M116"/>
  <c r="M117"/>
  <c r="M118"/>
  <c r="M119"/>
  <c r="M120"/>
  <c r="M121"/>
  <c r="M122"/>
  <c r="M123"/>
  <c r="M124"/>
  <c r="M125"/>
  <c r="M126"/>
  <c r="M127"/>
  <c r="M128"/>
  <c r="M129"/>
  <c r="M130"/>
  <c r="M131"/>
  <c r="M132"/>
  <c r="M133"/>
  <c r="M134"/>
  <c r="M135"/>
  <c r="M136"/>
  <c r="M137"/>
  <c r="M138"/>
  <c r="M139"/>
  <c r="M140"/>
  <c r="M141"/>
  <c r="M142"/>
  <c r="M143"/>
  <c r="M144"/>
  <c r="M145"/>
  <c r="M146"/>
  <c r="M147"/>
  <c r="M148"/>
  <c r="M149"/>
  <c r="M150"/>
  <c r="M151"/>
  <c r="M152"/>
  <c r="M153"/>
  <c r="M154"/>
  <c r="M155"/>
  <c r="M156"/>
  <c r="M157"/>
  <c r="M158"/>
  <c r="M159"/>
  <c r="M160"/>
  <c r="M161"/>
  <c r="M162"/>
  <c r="M163"/>
  <c r="M164"/>
  <c r="M165"/>
  <c r="M166"/>
  <c r="M167"/>
  <c r="M168"/>
  <c r="M169"/>
  <c r="M170"/>
  <c r="M171"/>
  <c r="M172"/>
  <c r="M173"/>
  <c r="M174"/>
  <c r="M175"/>
  <c r="M176"/>
  <c r="M177"/>
  <c r="M178"/>
  <c r="M179"/>
  <c r="M180"/>
  <c r="M181"/>
  <c r="M182"/>
  <c r="M183"/>
  <c r="M184"/>
  <c r="M185"/>
  <c r="M186"/>
  <c r="M187"/>
  <c r="M188"/>
  <c r="M189"/>
  <c r="M190"/>
  <c r="M191"/>
  <c r="M192"/>
  <c r="M193"/>
  <c r="M194"/>
  <c r="M195"/>
  <c r="M196"/>
  <c r="M197"/>
  <c r="M198"/>
  <c r="M199"/>
  <c r="M200"/>
  <c r="M201"/>
  <c r="M202"/>
  <c r="M203"/>
  <c r="M204"/>
  <c r="M205"/>
  <c r="M206"/>
  <c r="M207"/>
  <c r="M208"/>
  <c r="M209"/>
  <c r="M210"/>
  <c r="M211"/>
  <c r="M212"/>
  <c r="M213"/>
  <c r="M214"/>
  <c r="M215"/>
  <c r="M216"/>
  <c r="M217"/>
  <c r="M218"/>
  <c r="M219"/>
  <c r="M220"/>
  <c r="M221"/>
  <c r="M222"/>
  <c r="M223"/>
  <c r="M224"/>
  <c r="M225"/>
  <c r="M226"/>
  <c r="M227"/>
  <c r="M228"/>
  <c r="M229"/>
  <c r="M230"/>
  <c r="M231"/>
  <c r="M232"/>
  <c r="M233"/>
  <c r="M234"/>
  <c r="M235"/>
  <c r="M236"/>
  <c r="M237"/>
  <c r="M238"/>
  <c r="M239"/>
  <c r="M240"/>
  <c r="M241"/>
  <c r="M2" i="18"/>
  <c r="M3"/>
  <c r="M4"/>
  <c r="M5"/>
  <c r="M6"/>
  <c r="M7"/>
  <c r="M8"/>
  <c r="M9"/>
  <c r="M10"/>
  <c r="M11"/>
  <c r="M12"/>
  <c r="M13"/>
  <c r="M14"/>
  <c r="M15"/>
  <c r="M16"/>
  <c r="M17"/>
  <c r="M18"/>
  <c r="M19"/>
  <c r="M20"/>
  <c r="M21"/>
  <c r="M22"/>
  <c r="M23"/>
  <c r="M24"/>
  <c r="M25"/>
  <c r="M26"/>
  <c r="M27"/>
  <c r="M28"/>
  <c r="M29"/>
  <c r="M30"/>
  <c r="M31"/>
  <c r="M32"/>
  <c r="M33"/>
  <c r="M34"/>
  <c r="M35"/>
  <c r="M36"/>
  <c r="M37"/>
  <c r="M38"/>
  <c r="M39"/>
  <c r="M40"/>
  <c r="M41"/>
  <c r="M42"/>
  <c r="M43"/>
  <c r="M44"/>
  <c r="M45"/>
  <c r="M46"/>
  <c r="M47"/>
  <c r="M48"/>
  <c r="M49"/>
  <c r="M50"/>
  <c r="M51"/>
  <c r="M52"/>
  <c r="M53"/>
  <c r="M54"/>
  <c r="M55"/>
  <c r="M56"/>
  <c r="M57"/>
  <c r="M58"/>
  <c r="M59"/>
  <c r="M60"/>
  <c r="M61"/>
  <c r="M62"/>
  <c r="M63"/>
  <c r="M64"/>
  <c r="M65"/>
  <c r="M66"/>
  <c r="M67"/>
  <c r="M68"/>
  <c r="M69"/>
  <c r="M70"/>
  <c r="M71"/>
  <c r="M72"/>
  <c r="M73"/>
  <c r="M74"/>
  <c r="M75"/>
  <c r="M76"/>
  <c r="M77"/>
  <c r="M78"/>
  <c r="M79"/>
  <c r="M80"/>
  <c r="M81"/>
  <c r="M82"/>
  <c r="M83"/>
  <c r="M84"/>
  <c r="M85"/>
  <c r="M86"/>
  <c r="M87"/>
  <c r="M88"/>
  <c r="M89"/>
  <c r="M90"/>
  <c r="M91"/>
  <c r="M92"/>
  <c r="M93"/>
  <c r="M94"/>
  <c r="M95"/>
  <c r="M96"/>
  <c r="M97"/>
  <c r="M98"/>
  <c r="M99"/>
  <c r="M100"/>
  <c r="M101"/>
  <c r="M102"/>
  <c r="M103"/>
  <c r="M104"/>
  <c r="M105"/>
  <c r="M106"/>
  <c r="M107"/>
  <c r="M108"/>
  <c r="M109"/>
  <c r="M110"/>
  <c r="M111"/>
  <c r="M112"/>
  <c r="M113"/>
  <c r="M114"/>
  <c r="M115"/>
  <c r="M116"/>
  <c r="M117"/>
  <c r="M118"/>
  <c r="M119"/>
  <c r="M120"/>
  <c r="M121"/>
  <c r="M122"/>
  <c r="M123"/>
  <c r="M124"/>
  <c r="M125"/>
  <c r="M126"/>
  <c r="M127"/>
  <c r="M128"/>
  <c r="M129"/>
  <c r="M130"/>
  <c r="M131"/>
  <c r="M132"/>
  <c r="M133"/>
  <c r="M134"/>
  <c r="M135"/>
  <c r="M136"/>
  <c r="M137"/>
  <c r="M138"/>
  <c r="M139"/>
  <c r="M140"/>
  <c r="M141"/>
  <c r="M142"/>
  <c r="M143"/>
  <c r="M144"/>
  <c r="M145"/>
  <c r="M146"/>
  <c r="M147"/>
  <c r="M148"/>
  <c r="M149"/>
  <c r="M150"/>
  <c r="M151"/>
  <c r="M152"/>
  <c r="M153"/>
  <c r="M154"/>
  <c r="M155"/>
  <c r="M156"/>
  <c r="M157"/>
  <c r="M158"/>
  <c r="M159"/>
  <c r="M160"/>
  <c r="M161"/>
  <c r="M162"/>
  <c r="M163"/>
  <c r="M164"/>
  <c r="M165"/>
  <c r="M166"/>
  <c r="M167"/>
  <c r="M168"/>
  <c r="M169"/>
  <c r="M170"/>
  <c r="M171"/>
  <c r="M172"/>
  <c r="M173"/>
  <c r="M174"/>
  <c r="M175"/>
  <c r="M176"/>
  <c r="M177"/>
  <c r="M178"/>
  <c r="M179"/>
  <c r="M180"/>
  <c r="M181"/>
  <c r="M182"/>
  <c r="M183"/>
  <c r="M184"/>
  <c r="M185"/>
  <c r="M186"/>
  <c r="M187"/>
  <c r="M188"/>
  <c r="M189"/>
  <c r="M190"/>
  <c r="M191"/>
  <c r="M192"/>
  <c r="M193"/>
  <c r="M194"/>
  <c r="M195"/>
  <c r="M196"/>
  <c r="M197"/>
  <c r="M198"/>
  <c r="M199"/>
  <c r="M200"/>
  <c r="M201"/>
  <c r="M202"/>
  <c r="M203"/>
  <c r="M204"/>
  <c r="M205"/>
  <c r="M206"/>
  <c r="M207"/>
  <c r="M208"/>
  <c r="M209"/>
  <c r="M210"/>
  <c r="M211"/>
  <c r="M212"/>
  <c r="M213"/>
  <c r="M214"/>
  <c r="M215"/>
  <c r="M216"/>
  <c r="M217"/>
  <c r="M218"/>
  <c r="M219"/>
  <c r="M220"/>
  <c r="M221"/>
  <c r="M222"/>
  <c r="M223"/>
  <c r="M224"/>
  <c r="M225"/>
  <c r="M226"/>
  <c r="M227"/>
  <c r="M228"/>
  <c r="M229"/>
  <c r="M230"/>
  <c r="M231"/>
  <c r="M232"/>
  <c r="M233"/>
  <c r="M234"/>
  <c r="M235"/>
  <c r="M236"/>
  <c r="M237"/>
  <c r="M238"/>
  <c r="M239"/>
  <c r="M240"/>
  <c r="M241"/>
  <c r="M2" i="21"/>
  <c r="M3"/>
  <c r="M4"/>
  <c r="M5"/>
  <c r="M6"/>
  <c r="M7"/>
  <c r="M8"/>
  <c r="M9"/>
  <c r="M10"/>
  <c r="M11"/>
  <c r="M12"/>
  <c r="M13"/>
  <c r="M14"/>
  <c r="M15"/>
  <c r="M16"/>
  <c r="M17"/>
  <c r="M18"/>
  <c r="M19"/>
  <c r="M20"/>
  <c r="M21"/>
  <c r="M22"/>
  <c r="M23"/>
  <c r="M24"/>
  <c r="M25"/>
  <c r="M26"/>
  <c r="M27"/>
  <c r="M28"/>
  <c r="M29"/>
  <c r="M30"/>
  <c r="M31"/>
  <c r="M32"/>
  <c r="M33"/>
  <c r="M34"/>
  <c r="M35"/>
  <c r="M36"/>
  <c r="M37"/>
  <c r="M38"/>
  <c r="M39"/>
  <c r="M40"/>
  <c r="M41"/>
  <c r="M42"/>
  <c r="M43"/>
  <c r="M44"/>
  <c r="M45"/>
  <c r="M46"/>
  <c r="M47"/>
  <c r="M48"/>
  <c r="M49"/>
  <c r="M50"/>
  <c r="M51"/>
  <c r="M52"/>
  <c r="M53"/>
  <c r="M54"/>
  <c r="M55"/>
  <c r="M56"/>
  <c r="M57"/>
  <c r="M58"/>
  <c r="M59"/>
  <c r="M60"/>
  <c r="M61"/>
  <c r="M62"/>
  <c r="M63"/>
  <c r="M64"/>
  <c r="M65"/>
  <c r="M66"/>
  <c r="M67"/>
  <c r="M68"/>
  <c r="M69"/>
  <c r="M70"/>
  <c r="M71"/>
  <c r="M72"/>
  <c r="M73"/>
  <c r="M74"/>
  <c r="M75"/>
  <c r="M76"/>
  <c r="M77"/>
  <c r="M78"/>
  <c r="M79"/>
  <c r="M80"/>
  <c r="M81"/>
  <c r="M82"/>
  <c r="M83"/>
  <c r="M84"/>
  <c r="M85"/>
  <c r="M86"/>
  <c r="M87"/>
  <c r="M88"/>
  <c r="M89"/>
  <c r="M90"/>
  <c r="M91"/>
  <c r="M92"/>
  <c r="M93"/>
  <c r="M94"/>
  <c r="M95"/>
  <c r="M96"/>
  <c r="M97"/>
  <c r="M98"/>
  <c r="M99"/>
  <c r="M100"/>
  <c r="M101"/>
  <c r="M102"/>
  <c r="M103"/>
  <c r="M104"/>
  <c r="M105"/>
  <c r="M106"/>
  <c r="M107"/>
  <c r="M108"/>
  <c r="M109"/>
  <c r="M110"/>
  <c r="M111"/>
  <c r="M112"/>
  <c r="M113"/>
  <c r="M114"/>
  <c r="M115"/>
  <c r="M116"/>
  <c r="M117"/>
  <c r="M118"/>
  <c r="M119"/>
  <c r="M120"/>
  <c r="M121"/>
  <c r="M122"/>
  <c r="M123"/>
  <c r="M124"/>
  <c r="M125"/>
  <c r="M126"/>
  <c r="M127"/>
  <c r="M128"/>
  <c r="M129"/>
  <c r="M130"/>
  <c r="M131"/>
  <c r="M132"/>
  <c r="M133"/>
  <c r="M134"/>
  <c r="M135"/>
  <c r="M136"/>
  <c r="M137"/>
  <c r="M138"/>
  <c r="M139"/>
  <c r="M140"/>
  <c r="M141"/>
  <c r="M142"/>
  <c r="M143"/>
  <c r="M144"/>
  <c r="M145"/>
  <c r="M146"/>
  <c r="M147"/>
  <c r="M148"/>
  <c r="M149"/>
  <c r="M150"/>
  <c r="M151"/>
  <c r="M152"/>
  <c r="M153"/>
  <c r="M154"/>
  <c r="M155"/>
  <c r="M156"/>
  <c r="M157"/>
  <c r="M158"/>
  <c r="M159"/>
  <c r="M160"/>
  <c r="M161"/>
  <c r="M162"/>
  <c r="M163"/>
  <c r="M164"/>
  <c r="M165"/>
  <c r="M166"/>
  <c r="M167"/>
  <c r="M168"/>
  <c r="M169"/>
  <c r="M170"/>
  <c r="M171"/>
  <c r="M172"/>
  <c r="M173"/>
  <c r="M174"/>
  <c r="M175"/>
  <c r="M176"/>
  <c r="M177"/>
  <c r="M178"/>
  <c r="M179"/>
  <c r="M180"/>
  <c r="M181"/>
  <c r="M182"/>
  <c r="M183"/>
  <c r="M184"/>
  <c r="M185"/>
  <c r="M186"/>
  <c r="M187"/>
  <c r="M188"/>
  <c r="M189"/>
  <c r="M190"/>
  <c r="M191"/>
  <c r="M192"/>
  <c r="M193"/>
  <c r="M194"/>
  <c r="M195"/>
  <c r="M196"/>
  <c r="M197"/>
  <c r="M198"/>
  <c r="M199"/>
  <c r="M200"/>
  <c r="M201"/>
  <c r="M202"/>
  <c r="M203"/>
  <c r="M204"/>
  <c r="M205"/>
  <c r="M206"/>
  <c r="M207"/>
  <c r="M208"/>
  <c r="M209"/>
  <c r="M210"/>
  <c r="M211"/>
  <c r="M212"/>
  <c r="M213"/>
  <c r="M214"/>
  <c r="M215"/>
  <c r="M216"/>
  <c r="M217"/>
  <c r="M218"/>
  <c r="M219"/>
  <c r="M220"/>
  <c r="M221"/>
  <c r="M222"/>
  <c r="M223"/>
  <c r="M224"/>
  <c r="M225"/>
  <c r="M226"/>
  <c r="M227"/>
  <c r="M228"/>
  <c r="M229"/>
  <c r="M230"/>
  <c r="M231"/>
  <c r="M232"/>
  <c r="M233"/>
  <c r="M234"/>
  <c r="M235"/>
  <c r="M236"/>
  <c r="M237"/>
  <c r="M238"/>
  <c r="M239"/>
  <c r="M240"/>
  <c r="M241"/>
  <c r="M242"/>
  <c r="M243"/>
  <c r="M244"/>
  <c r="M245"/>
  <c r="M246"/>
  <c r="M247"/>
  <c r="M248"/>
  <c r="M249"/>
  <c r="M250"/>
  <c r="M251"/>
  <c r="M252"/>
  <c r="M253"/>
  <c r="M254"/>
  <c r="M255"/>
  <c r="M256"/>
  <c r="M257"/>
  <c r="M258"/>
  <c r="M259"/>
  <c r="M260"/>
  <c r="M261"/>
  <c r="M262"/>
  <c r="M263"/>
  <c r="M264"/>
  <c r="M265"/>
  <c r="M266"/>
  <c r="M267"/>
  <c r="M268"/>
  <c r="M269"/>
  <c r="M270"/>
  <c r="M271"/>
  <c r="M272"/>
  <c r="M273"/>
  <c r="M274"/>
  <c r="M275"/>
  <c r="M276"/>
  <c r="M277"/>
  <c r="M278"/>
  <c r="M279"/>
  <c r="M280"/>
  <c r="M281"/>
  <c r="M282"/>
  <c r="M283"/>
  <c r="M284"/>
  <c r="M285"/>
  <c r="M286"/>
  <c r="M287"/>
  <c r="M288"/>
  <c r="M289"/>
  <c r="M290"/>
  <c r="M291"/>
  <c r="M292"/>
  <c r="M293"/>
  <c r="M294"/>
  <c r="M295"/>
  <c r="M296"/>
  <c r="M297"/>
  <c r="M298"/>
  <c r="M299"/>
  <c r="M300"/>
  <c r="M301"/>
  <c r="M302"/>
  <c r="M303"/>
  <c r="M304"/>
  <c r="M305"/>
  <c r="M306"/>
  <c r="M307"/>
  <c r="M308"/>
  <c r="M309"/>
  <c r="M310"/>
  <c r="M311"/>
  <c r="M312"/>
  <c r="M313"/>
  <c r="M314"/>
  <c r="M315"/>
  <c r="M316"/>
  <c r="M317"/>
  <c r="M318"/>
  <c r="M319"/>
  <c r="M320"/>
  <c r="M321"/>
  <c r="M322"/>
  <c r="M323"/>
  <c r="M324"/>
  <c r="M325"/>
  <c r="M326"/>
  <c r="M327"/>
  <c r="M328"/>
  <c r="M329"/>
  <c r="M330"/>
  <c r="M331"/>
  <c r="M332"/>
  <c r="M333"/>
  <c r="M334"/>
  <c r="M335"/>
  <c r="M336"/>
  <c r="M337"/>
  <c r="M338"/>
  <c r="M339"/>
  <c r="M340"/>
  <c r="M341"/>
  <c r="M342"/>
  <c r="M343"/>
  <c r="M344"/>
  <c r="M345"/>
  <c r="M346"/>
  <c r="M347"/>
  <c r="M348"/>
  <c r="M349"/>
  <c r="M350"/>
  <c r="M351"/>
  <c r="M352"/>
  <c r="M353"/>
  <c r="M354"/>
  <c r="M355"/>
  <c r="M356"/>
  <c r="M357"/>
  <c r="M358"/>
  <c r="M359"/>
  <c r="M360"/>
  <c r="M361"/>
  <c r="M362"/>
  <c r="M363"/>
  <c r="M364"/>
  <c r="M365"/>
  <c r="M366"/>
  <c r="M367"/>
  <c r="M368"/>
  <c r="M369"/>
  <c r="M370"/>
  <c r="M371"/>
  <c r="M372"/>
  <c r="M373"/>
  <c r="M374"/>
  <c r="M375"/>
  <c r="M376"/>
  <c r="M377"/>
  <c r="M378"/>
  <c r="M379"/>
  <c r="M380"/>
  <c r="M381"/>
  <c r="M382"/>
  <c r="M383"/>
  <c r="M384"/>
  <c r="M385"/>
  <c r="M386"/>
  <c r="M387"/>
  <c r="M388"/>
  <c r="M389"/>
  <c r="M390"/>
  <c r="M391"/>
  <c r="M392"/>
  <c r="M393"/>
  <c r="M394"/>
  <c r="M395"/>
  <c r="M396"/>
  <c r="M397"/>
  <c r="M398"/>
  <c r="M399"/>
  <c r="M400"/>
  <c r="M401"/>
  <c r="M402"/>
  <c r="M403"/>
  <c r="M404"/>
  <c r="M405"/>
  <c r="M406"/>
  <c r="M407"/>
  <c r="M408"/>
  <c r="M409"/>
  <c r="M410"/>
  <c r="M411"/>
  <c r="M412"/>
  <c r="M413"/>
  <c r="M414"/>
  <c r="M415"/>
  <c r="M416"/>
  <c r="M417"/>
  <c r="M418"/>
  <c r="M419"/>
  <c r="M420"/>
  <c r="M421"/>
  <c r="M422"/>
  <c r="M423"/>
  <c r="M424"/>
  <c r="M425"/>
  <c r="M426"/>
  <c r="M427"/>
  <c r="M428"/>
  <c r="M429"/>
  <c r="M430"/>
  <c r="M431"/>
  <c r="M432"/>
  <c r="M433"/>
  <c r="M434"/>
  <c r="M435"/>
  <c r="M436"/>
  <c r="M437"/>
  <c r="M438"/>
  <c r="M439"/>
  <c r="M440"/>
  <c r="M441"/>
  <c r="M442"/>
  <c r="M443"/>
  <c r="M444"/>
  <c r="M445"/>
  <c r="M446"/>
  <c r="M447"/>
  <c r="M448"/>
  <c r="M449"/>
  <c r="M450"/>
  <c r="M451"/>
  <c r="M452"/>
  <c r="M453"/>
  <c r="M454"/>
  <c r="M455"/>
  <c r="M456"/>
  <c r="M457"/>
  <c r="M458"/>
  <c r="M459"/>
  <c r="M460"/>
  <c r="M461"/>
  <c r="M462"/>
  <c r="M463"/>
  <c r="M464"/>
  <c r="M465"/>
  <c r="M466"/>
  <c r="M467"/>
  <c r="M468"/>
  <c r="M469"/>
  <c r="M470"/>
  <c r="M471"/>
  <c r="M472"/>
  <c r="M473"/>
  <c r="M474"/>
  <c r="M475"/>
  <c r="M476"/>
  <c r="M477"/>
  <c r="M478"/>
  <c r="M479"/>
  <c r="M480"/>
  <c r="M481"/>
  <c r="M482"/>
  <c r="M483"/>
  <c r="M484"/>
  <c r="M485"/>
  <c r="M486"/>
  <c r="M487"/>
  <c r="M488"/>
  <c r="M489"/>
  <c r="M490"/>
  <c r="M491"/>
  <c r="M492"/>
  <c r="M493"/>
  <c r="M494"/>
  <c r="M495"/>
  <c r="M496"/>
  <c r="M497"/>
  <c r="M498"/>
  <c r="M499"/>
  <c r="M500"/>
  <c r="M501"/>
  <c r="M502"/>
  <c r="M503"/>
  <c r="M504"/>
  <c r="M505"/>
  <c r="M506"/>
  <c r="M507"/>
  <c r="M508"/>
  <c r="M509"/>
  <c r="M510"/>
  <c r="M511"/>
  <c r="M512"/>
  <c r="M513"/>
  <c r="M514"/>
  <c r="M515"/>
  <c r="M516"/>
  <c r="M517"/>
  <c r="M518"/>
  <c r="M519"/>
  <c r="M520"/>
  <c r="M521"/>
  <c r="M522"/>
  <c r="M523"/>
  <c r="M524"/>
  <c r="M525"/>
  <c r="M526"/>
  <c r="M527"/>
  <c r="M528"/>
  <c r="M529"/>
  <c r="M530"/>
  <c r="M531"/>
  <c r="M532"/>
  <c r="M533"/>
  <c r="M534"/>
  <c r="M535"/>
  <c r="M536"/>
  <c r="M537"/>
  <c r="M538"/>
  <c r="M539"/>
  <c r="M540"/>
  <c r="M541"/>
  <c r="M542"/>
  <c r="M543"/>
  <c r="M544"/>
  <c r="M545"/>
  <c r="M546"/>
  <c r="M547"/>
  <c r="M548"/>
  <c r="M549"/>
  <c r="M550"/>
  <c r="M551"/>
  <c r="M552"/>
  <c r="M553"/>
  <c r="M554"/>
  <c r="M555"/>
  <c r="M556"/>
  <c r="M557"/>
  <c r="M558"/>
  <c r="M559"/>
  <c r="M560"/>
  <c r="M561"/>
  <c r="M562"/>
  <c r="M563"/>
  <c r="M564"/>
  <c r="M565"/>
  <c r="M566"/>
  <c r="M567"/>
  <c r="M568"/>
  <c r="M569"/>
  <c r="M570"/>
  <c r="M571"/>
  <c r="M572"/>
  <c r="M573"/>
  <c r="M574"/>
  <c r="M575"/>
  <c r="M576"/>
  <c r="M577"/>
  <c r="M578"/>
  <c r="M579"/>
  <c r="M580"/>
  <c r="M581"/>
  <c r="M582"/>
  <c r="M583"/>
  <c r="M584"/>
  <c r="M585"/>
  <c r="M586"/>
  <c r="M587"/>
  <c r="M588"/>
  <c r="M589"/>
  <c r="M590"/>
  <c r="M591"/>
  <c r="M592"/>
  <c r="M593"/>
  <c r="M594"/>
  <c r="M595"/>
  <c r="M596"/>
  <c r="M597"/>
  <c r="M598"/>
  <c r="M599"/>
  <c r="M600"/>
  <c r="M601"/>
  <c r="M602"/>
  <c r="M603"/>
  <c r="M604"/>
  <c r="M605"/>
  <c r="M606"/>
  <c r="M607"/>
  <c r="M608"/>
  <c r="M609"/>
  <c r="M610"/>
  <c r="M611"/>
  <c r="M612"/>
  <c r="M613"/>
  <c r="M614"/>
  <c r="M615"/>
  <c r="M616"/>
  <c r="M617"/>
  <c r="M618"/>
  <c r="M619"/>
  <c r="M620"/>
  <c r="M621"/>
  <c r="M622"/>
  <c r="M623"/>
  <c r="M624"/>
  <c r="M625"/>
  <c r="M626"/>
  <c r="M627"/>
  <c r="M628"/>
  <c r="M629"/>
  <c r="M630"/>
  <c r="M631"/>
  <c r="M632"/>
  <c r="M633"/>
  <c r="M634"/>
  <c r="M635"/>
  <c r="M636"/>
  <c r="M637"/>
  <c r="M638"/>
  <c r="M639"/>
  <c r="M640"/>
  <c r="M641"/>
  <c r="M642"/>
  <c r="M643"/>
  <c r="M644"/>
  <c r="M645"/>
  <c r="M646"/>
  <c r="M647"/>
  <c r="M648"/>
  <c r="M649"/>
  <c r="M650"/>
  <c r="M651"/>
  <c r="M652"/>
  <c r="M653"/>
  <c r="M654"/>
  <c r="M655"/>
  <c r="M656"/>
  <c r="M657"/>
  <c r="M658"/>
  <c r="M659"/>
  <c r="M660"/>
  <c r="M661"/>
  <c r="M662"/>
  <c r="M663"/>
  <c r="M664"/>
  <c r="M665"/>
  <c r="M666"/>
  <c r="M667"/>
  <c r="M668"/>
  <c r="M669"/>
  <c r="M670"/>
  <c r="M671"/>
  <c r="M672"/>
  <c r="M673"/>
  <c r="M674"/>
  <c r="M675"/>
  <c r="M676"/>
  <c r="M677"/>
  <c r="M678"/>
  <c r="M679"/>
  <c r="M680"/>
  <c r="M681"/>
  <c r="M682"/>
  <c r="M683"/>
  <c r="M684"/>
  <c r="M685"/>
  <c r="M686"/>
  <c r="M687"/>
  <c r="M688"/>
  <c r="M689"/>
  <c r="M690"/>
  <c r="M691"/>
  <c r="M692"/>
  <c r="M693"/>
  <c r="M694"/>
  <c r="M695"/>
  <c r="M696"/>
  <c r="M697"/>
  <c r="M698"/>
  <c r="M699"/>
  <c r="M700"/>
  <c r="M701"/>
  <c r="M702"/>
  <c r="M703"/>
  <c r="M704"/>
  <c r="M705"/>
  <c r="M706"/>
  <c r="M707"/>
  <c r="M708"/>
  <c r="M709"/>
  <c r="M710"/>
  <c r="M711"/>
  <c r="M712"/>
  <c r="M713"/>
  <c r="M714"/>
  <c r="M715"/>
  <c r="M716"/>
  <c r="M717"/>
  <c r="M718"/>
  <c r="M719"/>
  <c r="M720"/>
  <c r="M721"/>
  <c r="M2" i="15"/>
  <c r="M3"/>
  <c r="M4"/>
  <c r="M5"/>
  <c r="M6"/>
  <c r="M7"/>
  <c r="M8"/>
  <c r="M9"/>
  <c r="M10"/>
  <c r="M11"/>
  <c r="M12"/>
  <c r="M13"/>
  <c r="M14"/>
  <c r="M15"/>
  <c r="M16"/>
  <c r="M17"/>
  <c r="M18"/>
  <c r="M19"/>
  <c r="M20"/>
  <c r="M21"/>
  <c r="M22"/>
  <c r="M23"/>
  <c r="M24"/>
  <c r="M25"/>
  <c r="M26"/>
  <c r="M27"/>
  <c r="M28"/>
  <c r="M29"/>
  <c r="M30"/>
  <c r="M31"/>
  <c r="M32"/>
  <c r="M33"/>
  <c r="M34"/>
  <c r="M35"/>
  <c r="M36"/>
  <c r="M37"/>
  <c r="M38"/>
  <c r="M39"/>
  <c r="M40"/>
  <c r="M41"/>
  <c r="M42"/>
  <c r="M43"/>
  <c r="M44"/>
  <c r="M45"/>
  <c r="M46"/>
  <c r="M47"/>
  <c r="M48"/>
  <c r="M49"/>
  <c r="M50"/>
  <c r="M51"/>
  <c r="M52"/>
  <c r="M53"/>
  <c r="M54"/>
  <c r="M55"/>
  <c r="M56"/>
  <c r="M57"/>
  <c r="M58"/>
  <c r="M59"/>
  <c r="M60"/>
  <c r="M61"/>
  <c r="M62"/>
  <c r="M63"/>
  <c r="M64"/>
  <c r="M65"/>
  <c r="M66"/>
  <c r="M67"/>
  <c r="M68"/>
  <c r="M69"/>
  <c r="M70"/>
  <c r="M71"/>
  <c r="M72"/>
  <c r="M73"/>
  <c r="M74"/>
  <c r="M75"/>
  <c r="M76"/>
  <c r="M77"/>
  <c r="M78"/>
  <c r="M79"/>
  <c r="M80"/>
  <c r="M81"/>
  <c r="M82"/>
  <c r="M83"/>
  <c r="M84"/>
  <c r="M85"/>
  <c r="M86"/>
  <c r="M87"/>
  <c r="M88"/>
  <c r="M89"/>
  <c r="M90"/>
  <c r="M91"/>
  <c r="M92"/>
  <c r="M93"/>
  <c r="M94"/>
  <c r="M95"/>
  <c r="M96"/>
  <c r="M97"/>
  <c r="M98"/>
  <c r="M99"/>
  <c r="M100"/>
  <c r="M101"/>
  <c r="M102"/>
  <c r="M103"/>
  <c r="M104"/>
  <c r="M105"/>
  <c r="M106"/>
  <c r="M107"/>
  <c r="M108"/>
  <c r="M109"/>
  <c r="M110"/>
  <c r="M111"/>
  <c r="M112"/>
  <c r="M113"/>
  <c r="M114"/>
  <c r="M115"/>
  <c r="M116"/>
  <c r="M117"/>
  <c r="M118"/>
  <c r="M119"/>
  <c r="M120"/>
  <c r="M121"/>
  <c r="M122"/>
  <c r="M123"/>
  <c r="M124"/>
  <c r="M125"/>
  <c r="M126"/>
  <c r="M127"/>
  <c r="M128"/>
  <c r="M129"/>
  <c r="M130"/>
  <c r="M131"/>
  <c r="M132"/>
  <c r="M133"/>
  <c r="M134"/>
  <c r="M135"/>
  <c r="M136"/>
  <c r="M137"/>
  <c r="M138"/>
  <c r="M139"/>
  <c r="M140"/>
  <c r="M141"/>
  <c r="M142"/>
  <c r="M143"/>
  <c r="M144"/>
  <c r="M145"/>
  <c r="M146"/>
  <c r="M147"/>
  <c r="M148"/>
  <c r="M149"/>
  <c r="M150"/>
  <c r="M151"/>
  <c r="M152"/>
  <c r="M153"/>
  <c r="M154"/>
  <c r="M155"/>
  <c r="M156"/>
  <c r="M157"/>
  <c r="M158"/>
  <c r="M159"/>
  <c r="M160"/>
  <c r="M161"/>
  <c r="M162"/>
  <c r="M163"/>
  <c r="M164"/>
  <c r="M165"/>
  <c r="M166"/>
  <c r="M167"/>
  <c r="M168"/>
  <c r="M169"/>
  <c r="M170"/>
  <c r="M171"/>
  <c r="M172"/>
  <c r="M173"/>
  <c r="M174"/>
  <c r="M175"/>
  <c r="M176"/>
  <c r="M177"/>
  <c r="M178"/>
  <c r="M179"/>
  <c r="M180"/>
  <c r="M181"/>
  <c r="M182"/>
  <c r="M183"/>
  <c r="M184"/>
  <c r="M185"/>
  <c r="M186"/>
  <c r="M187"/>
  <c r="M188"/>
  <c r="M189"/>
  <c r="M190"/>
  <c r="M191"/>
  <c r="M192"/>
  <c r="M193"/>
  <c r="M194"/>
  <c r="M195"/>
  <c r="M196"/>
  <c r="M197"/>
  <c r="M198"/>
  <c r="M199"/>
  <c r="M200"/>
  <c r="M201"/>
  <c r="M202"/>
  <c r="M203"/>
  <c r="M204"/>
  <c r="M205"/>
  <c r="M206"/>
  <c r="M207"/>
  <c r="M208"/>
  <c r="M209"/>
  <c r="M210"/>
  <c r="M211"/>
  <c r="M212"/>
  <c r="M213"/>
  <c r="M214"/>
  <c r="M215"/>
  <c r="M216"/>
  <c r="M217"/>
  <c r="M218"/>
  <c r="M219"/>
  <c r="M220"/>
  <c r="M221"/>
  <c r="M222"/>
  <c r="M223"/>
  <c r="M224"/>
  <c r="M225"/>
  <c r="M226"/>
  <c r="M227"/>
  <c r="M228"/>
  <c r="M229"/>
  <c r="M230"/>
  <c r="M231"/>
  <c r="M232"/>
  <c r="M233"/>
  <c r="M234"/>
  <c r="M235"/>
  <c r="M236"/>
  <c r="M237"/>
  <c r="M238"/>
  <c r="M239"/>
  <c r="M240"/>
  <c r="M241"/>
  <c r="F106" i="1" l="1"/>
  <c r="F105"/>
  <c r="F104"/>
  <c r="F103"/>
  <c r="F102"/>
  <c r="F101"/>
  <c r="F100"/>
  <c r="F99"/>
  <c r="F98"/>
  <c r="F97"/>
  <c r="L244" i="19" l="1"/>
  <c r="H13" i="12" s="1"/>
  <c r="L244" i="18"/>
  <c r="F13" i="12" s="1"/>
  <c r="L724" i="21"/>
  <c r="L244" i="15"/>
  <c r="D13" i="12" s="1"/>
  <c r="T105" i="1"/>
  <c r="T104"/>
  <c r="T103"/>
  <c r="T102"/>
  <c r="T101"/>
  <c r="T100"/>
  <c r="T99"/>
  <c r="T106"/>
  <c r="T98"/>
  <c r="M106"/>
  <c r="M105"/>
  <c r="M104"/>
  <c r="M103"/>
  <c r="M102"/>
  <c r="M101"/>
  <c r="M100"/>
  <c r="M99"/>
  <c r="M98"/>
  <c r="B13" i="12" l="1"/>
  <c r="Q8"/>
  <c r="O19"/>
  <c r="O13"/>
  <c r="O22"/>
  <c r="O17"/>
  <c r="O14"/>
  <c r="O23"/>
  <c r="O31"/>
  <c r="O18"/>
  <c r="O39"/>
  <c r="O44"/>
  <c r="O9"/>
  <c r="O21"/>
  <c r="O16"/>
  <c r="O12"/>
  <c r="O15"/>
  <c r="O26"/>
  <c r="O10"/>
  <c r="O27"/>
  <c r="O29"/>
  <c r="O32"/>
  <c r="O11"/>
  <c r="O25"/>
  <c r="O24"/>
  <c r="O28"/>
  <c r="O30"/>
  <c r="O20"/>
  <c r="O74"/>
  <c r="O70"/>
  <c r="O75"/>
  <c r="O72"/>
  <c r="O71"/>
  <c r="O76"/>
  <c r="O77"/>
  <c r="O73"/>
  <c r="O54"/>
  <c r="O59"/>
  <c r="O58"/>
  <c r="O56"/>
  <c r="O57"/>
  <c r="O60"/>
  <c r="O55"/>
  <c r="O61"/>
  <c r="O43"/>
  <c r="O45"/>
  <c r="O38"/>
  <c r="O41"/>
  <c r="O40"/>
  <c r="O42"/>
  <c r="K10" i="1"/>
  <c r="K35"/>
  <c r="K75"/>
  <c r="K28"/>
  <c r="K50"/>
  <c r="K25"/>
  <c r="K41"/>
  <c r="K32"/>
  <c r="K22"/>
  <c r="K78"/>
  <c r="K69"/>
  <c r="K66"/>
  <c r="K47"/>
  <c r="K63"/>
  <c r="K19"/>
  <c r="K60"/>
  <c r="K7"/>
  <c r="K38"/>
  <c r="K57"/>
  <c r="K72"/>
  <c r="K13"/>
  <c r="K53"/>
  <c r="K44"/>
  <c r="K16"/>
  <c r="F20" i="23" l="1"/>
  <c r="E18"/>
  <c r="E17"/>
  <c r="E19" s="1"/>
  <c r="E20" s="1"/>
  <c r="K16"/>
  <c r="K19" s="1"/>
  <c r="K20" s="1"/>
  <c r="H16"/>
  <c r="H19" s="1"/>
  <c r="H20" s="1"/>
  <c r="E16"/>
  <c r="B16"/>
  <c r="L19"/>
  <c r="I19"/>
  <c r="F19"/>
  <c r="C19"/>
  <c r="B19"/>
  <c r="L20"/>
  <c r="I20"/>
  <c r="B20"/>
  <c r="M15"/>
  <c r="M13"/>
  <c r="M12"/>
  <c r="M11"/>
  <c r="M10"/>
  <c r="M9"/>
  <c r="M8"/>
  <c r="M7"/>
  <c r="M6"/>
  <c r="M5"/>
  <c r="M4"/>
  <c r="M3"/>
  <c r="J15"/>
  <c r="J13"/>
  <c r="J12"/>
  <c r="J11"/>
  <c r="J10"/>
  <c r="J9"/>
  <c r="J8"/>
  <c r="J7"/>
  <c r="J6"/>
  <c r="J5"/>
  <c r="J4"/>
  <c r="J3"/>
  <c r="G15"/>
  <c r="G13"/>
  <c r="G12"/>
  <c r="G11"/>
  <c r="G10"/>
  <c r="G9"/>
  <c r="G8"/>
  <c r="G7"/>
  <c r="G6"/>
  <c r="G5"/>
  <c r="G4"/>
  <c r="G3"/>
  <c r="D13"/>
  <c r="D12"/>
  <c r="D11"/>
  <c r="D10"/>
  <c r="D8"/>
  <c r="D7"/>
  <c r="D6"/>
  <c r="D5"/>
  <c r="D4"/>
  <c r="D3"/>
  <c r="L15"/>
  <c r="I15"/>
  <c r="F15"/>
  <c r="N15"/>
  <c r="K15"/>
  <c r="H15"/>
  <c r="E15"/>
  <c r="B15"/>
  <c r="L106" i="1" l="1"/>
  <c r="L105"/>
  <c r="L104"/>
  <c r="L103"/>
  <c r="L102"/>
  <c r="L101"/>
  <c r="L100"/>
  <c r="L99"/>
  <c r="L98"/>
  <c r="K106"/>
  <c r="K105"/>
  <c r="K104"/>
  <c r="K103"/>
  <c r="K102"/>
  <c r="K101"/>
  <c r="K100"/>
  <c r="K99"/>
  <c r="K98"/>
  <c r="J106"/>
  <c r="J105"/>
  <c r="J104"/>
  <c r="J103"/>
  <c r="J102"/>
  <c r="J101"/>
  <c r="J100"/>
  <c r="J99"/>
  <c r="J98"/>
  <c r="H106"/>
  <c r="H105"/>
  <c r="H104"/>
  <c r="H103"/>
  <c r="H102"/>
  <c r="H101"/>
  <c r="H100"/>
  <c r="H99"/>
  <c r="H98"/>
  <c r="G106"/>
  <c r="G105"/>
  <c r="G104"/>
  <c r="G103"/>
  <c r="G102"/>
  <c r="G101"/>
  <c r="G100"/>
  <c r="G99"/>
  <c r="G98"/>
  <c r="I106"/>
  <c r="I105"/>
  <c r="I104"/>
  <c r="I103"/>
  <c r="I102"/>
  <c r="I101"/>
  <c r="I100"/>
  <c r="I99"/>
  <c r="I98"/>
  <c r="S106" l="1"/>
  <c r="S105"/>
  <c r="S104"/>
  <c r="S103"/>
  <c r="S102"/>
  <c r="S101"/>
  <c r="S100"/>
  <c r="S99"/>
  <c r="S98"/>
  <c r="R106"/>
  <c r="R105"/>
  <c r="R104"/>
  <c r="R103"/>
  <c r="R102"/>
  <c r="R101"/>
  <c r="R100"/>
  <c r="R99"/>
  <c r="R98"/>
  <c r="Q106"/>
  <c r="Q105"/>
  <c r="Q104"/>
  <c r="Q103"/>
  <c r="Q102"/>
  <c r="Q101"/>
  <c r="Q100"/>
  <c r="Q99"/>
  <c r="Q98"/>
  <c r="O106"/>
  <c r="O105"/>
  <c r="O104"/>
  <c r="O103"/>
  <c r="O102"/>
  <c r="O101"/>
  <c r="O100"/>
  <c r="O99"/>
  <c r="O98"/>
  <c r="N106"/>
  <c r="N105"/>
  <c r="N104"/>
  <c r="N103"/>
  <c r="N102"/>
  <c r="N101"/>
  <c r="N100"/>
  <c r="N99"/>
  <c r="N98"/>
  <c r="P98"/>
  <c r="P99"/>
  <c r="P100"/>
  <c r="P101"/>
  <c r="P102"/>
  <c r="P103"/>
  <c r="P104"/>
  <c r="P105"/>
  <c r="P106"/>
  <c r="E106" l="1"/>
  <c r="E105"/>
  <c r="E104"/>
  <c r="E103"/>
  <c r="E102"/>
  <c r="E101"/>
  <c r="E100"/>
  <c r="E99"/>
  <c r="E98"/>
  <c r="E97"/>
  <c r="D106"/>
  <c r="D105"/>
  <c r="D104"/>
  <c r="D103"/>
  <c r="D102"/>
  <c r="D101"/>
  <c r="D100"/>
  <c r="D99"/>
  <c r="D98"/>
  <c r="D97"/>
  <c r="C106"/>
  <c r="C105"/>
  <c r="C104"/>
  <c r="C103"/>
  <c r="C102"/>
  <c r="C101"/>
  <c r="C100"/>
  <c r="C99"/>
  <c r="C98"/>
  <c r="C97"/>
  <c r="B106"/>
  <c r="B105"/>
  <c r="B104"/>
  <c r="B103"/>
  <c r="B102"/>
  <c r="B101"/>
  <c r="B100"/>
  <c r="B99"/>
  <c r="B98"/>
  <c r="B97"/>
  <c r="A106"/>
  <c r="A105"/>
  <c r="A104"/>
  <c r="A103"/>
  <c r="A102"/>
  <c r="A101"/>
  <c r="A100"/>
  <c r="A99"/>
  <c r="A98"/>
  <c r="A97"/>
  <c r="A16" i="22" l="1"/>
  <c r="A10"/>
  <c r="A19"/>
  <c r="A14"/>
  <c r="A11"/>
  <c r="A20"/>
  <c r="A5"/>
  <c r="A15"/>
  <c r="A6"/>
  <c r="A18"/>
  <c r="A13"/>
  <c r="A9"/>
  <c r="A12"/>
  <c r="A23"/>
  <c r="A7"/>
  <c r="A24"/>
  <c r="A3"/>
  <c r="A25"/>
  <c r="A8"/>
  <c r="A22"/>
  <c r="A21"/>
  <c r="A2"/>
  <c r="A4"/>
  <c r="A17"/>
  <c r="E3"/>
  <c r="E4" s="1"/>
  <c r="E5" s="1"/>
  <c r="E6" s="1"/>
  <c r="E7" s="1"/>
  <c r="E8" s="1"/>
  <c r="E9" s="1"/>
  <c r="E10" s="1"/>
  <c r="E11" s="1"/>
  <c r="E12" s="1"/>
  <c r="E13" s="1"/>
  <c r="E14" s="1"/>
  <c r="E15" s="1"/>
  <c r="E16" s="1"/>
  <c r="E17" s="1"/>
  <c r="E18" s="1"/>
  <c r="E19" s="1"/>
  <c r="E20" s="1"/>
  <c r="E21" s="1"/>
  <c r="E22" s="1"/>
  <c r="E23" s="1"/>
  <c r="E24" s="1"/>
  <c r="G83" i="1" l="1"/>
  <c r="B93" l="1"/>
  <c r="C93" s="1"/>
  <c r="C92"/>
  <c r="C91"/>
  <c r="C90"/>
  <c r="C89"/>
  <c r="C88"/>
  <c r="Y106"/>
  <c r="Y105"/>
  <c r="Y104"/>
  <c r="Y103"/>
  <c r="Y102"/>
  <c r="Y101"/>
  <c r="Y100"/>
  <c r="Y99"/>
  <c r="Y98"/>
  <c r="Y97"/>
  <c r="N95"/>
  <c r="G95"/>
  <c r="I92"/>
  <c r="I91"/>
  <c r="I90"/>
  <c r="L92"/>
  <c r="L91"/>
  <c r="L90"/>
  <c r="H87"/>
  <c r="K87"/>
  <c r="AR2"/>
  <c r="G724" i="21" l="1"/>
  <c r="I724"/>
  <c r="F724"/>
  <c r="J724"/>
  <c r="E724"/>
  <c r="H724"/>
  <c r="J244" i="15"/>
  <c r="I244"/>
  <c r="H244"/>
  <c r="G244"/>
  <c r="F244"/>
  <c r="E244"/>
  <c r="J244" i="19"/>
  <c r="J31" i="3"/>
  <c r="J30"/>
  <c r="J29"/>
  <c r="J28"/>
  <c r="J27"/>
  <c r="J26"/>
  <c r="J25"/>
  <c r="J24"/>
  <c r="G31"/>
  <c r="P31" s="1"/>
  <c r="G30"/>
  <c r="P30" s="1"/>
  <c r="G29"/>
  <c r="P29" s="1"/>
  <c r="G28"/>
  <c r="P28" s="1"/>
  <c r="G27"/>
  <c r="G26"/>
  <c r="P26" s="1"/>
  <c r="G25"/>
  <c r="P25" s="1"/>
  <c r="G24"/>
  <c r="D31"/>
  <c r="D30"/>
  <c r="D29"/>
  <c r="D28"/>
  <c r="D27"/>
  <c r="D26"/>
  <c r="D25"/>
  <c r="D24"/>
  <c r="C31"/>
  <c r="C30"/>
  <c r="C29"/>
  <c r="C28"/>
  <c r="C27"/>
  <c r="C26"/>
  <c r="C25"/>
  <c r="C24"/>
  <c r="J244" i="18"/>
  <c r="J22" i="3"/>
  <c r="J21"/>
  <c r="J20"/>
  <c r="J19"/>
  <c r="J18"/>
  <c r="J17"/>
  <c r="J16"/>
  <c r="J15"/>
  <c r="G22"/>
  <c r="P22" s="1"/>
  <c r="G21"/>
  <c r="G20"/>
  <c r="P20" s="1"/>
  <c r="G19"/>
  <c r="P19" s="1"/>
  <c r="G18"/>
  <c r="P18" s="1"/>
  <c r="G17"/>
  <c r="P17" s="1"/>
  <c r="G16"/>
  <c r="P16" s="1"/>
  <c r="G15"/>
  <c r="P15" s="1"/>
  <c r="D22"/>
  <c r="D21"/>
  <c r="D20"/>
  <c r="D19"/>
  <c r="D18"/>
  <c r="D17"/>
  <c r="D16"/>
  <c r="D15"/>
  <c r="C22"/>
  <c r="C21"/>
  <c r="C20"/>
  <c r="C19"/>
  <c r="C18"/>
  <c r="C17"/>
  <c r="C16"/>
  <c r="C15"/>
  <c r="D3" i="12" l="1"/>
  <c r="D7"/>
  <c r="D6"/>
  <c r="D4"/>
  <c r="D5"/>
  <c r="S7" i="3"/>
  <c r="S9"/>
  <c r="S10"/>
  <c r="S6"/>
  <c r="S8"/>
  <c r="E726" i="21"/>
  <c r="E246" i="15"/>
  <c r="J83" i="1"/>
  <c r="K83"/>
  <c r="L83"/>
  <c r="I83"/>
  <c r="H83"/>
  <c r="P27" i="3"/>
  <c r="P24"/>
  <c r="P21"/>
  <c r="G244" i="19"/>
  <c r="E244"/>
  <c r="F244"/>
  <c r="I244"/>
  <c r="H244"/>
  <c r="H244" i="18"/>
  <c r="G244"/>
  <c r="F244"/>
  <c r="E244"/>
  <c r="I244"/>
  <c r="F7" i="12" l="1"/>
  <c r="F5"/>
  <c r="F3"/>
  <c r="F6"/>
  <c r="F4"/>
  <c r="S26" i="3"/>
  <c r="H7" i="12"/>
  <c r="S25" i="3"/>
  <c r="H6" i="12"/>
  <c r="S28" i="3"/>
  <c r="H5" i="12"/>
  <c r="S27" i="3"/>
  <c r="H4" i="12"/>
  <c r="S24" i="3"/>
  <c r="H3" i="12"/>
  <c r="S17" i="3"/>
  <c r="S19"/>
  <c r="S16"/>
  <c r="S18"/>
  <c r="S15"/>
  <c r="S11"/>
  <c r="AQ1" i="1"/>
  <c r="H84" s="1"/>
  <c r="D2" i="12"/>
  <c r="E13" s="1"/>
  <c r="E246" i="19"/>
  <c r="E246" i="18"/>
  <c r="Z10" i="1"/>
  <c r="Z7"/>
  <c r="Z16"/>
  <c r="Z19"/>
  <c r="Z13"/>
  <c r="J13" i="3"/>
  <c r="J12"/>
  <c r="J11"/>
  <c r="J10"/>
  <c r="J9"/>
  <c r="J8"/>
  <c r="J7"/>
  <c r="J6"/>
  <c r="G13"/>
  <c r="G12"/>
  <c r="P12" s="1"/>
  <c r="G11"/>
  <c r="P11" s="1"/>
  <c r="G10"/>
  <c r="P10" s="1"/>
  <c r="G9"/>
  <c r="P9" s="1"/>
  <c r="G8"/>
  <c r="G7"/>
  <c r="P7" s="1"/>
  <c r="G6"/>
  <c r="P6" s="1"/>
  <c r="D13"/>
  <c r="D12"/>
  <c r="D11"/>
  <c r="D10"/>
  <c r="D9"/>
  <c r="D8"/>
  <c r="D7"/>
  <c r="D6"/>
  <c r="E2"/>
  <c r="C13"/>
  <c r="C12"/>
  <c r="C11"/>
  <c r="C10"/>
  <c r="C9"/>
  <c r="C8"/>
  <c r="C7"/>
  <c r="C6"/>
  <c r="F2" i="12" l="1"/>
  <c r="G13" s="1"/>
  <c r="S29" i="3"/>
  <c r="H2" i="12"/>
  <c r="S20" i="3"/>
  <c r="Z32" i="1"/>
  <c r="Z41"/>
  <c r="Z63"/>
  <c r="Z57"/>
  <c r="Z69"/>
  <c r="Z66"/>
  <c r="Z38"/>
  <c r="Z60"/>
  <c r="Z35"/>
  <c r="Z44"/>
  <c r="I84"/>
  <c r="K84"/>
  <c r="J84"/>
  <c r="L84"/>
  <c r="P13" i="3"/>
  <c r="P8"/>
  <c r="Q10" i="12"/>
  <c r="Q11" s="1"/>
  <c r="Q12" s="1"/>
  <c r="Q13" s="1"/>
  <c r="Q14" s="1"/>
  <c r="Q15" s="1"/>
  <c r="Q16" s="1"/>
  <c r="Q17" s="1"/>
  <c r="Q18" s="1"/>
  <c r="Q19" s="1"/>
  <c r="Q20" s="1"/>
  <c r="Q21" s="1"/>
  <c r="Q22" s="1"/>
  <c r="Q23" s="1"/>
  <c r="Q24" s="1"/>
  <c r="Q25" s="1"/>
  <c r="Q26" s="1"/>
  <c r="Q27" s="1"/>
  <c r="Q28" s="1"/>
  <c r="Q29" s="1"/>
  <c r="Q30" s="1"/>
  <c r="Q31" s="1"/>
  <c r="Q32" s="1"/>
  <c r="Q34"/>
  <c r="Q36" s="1"/>
  <c r="Q37" s="1"/>
  <c r="Q38" s="1"/>
  <c r="Q39" s="1"/>
  <c r="Q40" s="1"/>
  <c r="Q41" s="1"/>
  <c r="Q42" s="1"/>
  <c r="D9"/>
  <c r="D10"/>
  <c r="X80" i="1"/>
  <c r="N31" i="3" s="1"/>
  <c r="X78" i="1"/>
  <c r="K31" i="3" s="1"/>
  <c r="X77" i="1"/>
  <c r="N30" i="3" s="1"/>
  <c r="X75" i="1"/>
  <c r="K30" i="3" s="1"/>
  <c r="X74" i="1"/>
  <c r="N29" i="3" s="1"/>
  <c r="X72" i="1"/>
  <c r="K29" i="3" s="1"/>
  <c r="X71" i="1"/>
  <c r="N28" i="3" s="1"/>
  <c r="X69" i="1"/>
  <c r="K28" i="3" s="1"/>
  <c r="X68" i="1"/>
  <c r="N27" i="3" s="1"/>
  <c r="X66" i="1"/>
  <c r="K27" i="3" s="1"/>
  <c r="X65" i="1"/>
  <c r="N26" i="3" s="1"/>
  <c r="X63" i="1"/>
  <c r="K26" i="3" s="1"/>
  <c r="X62" i="1"/>
  <c r="N25" i="3" s="1"/>
  <c r="X60" i="1"/>
  <c r="K25" i="3" s="1"/>
  <c r="X59" i="1"/>
  <c r="N24" i="3" s="1"/>
  <c r="X57" i="1"/>
  <c r="K24" i="3" s="1"/>
  <c r="X55" i="1"/>
  <c r="N22" i="3" s="1"/>
  <c r="X53" i="1"/>
  <c r="K22" i="3" s="1"/>
  <c r="X52" i="1"/>
  <c r="N21" i="3" s="1"/>
  <c r="X50" i="1"/>
  <c r="K21" i="3" s="1"/>
  <c r="X49" i="1"/>
  <c r="N20" i="3" s="1"/>
  <c r="X47" i="1"/>
  <c r="K20" i="3" s="1"/>
  <c r="X46" i="1"/>
  <c r="N19" i="3" s="1"/>
  <c r="X44" i="1"/>
  <c r="K19" i="3" s="1"/>
  <c r="X43" i="1"/>
  <c r="N18" i="3" s="1"/>
  <c r="X41" i="1"/>
  <c r="K18" i="3" s="1"/>
  <c r="X40" i="1"/>
  <c r="N17" i="3" s="1"/>
  <c r="X38" i="1"/>
  <c r="K17" i="3" s="1"/>
  <c r="X37" i="1"/>
  <c r="N16" i="3" s="1"/>
  <c r="X35" i="1"/>
  <c r="K16" i="3" s="1"/>
  <c r="X34" i="1"/>
  <c r="N15" i="3" s="1"/>
  <c r="X32" i="1"/>
  <c r="K15" i="3" s="1"/>
  <c r="X30" i="1"/>
  <c r="N13" i="3" s="1"/>
  <c r="X28" i="1"/>
  <c r="K13" i="3" s="1"/>
  <c r="X27" i="1"/>
  <c r="N12" i="3" s="1"/>
  <c r="X25" i="1"/>
  <c r="K12" i="3" s="1"/>
  <c r="X24" i="1"/>
  <c r="N11" i="3" s="1"/>
  <c r="X22" i="1"/>
  <c r="X21"/>
  <c r="N10" i="3" s="1"/>
  <c r="X19" i="1"/>
  <c r="K10" i="3" s="1"/>
  <c r="X18" i="1"/>
  <c r="N9" i="3" s="1"/>
  <c r="X16" i="1"/>
  <c r="K9" i="3" s="1"/>
  <c r="X15" i="1"/>
  <c r="N8" i="3" s="1"/>
  <c r="X13" i="1"/>
  <c r="K8" i="3" s="1"/>
  <c r="X12" i="1"/>
  <c r="N7" i="3" s="1"/>
  <c r="X10" i="1"/>
  <c r="K7" i="3" s="1"/>
  <c r="X9" i="1"/>
  <c r="N6" i="3" s="1"/>
  <c r="X7" i="1"/>
  <c r="M78"/>
  <c r="O31" i="3" s="1"/>
  <c r="I13" i="12" l="1"/>
  <c r="H9"/>
  <c r="B3"/>
  <c r="B6"/>
  <c r="H10"/>
  <c r="G5"/>
  <c r="F9"/>
  <c r="G9" s="1"/>
  <c r="B5"/>
  <c r="F10"/>
  <c r="G10" s="1"/>
  <c r="B4"/>
  <c r="G7"/>
  <c r="G3"/>
  <c r="G4"/>
  <c r="G6"/>
  <c r="B7"/>
  <c r="K11" i="3"/>
  <c r="K6"/>
  <c r="G78" i="1"/>
  <c r="M75"/>
  <c r="O30" i="3" s="1"/>
  <c r="G75" i="1"/>
  <c r="M72"/>
  <c r="O29" i="3" s="1"/>
  <c r="G72" i="1"/>
  <c r="M69"/>
  <c r="O28" i="3" s="1"/>
  <c r="G69" i="1"/>
  <c r="M66"/>
  <c r="O27" i="3" s="1"/>
  <c r="G66" i="1"/>
  <c r="M63"/>
  <c r="O26" i="3" s="1"/>
  <c r="G63" i="1"/>
  <c r="M60"/>
  <c r="O25" i="3" s="1"/>
  <c r="G60" i="1"/>
  <c r="M57"/>
  <c r="O24" i="3" s="1"/>
  <c r="G57" i="1"/>
  <c r="M53"/>
  <c r="O22" i="3" s="1"/>
  <c r="G53" i="1"/>
  <c r="M50"/>
  <c r="O21" i="3" s="1"/>
  <c r="G50" i="1"/>
  <c r="M47"/>
  <c r="O20" i="3" s="1"/>
  <c r="G47" i="1"/>
  <c r="M44"/>
  <c r="O19" i="3" s="1"/>
  <c r="G44" i="1"/>
  <c r="M41"/>
  <c r="O18" i="3" s="1"/>
  <c r="G41" i="1"/>
  <c r="M38"/>
  <c r="O17" i="3" s="1"/>
  <c r="G38" i="1"/>
  <c r="M35"/>
  <c r="O16" i="3" s="1"/>
  <c r="G35" i="1"/>
  <c r="M32"/>
  <c r="O15" i="3" s="1"/>
  <c r="G32" i="1"/>
  <c r="M28"/>
  <c r="O13" i="3" s="1"/>
  <c r="G28" i="1"/>
  <c r="M25"/>
  <c r="O12" i="3" s="1"/>
  <c r="G25" i="1"/>
  <c r="M22"/>
  <c r="O11" i="3" s="1"/>
  <c r="G22" i="1"/>
  <c r="M19"/>
  <c r="O10" i="3" s="1"/>
  <c r="G19" i="1"/>
  <c r="M16"/>
  <c r="O9" i="3" s="1"/>
  <c r="G16" i="1"/>
  <c r="M13"/>
  <c r="O8" i="3" s="1"/>
  <c r="G13" i="1"/>
  <c r="M10"/>
  <c r="O7" i="3" s="1"/>
  <c r="G10" i="1"/>
  <c r="B80"/>
  <c r="B77"/>
  <c r="B74"/>
  <c r="B71"/>
  <c r="B68"/>
  <c r="B65"/>
  <c r="B62"/>
  <c r="B59"/>
  <c r="B55"/>
  <c r="B52"/>
  <c r="B49"/>
  <c r="B46"/>
  <c r="B43"/>
  <c r="B40"/>
  <c r="B37"/>
  <c r="B34"/>
  <c r="B30"/>
  <c r="B27"/>
  <c r="B24"/>
  <c r="B21"/>
  <c r="B18"/>
  <c r="B15"/>
  <c r="B12"/>
  <c r="M7"/>
  <c r="O6" i="3" s="1"/>
  <c r="L25" i="1"/>
  <c r="H50"/>
  <c r="H47"/>
  <c r="I28"/>
  <c r="J57"/>
  <c r="J38"/>
  <c r="L32"/>
  <c r="I69"/>
  <c r="I35"/>
  <c r="L38"/>
  <c r="I47"/>
  <c r="H19"/>
  <c r="L57"/>
  <c r="I78"/>
  <c r="H25"/>
  <c r="I44"/>
  <c r="H69"/>
  <c r="J47"/>
  <c r="H63"/>
  <c r="I13"/>
  <c r="H53"/>
  <c r="L63"/>
  <c r="L44"/>
  <c r="L75"/>
  <c r="I50"/>
  <c r="J44"/>
  <c r="I63"/>
  <c r="J41"/>
  <c r="J50"/>
  <c r="H66"/>
  <c r="L50"/>
  <c r="I75"/>
  <c r="H13"/>
  <c r="H57"/>
  <c r="J13"/>
  <c r="L16"/>
  <c r="I22"/>
  <c r="L69"/>
  <c r="I41"/>
  <c r="I25"/>
  <c r="L13"/>
  <c r="H75"/>
  <c r="I32"/>
  <c r="L78"/>
  <c r="L10"/>
  <c r="J69"/>
  <c r="J78"/>
  <c r="J63"/>
  <c r="H38"/>
  <c r="J32"/>
  <c r="J19"/>
  <c r="I66"/>
  <c r="H22"/>
  <c r="J75"/>
  <c r="J25"/>
  <c r="I19"/>
  <c r="H32"/>
  <c r="I57"/>
  <c r="I60"/>
  <c r="H44"/>
  <c r="H41"/>
  <c r="L19"/>
  <c r="J66"/>
  <c r="H72"/>
  <c r="I38"/>
  <c r="G14" i="12" l="1"/>
  <c r="P23"/>
  <c r="P76"/>
  <c r="P13"/>
  <c r="P70"/>
  <c r="P19"/>
  <c r="P74"/>
  <c r="P32"/>
  <c r="P45"/>
  <c r="P28"/>
  <c r="P42"/>
  <c r="P17"/>
  <c r="P72"/>
  <c r="P60"/>
  <c r="P26"/>
  <c r="P25"/>
  <c r="P41"/>
  <c r="P18"/>
  <c r="P73"/>
  <c r="P24"/>
  <c r="P40"/>
  <c r="P27"/>
  <c r="P61"/>
  <c r="P56"/>
  <c r="P12"/>
  <c r="P21"/>
  <c r="P59"/>
  <c r="P30"/>
  <c r="P44"/>
  <c r="B9"/>
  <c r="B10"/>
  <c r="B24" i="22"/>
  <c r="B15"/>
  <c r="B25"/>
  <c r="B18"/>
  <c r="B9"/>
  <c r="B10"/>
  <c r="B22"/>
  <c r="B20"/>
  <c r="B23"/>
  <c r="B14"/>
  <c r="B21"/>
  <c r="B16"/>
  <c r="F24" i="3"/>
  <c r="H24" s="1"/>
  <c r="F26"/>
  <c r="H26" s="1"/>
  <c r="F30"/>
  <c r="H30" s="1"/>
  <c r="F28"/>
  <c r="H28" s="1"/>
  <c r="F25"/>
  <c r="H25" s="1"/>
  <c r="F27"/>
  <c r="H27" s="1"/>
  <c r="F29"/>
  <c r="H29" s="1"/>
  <c r="F31"/>
  <c r="H31" s="1"/>
  <c r="I26"/>
  <c r="AK24" s="1"/>
  <c r="I24"/>
  <c r="I28"/>
  <c r="AE28" s="1"/>
  <c r="I31"/>
  <c r="AK29" s="1"/>
  <c r="I30"/>
  <c r="AK28" s="1"/>
  <c r="F10"/>
  <c r="H10" s="1"/>
  <c r="F12"/>
  <c r="H12" s="1"/>
  <c r="F17"/>
  <c r="F19"/>
  <c r="F21"/>
  <c r="F8"/>
  <c r="H8" s="1"/>
  <c r="F15"/>
  <c r="F7"/>
  <c r="H7" s="1"/>
  <c r="F9"/>
  <c r="H9" s="1"/>
  <c r="F11"/>
  <c r="H11" s="1"/>
  <c r="F13"/>
  <c r="H13" s="1"/>
  <c r="F16"/>
  <c r="F18"/>
  <c r="F20"/>
  <c r="F22"/>
  <c r="I17"/>
  <c r="AK7" s="1"/>
  <c r="I19"/>
  <c r="AE19" s="1"/>
  <c r="I15"/>
  <c r="AK8" s="1"/>
  <c r="I21"/>
  <c r="AE21" s="1"/>
  <c r="I10"/>
  <c r="I9"/>
  <c r="AA9" s="1"/>
  <c r="I8"/>
  <c r="AA8" s="1"/>
  <c r="I12"/>
  <c r="AK17" s="1"/>
  <c r="I7"/>
  <c r="AA7" s="1"/>
  <c r="B9" i="1"/>
  <c r="E83" s="1"/>
  <c r="E84" s="1"/>
  <c r="G7"/>
  <c r="F3"/>
  <c r="F3" i="5"/>
  <c r="C3"/>
  <c r="C3" i="1"/>
  <c r="G60" i="4"/>
  <c r="F60"/>
  <c r="D60"/>
  <c r="G59"/>
  <c r="F59"/>
  <c r="D59"/>
  <c r="H59" s="1"/>
  <c r="G58"/>
  <c r="F58"/>
  <c r="D58"/>
  <c r="G57"/>
  <c r="F57"/>
  <c r="D57"/>
  <c r="G56"/>
  <c r="F56"/>
  <c r="D56"/>
  <c r="G55"/>
  <c r="F55"/>
  <c r="D55"/>
  <c r="D63" s="1"/>
  <c r="A11" s="1"/>
  <c r="G54"/>
  <c r="F54"/>
  <c r="D54"/>
  <c r="B40"/>
  <c r="B39"/>
  <c r="B38"/>
  <c r="B37"/>
  <c r="B36"/>
  <c r="B35"/>
  <c r="B34"/>
  <c r="AD31"/>
  <c r="Z31"/>
  <c r="M31"/>
  <c r="I31"/>
  <c r="AK29" s="1"/>
  <c r="H31"/>
  <c r="AE30"/>
  <c r="AD30"/>
  <c r="Z30"/>
  <c r="R30"/>
  <c r="M30"/>
  <c r="I30"/>
  <c r="AK28" s="1"/>
  <c r="H30"/>
  <c r="AJ29"/>
  <c r="AE29"/>
  <c r="AD29"/>
  <c r="Z29"/>
  <c r="S29"/>
  <c r="T26" s="1"/>
  <c r="M29"/>
  <c r="I29"/>
  <c r="AK27" s="1"/>
  <c r="H29"/>
  <c r="AJ28"/>
  <c r="AD28"/>
  <c r="Z28"/>
  <c r="M28"/>
  <c r="I28"/>
  <c r="AK26" s="1"/>
  <c r="H28"/>
  <c r="AJ27"/>
  <c r="AD27"/>
  <c r="Z27"/>
  <c r="M27"/>
  <c r="I27"/>
  <c r="AK25" s="1"/>
  <c r="H27"/>
  <c r="AJ26"/>
  <c r="AD26"/>
  <c r="Z26"/>
  <c r="M26"/>
  <c r="I26"/>
  <c r="AK24" s="1"/>
  <c r="H26"/>
  <c r="AJ25"/>
  <c r="AD25"/>
  <c r="Z25"/>
  <c r="I25"/>
  <c r="AE24" s="1"/>
  <c r="H25"/>
  <c r="AJ24"/>
  <c r="AG24"/>
  <c r="AD24"/>
  <c r="Z24"/>
  <c r="M24"/>
  <c r="I24"/>
  <c r="AE25" s="1"/>
  <c r="H24"/>
  <c r="AJ23"/>
  <c r="AJ22"/>
  <c r="AD22"/>
  <c r="Z22"/>
  <c r="M22"/>
  <c r="I22"/>
  <c r="AE22" s="1"/>
  <c r="H22"/>
  <c r="AJ21"/>
  <c r="AD21"/>
  <c r="Z21"/>
  <c r="R21"/>
  <c r="M21"/>
  <c r="I21"/>
  <c r="AE21" s="1"/>
  <c r="H21"/>
  <c r="AJ20"/>
  <c r="AD20"/>
  <c r="Z20"/>
  <c r="S20"/>
  <c r="T16" s="1"/>
  <c r="M20"/>
  <c r="I20"/>
  <c r="AE20" s="1"/>
  <c r="H20"/>
  <c r="AJ19"/>
  <c r="AD19"/>
  <c r="Z19"/>
  <c r="M19"/>
  <c r="I19"/>
  <c r="AE19" s="1"/>
  <c r="H19"/>
  <c r="AJ18"/>
  <c r="AD18"/>
  <c r="Z18"/>
  <c r="I18"/>
  <c r="AK6" s="1"/>
  <c r="H18"/>
  <c r="AJ17"/>
  <c r="AD17"/>
  <c r="Z17"/>
  <c r="M17"/>
  <c r="I17"/>
  <c r="AE16" s="1"/>
  <c r="H17"/>
  <c r="AJ16"/>
  <c r="AD16"/>
  <c r="Z16"/>
  <c r="I16"/>
  <c r="AK13" s="1"/>
  <c r="H16"/>
  <c r="AJ15"/>
  <c r="AG15"/>
  <c r="AE15"/>
  <c r="AD15"/>
  <c r="Z15"/>
  <c r="I15"/>
  <c r="AE17" s="1"/>
  <c r="H15"/>
  <c r="AJ14"/>
  <c r="AJ13"/>
  <c r="AD13"/>
  <c r="Z13"/>
  <c r="M13"/>
  <c r="I13"/>
  <c r="AK19" s="1"/>
  <c r="H13"/>
  <c r="AJ12"/>
  <c r="AD12"/>
  <c r="Z12"/>
  <c r="R12"/>
  <c r="M12"/>
  <c r="I12"/>
  <c r="AE11" s="1"/>
  <c r="H12"/>
  <c r="AJ11"/>
  <c r="AD11"/>
  <c r="Z11"/>
  <c r="S11"/>
  <c r="T6" s="1"/>
  <c r="M11"/>
  <c r="I11"/>
  <c r="AK18" s="1"/>
  <c r="H11"/>
  <c r="AJ10"/>
  <c r="AD10"/>
  <c r="Z10"/>
  <c r="T10"/>
  <c r="M10"/>
  <c r="I10"/>
  <c r="AK16" s="1"/>
  <c r="H10"/>
  <c r="AJ9"/>
  <c r="AD9"/>
  <c r="Z9"/>
  <c r="M9"/>
  <c r="I9"/>
  <c r="AE9" s="1"/>
  <c r="H9"/>
  <c r="AJ8"/>
  <c r="AD8"/>
  <c r="Z8"/>
  <c r="M8"/>
  <c r="I8"/>
  <c r="AK9" s="1"/>
  <c r="H8"/>
  <c r="AK7"/>
  <c r="AJ7"/>
  <c r="AD7"/>
  <c r="Z7"/>
  <c r="I7"/>
  <c r="AE7" s="1"/>
  <c r="H7"/>
  <c r="AM6"/>
  <c r="AJ6"/>
  <c r="AG6"/>
  <c r="AD6"/>
  <c r="Z6"/>
  <c r="I6"/>
  <c r="H6"/>
  <c r="T3"/>
  <c r="T2"/>
  <c r="T1"/>
  <c r="M25" s="1"/>
  <c r="G60" i="3"/>
  <c r="F60"/>
  <c r="D60"/>
  <c r="G59"/>
  <c r="F59"/>
  <c r="D59"/>
  <c r="G58"/>
  <c r="F58"/>
  <c r="D58"/>
  <c r="G57"/>
  <c r="F57"/>
  <c r="D57"/>
  <c r="G56"/>
  <c r="F56"/>
  <c r="D56"/>
  <c r="G55"/>
  <c r="F55"/>
  <c r="D55"/>
  <c r="G54"/>
  <c r="F54"/>
  <c r="D54"/>
  <c r="B40"/>
  <c r="B39"/>
  <c r="B38"/>
  <c r="B37"/>
  <c r="B36"/>
  <c r="B35"/>
  <c r="B34"/>
  <c r="AD31"/>
  <c r="Z31"/>
  <c r="AD30"/>
  <c r="Z30"/>
  <c r="R30"/>
  <c r="AJ29"/>
  <c r="AD29"/>
  <c r="Z29"/>
  <c r="AJ28"/>
  <c r="AD28"/>
  <c r="Z28"/>
  <c r="AJ27"/>
  <c r="AD27"/>
  <c r="Z27"/>
  <c r="AJ26"/>
  <c r="AD26"/>
  <c r="Z26"/>
  <c r="AJ25"/>
  <c r="AD25"/>
  <c r="Z25"/>
  <c r="AJ24"/>
  <c r="AG24"/>
  <c r="AD24"/>
  <c r="Z24"/>
  <c r="AJ23"/>
  <c r="AJ22"/>
  <c r="AD22"/>
  <c r="Z22"/>
  <c r="AJ21"/>
  <c r="AD21"/>
  <c r="Z21"/>
  <c r="R21"/>
  <c r="AJ20"/>
  <c r="AD20"/>
  <c r="Z20"/>
  <c r="T18"/>
  <c r="AJ19"/>
  <c r="AD19"/>
  <c r="Z19"/>
  <c r="AJ18"/>
  <c r="AD18"/>
  <c r="Z18"/>
  <c r="AJ17"/>
  <c r="AD17"/>
  <c r="Z17"/>
  <c r="AJ16"/>
  <c r="AD16"/>
  <c r="Z16"/>
  <c r="AJ15"/>
  <c r="AG15"/>
  <c r="AD15"/>
  <c r="Z15"/>
  <c r="AJ14"/>
  <c r="AJ13"/>
  <c r="AD13"/>
  <c r="Z13"/>
  <c r="AJ12"/>
  <c r="AD12"/>
  <c r="Z12"/>
  <c r="R12"/>
  <c r="AJ11"/>
  <c r="AD11"/>
  <c r="Z11"/>
  <c r="AJ10"/>
  <c r="AD10"/>
  <c r="Z10"/>
  <c r="AJ9"/>
  <c r="AD9"/>
  <c r="Z9"/>
  <c r="AJ8"/>
  <c r="AD8"/>
  <c r="Z8"/>
  <c r="AJ7"/>
  <c r="AD7"/>
  <c r="Z7"/>
  <c r="AM6"/>
  <c r="AJ6"/>
  <c r="AG6"/>
  <c r="AD6"/>
  <c r="Z6"/>
  <c r="T3"/>
  <c r="T2"/>
  <c r="T1"/>
  <c r="H60" i="1"/>
  <c r="H35"/>
  <c r="J60"/>
  <c r="H16"/>
  <c r="I53"/>
  <c r="I72"/>
  <c r="J16"/>
  <c r="H10"/>
  <c r="J53"/>
  <c r="I7"/>
  <c r="L60"/>
  <c r="H7"/>
  <c r="L41"/>
  <c r="L35"/>
  <c r="L28"/>
  <c r="J7"/>
  <c r="L22"/>
  <c r="J10"/>
  <c r="L72"/>
  <c r="I10"/>
  <c r="L7"/>
  <c r="I16"/>
  <c r="J72"/>
  <c r="L53"/>
  <c r="L66"/>
  <c r="H28"/>
  <c r="H78"/>
  <c r="L47"/>
  <c r="J22"/>
  <c r="J28"/>
  <c r="J35"/>
  <c r="P57" i="12" l="1"/>
  <c r="P15"/>
  <c r="P31"/>
  <c r="P77"/>
  <c r="P10"/>
  <c r="P55"/>
  <c r="P22"/>
  <c r="P75"/>
  <c r="P14"/>
  <c r="P71"/>
  <c r="P54"/>
  <c r="P9"/>
  <c r="P11"/>
  <c r="P38"/>
  <c r="P16"/>
  <c r="P58"/>
  <c r="P29"/>
  <c r="P43"/>
  <c r="P20"/>
  <c r="P39"/>
  <c r="T26" i="3"/>
  <c r="T7"/>
  <c r="AE25"/>
  <c r="I25"/>
  <c r="AE24" s="1"/>
  <c r="B17" i="22"/>
  <c r="I29" i="3"/>
  <c r="AE29" s="1"/>
  <c r="B19" i="22"/>
  <c r="I22" i="3"/>
  <c r="AE22" s="1"/>
  <c r="B6" i="22"/>
  <c r="B12"/>
  <c r="I18" i="3"/>
  <c r="AE15" s="1"/>
  <c r="I13"/>
  <c r="AE13" s="1"/>
  <c r="B11" i="22"/>
  <c r="I27" i="3"/>
  <c r="AK25" s="1"/>
  <c r="B8" i="22"/>
  <c r="I11" i="3"/>
  <c r="AK18" s="1"/>
  <c r="I20"/>
  <c r="AE20" s="1"/>
  <c r="B13" i="22"/>
  <c r="I16" i="3"/>
  <c r="AE18" s="1"/>
  <c r="B7" i="22"/>
  <c r="AA38" i="1"/>
  <c r="X8"/>
  <c r="X23"/>
  <c r="C83"/>
  <c r="C84" s="1"/>
  <c r="B83"/>
  <c r="B84" s="1"/>
  <c r="D83"/>
  <c r="D84" s="1"/>
  <c r="F83"/>
  <c r="F84" s="1"/>
  <c r="A83"/>
  <c r="A84" s="1"/>
  <c r="AR1"/>
  <c r="Z81" s="1"/>
  <c r="AA31" i="3"/>
  <c r="AA24"/>
  <c r="AA28"/>
  <c r="AA30"/>
  <c r="AA26"/>
  <c r="T27"/>
  <c r="T24"/>
  <c r="AK11" i="4"/>
  <c r="AK8"/>
  <c r="T23"/>
  <c r="AK10"/>
  <c r="T12"/>
  <c r="T13" s="1"/>
  <c r="AE28"/>
  <c r="T7"/>
  <c r="T8"/>
  <c r="T9"/>
  <c r="AE6"/>
  <c r="H20" i="3"/>
  <c r="H18"/>
  <c r="H21"/>
  <c r="AA21"/>
  <c r="AK14" i="4"/>
  <c r="T28"/>
  <c r="T28" i="3"/>
  <c r="T21" i="4"/>
  <c r="T22" s="1"/>
  <c r="T19"/>
  <c r="AE27"/>
  <c r="AE31"/>
  <c r="H54"/>
  <c r="C43" s="1"/>
  <c r="F63"/>
  <c r="A20" s="1"/>
  <c r="H58"/>
  <c r="H22" i="3"/>
  <c r="H15"/>
  <c r="AA15"/>
  <c r="H17"/>
  <c r="AA17"/>
  <c r="H16"/>
  <c r="H19"/>
  <c r="AA19"/>
  <c r="T14" i="4"/>
  <c r="T32"/>
  <c r="T15"/>
  <c r="T18"/>
  <c r="AK23"/>
  <c r="T24"/>
  <c r="G63"/>
  <c r="A29" s="1"/>
  <c r="T32" i="3"/>
  <c r="AK14"/>
  <c r="AE26"/>
  <c r="AE31"/>
  <c r="AK26"/>
  <c r="G63"/>
  <c r="A29" s="1"/>
  <c r="T16"/>
  <c r="T17"/>
  <c r="T15"/>
  <c r="T19"/>
  <c r="AA10"/>
  <c r="AA12"/>
  <c r="AE11"/>
  <c r="F6"/>
  <c r="H6" s="1"/>
  <c r="T14" s="1"/>
  <c r="AK9"/>
  <c r="AK10"/>
  <c r="AE16"/>
  <c r="H56"/>
  <c r="H60"/>
  <c r="H57"/>
  <c r="AK22"/>
  <c r="H54"/>
  <c r="T6"/>
  <c r="T10"/>
  <c r="T8"/>
  <c r="T9"/>
  <c r="F63"/>
  <c r="A20" s="1"/>
  <c r="AE7"/>
  <c r="AK16"/>
  <c r="AE10"/>
  <c r="AE6"/>
  <c r="I6"/>
  <c r="AE8" s="1"/>
  <c r="AE9"/>
  <c r="X11" i="1"/>
  <c r="X14"/>
  <c r="X76"/>
  <c r="X79"/>
  <c r="X70"/>
  <c r="X73"/>
  <c r="X64"/>
  <c r="X67"/>
  <c r="X58"/>
  <c r="X61"/>
  <c r="X51"/>
  <c r="X54"/>
  <c r="X45"/>
  <c r="X48"/>
  <c r="X39"/>
  <c r="X42"/>
  <c r="X33"/>
  <c r="X36"/>
  <c r="X26"/>
  <c r="X29"/>
  <c r="X17"/>
  <c r="X20"/>
  <c r="H58" i="3"/>
  <c r="B41" i="4"/>
  <c r="C35" s="1"/>
  <c r="H56"/>
  <c r="H60"/>
  <c r="H55" i="3"/>
  <c r="H59"/>
  <c r="H57" i="4"/>
  <c r="D63" i="3"/>
  <c r="A11" s="1"/>
  <c r="C40" i="4"/>
  <c r="C38"/>
  <c r="M7"/>
  <c r="AK12"/>
  <c r="T30"/>
  <c r="T31" s="1"/>
  <c r="G61"/>
  <c r="G64" s="1"/>
  <c r="A31" s="1"/>
  <c r="G62"/>
  <c r="AK17"/>
  <c r="AE18"/>
  <c r="AG14" s="1"/>
  <c r="AH14" s="1"/>
  <c r="AG16" s="1"/>
  <c r="AG17" s="1"/>
  <c r="AG18" s="1"/>
  <c r="AG19" s="1"/>
  <c r="AG20" s="1"/>
  <c r="AG21" s="1"/>
  <c r="AG22" s="1"/>
  <c r="T25"/>
  <c r="C42"/>
  <c r="F61"/>
  <c r="F64" s="1"/>
  <c r="A22" s="1"/>
  <c r="F62"/>
  <c r="M6"/>
  <c r="AE10"/>
  <c r="AE12"/>
  <c r="AE13"/>
  <c r="AK15"/>
  <c r="M16"/>
  <c r="T17"/>
  <c r="AK20"/>
  <c r="AK21"/>
  <c r="AK22"/>
  <c r="AE26"/>
  <c r="T27"/>
  <c r="H55"/>
  <c r="AE8"/>
  <c r="M18"/>
  <c r="M15"/>
  <c r="D61"/>
  <c r="D62"/>
  <c r="H62" s="1"/>
  <c r="AK15" i="3"/>
  <c r="AK20"/>
  <c r="B41"/>
  <c r="C39" s="1"/>
  <c r="AE17"/>
  <c r="G61"/>
  <c r="G64" s="1"/>
  <c r="A31" s="1"/>
  <c r="G62"/>
  <c r="T25"/>
  <c r="AE30"/>
  <c r="F61"/>
  <c r="F64" s="1"/>
  <c r="A22" s="1"/>
  <c r="F62"/>
  <c r="D61"/>
  <c r="D62"/>
  <c r="M27" l="1"/>
  <c r="P79" i="12"/>
  <c r="P63"/>
  <c r="P36"/>
  <c r="P47"/>
  <c r="AA69" i="1"/>
  <c r="AA16"/>
  <c r="Z72"/>
  <c r="H11" i="12"/>
  <c r="Z22" i="1"/>
  <c r="D11" i="12"/>
  <c r="AA13" i="3"/>
  <c r="I5" i="12"/>
  <c r="I6"/>
  <c r="I3"/>
  <c r="I4"/>
  <c r="I9"/>
  <c r="I10"/>
  <c r="I7"/>
  <c r="E5"/>
  <c r="B2"/>
  <c r="C13" s="1"/>
  <c r="E6"/>
  <c r="E4"/>
  <c r="E7"/>
  <c r="E3"/>
  <c r="E10"/>
  <c r="E9"/>
  <c r="T30" i="3"/>
  <c r="M15"/>
  <c r="M20"/>
  <c r="M29"/>
  <c r="M12"/>
  <c r="M21"/>
  <c r="M30"/>
  <c r="M24"/>
  <c r="M10"/>
  <c r="M13"/>
  <c r="AA27"/>
  <c r="AA18"/>
  <c r="AA25"/>
  <c r="AK27"/>
  <c r="AA29"/>
  <c r="AE27"/>
  <c r="AG23" s="1"/>
  <c r="AH23" s="1"/>
  <c r="AG25" s="1"/>
  <c r="AG26" s="1"/>
  <c r="AG27" s="1"/>
  <c r="AG28" s="1"/>
  <c r="AG29" s="1"/>
  <c r="AG30" s="1"/>
  <c r="AG31" s="1"/>
  <c r="AK13"/>
  <c r="AK21"/>
  <c r="AK11"/>
  <c r="AK6"/>
  <c r="AA16"/>
  <c r="T21"/>
  <c r="T22" s="1"/>
  <c r="Z50" i="1" s="1"/>
  <c r="AE12" i="3"/>
  <c r="AG5" s="1"/>
  <c r="AH5" s="1"/>
  <c r="AG7" s="1"/>
  <c r="AG8" s="1"/>
  <c r="AG9" s="1"/>
  <c r="AG10" s="1"/>
  <c r="AG11" s="1"/>
  <c r="AG12" s="1"/>
  <c r="AG13" s="1"/>
  <c r="AA11"/>
  <c r="AK23"/>
  <c r="AK19"/>
  <c r="AA22"/>
  <c r="AA20"/>
  <c r="M31"/>
  <c r="M25"/>
  <c r="M8"/>
  <c r="M11"/>
  <c r="M9"/>
  <c r="M6"/>
  <c r="AA66" i="1"/>
  <c r="AA10"/>
  <c r="AA44"/>
  <c r="AA19"/>
  <c r="AA32"/>
  <c r="AA13"/>
  <c r="AA35"/>
  <c r="AA60"/>
  <c r="AA63"/>
  <c r="AA7"/>
  <c r="AA41"/>
  <c r="AA57"/>
  <c r="M26" i="3"/>
  <c r="M19"/>
  <c r="M28"/>
  <c r="M16"/>
  <c r="M18"/>
  <c r="M22"/>
  <c r="Z83" i="1"/>
  <c r="C9" i="23" s="1"/>
  <c r="C42" i="3"/>
  <c r="C44" s="1"/>
  <c r="AG23" i="4"/>
  <c r="AH23" s="1"/>
  <c r="AG25" s="1"/>
  <c r="AG26" s="1"/>
  <c r="AG27" s="1"/>
  <c r="AG28" s="1"/>
  <c r="AG29" s="1"/>
  <c r="AG30" s="1"/>
  <c r="AG31" s="1"/>
  <c r="T23" i="3"/>
  <c r="H63" i="4"/>
  <c r="C39"/>
  <c r="AG5"/>
  <c r="AH5" s="1"/>
  <c r="AG7" s="1"/>
  <c r="AG8" s="1"/>
  <c r="AG9" s="1"/>
  <c r="AG10" s="1"/>
  <c r="AG11" s="1"/>
  <c r="AG12" s="1"/>
  <c r="AG13" s="1"/>
  <c r="AM5"/>
  <c r="AN5" s="1"/>
  <c r="AM7" s="1"/>
  <c r="AM8" s="1"/>
  <c r="AM9" s="1"/>
  <c r="AM10" s="1"/>
  <c r="AM11" s="1"/>
  <c r="AM12" s="1"/>
  <c r="AM13" s="1"/>
  <c r="AM14" s="1"/>
  <c r="AM15" s="1"/>
  <c r="AM16" s="1"/>
  <c r="AM17" s="1"/>
  <c r="AM18" s="1"/>
  <c r="AM19" s="1"/>
  <c r="AM20" s="1"/>
  <c r="AM21" s="1"/>
  <c r="AM22" s="1"/>
  <c r="AM23" s="1"/>
  <c r="AM24" s="1"/>
  <c r="AM25" s="1"/>
  <c r="AM26" s="1"/>
  <c r="AM27" s="1"/>
  <c r="AM28" s="1"/>
  <c r="AM29" s="1"/>
  <c r="AG14" i="3"/>
  <c r="AH14" s="1"/>
  <c r="AG16" s="1"/>
  <c r="AG17" s="1"/>
  <c r="AG18" s="1"/>
  <c r="AG19" s="1"/>
  <c r="AG20" s="1"/>
  <c r="AG21" s="1"/>
  <c r="AG22" s="1"/>
  <c r="C43"/>
  <c r="AK12"/>
  <c r="M17"/>
  <c r="H63"/>
  <c r="AA6"/>
  <c r="T12"/>
  <c r="T13" s="1"/>
  <c r="Z25" i="1" s="1"/>
  <c r="M7" i="3"/>
  <c r="C44" i="4"/>
  <c r="C36"/>
  <c r="C37"/>
  <c r="C34"/>
  <c r="D64"/>
  <c r="A13" s="1"/>
  <c r="H61"/>
  <c r="H64" s="1"/>
  <c r="D64" i="3"/>
  <c r="A13" s="1"/>
  <c r="H61"/>
  <c r="H64" s="1"/>
  <c r="C40"/>
  <c r="C38"/>
  <c r="C36"/>
  <c r="C34"/>
  <c r="H62"/>
  <c r="C37"/>
  <c r="C35"/>
  <c r="E14" i="12" l="1"/>
  <c r="I14"/>
  <c r="Z47" i="1"/>
  <c r="F11" i="12"/>
  <c r="B11" s="1"/>
  <c r="C6"/>
  <c r="C4"/>
  <c r="C3"/>
  <c r="C5"/>
  <c r="C10"/>
  <c r="C9"/>
  <c r="C7"/>
  <c r="C15" i="23"/>
  <c r="D9"/>
  <c r="T31" i="3"/>
  <c r="Z75" i="1" s="1"/>
  <c r="AM5" i="3"/>
  <c r="AN5" s="1"/>
  <c r="AM7" s="1"/>
  <c r="AM8" s="1"/>
  <c r="AM9" s="1"/>
  <c r="AM10" s="1"/>
  <c r="AM11" s="1"/>
  <c r="AM12" s="1"/>
  <c r="AM13" s="1"/>
  <c r="AM14" s="1"/>
  <c r="AM15" s="1"/>
  <c r="AM16" s="1"/>
  <c r="AM17" s="1"/>
  <c r="AM18" s="1"/>
  <c r="AM19" s="1"/>
  <c r="AM20" s="1"/>
  <c r="AM21" s="1"/>
  <c r="AM22" s="1"/>
  <c r="AM23" s="1"/>
  <c r="AM24" s="1"/>
  <c r="AM25" s="1"/>
  <c r="AM26" s="1"/>
  <c r="AM27" s="1"/>
  <c r="AM28" s="1"/>
  <c r="AM29" s="1"/>
  <c r="C41" i="4"/>
  <c r="C41" i="3"/>
  <c r="C14" i="12" l="1"/>
  <c r="D15" i="23"/>
  <c r="C20"/>
  <c r="H96" i="1" l="1"/>
  <c r="O96"/>
  <c r="T96" l="1"/>
  <c r="M96"/>
  <c r="K96"/>
  <c r="R96"/>
</calcChain>
</file>

<file path=xl/comments1.xml><?xml version="1.0" encoding="utf-8"?>
<comments xmlns="http://schemas.openxmlformats.org/spreadsheetml/2006/main">
  <authors>
    <author>PM LIS User</author>
  </authors>
  <commentList>
    <comment ref="H5" authorId="0">
      <text>
        <r>
          <rPr>
            <b/>
            <sz val="24"/>
            <color indexed="81"/>
            <rFont val="Tahoma"/>
            <family val="2"/>
          </rPr>
          <t>Reference
A130
A135
A145</t>
        </r>
      </text>
    </comment>
    <comment ref="I5" authorId="0">
      <text>
        <r>
          <rPr>
            <b/>
            <sz val="24"/>
            <color indexed="81"/>
            <rFont val="Tahoma"/>
            <family val="2"/>
          </rPr>
          <t>Reference
W045
W046
A150
A152
A195
A224
A260
W533</t>
        </r>
      </text>
    </comment>
    <comment ref="J5" authorId="0">
      <text>
        <r>
          <rPr>
            <b/>
            <sz val="24"/>
            <color indexed="81"/>
            <rFont val="Tahoma"/>
            <family val="2"/>
          </rPr>
          <t>Reference
A223
A231
A261
A270
A275
A290
A291
A295
A300
A465
W520
A751
A757
* After LCF Change add A470</t>
        </r>
      </text>
    </comment>
    <comment ref="K5" authorId="0">
      <text>
        <r>
          <rPr>
            <b/>
            <sz val="24"/>
            <color indexed="81"/>
            <rFont val="Tahoma"/>
            <family val="2"/>
          </rPr>
          <t>Reference
A261
A260</t>
        </r>
      </text>
    </comment>
    <comment ref="L5" authorId="0">
      <text>
        <r>
          <rPr>
            <b/>
            <sz val="24"/>
            <color indexed="81"/>
            <rFont val="Tahoma"/>
            <family val="2"/>
          </rPr>
          <t>Reference
A035
E205
A226
A310
A400
W525
A755
*After LCF Change Add W523, E205, A310</t>
        </r>
      </text>
    </comment>
  </commentList>
</comments>
</file>

<file path=xl/connections.xml><?xml version="1.0" encoding="utf-8"?>
<connections xmlns="http://schemas.openxmlformats.org/spreadsheetml/2006/main">
  <connection id="1" odcFile="C:\Users\Administrator\Documents\My Data Sources\1-4AHB SLR_SCH_INSP.odc" keepAlive="1" name="AH SLR_SCH_INSP" type="5" refreshedVersion="3" background="1" saveData="1">
    <dbPr connection="Provider=SQLOLEDB.1;Integrated Security=SSPI;Persist Security Info=True;Initial Catalog=1-4AHB;Data Source=10.2.1.2;Use Procedure for Prepare=1;Auto Translate=True;Packet Size=4096;Workstation ID=1-4AHBWS12;Use Encryption for Data=False;Tag with column collation when possible=False" command="&quot;1-4AHB&quot;.&quot;dbo&quot;.&quot;SLR_SCH_INSP&quot;" commandType="3"/>
  </connection>
  <connection id="2" odcFile="C:\Users\Administrator\Documents\My Data Sources\1-4AHB v_gen_READINESS.odc" keepAlive="1" name="AHB v_gen_READINESS" type="5" refreshedVersion="3" background="1" saveData="1">
    <dbPr connection="Provider=SQLOLEDB.1;Integrated Security=SSPI;Persist Security Info=True;Initial Catalog=1-4AHB;Data Source=10.2.1.2;Use Procedure for Prepare=1;Auto Translate=True;Packet Size=4096;Workstation ID=1-4AHBWS12;Use Encryption for Data=False;Tag with column collation when possible=False" command="&quot;1-4AHB&quot;.&quot;dbo&quot;.&quot;v_gen_READINESS&quot;" commandType="3"/>
  </connection>
  <connection id="3" name="atk" type="1" refreshedVersion="3" background="1" saveData="1">
    <dbPr connection="DRIVER=SQL Server;SERVER=10.2.1.2;UID=UllsAdmin;Trusted_Connection=Yes;APP=2007 Microsoft Office system;WSID=1-4AHBWS12" command="SELECT READ_DAILY.UIC, READ_DAILY.PER_DATE, READ_DAILY.EI_MODEL, READ_DAILY.EI_ID, READ_DAILY.DAY, READ_DAILY.FMC, READ_DAILY.PMCS, READ_DAILY.PMCM, READ_DAILY.NMCS, READ_DAILY.NMCM_DEP, READ_DAILY.NMCM_INT, READ_DAILY.NMCM_UNIT, READ_DAILY.FLY_HOURS, READ_DAILY.LANDINGS, READ_DAILY.AUTO, READ_DAILY.PMCS_CODE, READ_DAILY.PMCM_CODE, READ_DAILY.REASON_NMC, READ_DAILY.MNT_LVL, READ_DAILY.DATE_DOWN, READ_DAILY.DATE_MC, READ_DAILY.TDY_LOC, READ_DAILY.LOCATION, READ_DAILY.NMC_REMARKS_x000d__x000a_FROM &quot;1-4AHB&quot;.dbo.READ_DAILY READ_DAILY_x000d__x000a_WHERE (READ_DAILY.UIC='WAFDA0') AND (READ_DAILY.PER_DATE&gt;={ts '2014-03-16 00:00:00'}) AND (READ_DAILY.PER_DATE&lt;{ts '2014-04-16 00:00:00'})"/>
  </connection>
  <connection id="4" name="Query from A Readiness" type="1" refreshedVersion="3" background="1" saveData="1">
    <dbPr connection="DRIVER=SQL Server;SERVER=10.2.1.2;UID=UllsAdmin;Trusted_Connection=Yes;APP=2007 Microsoft Office system;WSID=1-4AHBWS12" command="SELECT READ_DAILY.END_PER_DATE, READ_DAILY.UIC, READ_DAILY.EI_ID, READ_DAILY.DAY, READ_DAILY.FMC, READ_DAILY.PMCS, READ_DAILY.PMCM, READ_DAILY.NMCS, READ_DAILY.NMCM_DEP, READ_DAILY.NMCM_UNIT, READ_DAILY.FLY_HOURS, READ_DAILY.PER_DATE_x000d__x000a_FROM &quot;1-4AHB&quot;.dbo.READ_DAILY READ_DAILY_x000d__x000a_WHERE (READ_DAILY.UIC='WAFDA0') AND (READ_DAILY.END_PER_DATE={ts '2015-05-15 00:00:00'})"/>
  </connection>
  <connection id="5" name="Query from A Readiness1" type="1" refreshedVersion="3" background="1" saveData="1">
    <dbPr connection="DRIVER=SQL Server;SERVER=10.2.1.2;UID=UllsAdmin;Trusted_Connection=Yes;APP=2007 Microsoft Office system;WSID=1-4AHBWS12" command="SELECT READ_DAILY.END_PER_DATE, READ_DAILY.UIC, READ_DAILY.EI_ID, READ_DAILY.DAY, READ_DAILY.FMC, READ_DAILY.PMCS, READ_DAILY.PMCM, READ_DAILY.NMCS, READ_DAILY.NMCM_DEP, READ_DAILY.NMCM_UNIT, READ_DAILY.FLY_HOURS, READ_DAILY.PER_DATE_x000d__x000a_FROM &quot;1-4AHB&quot;.dbo.READ_DAILY READ_DAILY_x000d__x000a_WHERE (READ_DAILY.UIC='WAFDB0') AND (READ_DAILY.END_PER_DATE={ts '2015-05-15 00:00:00'})"/>
  </connection>
  <connection id="6" name="Query from A Readiness11" type="1" refreshedVersion="3" background="1" saveData="1">
    <dbPr connection="DRIVER=SQL Server;SERVER=10.2.1.2;UID=UllsAdmin;Trusted_Connection=Yes;APP=2007 Microsoft Office system;WSID=1-4AHBWS12" command="SELECT READ_DAILY.END_PER_DATE, READ_DAILY.UIC, READ_DAILY.EI_ID, READ_DAILY.DAY, READ_DAILY.FMC, READ_DAILY.PMCS, READ_DAILY.PMCM, READ_DAILY.NMCS, READ_DAILY.NMCM_DEP, READ_DAILY.NMCM_UNIT, READ_DAILY.FLY_HOURS, READ_DAILY.PER_DATE_x000d__x000a_FROM &quot;1-4AHB&quot;.dbo.READ_DAILY READ_DAILY_x000d__x000a_WHERE (READ_DAILY.UIC='WAFDC0') AND (READ_DAILY.END_PER_DATE={ts '2015-05-15 00:00:00'})"/>
  </connection>
  <connection id="7" name="Query from A Readiness2" type="1" refreshedVersion="3" background="1" saveData="1">
    <dbPr connection="DRIVER=SQL Server;SERVER=10.2.1.2;UID=UllsAdmin;Trusted_Connection=Yes;APP=2007 Microsoft Office system;WSID=1-4AHBWS12" command="SELECT READ_DAILY.END_PER_DATE, READ_DAILY.UIC, READ_DAILY.EI_ID, READ_DAILY.DAY, READ_DAILY.FMC, READ_DAILY.PMCS, READ_DAILY.PMCM, READ_DAILY.NMCS, READ_DAILY.NMCM_DEP, READ_DAILY.NMCM_UNIT, READ_DAILY.FLY_HOURS, READ_DAILY.PER_DATE_x000d__x000a_FROM &quot;1-4AHB&quot;.dbo.READ_DAILY READ_DAILY_x000d__x000a_WHERE (READ_DAILY.END_PER_DATE={ts '2015-05-15 00:00:00'})"/>
  </connection>
</connections>
</file>

<file path=xl/sharedStrings.xml><?xml version="1.0" encoding="utf-8"?>
<sst xmlns="http://schemas.openxmlformats.org/spreadsheetml/2006/main" count="16878" uniqueCount="506">
  <si>
    <t>Date</t>
  </si>
  <si>
    <t>Julian</t>
  </si>
  <si>
    <t>Tail</t>
  </si>
  <si>
    <t>MC</t>
  </si>
  <si>
    <t>RTL</t>
  </si>
  <si>
    <t>Config</t>
  </si>
  <si>
    <t>Hours</t>
  </si>
  <si>
    <t>Location</t>
  </si>
  <si>
    <t>Faults</t>
  </si>
  <si>
    <t>People / Plan / Parts</t>
  </si>
  <si>
    <t>TBO</t>
  </si>
  <si>
    <t>Down</t>
  </si>
  <si>
    <t>EID</t>
  </si>
  <si>
    <t>DUE</t>
  </si>
  <si>
    <t>ERD</t>
  </si>
  <si>
    <t>AH-64D</t>
  </si>
  <si>
    <t>FMC</t>
  </si>
  <si>
    <t>Y</t>
  </si>
  <si>
    <t xml:space="preserve"> </t>
  </si>
  <si>
    <t>BFT</t>
  </si>
  <si>
    <t>07-07042</t>
  </si>
  <si>
    <t>09-05582</t>
  </si>
  <si>
    <t>PMCM</t>
  </si>
  <si>
    <t>PMCS</t>
  </si>
  <si>
    <t>NMCM</t>
  </si>
  <si>
    <t>N</t>
  </si>
  <si>
    <t>NDI</t>
  </si>
  <si>
    <t>Last Mig</t>
  </si>
  <si>
    <t>1-4 ARB</t>
  </si>
  <si>
    <t>Today's Date:</t>
  </si>
  <si>
    <t>Phase Interval</t>
  </si>
  <si>
    <t>By Company</t>
  </si>
  <si>
    <t>By Battalion</t>
  </si>
  <si>
    <t>Last Update:</t>
  </si>
  <si>
    <t>Time:</t>
  </si>
  <si>
    <t>By:</t>
  </si>
  <si>
    <t>CW3 White</t>
  </si>
  <si>
    <t>Julian Date:</t>
  </si>
  <si>
    <t>Tail #</t>
  </si>
  <si>
    <t>Hours to Phase</t>
  </si>
  <si>
    <t>UNIT</t>
  </si>
  <si>
    <t>MDS</t>
  </si>
  <si>
    <t>SERIAL NUMBER</t>
  </si>
  <si>
    <t>BLK TYPE &amp; MSN EQPT</t>
  </si>
  <si>
    <t>ACFT HOURS</t>
  </si>
  <si>
    <t>ACFT STATUS</t>
  </si>
  <si>
    <t>FLT HRS</t>
  </si>
  <si>
    <t>HRS TO PHASE</t>
  </si>
  <si>
    <t>LOC</t>
  </si>
  <si>
    <t>DATE DOWN</t>
  </si>
  <si>
    <t>DATE MTF</t>
  </si>
  <si>
    <t>DAYS DOWN</t>
  </si>
  <si>
    <t>ECD</t>
  </si>
  <si>
    <t>REMARKS</t>
  </si>
  <si>
    <t>MONTHLY RATES</t>
  </si>
  <si>
    <t>PHASE DUE</t>
  </si>
  <si>
    <t>HRS AT PREV 15th</t>
  </si>
  <si>
    <t>OR RATE</t>
  </si>
  <si>
    <t>A CO</t>
  </si>
  <si>
    <t>99-05119</t>
  </si>
  <si>
    <t>Block I</t>
  </si>
  <si>
    <t>BAAF</t>
  </si>
  <si>
    <t>Intermittent Radar Altimeter Fail</t>
  </si>
  <si>
    <t>Block II</t>
  </si>
  <si>
    <t>XMSN Leaking at Case Half</t>
  </si>
  <si>
    <t>NMCS</t>
  </si>
  <si>
    <t>Blank</t>
  </si>
  <si>
    <t>TOTAL</t>
  </si>
  <si>
    <t>HOURS</t>
  </si>
  <si>
    <t>BANK</t>
  </si>
  <si>
    <t>B CO</t>
  </si>
  <si>
    <t>99-05112</t>
  </si>
  <si>
    <t>GUN Fail</t>
  </si>
  <si>
    <t>07-07045</t>
  </si>
  <si>
    <t>M/R Head Replacement</t>
  </si>
  <si>
    <t>09-05587</t>
  </si>
  <si>
    <t>09-05586</t>
  </si>
  <si>
    <t>MTF/MOC</t>
  </si>
  <si>
    <t>Post 125 MTF</t>
  </si>
  <si>
    <t>C CO</t>
  </si>
  <si>
    <t>99-05116</t>
  </si>
  <si>
    <t>07-07044</t>
  </si>
  <si>
    <t>T/R Blad Rep Req</t>
  </si>
  <si>
    <t>AH-64D SLANT</t>
  </si>
  <si>
    <t>Month FLT HRs</t>
  </si>
  <si>
    <t>BANK TIME</t>
  </si>
  <si>
    <t>OP TEMPO</t>
  </si>
  <si>
    <t>A</t>
  </si>
  <si>
    <t>B</t>
  </si>
  <si>
    <t>C</t>
  </si>
  <si>
    <t>1-4</t>
  </si>
  <si>
    <t>O/H====</t>
  </si>
  <si>
    <t>FMC====</t>
  </si>
  <si>
    <t>NMCM==</t>
  </si>
  <si>
    <t>NMCS==</t>
  </si>
  <si>
    <t>PMCM==</t>
  </si>
  <si>
    <t>PMCS==</t>
  </si>
  <si>
    <t>MTF===</t>
  </si>
  <si>
    <t>MC===</t>
  </si>
  <si>
    <t>TOTAL==</t>
  </si>
  <si>
    <t>FMC%==</t>
  </si>
  <si>
    <t>MC%==</t>
  </si>
  <si>
    <t>System Serial Number</t>
  </si>
  <si>
    <t>Subsystem</t>
  </si>
  <si>
    <t>Serial</t>
  </si>
  <si>
    <t>AV</t>
  </si>
  <si>
    <t>Payload</t>
  </si>
  <si>
    <t>EO</t>
  </si>
  <si>
    <t>IR</t>
  </si>
  <si>
    <t>GCS</t>
  </si>
  <si>
    <t>GDT</t>
  </si>
  <si>
    <t>TALS</t>
  </si>
  <si>
    <t>Launcher</t>
  </si>
  <si>
    <t>PGCS</t>
  </si>
  <si>
    <t>PGDT</t>
  </si>
  <si>
    <t>50 Hr</t>
  </si>
  <si>
    <t>125 Hr</t>
  </si>
  <si>
    <t>250 Hr</t>
  </si>
  <si>
    <t>500 Hr</t>
  </si>
  <si>
    <t>Monthly</t>
  </si>
  <si>
    <t>6 Month</t>
  </si>
  <si>
    <t>25 Launch</t>
  </si>
  <si>
    <t>50 Launch</t>
  </si>
  <si>
    <t>250 Launch</t>
  </si>
  <si>
    <t>500 Launch</t>
  </si>
  <si>
    <t>2408-17 Inv</t>
  </si>
  <si>
    <t>Date Down</t>
  </si>
  <si>
    <t>Inspections</t>
  </si>
  <si>
    <t>A/1-4 ARB</t>
  </si>
  <si>
    <t>C/1-4 ARB</t>
  </si>
  <si>
    <t>B/1-4 ARB</t>
  </si>
  <si>
    <t>1-4 ARB DAILY STATUS REPORT</t>
  </si>
  <si>
    <t>1-4 ARB UAS DAILY STATUS REPORT</t>
  </si>
  <si>
    <t>Launches</t>
  </si>
  <si>
    <t>MOC</t>
  </si>
  <si>
    <t>PMC</t>
  </si>
  <si>
    <t>NMC</t>
  </si>
  <si>
    <t>EI_ID</t>
  </si>
  <si>
    <t>SYS_CODE</t>
  </si>
  <si>
    <t>INSP_NO</t>
  </si>
  <si>
    <t>FRQ_TYPE</t>
  </si>
  <si>
    <t>INSP_DATE</t>
  </si>
  <si>
    <t>INSP_VAL</t>
  </si>
  <si>
    <t>DEL_FLAG</t>
  </si>
  <si>
    <t>EI_MODEL</t>
  </si>
  <si>
    <t>AH0742</t>
  </si>
  <si>
    <t>D</t>
  </si>
  <si>
    <t>H</t>
  </si>
  <si>
    <t>AH0260</t>
  </si>
  <si>
    <t>AH0719</t>
  </si>
  <si>
    <t>AH0732</t>
  </si>
  <si>
    <t>AH0738</t>
  </si>
  <si>
    <t>AH0739</t>
  </si>
  <si>
    <t>AH0745</t>
  </si>
  <si>
    <t>AH0747</t>
  </si>
  <si>
    <t>AH0755</t>
  </si>
  <si>
    <t>AH0756</t>
  </si>
  <si>
    <t>AH0760</t>
  </si>
  <si>
    <t>AH0840</t>
  </si>
  <si>
    <t>AH0842</t>
  </si>
  <si>
    <t>AH0853</t>
  </si>
  <si>
    <t>AH0042</t>
  </si>
  <si>
    <t>AH0404</t>
  </si>
  <si>
    <t>AH0417</t>
  </si>
  <si>
    <t>AH0008</t>
  </si>
  <si>
    <t>AH0059</t>
  </si>
  <si>
    <t>AH0648</t>
  </si>
  <si>
    <t>AH0744</t>
  </si>
  <si>
    <t>AH0752</t>
  </si>
  <si>
    <t>AH0773</t>
  </si>
  <si>
    <t>AH0774</t>
  </si>
  <si>
    <t>M</t>
  </si>
  <si>
    <t>E</t>
  </si>
  <si>
    <t>W</t>
  </si>
  <si>
    <t>Column Labels</t>
  </si>
  <si>
    <t>Grand Total</t>
  </si>
  <si>
    <t>Row Labels</t>
  </si>
  <si>
    <t>Max of INSP_VAL</t>
  </si>
  <si>
    <t>Max of INSP_DATE</t>
  </si>
  <si>
    <t>DAY</t>
  </si>
  <si>
    <t>NMCM_DEP</t>
  </si>
  <si>
    <t>NMCM_INT</t>
  </si>
  <si>
    <t>NMCM_UNIT</t>
  </si>
  <si>
    <t>FLY_HOURS</t>
  </si>
  <si>
    <t>LANDINGS</t>
  </si>
  <si>
    <t>AUTO</t>
  </si>
  <si>
    <t>PMCS_CODE</t>
  </si>
  <si>
    <t>PMCM_CODE</t>
  </si>
  <si>
    <t>REASON_NMC</t>
  </si>
  <si>
    <t>MNT_LVL</t>
  </si>
  <si>
    <t>DATE_DOWN</t>
  </si>
  <si>
    <t>DATE_MC</t>
  </si>
  <si>
    <t>TDY_LOC</t>
  </si>
  <si>
    <t>LOCATION</t>
  </si>
  <si>
    <t>NMC_REMARKS</t>
  </si>
  <si>
    <t>PER_DATE</t>
  </si>
  <si>
    <t>DATE_TIME_STAMP</t>
  </si>
  <si>
    <t>PID_STAMP</t>
  </si>
  <si>
    <t>UPDATE_FLAG</t>
  </si>
  <si>
    <t>LEVEL</t>
  </si>
  <si>
    <t>FAULT_EI_ID</t>
  </si>
  <si>
    <t>FAULT_EVENT_DATE</t>
  </si>
  <si>
    <t>FAULT_EVENT_NO</t>
  </si>
  <si>
    <t>FAULT_SYS_CODE</t>
  </si>
  <si>
    <t>FAULT_CLOSED</t>
  </si>
  <si>
    <t>FAULT_STATUS</t>
  </si>
  <si>
    <t>EI_STATUS</t>
  </si>
  <si>
    <t>UIC_TEMP</t>
  </si>
  <si>
    <t>EI_HRS</t>
  </si>
  <si>
    <t>LAST_MIGRATION_DT</t>
  </si>
  <si>
    <t>EI_SN</t>
  </si>
  <si>
    <t>PHASE_DUE</t>
  </si>
  <si>
    <t>PHASE_ID</t>
  </si>
  <si>
    <t>Readiness_Events</t>
  </si>
  <si>
    <t>Parts</t>
  </si>
  <si>
    <t>WorkOrders</t>
  </si>
  <si>
    <t>MOC_EVENT_DATE</t>
  </si>
  <si>
    <t>MOC_EVENT_NO</t>
  </si>
  <si>
    <t>MOC_CLOSED</t>
  </si>
  <si>
    <t>TEMP_XFR</t>
  </si>
  <si>
    <t>UIC_TEMP_XFR</t>
  </si>
  <si>
    <t>+</t>
  </si>
  <si>
    <t>0305365</t>
  </si>
  <si>
    <t>0205298</t>
  </si>
  <si>
    <t>9605008</t>
  </si>
  <si>
    <t>0905575</t>
  </si>
  <si>
    <t>X</t>
  </si>
  <si>
    <t>0707036</t>
  </si>
  <si>
    <t>0707042</t>
  </si>
  <si>
    <t>0707044</t>
  </si>
  <si>
    <t>0905595</t>
  </si>
  <si>
    <t>0905583</t>
  </si>
  <si>
    <t>0905598</t>
  </si>
  <si>
    <t>1005626</t>
  </si>
  <si>
    <t>0005187</t>
  </si>
  <si>
    <t>0305383</t>
  </si>
  <si>
    <t>9905141</t>
  </si>
  <si>
    <t>0705524</t>
  </si>
  <si>
    <t>0905585</t>
  </si>
  <si>
    <t>0707037</t>
  </si>
  <si>
    <t>WJYCB0</t>
  </si>
  <si>
    <t>0707039</t>
  </si>
  <si>
    <t>0707041</t>
  </si>
  <si>
    <t>0905582</t>
  </si>
  <si>
    <t>0807051</t>
  </si>
  <si>
    <t>0807052</t>
  </si>
  <si>
    <t>1005613</t>
  </si>
  <si>
    <t>1005615</t>
  </si>
  <si>
    <t>KFCS</t>
  </si>
  <si>
    <t>02-05298</t>
  </si>
  <si>
    <t>07-07036</t>
  </si>
  <si>
    <t>08-07051</t>
  </si>
  <si>
    <t>09-05583</t>
  </si>
  <si>
    <t>09-05585</t>
  </si>
  <si>
    <t>10-05613</t>
  </si>
  <si>
    <t>FCR Installation</t>
  </si>
  <si>
    <t>MTF for XMSN and Blade Removal</t>
  </si>
  <si>
    <t>T/R T&amp;B</t>
  </si>
  <si>
    <t>LTF</t>
  </si>
  <si>
    <t>585</t>
  </si>
  <si>
    <t xml:space="preserve">BUCS Check </t>
  </si>
  <si>
    <t>Hovering Flight Maneuvers</t>
  </si>
  <si>
    <t>044</t>
  </si>
  <si>
    <t>Alt Auto Req</t>
  </si>
  <si>
    <t>598</t>
  </si>
  <si>
    <t>524</t>
  </si>
  <si>
    <t>UR Installed</t>
  </si>
  <si>
    <t>037</t>
  </si>
  <si>
    <t>613</t>
  </si>
  <si>
    <t>626</t>
  </si>
  <si>
    <t>T&amp;B</t>
  </si>
  <si>
    <t>041</t>
  </si>
  <si>
    <t>615</t>
  </si>
  <si>
    <t>UR Removal</t>
  </si>
  <si>
    <t>187</t>
  </si>
  <si>
    <t>Phase</t>
  </si>
  <si>
    <t>141</t>
  </si>
  <si>
    <t>039</t>
  </si>
  <si>
    <t>Full GTF</t>
  </si>
  <si>
    <t>575</t>
  </si>
  <si>
    <t>UR Installation</t>
  </si>
  <si>
    <t>Configuration</t>
  </si>
  <si>
    <t>Ground Maint</t>
  </si>
  <si>
    <t>MTF</t>
  </si>
  <si>
    <t>Priority</t>
  </si>
  <si>
    <t>MTP</t>
  </si>
  <si>
    <t>White</t>
  </si>
  <si>
    <t>Burciaga</t>
  </si>
  <si>
    <t>Neal</t>
  </si>
  <si>
    <t>Fitzgerald</t>
  </si>
  <si>
    <t>N/A</t>
  </si>
  <si>
    <t>Sanchez</t>
  </si>
  <si>
    <t>Dickinson</t>
  </si>
  <si>
    <t>PI</t>
  </si>
  <si>
    <t>Periman</t>
  </si>
  <si>
    <t>Williams</t>
  </si>
  <si>
    <t>Croft</t>
  </si>
  <si>
    <t>Weber</t>
  </si>
  <si>
    <t>Sexhauer</t>
  </si>
  <si>
    <t>Stowe</t>
  </si>
  <si>
    <t>052</t>
  </si>
  <si>
    <t>07-05524</t>
  </si>
  <si>
    <t>07-07037</t>
  </si>
  <si>
    <t>07-07041</t>
  </si>
  <si>
    <t>09-05595</t>
  </si>
  <si>
    <t>09-05598</t>
  </si>
  <si>
    <t>10-05615</t>
  </si>
  <si>
    <t>10-05626</t>
  </si>
  <si>
    <t>00-05187</t>
  </si>
  <si>
    <t>03-05365</t>
  </si>
  <si>
    <t>03-05383</t>
  </si>
  <si>
    <t>07-07039</t>
  </si>
  <si>
    <t>08-07052</t>
  </si>
  <si>
    <t>09-05575</t>
  </si>
  <si>
    <t>96-05008</t>
  </si>
  <si>
    <t>99-05141</t>
  </si>
  <si>
    <t>BN</t>
  </si>
  <si>
    <t>A Co</t>
  </si>
  <si>
    <t>B Co</t>
  </si>
  <si>
    <t>C Co</t>
  </si>
  <si>
    <t>On Hand</t>
  </si>
  <si>
    <t xml:space="preserve"> Flight Hrs</t>
  </si>
  <si>
    <t>END_PER_DATE</t>
  </si>
  <si>
    <t>UIC</t>
  </si>
  <si>
    <t>WAFDA0</t>
  </si>
  <si>
    <t>WAFDB0</t>
  </si>
  <si>
    <t xml:space="preserve">500 Hour Phase </t>
  </si>
  <si>
    <t>F</t>
  </si>
  <si>
    <t>B6</t>
  </si>
  <si>
    <t xml:space="preserve">BLK II / </t>
  </si>
  <si>
    <t>Total</t>
  </si>
  <si>
    <t>Past</t>
  </si>
  <si>
    <t>WAFDC0</t>
  </si>
  <si>
    <t>BLK II /</t>
  </si>
  <si>
    <t>BLK I /</t>
  </si>
  <si>
    <t xml:space="preserve">BLK I / </t>
  </si>
  <si>
    <t>MTP, TBD</t>
  </si>
  <si>
    <t>Blade Replacement MTF</t>
  </si>
  <si>
    <t>PAE, Ongoing</t>
  </si>
  <si>
    <t>Daily Aircraft Available Status</t>
  </si>
  <si>
    <t>Monthly Reporting Status</t>
  </si>
  <si>
    <t>Bank Time</t>
  </si>
  <si>
    <t>TMDE</t>
  </si>
  <si>
    <t>POC: SSG Roberts, 526-1553</t>
  </si>
  <si>
    <t>In Shop (TMDE)</t>
  </si>
  <si>
    <t>Delinquent</t>
  </si>
  <si>
    <t>Awaiting Parts</t>
  </si>
  <si>
    <t>Available</t>
  </si>
  <si>
    <t>AGSE</t>
  </si>
  <si>
    <t>POC: SSG BARNT, 526-1553</t>
  </si>
  <si>
    <t>AGPU</t>
  </si>
  <si>
    <t>GANG</t>
  </si>
  <si>
    <t>SATS</t>
  </si>
  <si>
    <t>0172</t>
  </si>
  <si>
    <t>0181</t>
  </si>
  <si>
    <t>0318</t>
  </si>
  <si>
    <t>0286</t>
  </si>
  <si>
    <t>Tech Supply</t>
  </si>
  <si>
    <t>Total Lines</t>
  </si>
  <si>
    <t>Value</t>
  </si>
  <si>
    <t>Evac</t>
  </si>
  <si>
    <t>Awaiting P/U</t>
  </si>
  <si>
    <t>POC: CW2 Christie, 526-4584</t>
  </si>
  <si>
    <t>Available Lines</t>
  </si>
  <si>
    <t>Zero Balance Line</t>
  </si>
  <si>
    <t>Excess</t>
  </si>
  <si>
    <t>Bench Stock</t>
  </si>
  <si>
    <t>Shop Stock</t>
  </si>
  <si>
    <t>Lines</t>
  </si>
  <si>
    <t>ASE</t>
  </si>
  <si>
    <t>AAG</t>
  </si>
  <si>
    <t>SATCOM</t>
  </si>
  <si>
    <t>ROBI</t>
  </si>
  <si>
    <t>FCR/UR</t>
  </si>
  <si>
    <t>CADs</t>
  </si>
  <si>
    <t>Nomenclature</t>
  </si>
  <si>
    <t>DODIC</t>
  </si>
  <si>
    <t>Insp</t>
  </si>
  <si>
    <t>Due</t>
  </si>
  <si>
    <t>POC: SSG Ellis, 526-1553</t>
  </si>
  <si>
    <t>NIIN</t>
  </si>
  <si>
    <t>Doc #</t>
  </si>
  <si>
    <t>Status</t>
  </si>
  <si>
    <t>Performance Based Logistics (PBL) Requisitions</t>
  </si>
  <si>
    <t>External Work Orders</t>
  </si>
  <si>
    <t>POC: SFC Webb, 526-1553</t>
  </si>
  <si>
    <t>Work Order #</t>
  </si>
  <si>
    <t>Tail #/ End Item</t>
  </si>
  <si>
    <t>Open Date</t>
  </si>
  <si>
    <t>PAE / 404</t>
  </si>
  <si>
    <t>Days Open</t>
  </si>
  <si>
    <t>AH 036 Phase</t>
  </si>
  <si>
    <t>AH 042 Phase</t>
  </si>
  <si>
    <t>PAE</t>
  </si>
  <si>
    <t>Hours Flown</t>
  </si>
  <si>
    <t>* Red Line indicates 60% Bank Time</t>
  </si>
  <si>
    <t>Aircraft on Ground / Walk-Through Requisitions</t>
  </si>
  <si>
    <t>Days on Order</t>
  </si>
  <si>
    <t>XXXXXX</t>
  </si>
  <si>
    <t>A/C 500 HR Phase Inspection</t>
  </si>
  <si>
    <t>FCR Fails IBIT</t>
  </si>
  <si>
    <t>Lockheed Martin Reset Team</t>
  </si>
  <si>
    <t>Monthly Reporting</t>
  </si>
  <si>
    <t>Flight Hours</t>
  </si>
  <si>
    <t>MT30760</t>
  </si>
  <si>
    <t>MT30761</t>
  </si>
  <si>
    <t>MT30762</t>
  </si>
  <si>
    <t>Delay</t>
  </si>
  <si>
    <t>FCR</t>
  </si>
  <si>
    <t>UR</t>
  </si>
  <si>
    <t>None</t>
  </si>
  <si>
    <t>Extension</t>
  </si>
  <si>
    <t>No</t>
  </si>
  <si>
    <t>Y - 30D</t>
  </si>
  <si>
    <t>Y - 60D</t>
  </si>
  <si>
    <t>AVG Wait Time</t>
  </si>
  <si>
    <t>AVG Approval</t>
  </si>
  <si>
    <t>AVG Ship</t>
  </si>
  <si>
    <t>404, On-going</t>
  </si>
  <si>
    <t>SSA</t>
  </si>
  <si>
    <t>BDE</t>
  </si>
  <si>
    <t>G-8</t>
  </si>
  <si>
    <t>SOS</t>
  </si>
  <si>
    <t>Transit</t>
  </si>
  <si>
    <t>125 Hr - Awaiting ENG</t>
  </si>
  <si>
    <t>Comp</t>
  </si>
  <si>
    <t>Campbell</t>
  </si>
  <si>
    <t>B Co, Maint, Ongoing</t>
  </si>
  <si>
    <t>DOPPLER FAIL</t>
  </si>
  <si>
    <t>J</t>
  </si>
  <si>
    <t>ASE Not Installed</t>
  </si>
  <si>
    <t>OCT</t>
  </si>
  <si>
    <t>NOV</t>
  </si>
  <si>
    <t>DEC</t>
  </si>
  <si>
    <t>JAN</t>
  </si>
  <si>
    <t>MAR</t>
  </si>
  <si>
    <t>FEB</t>
  </si>
  <si>
    <t>APR</t>
  </si>
  <si>
    <t>JUN</t>
  </si>
  <si>
    <t>AUG</t>
  </si>
  <si>
    <t>JUL</t>
  </si>
  <si>
    <t>SEP</t>
  </si>
  <si>
    <t>Obligated</t>
  </si>
  <si>
    <t>Flown</t>
  </si>
  <si>
    <t>Cost/ Flight Hour</t>
  </si>
  <si>
    <t>2-4 GSAB (UIC: WDUVAA, DODAAC: W56VCZ)</t>
  </si>
  <si>
    <t>3-4 AHB (UIC: WJYAAA, DODAAC: W580LH)</t>
  </si>
  <si>
    <t>4-4 ARB (UIC: WJYBAA, DODAAC: W580ME)</t>
  </si>
  <si>
    <t>1-4 ARB (UIC: WAFDAA, DODAAC: W580KD)</t>
  </si>
  <si>
    <t>404 ASB (UIC: WJYCAA, DODAAC: W580JM)</t>
  </si>
  <si>
    <t>FY Total-to-Date</t>
  </si>
  <si>
    <t>Budgeted</t>
  </si>
  <si>
    <t>Remaining</t>
  </si>
  <si>
    <t>Subtotal</t>
  </si>
  <si>
    <t>AFDA03500029</t>
  </si>
  <si>
    <t>AFDS03500054</t>
  </si>
  <si>
    <t>db2b28ee-7574-489f-87d5-950ef860e68c</t>
  </si>
  <si>
    <t>XMSN REPLACEMENT</t>
  </si>
  <si>
    <t>FCR Fails IBIT - RF Receiver</t>
  </si>
  <si>
    <t>#2 ENG HORSESHOE MNT HARDWARE REPLACEMENT REQD</t>
  </si>
  <si>
    <t>Bank</t>
  </si>
  <si>
    <t>Goal</t>
  </si>
  <si>
    <t>Green</t>
  </si>
  <si>
    <t>Amber</t>
  </si>
  <si>
    <t>Red</t>
  </si>
  <si>
    <t>&gt; 75%</t>
  </si>
  <si>
    <t>&gt; 65%</t>
  </si>
  <si>
    <t>&lt; 10%</t>
  </si>
  <si>
    <t>&lt; 20%</t>
  </si>
  <si>
    <t>&gt; 20%</t>
  </si>
  <si>
    <t>&lt; 5%</t>
  </si>
  <si>
    <t>&lt;15%</t>
  </si>
  <si>
    <t>&gt; 15%</t>
  </si>
  <si>
    <t>&lt; 65%</t>
  </si>
  <si>
    <t>MSPU Red for M/R Smoothing</t>
  </si>
  <si>
    <t>Flange AOG, P+1</t>
  </si>
  <si>
    <t xml:space="preserve"> TAIL ROTOR PC LINK out of tolerance</t>
  </si>
  <si>
    <t>Maint, On-Going</t>
  </si>
  <si>
    <t>Cracked panels on #2 eng nacelle and porkchop panel</t>
  </si>
  <si>
    <t>404, Ongoing</t>
  </si>
  <si>
    <t>AFDD03500054</t>
  </si>
  <si>
    <t>AFDD03500055</t>
  </si>
  <si>
    <t>037 longeron crack</t>
  </si>
  <si>
    <t>404</t>
  </si>
  <si>
    <t>037 #2 eng panel crack</t>
  </si>
  <si>
    <t>Eng flush and Acft wash reqd</t>
  </si>
  <si>
    <t>A Co. ongoing</t>
  </si>
  <si>
    <t>#5 DRIVE SHAFT DAMPER HARDWARE FAILS TQ</t>
  </si>
  <si>
    <t>HYD LINES HAVE METAL-TO-METAL CONTACT</t>
  </si>
  <si>
    <t>Armt, Awaiting Parts</t>
  </si>
  <si>
    <t>Depot</t>
  </si>
  <si>
    <t>SHOPS - A Co. ongoing</t>
  </si>
  <si>
    <t>#2 ENG OIL LEAK @ SHUTDOWN</t>
  </si>
  <si>
    <t>MSPU FAIL</t>
  </si>
  <si>
    <t>B Co, maint complete</t>
  </si>
  <si>
    <t>ARMT troubleshooting</t>
  </si>
  <si>
    <t>C Co, 17 APR 15</t>
  </si>
  <si>
    <t>2ae5c36d-0fe3-45bf-9c20-4a1ad83f1a70</t>
  </si>
  <si>
    <t>A/C Reset - Ft. Campbell</t>
  </si>
  <si>
    <t>Center Pins on Order</t>
  </si>
  <si>
    <t>TR Track and Balance</t>
  </si>
  <si>
    <t>Complete</t>
  </si>
  <si>
    <t>PMCS  NMCM</t>
  </si>
  <si>
    <t>ACFT Weight and Balance Reqd</t>
  </si>
  <si>
    <t>1-4 QC @ 404</t>
  </si>
  <si>
    <t>125 hr. A Co. - 23 APR</t>
  </si>
</sst>
</file>

<file path=xl/styles.xml><?xml version="1.0" encoding="utf-8"?>
<styleSheet xmlns="http://schemas.openxmlformats.org/spreadsheetml/2006/main">
  <numFmts count="16">
    <numFmt numFmtId="164" formatCode="dd\-mmm\-yy\ h:mm"/>
    <numFmt numFmtId="165" formatCode="0.0"/>
    <numFmt numFmtId="166" formatCode="0000"/>
    <numFmt numFmtId="167" formatCode="mm\-dd"/>
    <numFmt numFmtId="168" formatCode="dd\-mmm\ h:mm"/>
    <numFmt numFmtId="169" formatCode="0.0%"/>
    <numFmt numFmtId="170" formatCode="[$-409]d\-mmm\-yy;@"/>
    <numFmt numFmtId="171" formatCode="dd\-mmm\ \ h:mm\ AM/PM;@"/>
    <numFmt numFmtId="172" formatCode="dd\-mmm\-yy"/>
    <numFmt numFmtId="173" formatCode="[$-409]d\-mmm;@"/>
    <numFmt numFmtId="174" formatCode="000"/>
    <numFmt numFmtId="175" formatCode="[$-409]d\-mmm\-yyyy;@"/>
    <numFmt numFmtId="176" formatCode="&quot;$&quot;#,##0"/>
    <numFmt numFmtId="177" formatCode="&quot;$&quot;#,##0.00"/>
    <numFmt numFmtId="178" formatCode="h:mm;@"/>
    <numFmt numFmtId="179" formatCode="[$-409]mmm\-yy;@"/>
  </numFmts>
  <fonts count="55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00610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36"/>
      <color indexed="8"/>
      <name val="Arial"/>
      <family val="2"/>
    </font>
    <font>
      <sz val="18"/>
      <name val="Arial"/>
      <family val="2"/>
    </font>
    <font>
      <sz val="20"/>
      <name val="Arial"/>
      <family val="2"/>
    </font>
    <font>
      <sz val="22"/>
      <name val="Arial"/>
      <family val="2"/>
    </font>
    <font>
      <sz val="28"/>
      <name val="Arial"/>
      <family val="2"/>
    </font>
    <font>
      <b/>
      <sz val="8.25"/>
      <name val="Arial"/>
      <family val="2"/>
    </font>
    <font>
      <sz val="18"/>
      <color indexed="8"/>
      <name val="Arial"/>
      <family val="2"/>
    </font>
    <font>
      <sz val="10"/>
      <color theme="0"/>
      <name val="Arial"/>
      <family val="2"/>
    </font>
    <font>
      <b/>
      <sz val="8.25"/>
      <color indexed="16"/>
      <name val="Arial"/>
      <family val="2"/>
    </font>
    <font>
      <sz val="18"/>
      <color theme="0"/>
      <name val="Arial"/>
      <family val="2"/>
    </font>
    <font>
      <b/>
      <sz val="20"/>
      <name val="Arial"/>
      <family val="2"/>
    </font>
    <font>
      <sz val="20"/>
      <color indexed="12"/>
      <name val="Arial"/>
      <family val="2"/>
    </font>
    <font>
      <sz val="20"/>
      <color rgb="FF008000"/>
      <name val="Arial"/>
      <family val="2"/>
    </font>
    <font>
      <sz val="18"/>
      <color rgb="FF0000FF"/>
      <name val="Arial"/>
      <family val="2"/>
    </font>
    <font>
      <sz val="18"/>
      <color rgb="FF008000"/>
      <name val="Arial"/>
      <family val="2"/>
    </font>
    <font>
      <b/>
      <sz val="24"/>
      <color indexed="81"/>
      <name val="Tahoma"/>
      <family val="2"/>
    </font>
    <font>
      <sz val="72"/>
      <color theme="1"/>
      <name val="Arial"/>
      <family val="2"/>
    </font>
    <font>
      <sz val="28"/>
      <color theme="1"/>
      <name val="Arial"/>
      <family val="2"/>
    </font>
    <font>
      <sz val="48"/>
      <color theme="1"/>
      <name val="Arial"/>
      <family val="2"/>
    </font>
    <font>
      <sz val="20"/>
      <color rgb="FF0070C0"/>
      <name val="Arial"/>
      <family val="2"/>
    </font>
    <font>
      <sz val="20"/>
      <color theme="1"/>
      <name val="Calibri"/>
      <family val="2"/>
      <scheme val="minor"/>
    </font>
    <font>
      <sz val="20"/>
      <color theme="1"/>
      <name val="Arial"/>
      <family val="2"/>
    </font>
    <font>
      <sz val="12"/>
      <color theme="1"/>
      <name val="Calibri"/>
      <family val="2"/>
      <scheme val="minor"/>
    </font>
    <font>
      <b/>
      <sz val="12"/>
      <name val="Arial"/>
      <family val="2"/>
    </font>
    <font>
      <b/>
      <sz val="10"/>
      <name val="Arial"/>
      <family val="2"/>
    </font>
    <font>
      <b/>
      <sz val="10"/>
      <color theme="1"/>
      <name val="Arial"/>
      <family val="2"/>
    </font>
    <font>
      <b/>
      <sz val="48"/>
      <color theme="0"/>
      <name val="Arial"/>
      <family val="2"/>
    </font>
    <font>
      <b/>
      <sz val="14"/>
      <color theme="0"/>
      <name val="Arial"/>
      <family val="2"/>
    </font>
    <font>
      <b/>
      <sz val="11"/>
      <color theme="1"/>
      <name val="Arial"/>
      <family val="2"/>
    </font>
    <font>
      <b/>
      <sz val="10"/>
      <color theme="0"/>
      <name val="Arial"/>
      <family val="2"/>
    </font>
    <font>
      <b/>
      <sz val="12"/>
      <color theme="1"/>
      <name val="Arial"/>
      <family val="2"/>
    </font>
    <font>
      <b/>
      <sz val="12"/>
      <color rgb="FFFF0000"/>
      <name val="Arial"/>
      <family val="2"/>
    </font>
    <font>
      <b/>
      <sz val="12"/>
      <color rgb="FF0070C0"/>
      <name val="Arial"/>
      <family val="2"/>
    </font>
    <font>
      <sz val="9"/>
      <name val="Calibri"/>
      <family val="2"/>
      <scheme val="minor"/>
    </font>
    <font>
      <sz val="9"/>
      <color theme="1"/>
      <name val="Calibri"/>
      <family val="2"/>
      <scheme val="minor"/>
    </font>
    <font>
      <b/>
      <u/>
      <sz val="12"/>
      <name val="Arial"/>
      <family val="2"/>
    </font>
    <font>
      <b/>
      <sz val="14"/>
      <name val="Arial"/>
      <family val="2"/>
    </font>
    <font>
      <b/>
      <sz val="16"/>
      <name val="Arial"/>
      <family val="2"/>
    </font>
    <font>
      <b/>
      <sz val="12"/>
      <color indexed="8"/>
      <name val="Arial"/>
      <family val="2"/>
    </font>
    <font>
      <sz val="12"/>
      <name val="Arial"/>
      <family val="2"/>
    </font>
    <font>
      <sz val="11"/>
      <color theme="1"/>
      <name val="Arial"/>
      <family val="2"/>
    </font>
    <font>
      <b/>
      <sz val="11"/>
      <name val="Arial"/>
      <family val="2"/>
    </font>
    <font>
      <b/>
      <sz val="8"/>
      <name val="Arial"/>
      <family val="2"/>
    </font>
    <font>
      <sz val="9"/>
      <color theme="0"/>
      <name val="Calibri"/>
      <family val="2"/>
      <scheme val="minor"/>
    </font>
    <font>
      <sz val="11"/>
      <color theme="1"/>
      <name val="Arial 18"/>
    </font>
    <font>
      <b/>
      <sz val="18"/>
      <color theme="1"/>
      <name val="Arial"/>
      <family val="2"/>
    </font>
    <font>
      <sz val="20"/>
      <color indexed="8"/>
      <name val="Arial"/>
      <family val="2"/>
    </font>
    <font>
      <b/>
      <sz val="20"/>
      <color theme="1"/>
      <name val="Arial"/>
      <family val="2"/>
    </font>
    <font>
      <sz val="20"/>
      <color rgb="FF0000FF"/>
      <name val="Arial"/>
      <family val="2"/>
    </font>
    <font>
      <sz val="30"/>
      <color rgb="FF000000"/>
      <name val="Arial"/>
      <family val="2"/>
    </font>
    <font>
      <sz val="11"/>
      <color rgb="FF000000"/>
      <name val="Calibri"/>
      <family val="2"/>
      <scheme val="minor"/>
    </font>
  </fonts>
  <fills count="20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C0C0C0"/>
        <bgColor indexed="64"/>
      </patternFill>
    </fill>
    <fill>
      <patternFill patternType="solid">
        <fgColor indexed="9"/>
        <bgColor indexed="55"/>
      </patternFill>
    </fill>
    <fill>
      <patternFill patternType="solid">
        <fgColor theme="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/>
        <bgColor indexed="55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990000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1" tint="0.14999847407452621"/>
        <bgColor indexed="64"/>
      </patternFill>
    </fill>
  </fills>
  <borders count="143">
    <border>
      <left/>
      <right/>
      <top/>
      <bottom/>
      <diagonal/>
    </border>
    <border>
      <left/>
      <right/>
      <top style="thick">
        <color indexed="64"/>
      </top>
      <bottom/>
      <diagonal/>
    </border>
    <border>
      <left/>
      <right style="thick">
        <color indexed="64"/>
      </right>
      <top style="thick">
        <color indexed="64"/>
      </top>
      <bottom/>
      <diagonal/>
    </border>
    <border>
      <left/>
      <right style="thick">
        <color indexed="64"/>
      </right>
      <top/>
      <bottom/>
      <diagonal/>
    </border>
    <border>
      <left/>
      <right/>
      <top/>
      <bottom style="thick">
        <color indexed="64"/>
      </bottom>
      <diagonal/>
    </border>
    <border>
      <left style="thin">
        <color indexed="64"/>
      </left>
      <right style="thin">
        <color indexed="64"/>
      </right>
      <top style="thick">
        <color indexed="64"/>
      </top>
      <bottom/>
      <diagonal/>
    </border>
    <border>
      <left style="thin">
        <color indexed="64"/>
      </left>
      <right style="thin">
        <color indexed="64"/>
      </right>
      <top style="thick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ck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9"/>
      </left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indexed="9"/>
      </left>
      <right/>
      <top style="thin">
        <color indexed="64"/>
      </top>
      <bottom/>
      <diagonal/>
    </border>
    <border>
      <left/>
      <right style="thick">
        <color indexed="64"/>
      </right>
      <top style="thin">
        <color indexed="64"/>
      </top>
      <bottom/>
      <diagonal/>
    </border>
    <border>
      <left/>
      <right style="thick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ck">
        <color indexed="64"/>
      </left>
      <right/>
      <top style="thick">
        <color indexed="64"/>
      </top>
      <bottom style="thick">
        <color indexed="64"/>
      </bottom>
      <diagonal/>
    </border>
    <border>
      <left/>
      <right/>
      <top style="thick">
        <color indexed="64"/>
      </top>
      <bottom style="thick">
        <color indexed="64"/>
      </bottom>
      <diagonal/>
    </border>
    <border>
      <left/>
      <right style="thick">
        <color indexed="64"/>
      </right>
      <top style="thick">
        <color indexed="64"/>
      </top>
      <bottom style="thick">
        <color indexed="64"/>
      </bottom>
      <diagonal/>
    </border>
    <border>
      <left/>
      <right style="thin">
        <color indexed="64"/>
      </right>
      <top style="thick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ck">
        <color indexed="64"/>
      </bottom>
      <diagonal/>
    </border>
    <border>
      <left style="thin">
        <color indexed="64"/>
      </left>
      <right style="thick">
        <color indexed="64"/>
      </right>
      <top/>
      <bottom style="thick">
        <color indexed="64"/>
      </bottom>
      <diagonal/>
    </border>
    <border>
      <left/>
      <right style="thin">
        <color indexed="64"/>
      </right>
      <top/>
      <bottom style="thick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thin">
        <color auto="1"/>
      </left>
      <right/>
      <top style="thick">
        <color auto="1"/>
      </top>
      <bottom/>
      <diagonal/>
    </border>
    <border>
      <left style="thin">
        <color auto="1"/>
      </left>
      <right/>
      <top/>
      <bottom style="thick">
        <color auto="1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auto="1"/>
      </left>
      <right style="thin">
        <color auto="1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/>
      <bottom/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thick">
        <color auto="1"/>
      </left>
      <right style="thin">
        <color auto="1"/>
      </right>
      <top style="thick">
        <color auto="1"/>
      </top>
      <bottom style="thin">
        <color auto="1"/>
      </bottom>
      <diagonal/>
    </border>
    <border>
      <left style="thick">
        <color auto="1"/>
      </left>
      <right style="thin">
        <color auto="1"/>
      </right>
      <top style="thin">
        <color auto="1"/>
      </top>
      <bottom style="thick">
        <color auto="1"/>
      </bottom>
      <diagonal/>
    </border>
    <border>
      <left style="thin">
        <color indexed="64"/>
      </left>
      <right style="thick">
        <color indexed="64"/>
      </right>
      <top style="thick">
        <color indexed="64"/>
      </top>
      <bottom style="thin">
        <color indexed="64"/>
      </bottom>
      <diagonal/>
    </border>
    <border>
      <left style="thin">
        <color indexed="64"/>
      </left>
      <right style="thick">
        <color indexed="64"/>
      </right>
      <top style="thin">
        <color indexed="64"/>
      </top>
      <bottom style="thick">
        <color indexed="64"/>
      </bottom>
      <diagonal/>
    </border>
    <border>
      <left/>
      <right style="thick">
        <color indexed="64"/>
      </right>
      <top/>
      <bottom style="medium">
        <color indexed="64"/>
      </bottom>
      <diagonal/>
    </border>
    <border>
      <left/>
      <right style="thick">
        <color auto="1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ck">
        <color indexed="64"/>
      </right>
      <top style="medium">
        <color indexed="64"/>
      </top>
      <bottom/>
      <diagonal/>
    </border>
    <border>
      <left style="thin">
        <color indexed="64"/>
      </left>
      <right style="thick">
        <color indexed="64"/>
      </right>
      <top/>
      <bottom style="thin">
        <color indexed="64"/>
      </bottom>
      <diagonal/>
    </border>
    <border>
      <left style="thin">
        <color indexed="64"/>
      </left>
      <right style="thick">
        <color indexed="64"/>
      </right>
      <top style="thin">
        <color indexed="64"/>
      </top>
      <bottom/>
      <diagonal/>
    </border>
    <border>
      <left style="thin">
        <color indexed="64"/>
      </left>
      <right style="thick">
        <color indexed="64"/>
      </right>
      <top/>
      <bottom style="medium">
        <color indexed="64"/>
      </bottom>
      <diagonal/>
    </border>
    <border>
      <left/>
      <right style="thin">
        <color indexed="64"/>
      </right>
      <top style="thick">
        <color indexed="64"/>
      </top>
      <bottom style="thick">
        <color indexed="64"/>
      </bottom>
      <diagonal/>
    </border>
    <border>
      <left style="thin">
        <color auto="1"/>
      </left>
      <right/>
      <top style="thick">
        <color auto="1"/>
      </top>
      <bottom style="thick">
        <color indexed="64"/>
      </bottom>
      <diagonal/>
    </border>
    <border>
      <left/>
      <right style="thin">
        <color indexed="64"/>
      </right>
      <top style="thick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ck">
        <color indexed="64"/>
      </bottom>
      <diagonal/>
    </border>
    <border>
      <left style="thick">
        <color indexed="64"/>
      </left>
      <right style="medium">
        <color indexed="64"/>
      </right>
      <top style="thick">
        <color indexed="64"/>
      </top>
      <bottom/>
      <diagonal/>
    </border>
    <border>
      <left style="thick">
        <color indexed="64"/>
      </left>
      <right style="medium">
        <color indexed="64"/>
      </right>
      <top/>
      <bottom/>
      <diagonal/>
    </border>
    <border>
      <left style="thick">
        <color indexed="64"/>
      </left>
      <right style="medium">
        <color indexed="64"/>
      </right>
      <top/>
      <bottom style="thick">
        <color indexed="64"/>
      </bottom>
      <diagonal/>
    </border>
    <border>
      <left style="thin">
        <color auto="1"/>
      </left>
      <right/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thin">
        <color indexed="9"/>
      </left>
      <right/>
      <top/>
      <bottom style="medium">
        <color indexed="64"/>
      </bottom>
      <diagonal/>
    </border>
    <border>
      <left style="thick">
        <color indexed="64"/>
      </left>
      <right/>
      <top style="thick">
        <color indexed="64"/>
      </top>
      <bottom style="medium">
        <color indexed="64"/>
      </bottom>
      <diagonal/>
    </border>
    <border>
      <left/>
      <right/>
      <top style="thick">
        <color indexed="64"/>
      </top>
      <bottom style="medium">
        <color indexed="64"/>
      </bottom>
      <diagonal/>
    </border>
    <border>
      <left/>
      <right style="thick">
        <color indexed="64"/>
      </right>
      <top style="thick">
        <color indexed="64"/>
      </top>
      <bottom style="medium">
        <color indexed="64"/>
      </bottom>
      <diagonal/>
    </border>
    <border>
      <left style="thick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thick">
        <color indexed="64"/>
      </right>
      <top style="medium">
        <color indexed="64"/>
      </top>
      <bottom/>
      <diagonal/>
    </border>
    <border>
      <left/>
      <right style="thick">
        <color indexed="64"/>
      </right>
      <top/>
      <bottom style="thick">
        <color indexed="64"/>
      </bottom>
      <diagonal/>
    </border>
    <border>
      <left style="thick">
        <color indexed="64"/>
      </left>
      <right style="thick">
        <color indexed="64"/>
      </right>
      <top style="thick">
        <color indexed="64"/>
      </top>
      <bottom style="thick">
        <color indexed="64"/>
      </bottom>
      <diagonal/>
    </border>
    <border>
      <left style="thick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ck">
        <color indexed="64"/>
      </right>
      <top style="thin">
        <color indexed="64"/>
      </top>
      <bottom style="thin">
        <color indexed="64"/>
      </bottom>
      <diagonal/>
    </border>
    <border>
      <left style="thick">
        <color indexed="64"/>
      </left>
      <right style="thin">
        <color indexed="64"/>
      </right>
      <top/>
      <bottom style="thin">
        <color indexed="64"/>
      </bottom>
      <diagonal/>
    </border>
    <border>
      <left style="thick">
        <color auto="1"/>
      </left>
      <right style="thin">
        <color auto="1"/>
      </right>
      <top style="thick">
        <color auto="1"/>
      </top>
      <bottom style="thick">
        <color auto="1"/>
      </bottom>
      <diagonal/>
    </border>
    <border>
      <left style="thin">
        <color auto="1"/>
      </left>
      <right style="thin">
        <color auto="1"/>
      </right>
      <top style="thick">
        <color auto="1"/>
      </top>
      <bottom style="thick">
        <color auto="1"/>
      </bottom>
      <diagonal/>
    </border>
    <border>
      <left style="thin">
        <color auto="1"/>
      </left>
      <right style="thick">
        <color indexed="64"/>
      </right>
      <top style="thick">
        <color auto="1"/>
      </top>
      <bottom style="thick">
        <color auto="1"/>
      </bottom>
      <diagonal/>
    </border>
    <border>
      <left style="thin">
        <color indexed="64"/>
      </left>
      <right/>
      <top style="thin">
        <color indexed="64"/>
      </top>
      <bottom style="thick">
        <color indexed="64"/>
      </bottom>
      <diagonal/>
    </border>
    <border>
      <left style="thick">
        <color auto="1"/>
      </left>
      <right style="thin">
        <color auto="1"/>
      </right>
      <top/>
      <bottom/>
      <diagonal/>
    </border>
    <border>
      <left style="thin">
        <color indexed="64"/>
      </left>
      <right style="thick">
        <color indexed="64"/>
      </right>
      <top/>
      <bottom/>
      <diagonal/>
    </border>
    <border>
      <left style="thick">
        <color indexed="64"/>
      </left>
      <right/>
      <top style="medium">
        <color indexed="64"/>
      </top>
      <bottom/>
      <diagonal/>
    </border>
    <border>
      <left style="thick">
        <color indexed="64"/>
      </left>
      <right/>
      <top/>
      <bottom/>
      <diagonal/>
    </border>
    <border>
      <left/>
      <right style="thick">
        <color indexed="64"/>
      </right>
      <top style="thin">
        <color indexed="64"/>
      </top>
      <bottom style="thick">
        <color indexed="64"/>
      </bottom>
      <diagonal/>
    </border>
    <border>
      <left style="thin">
        <color indexed="64"/>
      </left>
      <right style="thick">
        <color indexed="64"/>
      </right>
      <top style="thick">
        <color indexed="64"/>
      </top>
      <bottom/>
      <diagonal/>
    </border>
    <border>
      <left style="thick">
        <color auto="1"/>
      </left>
      <right style="thin">
        <color auto="1"/>
      </right>
      <top style="thick">
        <color auto="1"/>
      </top>
      <bottom/>
      <diagonal/>
    </border>
    <border>
      <left style="thick">
        <color indexed="64"/>
      </left>
      <right/>
      <top/>
      <bottom style="thick">
        <color indexed="64"/>
      </bottom>
      <diagonal/>
    </border>
    <border>
      <left style="thick">
        <color auto="1"/>
      </left>
      <right style="thin">
        <color indexed="64"/>
      </right>
      <top style="medium">
        <color indexed="64"/>
      </top>
      <bottom/>
      <diagonal/>
    </border>
    <border>
      <left style="thick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ck">
        <color indexed="64"/>
      </left>
      <right style="thin">
        <color indexed="64"/>
      </right>
      <top/>
      <bottom style="thick">
        <color indexed="64"/>
      </bottom>
      <diagonal/>
    </border>
    <border>
      <left style="thin">
        <color indexed="64"/>
      </left>
      <right style="thick">
        <color indexed="64"/>
      </right>
      <top style="thin">
        <color indexed="64"/>
      </top>
      <bottom style="medium">
        <color indexed="64"/>
      </bottom>
      <diagonal/>
    </border>
    <border>
      <left style="thick">
        <color auto="1"/>
      </left>
      <right/>
      <top style="thick">
        <color auto="1"/>
      </top>
      <bottom/>
      <diagonal/>
    </border>
    <border>
      <left style="thick">
        <color auto="1"/>
      </left>
      <right/>
      <top/>
      <bottom style="medium">
        <color indexed="64"/>
      </bottom>
      <diagonal/>
    </border>
    <border>
      <left style="thick">
        <color auto="1"/>
      </left>
      <right style="thin">
        <color indexed="64"/>
      </right>
      <top style="thin">
        <color indexed="64"/>
      </top>
      <bottom/>
      <diagonal/>
    </border>
    <border>
      <left style="thick">
        <color auto="1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ck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auto="1"/>
      </left>
      <right/>
      <top style="thick">
        <color auto="1"/>
      </top>
      <bottom style="medium">
        <color auto="1"/>
      </bottom>
      <diagonal/>
    </border>
    <border>
      <left style="thin">
        <color auto="1"/>
      </left>
      <right style="thick">
        <color indexed="64"/>
      </right>
      <top style="medium">
        <color indexed="64"/>
      </top>
      <bottom style="medium">
        <color auto="1"/>
      </bottom>
      <diagonal/>
    </border>
    <border>
      <left style="thick">
        <color indexed="64"/>
      </left>
      <right/>
      <top style="thick">
        <color indexed="64"/>
      </top>
      <bottom style="thin">
        <color indexed="64"/>
      </bottom>
      <diagonal/>
    </border>
    <border>
      <left style="thick">
        <color indexed="64"/>
      </left>
      <right/>
      <top style="thin">
        <color indexed="64"/>
      </top>
      <bottom style="thin">
        <color indexed="64"/>
      </bottom>
      <diagonal/>
    </border>
    <border>
      <left style="thick">
        <color indexed="64"/>
      </left>
      <right/>
      <top style="thin">
        <color indexed="64"/>
      </top>
      <bottom style="thick">
        <color indexed="64"/>
      </bottom>
      <diagonal/>
    </border>
    <border>
      <left style="thin">
        <color indexed="9"/>
      </left>
      <right/>
      <top style="thin">
        <color indexed="9"/>
      </top>
      <bottom/>
      <diagonal/>
    </border>
    <border>
      <left/>
      <right/>
      <top style="thin">
        <color indexed="9"/>
      </top>
      <bottom/>
      <diagonal/>
    </border>
  </borders>
  <cellStyleXfs count="5">
    <xf numFmtId="173" fontId="0" fillId="0" borderId="0"/>
    <xf numFmtId="173" fontId="1" fillId="0" borderId="0"/>
    <xf numFmtId="173" fontId="2" fillId="2" borderId="0" applyNumberFormat="0" applyBorder="0" applyAlignment="0" applyProtection="0"/>
    <xf numFmtId="173" fontId="1" fillId="0" borderId="0"/>
    <xf numFmtId="175" fontId="1" fillId="0" borderId="0"/>
  </cellStyleXfs>
  <cellXfs count="864">
    <xf numFmtId="173" fontId="0" fillId="0" borderId="0" xfId="0"/>
    <xf numFmtId="1" fontId="18" fillId="6" borderId="40" xfId="1" applyNumberFormat="1" applyFont="1" applyFill="1" applyBorder="1" applyAlignment="1" applyProtection="1">
      <alignment horizontal="center" vertical="center"/>
    </xf>
    <xf numFmtId="173" fontId="28" fillId="10" borderId="54" xfId="0" applyNumberFormat="1" applyFont="1" applyFill="1" applyBorder="1" applyAlignment="1">
      <alignment vertical="center" wrapText="1"/>
    </xf>
    <xf numFmtId="173" fontId="29" fillId="10" borderId="34" xfId="0" applyNumberFormat="1" applyFont="1" applyFill="1" applyBorder="1" applyAlignment="1">
      <alignment vertical="center" wrapText="1"/>
    </xf>
    <xf numFmtId="173" fontId="31" fillId="10" borderId="34" xfId="0" applyNumberFormat="1" applyFont="1" applyFill="1" applyBorder="1" applyAlignment="1">
      <alignment horizontal="left" vertical="center" wrapText="1"/>
    </xf>
    <xf numFmtId="173" fontId="31" fillId="10" borderId="55" xfId="0" applyNumberFormat="1" applyFont="1" applyFill="1" applyBorder="1" applyAlignment="1">
      <alignment horizontal="left" vertical="center" wrapText="1"/>
    </xf>
    <xf numFmtId="1" fontId="29" fillId="0" borderId="0" xfId="0" applyNumberFormat="1" applyFont="1" applyFill="1" applyAlignment="1">
      <alignment vertical="center" wrapText="1"/>
    </xf>
    <xf numFmtId="173" fontId="29" fillId="0" borderId="0" xfId="0" applyNumberFormat="1" applyFont="1" applyFill="1" applyAlignment="1">
      <alignment vertical="center" wrapText="1"/>
    </xf>
    <xf numFmtId="173" fontId="32" fillId="0" borderId="0" xfId="0" applyNumberFormat="1" applyFont="1" applyFill="1" applyAlignment="1">
      <alignment vertical="center" wrapText="1"/>
    </xf>
    <xf numFmtId="2" fontId="32" fillId="0" borderId="0" xfId="0" applyNumberFormat="1" applyFont="1" applyFill="1" applyAlignment="1">
      <alignment vertical="center" wrapText="1"/>
    </xf>
    <xf numFmtId="173" fontId="28" fillId="10" borderId="31" xfId="0" applyNumberFormat="1" applyFont="1" applyFill="1" applyBorder="1" applyAlignment="1">
      <alignment vertical="center" wrapText="1"/>
    </xf>
    <xf numFmtId="173" fontId="29" fillId="10" borderId="0" xfId="0" applyNumberFormat="1" applyFont="1" applyFill="1" applyBorder="1" applyAlignment="1">
      <alignment vertical="center" wrapText="1"/>
    </xf>
    <xf numFmtId="173" fontId="31" fillId="10" borderId="0" xfId="0" applyNumberFormat="1" applyFont="1" applyFill="1" applyBorder="1" applyAlignment="1">
      <alignment horizontal="left" vertical="center" wrapText="1"/>
    </xf>
    <xf numFmtId="173" fontId="31" fillId="10" borderId="40" xfId="0" applyNumberFormat="1" applyFont="1" applyFill="1" applyBorder="1" applyAlignment="1">
      <alignment horizontal="left" vertical="center" wrapText="1"/>
    </xf>
    <xf numFmtId="173" fontId="33" fillId="10" borderId="65" xfId="0" applyNumberFormat="1" applyFont="1" applyFill="1" applyBorder="1" applyAlignment="1">
      <alignment horizontal="center" vertical="center" wrapText="1"/>
    </xf>
    <xf numFmtId="173" fontId="33" fillId="10" borderId="11" xfId="0" applyNumberFormat="1" applyFont="1" applyFill="1" applyBorder="1" applyAlignment="1">
      <alignment horizontal="center" vertical="center" wrapText="1"/>
    </xf>
    <xf numFmtId="173" fontId="31" fillId="10" borderId="11" xfId="0" applyNumberFormat="1" applyFont="1" applyFill="1" applyBorder="1" applyAlignment="1">
      <alignment horizontal="left" vertical="center" wrapText="1"/>
    </xf>
    <xf numFmtId="173" fontId="27" fillId="0" borderId="0" xfId="0" applyNumberFormat="1" applyFont="1" applyFill="1" applyAlignment="1">
      <alignment vertical="center" wrapText="1"/>
    </xf>
    <xf numFmtId="49" fontId="32" fillId="0" borderId="0" xfId="0" applyNumberFormat="1" applyFont="1" applyFill="1" applyAlignment="1">
      <alignment vertical="center" wrapText="1"/>
    </xf>
    <xf numFmtId="173" fontId="27" fillId="0" borderId="36" xfId="0" applyNumberFormat="1" applyFont="1" applyFill="1" applyBorder="1" applyAlignment="1">
      <alignment horizontal="center" vertical="center" wrapText="1"/>
    </xf>
    <xf numFmtId="1" fontId="28" fillId="0" borderId="0" xfId="0" applyNumberFormat="1" applyFont="1" applyFill="1" applyAlignment="1">
      <alignment horizontal="center" vertical="center" wrapText="1"/>
    </xf>
    <xf numFmtId="173" fontId="28" fillId="0" borderId="0" xfId="0" applyNumberFormat="1" applyFont="1" applyFill="1" applyAlignment="1">
      <alignment horizontal="center" vertical="center" wrapText="1"/>
    </xf>
    <xf numFmtId="2" fontId="27" fillId="0" borderId="0" xfId="0" applyNumberFormat="1" applyFont="1" applyFill="1" applyAlignment="1">
      <alignment vertical="center" wrapText="1"/>
    </xf>
    <xf numFmtId="173" fontId="27" fillId="0" borderId="50" xfId="0" applyNumberFormat="1" applyFont="1" applyFill="1" applyBorder="1" applyAlignment="1">
      <alignment horizontal="center" vertical="center" wrapText="1"/>
    </xf>
    <xf numFmtId="2" fontId="27" fillId="0" borderId="0" xfId="0" applyNumberFormat="1" applyFont="1" applyFill="1" applyAlignment="1">
      <alignment horizontal="center" vertical="center" wrapText="1"/>
    </xf>
    <xf numFmtId="165" fontId="27" fillId="0" borderId="0" xfId="0" applyNumberFormat="1" applyFont="1" applyFill="1" applyAlignment="1">
      <alignment vertical="center" wrapText="1"/>
    </xf>
    <xf numFmtId="1" fontId="27" fillId="0" borderId="0" xfId="0" applyNumberFormat="1" applyFont="1" applyFill="1" applyAlignment="1">
      <alignment vertical="center" wrapText="1"/>
    </xf>
    <xf numFmtId="173" fontId="34" fillId="0" borderId="9" xfId="0" applyNumberFormat="1" applyFont="1" applyFill="1" applyBorder="1" applyAlignment="1" applyProtection="1">
      <alignment horizontal="center" vertical="center"/>
      <protection locked="0"/>
    </xf>
    <xf numFmtId="49" fontId="27" fillId="0" borderId="48" xfId="0" applyNumberFormat="1" applyFont="1" applyFill="1" applyBorder="1" applyAlignment="1" applyProtection="1">
      <alignment horizontal="center" vertical="center" wrapText="1"/>
      <protection locked="0"/>
    </xf>
    <xf numFmtId="165" fontId="27" fillId="0" borderId="48" xfId="0" applyNumberFormat="1" applyFont="1" applyFill="1" applyBorder="1" applyAlignment="1" applyProtection="1">
      <alignment horizontal="center" vertical="center" wrapText="1"/>
      <protection locked="0"/>
    </xf>
    <xf numFmtId="165" fontId="27" fillId="0" borderId="18" xfId="0" applyNumberFormat="1" applyFont="1" applyFill="1" applyBorder="1" applyAlignment="1" applyProtection="1">
      <alignment horizontal="center" vertical="center" wrapText="1"/>
    </xf>
    <xf numFmtId="165" fontId="27" fillId="0" borderId="9" xfId="0" applyNumberFormat="1" applyFont="1" applyFill="1" applyBorder="1" applyAlignment="1" applyProtection="1">
      <alignment horizontal="center" vertical="center" wrapText="1"/>
    </xf>
    <xf numFmtId="173" fontId="35" fillId="0" borderId="48" xfId="0" applyNumberFormat="1" applyFont="1" applyFill="1" applyBorder="1" applyAlignment="1" applyProtection="1">
      <alignment horizontal="center" vertical="center" wrapText="1"/>
      <protection locked="0"/>
    </xf>
    <xf numFmtId="173" fontId="36" fillId="0" borderId="9" xfId="0" applyNumberFormat="1" applyFont="1" applyFill="1" applyBorder="1" applyAlignment="1" applyProtection="1">
      <alignment horizontal="center" vertical="center" wrapText="1"/>
      <protection locked="0"/>
    </xf>
    <xf numFmtId="1" fontId="35" fillId="0" borderId="48" xfId="0" applyNumberFormat="1" applyFont="1" applyFill="1" applyBorder="1" applyAlignment="1" applyProtection="1">
      <alignment horizontal="center" vertical="center" wrapText="1"/>
    </xf>
    <xf numFmtId="173" fontId="27" fillId="0" borderId="9" xfId="0" applyNumberFormat="1" applyFont="1" applyFill="1" applyBorder="1" applyAlignment="1" applyProtection="1">
      <alignment horizontal="center" vertical="center" wrapText="1"/>
      <protection locked="0"/>
    </xf>
    <xf numFmtId="173" fontId="27" fillId="0" borderId="33" xfId="3" applyNumberFormat="1" applyFont="1" applyFill="1" applyBorder="1" applyAlignment="1" applyProtection="1">
      <alignment horizontal="center" vertical="center"/>
    </xf>
    <xf numFmtId="1" fontId="27" fillId="0" borderId="48" xfId="3" applyNumberFormat="1" applyFont="1" applyFill="1" applyBorder="1" applyAlignment="1" applyProtection="1">
      <alignment horizontal="center" vertical="center"/>
      <protection locked="0"/>
    </xf>
    <xf numFmtId="169" fontId="27" fillId="0" borderId="32" xfId="3" applyNumberFormat="1" applyFont="1" applyFill="1" applyBorder="1" applyAlignment="1" applyProtection="1">
      <alignment horizontal="center" vertical="center"/>
    </xf>
    <xf numFmtId="49" fontId="34" fillId="12" borderId="9" xfId="0" applyNumberFormat="1" applyFont="1" applyFill="1" applyBorder="1" applyAlignment="1">
      <alignment horizontal="center" vertical="center"/>
    </xf>
    <xf numFmtId="173" fontId="37" fillId="0" borderId="9" xfId="0" applyNumberFormat="1" applyFont="1" applyBorder="1" applyAlignment="1">
      <alignment horizontal="center"/>
    </xf>
    <xf numFmtId="2" fontId="37" fillId="0" borderId="9" xfId="0" applyNumberFormat="1" applyFont="1" applyBorder="1" applyAlignment="1">
      <alignment horizontal="center"/>
    </xf>
    <xf numFmtId="2" fontId="38" fillId="0" borderId="9" xfId="0" applyNumberFormat="1" applyFont="1" applyBorder="1" applyAlignment="1">
      <alignment horizontal="center"/>
    </xf>
    <xf numFmtId="173" fontId="34" fillId="0" borderId="0" xfId="0" applyNumberFormat="1" applyFont="1" applyFill="1" applyAlignment="1" applyProtection="1">
      <alignment horizontal="center" vertical="center"/>
      <protection locked="0"/>
    </xf>
    <xf numFmtId="49" fontId="27" fillId="0" borderId="9" xfId="0" applyNumberFormat="1" applyFont="1" applyFill="1" applyBorder="1" applyAlignment="1" applyProtection="1">
      <alignment horizontal="center" vertical="center" wrapText="1"/>
      <protection locked="0"/>
    </xf>
    <xf numFmtId="49" fontId="27" fillId="0" borderId="18" xfId="0" applyNumberFormat="1" applyFont="1" applyFill="1" applyBorder="1" applyAlignment="1" applyProtection="1">
      <alignment horizontal="center" vertical="center" wrapText="1"/>
      <protection locked="0"/>
    </xf>
    <xf numFmtId="165" fontId="27" fillId="0" borderId="18" xfId="0" applyNumberFormat="1" applyFont="1" applyFill="1" applyBorder="1" applyAlignment="1" applyProtection="1">
      <alignment horizontal="center" vertical="center" wrapText="1"/>
      <protection locked="0"/>
    </xf>
    <xf numFmtId="173" fontId="35" fillId="0" borderId="9" xfId="0" applyNumberFormat="1" applyFont="1" applyFill="1" applyBorder="1" applyAlignment="1" applyProtection="1">
      <alignment horizontal="center" vertical="center" wrapText="1"/>
      <protection locked="0"/>
    </xf>
    <xf numFmtId="1" fontId="35" fillId="0" borderId="9" xfId="0" applyNumberFormat="1" applyFont="1" applyFill="1" applyBorder="1" applyAlignment="1" applyProtection="1">
      <alignment horizontal="center" vertical="center" wrapText="1"/>
    </xf>
    <xf numFmtId="173" fontId="27" fillId="0" borderId="44" xfId="3" applyNumberFormat="1" applyFont="1" applyFill="1" applyBorder="1" applyAlignment="1" applyProtection="1">
      <alignment horizontal="center" vertical="center"/>
    </xf>
    <xf numFmtId="1" fontId="27" fillId="0" borderId="9" xfId="3" applyNumberFormat="1" applyFont="1" applyFill="1" applyBorder="1" applyAlignment="1" applyProtection="1">
      <alignment horizontal="center" vertical="center"/>
      <protection locked="0"/>
    </xf>
    <xf numFmtId="169" fontId="27" fillId="0" borderId="29" xfId="3" applyNumberFormat="1" applyFont="1" applyFill="1" applyBorder="1" applyAlignment="1" applyProtection="1">
      <alignment horizontal="center" vertical="center"/>
    </xf>
    <xf numFmtId="173" fontId="38" fillId="0" borderId="9" xfId="0" applyNumberFormat="1" applyFont="1" applyBorder="1" applyAlignment="1">
      <alignment horizontal="center"/>
    </xf>
    <xf numFmtId="173" fontId="39" fillId="12" borderId="77" xfId="0" applyNumberFormat="1" applyFont="1" applyFill="1" applyBorder="1" applyAlignment="1">
      <alignment horizontal="center" vertical="center" wrapText="1"/>
    </xf>
    <xf numFmtId="173" fontId="34" fillId="6" borderId="9" xfId="0" applyNumberFormat="1" applyFont="1" applyFill="1" applyBorder="1" applyAlignment="1" applyProtection="1">
      <alignment horizontal="center" vertical="center"/>
      <protection locked="0"/>
    </xf>
    <xf numFmtId="173" fontId="27" fillId="0" borderId="0" xfId="0" applyNumberFormat="1" applyFont="1" applyFill="1" applyBorder="1" applyAlignment="1">
      <alignment vertical="center" wrapText="1"/>
    </xf>
    <xf numFmtId="9" fontId="40" fillId="12" borderId="77" xfId="0" applyNumberFormat="1" applyFont="1" applyFill="1" applyBorder="1" applyAlignment="1">
      <alignment horizontal="center" vertical="center" wrapText="1"/>
    </xf>
    <xf numFmtId="173" fontId="34" fillId="0" borderId="9" xfId="0" applyNumberFormat="1" applyFont="1" applyBorder="1" applyAlignment="1" applyProtection="1">
      <alignment horizontal="center" vertical="center"/>
      <protection locked="0"/>
    </xf>
    <xf numFmtId="173" fontId="27" fillId="0" borderId="36" xfId="3" applyNumberFormat="1" applyFont="1" applyFill="1" applyBorder="1" applyAlignment="1" applyProtection="1">
      <alignment horizontal="center" vertical="center" wrapText="1"/>
    </xf>
    <xf numFmtId="1" fontId="27" fillId="6" borderId="9" xfId="3" applyNumberFormat="1" applyFont="1" applyFill="1" applyBorder="1" applyAlignment="1" applyProtection="1">
      <alignment horizontal="center" vertical="center" wrapText="1"/>
    </xf>
    <xf numFmtId="169" fontId="27" fillId="0" borderId="35" xfId="3" applyNumberFormat="1" applyFont="1" applyFill="1" applyBorder="1" applyAlignment="1" applyProtection="1">
      <alignment horizontal="center" vertical="center" wrapText="1"/>
    </xf>
    <xf numFmtId="17" fontId="27" fillId="0" borderId="0" xfId="0" applyNumberFormat="1" applyFont="1" applyFill="1" applyBorder="1" applyAlignment="1" applyProtection="1">
      <alignment horizontal="right" vertical="center" wrapText="1"/>
    </xf>
    <xf numFmtId="173" fontId="34" fillId="0" borderId="0" xfId="0" applyNumberFormat="1" applyFont="1" applyAlignment="1" applyProtection="1">
      <alignment horizontal="center" vertical="center"/>
      <protection locked="0"/>
    </xf>
    <xf numFmtId="1" fontId="27" fillId="12" borderId="58" xfId="3" applyNumberFormat="1" applyFont="1" applyFill="1" applyBorder="1" applyAlignment="1" applyProtection="1">
      <alignment horizontal="center" vertical="center"/>
    </xf>
    <xf numFmtId="165" fontId="27" fillId="12" borderId="29" xfId="3" applyNumberFormat="1" applyFont="1" applyFill="1" applyBorder="1" applyAlignment="1" applyProtection="1">
      <alignment horizontal="center" vertical="center"/>
    </xf>
    <xf numFmtId="173" fontId="34" fillId="0" borderId="9" xfId="0" applyNumberFormat="1" applyFont="1" applyFill="1" applyBorder="1" applyAlignment="1" applyProtection="1">
      <alignment horizontal="center" vertical="center" wrapText="1"/>
      <protection locked="0"/>
    </xf>
    <xf numFmtId="165" fontId="27" fillId="0" borderId="9" xfId="0" applyNumberFormat="1" applyFont="1" applyFill="1" applyBorder="1" applyAlignment="1" applyProtection="1">
      <alignment horizontal="center" vertical="center" wrapText="1"/>
      <protection locked="0"/>
    </xf>
    <xf numFmtId="173" fontId="27" fillId="12" borderId="58" xfId="3" applyNumberFormat="1" applyFont="1" applyFill="1" applyBorder="1" applyAlignment="1" applyProtection="1">
      <alignment horizontal="center" vertical="center"/>
    </xf>
    <xf numFmtId="169" fontId="27" fillId="12" borderId="29" xfId="3" applyNumberFormat="1" applyFont="1" applyFill="1" applyBorder="1" applyAlignment="1" applyProtection="1">
      <alignment horizontal="center" vertical="center"/>
    </xf>
    <xf numFmtId="173" fontId="34" fillId="12" borderId="60" xfId="0" applyNumberFormat="1" applyFont="1" applyFill="1" applyBorder="1" applyAlignment="1">
      <alignment horizontal="center" vertical="center"/>
    </xf>
    <xf numFmtId="165" fontId="27" fillId="12" borderId="28" xfId="3" applyNumberFormat="1" applyFont="1" applyFill="1" applyBorder="1" applyAlignment="1" applyProtection="1">
      <alignment horizontal="center" vertical="center"/>
    </xf>
    <xf numFmtId="173" fontId="27" fillId="0" borderId="0" xfId="0" applyNumberFormat="1" applyFont="1" applyFill="1" applyAlignment="1">
      <alignment vertical="center" wrapText="1"/>
    </xf>
    <xf numFmtId="173" fontId="36" fillId="0" borderId="48" xfId="0" applyNumberFormat="1" applyFont="1" applyFill="1" applyBorder="1" applyAlignment="1" applyProtection="1">
      <alignment horizontal="center" vertical="center" wrapText="1"/>
      <protection locked="0"/>
    </xf>
    <xf numFmtId="173" fontId="27" fillId="0" borderId="52" xfId="3" applyNumberFormat="1" applyFont="1" applyFill="1" applyBorder="1" applyAlignment="1" applyProtection="1">
      <alignment horizontal="center" vertical="center"/>
    </xf>
    <xf numFmtId="169" fontId="27" fillId="0" borderId="57" xfId="3" applyNumberFormat="1" applyFont="1" applyFill="1" applyBorder="1" applyAlignment="1" applyProtection="1">
      <alignment horizontal="center" vertical="center"/>
    </xf>
    <xf numFmtId="49" fontId="34" fillId="7" borderId="9" xfId="0" applyNumberFormat="1" applyFont="1" applyFill="1" applyBorder="1" applyAlignment="1">
      <alignment horizontal="center" vertical="center"/>
    </xf>
    <xf numFmtId="173" fontId="39" fillId="7" borderId="77" xfId="0" applyNumberFormat="1" applyFont="1" applyFill="1" applyBorder="1" applyAlignment="1">
      <alignment horizontal="center" vertical="center" wrapText="1"/>
    </xf>
    <xf numFmtId="9" fontId="40" fillId="7" borderId="77" xfId="0" applyNumberFormat="1" applyFont="1" applyFill="1" applyBorder="1" applyAlignment="1">
      <alignment horizontal="center" vertical="center" wrapText="1"/>
    </xf>
    <xf numFmtId="1" fontId="27" fillId="7" borderId="58" xfId="3" applyNumberFormat="1" applyFont="1" applyFill="1" applyBorder="1" applyAlignment="1" applyProtection="1">
      <alignment horizontal="center" vertical="center"/>
    </xf>
    <xf numFmtId="165" fontId="27" fillId="7" borderId="29" xfId="3" applyNumberFormat="1" applyFont="1" applyFill="1" applyBorder="1" applyAlignment="1" applyProtection="1">
      <alignment horizontal="center" vertical="center"/>
    </xf>
    <xf numFmtId="173" fontId="27" fillId="7" borderId="58" xfId="3" applyNumberFormat="1" applyFont="1" applyFill="1" applyBorder="1" applyAlignment="1" applyProtection="1">
      <alignment horizontal="center" vertical="center"/>
    </xf>
    <xf numFmtId="169" fontId="27" fillId="7" borderId="29" xfId="3" applyNumberFormat="1" applyFont="1" applyFill="1" applyBorder="1" applyAlignment="1" applyProtection="1">
      <alignment horizontal="center" vertical="center"/>
    </xf>
    <xf numFmtId="173" fontId="34" fillId="7" borderId="60" xfId="0" applyNumberFormat="1" applyFont="1" applyFill="1" applyBorder="1" applyAlignment="1">
      <alignment horizontal="center" vertical="center"/>
    </xf>
    <xf numFmtId="165" fontId="27" fillId="7" borderId="28" xfId="3" applyNumberFormat="1" applyFont="1" applyFill="1" applyBorder="1" applyAlignment="1" applyProtection="1">
      <alignment horizontal="center" vertical="center"/>
    </xf>
    <xf numFmtId="49" fontId="35" fillId="11" borderId="62" xfId="0" applyNumberFormat="1" applyFont="1" applyFill="1" applyBorder="1" applyAlignment="1" applyProtection="1">
      <alignment horizontal="left" vertical="center" wrapText="1"/>
    </xf>
    <xf numFmtId="173" fontId="27" fillId="11" borderId="43" xfId="0" applyNumberFormat="1" applyFont="1" applyFill="1" applyBorder="1" applyAlignment="1">
      <alignment vertical="center" wrapText="1"/>
    </xf>
    <xf numFmtId="173" fontId="27" fillId="11" borderId="58" xfId="0" applyNumberFormat="1" applyFont="1" applyFill="1" applyBorder="1" applyAlignment="1">
      <alignment vertical="center" wrapText="1"/>
    </xf>
    <xf numFmtId="49" fontId="34" fillId="14" borderId="9" xfId="0" applyNumberFormat="1" applyFont="1" applyFill="1" applyBorder="1" applyAlignment="1">
      <alignment horizontal="center" vertical="center"/>
    </xf>
    <xf numFmtId="173" fontId="27" fillId="6" borderId="9" xfId="0" applyNumberFormat="1" applyFont="1" applyFill="1" applyBorder="1" applyAlignment="1" applyProtection="1">
      <alignment horizontal="center" vertical="center"/>
      <protection locked="0"/>
    </xf>
    <xf numFmtId="1" fontId="28" fillId="0" borderId="0" xfId="0" applyNumberFormat="1" applyFont="1" applyFill="1" applyAlignment="1">
      <alignment vertical="center" wrapText="1"/>
    </xf>
    <xf numFmtId="173" fontId="28" fillId="0" borderId="0" xfId="0" applyNumberFormat="1" applyFont="1" applyFill="1" applyAlignment="1">
      <alignment vertical="center" wrapText="1"/>
    </xf>
    <xf numFmtId="173" fontId="28" fillId="0" borderId="0" xfId="0" applyNumberFormat="1" applyFont="1" applyFill="1" applyBorder="1" applyAlignment="1">
      <alignment vertical="center" wrapText="1"/>
    </xf>
    <xf numFmtId="173" fontId="39" fillId="14" borderId="77" xfId="0" applyNumberFormat="1" applyFont="1" applyFill="1" applyBorder="1" applyAlignment="1">
      <alignment horizontal="center" vertical="center" wrapText="1"/>
    </xf>
    <xf numFmtId="9" fontId="40" fillId="14" borderId="77" xfId="0" applyNumberFormat="1" applyFont="1" applyFill="1" applyBorder="1" applyAlignment="1">
      <alignment horizontal="center" vertical="center" wrapText="1"/>
    </xf>
    <xf numFmtId="173" fontId="34" fillId="0" borderId="27" xfId="0" applyNumberFormat="1" applyFont="1" applyFill="1" applyBorder="1" applyAlignment="1" applyProtection="1">
      <alignment horizontal="center" vertical="center" wrapText="1"/>
      <protection locked="0"/>
    </xf>
    <xf numFmtId="49" fontId="27" fillId="0" borderId="27" xfId="0" applyNumberFormat="1" applyFont="1" applyFill="1" applyBorder="1" applyAlignment="1" applyProtection="1">
      <alignment horizontal="center" vertical="center" wrapText="1"/>
      <protection locked="0"/>
    </xf>
    <xf numFmtId="165" fontId="27" fillId="0" borderId="27" xfId="0" applyNumberFormat="1" applyFont="1" applyFill="1" applyBorder="1" applyAlignment="1" applyProtection="1">
      <alignment horizontal="center" vertical="center" wrapText="1"/>
      <protection locked="0"/>
    </xf>
    <xf numFmtId="173" fontId="36" fillId="0" borderId="27" xfId="0" applyNumberFormat="1" applyFont="1" applyFill="1" applyBorder="1" applyAlignment="1" applyProtection="1">
      <alignment horizontal="center" vertical="center" wrapText="1"/>
      <protection locked="0"/>
    </xf>
    <xf numFmtId="1" fontId="27" fillId="14" borderId="58" xfId="3" applyNumberFormat="1" applyFont="1" applyFill="1" applyBorder="1" applyAlignment="1" applyProtection="1">
      <alignment horizontal="center" vertical="center"/>
    </xf>
    <xf numFmtId="165" fontId="27" fillId="14" borderId="29" xfId="3" applyNumberFormat="1" applyFont="1" applyFill="1" applyBorder="1" applyAlignment="1" applyProtection="1">
      <alignment horizontal="center" vertical="center"/>
    </xf>
    <xf numFmtId="2" fontId="38" fillId="0" borderId="14" xfId="0" applyNumberFormat="1" applyFont="1" applyBorder="1" applyAlignment="1">
      <alignment horizontal="center"/>
    </xf>
    <xf numFmtId="173" fontId="27" fillId="14" borderId="58" xfId="3" applyNumberFormat="1" applyFont="1" applyFill="1" applyBorder="1" applyAlignment="1" applyProtection="1">
      <alignment horizontal="center" vertical="center"/>
    </xf>
    <xf numFmtId="169" fontId="27" fillId="14" borderId="29" xfId="3" applyNumberFormat="1" applyFont="1" applyFill="1" applyBorder="1" applyAlignment="1" applyProtection="1">
      <alignment horizontal="center" vertical="center"/>
    </xf>
    <xf numFmtId="2" fontId="38" fillId="0" borderId="0" xfId="0" applyNumberFormat="1" applyFont="1" applyBorder="1" applyAlignment="1">
      <alignment horizontal="center"/>
    </xf>
    <xf numFmtId="173" fontId="34" fillId="14" borderId="60" xfId="0" applyNumberFormat="1" applyFont="1" applyFill="1" applyBorder="1" applyAlignment="1">
      <alignment horizontal="center" vertical="center"/>
    </xf>
    <xf numFmtId="165" fontId="27" fillId="14" borderId="28" xfId="3" applyNumberFormat="1" applyFont="1" applyFill="1" applyBorder="1" applyAlignment="1" applyProtection="1">
      <alignment horizontal="center" vertical="center"/>
    </xf>
    <xf numFmtId="173" fontId="29" fillId="0" borderId="0" xfId="0" applyNumberFormat="1" applyFont="1" applyFill="1" applyBorder="1" applyAlignment="1">
      <alignment vertical="center" wrapText="1"/>
    </xf>
    <xf numFmtId="49" fontId="27" fillId="0" borderId="0" xfId="0" applyNumberFormat="1" applyFont="1" applyFill="1" applyBorder="1" applyAlignment="1">
      <alignment vertical="center" wrapText="1"/>
    </xf>
    <xf numFmtId="2" fontId="27" fillId="0" borderId="0" xfId="0" applyNumberFormat="1" applyFont="1" applyFill="1" applyBorder="1" applyAlignment="1">
      <alignment vertical="center" wrapText="1"/>
    </xf>
    <xf numFmtId="49" fontId="27" fillId="0" borderId="0" xfId="0" applyNumberFormat="1" applyFont="1" applyFill="1" applyAlignment="1">
      <alignment vertical="center" wrapText="1"/>
    </xf>
    <xf numFmtId="173" fontId="27" fillId="15" borderId="30" xfId="0" applyNumberFormat="1" applyFont="1" applyFill="1" applyBorder="1" applyAlignment="1">
      <alignment horizontal="center" vertical="center" wrapText="1"/>
    </xf>
    <xf numFmtId="1" fontId="27" fillId="15" borderId="9" xfId="0" applyNumberFormat="1" applyFont="1" applyFill="1" applyBorder="1" applyAlignment="1">
      <alignment horizontal="center" vertical="center" wrapText="1"/>
    </xf>
    <xf numFmtId="9" fontId="27" fillId="15" borderId="29" xfId="0" applyNumberFormat="1" applyFont="1" applyFill="1" applyBorder="1" applyAlignment="1" applyProtection="1">
      <alignment horizontal="center" vertical="center" wrapText="1"/>
    </xf>
    <xf numFmtId="15" fontId="42" fillId="16" borderId="30" xfId="0" applyNumberFormat="1" applyFont="1" applyFill="1" applyBorder="1" applyAlignment="1" applyProtection="1">
      <alignment horizontal="center" vertical="center" wrapText="1"/>
      <protection locked="0"/>
    </xf>
    <xf numFmtId="1" fontId="27" fillId="6" borderId="9" xfId="0" applyNumberFormat="1" applyFont="1" applyFill="1" applyBorder="1" applyAlignment="1">
      <alignment horizontal="center" vertical="center" wrapText="1"/>
    </xf>
    <xf numFmtId="173" fontId="27" fillId="0" borderId="30" xfId="0" applyNumberFormat="1" applyFont="1" applyFill="1" applyBorder="1" applyAlignment="1">
      <alignment horizontal="center" vertical="center" wrapText="1"/>
    </xf>
    <xf numFmtId="165" fontId="27" fillId="9" borderId="29" xfId="0" applyNumberFormat="1" applyFont="1" applyFill="1" applyBorder="1" applyAlignment="1">
      <alignment horizontal="center" vertical="center" wrapText="1"/>
    </xf>
    <xf numFmtId="169" fontId="27" fillId="15" borderId="29" xfId="0" applyNumberFormat="1" applyFont="1" applyFill="1" applyBorder="1" applyAlignment="1">
      <alignment horizontal="center" vertical="center" wrapText="1"/>
    </xf>
    <xf numFmtId="10" fontId="29" fillId="0" borderId="0" xfId="0" applyNumberFormat="1" applyFont="1" applyFill="1" applyAlignment="1">
      <alignment vertical="center" wrapText="1"/>
    </xf>
    <xf numFmtId="165" fontId="27" fillId="0" borderId="28" xfId="0" applyNumberFormat="1" applyFont="1" applyFill="1" applyBorder="1" applyAlignment="1">
      <alignment horizontal="center" vertical="center" wrapText="1"/>
    </xf>
    <xf numFmtId="173" fontId="27" fillId="0" borderId="0" xfId="0" applyNumberFormat="1" applyFont="1" applyFill="1" applyAlignment="1">
      <alignment horizontal="center" vertical="center" wrapText="1"/>
    </xf>
    <xf numFmtId="173" fontId="27" fillId="0" borderId="0" xfId="0" applyNumberFormat="1" applyFont="1" applyFill="1" applyAlignment="1">
      <alignment horizontal="left" vertical="center" wrapText="1"/>
    </xf>
    <xf numFmtId="173" fontId="27" fillId="6" borderId="0" xfId="0" applyNumberFormat="1" applyFont="1" applyFill="1" applyAlignment="1">
      <alignment horizontal="left" vertical="center" wrapText="1"/>
    </xf>
    <xf numFmtId="173" fontId="43" fillId="0" borderId="0" xfId="0" applyNumberFormat="1" applyFont="1" applyFill="1" applyAlignment="1">
      <alignment horizontal="center" vertical="center" wrapText="1"/>
    </xf>
    <xf numFmtId="49" fontId="27" fillId="0" borderId="0" xfId="0" applyNumberFormat="1" applyFont="1" applyFill="1" applyAlignment="1">
      <alignment horizontal="center" vertical="center" wrapText="1"/>
    </xf>
    <xf numFmtId="173" fontId="0" fillId="0" borderId="0" xfId="0" applyNumberFormat="1" applyAlignment="1">
      <alignment horizontal="center"/>
    </xf>
    <xf numFmtId="173" fontId="0" fillId="0" borderId="0" xfId="0" applyNumberFormat="1"/>
    <xf numFmtId="173" fontId="43" fillId="0" borderId="0" xfId="0" applyNumberFormat="1" applyFont="1" applyFill="1" applyAlignment="1">
      <alignment horizontal="left" vertical="center" wrapText="1"/>
    </xf>
    <xf numFmtId="1" fontId="43" fillId="0" borderId="0" xfId="0" applyNumberFormat="1" applyFont="1" applyFill="1" applyAlignment="1">
      <alignment horizontal="center" vertical="center" wrapText="1"/>
    </xf>
    <xf numFmtId="1" fontId="27" fillId="0" borderId="0" xfId="0" applyNumberFormat="1" applyFont="1" applyFill="1" applyAlignment="1">
      <alignment horizontal="center" vertical="center" wrapText="1"/>
    </xf>
    <xf numFmtId="173" fontId="28" fillId="6" borderId="0" xfId="0" applyNumberFormat="1" applyFont="1" applyFill="1" applyAlignment="1">
      <alignment horizontal="left" vertical="center" wrapText="1"/>
    </xf>
    <xf numFmtId="173" fontId="44" fillId="0" borderId="0" xfId="0" applyNumberFormat="1" applyFont="1" applyBorder="1" applyProtection="1"/>
    <xf numFmtId="1" fontId="44" fillId="0" borderId="0" xfId="0" applyNumberFormat="1" applyFont="1" applyBorder="1" applyAlignment="1" applyProtection="1">
      <alignment horizontal="center"/>
    </xf>
    <xf numFmtId="165" fontId="0" fillId="0" borderId="0" xfId="0" applyNumberFormat="1"/>
    <xf numFmtId="174" fontId="0" fillId="0" borderId="0" xfId="0" applyNumberFormat="1" applyAlignment="1">
      <alignment horizontal="center"/>
    </xf>
    <xf numFmtId="165" fontId="0" fillId="0" borderId="0" xfId="0" applyNumberFormat="1" applyAlignment="1">
      <alignment horizontal="center"/>
    </xf>
    <xf numFmtId="165" fontId="0" fillId="0" borderId="0" xfId="0" applyNumberFormat="1" applyAlignment="1">
      <alignment horizontal="right" wrapText="1" shrinkToFit="1"/>
    </xf>
    <xf numFmtId="49" fontId="0" fillId="0" borderId="0" xfId="0" applyNumberFormat="1" applyAlignment="1">
      <alignment horizontal="center"/>
    </xf>
    <xf numFmtId="173" fontId="32" fillId="0" borderId="0" xfId="0" applyNumberFormat="1" applyFont="1" applyFill="1" applyAlignment="1">
      <alignment horizontal="center" vertical="center" wrapText="1"/>
    </xf>
    <xf numFmtId="173" fontId="45" fillId="0" borderId="0" xfId="0" applyNumberFormat="1" applyFont="1" applyFill="1" applyAlignment="1">
      <alignment horizontal="center" vertical="center" wrapText="1"/>
    </xf>
    <xf numFmtId="173" fontId="46" fillId="6" borderId="0" xfId="0" applyNumberFormat="1" applyFont="1" applyFill="1" applyAlignment="1">
      <alignment horizontal="left" vertical="center" wrapText="1"/>
    </xf>
    <xf numFmtId="173" fontId="44" fillId="0" borderId="0" xfId="0" applyNumberFormat="1" applyFont="1" applyFill="1" applyBorder="1" applyProtection="1"/>
    <xf numFmtId="173" fontId="46" fillId="0" borderId="0" xfId="0" applyNumberFormat="1" applyFont="1" applyFill="1" applyAlignment="1">
      <alignment vertical="center" wrapText="1"/>
    </xf>
    <xf numFmtId="173" fontId="45" fillId="0" borderId="0" xfId="0" applyNumberFormat="1" applyFont="1" applyFill="1" applyAlignment="1">
      <alignment vertical="center" wrapText="1"/>
    </xf>
    <xf numFmtId="10" fontId="44" fillId="0" borderId="0" xfId="0" applyNumberFormat="1" applyFont="1" applyBorder="1"/>
    <xf numFmtId="169" fontId="44" fillId="0" borderId="0" xfId="0" applyNumberFormat="1" applyFont="1" applyBorder="1" applyAlignment="1">
      <alignment horizontal="center"/>
    </xf>
    <xf numFmtId="10" fontId="46" fillId="0" borderId="0" xfId="0" applyNumberFormat="1" applyFont="1" applyFill="1" applyAlignment="1">
      <alignment vertical="center" wrapText="1"/>
    </xf>
    <xf numFmtId="10" fontId="45" fillId="0" borderId="0" xfId="0" applyNumberFormat="1" applyFont="1" applyFill="1" applyAlignment="1">
      <alignment vertical="center" wrapText="1"/>
    </xf>
    <xf numFmtId="10" fontId="32" fillId="0" borderId="0" xfId="0" applyNumberFormat="1" applyFont="1" applyFill="1" applyAlignment="1">
      <alignment vertical="center" wrapText="1"/>
    </xf>
    <xf numFmtId="173" fontId="44" fillId="0" borderId="0" xfId="0" applyNumberFormat="1" applyFont="1" applyFill="1" applyAlignment="1">
      <alignment horizontal="left" vertical="center" wrapText="1"/>
    </xf>
    <xf numFmtId="169" fontId="0" fillId="0" borderId="0" xfId="0" applyNumberFormat="1" applyBorder="1" applyAlignment="1">
      <alignment horizontal="center"/>
    </xf>
    <xf numFmtId="10" fontId="32" fillId="0" borderId="0" xfId="0" applyNumberFormat="1" applyFont="1" applyFill="1" applyAlignment="1">
      <alignment horizontal="center" vertical="center" wrapText="1"/>
    </xf>
    <xf numFmtId="10" fontId="28" fillId="0" borderId="0" xfId="0" applyNumberFormat="1" applyFont="1" applyFill="1" applyAlignment="1">
      <alignment horizontal="center" vertical="center" wrapText="1"/>
    </xf>
    <xf numFmtId="10" fontId="45" fillId="0" borderId="0" xfId="0" applyNumberFormat="1" applyFont="1" applyFill="1" applyAlignment="1">
      <alignment horizontal="center" vertical="center" wrapText="1"/>
    </xf>
    <xf numFmtId="10" fontId="46" fillId="6" borderId="0" xfId="0" applyNumberFormat="1" applyFont="1" applyFill="1" applyAlignment="1">
      <alignment horizontal="left" vertical="center" wrapText="1"/>
    </xf>
    <xf numFmtId="173" fontId="38" fillId="0" borderId="0" xfId="0" applyNumberFormat="1" applyFont="1" applyAlignment="1">
      <alignment horizontal="center"/>
    </xf>
    <xf numFmtId="173" fontId="3" fillId="0" borderId="0" xfId="0" applyNumberFormat="1" applyFont="1" applyAlignment="1">
      <alignment horizontal="center"/>
    </xf>
    <xf numFmtId="173" fontId="38" fillId="0" borderId="0" xfId="0" applyNumberFormat="1" applyFont="1"/>
    <xf numFmtId="165" fontId="0" fillId="0" borderId="0" xfId="0" applyNumberFormat="1" applyFill="1" applyAlignment="1">
      <alignment horizontal="center"/>
    </xf>
    <xf numFmtId="165" fontId="3" fillId="0" borderId="0" xfId="0" applyNumberFormat="1" applyFont="1" applyAlignment="1">
      <alignment horizontal="center"/>
    </xf>
    <xf numFmtId="174" fontId="38" fillId="0" borderId="0" xfId="0" applyNumberFormat="1" applyFont="1" applyAlignment="1">
      <alignment horizontal="center"/>
    </xf>
    <xf numFmtId="165" fontId="38" fillId="0" borderId="0" xfId="0" applyNumberFormat="1" applyFont="1" applyAlignment="1">
      <alignment horizontal="center"/>
    </xf>
    <xf numFmtId="165" fontId="47" fillId="0" borderId="0" xfId="0" applyNumberFormat="1" applyFont="1"/>
    <xf numFmtId="165" fontId="38" fillId="0" borderId="0" xfId="0" applyNumberFormat="1" applyFont="1"/>
    <xf numFmtId="165" fontId="38" fillId="0" borderId="0" xfId="0" applyNumberFormat="1" applyFont="1" applyAlignment="1">
      <alignment horizontal="right" wrapText="1" shrinkToFit="1"/>
    </xf>
    <xf numFmtId="2" fontId="45" fillId="0" borderId="0" xfId="0" applyNumberFormat="1" applyFont="1" applyFill="1" applyAlignment="1">
      <alignment vertical="center" wrapText="1"/>
    </xf>
    <xf numFmtId="49" fontId="38" fillId="0" borderId="0" xfId="0" applyNumberFormat="1" applyFont="1" applyAlignment="1">
      <alignment horizontal="center"/>
    </xf>
    <xf numFmtId="173" fontId="45" fillId="0" borderId="0" xfId="0" applyNumberFormat="1" applyFont="1" applyFill="1" applyAlignment="1">
      <alignment horizontal="left" vertical="center" wrapText="1"/>
    </xf>
    <xf numFmtId="165" fontId="38" fillId="0" borderId="0" xfId="0" applyNumberFormat="1" applyFont="1" applyFill="1" applyAlignment="1">
      <alignment horizontal="center"/>
    </xf>
    <xf numFmtId="173" fontId="0" fillId="0" borderId="51" xfId="0" applyBorder="1"/>
    <xf numFmtId="173" fontId="48" fillId="0" borderId="0" xfId="0" applyFont="1"/>
    <xf numFmtId="173" fontId="49" fillId="3" borderId="23" xfId="0" applyFont="1" applyFill="1" applyBorder="1" applyAlignment="1">
      <alignment horizontal="center" vertical="center"/>
    </xf>
    <xf numFmtId="173" fontId="49" fillId="3" borderId="46" xfId="0" applyFont="1" applyFill="1" applyBorder="1" applyAlignment="1">
      <alignment horizontal="center" vertical="center"/>
    </xf>
    <xf numFmtId="173" fontId="49" fillId="3" borderId="47" xfId="0" applyFont="1" applyFill="1" applyBorder="1" applyAlignment="1">
      <alignment horizontal="center" vertical="center"/>
    </xf>
    <xf numFmtId="173" fontId="49" fillId="3" borderId="79" xfId="0" applyFont="1" applyFill="1" applyBorder="1" applyAlignment="1">
      <alignment horizontal="center" vertical="center"/>
    </xf>
    <xf numFmtId="173" fontId="49" fillId="3" borderId="6" xfId="0" applyFont="1" applyFill="1" applyBorder="1" applyAlignment="1">
      <alignment horizontal="center" vertical="center"/>
    </xf>
    <xf numFmtId="173" fontId="49" fillId="3" borderId="80" xfId="0" applyFont="1" applyFill="1" applyBorder="1" applyAlignment="1">
      <alignment horizontal="center" vertical="center"/>
    </xf>
    <xf numFmtId="173" fontId="49" fillId="3" borderId="82" xfId="0" applyFont="1" applyFill="1" applyBorder="1" applyAlignment="1">
      <alignment horizontal="center" vertical="center"/>
    </xf>
    <xf numFmtId="173" fontId="49" fillId="3" borderId="81" xfId="0" applyFont="1" applyFill="1" applyBorder="1" applyAlignment="1">
      <alignment horizontal="center" vertical="center"/>
    </xf>
    <xf numFmtId="173" fontId="25" fillId="0" borderId="6" xfId="0" applyFont="1" applyBorder="1" applyAlignment="1">
      <alignment horizontal="center" vertical="center"/>
    </xf>
    <xf numFmtId="173" fontId="25" fillId="6" borderId="2" xfId="0" applyFont="1" applyFill="1" applyBorder="1" applyAlignment="1">
      <alignment horizontal="center" vertical="center"/>
    </xf>
    <xf numFmtId="173" fontId="25" fillId="0" borderId="9" xfId="0" applyFont="1" applyBorder="1" applyAlignment="1">
      <alignment horizontal="center" vertical="center"/>
    </xf>
    <xf numFmtId="173" fontId="25" fillId="6" borderId="17" xfId="0" applyFont="1" applyFill="1" applyBorder="1" applyAlignment="1">
      <alignment horizontal="center" vertical="center"/>
    </xf>
    <xf numFmtId="173" fontId="25" fillId="6" borderId="16" xfId="0" applyFont="1" applyFill="1" applyBorder="1" applyAlignment="1">
      <alignment horizontal="center" vertical="center"/>
    </xf>
    <xf numFmtId="173" fontId="25" fillId="0" borderId="18" xfId="0" applyFont="1" applyBorder="1" applyAlignment="1">
      <alignment horizontal="center" vertical="center"/>
    </xf>
    <xf numFmtId="173" fontId="25" fillId="6" borderId="3" xfId="0" applyFont="1" applyFill="1" applyBorder="1" applyAlignment="1">
      <alignment horizontal="center" vertical="center"/>
    </xf>
    <xf numFmtId="173" fontId="25" fillId="0" borderId="49" xfId="0" applyFont="1" applyBorder="1" applyAlignment="1">
      <alignment horizontal="center" vertical="center"/>
    </xf>
    <xf numFmtId="173" fontId="25" fillId="6" borderId="83" xfId="0" applyFont="1" applyFill="1" applyBorder="1" applyAlignment="1">
      <alignment horizontal="center" vertical="center"/>
    </xf>
    <xf numFmtId="173" fontId="25" fillId="6" borderId="85" xfId="0" applyFont="1" applyFill="1" applyBorder="1" applyAlignment="1">
      <alignment horizontal="center" vertical="center"/>
    </xf>
    <xf numFmtId="173" fontId="25" fillId="6" borderId="86" xfId="0" applyFont="1" applyFill="1" applyBorder="1" applyAlignment="1">
      <alignment horizontal="center" vertical="center"/>
    </xf>
    <xf numFmtId="173" fontId="25" fillId="6" borderId="87" xfId="0" applyFont="1" applyFill="1" applyBorder="1" applyAlignment="1">
      <alignment horizontal="center" vertical="center"/>
    </xf>
    <xf numFmtId="173" fontId="25" fillId="6" borderId="88" xfId="0" applyFont="1" applyFill="1" applyBorder="1" applyAlignment="1">
      <alignment horizontal="center" vertical="center"/>
    </xf>
    <xf numFmtId="173" fontId="25" fillId="6" borderId="0" xfId="0" applyFont="1" applyFill="1" applyBorder="1" applyAlignment="1">
      <alignment horizontal="center" vertical="center"/>
    </xf>
    <xf numFmtId="173" fontId="25" fillId="6" borderId="4" xfId="0" applyFont="1" applyFill="1" applyBorder="1" applyAlignment="1">
      <alignment horizontal="center" vertical="center"/>
    </xf>
    <xf numFmtId="173" fontId="25" fillId="6" borderId="24" xfId="0" applyFont="1" applyFill="1" applyBorder="1" applyAlignment="1">
      <alignment horizontal="center" vertical="center"/>
    </xf>
    <xf numFmtId="173" fontId="25" fillId="0" borderId="91" xfId="0" applyFont="1" applyBorder="1" applyAlignment="1">
      <alignment horizontal="center" vertical="center"/>
    </xf>
    <xf numFmtId="173" fontId="25" fillId="0" borderId="58" xfId="0" applyFont="1" applyBorder="1" applyAlignment="1">
      <alignment horizontal="center" vertical="center"/>
    </xf>
    <xf numFmtId="173" fontId="25" fillId="0" borderId="70" xfId="0" applyFont="1" applyBorder="1" applyAlignment="1">
      <alignment horizontal="center" vertical="center"/>
    </xf>
    <xf numFmtId="173" fontId="44" fillId="9" borderId="38" xfId="0" applyFont="1" applyFill="1" applyBorder="1" applyAlignment="1">
      <alignment horizontal="center" vertical="center"/>
    </xf>
    <xf numFmtId="173" fontId="44" fillId="9" borderId="41" xfId="0" applyFont="1" applyFill="1" applyBorder="1" applyAlignment="1">
      <alignment horizontal="center" vertical="center"/>
    </xf>
    <xf numFmtId="165" fontId="9" fillId="16" borderId="0" xfId="0" applyNumberFormat="1" applyFont="1" applyFill="1" applyBorder="1" applyAlignment="1" applyProtection="1">
      <alignment horizontal="center"/>
    </xf>
    <xf numFmtId="173" fontId="0" fillId="6" borderId="31" xfId="0" applyFill="1" applyBorder="1"/>
    <xf numFmtId="173" fontId="0" fillId="6" borderId="0" xfId="0" applyFill="1" applyBorder="1"/>
    <xf numFmtId="164" fontId="5" fillId="0" borderId="51" xfId="0" applyNumberFormat="1" applyFont="1" applyFill="1" applyBorder="1" applyAlignment="1" applyProtection="1">
      <alignment vertical="center"/>
      <protection hidden="1"/>
    </xf>
    <xf numFmtId="166" fontId="10" fillId="16" borderId="51" xfId="0" applyNumberFormat="1" applyFont="1" applyFill="1" applyBorder="1" applyAlignment="1" applyProtection="1">
      <alignment vertical="center"/>
      <protection hidden="1"/>
    </xf>
    <xf numFmtId="166" fontId="10" fillId="6" borderId="51" xfId="0" applyNumberFormat="1" applyFont="1" applyFill="1" applyBorder="1" applyAlignment="1" applyProtection="1">
      <alignment vertical="center"/>
      <protection hidden="1"/>
    </xf>
    <xf numFmtId="173" fontId="0" fillId="6" borderId="51" xfId="0" applyFill="1" applyBorder="1"/>
    <xf numFmtId="1" fontId="11" fillId="16" borderId="51" xfId="0" applyNumberFormat="1" applyFont="1" applyFill="1" applyBorder="1" applyProtection="1"/>
    <xf numFmtId="1" fontId="9" fillId="16" borderId="51" xfId="0" applyNumberFormat="1" applyFont="1" applyFill="1" applyBorder="1" applyAlignment="1" applyProtection="1">
      <alignment horizontal="center"/>
    </xf>
    <xf numFmtId="173" fontId="12" fillId="16" borderId="51" xfId="0" applyNumberFormat="1" applyFont="1" applyFill="1" applyBorder="1" applyAlignment="1" applyProtection="1">
      <alignment horizontal="center"/>
    </xf>
    <xf numFmtId="173" fontId="9" fillId="16" borderId="51" xfId="0" applyNumberFormat="1" applyFont="1" applyFill="1" applyBorder="1" applyAlignment="1" applyProtection="1">
      <alignment horizontal="center"/>
    </xf>
    <xf numFmtId="165" fontId="9" fillId="16" borderId="51" xfId="0" applyNumberFormat="1" applyFont="1" applyFill="1" applyBorder="1" applyAlignment="1" applyProtection="1">
      <alignment horizontal="center"/>
    </xf>
    <xf numFmtId="2" fontId="13" fillId="0" borderId="51" xfId="0" applyNumberFormat="1" applyFont="1" applyFill="1" applyBorder="1" applyAlignment="1" applyProtection="1">
      <alignment horizontal="center" vertical="center"/>
      <protection locked="0"/>
    </xf>
    <xf numFmtId="164" fontId="6" fillId="0" borderId="51" xfId="0" applyNumberFormat="1" applyFont="1" applyFill="1" applyBorder="1" applyAlignment="1" applyProtection="1">
      <alignment vertical="center"/>
      <protection hidden="1"/>
    </xf>
    <xf numFmtId="166" fontId="50" fillId="16" borderId="51" xfId="0" applyNumberFormat="1" applyFont="1" applyFill="1" applyBorder="1" applyAlignment="1" applyProtection="1">
      <alignment vertical="center"/>
      <protection hidden="1"/>
    </xf>
    <xf numFmtId="173" fontId="8" fillId="16" borderId="0" xfId="0" applyNumberFormat="1" applyFont="1" applyFill="1" applyBorder="1" applyAlignment="1" applyProtection="1"/>
    <xf numFmtId="2" fontId="13" fillId="0" borderId="0" xfId="0" applyNumberFormat="1" applyFont="1" applyFill="1" applyBorder="1" applyAlignment="1" applyProtection="1">
      <alignment horizontal="center" vertical="center"/>
      <protection locked="0"/>
    </xf>
    <xf numFmtId="173" fontId="4" fillId="0" borderId="0" xfId="0" applyNumberFormat="1" applyFont="1" applyFill="1" applyBorder="1" applyAlignment="1" applyProtection="1">
      <alignment vertical="center"/>
    </xf>
    <xf numFmtId="173" fontId="8" fillId="0" borderId="0" xfId="0" applyNumberFormat="1" applyFont="1" applyFill="1" applyBorder="1" applyAlignment="1" applyProtection="1"/>
    <xf numFmtId="173" fontId="8" fillId="0" borderId="0" xfId="0" applyNumberFormat="1" applyFont="1" applyFill="1" applyBorder="1" applyAlignment="1" applyProtection="1">
      <alignment horizontal="center"/>
    </xf>
    <xf numFmtId="165" fontId="9" fillId="0" borderId="0" xfId="0" applyNumberFormat="1" applyFont="1" applyFill="1" applyBorder="1" applyAlignment="1" applyProtection="1">
      <alignment horizontal="center"/>
    </xf>
    <xf numFmtId="173" fontId="8" fillId="0" borderId="0" xfId="1" applyNumberFormat="1" applyFont="1" applyFill="1" applyBorder="1" applyAlignment="1" applyProtection="1">
      <alignment horizontal="center"/>
    </xf>
    <xf numFmtId="165" fontId="9" fillId="0" borderId="0" xfId="1" applyNumberFormat="1" applyFont="1" applyFill="1" applyBorder="1" applyAlignment="1" applyProtection="1">
      <alignment horizontal="center"/>
    </xf>
    <xf numFmtId="1" fontId="9" fillId="0" borderId="0" xfId="0" applyNumberFormat="1" applyFont="1" applyFill="1" applyBorder="1" applyAlignment="1" applyProtection="1">
      <alignment horizontal="center"/>
    </xf>
    <xf numFmtId="173" fontId="12" fillId="0" borderId="0" xfId="0" applyNumberFormat="1" applyFont="1" applyFill="1" applyBorder="1" applyAlignment="1" applyProtection="1">
      <alignment horizontal="center"/>
    </xf>
    <xf numFmtId="173" fontId="9" fillId="0" borderId="0" xfId="0" applyNumberFormat="1" applyFont="1" applyFill="1" applyBorder="1" applyAlignment="1" applyProtection="1">
      <alignment horizontal="center"/>
    </xf>
    <xf numFmtId="2" fontId="13" fillId="0" borderId="0" xfId="1" applyNumberFormat="1" applyFont="1" applyFill="1" applyBorder="1" applyAlignment="1" applyProtection="1">
      <alignment horizontal="center" vertical="center"/>
      <protection locked="0"/>
    </xf>
    <xf numFmtId="173" fontId="49" fillId="3" borderId="18" xfId="0" applyFont="1" applyFill="1" applyBorder="1" applyAlignment="1">
      <alignment horizontal="center" vertical="center"/>
    </xf>
    <xf numFmtId="173" fontId="6" fillId="16" borderId="4" xfId="0" applyNumberFormat="1" applyFont="1" applyFill="1" applyBorder="1" applyAlignment="1" applyProtection="1">
      <alignment horizontal="center"/>
    </xf>
    <xf numFmtId="173" fontId="5" fillId="16" borderId="51" xfId="0" applyNumberFormat="1" applyFont="1" applyFill="1" applyBorder="1" applyAlignment="1" applyProtection="1">
      <alignment horizontal="center"/>
    </xf>
    <xf numFmtId="173" fontId="5" fillId="16" borderId="51" xfId="0" applyNumberFormat="1" applyFont="1" applyFill="1" applyBorder="1" applyAlignment="1" applyProtection="1"/>
    <xf numFmtId="173" fontId="25" fillId="0" borderId="0" xfId="0" applyFont="1" applyAlignment="1">
      <alignment horizontal="center"/>
    </xf>
    <xf numFmtId="173" fontId="44" fillId="9" borderId="38" xfId="0" applyFont="1" applyFill="1" applyBorder="1" applyAlignment="1">
      <alignment vertical="center"/>
    </xf>
    <xf numFmtId="173" fontId="44" fillId="9" borderId="41" xfId="0" applyFont="1" applyFill="1" applyBorder="1" applyAlignment="1">
      <alignment vertical="center"/>
    </xf>
    <xf numFmtId="173" fontId="49" fillId="3" borderId="53" xfId="0" applyFont="1" applyFill="1" applyBorder="1" applyAlignment="1">
      <alignment horizontal="center" vertical="center"/>
    </xf>
    <xf numFmtId="173" fontId="51" fillId="3" borderId="46" xfId="0" applyFont="1" applyFill="1" applyBorder="1" applyAlignment="1">
      <alignment vertical="center"/>
    </xf>
    <xf numFmtId="173" fontId="25" fillId="9" borderId="76" xfId="0" applyFont="1" applyFill="1" applyBorder="1" applyAlignment="1">
      <alignment vertical="center"/>
    </xf>
    <xf numFmtId="173" fontId="25" fillId="9" borderId="75" xfId="0" applyFont="1" applyFill="1" applyBorder="1" applyAlignment="1">
      <alignment vertical="center"/>
    </xf>
    <xf numFmtId="173" fontId="25" fillId="9" borderId="18" xfId="0" applyFont="1" applyFill="1" applyBorder="1" applyAlignment="1">
      <alignment vertical="center"/>
    </xf>
    <xf numFmtId="173" fontId="25" fillId="9" borderId="27" xfId="0" applyFont="1" applyFill="1" applyBorder="1" applyAlignment="1">
      <alignment vertical="center"/>
    </xf>
    <xf numFmtId="173" fontId="25" fillId="9" borderId="7" xfId="0" applyFont="1" applyFill="1" applyBorder="1" applyAlignment="1">
      <alignment vertical="center"/>
    </xf>
    <xf numFmtId="173" fontId="44" fillId="9" borderId="53" xfId="0" applyFont="1" applyFill="1" applyBorder="1" applyAlignment="1">
      <alignment vertical="center"/>
    </xf>
    <xf numFmtId="22" fontId="0" fillId="0" borderId="0" xfId="0" applyNumberFormat="1"/>
    <xf numFmtId="173" fontId="0" fillId="0" borderId="0" xfId="0" pivotButton="1"/>
    <xf numFmtId="173" fontId="0" fillId="0" borderId="0" xfId="0" applyNumberFormat="1"/>
    <xf numFmtId="173" fontId="18" fillId="6" borderId="72" xfId="1" applyNumberFormat="1" applyFont="1" applyFill="1" applyBorder="1" applyAlignment="1" applyProtection="1">
      <alignment horizontal="center" vertical="center"/>
    </xf>
    <xf numFmtId="173" fontId="18" fillId="6" borderId="40" xfId="1" applyNumberFormat="1" applyFont="1" applyFill="1" applyBorder="1" applyAlignment="1" applyProtection="1">
      <alignment horizontal="center" vertical="center"/>
    </xf>
    <xf numFmtId="1" fontId="0" fillId="0" borderId="0" xfId="0" pivotButton="1" applyNumberFormat="1"/>
    <xf numFmtId="49" fontId="0" fillId="0" borderId="0" xfId="0" applyNumberFormat="1"/>
    <xf numFmtId="1" fontId="0" fillId="0" borderId="0" xfId="0" applyNumberFormat="1"/>
    <xf numFmtId="173" fontId="0" fillId="0" borderId="49" xfId="0" applyBorder="1"/>
    <xf numFmtId="173" fontId="0" fillId="0" borderId="28" xfId="0" applyBorder="1"/>
    <xf numFmtId="49" fontId="0" fillId="0" borderId="99" xfId="0" applyNumberFormat="1" applyBorder="1" applyAlignment="1">
      <alignment horizontal="center"/>
    </xf>
    <xf numFmtId="173" fontId="0" fillId="0" borderId="46" xfId="0" applyBorder="1" applyAlignment="1">
      <alignment horizontal="center"/>
    </xf>
    <xf numFmtId="1" fontId="0" fillId="0" borderId="46" xfId="0" applyNumberFormat="1" applyBorder="1" applyAlignment="1">
      <alignment horizontal="center"/>
    </xf>
    <xf numFmtId="49" fontId="0" fillId="0" borderId="52" xfId="0" applyNumberFormat="1" applyBorder="1" applyAlignment="1">
      <alignment horizontal="center"/>
    </xf>
    <xf numFmtId="173" fontId="0" fillId="0" borderId="18" xfId="0" applyBorder="1" applyAlignment="1">
      <alignment horizontal="center"/>
    </xf>
    <xf numFmtId="1" fontId="0" fillId="0" borderId="18" xfId="0" applyNumberFormat="1" applyBorder="1" applyAlignment="1">
      <alignment horizontal="center"/>
    </xf>
    <xf numFmtId="173" fontId="0" fillId="0" borderId="57" xfId="0" applyBorder="1" applyAlignment="1">
      <alignment horizontal="center"/>
    </xf>
    <xf numFmtId="49" fontId="0" fillId="0" borderId="30" xfId="0" applyNumberFormat="1" applyBorder="1" applyAlignment="1">
      <alignment horizontal="center"/>
    </xf>
    <xf numFmtId="173" fontId="0" fillId="0" borderId="9" xfId="0" applyBorder="1" applyAlignment="1">
      <alignment horizontal="center"/>
    </xf>
    <xf numFmtId="1" fontId="0" fillId="0" borderId="9" xfId="0" applyNumberFormat="1" applyBorder="1" applyAlignment="1">
      <alignment horizontal="center"/>
    </xf>
    <xf numFmtId="173" fontId="0" fillId="0" borderId="29" xfId="0" applyBorder="1" applyAlignment="1">
      <alignment horizontal="center"/>
    </xf>
    <xf numFmtId="49" fontId="0" fillId="0" borderId="100" xfId="0" applyNumberFormat="1" applyBorder="1" applyAlignment="1">
      <alignment horizontal="center"/>
    </xf>
    <xf numFmtId="1" fontId="0" fillId="0" borderId="49" xfId="0" applyNumberFormat="1" applyBorder="1" applyAlignment="1">
      <alignment horizontal="center"/>
    </xf>
    <xf numFmtId="173" fontId="0" fillId="0" borderId="47" xfId="0" applyFill="1" applyBorder="1" applyAlignment="1">
      <alignment horizontal="center"/>
    </xf>
    <xf numFmtId="173" fontId="0" fillId="0" borderId="29" xfId="0" applyFill="1" applyBorder="1" applyAlignment="1">
      <alignment horizontal="center"/>
    </xf>
    <xf numFmtId="173" fontId="0" fillId="0" borderId="49" xfId="0" applyFill="1" applyBorder="1" applyAlignment="1">
      <alignment horizontal="center"/>
    </xf>
    <xf numFmtId="173" fontId="0" fillId="0" borderId="0" xfId="0" applyNumberFormat="1" applyAlignment="1">
      <alignment horizontal="left"/>
    </xf>
    <xf numFmtId="173" fontId="0" fillId="0" borderId="0" xfId="0" applyNumberFormat="1" applyAlignment="1">
      <alignment horizontal="left" indent="1"/>
    </xf>
    <xf numFmtId="173" fontId="0" fillId="0" borderId="0" xfId="0" applyNumberFormat="1" applyAlignment="1">
      <alignment horizontal="left" indent="2"/>
    </xf>
    <xf numFmtId="173" fontId="14" fillId="3" borderId="76" xfId="1" applyNumberFormat="1" applyFont="1" applyFill="1" applyBorder="1" applyAlignment="1" applyProtection="1">
      <alignment horizontal="center" vertical="center"/>
    </xf>
    <xf numFmtId="165" fontId="16" fillId="3" borderId="102" xfId="1" applyNumberFormat="1" applyFont="1" applyFill="1" applyBorder="1" applyAlignment="1" applyProtection="1">
      <alignment horizontal="center" vertical="center"/>
    </xf>
    <xf numFmtId="165" fontId="16" fillId="3" borderId="103" xfId="1" applyNumberFormat="1" applyFont="1" applyFill="1" applyBorder="1" applyAlignment="1" applyProtection="1">
      <alignment horizontal="center" vertical="center"/>
    </xf>
    <xf numFmtId="173" fontId="18" fillId="6" borderId="59" xfId="1" applyNumberFormat="1" applyFont="1" applyFill="1" applyBorder="1" applyAlignment="1" applyProtection="1">
      <alignment horizontal="center" vertical="center"/>
    </xf>
    <xf numFmtId="49" fontId="25" fillId="0" borderId="58" xfId="0" applyNumberFormat="1" applyFont="1" applyBorder="1" applyAlignment="1">
      <alignment horizontal="center" vertical="center"/>
    </xf>
    <xf numFmtId="49" fontId="25" fillId="0" borderId="60" xfId="0" applyNumberFormat="1" applyFont="1" applyBorder="1" applyAlignment="1">
      <alignment horizontal="center" vertical="center"/>
    </xf>
    <xf numFmtId="49" fontId="25" fillId="0" borderId="92" xfId="0" applyNumberFormat="1" applyFont="1" applyBorder="1" applyAlignment="1">
      <alignment horizontal="center" vertical="center"/>
    </xf>
    <xf numFmtId="10" fontId="0" fillId="0" borderId="0" xfId="0" applyNumberFormat="1"/>
    <xf numFmtId="49" fontId="23" fillId="0" borderId="36" xfId="1" applyNumberFormat="1" applyFont="1" applyFill="1" applyBorder="1" applyAlignment="1" applyProtection="1">
      <alignment vertical="center"/>
    </xf>
    <xf numFmtId="2" fontId="0" fillId="0" borderId="0" xfId="0" applyNumberFormat="1"/>
    <xf numFmtId="169" fontId="0" fillId="0" borderId="0" xfId="0" applyNumberFormat="1"/>
    <xf numFmtId="9" fontId="0" fillId="0" borderId="0" xfId="0" applyNumberFormat="1"/>
    <xf numFmtId="165" fontId="27" fillId="0" borderId="48" xfId="0" applyNumberFormat="1" applyFont="1" applyFill="1" applyBorder="1" applyAlignment="1" applyProtection="1">
      <alignment horizontal="center" vertical="center" wrapText="1"/>
    </xf>
    <xf numFmtId="0" fontId="27" fillId="0" borderId="48" xfId="0" applyNumberFormat="1" applyFont="1" applyFill="1" applyBorder="1" applyAlignment="1" applyProtection="1">
      <alignment horizontal="center" vertical="center" wrapText="1"/>
    </xf>
    <xf numFmtId="173" fontId="35" fillId="0" borderId="48" xfId="0" applyNumberFormat="1" applyFont="1" applyFill="1" applyBorder="1" applyAlignment="1" applyProtection="1">
      <alignment horizontal="center" vertical="center" wrapText="1"/>
    </xf>
    <xf numFmtId="0" fontId="27" fillId="0" borderId="9" xfId="0" applyNumberFormat="1" applyFont="1" applyFill="1" applyBorder="1" applyAlignment="1" applyProtection="1">
      <alignment horizontal="center" vertical="center" wrapText="1"/>
    </xf>
    <xf numFmtId="173" fontId="35" fillId="0" borderId="9" xfId="0" applyNumberFormat="1" applyFont="1" applyFill="1" applyBorder="1" applyAlignment="1" applyProtection="1">
      <alignment horizontal="center" vertical="center" wrapText="1"/>
    </xf>
    <xf numFmtId="173" fontId="34" fillId="0" borderId="48" xfId="0" applyNumberFormat="1" applyFont="1" applyFill="1" applyBorder="1" applyAlignment="1" applyProtection="1">
      <alignment horizontal="center" vertical="center"/>
    </xf>
    <xf numFmtId="173" fontId="34" fillId="0" borderId="9" xfId="0" applyNumberFormat="1" applyFont="1" applyFill="1" applyBorder="1" applyAlignment="1" applyProtection="1">
      <alignment horizontal="center" vertical="center"/>
    </xf>
    <xf numFmtId="173" fontId="27" fillId="0" borderId="48" xfId="0" applyNumberFormat="1" applyFont="1" applyFill="1" applyBorder="1" applyAlignment="1" applyProtection="1">
      <alignment horizontal="center" vertical="center" wrapText="1"/>
    </xf>
    <xf numFmtId="173" fontId="27" fillId="0" borderId="9" xfId="0" applyNumberFormat="1" applyFont="1" applyFill="1" applyBorder="1" applyAlignment="1" applyProtection="1">
      <alignment horizontal="center" vertical="center" wrapText="1"/>
    </xf>
    <xf numFmtId="173" fontId="27" fillId="0" borderId="69" xfId="0" applyNumberFormat="1" applyFont="1" applyFill="1" applyBorder="1" applyAlignment="1" applyProtection="1">
      <alignment vertical="center"/>
    </xf>
    <xf numFmtId="173" fontId="27" fillId="0" borderId="62" xfId="0" applyNumberFormat="1" applyFont="1" applyFill="1" applyBorder="1" applyAlignment="1" applyProtection="1">
      <alignment vertical="center"/>
    </xf>
    <xf numFmtId="1" fontId="27" fillId="0" borderId="48" xfId="3" applyNumberFormat="1" applyFont="1" applyFill="1" applyBorder="1" applyAlignment="1" applyProtection="1">
      <alignment horizontal="center" vertical="center"/>
    </xf>
    <xf numFmtId="1" fontId="27" fillId="0" borderId="9" xfId="3" applyNumberFormat="1" applyFont="1" applyFill="1" applyBorder="1" applyAlignment="1" applyProtection="1">
      <alignment horizontal="center" vertical="center"/>
    </xf>
    <xf numFmtId="173" fontId="34" fillId="6" borderId="9" xfId="0" applyNumberFormat="1" applyFont="1" applyFill="1" applyBorder="1" applyAlignment="1" applyProtection="1">
      <alignment horizontal="center" vertical="center"/>
    </xf>
    <xf numFmtId="173" fontId="34" fillId="6" borderId="48" xfId="0" applyNumberFormat="1" applyFont="1" applyFill="1" applyBorder="1" applyAlignment="1" applyProtection="1">
      <alignment horizontal="center" vertical="center"/>
    </xf>
    <xf numFmtId="173" fontId="34" fillId="6" borderId="49" xfId="0" applyNumberFormat="1" applyFont="1" applyFill="1" applyBorder="1" applyAlignment="1" applyProtection="1">
      <alignment horizontal="center" vertical="center"/>
    </xf>
    <xf numFmtId="0" fontId="27" fillId="0" borderId="49" xfId="0" applyNumberFormat="1" applyFont="1" applyFill="1" applyBorder="1" applyAlignment="1" applyProtection="1">
      <alignment horizontal="center" vertical="center" wrapText="1"/>
    </xf>
    <xf numFmtId="49" fontId="27" fillId="0" borderId="49" xfId="0" applyNumberFormat="1" applyFont="1" applyFill="1" applyBorder="1" applyAlignment="1" applyProtection="1">
      <alignment horizontal="center" vertical="center" wrapText="1"/>
      <protection locked="0"/>
    </xf>
    <xf numFmtId="165" fontId="27" fillId="0" borderId="49" xfId="0" applyNumberFormat="1" applyFont="1" applyFill="1" applyBorder="1" applyAlignment="1" applyProtection="1">
      <alignment horizontal="center" vertical="center" wrapText="1"/>
    </xf>
    <xf numFmtId="173" fontId="35" fillId="0" borderId="49" xfId="0" applyNumberFormat="1" applyFont="1" applyFill="1" applyBorder="1" applyAlignment="1" applyProtection="1">
      <alignment horizontal="center" vertical="center" wrapText="1"/>
    </xf>
    <xf numFmtId="173" fontId="36" fillId="0" borderId="49" xfId="0" applyNumberFormat="1" applyFont="1" applyFill="1" applyBorder="1" applyAlignment="1" applyProtection="1">
      <alignment horizontal="center" vertical="center" wrapText="1"/>
      <protection locked="0"/>
    </xf>
    <xf numFmtId="1" fontId="35" fillId="0" borderId="49" xfId="0" applyNumberFormat="1" applyFont="1" applyFill="1" applyBorder="1" applyAlignment="1" applyProtection="1">
      <alignment horizontal="center" vertical="center" wrapText="1"/>
    </xf>
    <xf numFmtId="173" fontId="27" fillId="0" borderId="49" xfId="0" applyNumberFormat="1" applyFont="1" applyFill="1" applyBorder="1" applyAlignment="1" applyProtection="1">
      <alignment horizontal="center" vertical="center" wrapText="1"/>
    </xf>
    <xf numFmtId="173" fontId="27" fillId="0" borderId="101" xfId="0" applyNumberFormat="1" applyFont="1" applyFill="1" applyBorder="1" applyAlignment="1" applyProtection="1">
      <alignment vertical="center"/>
    </xf>
    <xf numFmtId="173" fontId="8" fillId="16" borderId="0" xfId="0" applyNumberFormat="1" applyFont="1" applyFill="1" applyBorder="1" applyAlignment="1" applyProtection="1">
      <alignment horizontal="center"/>
    </xf>
    <xf numFmtId="173" fontId="27" fillId="15" borderId="30" xfId="0" applyNumberFormat="1" applyFont="1" applyFill="1" applyBorder="1" applyAlignment="1" applyProtection="1">
      <alignment horizontal="center" vertical="center" wrapText="1"/>
    </xf>
    <xf numFmtId="1" fontId="27" fillId="15" borderId="9" xfId="0" applyNumberFormat="1" applyFont="1" applyFill="1" applyBorder="1" applyAlignment="1" applyProtection="1">
      <alignment horizontal="center" vertical="center" wrapText="1"/>
    </xf>
    <xf numFmtId="15" fontId="42" fillId="16" borderId="30" xfId="0" applyNumberFormat="1" applyFont="1" applyFill="1" applyBorder="1" applyAlignment="1" applyProtection="1">
      <alignment horizontal="center" vertical="center" wrapText="1"/>
    </xf>
    <xf numFmtId="1" fontId="27" fillId="6" borderId="9" xfId="0" applyNumberFormat="1" applyFont="1" applyFill="1" applyBorder="1" applyAlignment="1" applyProtection="1">
      <alignment horizontal="center" vertical="center" wrapText="1"/>
    </xf>
    <xf numFmtId="173" fontId="27" fillId="0" borderId="30" xfId="0" applyNumberFormat="1" applyFont="1" applyFill="1" applyBorder="1" applyAlignment="1" applyProtection="1">
      <alignment horizontal="center" vertical="center" wrapText="1"/>
    </xf>
    <xf numFmtId="165" fontId="27" fillId="9" borderId="29" xfId="0" applyNumberFormat="1" applyFont="1" applyFill="1" applyBorder="1" applyAlignment="1" applyProtection="1">
      <alignment horizontal="center" vertical="center" wrapText="1"/>
    </xf>
    <xf numFmtId="169" fontId="27" fillId="15" borderId="29" xfId="0" applyNumberFormat="1" applyFont="1" applyFill="1" applyBorder="1" applyAlignment="1" applyProtection="1">
      <alignment horizontal="center" vertical="center" wrapText="1"/>
    </xf>
    <xf numFmtId="165" fontId="27" fillId="0" borderId="28" xfId="0" applyNumberFormat="1" applyFont="1" applyFill="1" applyBorder="1" applyAlignment="1" applyProtection="1">
      <alignment horizontal="center" vertical="center" wrapText="1"/>
    </xf>
    <xf numFmtId="1" fontId="6" fillId="0" borderId="9" xfId="0" applyNumberFormat="1" applyFont="1" applyBorder="1" applyAlignment="1" applyProtection="1">
      <alignment horizontal="center" vertical="center"/>
    </xf>
    <xf numFmtId="169" fontId="6" fillId="0" borderId="80" xfId="0" applyNumberFormat="1" applyFont="1" applyFill="1" applyBorder="1" applyAlignment="1" applyProtection="1">
      <alignment horizontal="center" vertical="center"/>
    </xf>
    <xf numFmtId="169" fontId="6" fillId="0" borderId="23" xfId="0" applyNumberFormat="1" applyFont="1" applyFill="1" applyBorder="1" applyAlignment="1" applyProtection="1">
      <alignment horizontal="center" vertical="center"/>
    </xf>
    <xf numFmtId="1" fontId="6" fillId="0" borderId="114" xfId="0" applyNumberFormat="1" applyFont="1" applyFill="1" applyBorder="1" applyAlignment="1" applyProtection="1">
      <alignment horizontal="center" vertical="center"/>
    </xf>
    <xf numFmtId="1" fontId="6" fillId="0" borderId="18" xfId="0" applyNumberFormat="1" applyFont="1" applyFill="1" applyBorder="1" applyAlignment="1" applyProtection="1">
      <alignment horizontal="center" vertical="center"/>
    </xf>
    <xf numFmtId="1" fontId="6" fillId="0" borderId="18" xfId="0" applyNumberFormat="1" applyFont="1" applyBorder="1" applyAlignment="1" applyProtection="1">
      <alignment horizontal="center" vertical="center"/>
    </xf>
    <xf numFmtId="173" fontId="0" fillId="0" borderId="0" xfId="0" applyBorder="1"/>
    <xf numFmtId="170" fontId="6" fillId="6" borderId="112" xfId="0" applyNumberFormat="1" applyFont="1" applyFill="1" applyBorder="1" applyAlignment="1" applyProtection="1">
      <alignment horizontal="left" vertical="center" wrapText="1"/>
    </xf>
    <xf numFmtId="170" fontId="6" fillId="6" borderId="80" xfId="0" applyNumberFormat="1" applyFont="1" applyFill="1" applyBorder="1" applyAlignment="1" applyProtection="1">
      <alignment horizontal="left" vertical="center" wrapText="1"/>
    </xf>
    <xf numFmtId="170" fontId="6" fillId="6" borderId="79" xfId="0" applyNumberFormat="1" applyFont="1" applyFill="1" applyBorder="1" applyAlignment="1" applyProtection="1">
      <alignment horizontal="left" vertical="center" wrapText="1"/>
    </xf>
    <xf numFmtId="173" fontId="25" fillId="0" borderId="81" xfId="0" applyFont="1" applyBorder="1" applyAlignment="1">
      <alignment horizontal="center" vertical="center"/>
    </xf>
    <xf numFmtId="173" fontId="25" fillId="0" borderId="113" xfId="0" applyFont="1" applyBorder="1" applyAlignment="1">
      <alignment horizontal="center" vertical="center"/>
    </xf>
    <xf numFmtId="49" fontId="6" fillId="6" borderId="6" xfId="0" applyNumberFormat="1" applyFont="1" applyFill="1" applyBorder="1" applyAlignment="1" applyProtection="1">
      <alignment horizontal="center" vertical="center"/>
    </xf>
    <xf numFmtId="49" fontId="6" fillId="6" borderId="9" xfId="0" applyNumberFormat="1" applyFont="1" applyFill="1" applyBorder="1" applyAlignment="1" applyProtection="1">
      <alignment horizontal="center" vertical="center"/>
    </xf>
    <xf numFmtId="1" fontId="6" fillId="0" borderId="79" xfId="0" applyNumberFormat="1" applyFont="1" applyFill="1" applyBorder="1" applyAlignment="1" applyProtection="1">
      <alignment horizontal="center" vertical="center"/>
    </xf>
    <xf numFmtId="1" fontId="6" fillId="0" borderId="6" xfId="0" applyNumberFormat="1" applyFont="1" applyBorder="1" applyAlignment="1" applyProtection="1">
      <alignment horizontal="center" vertical="center"/>
    </xf>
    <xf numFmtId="1" fontId="6" fillId="0" borderId="6" xfId="0" applyNumberFormat="1" applyFont="1" applyFill="1" applyBorder="1" applyAlignment="1" applyProtection="1">
      <alignment horizontal="center" vertical="center"/>
    </xf>
    <xf numFmtId="1" fontId="6" fillId="0" borderId="81" xfId="0" applyNumberFormat="1" applyFont="1" applyBorder="1" applyAlignment="1" applyProtection="1">
      <alignment horizontal="center" vertical="center"/>
    </xf>
    <xf numFmtId="169" fontId="6" fillId="0" borderId="82" xfId="0" applyNumberFormat="1" applyFont="1" applyFill="1" applyBorder="1" applyAlignment="1" applyProtection="1">
      <alignment horizontal="center" vertical="center"/>
    </xf>
    <xf numFmtId="170" fontId="6" fillId="4" borderId="115" xfId="0" applyNumberFormat="1" applyFont="1" applyFill="1" applyBorder="1" applyAlignment="1" applyProtection="1">
      <alignment horizontal="center" vertical="center"/>
    </xf>
    <xf numFmtId="170" fontId="6" fillId="4" borderId="116" xfId="0" applyNumberFormat="1" applyFont="1" applyFill="1" applyBorder="1" applyAlignment="1" applyProtection="1">
      <alignment horizontal="center" vertical="center"/>
    </xf>
    <xf numFmtId="170" fontId="6" fillId="4" borderId="117" xfId="0" applyNumberFormat="1" applyFont="1" applyFill="1" applyBorder="1" applyAlignment="1" applyProtection="1">
      <alignment horizontal="center" vertical="center"/>
    </xf>
    <xf numFmtId="49" fontId="6" fillId="4" borderId="117" xfId="0" applyNumberFormat="1" applyFont="1" applyFill="1" applyBorder="1" applyAlignment="1" applyProtection="1">
      <alignment horizontal="center" vertical="center"/>
    </xf>
    <xf numFmtId="173" fontId="0" fillId="0" borderId="3" xfId="0" applyBorder="1"/>
    <xf numFmtId="173" fontId="0" fillId="0" borderId="4" xfId="0" applyBorder="1"/>
    <xf numFmtId="170" fontId="6" fillId="0" borderId="112" xfId="0" applyNumberFormat="1" applyFont="1" applyBorder="1" applyAlignment="1" applyProtection="1">
      <alignment wrapText="1"/>
      <protection locked="0"/>
    </xf>
    <xf numFmtId="170" fontId="6" fillId="0" borderId="80" xfId="0" applyNumberFormat="1" applyFont="1" applyFill="1" applyBorder="1" applyAlignment="1" applyProtection="1">
      <alignment wrapText="1"/>
      <protection locked="0"/>
    </xf>
    <xf numFmtId="170" fontId="6" fillId="0" borderId="5" xfId="0" applyNumberFormat="1" applyFont="1" applyBorder="1"/>
    <xf numFmtId="170" fontId="6" fillId="0" borderId="125" xfId="0" applyNumberFormat="1" applyFont="1" applyBorder="1"/>
    <xf numFmtId="170" fontId="6" fillId="0" borderId="114" xfId="0" applyNumberFormat="1" applyFont="1" applyFill="1" applyBorder="1" applyAlignment="1">
      <alignment wrapText="1"/>
    </xf>
    <xf numFmtId="3" fontId="6" fillId="0" borderId="9" xfId="0" applyNumberFormat="1" applyFont="1" applyBorder="1" applyAlignment="1" applyProtection="1">
      <alignment horizontal="center" vertical="center"/>
    </xf>
    <xf numFmtId="10" fontId="6" fillId="0" borderId="113" xfId="0" applyNumberFormat="1" applyFont="1" applyBorder="1" applyAlignment="1" applyProtection="1">
      <alignment horizontal="center" vertical="center"/>
    </xf>
    <xf numFmtId="10" fontId="25" fillId="0" borderId="113" xfId="0" applyNumberFormat="1" applyFont="1" applyBorder="1" applyAlignment="1" applyProtection="1">
      <alignment horizontal="center" vertical="center"/>
    </xf>
    <xf numFmtId="49" fontId="6" fillId="6" borderId="23" xfId="0" applyNumberFormat="1" applyFont="1" applyFill="1" applyBorder="1" applyAlignment="1" applyProtection="1">
      <alignment horizontal="center" vertical="center"/>
    </xf>
    <xf numFmtId="173" fontId="25" fillId="0" borderId="82" xfId="0" applyFont="1" applyBorder="1" applyAlignment="1">
      <alignment horizontal="center" vertical="center"/>
    </xf>
    <xf numFmtId="173" fontId="0" fillId="0" borderId="121" xfId="0" applyBorder="1"/>
    <xf numFmtId="173" fontId="0" fillId="0" borderId="34" xfId="0" applyBorder="1"/>
    <xf numFmtId="173" fontId="0" fillId="0" borderId="122" xfId="0" applyBorder="1"/>
    <xf numFmtId="173" fontId="0" fillId="0" borderId="126" xfId="0" applyBorder="1"/>
    <xf numFmtId="170" fontId="25" fillId="0" borderId="127" xfId="0" applyNumberFormat="1" applyFont="1" applyBorder="1" applyAlignment="1" applyProtection="1">
      <alignment horizontal="center" vertical="center"/>
      <protection locked="0"/>
    </xf>
    <xf numFmtId="173" fontId="25" fillId="0" borderId="76" xfId="0" applyFont="1" applyBorder="1" applyAlignment="1" applyProtection="1">
      <alignment horizontal="center" vertical="center"/>
      <protection locked="0"/>
    </xf>
    <xf numFmtId="170" fontId="25" fillId="0" borderId="119" xfId="0" applyNumberFormat="1" applyFont="1" applyBorder="1" applyAlignment="1" applyProtection="1">
      <alignment horizontal="center" vertical="center"/>
      <protection locked="0"/>
    </xf>
    <xf numFmtId="173" fontId="25" fillId="0" borderId="26" xfId="0" applyFont="1" applyBorder="1" applyAlignment="1" applyProtection="1">
      <alignment horizontal="center" vertical="center"/>
      <protection locked="0"/>
    </xf>
    <xf numFmtId="170" fontId="25" fillId="0" borderId="129" xfId="0" applyNumberFormat="1" applyFont="1" applyBorder="1" applyAlignment="1" applyProtection="1">
      <alignment horizontal="center" vertical="center"/>
      <protection locked="0"/>
    </xf>
    <xf numFmtId="173" fontId="25" fillId="0" borderId="7" xfId="0" applyFont="1" applyBorder="1" applyAlignment="1" applyProtection="1">
      <alignment horizontal="center" vertical="center"/>
      <protection locked="0"/>
    </xf>
    <xf numFmtId="178" fontId="31" fillId="10" borderId="40" xfId="0" applyNumberFormat="1" applyFont="1" applyFill="1" applyBorder="1" applyAlignment="1">
      <alignment horizontal="left" vertical="center" wrapText="1"/>
    </xf>
    <xf numFmtId="170" fontId="6" fillId="4" borderId="128" xfId="0" applyNumberFormat="1" applyFont="1" applyFill="1" applyBorder="1" applyAlignment="1" applyProtection="1">
      <alignment horizontal="center" vertical="center"/>
    </xf>
    <xf numFmtId="170" fontId="6" fillId="4" borderId="46" xfId="0" applyNumberFormat="1" applyFont="1" applyFill="1" applyBorder="1" applyAlignment="1" applyProtection="1">
      <alignment horizontal="center" vertical="center" wrapText="1"/>
    </xf>
    <xf numFmtId="170" fontId="6" fillId="4" borderId="84" xfId="0" applyNumberFormat="1" applyFont="1" applyFill="1" applyBorder="1" applyAlignment="1" applyProtection="1">
      <alignment horizontal="center" vertical="center" wrapText="1"/>
    </xf>
    <xf numFmtId="173" fontId="25" fillId="0" borderId="0" xfId="0" applyFont="1" applyBorder="1"/>
    <xf numFmtId="49" fontId="25" fillId="0" borderId="76" xfId="0" applyNumberFormat="1" applyFont="1" applyBorder="1" applyAlignment="1" applyProtection="1">
      <alignment horizontal="center" vertical="center"/>
      <protection locked="0"/>
    </xf>
    <xf numFmtId="49" fontId="25" fillId="0" borderId="26" xfId="0" applyNumberFormat="1" applyFont="1" applyBorder="1" applyAlignment="1" applyProtection="1">
      <alignment horizontal="center" vertical="center"/>
      <protection locked="0"/>
    </xf>
    <xf numFmtId="49" fontId="25" fillId="0" borderId="7" xfId="0" applyNumberFormat="1" applyFont="1" applyBorder="1" applyAlignment="1" applyProtection="1">
      <alignment horizontal="center" vertical="center"/>
      <protection locked="0"/>
    </xf>
    <xf numFmtId="49" fontId="5" fillId="0" borderId="9" xfId="1" applyNumberFormat="1" applyFont="1" applyFill="1" applyBorder="1" applyAlignment="1" applyProtection="1">
      <alignment horizontal="center" vertical="center"/>
      <protection locked="0"/>
    </xf>
    <xf numFmtId="1" fontId="6" fillId="6" borderId="6" xfId="0" applyNumberFormat="1" applyFont="1" applyFill="1" applyBorder="1" applyAlignment="1" applyProtection="1">
      <alignment horizontal="center" vertical="center"/>
    </xf>
    <xf numFmtId="1" fontId="6" fillId="6" borderId="9" xfId="0" applyNumberFormat="1" applyFont="1" applyFill="1" applyBorder="1" applyAlignment="1" applyProtection="1">
      <alignment horizontal="center" vertical="center"/>
    </xf>
    <xf numFmtId="1" fontId="25" fillId="0" borderId="9" xfId="0" applyNumberFormat="1" applyFont="1" applyBorder="1" applyAlignment="1">
      <alignment horizontal="center"/>
    </xf>
    <xf numFmtId="1" fontId="25" fillId="0" borderId="23" xfId="0" applyNumberFormat="1" applyFont="1" applyBorder="1" applyAlignment="1">
      <alignment horizontal="center"/>
    </xf>
    <xf numFmtId="10" fontId="25" fillId="0" borderId="113" xfId="0" applyNumberFormat="1" applyFont="1" applyBorder="1" applyAlignment="1">
      <alignment horizontal="center" vertical="center"/>
    </xf>
    <xf numFmtId="0" fontId="0" fillId="0" borderId="0" xfId="0" applyNumberFormat="1" applyAlignment="1">
      <alignment horizontal="center"/>
    </xf>
    <xf numFmtId="0" fontId="0" fillId="0" borderId="0" xfId="0" applyNumberFormat="1" applyFill="1" applyAlignment="1">
      <alignment horizontal="center"/>
    </xf>
    <xf numFmtId="1" fontId="0" fillId="7" borderId="0" xfId="0" applyNumberFormat="1" applyFill="1"/>
    <xf numFmtId="173" fontId="0" fillId="0" borderId="0" xfId="0" applyAlignment="1">
      <alignment vertical="center"/>
    </xf>
    <xf numFmtId="165" fontId="9" fillId="6" borderId="0" xfId="1" applyNumberFormat="1" applyFont="1" applyFill="1" applyBorder="1" applyAlignment="1" applyProtection="1">
      <alignment horizontal="center"/>
    </xf>
    <xf numFmtId="2" fontId="13" fillId="6" borderId="51" xfId="1" applyNumberFormat="1" applyFont="1" applyFill="1" applyBorder="1" applyAlignment="1" applyProtection="1">
      <alignment horizontal="center" vertical="center"/>
      <protection locked="0"/>
    </xf>
    <xf numFmtId="173" fontId="0" fillId="0" borderId="1" xfId="0" applyBorder="1"/>
    <xf numFmtId="173" fontId="0" fillId="0" borderId="2" xfId="0" applyBorder="1"/>
    <xf numFmtId="173" fontId="0" fillId="0" borderId="83" xfId="0" applyBorder="1"/>
    <xf numFmtId="173" fontId="0" fillId="6" borderId="122" xfId="0" applyFill="1" applyBorder="1"/>
    <xf numFmtId="173" fontId="0" fillId="0" borderId="132" xfId="0" applyBorder="1"/>
    <xf numFmtId="173" fontId="14" fillId="3" borderId="127" xfId="1" applyNumberFormat="1" applyFont="1" applyFill="1" applyBorder="1" applyAlignment="1" applyProtection="1">
      <alignment horizontal="center" vertical="center"/>
    </xf>
    <xf numFmtId="173" fontId="14" fillId="3" borderId="119" xfId="1" applyNumberFormat="1" applyFont="1" applyFill="1" applyBorder="1" applyAlignment="1" applyProtection="1">
      <alignment horizontal="center" vertical="center"/>
    </xf>
    <xf numFmtId="1" fontId="18" fillId="0" borderId="112" xfId="1" applyNumberFormat="1" applyFont="1" applyFill="1" applyBorder="1" applyAlignment="1" applyProtection="1">
      <alignment horizontal="center" vertical="center"/>
    </xf>
    <xf numFmtId="1" fontId="18" fillId="0" borderId="134" xfId="1" applyNumberFormat="1" applyFont="1" applyFill="1" applyBorder="1" applyAlignment="1" applyProtection="1">
      <alignment horizontal="center" vertical="center"/>
    </xf>
    <xf numFmtId="173" fontId="0" fillId="17" borderId="54" xfId="0" applyFill="1" applyBorder="1"/>
    <xf numFmtId="173" fontId="0" fillId="17" borderId="34" xfId="0" applyFill="1" applyBorder="1"/>
    <xf numFmtId="173" fontId="0" fillId="17" borderId="109" xfId="0" applyFill="1" applyBorder="1"/>
    <xf numFmtId="173" fontId="0" fillId="17" borderId="31" xfId="0" applyFill="1" applyBorder="1"/>
    <xf numFmtId="173" fontId="0" fillId="17" borderId="0" xfId="0" applyFill="1" applyBorder="1"/>
    <xf numFmtId="173" fontId="0" fillId="17" borderId="3" xfId="0" applyFill="1" applyBorder="1"/>
    <xf numFmtId="1" fontId="25" fillId="0" borderId="96" xfId="0" applyNumberFormat="1" applyFont="1" applyBorder="1" applyAlignment="1">
      <alignment horizontal="center" vertical="center"/>
    </xf>
    <xf numFmtId="1" fontId="25" fillId="0" borderId="8" xfId="0" applyNumberFormat="1" applyFont="1" applyBorder="1" applyAlignment="1">
      <alignment horizontal="center" vertical="center"/>
    </xf>
    <xf numFmtId="1" fontId="25" fillId="0" borderId="68" xfId="0" applyNumberFormat="1" applyFont="1" applyBorder="1" applyAlignment="1">
      <alignment horizontal="center" vertical="center"/>
    </xf>
    <xf numFmtId="173" fontId="0" fillId="17" borderId="51" xfId="0" applyFill="1" applyBorder="1"/>
    <xf numFmtId="173" fontId="0" fillId="17" borderId="83" xfId="0" applyFill="1" applyBorder="1"/>
    <xf numFmtId="173" fontId="18" fillId="6" borderId="73" xfId="1" applyNumberFormat="1" applyFont="1" applyFill="1" applyBorder="1" applyAlignment="1" applyProtection="1">
      <alignment horizontal="center" vertical="center"/>
    </xf>
    <xf numFmtId="170" fontId="6" fillId="4" borderId="135" xfId="0" applyNumberFormat="1" applyFont="1" applyFill="1" applyBorder="1" applyAlignment="1" applyProtection="1">
      <alignment horizontal="center" vertical="center"/>
    </xf>
    <xf numFmtId="170" fontId="6" fillId="4" borderId="74" xfId="0" applyNumberFormat="1" applyFont="1" applyFill="1" applyBorder="1" applyAlignment="1" applyProtection="1">
      <alignment horizontal="center" vertical="center" wrapText="1"/>
    </xf>
    <xf numFmtId="170" fontId="6" fillId="4" borderId="75" xfId="0" applyNumberFormat="1" applyFont="1" applyFill="1" applyBorder="1" applyAlignment="1" applyProtection="1">
      <alignment horizontal="center" vertical="center" wrapText="1"/>
    </xf>
    <xf numFmtId="170" fontId="6" fillId="4" borderId="51" xfId="0" applyNumberFormat="1" applyFont="1" applyFill="1" applyBorder="1" applyAlignment="1" applyProtection="1">
      <alignment horizontal="center" vertical="center" wrapText="1"/>
    </xf>
    <xf numFmtId="173" fontId="0" fillId="17" borderId="66" xfId="0" applyFill="1" applyBorder="1"/>
    <xf numFmtId="49" fontId="5" fillId="18" borderId="9" xfId="1" applyNumberFormat="1" applyFont="1" applyFill="1" applyBorder="1" applyAlignment="1" applyProtection="1">
      <alignment horizontal="center" vertical="center"/>
      <protection locked="0"/>
    </xf>
    <xf numFmtId="1" fontId="6" fillId="17" borderId="108" xfId="0" applyNumberFormat="1" applyFont="1" applyFill="1" applyBorder="1" applyAlignment="1" applyProtection="1">
      <alignment horizontal="center" vertical="center"/>
    </xf>
    <xf numFmtId="1" fontId="6" fillId="17" borderId="41" xfId="0" applyNumberFormat="1" applyFont="1" applyFill="1" applyBorder="1" applyAlignment="1" applyProtection="1">
      <alignment horizontal="center" vertical="center"/>
    </xf>
    <xf numFmtId="173" fontId="25" fillId="0" borderId="119" xfId="0" applyFont="1" applyBorder="1" applyAlignment="1">
      <alignment horizontal="center"/>
    </xf>
    <xf numFmtId="173" fontId="25" fillId="0" borderId="129" xfId="0" applyFont="1" applyBorder="1" applyAlignment="1">
      <alignment horizontal="center"/>
    </xf>
    <xf numFmtId="173" fontId="25" fillId="0" borderId="26" xfId="0" applyFont="1" applyBorder="1" applyAlignment="1">
      <alignment horizontal="center"/>
    </xf>
    <xf numFmtId="173" fontId="25" fillId="0" borderId="7" xfId="0" applyFont="1" applyBorder="1" applyAlignment="1">
      <alignment horizontal="center"/>
    </xf>
    <xf numFmtId="173" fontId="25" fillId="0" borderId="8" xfId="0" applyFont="1" applyBorder="1" applyAlignment="1"/>
    <xf numFmtId="173" fontId="25" fillId="0" borderId="68" xfId="0" applyFont="1" applyBorder="1" applyAlignment="1"/>
    <xf numFmtId="170" fontId="6" fillId="17" borderId="128" xfId="0" applyNumberFormat="1" applyFont="1" applyFill="1" applyBorder="1" applyAlignment="1" applyProtection="1">
      <alignment horizontal="center" vertical="center"/>
    </xf>
    <xf numFmtId="170" fontId="6" fillId="17" borderId="46" xfId="0" applyNumberFormat="1" applyFont="1" applyFill="1" applyBorder="1" applyAlignment="1" applyProtection="1">
      <alignment horizontal="center" vertical="center"/>
    </xf>
    <xf numFmtId="165" fontId="6" fillId="17" borderId="46" xfId="0" applyNumberFormat="1" applyFont="1" applyFill="1" applyBorder="1" applyAlignment="1" applyProtection="1">
      <alignment horizontal="center" vertical="center"/>
    </xf>
    <xf numFmtId="173" fontId="25" fillId="17" borderId="137" xfId="0" applyFont="1" applyFill="1" applyBorder="1" applyAlignment="1">
      <alignment horizontal="center" vertical="center"/>
    </xf>
    <xf numFmtId="179" fontId="25" fillId="0" borderId="0" xfId="0" applyNumberFormat="1" applyFont="1" applyBorder="1" applyAlignment="1">
      <alignment horizontal="center"/>
    </xf>
    <xf numFmtId="179" fontId="25" fillId="0" borderId="4" xfId="0" applyNumberFormat="1" applyFont="1" applyBorder="1" applyAlignment="1">
      <alignment horizontal="center"/>
    </xf>
    <xf numFmtId="173" fontId="25" fillId="0" borderId="0" xfId="0" applyFont="1"/>
    <xf numFmtId="1" fontId="0" fillId="0" borderId="0" xfId="0" applyNumberFormat="1" applyFill="1"/>
    <xf numFmtId="1" fontId="6" fillId="0" borderId="46" xfId="0" applyNumberFormat="1" applyFont="1" applyFill="1" applyBorder="1" applyAlignment="1" applyProtection="1">
      <alignment horizontal="center" vertical="center"/>
    </xf>
    <xf numFmtId="1" fontId="6" fillId="0" borderId="137" xfId="0" applyNumberFormat="1" applyFont="1" applyFill="1" applyBorder="1" applyAlignment="1" applyProtection="1">
      <alignment horizontal="center" vertical="center"/>
    </xf>
    <xf numFmtId="0" fontId="25" fillId="0" borderId="76" xfId="0" applyNumberFormat="1" applyFont="1" applyBorder="1" applyAlignment="1">
      <alignment horizontal="center"/>
    </xf>
    <xf numFmtId="0" fontId="25" fillId="0" borderId="26" xfId="0" applyNumberFormat="1" applyFont="1" applyBorder="1" applyAlignment="1">
      <alignment horizontal="center"/>
    </xf>
    <xf numFmtId="0" fontId="25" fillId="0" borderId="7" xfId="0" applyNumberFormat="1" applyFont="1" applyBorder="1" applyAlignment="1">
      <alignment horizontal="center"/>
    </xf>
    <xf numFmtId="0" fontId="52" fillId="0" borderId="127" xfId="0" applyNumberFormat="1" applyFont="1" applyFill="1" applyBorder="1" applyAlignment="1" applyProtection="1">
      <alignment horizontal="center" vertical="center"/>
    </xf>
    <xf numFmtId="0" fontId="6" fillId="0" borderId="26" xfId="0" applyNumberFormat="1" applyFont="1" applyFill="1" applyBorder="1" applyAlignment="1" applyProtection="1">
      <alignment horizontal="center" vertical="center"/>
    </xf>
    <xf numFmtId="0" fontId="6" fillId="0" borderId="0" xfId="0" applyNumberFormat="1" applyFont="1" applyFill="1" applyBorder="1" applyAlignment="1" applyProtection="1">
      <alignment horizontal="center" vertical="center"/>
    </xf>
    <xf numFmtId="0" fontId="52" fillId="0" borderId="119" xfId="0" applyNumberFormat="1" applyFont="1" applyFill="1" applyBorder="1" applyAlignment="1" applyProtection="1">
      <alignment horizontal="center" vertical="center"/>
    </xf>
    <xf numFmtId="0" fontId="6" fillId="0" borderId="0" xfId="0" applyNumberFormat="1" applyFont="1" applyBorder="1" applyAlignment="1" applyProtection="1">
      <alignment horizontal="center" vertical="center"/>
    </xf>
    <xf numFmtId="0" fontId="6" fillId="0" borderId="26" xfId="0" applyNumberFormat="1" applyFont="1" applyBorder="1" applyAlignment="1" applyProtection="1">
      <alignment horizontal="center" vertical="center"/>
    </xf>
    <xf numFmtId="0" fontId="52" fillId="0" borderId="129" xfId="0" applyNumberFormat="1" applyFont="1" applyFill="1" applyBorder="1" applyAlignment="1" applyProtection="1">
      <alignment horizontal="center" vertical="center"/>
    </xf>
    <xf numFmtId="0" fontId="6" fillId="0" borderId="7" xfId="0" applyNumberFormat="1" applyFont="1" applyBorder="1" applyAlignment="1" applyProtection="1">
      <alignment horizontal="center" vertical="center"/>
    </xf>
    <xf numFmtId="0" fontId="6" fillId="0" borderId="4" xfId="0" applyNumberFormat="1" applyFont="1" applyBorder="1" applyAlignment="1" applyProtection="1">
      <alignment horizontal="center" vertical="center"/>
    </xf>
    <xf numFmtId="0" fontId="6" fillId="0" borderId="76" xfId="0" applyNumberFormat="1" applyFont="1" applyFill="1" applyBorder="1" applyAlignment="1" applyProtection="1">
      <alignment horizontal="left" vertical="center"/>
    </xf>
    <xf numFmtId="0" fontId="6" fillId="0" borderId="26" xfId="0" applyNumberFormat="1" applyFont="1" applyFill="1" applyBorder="1" applyAlignment="1" applyProtection="1">
      <alignment horizontal="left" vertical="center"/>
    </xf>
    <xf numFmtId="0" fontId="6" fillId="0" borderId="7" xfId="0" applyNumberFormat="1" applyFont="1" applyBorder="1" applyAlignment="1" applyProtection="1">
      <alignment horizontal="left" vertical="center"/>
    </xf>
    <xf numFmtId="0" fontId="6" fillId="0" borderId="7" xfId="0" applyNumberFormat="1" applyFont="1" applyFill="1" applyBorder="1" applyAlignment="1" applyProtection="1">
      <alignment horizontal="left" vertical="center"/>
    </xf>
    <xf numFmtId="49" fontId="0" fillId="6" borderId="0" xfId="0" applyNumberFormat="1" applyFill="1"/>
    <xf numFmtId="49" fontId="0" fillId="6" borderId="125" xfId="0" applyNumberFormat="1" applyFill="1" applyBorder="1" applyAlignment="1">
      <alignment horizontal="center" vertical="center"/>
    </xf>
    <xf numFmtId="49" fontId="0" fillId="6" borderId="5" xfId="0" applyNumberFormat="1" applyFill="1" applyBorder="1" applyAlignment="1">
      <alignment horizontal="center" vertical="center"/>
    </xf>
    <xf numFmtId="49" fontId="0" fillId="6" borderId="124" xfId="0" applyNumberFormat="1" applyFill="1" applyBorder="1" applyAlignment="1">
      <alignment horizontal="center" vertical="center" wrapText="1"/>
    </xf>
    <xf numFmtId="49" fontId="0" fillId="6" borderId="119" xfId="0" applyNumberFormat="1" applyFill="1" applyBorder="1" applyAlignment="1">
      <alignment horizontal="center" vertical="center"/>
    </xf>
    <xf numFmtId="49" fontId="0" fillId="6" borderId="26" xfId="0" applyNumberFormat="1" applyFill="1" applyBorder="1" applyAlignment="1">
      <alignment horizontal="center" vertical="center"/>
    </xf>
    <xf numFmtId="49" fontId="0" fillId="6" borderId="120" xfId="0" applyNumberFormat="1" applyFill="1" applyBorder="1" applyAlignment="1">
      <alignment horizontal="center" vertical="center" wrapText="1"/>
    </xf>
    <xf numFmtId="173" fontId="0" fillId="6" borderId="138" xfId="0" applyFill="1" applyBorder="1"/>
    <xf numFmtId="177" fontId="0" fillId="6" borderId="79" xfId="0" applyNumberFormat="1" applyFill="1" applyBorder="1" applyAlignment="1">
      <alignment horizontal="center" vertical="center"/>
    </xf>
    <xf numFmtId="165" fontId="0" fillId="6" borderId="6" xfId="0" applyNumberFormat="1" applyFill="1" applyBorder="1" applyAlignment="1">
      <alignment horizontal="center" vertical="center"/>
    </xf>
    <xf numFmtId="177" fontId="0" fillId="6" borderId="81" xfId="0" applyNumberFormat="1" applyFill="1" applyBorder="1" applyAlignment="1">
      <alignment horizontal="center" vertical="center"/>
    </xf>
    <xf numFmtId="173" fontId="0" fillId="6" borderId="6" xfId="0" applyFill="1" applyBorder="1" applyAlignment="1">
      <alignment horizontal="center" vertical="center"/>
    </xf>
    <xf numFmtId="173" fontId="0" fillId="6" borderId="81" xfId="0" applyFill="1" applyBorder="1" applyAlignment="1">
      <alignment horizontal="center" vertical="center"/>
    </xf>
    <xf numFmtId="173" fontId="0" fillId="6" borderId="139" xfId="0" applyFill="1" applyBorder="1"/>
    <xf numFmtId="177" fontId="0" fillId="6" borderId="112" xfId="0" applyNumberFormat="1" applyFill="1" applyBorder="1" applyAlignment="1">
      <alignment horizontal="center" vertical="center"/>
    </xf>
    <xf numFmtId="165" fontId="0" fillId="6" borderId="9" xfId="0" applyNumberFormat="1" applyFill="1" applyBorder="1" applyAlignment="1">
      <alignment horizontal="center" vertical="center"/>
    </xf>
    <xf numFmtId="177" fontId="0" fillId="6" borderId="113" xfId="0" applyNumberFormat="1" applyFill="1" applyBorder="1" applyAlignment="1">
      <alignment horizontal="center" vertical="center"/>
    </xf>
    <xf numFmtId="173" fontId="0" fillId="6" borderId="9" xfId="0" applyFill="1" applyBorder="1" applyAlignment="1">
      <alignment horizontal="center" vertical="center"/>
    </xf>
    <xf numFmtId="173" fontId="0" fillId="6" borderId="113" xfId="0" applyFill="1" applyBorder="1" applyAlignment="1">
      <alignment horizontal="center" vertical="center"/>
    </xf>
    <xf numFmtId="173" fontId="0" fillId="6" borderId="140" xfId="0" applyFill="1" applyBorder="1"/>
    <xf numFmtId="177" fontId="0" fillId="6" borderId="80" xfId="0" applyNumberFormat="1" applyFill="1" applyBorder="1" applyAlignment="1">
      <alignment horizontal="center" vertical="center"/>
    </xf>
    <xf numFmtId="165" fontId="0" fillId="6" borderId="23" xfId="0" applyNumberFormat="1" applyFill="1" applyBorder="1" applyAlignment="1">
      <alignment horizontal="center" vertical="center"/>
    </xf>
    <xf numFmtId="177" fontId="0" fillId="6" borderId="82" xfId="0" applyNumberFormat="1" applyFill="1" applyBorder="1" applyAlignment="1">
      <alignment horizontal="center" vertical="center"/>
    </xf>
    <xf numFmtId="173" fontId="0" fillId="6" borderId="23" xfId="0" applyFill="1" applyBorder="1" applyAlignment="1">
      <alignment horizontal="center" vertical="center"/>
    </xf>
    <xf numFmtId="173" fontId="0" fillId="6" borderId="82" xfId="0" applyFill="1" applyBorder="1" applyAlignment="1">
      <alignment horizontal="center" vertical="center"/>
    </xf>
    <xf numFmtId="173" fontId="0" fillId="6" borderId="0" xfId="0" applyFill="1"/>
    <xf numFmtId="173" fontId="0" fillId="6" borderId="19" xfId="0" applyFill="1" applyBorder="1" applyAlignment="1">
      <alignment horizontal="center" vertical="center"/>
    </xf>
    <xf numFmtId="173" fontId="0" fillId="6" borderId="20" xfId="0" applyFill="1" applyBorder="1" applyAlignment="1">
      <alignment horizontal="center" vertical="center"/>
    </xf>
    <xf numFmtId="177" fontId="0" fillId="6" borderId="21" xfId="0" applyNumberFormat="1" applyFill="1" applyBorder="1" applyAlignment="1">
      <alignment horizontal="center" vertical="center"/>
    </xf>
    <xf numFmtId="173" fontId="0" fillId="6" borderId="21" xfId="0" applyFill="1" applyBorder="1" applyAlignment="1">
      <alignment horizontal="center" vertical="center"/>
    </xf>
    <xf numFmtId="173" fontId="0" fillId="6" borderId="19" xfId="0" applyFill="1" applyBorder="1" applyAlignment="1">
      <alignment vertical="center" wrapText="1"/>
    </xf>
    <xf numFmtId="177" fontId="0" fillId="6" borderId="115" xfId="0" applyNumberFormat="1" applyFill="1" applyBorder="1" applyAlignment="1">
      <alignment horizontal="center" vertical="center"/>
    </xf>
    <xf numFmtId="165" fontId="0" fillId="6" borderId="116" xfId="0" applyNumberFormat="1" applyFill="1" applyBorder="1" applyAlignment="1">
      <alignment horizontal="center" vertical="center"/>
    </xf>
    <xf numFmtId="177" fontId="0" fillId="6" borderId="117" xfId="0" applyNumberFormat="1" applyFill="1" applyBorder="1" applyAlignment="1">
      <alignment horizontal="center" vertical="center"/>
    </xf>
    <xf numFmtId="177" fontId="0" fillId="6" borderId="89" xfId="0" applyNumberFormat="1" applyFill="1" applyBorder="1" applyAlignment="1">
      <alignment horizontal="center" vertical="center"/>
    </xf>
    <xf numFmtId="173" fontId="0" fillId="6" borderId="116" xfId="0" applyFill="1" applyBorder="1" applyAlignment="1">
      <alignment horizontal="center" vertical="center"/>
    </xf>
    <xf numFmtId="173" fontId="0" fillId="6" borderId="117" xfId="0" applyFill="1" applyBorder="1" applyAlignment="1">
      <alignment horizontal="center" vertical="center"/>
    </xf>
    <xf numFmtId="173" fontId="0" fillId="6" borderId="1" xfId="0" applyFill="1" applyBorder="1"/>
    <xf numFmtId="177" fontId="0" fillId="6" borderId="131" xfId="0" applyNumberFormat="1" applyFill="1" applyBorder="1"/>
    <xf numFmtId="165" fontId="0" fillId="6" borderId="1" xfId="0" applyNumberFormat="1" applyFill="1" applyBorder="1"/>
    <xf numFmtId="177" fontId="0" fillId="6" borderId="79" xfId="0" applyNumberFormat="1" applyFill="1" applyBorder="1"/>
    <xf numFmtId="165" fontId="0" fillId="6" borderId="6" xfId="0" applyNumberFormat="1" applyFill="1" applyBorder="1"/>
    <xf numFmtId="177" fontId="0" fillId="6" borderId="81" xfId="0" applyNumberFormat="1" applyFill="1" applyBorder="1"/>
    <xf numFmtId="177" fontId="0" fillId="6" borderId="112" xfId="0" applyNumberFormat="1" applyFill="1" applyBorder="1"/>
    <xf numFmtId="165" fontId="0" fillId="6" borderId="9" xfId="0" applyNumberFormat="1" applyFill="1" applyBorder="1"/>
    <xf numFmtId="177" fontId="0" fillId="6" borderId="113" xfId="0" applyNumberFormat="1" applyFill="1" applyBorder="1"/>
    <xf numFmtId="177" fontId="0" fillId="6" borderId="80" xfId="0" applyNumberFormat="1" applyFill="1" applyBorder="1"/>
    <xf numFmtId="165" fontId="0" fillId="6" borderId="23" xfId="0" applyNumberFormat="1" applyFill="1" applyBorder="1"/>
    <xf numFmtId="177" fontId="0" fillId="6" borderId="82" xfId="0" applyNumberFormat="1" applyFill="1" applyBorder="1"/>
    <xf numFmtId="173" fontId="0" fillId="6" borderId="2" xfId="0" applyFill="1" applyBorder="1"/>
    <xf numFmtId="173" fontId="0" fillId="6" borderId="21" xfId="0" applyFill="1" applyBorder="1"/>
    <xf numFmtId="177" fontId="0" fillId="6" borderId="19" xfId="0" applyNumberFormat="1" applyFill="1" applyBorder="1"/>
    <xf numFmtId="165" fontId="0" fillId="6" borderId="20" xfId="0" applyNumberFormat="1" applyFill="1" applyBorder="1"/>
    <xf numFmtId="173" fontId="0" fillId="6" borderId="110" xfId="0" applyFill="1" applyBorder="1"/>
    <xf numFmtId="0" fontId="23" fillId="0" borderId="36" xfId="1" applyNumberFormat="1" applyFont="1" applyFill="1" applyBorder="1" applyAlignment="1" applyProtection="1">
      <alignment vertical="center"/>
    </xf>
    <xf numFmtId="49" fontId="23" fillId="0" borderId="0" xfId="1" applyNumberFormat="1" applyFont="1" applyFill="1" applyBorder="1" applyAlignment="1" applyProtection="1">
      <alignment vertical="center"/>
    </xf>
    <xf numFmtId="49" fontId="0" fillId="0" borderId="54" xfId="0" applyNumberFormat="1" applyBorder="1"/>
    <xf numFmtId="49" fontId="0" fillId="0" borderId="34" xfId="0" applyNumberFormat="1" applyBorder="1"/>
    <xf numFmtId="49" fontId="0" fillId="0" borderId="55" xfId="0" applyNumberFormat="1" applyBorder="1"/>
    <xf numFmtId="10" fontId="0" fillId="0" borderId="31" xfId="0" applyNumberFormat="1" applyBorder="1"/>
    <xf numFmtId="10" fontId="0" fillId="0" borderId="0" xfId="0" applyNumberFormat="1" applyBorder="1"/>
    <xf numFmtId="10" fontId="0" fillId="0" borderId="40" xfId="0" applyNumberFormat="1" applyBorder="1"/>
    <xf numFmtId="10" fontId="0" fillId="0" borderId="66" xfId="0" applyNumberFormat="1" applyBorder="1"/>
    <xf numFmtId="10" fontId="0" fillId="0" borderId="51" xfId="0" applyNumberFormat="1" applyBorder="1"/>
    <xf numFmtId="10" fontId="0" fillId="0" borderId="59" xfId="0" applyNumberFormat="1" applyBorder="1"/>
    <xf numFmtId="49" fontId="0" fillId="0" borderId="0" xfId="0" applyNumberFormat="1" applyFill="1"/>
    <xf numFmtId="10" fontId="0" fillId="0" borderId="0" xfId="0" applyNumberFormat="1" applyFill="1"/>
    <xf numFmtId="173" fontId="0" fillId="0" borderId="0" xfId="0" applyFill="1"/>
    <xf numFmtId="165" fontId="0" fillId="0" borderId="0" xfId="0" applyNumberFormat="1" applyFill="1"/>
    <xf numFmtId="0" fontId="6" fillId="0" borderId="120" xfId="0" applyNumberFormat="1" applyFont="1" applyFill="1" applyBorder="1" applyAlignment="1" applyProtection="1">
      <alignment horizontal="center" vertical="center"/>
    </xf>
    <xf numFmtId="0" fontId="6" fillId="0" borderId="24" xfId="0" applyNumberFormat="1" applyFont="1" applyBorder="1" applyAlignment="1" applyProtection="1">
      <alignment horizontal="center" vertical="center"/>
    </xf>
    <xf numFmtId="0" fontId="6" fillId="0" borderId="120" xfId="0" applyNumberFormat="1" applyFont="1" applyBorder="1" applyAlignment="1" applyProtection="1">
      <alignment horizontal="center" vertical="center"/>
    </xf>
    <xf numFmtId="173" fontId="25" fillId="0" borderId="120" xfId="0" applyFont="1" applyBorder="1" applyAlignment="1" applyProtection="1">
      <alignment horizontal="center"/>
    </xf>
    <xf numFmtId="173" fontId="25" fillId="0" borderId="24" xfId="0" applyFont="1" applyBorder="1" applyAlignment="1" applyProtection="1">
      <alignment horizontal="center"/>
    </xf>
    <xf numFmtId="49" fontId="5" fillId="19" borderId="9" xfId="1" applyNumberFormat="1" applyFont="1" applyFill="1" applyBorder="1" applyAlignment="1" applyProtection="1">
      <alignment horizontal="center" vertical="center"/>
      <protection locked="0"/>
    </xf>
    <xf numFmtId="173" fontId="25" fillId="0" borderId="8" xfId="0" applyFont="1" applyBorder="1" applyAlignment="1">
      <alignment horizontal="center"/>
    </xf>
    <xf numFmtId="173" fontId="25" fillId="0" borderId="3" xfId="0" applyFont="1" applyBorder="1" applyAlignment="1">
      <alignment horizontal="center"/>
    </xf>
    <xf numFmtId="173" fontId="25" fillId="0" borderId="68" xfId="0" applyFont="1" applyBorder="1" applyAlignment="1">
      <alignment horizontal="center"/>
    </xf>
    <xf numFmtId="173" fontId="25" fillId="0" borderId="110" xfId="0" applyFont="1" applyBorder="1" applyAlignment="1">
      <alignment horizontal="center"/>
    </xf>
    <xf numFmtId="173" fontId="25" fillId="0" borderId="0" xfId="0" applyFont="1" applyBorder="1" applyAlignment="1">
      <alignment horizontal="center" vertical="center"/>
    </xf>
    <xf numFmtId="1" fontId="5" fillId="4" borderId="126" xfId="1" applyNumberFormat="1" applyFont="1" applyFill="1" applyBorder="1" applyAlignment="1" applyProtection="1">
      <alignment horizontal="center" vertical="center"/>
    </xf>
    <xf numFmtId="1" fontId="5" fillId="4" borderId="4" xfId="1" applyNumberFormat="1" applyFont="1" applyFill="1" applyBorder="1" applyAlignment="1" applyProtection="1">
      <alignment horizontal="center" vertical="center"/>
    </xf>
    <xf numFmtId="1" fontId="5" fillId="4" borderId="110" xfId="1" applyNumberFormat="1" applyFont="1" applyFill="1" applyBorder="1" applyAlignment="1" applyProtection="1">
      <alignment horizontal="center" vertical="center"/>
    </xf>
    <xf numFmtId="173" fontId="25" fillId="0" borderId="30" xfId="0" applyFont="1" applyBorder="1" applyAlignment="1">
      <alignment horizontal="center" vertical="center"/>
    </xf>
    <xf numFmtId="165" fontId="25" fillId="0" borderId="9" xfId="0" applyNumberFormat="1" applyFont="1" applyBorder="1" applyAlignment="1">
      <alignment horizontal="center" vertical="center"/>
    </xf>
    <xf numFmtId="169" fontId="25" fillId="0" borderId="113" xfId="0" applyNumberFormat="1" applyFont="1" applyBorder="1" applyAlignment="1">
      <alignment horizontal="center" vertical="center"/>
    </xf>
    <xf numFmtId="165" fontId="25" fillId="0" borderId="113" xfId="0" applyNumberFormat="1" applyFont="1" applyBorder="1" applyAlignment="1">
      <alignment horizontal="center" vertical="center"/>
    </xf>
    <xf numFmtId="173" fontId="25" fillId="0" borderId="100" xfId="0" applyFont="1" applyBorder="1" applyAlignment="1">
      <alignment horizontal="center" vertical="center"/>
    </xf>
    <xf numFmtId="10" fontId="25" fillId="0" borderId="9" xfId="0" applyNumberFormat="1" applyFont="1" applyBorder="1" applyAlignment="1">
      <alignment horizontal="center" vertical="center"/>
    </xf>
    <xf numFmtId="10" fontId="25" fillId="0" borderId="113" xfId="0" applyNumberFormat="1" applyFont="1" applyBorder="1" applyAlignment="1">
      <alignment horizontal="center" vertical="center"/>
    </xf>
    <xf numFmtId="10" fontId="25" fillId="0" borderId="49" xfId="0" applyNumberFormat="1" applyFont="1" applyBorder="1" applyAlignment="1">
      <alignment horizontal="center" vertical="center"/>
    </xf>
    <xf numFmtId="10" fontId="25" fillId="0" borderId="130" xfId="0" applyNumberFormat="1" applyFont="1" applyBorder="1" applyAlignment="1">
      <alignment horizontal="center" vertical="center"/>
    </xf>
    <xf numFmtId="173" fontId="25" fillId="0" borderId="52" xfId="0" applyFont="1" applyBorder="1" applyAlignment="1">
      <alignment horizontal="center" vertical="center"/>
    </xf>
    <xf numFmtId="165" fontId="25" fillId="0" borderId="18" xfId="0" applyNumberFormat="1" applyFont="1" applyBorder="1" applyAlignment="1">
      <alignment horizontal="center" vertical="center"/>
    </xf>
    <xf numFmtId="169" fontId="25" fillId="0" borderId="86" xfId="0" applyNumberFormat="1" applyFont="1" applyBorder="1" applyAlignment="1">
      <alignment horizontal="center" vertical="center"/>
    </xf>
    <xf numFmtId="1" fontId="5" fillId="4" borderId="132" xfId="1" applyNumberFormat="1" applyFont="1" applyFill="1" applyBorder="1" applyAlignment="1" applyProtection="1">
      <alignment horizontal="center" vertical="center"/>
    </xf>
    <xf numFmtId="1" fontId="5" fillId="4" borderId="51" xfId="1" applyNumberFormat="1" applyFont="1" applyFill="1" applyBorder="1" applyAlignment="1" applyProtection="1">
      <alignment horizontal="center" vertical="center"/>
    </xf>
    <xf numFmtId="1" fontId="5" fillId="4" borderId="83" xfId="1" applyNumberFormat="1" applyFont="1" applyFill="1" applyBorder="1" applyAlignment="1" applyProtection="1">
      <alignment horizontal="center" vertical="center"/>
    </xf>
    <xf numFmtId="173" fontId="25" fillId="3" borderId="54" xfId="0" applyFont="1" applyFill="1" applyBorder="1" applyAlignment="1">
      <alignment horizontal="center" vertical="center"/>
    </xf>
    <xf numFmtId="173" fontId="25" fillId="3" borderId="34" xfId="0" applyFont="1" applyFill="1" applyBorder="1" applyAlignment="1">
      <alignment horizontal="center" vertical="center"/>
    </xf>
    <xf numFmtId="173" fontId="25" fillId="3" borderId="109" xfId="0" applyFont="1" applyFill="1" applyBorder="1" applyAlignment="1">
      <alignment horizontal="center" vertical="center"/>
    </xf>
    <xf numFmtId="173" fontId="25" fillId="3" borderId="65" xfId="0" applyFont="1" applyFill="1" applyBorder="1" applyAlignment="1">
      <alignment horizontal="center" vertical="center"/>
    </xf>
    <xf numFmtId="173" fontId="25" fillId="3" borderId="11" xfId="0" applyFont="1" applyFill="1" applyBorder="1" applyAlignment="1">
      <alignment horizontal="center" vertical="center"/>
    </xf>
    <xf numFmtId="173" fontId="25" fillId="3" borderId="17" xfId="0" applyFont="1" applyFill="1" applyBorder="1" applyAlignment="1">
      <alignment horizontal="center" vertical="center"/>
    </xf>
    <xf numFmtId="0" fontId="25" fillId="0" borderId="0" xfId="0" applyNumberFormat="1" applyFont="1" applyBorder="1" applyAlignment="1">
      <alignment horizontal="center" vertical="center"/>
    </xf>
    <xf numFmtId="0" fontId="25" fillId="0" borderId="3" xfId="0" applyNumberFormat="1" applyFont="1" applyBorder="1" applyAlignment="1">
      <alignment horizontal="center" vertical="center"/>
    </xf>
    <xf numFmtId="170" fontId="6" fillId="4" borderId="98" xfId="0" applyNumberFormat="1" applyFont="1" applyFill="1" applyBorder="1" applyAlignment="1" applyProtection="1">
      <alignment horizontal="center" vertical="center" wrapText="1"/>
    </xf>
    <xf numFmtId="170" fontId="6" fillId="4" borderId="41" xfId="0" applyNumberFormat="1" applyFont="1" applyFill="1" applyBorder="1" applyAlignment="1" applyProtection="1">
      <alignment horizontal="center" vertical="center" wrapText="1"/>
    </xf>
    <xf numFmtId="1" fontId="6" fillId="17" borderId="19" xfId="0" applyNumberFormat="1" applyFont="1" applyFill="1" applyBorder="1" applyAlignment="1" applyProtection="1">
      <alignment horizontal="center" vertical="center"/>
    </xf>
    <xf numFmtId="1" fontId="6" fillId="17" borderId="20" xfId="0" applyNumberFormat="1" applyFont="1" applyFill="1" applyBorder="1" applyAlignment="1" applyProtection="1">
      <alignment horizontal="center" vertical="center"/>
    </xf>
    <xf numFmtId="1" fontId="6" fillId="17" borderId="21" xfId="0" applyNumberFormat="1" applyFont="1" applyFill="1" applyBorder="1" applyAlignment="1" applyProtection="1">
      <alignment horizontal="center" vertical="center"/>
    </xf>
    <xf numFmtId="1" fontId="14" fillId="3" borderId="19" xfId="0" applyNumberFormat="1" applyFont="1" applyFill="1" applyBorder="1" applyAlignment="1" applyProtection="1">
      <alignment horizontal="center" vertical="center"/>
    </xf>
    <xf numFmtId="1" fontId="14" fillId="3" borderId="20" xfId="0" applyNumberFormat="1" applyFont="1" applyFill="1" applyBorder="1" applyAlignment="1" applyProtection="1">
      <alignment horizontal="center" vertical="center"/>
    </xf>
    <xf numFmtId="1" fontId="14" fillId="3" borderId="21" xfId="0" applyNumberFormat="1" applyFont="1" applyFill="1" applyBorder="1" applyAlignment="1" applyProtection="1">
      <alignment horizontal="center" vertical="center"/>
    </xf>
    <xf numFmtId="173" fontId="25" fillId="17" borderId="136" xfId="0" applyFont="1" applyFill="1" applyBorder="1" applyAlignment="1">
      <alignment horizontal="center" vertical="center"/>
    </xf>
    <xf numFmtId="173" fontId="25" fillId="17" borderId="107" xfId="0" applyFont="1" applyFill="1" applyBorder="1" applyAlignment="1">
      <alignment horizontal="center" vertical="center"/>
    </xf>
    <xf numFmtId="165" fontId="5" fillId="6" borderId="0" xfId="1" applyNumberFormat="1" applyFont="1" applyFill="1" applyBorder="1" applyAlignment="1" applyProtection="1">
      <alignment horizontal="center" vertical="center"/>
      <protection locked="0"/>
    </xf>
    <xf numFmtId="165" fontId="6" fillId="8" borderId="27" xfId="1" applyNumberFormat="1" applyFont="1" applyFill="1" applyBorder="1" applyAlignment="1" applyProtection="1">
      <alignment horizontal="center" vertical="center"/>
    </xf>
    <xf numFmtId="165" fontId="6" fillId="8" borderId="26" xfId="1" applyNumberFormat="1" applyFont="1" applyFill="1" applyBorder="1" applyAlignment="1" applyProtection="1">
      <alignment horizontal="center" vertical="center"/>
    </xf>
    <xf numFmtId="165" fontId="6" fillId="8" borderId="18" xfId="1" applyNumberFormat="1" applyFont="1" applyFill="1" applyBorder="1" applyAlignment="1" applyProtection="1">
      <alignment horizontal="center" vertical="center"/>
    </xf>
    <xf numFmtId="173" fontId="6" fillId="6" borderId="13" xfId="1" applyNumberFormat="1" applyFont="1" applyFill="1" applyBorder="1" applyAlignment="1" applyProtection="1">
      <alignment horizontal="left" vertical="center"/>
    </xf>
    <xf numFmtId="173" fontId="6" fillId="6" borderId="14" xfId="1" applyNumberFormat="1" applyFont="1" applyFill="1" applyBorder="1" applyAlignment="1" applyProtection="1">
      <alignment horizontal="left" vertical="center"/>
    </xf>
    <xf numFmtId="49" fontId="6" fillId="6" borderId="15" xfId="1" applyNumberFormat="1" applyFont="1" applyFill="1" applyBorder="1" applyAlignment="1" applyProtection="1">
      <alignment horizontal="left" vertical="center"/>
      <protection locked="0"/>
    </xf>
    <xf numFmtId="49" fontId="6" fillId="6" borderId="14" xfId="1" applyNumberFormat="1" applyFont="1" applyFill="1" applyBorder="1" applyAlignment="1" applyProtection="1">
      <alignment horizontal="left" vertical="center"/>
      <protection locked="0"/>
    </xf>
    <xf numFmtId="165" fontId="17" fillId="6" borderId="14" xfId="1" applyNumberFormat="1" applyFont="1" applyFill="1" applyBorder="1" applyAlignment="1" applyProtection="1">
      <alignment horizontal="center" vertical="center"/>
      <protection locked="0"/>
    </xf>
    <xf numFmtId="49" fontId="6" fillId="6" borderId="8" xfId="1" applyNumberFormat="1" applyFont="1" applyFill="1" applyBorder="1" applyAlignment="1" applyProtection="1">
      <alignment horizontal="left" vertical="center"/>
      <protection locked="0"/>
    </xf>
    <xf numFmtId="49" fontId="6" fillId="6" borderId="0" xfId="1" applyNumberFormat="1" applyFont="1" applyFill="1" applyBorder="1" applyAlignment="1" applyProtection="1">
      <alignment horizontal="left" vertical="center"/>
      <protection locked="0"/>
    </xf>
    <xf numFmtId="165" fontId="17" fillId="6" borderId="0" xfId="1" applyNumberFormat="1" applyFont="1" applyFill="1" applyBorder="1" applyAlignment="1" applyProtection="1">
      <alignment horizontal="center" vertical="center"/>
    </xf>
    <xf numFmtId="49" fontId="6" fillId="6" borderId="10" xfId="1" applyNumberFormat="1" applyFont="1" applyFill="1" applyBorder="1" applyAlignment="1" applyProtection="1">
      <alignment horizontal="left" vertical="center"/>
      <protection locked="0"/>
    </xf>
    <xf numFmtId="49" fontId="6" fillId="6" borderId="11" xfId="1" applyNumberFormat="1" applyFont="1" applyFill="1" applyBorder="1" applyAlignment="1" applyProtection="1">
      <alignment horizontal="left" vertical="center"/>
      <protection locked="0"/>
    </xf>
    <xf numFmtId="49" fontId="6" fillId="6" borderId="12" xfId="1" applyNumberFormat="1" applyFont="1" applyFill="1" applyBorder="1" applyAlignment="1" applyProtection="1">
      <alignment horizontal="left" vertical="center"/>
      <protection locked="0"/>
    </xf>
    <xf numFmtId="0" fontId="6" fillId="0" borderId="96" xfId="0" applyNumberFormat="1" applyFont="1" applyFill="1" applyBorder="1" applyAlignment="1" applyProtection="1">
      <alignment horizontal="left" vertical="center"/>
    </xf>
    <xf numFmtId="0" fontId="6" fillId="0" borderId="97" xfId="0" applyNumberFormat="1" applyFont="1" applyFill="1" applyBorder="1" applyAlignment="1" applyProtection="1">
      <alignment horizontal="left" vertical="center"/>
    </xf>
    <xf numFmtId="0" fontId="6" fillId="0" borderId="8" xfId="0" applyNumberFormat="1" applyFont="1" applyFill="1" applyBorder="1" applyAlignment="1" applyProtection="1">
      <alignment horizontal="left" vertical="center"/>
    </xf>
    <xf numFmtId="0" fontId="6" fillId="0" borderId="71" xfId="0" applyNumberFormat="1" applyFont="1" applyFill="1" applyBorder="1" applyAlignment="1" applyProtection="1">
      <alignment horizontal="left" vertical="center"/>
    </xf>
    <xf numFmtId="1" fontId="6" fillId="0" borderId="98" xfId="0" applyNumberFormat="1" applyFont="1" applyFill="1" applyBorder="1" applyAlignment="1" applyProtection="1">
      <alignment horizontal="center" vertical="center"/>
    </xf>
    <xf numFmtId="1" fontId="6" fillId="0" borderId="53" xfId="0" applyNumberFormat="1" applyFont="1" applyFill="1" applyBorder="1" applyAlignment="1" applyProtection="1">
      <alignment horizontal="center" vertical="center"/>
    </xf>
    <xf numFmtId="173" fontId="25" fillId="0" borderId="96" xfId="0" applyFont="1" applyBorder="1" applyAlignment="1">
      <alignment horizontal="center" vertical="center"/>
    </xf>
    <xf numFmtId="173" fontId="25" fillId="0" borderId="109" xfId="0" applyFont="1" applyBorder="1" applyAlignment="1">
      <alignment horizontal="center" vertical="center"/>
    </xf>
    <xf numFmtId="49" fontId="23" fillId="0" borderId="112" xfId="1" applyNumberFormat="1" applyFont="1" applyFill="1" applyBorder="1" applyAlignment="1" applyProtection="1">
      <alignment horizontal="center" vertical="center"/>
    </xf>
    <xf numFmtId="0" fontId="25" fillId="0" borderId="5" xfId="0" applyNumberFormat="1" applyFont="1" applyFill="1" applyBorder="1" applyAlignment="1" applyProtection="1">
      <alignment horizontal="center" vertical="center" wrapText="1"/>
      <protection locked="0"/>
    </xf>
    <xf numFmtId="0" fontId="25" fillId="0" borderId="18" xfId="0" applyNumberFormat="1" applyFont="1" applyFill="1" applyBorder="1" applyAlignment="1" applyProtection="1">
      <alignment horizontal="center" vertical="center" wrapText="1"/>
      <protection locked="0"/>
    </xf>
    <xf numFmtId="165" fontId="6" fillId="8" borderId="9" xfId="1" applyNumberFormat="1" applyFont="1" applyFill="1" applyBorder="1" applyAlignment="1" applyProtection="1">
      <alignment horizontal="center" vertical="center"/>
      <protection locked="0"/>
    </xf>
    <xf numFmtId="165" fontId="6" fillId="5" borderId="9" xfId="1" applyNumberFormat="1" applyFont="1" applyFill="1" applyBorder="1" applyAlignment="1" applyProtection="1">
      <alignment horizontal="center" vertical="center"/>
    </xf>
    <xf numFmtId="165" fontId="6" fillId="8" borderId="9" xfId="1" applyNumberFormat="1" applyFont="1" applyFill="1" applyBorder="1" applyAlignment="1" applyProtection="1">
      <alignment horizontal="center" vertical="center"/>
    </xf>
    <xf numFmtId="170" fontId="6" fillId="8" borderId="9" xfId="1" applyNumberFormat="1" applyFont="1" applyFill="1" applyBorder="1" applyAlignment="1" applyProtection="1">
      <alignment horizontal="center" vertical="center"/>
    </xf>
    <xf numFmtId="168" fontId="18" fillId="5" borderId="27" xfId="1" applyNumberFormat="1" applyFont="1" applyFill="1" applyBorder="1" applyAlignment="1" applyProtection="1">
      <alignment horizontal="center" vertical="center"/>
    </xf>
    <xf numFmtId="0" fontId="25" fillId="0" borderId="27" xfId="0" applyNumberFormat="1" applyFont="1" applyFill="1" applyBorder="1" applyAlignment="1" applyProtection="1">
      <alignment horizontal="center" vertical="center" wrapText="1"/>
      <protection locked="0"/>
    </xf>
    <xf numFmtId="173" fontId="4" fillId="16" borderId="131" xfId="0" applyNumberFormat="1" applyFont="1" applyFill="1" applyBorder="1" applyAlignment="1" applyProtection="1">
      <alignment horizontal="center" vertical="center"/>
    </xf>
    <xf numFmtId="173" fontId="4" fillId="16" borderId="1" xfId="0" applyNumberFormat="1" applyFont="1" applyFill="1" applyBorder="1" applyAlignment="1" applyProtection="1">
      <alignment horizontal="center" vertical="center"/>
    </xf>
    <xf numFmtId="49" fontId="6" fillId="6" borderId="141" xfId="1" applyNumberFormat="1" applyFont="1" applyFill="1" applyBorder="1" applyAlignment="1" applyProtection="1">
      <alignment horizontal="left" vertical="center"/>
      <protection locked="0"/>
    </xf>
    <xf numFmtId="49" fontId="6" fillId="6" borderId="142" xfId="1" applyNumberFormat="1" applyFont="1" applyFill="1" applyBorder="1" applyAlignment="1" applyProtection="1">
      <alignment horizontal="left" vertical="center"/>
      <protection locked="0"/>
    </xf>
    <xf numFmtId="168" fontId="18" fillId="5" borderId="9" xfId="1" applyNumberFormat="1" applyFont="1" applyFill="1" applyBorder="1" applyAlignment="1" applyProtection="1">
      <alignment horizontal="center" vertical="center"/>
    </xf>
    <xf numFmtId="165" fontId="5" fillId="6" borderId="11" xfId="1" applyNumberFormat="1" applyFont="1" applyFill="1" applyBorder="1" applyAlignment="1" applyProtection="1">
      <alignment horizontal="center" vertical="center"/>
      <protection locked="0"/>
    </xf>
    <xf numFmtId="173" fontId="14" fillId="3" borderId="96" xfId="1" applyNumberFormat="1" applyFont="1" applyFill="1" applyBorder="1" applyAlignment="1" applyProtection="1">
      <alignment horizontal="center" vertical="center"/>
    </xf>
    <xf numFmtId="173" fontId="14" fillId="3" borderId="97" xfId="1" applyNumberFormat="1" applyFont="1" applyFill="1" applyBorder="1" applyAlignment="1" applyProtection="1">
      <alignment horizontal="center" vertical="center"/>
    </xf>
    <xf numFmtId="173" fontId="14" fillId="3" borderId="10" xfId="1" applyNumberFormat="1" applyFont="1" applyFill="1" applyBorder="1" applyAlignment="1" applyProtection="1">
      <alignment horizontal="center" vertical="center"/>
    </xf>
    <xf numFmtId="173" fontId="14" fillId="3" borderId="56" xfId="1" applyNumberFormat="1" applyFont="1" applyFill="1" applyBorder="1" applyAlignment="1" applyProtection="1">
      <alignment horizontal="center" vertical="center"/>
    </xf>
    <xf numFmtId="173" fontId="14" fillId="3" borderId="48" xfId="1" applyNumberFormat="1" applyFont="1" applyFill="1" applyBorder="1" applyAlignment="1" applyProtection="1">
      <alignment horizontal="center" vertical="center"/>
    </xf>
    <xf numFmtId="173" fontId="14" fillId="3" borderId="27" xfId="1" applyNumberFormat="1" applyFont="1" applyFill="1" applyBorder="1" applyAlignment="1" applyProtection="1">
      <alignment horizontal="center" vertical="center"/>
    </xf>
    <xf numFmtId="49" fontId="14" fillId="3" borderId="48" xfId="0" applyNumberFormat="1" applyFont="1" applyFill="1" applyBorder="1" applyAlignment="1" applyProtection="1">
      <alignment horizontal="center" vertical="center"/>
    </xf>
    <xf numFmtId="49" fontId="14" fillId="3" borderId="27" xfId="0" applyNumberFormat="1" applyFont="1" applyFill="1" applyBorder="1" applyAlignment="1" applyProtection="1">
      <alignment horizontal="center" vertical="center"/>
    </xf>
    <xf numFmtId="173" fontId="14" fillId="3" borderId="13" xfId="1" applyNumberFormat="1" applyFont="1" applyFill="1" applyBorder="1" applyAlignment="1" applyProtection="1">
      <alignment horizontal="center" vertical="center"/>
    </xf>
    <xf numFmtId="173" fontId="14" fillId="3" borderId="61" xfId="1" applyNumberFormat="1" applyFont="1" applyFill="1" applyBorder="1" applyAlignment="1" applyProtection="1">
      <alignment horizontal="center" vertical="center"/>
    </xf>
    <xf numFmtId="49" fontId="14" fillId="3" borderId="48" xfId="1" applyNumberFormat="1" applyFont="1" applyFill="1" applyBorder="1" applyAlignment="1" applyProtection="1">
      <alignment horizontal="center" vertical="center"/>
    </xf>
    <xf numFmtId="49" fontId="14" fillId="3" borderId="27" xfId="1" applyNumberFormat="1" applyFont="1" applyFill="1" applyBorder="1" applyAlignment="1" applyProtection="1">
      <alignment horizontal="center" vertical="center"/>
    </xf>
    <xf numFmtId="173" fontId="14" fillId="3" borderId="48" xfId="0" applyNumberFormat="1" applyFont="1" applyFill="1" applyBorder="1" applyAlignment="1" applyProtection="1">
      <alignment horizontal="center" vertical="center"/>
    </xf>
    <xf numFmtId="173" fontId="14" fillId="3" borderId="27" xfId="0" applyNumberFormat="1" applyFont="1" applyFill="1" applyBorder="1" applyAlignment="1" applyProtection="1">
      <alignment horizontal="center" vertical="center"/>
    </xf>
    <xf numFmtId="167" fontId="14" fillId="3" borderId="76" xfId="1" applyNumberFormat="1" applyFont="1" applyFill="1" applyBorder="1" applyAlignment="1" applyProtection="1">
      <alignment horizontal="center" vertical="center"/>
    </xf>
    <xf numFmtId="167" fontId="14" fillId="3" borderId="96" xfId="1" applyNumberFormat="1" applyFont="1" applyFill="1" applyBorder="1" applyAlignment="1" applyProtection="1">
      <alignment horizontal="center" vertical="center"/>
    </xf>
    <xf numFmtId="167" fontId="14" fillId="3" borderId="26" xfId="1" applyNumberFormat="1" applyFont="1" applyFill="1" applyBorder="1" applyAlignment="1" applyProtection="1">
      <alignment horizontal="center" vertical="center"/>
    </xf>
    <xf numFmtId="167" fontId="14" fillId="3" borderId="8" xfId="1" applyNumberFormat="1" applyFont="1" applyFill="1" applyBorder="1" applyAlignment="1" applyProtection="1">
      <alignment horizontal="center" vertical="center"/>
    </xf>
    <xf numFmtId="173" fontId="14" fillId="3" borderId="97" xfId="1" applyNumberFormat="1" applyFont="1" applyFill="1" applyBorder="1" applyAlignment="1" applyProtection="1">
      <alignment horizontal="left" vertical="center"/>
    </xf>
    <xf numFmtId="173" fontId="14" fillId="3" borderId="76" xfId="1" applyNumberFormat="1" applyFont="1" applyFill="1" applyBorder="1" applyAlignment="1" applyProtection="1">
      <alignment horizontal="left" vertical="center"/>
    </xf>
    <xf numFmtId="173" fontId="14" fillId="3" borderId="71" xfId="1" applyNumberFormat="1" applyFont="1" applyFill="1" applyBorder="1" applyAlignment="1" applyProtection="1">
      <alignment horizontal="left" vertical="center"/>
    </xf>
    <xf numFmtId="173" fontId="14" fillId="3" borderId="26" xfId="1" applyNumberFormat="1" applyFont="1" applyFill="1" applyBorder="1" applyAlignment="1" applyProtection="1">
      <alignment horizontal="left" vertical="center"/>
    </xf>
    <xf numFmtId="165" fontId="15" fillId="3" borderId="76" xfId="1" applyNumberFormat="1" applyFont="1" applyFill="1" applyBorder="1" applyAlignment="1" applyProtection="1">
      <alignment horizontal="center" vertical="center"/>
    </xf>
    <xf numFmtId="165" fontId="6" fillId="3" borderId="26" xfId="1" applyNumberFormat="1" applyFont="1" applyFill="1" applyBorder="1" applyAlignment="1" applyProtection="1">
      <alignment horizontal="center" vertical="center"/>
    </xf>
    <xf numFmtId="169" fontId="6" fillId="17" borderId="115" xfId="0" applyNumberFormat="1" applyFont="1" applyFill="1" applyBorder="1" applyAlignment="1" applyProtection="1">
      <alignment horizontal="center" vertical="center"/>
    </xf>
    <xf numFmtId="169" fontId="6" fillId="17" borderId="116" xfId="0" applyNumberFormat="1" applyFont="1" applyFill="1" applyBorder="1" applyAlignment="1" applyProtection="1">
      <alignment horizontal="center" vertical="center"/>
    </xf>
    <xf numFmtId="169" fontId="6" fillId="17" borderId="117" xfId="0" applyNumberFormat="1" applyFont="1" applyFill="1" applyBorder="1" applyAlignment="1" applyProtection="1">
      <alignment horizontal="center" vertical="center"/>
    </xf>
    <xf numFmtId="170" fontId="14" fillId="3" borderId="19" xfId="0" applyNumberFormat="1" applyFont="1" applyFill="1" applyBorder="1" applyAlignment="1" applyProtection="1">
      <alignment horizontal="center" vertical="center"/>
    </xf>
    <xf numFmtId="170" fontId="14" fillId="3" borderId="20" xfId="0" applyNumberFormat="1" applyFont="1" applyFill="1" applyBorder="1" applyAlignment="1" applyProtection="1">
      <alignment horizontal="center" vertical="center"/>
    </xf>
    <xf numFmtId="170" fontId="14" fillId="3" borderId="21" xfId="0" applyNumberFormat="1" applyFont="1" applyFill="1" applyBorder="1" applyAlignment="1" applyProtection="1">
      <alignment horizontal="center" vertical="center"/>
    </xf>
    <xf numFmtId="173" fontId="51" fillId="3" borderId="19" xfId="0" applyFont="1" applyFill="1" applyBorder="1" applyAlignment="1">
      <alignment horizontal="center"/>
    </xf>
    <xf numFmtId="173" fontId="51" fillId="3" borderId="20" xfId="0" applyFont="1" applyFill="1" applyBorder="1" applyAlignment="1">
      <alignment horizontal="center"/>
    </xf>
    <xf numFmtId="173" fontId="51" fillId="3" borderId="21" xfId="0" applyFont="1" applyFill="1" applyBorder="1" applyAlignment="1">
      <alignment horizontal="center"/>
    </xf>
    <xf numFmtId="169" fontId="6" fillId="17" borderId="19" xfId="0" applyNumberFormat="1" applyFont="1" applyFill="1" applyBorder="1" applyAlignment="1" applyProtection="1">
      <alignment horizontal="center" vertical="center"/>
    </xf>
    <xf numFmtId="169" fontId="6" fillId="17" borderId="20" xfId="0" applyNumberFormat="1" applyFont="1" applyFill="1" applyBorder="1" applyAlignment="1" applyProtection="1">
      <alignment horizontal="center" vertical="center"/>
    </xf>
    <xf numFmtId="169" fontId="6" fillId="17" borderId="21" xfId="0" applyNumberFormat="1" applyFont="1" applyFill="1" applyBorder="1" applyAlignment="1" applyProtection="1">
      <alignment horizontal="center" vertical="center"/>
    </xf>
    <xf numFmtId="1" fontId="6" fillId="0" borderId="10" xfId="0" applyNumberFormat="1" applyFont="1" applyBorder="1" applyAlignment="1" applyProtection="1">
      <alignment horizontal="center" vertical="center"/>
    </xf>
    <xf numFmtId="1" fontId="6" fillId="0" borderId="118" xfId="0" applyNumberFormat="1" applyFont="1" applyBorder="1" applyAlignment="1" applyProtection="1">
      <alignment horizontal="center" vertical="center"/>
    </xf>
    <xf numFmtId="49" fontId="23" fillId="0" borderId="133" xfId="1" applyNumberFormat="1" applyFont="1" applyFill="1" applyBorder="1" applyAlignment="1" applyProtection="1">
      <alignment horizontal="center" vertical="center"/>
    </xf>
    <xf numFmtId="49" fontId="23" fillId="0" borderId="114" xfId="1" applyNumberFormat="1" applyFont="1" applyFill="1" applyBorder="1" applyAlignment="1" applyProtection="1">
      <alignment horizontal="center" vertical="center"/>
    </xf>
    <xf numFmtId="165" fontId="6" fillId="8" borderId="49" xfId="1" applyNumberFormat="1" applyFont="1" applyFill="1" applyBorder="1" applyAlignment="1" applyProtection="1">
      <alignment horizontal="center" vertical="center"/>
      <protection locked="0"/>
    </xf>
    <xf numFmtId="165" fontId="6" fillId="5" borderId="49" xfId="1" applyNumberFormat="1" applyFont="1" applyFill="1" applyBorder="1" applyAlignment="1" applyProtection="1">
      <alignment horizontal="center" vertical="center"/>
    </xf>
    <xf numFmtId="165" fontId="6" fillId="8" borderId="49" xfId="1" applyNumberFormat="1" applyFont="1" applyFill="1" applyBorder="1" applyAlignment="1" applyProtection="1">
      <alignment horizontal="center" vertical="center"/>
    </xf>
    <xf numFmtId="168" fontId="18" fillId="5" borderId="101" xfId="1" applyNumberFormat="1" applyFont="1" applyFill="1" applyBorder="1" applyAlignment="1" applyProtection="1">
      <alignment horizontal="center" vertical="center"/>
    </xf>
    <xf numFmtId="168" fontId="18" fillId="5" borderId="60" xfId="1" applyNumberFormat="1" applyFont="1" applyFill="1" applyBorder="1" applyAlignment="1" applyProtection="1">
      <alignment horizontal="center" vertical="center"/>
    </xf>
    <xf numFmtId="2" fontId="6" fillId="16" borderId="0" xfId="0" applyNumberFormat="1" applyFont="1" applyFill="1" applyBorder="1" applyAlignment="1" applyProtection="1">
      <alignment horizontal="center"/>
    </xf>
    <xf numFmtId="2" fontId="7" fillId="16" borderId="0" xfId="0" applyNumberFormat="1" applyFont="1" applyFill="1" applyBorder="1" applyAlignment="1" applyProtection="1">
      <alignment horizontal="center"/>
    </xf>
    <xf numFmtId="173" fontId="8" fillId="16" borderId="0" xfId="0" applyNumberFormat="1" applyFont="1" applyFill="1" applyBorder="1" applyAlignment="1" applyProtection="1">
      <alignment horizontal="center"/>
    </xf>
    <xf numFmtId="170" fontId="6" fillId="8" borderId="49" xfId="1" applyNumberFormat="1" applyFont="1" applyFill="1" applyBorder="1" applyAlignment="1" applyProtection="1">
      <alignment horizontal="center" vertical="center"/>
    </xf>
    <xf numFmtId="165" fontId="6" fillId="8" borderId="75" xfId="1" applyNumberFormat="1" applyFont="1" applyFill="1" applyBorder="1" applyAlignment="1" applyProtection="1">
      <alignment horizontal="center" vertical="center"/>
    </xf>
    <xf numFmtId="49" fontId="6" fillId="6" borderId="104" xfId="1" applyNumberFormat="1" applyFont="1" applyFill="1" applyBorder="1" applyAlignment="1" applyProtection="1">
      <alignment horizontal="left" vertical="center"/>
      <protection locked="0"/>
    </xf>
    <xf numFmtId="49" fontId="6" fillId="6" borderId="51" xfId="1" applyNumberFormat="1" applyFont="1" applyFill="1" applyBorder="1" applyAlignment="1" applyProtection="1">
      <alignment horizontal="left" vertical="center"/>
      <protection locked="0"/>
    </xf>
    <xf numFmtId="165" fontId="5" fillId="6" borderId="51" xfId="1" applyNumberFormat="1" applyFont="1" applyFill="1" applyBorder="1" applyAlignment="1" applyProtection="1">
      <alignment horizontal="center" vertical="center"/>
      <protection locked="0"/>
    </xf>
    <xf numFmtId="0" fontId="6" fillId="0" borderId="68" xfId="0" applyNumberFormat="1" applyFont="1" applyBorder="1" applyAlignment="1" applyProtection="1">
      <alignment horizontal="left" vertical="center"/>
    </xf>
    <xf numFmtId="0" fontId="6" fillId="0" borderId="25" xfId="0" applyNumberFormat="1" applyFont="1" applyBorder="1" applyAlignment="1" applyProtection="1">
      <alignment horizontal="left" vertical="center"/>
    </xf>
    <xf numFmtId="0" fontId="6" fillId="0" borderId="68" xfId="0" applyNumberFormat="1" applyFont="1" applyFill="1" applyBorder="1" applyAlignment="1" applyProtection="1">
      <alignment horizontal="left" vertical="center"/>
    </xf>
    <xf numFmtId="0" fontId="6" fillId="0" borderId="25" xfId="0" applyNumberFormat="1" applyFont="1" applyFill="1" applyBorder="1" applyAlignment="1" applyProtection="1">
      <alignment horizontal="left" vertical="center"/>
    </xf>
    <xf numFmtId="10" fontId="25" fillId="0" borderId="34" xfId="0" applyNumberFormat="1" applyFont="1" applyBorder="1" applyAlignment="1">
      <alignment horizontal="center" vertical="center"/>
    </xf>
    <xf numFmtId="10" fontId="25" fillId="0" borderId="109" xfId="0" applyNumberFormat="1" applyFont="1" applyBorder="1" applyAlignment="1">
      <alignment horizontal="center" vertical="center"/>
    </xf>
    <xf numFmtId="10" fontId="25" fillId="0" borderId="0" xfId="0" applyNumberFormat="1" applyFont="1" applyBorder="1" applyAlignment="1">
      <alignment horizontal="center" vertical="center"/>
    </xf>
    <xf numFmtId="10" fontId="25" fillId="0" borderId="3" xfId="0" applyNumberFormat="1" applyFont="1" applyBorder="1" applyAlignment="1">
      <alignment horizontal="center" vertical="center"/>
    </xf>
    <xf numFmtId="170" fontId="14" fillId="3" borderId="105" xfId="0" applyNumberFormat="1" applyFont="1" applyFill="1" applyBorder="1" applyAlignment="1" applyProtection="1">
      <alignment horizontal="center" vertical="center"/>
    </xf>
    <xf numFmtId="170" fontId="14" fillId="3" borderId="106" xfId="0" applyNumberFormat="1" applyFont="1" applyFill="1" applyBorder="1" applyAlignment="1" applyProtection="1">
      <alignment horizontal="center" vertical="center"/>
    </xf>
    <xf numFmtId="170" fontId="14" fillId="3" borderId="107" xfId="0" applyNumberFormat="1" applyFont="1" applyFill="1" applyBorder="1" applyAlignment="1" applyProtection="1">
      <alignment horizontal="center" vertical="center"/>
    </xf>
    <xf numFmtId="170" fontId="6" fillId="17" borderId="108" xfId="0" applyNumberFormat="1" applyFont="1" applyFill="1" applyBorder="1" applyAlignment="1" applyProtection="1">
      <alignment horizontal="center" vertical="center"/>
    </xf>
    <xf numFmtId="170" fontId="6" fillId="17" borderId="41" xfId="0" applyNumberFormat="1" applyFont="1" applyFill="1" applyBorder="1" applyAlignment="1" applyProtection="1">
      <alignment horizontal="center" vertical="center"/>
    </xf>
    <xf numFmtId="170" fontId="6" fillId="17" borderId="84" xfId="0" applyNumberFormat="1" applyFont="1" applyFill="1" applyBorder="1" applyAlignment="1" applyProtection="1">
      <alignment horizontal="center" vertical="center"/>
    </xf>
    <xf numFmtId="1" fontId="6" fillId="17" borderId="108" xfId="0" applyNumberFormat="1" applyFont="1" applyFill="1" applyBorder="1" applyAlignment="1" applyProtection="1">
      <alignment horizontal="center" vertical="center"/>
    </xf>
    <xf numFmtId="1" fontId="6" fillId="17" borderId="41" xfId="0" applyNumberFormat="1" applyFont="1" applyFill="1" applyBorder="1" applyAlignment="1" applyProtection="1">
      <alignment horizontal="center" vertical="center"/>
    </xf>
    <xf numFmtId="1" fontId="6" fillId="17" borderId="84" xfId="0" applyNumberFormat="1" applyFont="1" applyFill="1" applyBorder="1" applyAlignment="1" applyProtection="1">
      <alignment horizontal="center" vertical="center"/>
    </xf>
    <xf numFmtId="1" fontId="14" fillId="3" borderId="105" xfId="0" applyNumberFormat="1" applyFont="1" applyFill="1" applyBorder="1" applyAlignment="1" applyProtection="1">
      <alignment horizontal="center" vertical="center"/>
    </xf>
    <xf numFmtId="1" fontId="14" fillId="3" borderId="106" xfId="0" applyNumberFormat="1" applyFont="1" applyFill="1" applyBorder="1" applyAlignment="1" applyProtection="1">
      <alignment horizontal="center" vertical="center"/>
    </xf>
    <xf numFmtId="1" fontId="14" fillId="3" borderId="107" xfId="0" applyNumberFormat="1" applyFont="1" applyFill="1" applyBorder="1" applyAlignment="1" applyProtection="1">
      <alignment horizontal="center" vertical="center"/>
    </xf>
    <xf numFmtId="173" fontId="25" fillId="17" borderId="111" xfId="0" applyFont="1" applyFill="1" applyBorder="1" applyAlignment="1">
      <alignment horizontal="center" vertical="center"/>
    </xf>
    <xf numFmtId="173" fontId="25" fillId="17" borderId="19" xfId="0" applyFont="1" applyFill="1" applyBorder="1" applyAlignment="1">
      <alignment horizontal="center" vertical="center"/>
    </xf>
    <xf numFmtId="173" fontId="25" fillId="17" borderId="117" xfId="0" applyFont="1" applyFill="1" applyBorder="1" applyAlignment="1">
      <alignment horizontal="center" vertical="center"/>
    </xf>
    <xf numFmtId="1" fontId="6" fillId="0" borderId="5" xfId="0" applyNumberFormat="1" applyFont="1" applyBorder="1" applyAlignment="1" applyProtection="1">
      <alignment horizontal="center"/>
    </xf>
    <xf numFmtId="176" fontId="6" fillId="0" borderId="5" xfId="0" applyNumberFormat="1" applyFont="1" applyBorder="1" applyAlignment="1" applyProtection="1">
      <alignment horizontal="center"/>
    </xf>
    <xf numFmtId="176" fontId="6" fillId="0" borderId="124" xfId="0" applyNumberFormat="1" applyFont="1" applyBorder="1" applyAlignment="1" applyProtection="1">
      <alignment horizontal="center"/>
    </xf>
    <xf numFmtId="170" fontId="14" fillId="3" borderId="19" xfId="0" applyNumberFormat="1" applyFont="1" applyFill="1" applyBorder="1" applyAlignment="1" applyProtection="1">
      <alignment horizontal="center"/>
      <protection locked="0"/>
    </xf>
    <xf numFmtId="170" fontId="14" fillId="3" borderId="20" xfId="0" applyNumberFormat="1" applyFont="1" applyFill="1" applyBorder="1" applyAlignment="1" applyProtection="1">
      <alignment horizontal="center"/>
      <protection locked="0"/>
    </xf>
    <xf numFmtId="170" fontId="14" fillId="3" borderId="21" xfId="0" applyNumberFormat="1" applyFont="1" applyFill="1" applyBorder="1" applyAlignment="1" applyProtection="1">
      <alignment horizontal="center"/>
      <protection locked="0"/>
    </xf>
    <xf numFmtId="173" fontId="25" fillId="17" borderId="122" xfId="0" applyFont="1" applyFill="1" applyBorder="1" applyAlignment="1">
      <alignment horizontal="center"/>
    </xf>
    <xf numFmtId="173" fontId="25" fillId="17" borderId="0" xfId="0" applyFont="1" applyFill="1" applyBorder="1" applyAlignment="1">
      <alignment horizontal="center"/>
    </xf>
    <xf numFmtId="173" fontId="25" fillId="17" borderId="3" xfId="0" applyFont="1" applyFill="1" applyBorder="1" applyAlignment="1">
      <alignment horizontal="center"/>
    </xf>
    <xf numFmtId="1" fontId="6" fillId="0" borderId="10" xfId="0" applyNumberFormat="1" applyFont="1" applyBorder="1" applyAlignment="1" applyProtection="1">
      <alignment horizontal="center"/>
    </xf>
    <xf numFmtId="1" fontId="6" fillId="0" borderId="17" xfId="0" applyNumberFormat="1" applyFont="1" applyBorder="1" applyAlignment="1" applyProtection="1">
      <alignment horizontal="center"/>
    </xf>
    <xf numFmtId="177" fontId="25" fillId="0" borderId="118" xfId="0" applyNumberFormat="1" applyFont="1" applyBorder="1" applyAlignment="1">
      <alignment horizontal="center"/>
    </xf>
    <xf numFmtId="177" fontId="25" fillId="0" borderId="123" xfId="0" applyNumberFormat="1" applyFont="1" applyBorder="1" applyAlignment="1">
      <alignment horizontal="center"/>
    </xf>
    <xf numFmtId="173" fontId="51" fillId="3" borderId="115" xfId="0" applyFont="1" applyFill="1" applyBorder="1" applyAlignment="1">
      <alignment horizontal="center"/>
    </xf>
    <xf numFmtId="173" fontId="51" fillId="3" borderId="116" xfId="0" applyFont="1" applyFill="1" applyBorder="1" applyAlignment="1">
      <alignment horizontal="center"/>
    </xf>
    <xf numFmtId="173" fontId="51" fillId="3" borderId="117" xfId="0" applyFont="1" applyFill="1" applyBorder="1" applyAlignment="1">
      <alignment horizontal="center"/>
    </xf>
    <xf numFmtId="173" fontId="25" fillId="0" borderId="27" xfId="0" applyFont="1" applyBorder="1" applyAlignment="1">
      <alignment horizontal="center" vertical="center"/>
    </xf>
    <xf numFmtId="173" fontId="25" fillId="0" borderId="7" xfId="0" applyFont="1" applyBorder="1" applyAlignment="1">
      <alignment horizontal="center" vertical="center"/>
    </xf>
    <xf numFmtId="173" fontId="25" fillId="0" borderId="76" xfId="0" applyFont="1" applyBorder="1" applyAlignment="1">
      <alignment horizontal="center" vertical="center"/>
    </xf>
    <xf numFmtId="173" fontId="25" fillId="0" borderId="18" xfId="0" applyFont="1" applyBorder="1" applyAlignment="1">
      <alignment horizontal="center" vertical="center"/>
    </xf>
    <xf numFmtId="173" fontId="25" fillId="0" borderId="75" xfId="0" applyFont="1" applyBorder="1" applyAlignment="1">
      <alignment horizontal="center" vertical="center"/>
    </xf>
    <xf numFmtId="173" fontId="49" fillId="3" borderId="6" xfId="0" applyFont="1" applyFill="1" applyBorder="1" applyAlignment="1">
      <alignment horizontal="center" vertical="center"/>
    </xf>
    <xf numFmtId="173" fontId="49" fillId="3" borderId="23" xfId="0" applyFont="1" applyFill="1" applyBorder="1" applyAlignment="1">
      <alignment horizontal="center" vertical="center"/>
    </xf>
    <xf numFmtId="173" fontId="25" fillId="0" borderId="9" xfId="0" applyFont="1" applyBorder="1" applyAlignment="1">
      <alignment horizontal="center" vertical="center"/>
    </xf>
    <xf numFmtId="173" fontId="25" fillId="0" borderId="49" xfId="0" applyFont="1" applyBorder="1" applyAlignment="1">
      <alignment horizontal="center" vertical="center"/>
    </xf>
    <xf numFmtId="173" fontId="25" fillId="0" borderId="6" xfId="0" applyFont="1" applyBorder="1" applyAlignment="1">
      <alignment horizontal="center" vertical="center"/>
    </xf>
    <xf numFmtId="173" fontId="25" fillId="6" borderId="0" xfId="0" applyFont="1" applyFill="1" applyBorder="1" applyAlignment="1">
      <alignment horizontal="center" vertical="center"/>
    </xf>
    <xf numFmtId="173" fontId="25" fillId="6" borderId="1" xfId="0" applyFont="1" applyFill="1" applyBorder="1" applyAlignment="1">
      <alignment horizontal="center" vertical="center"/>
    </xf>
    <xf numFmtId="173" fontId="25" fillId="6" borderId="11" xfId="0" applyFont="1" applyFill="1" applyBorder="1" applyAlignment="1">
      <alignment horizontal="center" vertical="center"/>
    </xf>
    <xf numFmtId="173" fontId="25" fillId="6" borderId="14" xfId="0" applyFont="1" applyFill="1" applyBorder="1" applyAlignment="1">
      <alignment horizontal="center" vertical="center"/>
    </xf>
    <xf numFmtId="173" fontId="44" fillId="9" borderId="38" xfId="0" applyFont="1" applyFill="1" applyBorder="1" applyAlignment="1">
      <alignment horizontal="center" vertical="center"/>
    </xf>
    <xf numFmtId="173" fontId="44" fillId="9" borderId="41" xfId="0" applyFont="1" applyFill="1" applyBorder="1" applyAlignment="1">
      <alignment horizontal="center" vertical="center"/>
    </xf>
    <xf numFmtId="173" fontId="44" fillId="9" borderId="84" xfId="0" applyFont="1" applyFill="1" applyBorder="1" applyAlignment="1">
      <alignment horizontal="center" vertical="center"/>
    </xf>
    <xf numFmtId="173" fontId="49" fillId="3" borderId="67" xfId="0" applyFont="1" applyFill="1" applyBorder="1" applyAlignment="1">
      <alignment horizontal="center" vertical="center"/>
    </xf>
    <xf numFmtId="173" fontId="49" fillId="3" borderId="1" xfId="0" applyFont="1" applyFill="1" applyBorder="1" applyAlignment="1">
      <alignment horizontal="center" vertical="center"/>
    </xf>
    <xf numFmtId="173" fontId="49" fillId="3" borderId="68" xfId="0" applyFont="1" applyFill="1" applyBorder="1" applyAlignment="1">
      <alignment horizontal="center" vertical="center"/>
    </xf>
    <xf numFmtId="173" fontId="49" fillId="3" borderId="4" xfId="0" applyFont="1" applyFill="1" applyBorder="1" applyAlignment="1">
      <alignment horizontal="center" vertical="center"/>
    </xf>
    <xf numFmtId="173" fontId="49" fillId="3" borderId="22" xfId="0" applyFont="1" applyFill="1" applyBorder="1" applyAlignment="1">
      <alignment horizontal="center" vertical="center"/>
    </xf>
    <xf numFmtId="173" fontId="49" fillId="3" borderId="25" xfId="0" applyFont="1" applyFill="1" applyBorder="1" applyAlignment="1">
      <alignment horizontal="center" vertical="center"/>
    </xf>
    <xf numFmtId="173" fontId="25" fillId="6" borderId="13" xfId="0" applyFont="1" applyFill="1" applyBorder="1" applyAlignment="1">
      <alignment horizontal="center" vertical="center"/>
    </xf>
    <xf numFmtId="173" fontId="25" fillId="6" borderId="10" xfId="0" applyFont="1" applyFill="1" applyBorder="1" applyAlignment="1">
      <alignment horizontal="center" vertical="center"/>
    </xf>
    <xf numFmtId="173" fontId="49" fillId="3" borderId="98" xfId="0" applyFont="1" applyFill="1" applyBorder="1" applyAlignment="1">
      <alignment horizontal="center" vertical="center"/>
    </xf>
    <xf numFmtId="173" fontId="49" fillId="3" borderId="37" xfId="0" applyFont="1" applyFill="1" applyBorder="1" applyAlignment="1">
      <alignment horizontal="center" vertical="center"/>
    </xf>
    <xf numFmtId="173" fontId="25" fillId="0" borderId="97" xfId="0" applyFont="1" applyBorder="1" applyAlignment="1">
      <alignment horizontal="center" vertical="center"/>
    </xf>
    <xf numFmtId="173" fontId="25" fillId="0" borderId="10" xfId="0" applyFont="1" applyBorder="1" applyAlignment="1">
      <alignment horizontal="center" vertical="center"/>
    </xf>
    <xf numFmtId="173" fontId="25" fillId="0" borderId="56" xfId="0" applyFont="1" applyBorder="1" applyAlignment="1">
      <alignment horizontal="center" vertical="center"/>
    </xf>
    <xf numFmtId="173" fontId="25" fillId="0" borderId="13" xfId="0" applyFont="1" applyBorder="1" applyAlignment="1">
      <alignment horizontal="center" vertical="center"/>
    </xf>
    <xf numFmtId="173" fontId="25" fillId="0" borderId="61" xfId="0" applyFont="1" applyBorder="1" applyAlignment="1">
      <alignment horizontal="center" vertical="center"/>
    </xf>
    <xf numFmtId="173" fontId="25" fillId="0" borderId="74" xfId="0" applyFont="1" applyBorder="1" applyAlignment="1">
      <alignment horizontal="center" vertical="center"/>
    </xf>
    <xf numFmtId="173" fontId="25" fillId="0" borderId="78" xfId="0" applyFont="1" applyBorder="1" applyAlignment="1">
      <alignment horizontal="center" vertical="center"/>
    </xf>
    <xf numFmtId="173" fontId="25" fillId="6" borderId="34" xfId="0" applyFont="1" applyFill="1" applyBorder="1" applyAlignment="1">
      <alignment horizontal="center" vertical="center"/>
    </xf>
    <xf numFmtId="173" fontId="25" fillId="6" borderId="51" xfId="0" applyFont="1" applyFill="1" applyBorder="1" applyAlignment="1">
      <alignment horizontal="center" vertical="center"/>
    </xf>
    <xf numFmtId="173" fontId="21" fillId="9" borderId="19" xfId="0" applyFont="1" applyFill="1" applyBorder="1" applyAlignment="1">
      <alignment horizontal="center" vertical="center"/>
    </xf>
    <xf numFmtId="173" fontId="21" fillId="9" borderId="20" xfId="0" applyFont="1" applyFill="1" applyBorder="1" applyAlignment="1">
      <alignment horizontal="center" vertical="center"/>
    </xf>
    <xf numFmtId="173" fontId="21" fillId="9" borderId="89" xfId="0" applyFont="1" applyFill="1" applyBorder="1" applyAlignment="1">
      <alignment horizontal="center" vertical="center"/>
    </xf>
    <xf numFmtId="173" fontId="48" fillId="9" borderId="90" xfId="0" applyFont="1" applyFill="1" applyBorder="1" applyAlignment="1">
      <alignment horizontal="center" vertical="center"/>
    </xf>
    <xf numFmtId="173" fontId="48" fillId="9" borderId="20" xfId="0" applyFont="1" applyFill="1" applyBorder="1" applyAlignment="1">
      <alignment horizontal="center" vertical="center"/>
    </xf>
    <xf numFmtId="173" fontId="48" fillId="9" borderId="21" xfId="0" applyFont="1" applyFill="1" applyBorder="1" applyAlignment="1">
      <alignment horizontal="center" vertical="center"/>
    </xf>
    <xf numFmtId="173" fontId="25" fillId="0" borderId="5" xfId="0" applyFont="1" applyBorder="1" applyAlignment="1">
      <alignment horizontal="center" vertical="center"/>
    </xf>
    <xf numFmtId="173" fontId="25" fillId="6" borderId="4" xfId="0" applyFont="1" applyFill="1" applyBorder="1" applyAlignment="1">
      <alignment horizontal="center" vertical="center"/>
    </xf>
    <xf numFmtId="173" fontId="25" fillId="0" borderId="68" xfId="0" applyFont="1" applyBorder="1" applyAlignment="1">
      <alignment horizontal="center" vertical="center"/>
    </xf>
    <xf numFmtId="173" fontId="25" fillId="0" borderId="25" xfId="0" applyFont="1" applyBorder="1" applyAlignment="1">
      <alignment horizontal="center" vertical="center"/>
    </xf>
    <xf numFmtId="49" fontId="22" fillId="0" borderId="93" xfId="0" applyNumberFormat="1" applyFont="1" applyBorder="1" applyAlignment="1">
      <alignment horizontal="center" vertical="center" textRotation="45"/>
    </xf>
    <xf numFmtId="49" fontId="22" fillId="0" borderId="94" xfId="0" applyNumberFormat="1" applyFont="1" applyBorder="1" applyAlignment="1">
      <alignment horizontal="center" vertical="center" textRotation="45"/>
    </xf>
    <xf numFmtId="173" fontId="20" fillId="0" borderId="94" xfId="0" applyFont="1" applyBorder="1" applyAlignment="1">
      <alignment horizontal="center" vertical="center"/>
    </xf>
    <xf numFmtId="173" fontId="20" fillId="0" borderId="95" xfId="0" applyFont="1" applyBorder="1" applyAlignment="1">
      <alignment horizontal="center" vertical="center"/>
    </xf>
    <xf numFmtId="173" fontId="4" fillId="16" borderId="54" xfId="0" applyNumberFormat="1" applyFont="1" applyFill="1" applyBorder="1" applyAlignment="1" applyProtection="1">
      <alignment horizontal="center" vertical="center"/>
    </xf>
    <xf numFmtId="173" fontId="4" fillId="16" borderId="34" xfId="0" applyNumberFormat="1" applyFont="1" applyFill="1" applyBorder="1" applyAlignment="1" applyProtection="1">
      <alignment horizontal="center" vertical="center"/>
    </xf>
    <xf numFmtId="173" fontId="6" fillId="16" borderId="4" xfId="0" applyNumberFormat="1" applyFont="1" applyFill="1" applyBorder="1" applyAlignment="1" applyProtection="1">
      <alignment horizontal="center"/>
    </xf>
    <xf numFmtId="17" fontId="35" fillId="11" borderId="62" xfId="0" applyNumberFormat="1" applyFont="1" applyFill="1" applyBorder="1" applyAlignment="1" applyProtection="1">
      <alignment horizontal="center" vertical="center" wrapText="1"/>
    </xf>
    <xf numFmtId="17" fontId="35" fillId="11" borderId="43" xfId="0" applyNumberFormat="1" applyFont="1" applyFill="1" applyBorder="1" applyAlignment="1" applyProtection="1">
      <alignment horizontal="center" vertical="center" wrapText="1"/>
    </xf>
    <xf numFmtId="17" fontId="35" fillId="11" borderId="58" xfId="0" applyNumberFormat="1" applyFont="1" applyFill="1" applyBorder="1" applyAlignment="1" applyProtection="1">
      <alignment horizontal="center" vertical="center" wrapText="1"/>
    </xf>
    <xf numFmtId="49" fontId="32" fillId="0" borderId="54" xfId="0" applyNumberFormat="1" applyFont="1" applyFill="1" applyBorder="1" applyAlignment="1">
      <alignment horizontal="center" vertical="center" wrapText="1"/>
    </xf>
    <xf numFmtId="49" fontId="32" fillId="0" borderId="66" xfId="0" applyNumberFormat="1" applyFont="1" applyFill="1" applyBorder="1" applyAlignment="1">
      <alignment horizontal="center" vertical="center" wrapText="1"/>
    </xf>
    <xf numFmtId="1" fontId="32" fillId="0" borderId="55" xfId="0" applyNumberFormat="1" applyFont="1" applyFill="1" applyBorder="1" applyAlignment="1" applyProtection="1">
      <alignment horizontal="center" vertical="center" wrapText="1"/>
      <protection locked="0"/>
    </xf>
    <xf numFmtId="1" fontId="32" fillId="0" borderId="59" xfId="0" applyNumberFormat="1" applyFont="1" applyFill="1" applyBorder="1" applyAlignment="1" applyProtection="1">
      <alignment horizontal="center" vertical="center" wrapText="1"/>
      <protection locked="0"/>
    </xf>
    <xf numFmtId="2" fontId="32" fillId="0" borderId="0" xfId="0" applyNumberFormat="1" applyFont="1" applyFill="1" applyAlignment="1">
      <alignment horizontal="center" vertical="center" wrapText="1"/>
    </xf>
    <xf numFmtId="2" fontId="27" fillId="0" borderId="0" xfId="0" applyNumberFormat="1" applyFont="1" applyFill="1" applyAlignment="1">
      <alignment horizontal="center" vertical="center" wrapText="1"/>
    </xf>
    <xf numFmtId="49" fontId="27" fillId="11" borderId="27" xfId="0" applyNumberFormat="1" applyFont="1" applyFill="1" applyBorder="1" applyAlignment="1">
      <alignment horizontal="center" vertical="center" wrapText="1"/>
    </xf>
    <xf numFmtId="49" fontId="27" fillId="11" borderId="75" xfId="0" applyNumberFormat="1" applyFont="1" applyFill="1" applyBorder="1" applyAlignment="1">
      <alignment horizontal="center" vertical="center" wrapText="1"/>
    </xf>
    <xf numFmtId="1" fontId="27" fillId="11" borderId="27" xfId="0" applyNumberFormat="1" applyFont="1" applyFill="1" applyBorder="1" applyAlignment="1">
      <alignment horizontal="center" vertical="center" wrapText="1"/>
    </xf>
    <xf numFmtId="1" fontId="27" fillId="11" borderId="75" xfId="0" applyNumberFormat="1" applyFont="1" applyFill="1" applyBorder="1" applyAlignment="1">
      <alignment horizontal="center" vertical="center" wrapText="1"/>
    </xf>
    <xf numFmtId="173" fontId="27" fillId="0" borderId="27" xfId="0" applyNumberFormat="1" applyFont="1" applyFill="1" applyBorder="1" applyAlignment="1">
      <alignment horizontal="center" vertical="center" wrapText="1"/>
    </xf>
    <xf numFmtId="173" fontId="27" fillId="0" borderId="75" xfId="0" applyNumberFormat="1" applyFont="1" applyFill="1" applyBorder="1" applyAlignment="1">
      <alignment horizontal="center" vertical="center" wrapText="1"/>
    </xf>
    <xf numFmtId="173" fontId="31" fillId="10" borderId="0" xfId="0" applyNumberFormat="1" applyFont="1" applyFill="1" applyBorder="1" applyAlignment="1">
      <alignment horizontal="right" vertical="center" wrapText="1"/>
    </xf>
    <xf numFmtId="171" fontId="31" fillId="10" borderId="0" xfId="0" applyNumberFormat="1" applyFont="1" applyFill="1" applyBorder="1" applyAlignment="1">
      <alignment horizontal="left" vertical="center" wrapText="1"/>
    </xf>
    <xf numFmtId="173" fontId="31" fillId="10" borderId="11" xfId="0" applyNumberFormat="1" applyFont="1" applyFill="1" applyBorder="1" applyAlignment="1">
      <alignment horizontal="right" vertical="center" wrapText="1"/>
    </xf>
    <xf numFmtId="173" fontId="31" fillId="10" borderId="11" xfId="0" applyNumberFormat="1" applyFont="1" applyFill="1" applyBorder="1" applyAlignment="1">
      <alignment horizontal="left" vertical="center" wrapText="1"/>
    </xf>
    <xf numFmtId="173" fontId="30" fillId="10" borderId="34" xfId="0" applyNumberFormat="1" applyFont="1" applyFill="1" applyBorder="1" applyAlignment="1">
      <alignment horizontal="center" wrapText="1"/>
    </xf>
    <xf numFmtId="173" fontId="30" fillId="10" borderId="0" xfId="0" applyNumberFormat="1" applyFont="1" applyFill="1" applyBorder="1" applyAlignment="1">
      <alignment horizontal="center" wrapText="1"/>
    </xf>
    <xf numFmtId="173" fontId="30" fillId="10" borderId="11" xfId="0" applyNumberFormat="1" applyFont="1" applyFill="1" applyBorder="1" applyAlignment="1">
      <alignment horizontal="center" wrapText="1"/>
    </xf>
    <xf numFmtId="173" fontId="31" fillId="10" borderId="34" xfId="0" applyNumberFormat="1" applyFont="1" applyFill="1" applyBorder="1" applyAlignment="1">
      <alignment horizontal="right" vertical="center" wrapText="1"/>
    </xf>
    <xf numFmtId="49" fontId="27" fillId="0" borderId="13" xfId="0" applyNumberFormat="1" applyFont="1" applyFill="1" applyBorder="1" applyAlignment="1">
      <alignment horizontal="center" vertical="center" wrapText="1"/>
    </xf>
    <xf numFmtId="49" fontId="27" fillId="0" borderId="14" xfId="0" applyNumberFormat="1" applyFont="1" applyFill="1" applyBorder="1" applyAlignment="1">
      <alignment horizontal="center" vertical="center" wrapText="1"/>
    </xf>
    <xf numFmtId="49" fontId="27" fillId="0" borderId="74" xfId="0" applyNumberFormat="1" applyFont="1" applyFill="1" applyBorder="1" applyAlignment="1">
      <alignment horizontal="center" vertical="center" wrapText="1"/>
    </xf>
    <xf numFmtId="49" fontId="27" fillId="0" borderId="51" xfId="0" applyNumberFormat="1" applyFont="1" applyFill="1" applyBorder="1" applyAlignment="1">
      <alignment horizontal="center" vertical="center" wrapText="1"/>
    </xf>
    <xf numFmtId="173" fontId="27" fillId="0" borderId="9" xfId="3" applyNumberFormat="1" applyFont="1" applyFill="1" applyBorder="1" applyAlignment="1" applyProtection="1">
      <alignment horizontal="center" vertical="center" wrapText="1"/>
    </xf>
    <xf numFmtId="173" fontId="27" fillId="0" borderId="29" xfId="3" applyNumberFormat="1" applyFont="1" applyFill="1" applyBorder="1" applyAlignment="1" applyProtection="1">
      <alignment horizontal="center" vertical="center" wrapText="1"/>
    </xf>
    <xf numFmtId="173" fontId="27" fillId="0" borderId="49" xfId="3" applyNumberFormat="1" applyFont="1" applyFill="1" applyBorder="1" applyAlignment="1" applyProtection="1">
      <alignment horizontal="center" vertical="center" wrapText="1"/>
    </xf>
    <xf numFmtId="173" fontId="27" fillId="0" borderId="28" xfId="3" applyNumberFormat="1" applyFont="1" applyFill="1" applyBorder="1" applyAlignment="1" applyProtection="1">
      <alignment horizontal="center" vertical="center" wrapText="1"/>
    </xf>
    <xf numFmtId="1" fontId="27" fillId="0" borderId="27" xfId="0" applyNumberFormat="1" applyFont="1" applyFill="1" applyBorder="1" applyAlignment="1">
      <alignment horizontal="center" vertical="center" wrapText="1"/>
    </xf>
    <xf numFmtId="1" fontId="27" fillId="0" borderId="75" xfId="0" applyNumberFormat="1" applyFont="1" applyFill="1" applyBorder="1" applyAlignment="1">
      <alignment horizontal="center" vertical="center" wrapText="1"/>
    </xf>
    <xf numFmtId="172" fontId="27" fillId="0" borderId="27" xfId="0" applyNumberFormat="1" applyFont="1" applyFill="1" applyBorder="1" applyAlignment="1">
      <alignment horizontal="center" vertical="center" wrapText="1"/>
    </xf>
    <xf numFmtId="172" fontId="27" fillId="0" borderId="75" xfId="0" applyNumberFormat="1" applyFont="1" applyFill="1" applyBorder="1" applyAlignment="1">
      <alignment horizontal="center" vertical="center" wrapText="1"/>
    </xf>
    <xf numFmtId="173" fontId="14" fillId="7" borderId="39" xfId="0" applyNumberFormat="1" applyFont="1" applyFill="1" applyBorder="1" applyAlignment="1">
      <alignment horizontal="center" textRotation="45" wrapText="1"/>
    </xf>
    <xf numFmtId="173" fontId="14" fillId="7" borderId="77" xfId="0" applyNumberFormat="1" applyFont="1" applyFill="1" applyBorder="1" applyAlignment="1">
      <alignment horizontal="center" textRotation="45" wrapText="1"/>
    </xf>
    <xf numFmtId="173" fontId="27" fillId="13" borderId="76" xfId="0" applyNumberFormat="1" applyFont="1" applyFill="1" applyBorder="1" applyAlignment="1">
      <alignment horizontal="center" vertical="center" textRotation="90" wrapText="1"/>
    </xf>
    <xf numFmtId="173" fontId="27" fillId="13" borderId="26" xfId="0" applyNumberFormat="1" applyFont="1" applyFill="1" applyBorder="1" applyAlignment="1">
      <alignment horizontal="center" vertical="center" textRotation="90" wrapText="1"/>
    </xf>
    <xf numFmtId="173" fontId="27" fillId="13" borderId="18" xfId="0" applyNumberFormat="1" applyFont="1" applyFill="1" applyBorder="1" applyAlignment="1">
      <alignment horizontal="center" vertical="center" textRotation="90" wrapText="1"/>
    </xf>
    <xf numFmtId="173" fontId="14" fillId="12" borderId="39" xfId="0" applyNumberFormat="1" applyFont="1" applyFill="1" applyBorder="1" applyAlignment="1">
      <alignment horizontal="center" textRotation="45" wrapText="1"/>
    </xf>
    <xf numFmtId="173" fontId="14" fillId="12" borderId="77" xfId="0" applyNumberFormat="1" applyFont="1" applyFill="1" applyBorder="1" applyAlignment="1">
      <alignment horizontal="center" textRotation="45" wrapText="1"/>
    </xf>
    <xf numFmtId="1" fontId="27" fillId="7" borderId="61" xfId="3" applyNumberFormat="1" applyFont="1" applyFill="1" applyBorder="1" applyAlignment="1" applyProtection="1">
      <alignment horizontal="center" vertical="center" wrapText="1"/>
    </xf>
    <xf numFmtId="1" fontId="27" fillId="7" borderId="71" xfId="3" applyNumberFormat="1" applyFont="1" applyFill="1" applyBorder="1" applyAlignment="1" applyProtection="1">
      <alignment horizontal="center" vertical="center" wrapText="1"/>
    </xf>
    <xf numFmtId="173" fontId="26" fillId="7" borderId="78" xfId="0" applyNumberFormat="1" applyFont="1" applyFill="1" applyBorder="1" applyAlignment="1">
      <alignment horizontal="center" vertical="center" wrapText="1"/>
    </xf>
    <xf numFmtId="49" fontId="27" fillId="7" borderId="66" xfId="0" applyNumberFormat="1" applyFont="1" applyFill="1" applyBorder="1" applyAlignment="1" applyProtection="1">
      <alignment horizontal="center" vertical="center" wrapText="1"/>
      <protection locked="0"/>
    </xf>
    <xf numFmtId="49" fontId="27" fillId="7" borderId="51" xfId="0" applyNumberFormat="1" applyFont="1" applyFill="1" applyBorder="1" applyAlignment="1" applyProtection="1">
      <alignment horizontal="center" vertical="center" wrapText="1"/>
      <protection locked="0"/>
    </xf>
    <xf numFmtId="1" fontId="27" fillId="12" borderId="61" xfId="3" applyNumberFormat="1" applyFont="1" applyFill="1" applyBorder="1" applyAlignment="1" applyProtection="1">
      <alignment horizontal="center" vertical="center" wrapText="1"/>
    </xf>
    <xf numFmtId="1" fontId="27" fillId="12" borderId="71" xfId="3" applyNumberFormat="1" applyFont="1" applyFill="1" applyBorder="1" applyAlignment="1" applyProtection="1">
      <alignment horizontal="center" vertical="center" wrapText="1"/>
    </xf>
    <xf numFmtId="173" fontId="26" fillId="12" borderId="78" xfId="0" applyNumberFormat="1" applyFont="1" applyFill="1" applyBorder="1" applyAlignment="1">
      <alignment horizontal="center" vertical="center" wrapText="1"/>
    </xf>
    <xf numFmtId="49" fontId="27" fillId="12" borderId="66" xfId="0" applyNumberFormat="1" applyFont="1" applyFill="1" applyBorder="1" applyAlignment="1" applyProtection="1">
      <alignment horizontal="center" vertical="center" wrapText="1"/>
      <protection locked="0"/>
    </xf>
    <xf numFmtId="49" fontId="27" fillId="12" borderId="51" xfId="0" applyNumberFormat="1" applyFont="1" applyFill="1" applyBorder="1" applyAlignment="1" applyProtection="1">
      <alignment horizontal="center" vertical="center" wrapText="1"/>
      <protection locked="0"/>
    </xf>
    <xf numFmtId="173" fontId="27" fillId="0" borderId="58" xfId="0" applyNumberFormat="1" applyFont="1" applyFill="1" applyBorder="1" applyAlignment="1" applyProtection="1">
      <alignment horizontal="center" vertical="center"/>
    </xf>
    <xf numFmtId="173" fontId="27" fillId="0" borderId="29" xfId="0" applyNumberFormat="1" applyFont="1" applyFill="1" applyBorder="1" applyAlignment="1" applyProtection="1">
      <alignment horizontal="center" vertical="center"/>
    </xf>
    <xf numFmtId="173" fontId="27" fillId="0" borderId="60" xfId="0" applyNumberFormat="1" applyFont="1" applyFill="1" applyBorder="1" applyAlignment="1" applyProtection="1">
      <alignment horizontal="center" vertical="center"/>
    </xf>
    <xf numFmtId="173" fontId="27" fillId="0" borderId="28" xfId="0" applyNumberFormat="1" applyFont="1" applyFill="1" applyBorder="1" applyAlignment="1" applyProtection="1">
      <alignment horizontal="center" vertical="center"/>
    </xf>
    <xf numFmtId="173" fontId="27" fillId="0" borderId="70" xfId="0" applyNumberFormat="1" applyFont="1" applyFill="1" applyBorder="1" applyAlignment="1" applyProtection="1">
      <alignment horizontal="center" vertical="center"/>
    </xf>
    <xf numFmtId="173" fontId="27" fillId="0" borderId="32" xfId="0" applyNumberFormat="1" applyFont="1" applyFill="1" applyBorder="1" applyAlignment="1" applyProtection="1">
      <alignment horizontal="center" vertical="center"/>
    </xf>
    <xf numFmtId="1" fontId="27" fillId="14" borderId="61" xfId="3" applyNumberFormat="1" applyFont="1" applyFill="1" applyBorder="1" applyAlignment="1" applyProtection="1">
      <alignment horizontal="center" vertical="center" wrapText="1"/>
    </xf>
    <xf numFmtId="1" fontId="27" fillId="14" borderId="71" xfId="3" applyNumberFormat="1" applyFont="1" applyFill="1" applyBorder="1" applyAlignment="1" applyProtection="1">
      <alignment horizontal="center" vertical="center" wrapText="1"/>
    </xf>
    <xf numFmtId="173" fontId="26" fillId="14" borderId="78" xfId="0" applyNumberFormat="1" applyFont="1" applyFill="1" applyBorder="1" applyAlignment="1">
      <alignment horizontal="center" vertical="center" wrapText="1"/>
    </xf>
    <xf numFmtId="49" fontId="27" fillId="14" borderId="66" xfId="0" applyNumberFormat="1" applyFont="1" applyFill="1" applyBorder="1" applyAlignment="1" applyProtection="1">
      <alignment horizontal="center" vertical="center" wrapText="1"/>
      <protection locked="0"/>
    </xf>
    <xf numFmtId="49" fontId="27" fillId="14" borderId="51" xfId="0" applyNumberFormat="1" applyFont="1" applyFill="1" applyBorder="1" applyAlignment="1" applyProtection="1">
      <alignment horizontal="center" vertical="center" wrapText="1"/>
      <protection locked="0"/>
    </xf>
    <xf numFmtId="173" fontId="41" fillId="13" borderId="65" xfId="0" applyNumberFormat="1" applyFont="1" applyFill="1" applyBorder="1" applyAlignment="1" applyProtection="1">
      <alignment horizontal="center" vertical="center" wrapText="1"/>
    </xf>
    <xf numFmtId="173" fontId="41" fillId="13" borderId="11" xfId="0" applyNumberFormat="1" applyFont="1" applyFill="1" applyBorder="1" applyAlignment="1" applyProtection="1">
      <alignment horizontal="center" vertical="center" wrapText="1"/>
    </xf>
    <xf numFmtId="173" fontId="41" fillId="13" borderId="73" xfId="0" applyNumberFormat="1" applyFont="1" applyFill="1" applyBorder="1" applyAlignment="1" applyProtection="1">
      <alignment horizontal="center" vertical="center" wrapText="1"/>
    </xf>
    <xf numFmtId="173" fontId="27" fillId="0" borderId="54" xfId="0" applyNumberFormat="1" applyFont="1" applyFill="1" applyBorder="1" applyAlignment="1">
      <alignment horizontal="center" vertical="center" wrapText="1"/>
    </xf>
    <xf numFmtId="173" fontId="27" fillId="0" borderId="34" xfId="0" applyNumberFormat="1" applyFont="1" applyFill="1" applyBorder="1" applyAlignment="1">
      <alignment horizontal="center" vertical="center" wrapText="1"/>
    </xf>
    <xf numFmtId="173" fontId="27" fillId="0" borderId="55" xfId="0" applyNumberFormat="1" applyFont="1" applyFill="1" applyBorder="1" applyAlignment="1">
      <alignment horizontal="center" vertical="center" wrapText="1"/>
    </xf>
    <xf numFmtId="173" fontId="27" fillId="0" borderId="31" xfId="0" applyNumberFormat="1" applyFont="1" applyFill="1" applyBorder="1" applyAlignment="1">
      <alignment horizontal="center" vertical="center" wrapText="1"/>
    </xf>
    <xf numFmtId="173" fontId="27" fillId="0" borderId="0" xfId="0" applyNumberFormat="1" applyFont="1" applyFill="1" applyBorder="1" applyAlignment="1">
      <alignment horizontal="center" vertical="center" wrapText="1"/>
    </xf>
    <xf numFmtId="173" fontId="27" fillId="0" borderId="40" xfId="0" applyNumberFormat="1" applyFont="1" applyFill="1" applyBorder="1" applyAlignment="1">
      <alignment horizontal="center" vertical="center" wrapText="1"/>
    </xf>
    <xf numFmtId="173" fontId="14" fillId="14" borderId="39" xfId="0" applyNumberFormat="1" applyFont="1" applyFill="1" applyBorder="1" applyAlignment="1">
      <alignment horizontal="center" textRotation="45" wrapText="1"/>
    </xf>
    <xf numFmtId="173" fontId="24" fillId="0" borderId="77" xfId="0" applyNumberFormat="1" applyFont="1" applyBorder="1" applyAlignment="1">
      <alignment horizontal="center" textRotation="45" wrapText="1"/>
    </xf>
    <xf numFmtId="173" fontId="27" fillId="9" borderId="44" xfId="0" applyNumberFormat="1" applyFont="1" applyFill="1" applyBorder="1" applyAlignment="1" applyProtection="1">
      <alignment horizontal="right" vertical="center" wrapText="1"/>
    </xf>
    <xf numFmtId="173" fontId="27" fillId="9" borderId="58" xfId="0" applyNumberFormat="1" applyFont="1" applyFill="1" applyBorder="1" applyAlignment="1" applyProtection="1">
      <alignment horizontal="right" vertical="center" wrapText="1"/>
    </xf>
    <xf numFmtId="173" fontId="27" fillId="15" borderId="44" xfId="0" applyNumberFormat="1" applyFont="1" applyFill="1" applyBorder="1" applyAlignment="1" applyProtection="1">
      <alignment horizontal="right" vertical="center" wrapText="1"/>
    </xf>
    <xf numFmtId="173" fontId="27" fillId="15" borderId="58" xfId="0" applyNumberFormat="1" applyFont="1" applyFill="1" applyBorder="1" applyAlignment="1" applyProtection="1">
      <alignment horizontal="right" vertical="center" wrapText="1"/>
    </xf>
    <xf numFmtId="173" fontId="27" fillId="0" borderId="45" xfId="0" applyNumberFormat="1" applyFont="1" applyFill="1" applyBorder="1" applyAlignment="1" applyProtection="1">
      <alignment horizontal="right" vertical="center" wrapText="1"/>
    </xf>
    <xf numFmtId="173" fontId="27" fillId="0" borderId="60" xfId="0" applyNumberFormat="1" applyFont="1" applyFill="1" applyBorder="1" applyAlignment="1" applyProtection="1">
      <alignment horizontal="right" vertical="center" wrapText="1"/>
    </xf>
    <xf numFmtId="173" fontId="27" fillId="0" borderId="66" xfId="0" applyNumberFormat="1" applyFont="1" applyFill="1" applyBorder="1" applyAlignment="1">
      <alignment horizontal="center" vertical="center" wrapText="1"/>
    </xf>
    <xf numFmtId="173" fontId="27" fillId="0" borderId="51" xfId="0" applyNumberFormat="1" applyFont="1" applyFill="1" applyBorder="1" applyAlignment="1">
      <alignment horizontal="center" vertical="center" wrapText="1"/>
    </xf>
    <xf numFmtId="173" fontId="27" fillId="0" borderId="59" xfId="0" applyNumberFormat="1" applyFont="1" applyFill="1" applyBorder="1" applyAlignment="1">
      <alignment horizontal="center" vertical="center" wrapText="1"/>
    </xf>
    <xf numFmtId="173" fontId="45" fillId="0" borderId="0" xfId="0" applyNumberFormat="1" applyFont="1" applyFill="1" applyAlignment="1">
      <alignment vertical="center" wrapText="1"/>
    </xf>
    <xf numFmtId="173" fontId="0" fillId="0" borderId="0" xfId="0" applyNumberFormat="1" applyAlignment="1">
      <alignment horizontal="center" wrapText="1" shrinkToFit="1"/>
    </xf>
    <xf numFmtId="173" fontId="38" fillId="0" borderId="0" xfId="0" applyNumberFormat="1" applyFont="1" applyAlignment="1">
      <alignment horizontal="center" wrapText="1" shrinkToFit="1"/>
    </xf>
    <xf numFmtId="173" fontId="27" fillId="0" borderId="69" xfId="0" applyNumberFormat="1" applyFont="1" applyFill="1" applyBorder="1" applyAlignment="1" applyProtection="1">
      <alignment horizontal="left" vertical="center"/>
      <protection locked="0"/>
    </xf>
    <xf numFmtId="173" fontId="27" fillId="0" borderId="42" xfId="0" applyNumberFormat="1" applyFont="1" applyFill="1" applyBorder="1" applyAlignment="1" applyProtection="1">
      <alignment horizontal="left" vertical="center"/>
      <protection locked="0"/>
    </xf>
    <xf numFmtId="173" fontId="27" fillId="0" borderId="63" xfId="0" applyNumberFormat="1" applyFont="1" applyFill="1" applyBorder="1" applyAlignment="1" applyProtection="1">
      <alignment horizontal="left" vertical="center"/>
      <protection locked="0"/>
    </xf>
    <xf numFmtId="173" fontId="27" fillId="0" borderId="62" xfId="0" applyNumberFormat="1" applyFont="1" applyFill="1" applyBorder="1" applyAlignment="1" applyProtection="1">
      <alignment horizontal="left" vertical="center"/>
      <protection locked="0"/>
    </xf>
    <xf numFmtId="173" fontId="27" fillId="0" borderId="43" xfId="0" applyNumberFormat="1" applyFont="1" applyFill="1" applyBorder="1" applyAlignment="1" applyProtection="1">
      <alignment horizontal="left" vertical="center"/>
      <protection locked="0"/>
    </xf>
    <xf numFmtId="173" fontId="27" fillId="0" borderId="64" xfId="0" applyNumberFormat="1" applyFont="1" applyFill="1" applyBorder="1" applyAlignment="1" applyProtection="1">
      <alignment horizontal="left" vertical="center"/>
      <protection locked="0"/>
    </xf>
    <xf numFmtId="173" fontId="41" fillId="13" borderId="65" xfId="0" applyNumberFormat="1" applyFont="1" applyFill="1" applyBorder="1" applyAlignment="1">
      <alignment horizontal="center" vertical="center" wrapText="1"/>
    </xf>
    <xf numFmtId="173" fontId="41" fillId="13" borderId="11" xfId="0" applyNumberFormat="1" applyFont="1" applyFill="1" applyBorder="1" applyAlignment="1">
      <alignment horizontal="center" vertical="center" wrapText="1"/>
    </xf>
    <xf numFmtId="173" fontId="41" fillId="13" borderId="73" xfId="0" applyNumberFormat="1" applyFont="1" applyFill="1" applyBorder="1" applyAlignment="1">
      <alignment horizontal="center" vertical="center" wrapText="1"/>
    </xf>
    <xf numFmtId="173" fontId="27" fillId="9" borderId="44" xfId="0" applyNumberFormat="1" applyFont="1" applyFill="1" applyBorder="1" applyAlignment="1">
      <alignment horizontal="right" vertical="center" wrapText="1"/>
    </xf>
    <xf numFmtId="173" fontId="27" fillId="9" borderId="58" xfId="0" applyNumberFormat="1" applyFont="1" applyFill="1" applyBorder="1" applyAlignment="1">
      <alignment horizontal="right" vertical="center" wrapText="1"/>
    </xf>
    <xf numFmtId="173" fontId="27" fillId="15" borderId="44" xfId="0" applyNumberFormat="1" applyFont="1" applyFill="1" applyBorder="1" applyAlignment="1">
      <alignment horizontal="right" vertical="center" wrapText="1"/>
    </xf>
    <xf numFmtId="173" fontId="27" fillId="15" borderId="58" xfId="0" applyNumberFormat="1" applyFont="1" applyFill="1" applyBorder="1" applyAlignment="1">
      <alignment horizontal="right" vertical="center" wrapText="1"/>
    </xf>
    <xf numFmtId="173" fontId="27" fillId="0" borderId="45" xfId="0" applyNumberFormat="1" applyFont="1" applyFill="1" applyBorder="1" applyAlignment="1">
      <alignment horizontal="right" vertical="center" wrapText="1"/>
    </xf>
    <xf numFmtId="173" fontId="27" fillId="0" borderId="60" xfId="0" applyNumberFormat="1" applyFont="1" applyFill="1" applyBorder="1" applyAlignment="1">
      <alignment horizontal="right" vertical="center" wrapText="1"/>
    </xf>
    <xf numFmtId="173" fontId="0" fillId="0" borderId="9" xfId="0" applyBorder="1" applyAlignment="1">
      <alignment horizontal="center"/>
    </xf>
    <xf numFmtId="49" fontId="0" fillId="9" borderId="30" xfId="0" applyNumberFormat="1" applyFill="1" applyBorder="1" applyAlignment="1">
      <alignment horizontal="center"/>
    </xf>
    <xf numFmtId="49" fontId="0" fillId="9" borderId="9" xfId="0" applyNumberFormat="1" applyFill="1" applyBorder="1" applyAlignment="1">
      <alignment horizontal="center"/>
    </xf>
    <xf numFmtId="49" fontId="0" fillId="9" borderId="29" xfId="0" applyNumberFormat="1" applyFill="1" applyBorder="1" applyAlignment="1">
      <alignment horizontal="center"/>
    </xf>
    <xf numFmtId="177" fontId="0" fillId="6" borderId="2" xfId="0" applyNumberFormat="1" applyFill="1" applyBorder="1" applyAlignment="1">
      <alignment horizontal="center" vertical="center"/>
    </xf>
    <xf numFmtId="177" fontId="0" fillId="6" borderId="3" xfId="0" applyNumberFormat="1" applyFill="1" applyBorder="1" applyAlignment="1">
      <alignment horizontal="center" vertical="center"/>
    </xf>
    <xf numFmtId="177" fontId="0" fillId="6" borderId="110" xfId="0" applyNumberFormat="1" applyFill="1" applyBorder="1" applyAlignment="1">
      <alignment horizontal="center" vertical="center"/>
    </xf>
    <xf numFmtId="177" fontId="0" fillId="6" borderId="131" xfId="0" applyNumberFormat="1" applyFill="1" applyBorder="1" applyAlignment="1">
      <alignment horizontal="center" vertical="center"/>
    </xf>
    <xf numFmtId="177" fontId="0" fillId="6" borderId="122" xfId="0" applyNumberFormat="1" applyFill="1" applyBorder="1" applyAlignment="1">
      <alignment horizontal="center" vertical="center"/>
    </xf>
    <xf numFmtId="177" fontId="0" fillId="6" borderId="126" xfId="0" applyNumberFormat="1" applyFill="1" applyBorder="1" applyAlignment="1">
      <alignment horizontal="center" vertical="center"/>
    </xf>
    <xf numFmtId="165" fontId="0" fillId="6" borderId="1" xfId="0" applyNumberFormat="1" applyFill="1" applyBorder="1" applyAlignment="1">
      <alignment horizontal="center" vertical="center"/>
    </xf>
    <xf numFmtId="165" fontId="0" fillId="6" borderId="0" xfId="0" applyNumberFormat="1" applyFill="1" applyBorder="1" applyAlignment="1">
      <alignment horizontal="center" vertical="center"/>
    </xf>
    <xf numFmtId="165" fontId="0" fillId="6" borderId="4" xfId="0" applyNumberFormat="1" applyFill="1" applyBorder="1" applyAlignment="1">
      <alignment horizontal="center" vertical="center"/>
    </xf>
    <xf numFmtId="173" fontId="0" fillId="6" borderId="2" xfId="0" applyFill="1" applyBorder="1" applyAlignment="1">
      <alignment horizontal="center" vertical="center"/>
    </xf>
    <xf numFmtId="173" fontId="0" fillId="6" borderId="3" xfId="0" applyFill="1" applyBorder="1" applyAlignment="1">
      <alignment horizontal="center" vertical="center"/>
    </xf>
    <xf numFmtId="173" fontId="0" fillId="6" borderId="110" xfId="0" applyFill="1" applyBorder="1" applyAlignment="1">
      <alignment horizontal="center" vertical="center"/>
    </xf>
    <xf numFmtId="49" fontId="0" fillId="6" borderId="19" xfId="0" applyNumberFormat="1" applyFill="1" applyBorder="1" applyAlignment="1">
      <alignment horizontal="center" vertical="center" wrapText="1"/>
    </xf>
    <xf numFmtId="49" fontId="0" fillId="6" borderId="20" xfId="0" applyNumberFormat="1" applyFill="1" applyBorder="1" applyAlignment="1">
      <alignment horizontal="center" vertical="center" wrapText="1"/>
    </xf>
    <xf numFmtId="49" fontId="0" fillId="6" borderId="21" xfId="0" applyNumberFormat="1" applyFill="1" applyBorder="1" applyAlignment="1">
      <alignment horizontal="center" vertical="center" wrapText="1"/>
    </xf>
    <xf numFmtId="49" fontId="0" fillId="6" borderId="115" xfId="0" applyNumberFormat="1" applyFill="1" applyBorder="1" applyAlignment="1">
      <alignment horizontal="center" vertical="center" wrapText="1"/>
    </xf>
    <xf numFmtId="49" fontId="0" fillId="6" borderId="116" xfId="0" applyNumberFormat="1" applyFill="1" applyBorder="1" applyAlignment="1">
      <alignment horizontal="center" vertical="center" wrapText="1"/>
    </xf>
    <xf numFmtId="49" fontId="0" fillId="6" borderId="117" xfId="0" applyNumberFormat="1" applyFill="1" applyBorder="1" applyAlignment="1">
      <alignment horizontal="center" vertical="center" wrapText="1"/>
    </xf>
  </cellXfs>
  <cellStyles count="5">
    <cellStyle name="Good 2" xfId="2"/>
    <cellStyle name="Normal" xfId="0" builtinId="0"/>
    <cellStyle name="Normal 2" xfId="1"/>
    <cellStyle name="Normal 3" xfId="3"/>
    <cellStyle name="Normal 4" xfId="4"/>
  </cellStyles>
  <dxfs count="123">
    <dxf>
      <numFmt numFmtId="165" formatCode="0.0"/>
    </dxf>
    <dxf>
      <numFmt numFmtId="165" formatCode="0.0"/>
    </dxf>
    <dxf>
      <numFmt numFmtId="165" formatCode="0.0"/>
    </dxf>
    <dxf>
      <numFmt numFmtId="165" formatCode="0.0"/>
    </dxf>
    <dxf>
      <numFmt numFmtId="165" formatCode="0.0"/>
    </dxf>
    <dxf>
      <numFmt numFmtId="165" formatCode="0.0"/>
    </dxf>
    <dxf>
      <numFmt numFmtId="165" formatCode="0.0"/>
    </dxf>
    <dxf>
      <numFmt numFmtId="165" formatCode="0.0"/>
    </dxf>
    <dxf>
      <numFmt numFmtId="173" formatCode="[$-409]d\-mmm;@"/>
    </dxf>
    <dxf>
      <numFmt numFmtId="165" formatCode="0.0"/>
    </dxf>
    <dxf>
      <numFmt numFmtId="165" formatCode="0.0"/>
    </dxf>
    <dxf>
      <numFmt numFmtId="165" formatCode="0.0"/>
    </dxf>
    <dxf>
      <numFmt numFmtId="165" formatCode="0.0"/>
    </dxf>
    <dxf>
      <numFmt numFmtId="165" formatCode="0.0"/>
    </dxf>
    <dxf>
      <numFmt numFmtId="165" formatCode="0.0"/>
    </dxf>
    <dxf>
      <numFmt numFmtId="165" formatCode="0.0"/>
    </dxf>
    <dxf>
      <numFmt numFmtId="165" formatCode="0.0"/>
    </dxf>
    <dxf>
      <numFmt numFmtId="165" formatCode="0.0"/>
    </dxf>
    <dxf>
      <numFmt numFmtId="165" formatCode="0.0"/>
    </dxf>
    <dxf>
      <numFmt numFmtId="165" formatCode="0.0"/>
    </dxf>
    <dxf>
      <numFmt numFmtId="165" formatCode="0.0"/>
    </dxf>
    <dxf>
      <numFmt numFmtId="165" formatCode="0.0"/>
    </dxf>
    <dxf>
      <numFmt numFmtId="165" formatCode="0.0"/>
    </dxf>
    <dxf>
      <numFmt numFmtId="165" formatCode="0.0"/>
    </dxf>
    <dxf>
      <numFmt numFmtId="165" formatCode="0.0"/>
    </dxf>
    <dxf>
      <numFmt numFmtId="165" formatCode="0.0"/>
    </dxf>
    <dxf>
      <numFmt numFmtId="165" formatCode="0.0"/>
    </dxf>
    <dxf>
      <numFmt numFmtId="165" formatCode="0.0"/>
    </dxf>
    <dxf>
      <numFmt numFmtId="165" formatCode="0.0"/>
    </dxf>
    <dxf>
      <numFmt numFmtId="165" formatCode="0.0"/>
    </dxf>
    <dxf>
      <numFmt numFmtId="165" formatCode="0.0"/>
    </dxf>
    <dxf>
      <numFmt numFmtId="165" formatCode="0.0"/>
    </dxf>
    <dxf>
      <numFmt numFmtId="165" formatCode="0.0"/>
    </dxf>
    <dxf>
      <numFmt numFmtId="165" formatCode="0.0"/>
    </dxf>
    <dxf>
      <numFmt numFmtId="165" formatCode="0.0"/>
    </dxf>
    <dxf>
      <numFmt numFmtId="27" formatCode="m/d/yyyy\ h:mm"/>
    </dxf>
    <dxf>
      <numFmt numFmtId="27" formatCode="m/d/yyyy\ h:mm"/>
    </dxf>
    <dxf>
      <numFmt numFmtId="27" formatCode="m/d/yyyy\ h:mm"/>
    </dxf>
    <dxf>
      <numFmt numFmtId="27" formatCode="m/d/yyyy\ h:mm"/>
    </dxf>
    <dxf>
      <numFmt numFmtId="27" formatCode="m/d/yyyy\ h:mm"/>
    </dxf>
    <dxf>
      <numFmt numFmtId="27" formatCode="m/d/yyyy\ h:mm"/>
    </dxf>
    <dxf>
      <numFmt numFmtId="27" formatCode="m/d/yyyy\ h:mm"/>
    </dxf>
    <dxf>
      <numFmt numFmtId="27" formatCode="m/d/yyyy\ h:mm"/>
    </dxf>
    <dxf>
      <font>
        <color theme="0"/>
      </font>
    </dxf>
    <dxf>
      <font>
        <color theme="0"/>
      </font>
    </dxf>
    <dxf>
      <numFmt numFmtId="173" formatCode="[$-409]d\-mmm;@"/>
    </dxf>
    <dxf>
      <numFmt numFmtId="165" formatCode="0.0"/>
    </dxf>
    <dxf>
      <numFmt numFmtId="165" formatCode="0.0"/>
    </dxf>
    <dxf>
      <numFmt numFmtId="1" formatCode="0"/>
    </dxf>
    <dxf>
      <numFmt numFmtId="1" formatCode="0"/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0"/>
      </font>
      <fill>
        <patternFill>
          <bgColor theme="0"/>
        </patternFill>
      </fill>
    </dxf>
    <dxf>
      <font>
        <condense val="0"/>
        <extend val="0"/>
        <color indexed="10"/>
      </font>
    </dxf>
    <dxf>
      <font>
        <condense val="0"/>
        <extend val="0"/>
        <color indexed="50"/>
      </font>
    </dxf>
    <dxf>
      <font>
        <color rgb="FFFF0000"/>
      </font>
    </dxf>
    <dxf>
      <font>
        <color theme="0"/>
      </font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008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8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008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8000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0"/>
      </font>
      <fill>
        <patternFill>
          <bgColor theme="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008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8000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0"/>
      </font>
      <fill>
        <patternFill>
          <bgColor theme="0"/>
        </patternFill>
      </fill>
    </dxf>
    <dxf>
      <font>
        <color theme="0"/>
      </font>
      <fill>
        <patternFill>
          <bgColor rgb="FF0070C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0"/>
      </font>
      <fill>
        <patternFill>
          <bgColor theme="0"/>
        </patternFill>
      </fill>
    </dxf>
    <dxf>
      <font>
        <condense val="0"/>
        <extend val="0"/>
        <color indexed="10"/>
      </font>
    </dxf>
    <dxf>
      <font>
        <condense val="0"/>
        <extend val="0"/>
        <color indexed="50"/>
      </font>
    </dxf>
    <dxf>
      <font>
        <color rgb="FFFF0000"/>
      </font>
    </dxf>
    <dxf>
      <font>
        <color theme="0"/>
      </font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008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8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ont>
        <color theme="0"/>
      </font>
    </dxf>
    <dxf>
      <font>
        <color auto="1"/>
      </font>
      <fill>
        <patternFill>
          <bgColor theme="0"/>
        </patternFill>
      </fill>
    </dxf>
    <dxf>
      <font>
        <color auto="1"/>
      </font>
      <fill>
        <patternFill>
          <bgColor theme="5" tint="0.59996337778862885"/>
        </patternFill>
      </fill>
    </dxf>
    <dxf>
      <font>
        <color auto="1"/>
      </font>
      <fill>
        <patternFill>
          <bgColor theme="0"/>
        </patternFill>
      </fill>
    </dxf>
    <dxf>
      <font>
        <color auto="1"/>
      </font>
      <fill>
        <patternFill>
          <bgColor theme="5" tint="0.59996337778862885"/>
        </patternFill>
      </fill>
    </dxf>
    <dxf>
      <fill>
        <patternFill>
          <bgColor theme="0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ont>
        <color theme="0"/>
      </font>
      <fill>
        <patternFill>
          <bgColor theme="0"/>
        </patternFill>
      </fill>
    </dxf>
    <dxf>
      <font>
        <color auto="1"/>
      </font>
      <fill>
        <patternFill>
          <bgColor theme="0"/>
        </patternFill>
      </fill>
    </dxf>
    <dxf>
      <fill>
        <patternFill>
          <bgColor theme="0"/>
        </patternFill>
      </fill>
    </dxf>
  </dxfs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externalLink" Target="externalLinks/externalLink1.xml"/><Relationship Id="rId26" Type="http://schemas.microsoft.com/office/2006/relationships/vbaProject" Target="vbaProject.bin"/><Relationship Id="rId3" Type="http://schemas.openxmlformats.org/officeDocument/2006/relationships/worksheet" Target="worksheets/sheet3.xml"/><Relationship Id="rId21" Type="http://schemas.openxmlformats.org/officeDocument/2006/relationships/theme" Target="theme/theme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pivotCacheDefinition" Target="pivotCache/pivotCacheDefinition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styles" Target="styles.xml"/><Relationship Id="rId10" Type="http://schemas.openxmlformats.org/officeDocument/2006/relationships/worksheet" Target="worksheets/sheet10.xml"/><Relationship Id="rId19" Type="http://schemas.openxmlformats.org/officeDocument/2006/relationships/externalLink" Target="externalLinks/externalLink2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connections" Target="connection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plotArea>
      <c:layout>
        <c:manualLayout>
          <c:layoutTarget val="inner"/>
          <c:xMode val="edge"/>
          <c:yMode val="edge"/>
          <c:x val="3.7585144352541039E-2"/>
          <c:y val="2.4831311152735652E-2"/>
          <c:w val="0.95517205766906177"/>
          <c:h val="0.86081459282005313"/>
        </c:manualLayout>
      </c:layout>
      <c:barChart>
        <c:barDir val="col"/>
        <c:grouping val="clustered"/>
        <c:ser>
          <c:idx val="0"/>
          <c:order val="0"/>
          <c:tx>
            <c:v>Hours</c:v>
          </c:tx>
          <c:dPt>
            <c:idx val="0"/>
            <c:spPr>
              <a:solidFill>
                <a:srgbClr val="7030A0"/>
              </a:solidFill>
            </c:spPr>
          </c:dPt>
          <c:dPt>
            <c:idx val="1"/>
            <c:spPr>
              <a:solidFill>
                <a:srgbClr val="7030A0"/>
              </a:solidFill>
            </c:spPr>
          </c:dPt>
          <c:dPt>
            <c:idx val="2"/>
            <c:spPr>
              <a:solidFill>
                <a:srgbClr val="7030A0"/>
              </a:solidFill>
            </c:spPr>
          </c:dPt>
          <c:dPt>
            <c:idx val="3"/>
            <c:spPr>
              <a:solidFill>
                <a:srgbClr val="7030A0"/>
              </a:solidFill>
            </c:spPr>
          </c:dPt>
          <c:dPt>
            <c:idx val="7"/>
            <c:spPr>
              <a:solidFill>
                <a:srgbClr val="00B050"/>
              </a:solidFill>
            </c:spPr>
          </c:dPt>
          <c:dPt>
            <c:idx val="13"/>
            <c:spPr>
              <a:solidFill>
                <a:srgbClr val="00B050"/>
              </a:solidFill>
            </c:spPr>
          </c:dPt>
          <c:dPt>
            <c:idx val="14"/>
            <c:spPr>
              <a:solidFill>
                <a:srgbClr val="00B050"/>
              </a:solidFill>
            </c:spPr>
          </c:dPt>
          <c:dLbls>
            <c:txPr>
              <a:bodyPr rot="-5400000" vert="horz"/>
              <a:lstStyle/>
              <a:p>
                <a:pPr>
                  <a:defRPr sz="2400">
                    <a:latin typeface="Arial" pitchFamily="34" charset="0"/>
                    <a:cs typeface="Arial" pitchFamily="34" charset="0"/>
                  </a:defRPr>
                </a:pPr>
                <a:endParaRPr lang="en-US"/>
              </a:p>
            </c:txPr>
            <c:dLblPos val="inBase"/>
            <c:showVal val="1"/>
          </c:dLbls>
          <c:cat>
            <c:strRef>
              <c:f>Flow!$A$2:$A$25</c:f>
              <c:strCache>
                <c:ptCount val="24"/>
                <c:pt idx="0">
                  <c:v>042</c:v>
                </c:pt>
                <c:pt idx="1">
                  <c:v>613</c:v>
                </c:pt>
                <c:pt idx="2">
                  <c:v>036</c:v>
                </c:pt>
                <c:pt idx="3">
                  <c:v>365</c:v>
                </c:pt>
                <c:pt idx="4">
                  <c:v>626</c:v>
                </c:pt>
                <c:pt idx="5">
                  <c:v>037</c:v>
                </c:pt>
                <c:pt idx="6">
                  <c:v>583</c:v>
                </c:pt>
                <c:pt idx="7">
                  <c:v>595</c:v>
                </c:pt>
                <c:pt idx="8">
                  <c:v>008</c:v>
                </c:pt>
                <c:pt idx="9">
                  <c:v>039</c:v>
                </c:pt>
                <c:pt idx="10">
                  <c:v>044</c:v>
                </c:pt>
                <c:pt idx="11">
                  <c:v>598</c:v>
                </c:pt>
                <c:pt idx="12">
                  <c:v>052</c:v>
                </c:pt>
                <c:pt idx="13">
                  <c:v>187</c:v>
                </c:pt>
                <c:pt idx="14">
                  <c:v>141</c:v>
                </c:pt>
                <c:pt idx="15">
                  <c:v>298</c:v>
                </c:pt>
                <c:pt idx="16">
                  <c:v>615</c:v>
                </c:pt>
                <c:pt idx="17">
                  <c:v>575</c:v>
                </c:pt>
                <c:pt idx="18">
                  <c:v>383</c:v>
                </c:pt>
                <c:pt idx="19">
                  <c:v>051</c:v>
                </c:pt>
                <c:pt idx="20">
                  <c:v>582</c:v>
                </c:pt>
                <c:pt idx="21">
                  <c:v>041</c:v>
                </c:pt>
                <c:pt idx="22">
                  <c:v>524</c:v>
                </c:pt>
                <c:pt idx="23">
                  <c:v>585</c:v>
                </c:pt>
              </c:strCache>
            </c:strRef>
          </c:cat>
          <c:val>
            <c:numRef>
              <c:f>Flow!$B$2:$B$25</c:f>
              <c:numCache>
                <c:formatCode>0</c:formatCode>
                <c:ptCount val="24"/>
                <c:pt idx="0">
                  <c:v>500</c:v>
                </c:pt>
                <c:pt idx="1">
                  <c:v>500</c:v>
                </c:pt>
                <c:pt idx="2">
                  <c:v>500</c:v>
                </c:pt>
                <c:pt idx="3">
                  <c:v>500</c:v>
                </c:pt>
                <c:pt idx="4">
                  <c:v>436</c:v>
                </c:pt>
                <c:pt idx="5">
                  <c:v>424</c:v>
                </c:pt>
                <c:pt idx="6">
                  <c:v>420</c:v>
                </c:pt>
                <c:pt idx="7">
                  <c:v>408</c:v>
                </c:pt>
                <c:pt idx="8">
                  <c:v>401</c:v>
                </c:pt>
                <c:pt idx="9">
                  <c:v>379</c:v>
                </c:pt>
                <c:pt idx="10">
                  <c:v>335</c:v>
                </c:pt>
                <c:pt idx="11">
                  <c:v>289</c:v>
                </c:pt>
                <c:pt idx="12">
                  <c:v>295</c:v>
                </c:pt>
                <c:pt idx="13">
                  <c:v>294</c:v>
                </c:pt>
                <c:pt idx="14">
                  <c:v>255</c:v>
                </c:pt>
                <c:pt idx="15">
                  <c:v>189</c:v>
                </c:pt>
                <c:pt idx="16">
                  <c:v>170</c:v>
                </c:pt>
                <c:pt idx="17">
                  <c:v>169</c:v>
                </c:pt>
                <c:pt idx="18">
                  <c:v>148</c:v>
                </c:pt>
                <c:pt idx="19">
                  <c:v>146</c:v>
                </c:pt>
                <c:pt idx="20">
                  <c:v>73</c:v>
                </c:pt>
                <c:pt idx="21">
                  <c:v>74</c:v>
                </c:pt>
                <c:pt idx="22">
                  <c:v>50</c:v>
                </c:pt>
                <c:pt idx="23">
                  <c:v>27</c:v>
                </c:pt>
              </c:numCache>
            </c:numRef>
          </c:val>
        </c:ser>
        <c:axId val="80761600"/>
        <c:axId val="80763136"/>
      </c:barChart>
      <c:lineChart>
        <c:grouping val="standard"/>
        <c:ser>
          <c:idx val="1"/>
          <c:order val="1"/>
          <c:tx>
            <c:v>Flow</c:v>
          </c:tx>
          <c:spPr>
            <a:ln w="63500">
              <a:solidFill>
                <a:srgbClr val="FF0000"/>
              </a:solidFill>
            </a:ln>
          </c:spPr>
          <c:marker>
            <c:symbol val="none"/>
          </c:marker>
          <c:val>
            <c:numRef>
              <c:f>Flow!$G$2:$G$25</c:f>
              <c:numCache>
                <c:formatCode>General</c:formatCode>
                <c:ptCount val="24"/>
                <c:pt idx="0">
                  <c:v>500</c:v>
                </c:pt>
                <c:pt idx="1">
                  <c:v>488.1</c:v>
                </c:pt>
                <c:pt idx="2">
                  <c:v>476.2</c:v>
                </c:pt>
                <c:pt idx="3">
                  <c:v>464.3</c:v>
                </c:pt>
                <c:pt idx="4">
                  <c:v>452.4</c:v>
                </c:pt>
                <c:pt idx="5">
                  <c:v>440.5</c:v>
                </c:pt>
                <c:pt idx="6">
                  <c:v>428.6</c:v>
                </c:pt>
                <c:pt idx="7">
                  <c:v>416.7</c:v>
                </c:pt>
                <c:pt idx="8">
                  <c:v>404.8</c:v>
                </c:pt>
                <c:pt idx="9">
                  <c:v>392.9</c:v>
                </c:pt>
                <c:pt idx="10">
                  <c:v>381</c:v>
                </c:pt>
                <c:pt idx="11">
                  <c:v>369.1</c:v>
                </c:pt>
                <c:pt idx="12">
                  <c:v>347.4</c:v>
                </c:pt>
                <c:pt idx="13">
                  <c:v>315.89999999999998</c:v>
                </c:pt>
                <c:pt idx="14">
                  <c:v>284.39999999999998</c:v>
                </c:pt>
                <c:pt idx="15">
                  <c:v>252.9</c:v>
                </c:pt>
                <c:pt idx="16">
                  <c:v>221.4</c:v>
                </c:pt>
                <c:pt idx="17">
                  <c:v>189.9</c:v>
                </c:pt>
                <c:pt idx="18">
                  <c:v>158.4</c:v>
                </c:pt>
                <c:pt idx="19">
                  <c:v>126.9</c:v>
                </c:pt>
                <c:pt idx="20">
                  <c:v>95.400000000000205</c:v>
                </c:pt>
                <c:pt idx="21">
                  <c:v>63.900000000000198</c:v>
                </c:pt>
                <c:pt idx="22">
                  <c:v>32.400000000000198</c:v>
                </c:pt>
                <c:pt idx="23">
                  <c:v>0</c:v>
                </c:pt>
              </c:numCache>
            </c:numRef>
          </c:val>
        </c:ser>
        <c:marker val="1"/>
        <c:axId val="80761600"/>
        <c:axId val="80763136"/>
      </c:lineChart>
      <c:catAx>
        <c:axId val="80761600"/>
        <c:scaling>
          <c:orientation val="minMax"/>
        </c:scaling>
        <c:axPos val="b"/>
        <c:tickLblPos val="nextTo"/>
        <c:txPr>
          <a:bodyPr rot="-2700000"/>
          <a:lstStyle/>
          <a:p>
            <a:pPr>
              <a:defRPr sz="1600"/>
            </a:pPr>
            <a:endParaRPr lang="en-US"/>
          </a:p>
        </c:txPr>
        <c:crossAx val="80763136"/>
        <c:crosses val="autoZero"/>
        <c:auto val="1"/>
        <c:lblAlgn val="ctr"/>
        <c:lblOffset val="100"/>
      </c:catAx>
      <c:valAx>
        <c:axId val="80763136"/>
        <c:scaling>
          <c:orientation val="minMax"/>
          <c:max val="500"/>
          <c:min val="0"/>
        </c:scaling>
        <c:axPos val="l"/>
        <c:majorGridlines/>
        <c:numFmt formatCode="0" sourceLinked="0"/>
        <c:tickLblPos val="nextTo"/>
        <c:spPr>
          <a:noFill/>
        </c:spPr>
        <c:txPr>
          <a:bodyPr/>
          <a:lstStyle/>
          <a:p>
            <a:pPr>
              <a:defRPr sz="2000">
                <a:latin typeface="Arial" pitchFamily="34" charset="0"/>
                <a:cs typeface="Arial" pitchFamily="34" charset="0"/>
              </a:defRPr>
            </a:pPr>
            <a:endParaRPr lang="en-US"/>
          </a:p>
        </c:txPr>
        <c:crossAx val="80761600"/>
        <c:crosses val="autoZero"/>
        <c:crossBetween val="between"/>
        <c:majorUnit val="125"/>
      </c:valAx>
      <c:spPr>
        <a:solidFill>
          <a:srgbClr val="4F81BD">
            <a:alpha val="0"/>
          </a:srgbClr>
        </a:solidFill>
        <a:ln>
          <a:solidFill>
            <a:srgbClr val="4F81BD">
              <a:alpha val="0"/>
            </a:srgbClr>
          </a:solidFill>
        </a:ln>
      </c:spPr>
    </c:plotArea>
    <c:plotVisOnly val="1"/>
    <c:dispBlanksAs val="gap"/>
  </c:chart>
  <c:spPr>
    <a:solidFill>
      <a:srgbClr val="4F81BD">
        <a:alpha val="0"/>
      </a:srgbClr>
    </a:solidFill>
    <a:ln>
      <a:noFill/>
    </a:ln>
  </c:spPr>
  <c:printSettings>
    <c:headerFooter/>
    <c:pageMargins b="0.75000000000000711" l="0.70000000000000062" r="0.70000000000000062" t="0.75000000000000711" header="0.30000000000000032" footer="0.3000000000000003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plotArea>
      <c:layout>
        <c:manualLayout>
          <c:layoutTarget val="inner"/>
          <c:xMode val="edge"/>
          <c:yMode val="edge"/>
          <c:x val="3.7585144352541039E-2"/>
          <c:y val="2.4831311152735652E-2"/>
          <c:w val="0.95517205766906155"/>
          <c:h val="0.86081459282005313"/>
        </c:manualLayout>
      </c:layout>
      <c:barChart>
        <c:barDir val="col"/>
        <c:grouping val="clustered"/>
        <c:ser>
          <c:idx val="0"/>
          <c:order val="0"/>
          <c:tx>
            <c:v>Hours</c:v>
          </c:tx>
          <c:dPt>
            <c:idx val="0"/>
            <c:spPr>
              <a:solidFill>
                <a:srgbClr val="7030A0"/>
              </a:solidFill>
            </c:spPr>
          </c:dPt>
          <c:dPt>
            <c:idx val="1"/>
            <c:spPr>
              <a:solidFill>
                <a:srgbClr val="7030A0"/>
              </a:solidFill>
            </c:spPr>
          </c:dPt>
          <c:dPt>
            <c:idx val="2"/>
            <c:spPr>
              <a:solidFill>
                <a:srgbClr val="7030A0"/>
              </a:solidFill>
            </c:spPr>
          </c:dPt>
          <c:dPt>
            <c:idx val="3"/>
            <c:spPr>
              <a:solidFill>
                <a:srgbClr val="7030A0"/>
              </a:solidFill>
            </c:spPr>
          </c:dPt>
          <c:dPt>
            <c:idx val="7"/>
            <c:spPr>
              <a:solidFill>
                <a:srgbClr val="FF0000"/>
              </a:solidFill>
            </c:spPr>
          </c:dPt>
          <c:dPt>
            <c:idx val="13"/>
            <c:spPr>
              <a:solidFill>
                <a:srgbClr val="FF0000"/>
              </a:solidFill>
            </c:spPr>
          </c:dPt>
          <c:dPt>
            <c:idx val="14"/>
            <c:spPr>
              <a:solidFill>
                <a:srgbClr val="FF0000"/>
              </a:solidFill>
            </c:spPr>
          </c:dPt>
          <c:cat>
            <c:strRef>
              <c:f>Flow!$A$2:$A$25</c:f>
              <c:strCache>
                <c:ptCount val="24"/>
                <c:pt idx="0">
                  <c:v>042</c:v>
                </c:pt>
                <c:pt idx="1">
                  <c:v>613</c:v>
                </c:pt>
                <c:pt idx="2">
                  <c:v>036</c:v>
                </c:pt>
                <c:pt idx="3">
                  <c:v>365</c:v>
                </c:pt>
                <c:pt idx="4">
                  <c:v>626</c:v>
                </c:pt>
                <c:pt idx="5">
                  <c:v>037</c:v>
                </c:pt>
                <c:pt idx="6">
                  <c:v>583</c:v>
                </c:pt>
                <c:pt idx="7">
                  <c:v>595</c:v>
                </c:pt>
                <c:pt idx="8">
                  <c:v>008</c:v>
                </c:pt>
                <c:pt idx="9">
                  <c:v>039</c:v>
                </c:pt>
                <c:pt idx="10">
                  <c:v>044</c:v>
                </c:pt>
                <c:pt idx="11">
                  <c:v>598</c:v>
                </c:pt>
                <c:pt idx="12">
                  <c:v>052</c:v>
                </c:pt>
                <c:pt idx="13">
                  <c:v>187</c:v>
                </c:pt>
                <c:pt idx="14">
                  <c:v>141</c:v>
                </c:pt>
                <c:pt idx="15">
                  <c:v>298</c:v>
                </c:pt>
                <c:pt idx="16">
                  <c:v>615</c:v>
                </c:pt>
                <c:pt idx="17">
                  <c:v>575</c:v>
                </c:pt>
                <c:pt idx="18">
                  <c:v>383</c:v>
                </c:pt>
                <c:pt idx="19">
                  <c:v>051</c:v>
                </c:pt>
                <c:pt idx="20">
                  <c:v>582</c:v>
                </c:pt>
                <c:pt idx="21">
                  <c:v>041</c:v>
                </c:pt>
                <c:pt idx="22">
                  <c:v>524</c:v>
                </c:pt>
                <c:pt idx="23">
                  <c:v>585</c:v>
                </c:pt>
              </c:strCache>
            </c:strRef>
          </c:cat>
          <c:val>
            <c:numRef>
              <c:f>Flow!$B$2:$B$25</c:f>
              <c:numCache>
                <c:formatCode>0</c:formatCode>
                <c:ptCount val="24"/>
                <c:pt idx="0">
                  <c:v>500</c:v>
                </c:pt>
                <c:pt idx="1">
                  <c:v>500</c:v>
                </c:pt>
                <c:pt idx="2">
                  <c:v>500</c:v>
                </c:pt>
                <c:pt idx="3">
                  <c:v>500</c:v>
                </c:pt>
                <c:pt idx="4">
                  <c:v>436</c:v>
                </c:pt>
                <c:pt idx="5">
                  <c:v>424</c:v>
                </c:pt>
                <c:pt idx="6">
                  <c:v>420</c:v>
                </c:pt>
                <c:pt idx="7">
                  <c:v>408</c:v>
                </c:pt>
                <c:pt idx="8">
                  <c:v>401</c:v>
                </c:pt>
                <c:pt idx="9">
                  <c:v>379</c:v>
                </c:pt>
                <c:pt idx="10">
                  <c:v>335</c:v>
                </c:pt>
                <c:pt idx="11">
                  <c:v>289</c:v>
                </c:pt>
                <c:pt idx="12">
                  <c:v>295</c:v>
                </c:pt>
                <c:pt idx="13">
                  <c:v>294</c:v>
                </c:pt>
                <c:pt idx="14">
                  <c:v>255</c:v>
                </c:pt>
                <c:pt idx="15">
                  <c:v>189</c:v>
                </c:pt>
                <c:pt idx="16">
                  <c:v>170</c:v>
                </c:pt>
                <c:pt idx="17">
                  <c:v>169</c:v>
                </c:pt>
                <c:pt idx="18">
                  <c:v>148</c:v>
                </c:pt>
                <c:pt idx="19">
                  <c:v>146</c:v>
                </c:pt>
                <c:pt idx="20">
                  <c:v>73</c:v>
                </c:pt>
                <c:pt idx="21">
                  <c:v>74</c:v>
                </c:pt>
                <c:pt idx="22">
                  <c:v>50</c:v>
                </c:pt>
                <c:pt idx="23">
                  <c:v>27</c:v>
                </c:pt>
              </c:numCache>
            </c:numRef>
          </c:val>
        </c:ser>
        <c:axId val="80836864"/>
        <c:axId val="80842752"/>
      </c:barChart>
      <c:lineChart>
        <c:grouping val="standard"/>
        <c:ser>
          <c:idx val="1"/>
          <c:order val="1"/>
          <c:tx>
            <c:v>Flow</c:v>
          </c:tx>
          <c:marker>
            <c:symbol val="none"/>
          </c:marker>
          <c:val>
            <c:numRef>
              <c:f>Flow!$G$2:$G$25</c:f>
              <c:numCache>
                <c:formatCode>General</c:formatCode>
                <c:ptCount val="24"/>
                <c:pt idx="0">
                  <c:v>500</c:v>
                </c:pt>
                <c:pt idx="1">
                  <c:v>488.1</c:v>
                </c:pt>
                <c:pt idx="2">
                  <c:v>476.2</c:v>
                </c:pt>
                <c:pt idx="3">
                  <c:v>464.3</c:v>
                </c:pt>
                <c:pt idx="4">
                  <c:v>452.4</c:v>
                </c:pt>
                <c:pt idx="5">
                  <c:v>440.5</c:v>
                </c:pt>
                <c:pt idx="6">
                  <c:v>428.6</c:v>
                </c:pt>
                <c:pt idx="7">
                  <c:v>416.7</c:v>
                </c:pt>
                <c:pt idx="8">
                  <c:v>404.8</c:v>
                </c:pt>
                <c:pt idx="9">
                  <c:v>392.9</c:v>
                </c:pt>
                <c:pt idx="10">
                  <c:v>381</c:v>
                </c:pt>
                <c:pt idx="11">
                  <c:v>369.1</c:v>
                </c:pt>
                <c:pt idx="12">
                  <c:v>347.4</c:v>
                </c:pt>
                <c:pt idx="13">
                  <c:v>315.89999999999998</c:v>
                </c:pt>
                <c:pt idx="14">
                  <c:v>284.39999999999998</c:v>
                </c:pt>
                <c:pt idx="15">
                  <c:v>252.9</c:v>
                </c:pt>
                <c:pt idx="16">
                  <c:v>221.4</c:v>
                </c:pt>
                <c:pt idx="17">
                  <c:v>189.9</c:v>
                </c:pt>
                <c:pt idx="18">
                  <c:v>158.4</c:v>
                </c:pt>
                <c:pt idx="19">
                  <c:v>126.9</c:v>
                </c:pt>
                <c:pt idx="20">
                  <c:v>95.400000000000205</c:v>
                </c:pt>
                <c:pt idx="21">
                  <c:v>63.900000000000198</c:v>
                </c:pt>
                <c:pt idx="22">
                  <c:v>32.400000000000198</c:v>
                </c:pt>
                <c:pt idx="23">
                  <c:v>0</c:v>
                </c:pt>
              </c:numCache>
            </c:numRef>
          </c:val>
        </c:ser>
        <c:marker val="1"/>
        <c:axId val="80836864"/>
        <c:axId val="80842752"/>
      </c:lineChart>
      <c:catAx>
        <c:axId val="80836864"/>
        <c:scaling>
          <c:orientation val="minMax"/>
        </c:scaling>
        <c:axPos val="b"/>
        <c:tickLblPos val="nextTo"/>
        <c:txPr>
          <a:bodyPr rot="-2700000"/>
          <a:lstStyle/>
          <a:p>
            <a:pPr>
              <a:defRPr sz="1600"/>
            </a:pPr>
            <a:endParaRPr lang="en-US"/>
          </a:p>
        </c:txPr>
        <c:crossAx val="80842752"/>
        <c:crosses val="autoZero"/>
        <c:auto val="1"/>
        <c:lblAlgn val="ctr"/>
        <c:lblOffset val="100"/>
      </c:catAx>
      <c:valAx>
        <c:axId val="80842752"/>
        <c:scaling>
          <c:orientation val="minMax"/>
          <c:max val="500"/>
          <c:min val="0"/>
        </c:scaling>
        <c:axPos val="l"/>
        <c:majorGridlines/>
        <c:numFmt formatCode="0" sourceLinked="0"/>
        <c:tickLblPos val="nextTo"/>
        <c:spPr>
          <a:noFill/>
        </c:spPr>
        <c:txPr>
          <a:bodyPr/>
          <a:lstStyle/>
          <a:p>
            <a:pPr>
              <a:defRPr sz="2000">
                <a:latin typeface="Arial" pitchFamily="34" charset="0"/>
                <a:cs typeface="Arial" pitchFamily="34" charset="0"/>
              </a:defRPr>
            </a:pPr>
            <a:endParaRPr lang="en-US"/>
          </a:p>
        </c:txPr>
        <c:crossAx val="80836864"/>
        <c:crosses val="autoZero"/>
        <c:crossBetween val="between"/>
        <c:majorUnit val="125"/>
      </c:valAx>
      <c:spPr>
        <a:solidFill>
          <a:srgbClr val="4F81BD">
            <a:alpha val="0"/>
          </a:srgbClr>
        </a:solidFill>
        <a:ln>
          <a:solidFill>
            <a:srgbClr val="4F81BD">
              <a:alpha val="0"/>
            </a:srgbClr>
          </a:solidFill>
        </a:ln>
      </c:spPr>
    </c:plotArea>
    <c:plotVisOnly val="1"/>
    <c:dispBlanksAs val="gap"/>
  </c:chart>
  <c:spPr>
    <a:solidFill>
      <a:srgbClr val="4F81BD">
        <a:alpha val="0"/>
      </a:srgbClr>
    </a:solidFill>
    <a:ln>
      <a:noFill/>
    </a:ln>
  </c:spPr>
  <c:printSettings>
    <c:headerFooter/>
    <c:pageMargins b="0.75000000000000688" l="0.70000000000000062" r="0.70000000000000062" t="0.75000000000000688" header="0.30000000000000032" footer="0.3000000000000003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plotArea>
      <c:layout/>
      <c:pieChart>
        <c:varyColors val="1"/>
        <c:ser>
          <c:idx val="0"/>
          <c:order val="0"/>
          <c:dLbls>
            <c:dLblPos val="bestFit"/>
            <c:showVal val="1"/>
            <c:showCatName val="1"/>
            <c:separator>
</c:separator>
          </c:dLbls>
          <c:cat>
            <c:strRef>
              <c:f>(Closeout!$A$3,Closeout!$A$6,Closeout!$A$7,Closeout!$A$9,Closeout!$A$13)</c:f>
              <c:strCache>
                <c:ptCount val="5"/>
                <c:pt idx="0">
                  <c:v>FMC</c:v>
                </c:pt>
                <c:pt idx="1">
                  <c:v>NMCS</c:v>
                </c:pt>
                <c:pt idx="2">
                  <c:v>NMCM</c:v>
                </c:pt>
                <c:pt idx="3">
                  <c:v>PMC</c:v>
                </c:pt>
                <c:pt idx="4">
                  <c:v>Depot</c:v>
                </c:pt>
              </c:strCache>
            </c:strRef>
          </c:cat>
          <c:val>
            <c:numRef>
              <c:f>(Closeout!$C$3,Closeout!$C$6,Closeout!$C$7,Closeout!$C$9,Closeout!$C$13)</c:f>
              <c:numCache>
                <c:formatCode>0.00%</c:formatCode>
                <c:ptCount val="5"/>
                <c:pt idx="0">
                  <c:v>0</c:v>
                </c:pt>
                <c:pt idx="1">
                  <c:v>0.2135</c:v>
                </c:pt>
                <c:pt idx="2">
                  <c:v>0.20069999999999999</c:v>
                </c:pt>
                <c:pt idx="3">
                  <c:v>0.53990000000000005</c:v>
                </c:pt>
                <c:pt idx="4">
                  <c:v>4.6100000000000002E-2</c:v>
                </c:pt>
              </c:numCache>
            </c:numRef>
          </c:val>
        </c:ser>
        <c:firstSliceAng val="0"/>
      </c:pieChart>
    </c:plotArea>
    <c:legend>
      <c:legendPos val="r"/>
    </c:legend>
    <c:plotVisOnly val="1"/>
  </c:chart>
  <c:printSettings>
    <c:headerFooter/>
    <c:pageMargins b="0.75000000000000677" l="0.70000000000000062" r="0.70000000000000062" t="0.75000000000000677" header="0.30000000000000032" footer="0.30000000000000032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plotArea>
      <c:layout/>
      <c:pieChart>
        <c:varyColors val="1"/>
        <c:ser>
          <c:idx val="0"/>
          <c:order val="0"/>
          <c:explosion val="2"/>
          <c:dPt>
            <c:idx val="0"/>
            <c:spPr>
              <a:solidFill>
                <a:srgbClr val="FF0000"/>
              </a:solidFill>
            </c:spPr>
          </c:dPt>
          <c:dPt>
            <c:idx val="1"/>
            <c:spPr>
              <a:solidFill>
                <a:srgbClr val="FF0000"/>
              </a:solidFill>
            </c:spPr>
          </c:dPt>
          <c:dPt>
            <c:idx val="2"/>
            <c:spPr>
              <a:solidFill>
                <a:srgbClr val="FFFF00"/>
              </a:solidFill>
            </c:spPr>
          </c:dPt>
          <c:dPt>
            <c:idx val="3"/>
            <c:spPr>
              <a:solidFill>
                <a:srgbClr val="FF0000"/>
              </a:solidFill>
            </c:spPr>
          </c:dPt>
          <c:dPt>
            <c:idx val="4"/>
            <c:spPr>
              <a:solidFill>
                <a:srgbClr val="00B0F0"/>
              </a:solidFill>
            </c:spPr>
          </c:dPt>
          <c:dLbls>
            <c:dLbl>
              <c:idx val="0"/>
              <c:layout>
                <c:manualLayout>
                  <c:x val="-0.1793246205049111"/>
                  <c:y val="0.14911708953047731"/>
                </c:manualLayout>
              </c:layout>
              <c:showVal val="1"/>
              <c:showCatName val="1"/>
              <c:separator>
</c:separator>
            </c:dLbl>
            <c:showVal val="1"/>
            <c:showCatName val="1"/>
            <c:separator>
</c:separator>
            <c:showLeaderLines val="1"/>
          </c:dLbls>
          <c:cat>
            <c:strRef>
              <c:f>(Closeout!$A$3,Closeout!$A$6,Closeout!$A$7,Closeout!$A$9,Closeout!$A$13)</c:f>
              <c:strCache>
                <c:ptCount val="5"/>
                <c:pt idx="0">
                  <c:v>FMC</c:v>
                </c:pt>
                <c:pt idx="1">
                  <c:v>NMCS</c:v>
                </c:pt>
                <c:pt idx="2">
                  <c:v>NMCM</c:v>
                </c:pt>
                <c:pt idx="3">
                  <c:v>PMC</c:v>
                </c:pt>
                <c:pt idx="4">
                  <c:v>Depot</c:v>
                </c:pt>
              </c:strCache>
            </c:strRef>
          </c:cat>
          <c:val>
            <c:numRef>
              <c:f>(Closeout!$E$3,Closeout!$E$6,Closeout!$E$7,Closeout!$E$9,Closeout!$E$13)</c:f>
              <c:numCache>
                <c:formatCode>0.00%</c:formatCode>
                <c:ptCount val="5"/>
                <c:pt idx="0">
                  <c:v>0</c:v>
                </c:pt>
                <c:pt idx="1">
                  <c:v>0.25309999999999999</c:v>
                </c:pt>
                <c:pt idx="2">
                  <c:v>0.28649999999999998</c:v>
                </c:pt>
                <c:pt idx="3">
                  <c:v>0.44690000000000002</c:v>
                </c:pt>
                <c:pt idx="4">
                  <c:v>1.34E-2</c:v>
                </c:pt>
              </c:numCache>
            </c:numRef>
          </c:val>
        </c:ser>
        <c:firstSliceAng val="0"/>
      </c:pieChart>
    </c:plotArea>
    <c:legend>
      <c:legendPos val="r"/>
    </c:legend>
    <c:plotVisOnly val="1"/>
  </c:chart>
  <c:printSettings>
    <c:headerFooter/>
    <c:pageMargins b="0.75000000000000744" l="0.70000000000000062" r="0.70000000000000062" t="0.75000000000000744" header="0.30000000000000032" footer="0.30000000000000032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plotArea>
      <c:layout/>
      <c:pieChart>
        <c:varyColors val="1"/>
        <c:ser>
          <c:idx val="0"/>
          <c:order val="0"/>
          <c:explosion val="2"/>
          <c:dPt>
            <c:idx val="0"/>
            <c:spPr>
              <a:solidFill>
                <a:srgbClr val="FF0000"/>
              </a:solidFill>
            </c:spPr>
          </c:dPt>
          <c:dPt>
            <c:idx val="1"/>
            <c:spPr>
              <a:solidFill>
                <a:srgbClr val="FFFF00"/>
              </a:solidFill>
            </c:spPr>
          </c:dPt>
          <c:dPt>
            <c:idx val="2"/>
            <c:spPr>
              <a:solidFill>
                <a:srgbClr val="FF0000"/>
              </a:solidFill>
            </c:spPr>
          </c:dPt>
          <c:dPt>
            <c:idx val="3"/>
            <c:spPr>
              <a:solidFill>
                <a:srgbClr val="FF0000"/>
              </a:solidFill>
            </c:spPr>
          </c:dPt>
          <c:dPt>
            <c:idx val="4"/>
            <c:spPr>
              <a:solidFill>
                <a:srgbClr val="00B0F0"/>
              </a:solidFill>
            </c:spPr>
          </c:dPt>
          <c:dLbls>
            <c:dLblPos val="inEnd"/>
            <c:showVal val="1"/>
            <c:showCatName val="1"/>
            <c:separator>
</c:separator>
            <c:showLeaderLines val="1"/>
          </c:dLbls>
          <c:cat>
            <c:strRef>
              <c:f>(Closeout!$A$3,Closeout!$A$6,Closeout!$A$7,Closeout!$A$9,Closeout!$A$13)</c:f>
              <c:strCache>
                <c:ptCount val="5"/>
                <c:pt idx="0">
                  <c:v>FMC</c:v>
                </c:pt>
                <c:pt idx="1">
                  <c:v>NMCS</c:v>
                </c:pt>
                <c:pt idx="2">
                  <c:v>NMCM</c:v>
                </c:pt>
                <c:pt idx="3">
                  <c:v>PMC</c:v>
                </c:pt>
                <c:pt idx="4">
                  <c:v>Depot</c:v>
                </c:pt>
              </c:strCache>
            </c:strRef>
          </c:cat>
          <c:val>
            <c:numRef>
              <c:f>(Closeout!$G$3,Closeout!$G$6,Closeout!$G$7,Closeout!$G$9,Closeout!$G$13)</c:f>
              <c:numCache>
                <c:formatCode>0.00%</c:formatCode>
                <c:ptCount val="5"/>
                <c:pt idx="0">
                  <c:v>0</c:v>
                </c:pt>
                <c:pt idx="1">
                  <c:v>0.25</c:v>
                </c:pt>
                <c:pt idx="2">
                  <c:v>0.16669999999999999</c:v>
                </c:pt>
                <c:pt idx="3">
                  <c:v>0.58330000000000004</c:v>
                </c:pt>
                <c:pt idx="4">
                  <c:v>0</c:v>
                </c:pt>
              </c:numCache>
            </c:numRef>
          </c:val>
        </c:ser>
        <c:firstSliceAng val="0"/>
      </c:pieChart>
    </c:plotArea>
    <c:legend>
      <c:legendPos val="r"/>
    </c:legend>
    <c:plotVisOnly val="1"/>
  </c:chart>
  <c:printSettings>
    <c:headerFooter/>
    <c:pageMargins b="0.75000000000000766" l="0.70000000000000062" r="0.70000000000000062" t="0.75000000000000766" header="0.30000000000000032" footer="0.30000000000000032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plotArea>
      <c:layout/>
      <c:pieChart>
        <c:varyColors val="1"/>
        <c:ser>
          <c:idx val="0"/>
          <c:order val="0"/>
          <c:explosion val="2"/>
          <c:dPt>
            <c:idx val="0"/>
            <c:spPr>
              <a:solidFill>
                <a:srgbClr val="FF0000"/>
              </a:solidFill>
            </c:spPr>
          </c:dPt>
          <c:dPt>
            <c:idx val="1"/>
            <c:spPr>
              <a:solidFill>
                <a:srgbClr val="FFFF00"/>
              </a:solidFill>
            </c:spPr>
          </c:dPt>
          <c:dPt>
            <c:idx val="2"/>
            <c:spPr>
              <a:solidFill>
                <a:srgbClr val="FFFF00"/>
              </a:solidFill>
            </c:spPr>
          </c:dPt>
          <c:dPt>
            <c:idx val="3"/>
            <c:spPr>
              <a:solidFill>
                <a:srgbClr val="FF0000"/>
              </a:solidFill>
            </c:spPr>
          </c:dPt>
          <c:dPt>
            <c:idx val="4"/>
            <c:spPr>
              <a:solidFill>
                <a:srgbClr val="00B0F0"/>
              </a:solidFill>
            </c:spPr>
          </c:dPt>
          <c:dLbls>
            <c:dLbl>
              <c:idx val="0"/>
              <c:layout>
                <c:manualLayout>
                  <c:x val="-0.21368876916701204"/>
                  <c:y val="-0.14254957713619379"/>
                </c:manualLayout>
              </c:layout>
              <c:showVal val="1"/>
              <c:showCatName val="1"/>
              <c:separator>
</c:separator>
            </c:dLbl>
            <c:showVal val="1"/>
            <c:showCatName val="1"/>
            <c:separator>
</c:separator>
            <c:showLeaderLines val="1"/>
          </c:dLbls>
          <c:cat>
            <c:strRef>
              <c:f>(Closeout!$A$3,Closeout!$A$6,Closeout!$A$7,Closeout!$A$9,Closeout!$A$13)</c:f>
              <c:strCache>
                <c:ptCount val="5"/>
                <c:pt idx="0">
                  <c:v>FMC</c:v>
                </c:pt>
                <c:pt idx="1">
                  <c:v>NMCS</c:v>
                </c:pt>
                <c:pt idx="2">
                  <c:v>NMCM</c:v>
                </c:pt>
                <c:pt idx="3">
                  <c:v>PMC</c:v>
                </c:pt>
                <c:pt idx="4">
                  <c:v>Depot</c:v>
                </c:pt>
              </c:strCache>
            </c:strRef>
          </c:cat>
          <c:val>
            <c:numRef>
              <c:f>(Closeout!$I$3,Closeout!$I$6,Closeout!$I$7,Closeout!$I$9,Closeout!$I$13)</c:f>
              <c:numCache>
                <c:formatCode>0.00%</c:formatCode>
                <c:ptCount val="5"/>
                <c:pt idx="0">
                  <c:v>0</c:v>
                </c:pt>
                <c:pt idx="1">
                  <c:v>0.13750000000000001</c:v>
                </c:pt>
                <c:pt idx="2">
                  <c:v>0.14899999999999999</c:v>
                </c:pt>
                <c:pt idx="3">
                  <c:v>0.58960000000000001</c:v>
                </c:pt>
                <c:pt idx="4">
                  <c:v>0.125</c:v>
                </c:pt>
              </c:numCache>
            </c:numRef>
          </c:val>
        </c:ser>
        <c:firstSliceAng val="0"/>
      </c:pieChart>
    </c:plotArea>
    <c:legend>
      <c:legendPos val="r"/>
    </c:legend>
    <c:plotVisOnly val="1"/>
  </c:chart>
  <c:printSettings>
    <c:headerFooter/>
    <c:pageMargins b="0.75000000000000788" l="0.70000000000000062" r="0.70000000000000062" t="0.75000000000000788" header="0.30000000000000032" footer="0.30000000000000032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plotArea>
      <c:layout/>
      <c:barChart>
        <c:barDir val="col"/>
        <c:grouping val="clustered"/>
        <c:ser>
          <c:idx val="0"/>
          <c:order val="0"/>
          <c:tx>
            <c:v>Hours</c:v>
          </c:tx>
          <c:spPr>
            <a:solidFill>
              <a:srgbClr val="00B050"/>
            </a:solidFill>
          </c:spPr>
          <c:dLbls>
            <c:txPr>
              <a:bodyPr rot="-5400000" vert="horz"/>
              <a:lstStyle/>
              <a:p>
                <a:pPr>
                  <a:defRPr/>
                </a:pPr>
                <a:endParaRPr lang="en-US"/>
              </a:p>
            </c:txPr>
            <c:dLblPos val="inBase"/>
            <c:showVal val="1"/>
          </c:dLbls>
          <c:cat>
            <c:strRef>
              <c:f>Closeout!$O$38:$O$45</c:f>
              <c:strCache>
                <c:ptCount val="8"/>
                <c:pt idx="0">
                  <c:v>09-05583</c:v>
                </c:pt>
                <c:pt idx="1">
                  <c:v>02-05298</c:v>
                </c:pt>
                <c:pt idx="2">
                  <c:v>08-07051</c:v>
                </c:pt>
                <c:pt idx="3">
                  <c:v>09-05582</c:v>
                </c:pt>
                <c:pt idx="4">
                  <c:v>07-07042</c:v>
                </c:pt>
                <c:pt idx="5">
                  <c:v>10-05613</c:v>
                </c:pt>
                <c:pt idx="6">
                  <c:v>07-07036</c:v>
                </c:pt>
                <c:pt idx="7">
                  <c:v>09-05585</c:v>
                </c:pt>
              </c:strCache>
            </c:strRef>
          </c:cat>
          <c:val>
            <c:numRef>
              <c:f>Closeout!$P$38:$P$45</c:f>
              <c:numCache>
                <c:formatCode>General</c:formatCode>
                <c:ptCount val="8"/>
                <c:pt idx="0">
                  <c:v>419.6</c:v>
                </c:pt>
                <c:pt idx="1">
                  <c:v>189.2</c:v>
                </c:pt>
                <c:pt idx="2">
                  <c:v>145.5</c:v>
                </c:pt>
                <c:pt idx="3">
                  <c:v>73.099999999999994</c:v>
                </c:pt>
                <c:pt idx="4">
                  <c:v>45.6</c:v>
                </c:pt>
                <c:pt idx="5">
                  <c:v>41.9</c:v>
                </c:pt>
                <c:pt idx="6">
                  <c:v>36.6</c:v>
                </c:pt>
                <c:pt idx="7">
                  <c:v>26.5</c:v>
                </c:pt>
              </c:numCache>
            </c:numRef>
          </c:val>
        </c:ser>
        <c:axId val="90643456"/>
        <c:axId val="90653440"/>
      </c:barChart>
      <c:lineChart>
        <c:grouping val="standard"/>
        <c:ser>
          <c:idx val="1"/>
          <c:order val="1"/>
          <c:tx>
            <c:v>Flow</c:v>
          </c:tx>
          <c:marker>
            <c:symbol val="none"/>
          </c:marker>
          <c:val>
            <c:numRef>
              <c:f>Closeout!$Q$35:$Q$42</c:f>
              <c:numCache>
                <c:formatCode>0.0</c:formatCode>
                <c:ptCount val="8"/>
                <c:pt idx="0">
                  <c:v>500</c:v>
                </c:pt>
                <c:pt idx="1">
                  <c:v>428.6</c:v>
                </c:pt>
                <c:pt idx="2">
                  <c:v>357.2</c:v>
                </c:pt>
                <c:pt idx="3">
                  <c:v>285.8</c:v>
                </c:pt>
                <c:pt idx="4">
                  <c:v>214.4</c:v>
                </c:pt>
                <c:pt idx="5">
                  <c:v>143</c:v>
                </c:pt>
                <c:pt idx="6">
                  <c:v>71.599999999999994</c:v>
                </c:pt>
                <c:pt idx="7">
                  <c:v>0.2</c:v>
                </c:pt>
              </c:numCache>
            </c:numRef>
          </c:val>
        </c:ser>
        <c:marker val="1"/>
        <c:axId val="90643456"/>
        <c:axId val="90653440"/>
      </c:lineChart>
      <c:catAx>
        <c:axId val="90643456"/>
        <c:scaling>
          <c:orientation val="minMax"/>
        </c:scaling>
        <c:axPos val="b"/>
        <c:tickLblPos val="nextTo"/>
        <c:txPr>
          <a:bodyPr rot="-5400000" vert="horz"/>
          <a:lstStyle/>
          <a:p>
            <a:pPr>
              <a:defRPr/>
            </a:pPr>
            <a:endParaRPr lang="en-US"/>
          </a:p>
        </c:txPr>
        <c:crossAx val="90653440"/>
        <c:crosses val="autoZero"/>
        <c:auto val="1"/>
        <c:lblAlgn val="ctr"/>
        <c:lblOffset val="100"/>
      </c:catAx>
      <c:valAx>
        <c:axId val="90653440"/>
        <c:scaling>
          <c:orientation val="minMax"/>
          <c:max val="500"/>
        </c:scaling>
        <c:axPos val="l"/>
        <c:majorGridlines/>
        <c:numFmt formatCode="General" sourceLinked="1"/>
        <c:tickLblPos val="nextTo"/>
        <c:crossAx val="90643456"/>
        <c:crosses val="autoZero"/>
        <c:crossBetween val="between"/>
        <c:majorUnit val="125"/>
      </c:valAx>
    </c:plotArea>
    <c:plotVisOnly val="1"/>
    <c:dispBlanksAs val="gap"/>
  </c:chart>
  <c:printSettings>
    <c:headerFooter/>
    <c:pageMargins b="0.75000000000000699" l="0.70000000000000062" r="0.70000000000000062" t="0.75000000000000699" header="0.30000000000000032" footer="0.30000000000000032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plotArea>
      <c:layout/>
      <c:barChart>
        <c:barDir val="col"/>
        <c:grouping val="clustered"/>
        <c:ser>
          <c:idx val="0"/>
          <c:order val="0"/>
          <c:tx>
            <c:v>Hours</c:v>
          </c:tx>
          <c:spPr>
            <a:solidFill>
              <a:srgbClr val="00B050"/>
            </a:solidFill>
          </c:spPr>
          <c:dLbls>
            <c:txPr>
              <a:bodyPr rot="-5400000" vert="horz"/>
              <a:lstStyle/>
              <a:p>
                <a:pPr>
                  <a:defRPr/>
                </a:pPr>
                <a:endParaRPr lang="en-US"/>
              </a:p>
            </c:txPr>
            <c:dLblPos val="inBase"/>
            <c:showVal val="1"/>
          </c:dLbls>
          <c:cat>
            <c:strRef>
              <c:f>Closeout!$O$54:$O$61</c:f>
              <c:strCache>
                <c:ptCount val="8"/>
                <c:pt idx="0">
                  <c:v>10-05626</c:v>
                </c:pt>
                <c:pt idx="1">
                  <c:v>07-07037</c:v>
                </c:pt>
                <c:pt idx="2">
                  <c:v>09-05595</c:v>
                </c:pt>
                <c:pt idx="3">
                  <c:v>07-07044</c:v>
                </c:pt>
                <c:pt idx="4">
                  <c:v>09-05598</c:v>
                </c:pt>
                <c:pt idx="5">
                  <c:v>10-05615</c:v>
                </c:pt>
                <c:pt idx="6">
                  <c:v>07-07041</c:v>
                </c:pt>
                <c:pt idx="7">
                  <c:v>07-05524</c:v>
                </c:pt>
              </c:strCache>
            </c:strRef>
          </c:cat>
          <c:val>
            <c:numRef>
              <c:f>Closeout!$P$54:$P$61</c:f>
              <c:numCache>
                <c:formatCode>General</c:formatCode>
                <c:ptCount val="8"/>
                <c:pt idx="0">
                  <c:v>435.5</c:v>
                </c:pt>
                <c:pt idx="1">
                  <c:v>423.6</c:v>
                </c:pt>
                <c:pt idx="2">
                  <c:v>408.1</c:v>
                </c:pt>
                <c:pt idx="3">
                  <c:v>335</c:v>
                </c:pt>
                <c:pt idx="4">
                  <c:v>289.39999999999998</c:v>
                </c:pt>
                <c:pt idx="5">
                  <c:v>169.5</c:v>
                </c:pt>
                <c:pt idx="6">
                  <c:v>74.400000000000006</c:v>
                </c:pt>
                <c:pt idx="7">
                  <c:v>50.3</c:v>
                </c:pt>
              </c:numCache>
            </c:numRef>
          </c:val>
        </c:ser>
        <c:axId val="90670208"/>
        <c:axId val="90671744"/>
      </c:barChart>
      <c:lineChart>
        <c:grouping val="standard"/>
        <c:ser>
          <c:idx val="1"/>
          <c:order val="1"/>
          <c:tx>
            <c:v>Flow</c:v>
          </c:tx>
          <c:marker>
            <c:symbol val="none"/>
          </c:marker>
          <c:val>
            <c:numRef>
              <c:f>Closeout!$Q$51:$Q$58</c:f>
              <c:numCache>
                <c:formatCode>0.00</c:formatCode>
                <c:ptCount val="8"/>
                <c:pt idx="0">
                  <c:v>500</c:v>
                </c:pt>
                <c:pt idx="1">
                  <c:v>428.57</c:v>
                </c:pt>
                <c:pt idx="2">
                  <c:v>357.14</c:v>
                </c:pt>
                <c:pt idx="3">
                  <c:v>285.70999999999998</c:v>
                </c:pt>
                <c:pt idx="4">
                  <c:v>214.29</c:v>
                </c:pt>
                <c:pt idx="5">
                  <c:v>142.86000000000001</c:v>
                </c:pt>
                <c:pt idx="6">
                  <c:v>71.430000000000007</c:v>
                </c:pt>
                <c:pt idx="7">
                  <c:v>0</c:v>
                </c:pt>
              </c:numCache>
            </c:numRef>
          </c:val>
        </c:ser>
        <c:marker val="1"/>
        <c:axId val="90670208"/>
        <c:axId val="90671744"/>
      </c:lineChart>
      <c:catAx>
        <c:axId val="90670208"/>
        <c:scaling>
          <c:orientation val="minMax"/>
        </c:scaling>
        <c:axPos val="b"/>
        <c:tickLblPos val="nextTo"/>
        <c:txPr>
          <a:bodyPr rot="-5400000" vert="horz"/>
          <a:lstStyle/>
          <a:p>
            <a:pPr>
              <a:defRPr/>
            </a:pPr>
            <a:endParaRPr lang="en-US"/>
          </a:p>
        </c:txPr>
        <c:crossAx val="90671744"/>
        <c:crosses val="autoZero"/>
        <c:auto val="1"/>
        <c:lblAlgn val="ctr"/>
        <c:lblOffset val="100"/>
      </c:catAx>
      <c:valAx>
        <c:axId val="90671744"/>
        <c:scaling>
          <c:orientation val="minMax"/>
          <c:max val="500"/>
        </c:scaling>
        <c:axPos val="l"/>
        <c:majorGridlines/>
        <c:numFmt formatCode="General" sourceLinked="1"/>
        <c:tickLblPos val="nextTo"/>
        <c:crossAx val="90670208"/>
        <c:crosses val="autoZero"/>
        <c:crossBetween val="between"/>
        <c:majorUnit val="125"/>
      </c:valAx>
    </c:plotArea>
    <c:plotVisOnly val="1"/>
    <c:dispBlanksAs val="gap"/>
  </c:chart>
  <c:printSettings>
    <c:headerFooter/>
    <c:pageMargins b="0.75000000000000722" l="0.70000000000000062" r="0.70000000000000062" t="0.75000000000000722" header="0.30000000000000032" footer="0.30000000000000032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plotArea>
      <c:layout/>
      <c:barChart>
        <c:barDir val="col"/>
        <c:grouping val="clustered"/>
        <c:ser>
          <c:idx val="0"/>
          <c:order val="0"/>
          <c:tx>
            <c:v>Hours</c:v>
          </c:tx>
          <c:spPr>
            <a:solidFill>
              <a:srgbClr val="00B050"/>
            </a:solidFill>
          </c:spPr>
          <c:dLbls>
            <c:txPr>
              <a:bodyPr rot="-5400000" vert="horz"/>
              <a:lstStyle/>
              <a:p>
                <a:pPr>
                  <a:defRPr/>
                </a:pPr>
                <a:endParaRPr lang="en-US"/>
              </a:p>
            </c:txPr>
            <c:dLblPos val="inBase"/>
            <c:showVal val="1"/>
          </c:dLbls>
          <c:cat>
            <c:strRef>
              <c:f>Closeout!$O$70:$O$77</c:f>
              <c:strCache>
                <c:ptCount val="8"/>
                <c:pt idx="0">
                  <c:v>96-05008</c:v>
                </c:pt>
                <c:pt idx="1">
                  <c:v>07-07039</c:v>
                </c:pt>
                <c:pt idx="2">
                  <c:v>08-07052</c:v>
                </c:pt>
                <c:pt idx="3">
                  <c:v>00-05187</c:v>
                </c:pt>
                <c:pt idx="4">
                  <c:v>99-05141</c:v>
                </c:pt>
                <c:pt idx="5">
                  <c:v>09-05575</c:v>
                </c:pt>
                <c:pt idx="6">
                  <c:v>03-05383</c:v>
                </c:pt>
                <c:pt idx="7">
                  <c:v>03-05365</c:v>
                </c:pt>
              </c:strCache>
            </c:strRef>
          </c:cat>
          <c:val>
            <c:numRef>
              <c:f>Closeout!$P$70:$P$77</c:f>
              <c:numCache>
                <c:formatCode>General</c:formatCode>
                <c:ptCount val="8"/>
                <c:pt idx="0">
                  <c:v>401.2</c:v>
                </c:pt>
                <c:pt idx="1">
                  <c:v>378.8</c:v>
                </c:pt>
                <c:pt idx="2">
                  <c:v>294.89999999999998</c:v>
                </c:pt>
                <c:pt idx="3">
                  <c:v>294.10000000000002</c:v>
                </c:pt>
                <c:pt idx="4">
                  <c:v>254.8</c:v>
                </c:pt>
                <c:pt idx="5">
                  <c:v>168.8</c:v>
                </c:pt>
                <c:pt idx="6">
                  <c:v>148.30000000000001</c:v>
                </c:pt>
                <c:pt idx="7">
                  <c:v>27.4</c:v>
                </c:pt>
              </c:numCache>
            </c:numRef>
          </c:val>
        </c:ser>
        <c:axId val="91692032"/>
        <c:axId val="91710208"/>
      </c:barChart>
      <c:lineChart>
        <c:grouping val="standard"/>
        <c:ser>
          <c:idx val="1"/>
          <c:order val="1"/>
          <c:tx>
            <c:v>Flow</c:v>
          </c:tx>
          <c:marker>
            <c:symbol val="none"/>
          </c:marker>
          <c:val>
            <c:numRef>
              <c:f>Closeout!$Q$67:$Q$74</c:f>
              <c:numCache>
                <c:formatCode>0.00</c:formatCode>
                <c:ptCount val="8"/>
                <c:pt idx="0">
                  <c:v>500</c:v>
                </c:pt>
                <c:pt idx="1">
                  <c:v>428.57</c:v>
                </c:pt>
                <c:pt idx="2">
                  <c:v>357.14</c:v>
                </c:pt>
                <c:pt idx="3">
                  <c:v>285.70999999999998</c:v>
                </c:pt>
                <c:pt idx="4">
                  <c:v>214.29</c:v>
                </c:pt>
                <c:pt idx="5">
                  <c:v>142.86000000000001</c:v>
                </c:pt>
                <c:pt idx="6">
                  <c:v>71.430000000000007</c:v>
                </c:pt>
                <c:pt idx="7">
                  <c:v>0</c:v>
                </c:pt>
              </c:numCache>
            </c:numRef>
          </c:val>
        </c:ser>
        <c:marker val="1"/>
        <c:axId val="91692032"/>
        <c:axId val="91710208"/>
      </c:lineChart>
      <c:catAx>
        <c:axId val="91692032"/>
        <c:scaling>
          <c:orientation val="minMax"/>
        </c:scaling>
        <c:axPos val="b"/>
        <c:tickLblPos val="nextTo"/>
        <c:txPr>
          <a:bodyPr rot="-5400000" vert="horz"/>
          <a:lstStyle/>
          <a:p>
            <a:pPr>
              <a:defRPr/>
            </a:pPr>
            <a:endParaRPr lang="en-US"/>
          </a:p>
        </c:txPr>
        <c:crossAx val="91710208"/>
        <c:crosses val="autoZero"/>
        <c:auto val="1"/>
        <c:lblAlgn val="ctr"/>
        <c:lblOffset val="100"/>
      </c:catAx>
      <c:valAx>
        <c:axId val="91710208"/>
        <c:scaling>
          <c:orientation val="minMax"/>
          <c:max val="500"/>
        </c:scaling>
        <c:axPos val="l"/>
        <c:majorGridlines/>
        <c:numFmt formatCode="General" sourceLinked="1"/>
        <c:tickLblPos val="nextTo"/>
        <c:crossAx val="91692032"/>
        <c:crosses val="autoZero"/>
        <c:crossBetween val="between"/>
        <c:majorUnit val="125"/>
      </c:valAx>
    </c:plotArea>
    <c:plotVisOnly val="1"/>
    <c:dispBlanksAs val="gap"/>
  </c:chart>
  <c:printSettings>
    <c:headerFooter/>
    <c:pageMargins b="0.75000000000000744" l="0.70000000000000062" r="0.70000000000000062" t="0.75000000000000744" header="0.30000000000000032" footer="0.30000000000000032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plotArea>
      <c:layout/>
      <c:barChart>
        <c:barDir val="col"/>
        <c:grouping val="clustered"/>
        <c:ser>
          <c:idx val="0"/>
          <c:order val="0"/>
          <c:tx>
            <c:v>Hours</c:v>
          </c:tx>
          <c:spPr>
            <a:solidFill>
              <a:srgbClr val="00B050"/>
            </a:solidFill>
          </c:spPr>
          <c:dLbls>
            <c:txPr>
              <a:bodyPr rot="-5400000" vert="horz"/>
              <a:lstStyle/>
              <a:p>
                <a:pPr>
                  <a:defRPr/>
                </a:pPr>
                <a:endParaRPr lang="en-US"/>
              </a:p>
            </c:txPr>
            <c:dLblPos val="inBase"/>
            <c:showVal val="1"/>
          </c:dLbls>
          <c:cat>
            <c:strRef>
              <c:f>Closeout!$O$9:$O$27</c:f>
              <c:strCache>
                <c:ptCount val="19"/>
                <c:pt idx="0">
                  <c:v>10-05626</c:v>
                </c:pt>
                <c:pt idx="1">
                  <c:v>07-07037</c:v>
                </c:pt>
                <c:pt idx="2">
                  <c:v>09-05583</c:v>
                </c:pt>
                <c:pt idx="3">
                  <c:v>09-05595</c:v>
                </c:pt>
                <c:pt idx="4">
                  <c:v>96-05008</c:v>
                </c:pt>
                <c:pt idx="5">
                  <c:v>07-07039</c:v>
                </c:pt>
                <c:pt idx="6">
                  <c:v>07-07044</c:v>
                </c:pt>
                <c:pt idx="7">
                  <c:v>09-05598</c:v>
                </c:pt>
                <c:pt idx="8">
                  <c:v>08-07052</c:v>
                </c:pt>
                <c:pt idx="9">
                  <c:v>00-05187</c:v>
                </c:pt>
                <c:pt idx="10">
                  <c:v>99-05141</c:v>
                </c:pt>
                <c:pt idx="11">
                  <c:v>02-05298</c:v>
                </c:pt>
                <c:pt idx="12">
                  <c:v>10-05615</c:v>
                </c:pt>
                <c:pt idx="13">
                  <c:v>09-05575</c:v>
                </c:pt>
                <c:pt idx="14">
                  <c:v>03-05383</c:v>
                </c:pt>
                <c:pt idx="15">
                  <c:v>08-07051</c:v>
                </c:pt>
                <c:pt idx="16">
                  <c:v>09-05582</c:v>
                </c:pt>
                <c:pt idx="17">
                  <c:v>07-07041</c:v>
                </c:pt>
                <c:pt idx="18">
                  <c:v>07-05524</c:v>
                </c:pt>
              </c:strCache>
            </c:strRef>
          </c:cat>
          <c:val>
            <c:numRef>
              <c:f>Closeout!$P$9:$P$32</c:f>
              <c:numCache>
                <c:formatCode>General</c:formatCode>
                <c:ptCount val="24"/>
                <c:pt idx="0">
                  <c:v>435.5</c:v>
                </c:pt>
                <c:pt idx="1">
                  <c:v>423.6</c:v>
                </c:pt>
                <c:pt idx="2">
                  <c:v>419.6</c:v>
                </c:pt>
                <c:pt idx="3">
                  <c:v>408.1</c:v>
                </c:pt>
                <c:pt idx="4">
                  <c:v>401.2</c:v>
                </c:pt>
                <c:pt idx="5">
                  <c:v>378.8</c:v>
                </c:pt>
                <c:pt idx="6">
                  <c:v>335</c:v>
                </c:pt>
                <c:pt idx="7">
                  <c:v>289.39999999999998</c:v>
                </c:pt>
                <c:pt idx="8">
                  <c:v>294.89999999999998</c:v>
                </c:pt>
                <c:pt idx="9">
                  <c:v>294.10000000000002</c:v>
                </c:pt>
                <c:pt idx="10">
                  <c:v>254.8</c:v>
                </c:pt>
                <c:pt idx="11">
                  <c:v>189.2</c:v>
                </c:pt>
                <c:pt idx="12">
                  <c:v>169.5</c:v>
                </c:pt>
                <c:pt idx="13">
                  <c:v>168.8</c:v>
                </c:pt>
                <c:pt idx="14">
                  <c:v>148.30000000000001</c:v>
                </c:pt>
                <c:pt idx="15">
                  <c:v>145.5</c:v>
                </c:pt>
                <c:pt idx="16">
                  <c:v>73.099999999999994</c:v>
                </c:pt>
                <c:pt idx="17">
                  <c:v>74.400000000000006</c:v>
                </c:pt>
                <c:pt idx="18">
                  <c:v>50.3</c:v>
                </c:pt>
                <c:pt idx="19">
                  <c:v>45.6</c:v>
                </c:pt>
                <c:pt idx="20">
                  <c:v>41.9</c:v>
                </c:pt>
                <c:pt idx="21">
                  <c:v>36.6</c:v>
                </c:pt>
                <c:pt idx="22">
                  <c:v>27.4</c:v>
                </c:pt>
                <c:pt idx="23">
                  <c:v>26.5</c:v>
                </c:pt>
              </c:numCache>
            </c:numRef>
          </c:val>
        </c:ser>
        <c:axId val="91735936"/>
        <c:axId val="91737472"/>
      </c:barChart>
      <c:lineChart>
        <c:grouping val="standard"/>
        <c:ser>
          <c:idx val="1"/>
          <c:order val="1"/>
          <c:tx>
            <c:v>Flow</c:v>
          </c:tx>
          <c:marker>
            <c:symbol val="none"/>
          </c:marker>
          <c:cat>
            <c:strRef>
              <c:f>Closeout!$O$9:$O$32</c:f>
              <c:strCache>
                <c:ptCount val="24"/>
                <c:pt idx="0">
                  <c:v>10-05626</c:v>
                </c:pt>
                <c:pt idx="1">
                  <c:v>07-07037</c:v>
                </c:pt>
                <c:pt idx="2">
                  <c:v>09-05583</c:v>
                </c:pt>
                <c:pt idx="3">
                  <c:v>09-05595</c:v>
                </c:pt>
                <c:pt idx="4">
                  <c:v>96-05008</c:v>
                </c:pt>
                <c:pt idx="5">
                  <c:v>07-07039</c:v>
                </c:pt>
                <c:pt idx="6">
                  <c:v>07-07044</c:v>
                </c:pt>
                <c:pt idx="7">
                  <c:v>09-05598</c:v>
                </c:pt>
                <c:pt idx="8">
                  <c:v>08-07052</c:v>
                </c:pt>
                <c:pt idx="9">
                  <c:v>00-05187</c:v>
                </c:pt>
                <c:pt idx="10">
                  <c:v>99-05141</c:v>
                </c:pt>
                <c:pt idx="11">
                  <c:v>02-05298</c:v>
                </c:pt>
                <c:pt idx="12">
                  <c:v>10-05615</c:v>
                </c:pt>
                <c:pt idx="13">
                  <c:v>09-05575</c:v>
                </c:pt>
                <c:pt idx="14">
                  <c:v>03-05383</c:v>
                </c:pt>
                <c:pt idx="15">
                  <c:v>08-07051</c:v>
                </c:pt>
                <c:pt idx="16">
                  <c:v>09-05582</c:v>
                </c:pt>
                <c:pt idx="17">
                  <c:v>07-07041</c:v>
                </c:pt>
                <c:pt idx="18">
                  <c:v>07-05524</c:v>
                </c:pt>
                <c:pt idx="19">
                  <c:v>07-07042</c:v>
                </c:pt>
                <c:pt idx="20">
                  <c:v>10-05613</c:v>
                </c:pt>
                <c:pt idx="21">
                  <c:v>07-07036</c:v>
                </c:pt>
                <c:pt idx="22">
                  <c:v>03-05365</c:v>
                </c:pt>
                <c:pt idx="23">
                  <c:v>09-05585</c:v>
                </c:pt>
              </c:strCache>
            </c:strRef>
          </c:cat>
          <c:val>
            <c:numRef>
              <c:f>Closeout!$Q$9:$Q$32</c:f>
              <c:numCache>
                <c:formatCode>0.0</c:formatCode>
                <c:ptCount val="24"/>
                <c:pt idx="0">
                  <c:v>500</c:v>
                </c:pt>
                <c:pt idx="1">
                  <c:v>478.3</c:v>
                </c:pt>
                <c:pt idx="2">
                  <c:v>456.6</c:v>
                </c:pt>
                <c:pt idx="3">
                  <c:v>434.9</c:v>
                </c:pt>
                <c:pt idx="4">
                  <c:v>413.2</c:v>
                </c:pt>
                <c:pt idx="5">
                  <c:v>391.5</c:v>
                </c:pt>
                <c:pt idx="6">
                  <c:v>369.8</c:v>
                </c:pt>
                <c:pt idx="7">
                  <c:v>348.1</c:v>
                </c:pt>
                <c:pt idx="8">
                  <c:v>326.39999999999998</c:v>
                </c:pt>
                <c:pt idx="9">
                  <c:v>304.7</c:v>
                </c:pt>
                <c:pt idx="10">
                  <c:v>283</c:v>
                </c:pt>
                <c:pt idx="11">
                  <c:v>261.3</c:v>
                </c:pt>
                <c:pt idx="12">
                  <c:v>239.6</c:v>
                </c:pt>
                <c:pt idx="13">
                  <c:v>217.9</c:v>
                </c:pt>
                <c:pt idx="14">
                  <c:v>196.2</c:v>
                </c:pt>
                <c:pt idx="15">
                  <c:v>174.5</c:v>
                </c:pt>
                <c:pt idx="16">
                  <c:v>152.80000000000001</c:v>
                </c:pt>
                <c:pt idx="17">
                  <c:v>131.1</c:v>
                </c:pt>
                <c:pt idx="18">
                  <c:v>109.4</c:v>
                </c:pt>
                <c:pt idx="19">
                  <c:v>87.7</c:v>
                </c:pt>
                <c:pt idx="20">
                  <c:v>66</c:v>
                </c:pt>
                <c:pt idx="21">
                  <c:v>44.3</c:v>
                </c:pt>
                <c:pt idx="22">
                  <c:v>22.6</c:v>
                </c:pt>
                <c:pt idx="23">
                  <c:v>0.9</c:v>
                </c:pt>
              </c:numCache>
            </c:numRef>
          </c:val>
        </c:ser>
        <c:marker val="1"/>
        <c:axId val="91735936"/>
        <c:axId val="91737472"/>
      </c:lineChart>
      <c:catAx>
        <c:axId val="91735936"/>
        <c:scaling>
          <c:orientation val="minMax"/>
        </c:scaling>
        <c:axPos val="b"/>
        <c:tickLblPos val="nextTo"/>
        <c:txPr>
          <a:bodyPr rot="-5400000" vert="horz"/>
          <a:lstStyle/>
          <a:p>
            <a:pPr>
              <a:defRPr/>
            </a:pPr>
            <a:endParaRPr lang="en-US"/>
          </a:p>
        </c:txPr>
        <c:crossAx val="91737472"/>
        <c:crosses val="autoZero"/>
        <c:auto val="1"/>
        <c:lblAlgn val="ctr"/>
        <c:lblOffset val="100"/>
      </c:catAx>
      <c:valAx>
        <c:axId val="91737472"/>
        <c:scaling>
          <c:orientation val="minMax"/>
          <c:max val="500"/>
        </c:scaling>
        <c:axPos val="l"/>
        <c:majorGridlines/>
        <c:numFmt formatCode="General" sourceLinked="1"/>
        <c:tickLblPos val="nextTo"/>
        <c:crossAx val="91735936"/>
        <c:crosses val="autoZero"/>
        <c:crossBetween val="between"/>
        <c:majorUnit val="125"/>
      </c:valAx>
    </c:plotArea>
    <c:plotVisOnly val="1"/>
    <c:dispBlanksAs val="gap"/>
  </c:chart>
  <c:printSettings>
    <c:headerFooter/>
    <c:pageMargins b="0.75000000000000722" l="0.70000000000000062" r="0.70000000000000062" t="0.75000000000000722" header="0.30000000000000032" footer="0.30000000000000032"/>
    <c:pageSetup/>
  </c:printSettings>
</c:chartSpac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.xml"/><Relationship Id="rId2" Type="http://schemas.openxmlformats.org/officeDocument/2006/relationships/image" Target="../media/image2.png"/><Relationship Id="rId1" Type="http://schemas.openxmlformats.org/officeDocument/2006/relationships/image" Target="../media/image1.jpeg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image" Target="../media/image1.jpe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4.xml.rels><?xml version="1.0" encoding="UTF-8" standalone="yes"?>
<Relationships xmlns="http://schemas.openxmlformats.org/package/2006/relationships"><Relationship Id="rId8" Type="http://schemas.openxmlformats.org/officeDocument/2006/relationships/chart" Target="../charts/chart10.xml"/><Relationship Id="rId3" Type="http://schemas.openxmlformats.org/officeDocument/2006/relationships/chart" Target="../charts/chart5.xml"/><Relationship Id="rId7" Type="http://schemas.openxmlformats.org/officeDocument/2006/relationships/chart" Target="../charts/chart9.xml"/><Relationship Id="rId2" Type="http://schemas.openxmlformats.org/officeDocument/2006/relationships/chart" Target="../charts/chart4.xml"/><Relationship Id="rId1" Type="http://schemas.openxmlformats.org/officeDocument/2006/relationships/chart" Target="../charts/chart3.xml"/><Relationship Id="rId6" Type="http://schemas.openxmlformats.org/officeDocument/2006/relationships/chart" Target="../charts/chart8.xml"/><Relationship Id="rId5" Type="http://schemas.openxmlformats.org/officeDocument/2006/relationships/chart" Target="../charts/chart7.xml"/><Relationship Id="rId4" Type="http://schemas.openxmlformats.org/officeDocument/2006/relationships/chart" Target="../charts/chart6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23</xdr:col>
      <xdr:colOff>1023882</xdr:colOff>
      <xdr:row>0</xdr:row>
      <xdr:rowOff>63498</xdr:rowOff>
    </xdr:from>
    <xdr:to>
      <xdr:col>26</xdr:col>
      <xdr:colOff>1105078</xdr:colOff>
      <xdr:row>2</xdr:row>
      <xdr:rowOff>261937</xdr:rowOff>
    </xdr:to>
    <xdr:pic>
      <xdr:nvPicPr>
        <xdr:cNvPr id="2" name="Picture 1" descr="4CAB Tribal 2.jpg"/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37457007" y="63498"/>
          <a:ext cx="4224571" cy="1198564"/>
        </a:xfrm>
        <a:prstGeom prst="rect">
          <a:avLst/>
        </a:prstGeom>
      </xdr:spPr>
    </xdr:pic>
    <xdr:clientData/>
  </xdr:twoCellAnchor>
  <xdr:twoCellAnchor editAs="oneCell">
    <xdr:from>
      <xdr:col>0</xdr:col>
      <xdr:colOff>1</xdr:colOff>
      <xdr:row>0</xdr:row>
      <xdr:rowOff>0</xdr:rowOff>
    </xdr:from>
    <xdr:to>
      <xdr:col>1</xdr:col>
      <xdr:colOff>666750</xdr:colOff>
      <xdr:row>2</xdr:row>
      <xdr:rowOff>285749</xdr:rowOff>
    </xdr:to>
    <xdr:pic>
      <xdr:nvPicPr>
        <xdr:cNvPr id="3" name="Picture 2" descr="\\carsnecxa7x0001\shares\groups\FORSCOM\4ID 4CAB 1-4ARB\BN Patch Ideas\Final Drafts\FINAL Approved Draft\dragon logo final 24FEB14.png"/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/>
        <a:srcRect/>
        <a:stretch>
          <a:fillRect/>
        </a:stretch>
      </xdr:blipFill>
      <xdr:spPr bwMode="auto">
        <a:xfrm>
          <a:off x="1" y="0"/>
          <a:ext cx="2119312" cy="1285874"/>
        </a:xfrm>
        <a:prstGeom prst="rect">
          <a:avLst/>
        </a:prstGeom>
        <a:noFill/>
      </xdr:spPr>
    </xdr:pic>
    <xdr:clientData/>
  </xdr:twoCellAnchor>
  <xdr:twoCellAnchor>
    <xdr:from>
      <xdr:col>12</xdr:col>
      <xdr:colOff>71438</xdr:colOff>
      <xdr:row>80</xdr:row>
      <xdr:rowOff>23813</xdr:rowOff>
    </xdr:from>
    <xdr:to>
      <xdr:col>26</xdr:col>
      <xdr:colOff>1095374</xdr:colOff>
      <xdr:row>93</xdr:row>
      <xdr:rowOff>0</xdr:rowOff>
    </xdr:to>
    <xdr:graphicFrame macro="">
      <xdr:nvGraphicFramePr>
        <xdr:cNvPr id="5" name="Chart 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1621116</xdr:colOff>
      <xdr:row>0</xdr:row>
      <xdr:rowOff>25400</xdr:rowOff>
    </xdr:from>
    <xdr:to>
      <xdr:col>16</xdr:col>
      <xdr:colOff>1390492</xdr:colOff>
      <xdr:row>2</xdr:row>
      <xdr:rowOff>304800</xdr:rowOff>
    </xdr:to>
    <xdr:pic>
      <xdr:nvPicPr>
        <xdr:cNvPr id="2" name="Picture 1" descr="4CAB Tribal 2.jpg"/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23376216" y="25400"/>
          <a:ext cx="2779277" cy="1289050"/>
        </a:xfrm>
        <a:prstGeom prst="rect">
          <a:avLst/>
        </a:prstGeom>
      </xdr:spPr>
    </xdr:pic>
    <xdr:clientData/>
  </xdr:twoCellAnchor>
  <xdr:twoCellAnchor editAs="oneCell">
    <xdr:from>
      <xdr:col>0</xdr:col>
      <xdr:colOff>1</xdr:colOff>
      <xdr:row>0</xdr:row>
      <xdr:rowOff>0</xdr:rowOff>
    </xdr:from>
    <xdr:to>
      <xdr:col>0</xdr:col>
      <xdr:colOff>2324100</xdr:colOff>
      <xdr:row>2</xdr:row>
      <xdr:rowOff>323850</xdr:rowOff>
    </xdr:to>
    <xdr:pic>
      <xdr:nvPicPr>
        <xdr:cNvPr id="3" name="Picture 2" descr="\\carsnecxa7x0001\shares\groups\FORSCOM\4ID 4CAB 1-4ARB\BN Patch Ideas\Final Drafts\FINAL Approved Draft\dragon logo final 24FEB14.png"/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/>
        <a:srcRect/>
        <a:stretch>
          <a:fillRect/>
        </a:stretch>
      </xdr:blipFill>
      <xdr:spPr bwMode="auto">
        <a:xfrm>
          <a:off x="1" y="0"/>
          <a:ext cx="2324099" cy="1333500"/>
        </a:xfrm>
        <a:prstGeom prst="rect">
          <a:avLst/>
        </a:prstGeom>
        <a:noFill/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32</xdr:row>
      <xdr:rowOff>0</xdr:rowOff>
    </xdr:from>
    <xdr:to>
      <xdr:col>19</xdr:col>
      <xdr:colOff>588818</xdr:colOff>
      <xdr:row>43</xdr:row>
      <xdr:rowOff>277091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47625</xdr:colOff>
      <xdr:row>14</xdr:row>
      <xdr:rowOff>38100</xdr:rowOff>
    </xdr:from>
    <xdr:to>
      <xdr:col>8</xdr:col>
      <xdr:colOff>9525</xdr:colOff>
      <xdr:row>28</xdr:row>
      <xdr:rowOff>114300</xdr:rowOff>
    </xdr:to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19050</xdr:colOff>
      <xdr:row>30</xdr:row>
      <xdr:rowOff>28575</xdr:rowOff>
    </xdr:from>
    <xdr:to>
      <xdr:col>8</xdr:col>
      <xdr:colOff>0</xdr:colOff>
      <xdr:row>44</xdr:row>
      <xdr:rowOff>104775</xdr:rowOff>
    </xdr:to>
    <xdr:graphicFrame macro="">
      <xdr:nvGraphicFramePr>
        <xdr:cNvPr id="6" name="Chart 5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9525</xdr:colOff>
      <xdr:row>46</xdr:row>
      <xdr:rowOff>0</xdr:rowOff>
    </xdr:from>
    <xdr:to>
      <xdr:col>7</xdr:col>
      <xdr:colOff>485775</xdr:colOff>
      <xdr:row>60</xdr:row>
      <xdr:rowOff>76200</xdr:rowOff>
    </xdr:to>
    <xdr:graphicFrame macro="">
      <xdr:nvGraphicFramePr>
        <xdr:cNvPr id="10" name="Chart 9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0</xdr:col>
      <xdr:colOff>0</xdr:colOff>
      <xdr:row>62</xdr:row>
      <xdr:rowOff>9525</xdr:rowOff>
    </xdr:from>
    <xdr:to>
      <xdr:col>7</xdr:col>
      <xdr:colOff>476250</xdr:colOff>
      <xdr:row>76</xdr:row>
      <xdr:rowOff>85725</xdr:rowOff>
    </xdr:to>
    <xdr:graphicFrame macro="">
      <xdr:nvGraphicFramePr>
        <xdr:cNvPr id="11" name="Chart 10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18</xdr:col>
      <xdr:colOff>38100</xdr:colOff>
      <xdr:row>28</xdr:row>
      <xdr:rowOff>180975</xdr:rowOff>
    </xdr:from>
    <xdr:to>
      <xdr:col>24</xdr:col>
      <xdr:colOff>104775</xdr:colOff>
      <xdr:row>43</xdr:row>
      <xdr:rowOff>66675</xdr:rowOff>
    </xdr:to>
    <xdr:graphicFrame macro="">
      <xdr:nvGraphicFramePr>
        <xdr:cNvPr id="12" name="Chart 1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18</xdr:col>
      <xdr:colOff>9525</xdr:colOff>
      <xdr:row>45</xdr:row>
      <xdr:rowOff>19050</xdr:rowOff>
    </xdr:from>
    <xdr:to>
      <xdr:col>24</xdr:col>
      <xdr:colOff>76200</xdr:colOff>
      <xdr:row>59</xdr:row>
      <xdr:rowOff>95250</xdr:rowOff>
    </xdr:to>
    <xdr:graphicFrame macro="">
      <xdr:nvGraphicFramePr>
        <xdr:cNvPr id="13" name="Chart 1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18</xdr:col>
      <xdr:colOff>0</xdr:colOff>
      <xdr:row>61</xdr:row>
      <xdr:rowOff>0</xdr:rowOff>
    </xdr:from>
    <xdr:to>
      <xdr:col>24</xdr:col>
      <xdr:colOff>66675</xdr:colOff>
      <xdr:row>75</xdr:row>
      <xdr:rowOff>76200</xdr:rowOff>
    </xdr:to>
    <xdr:graphicFrame macro="">
      <xdr:nvGraphicFramePr>
        <xdr:cNvPr id="14" name="Chart 1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18</xdr:col>
      <xdr:colOff>0</xdr:colOff>
      <xdr:row>8</xdr:row>
      <xdr:rowOff>0</xdr:rowOff>
    </xdr:from>
    <xdr:to>
      <xdr:col>24</xdr:col>
      <xdr:colOff>66675</xdr:colOff>
      <xdr:row>22</xdr:row>
      <xdr:rowOff>76200</xdr:rowOff>
    </xdr:to>
    <xdr:graphicFrame macro="">
      <xdr:nvGraphicFramePr>
        <xdr:cNvPr id="15" name="Chart 1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Supply%20Reqs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CADS.xlsm" TargetMode="External"/></Relationships>
</file>

<file path=xl/externalLinks/externalLink1.xml><?xml version="1.0" encoding="utf-8"?>
<externalLink xmlns="http://schemas.openxmlformats.org/spreadsheetml/2006/main">
  <externalBook xmlns:r="http://schemas.openxmlformats.org/officeDocument/2006/relationships" r:id="rId1">
    <sheetNames>
      <sheetName val="Summary"/>
      <sheetName val="Walkthroughs"/>
      <sheetName val="AOG"/>
      <sheetName val="PBL"/>
      <sheetName val="Sheet1"/>
      <sheetName val="Walkthroughs2"/>
      <sheetName val="AOG2"/>
      <sheetName val="PBL2"/>
    </sheetNames>
    <sheetDataSet>
      <sheetData sheetId="0">
        <row r="2">
          <cell r="D2">
            <v>2.074074074074074</v>
          </cell>
          <cell r="F2">
            <v>0.81428571428571428</v>
          </cell>
        </row>
        <row r="3">
          <cell r="D3">
            <v>2.3043478260869565</v>
          </cell>
          <cell r="F3">
            <v>3.2238805970149254</v>
          </cell>
        </row>
        <row r="4">
          <cell r="D4">
            <v>4.0370370370370372</v>
          </cell>
          <cell r="F4">
            <v>3.9</v>
          </cell>
        </row>
        <row r="7">
          <cell r="A7" t="str">
            <v>07-07042</v>
          </cell>
          <cell r="B7" t="str">
            <v>Lubricant</v>
          </cell>
          <cell r="C7" t="str">
            <v>005068497</v>
          </cell>
          <cell r="D7">
            <v>19</v>
          </cell>
          <cell r="E7" t="str">
            <v>W580KD5091A001</v>
          </cell>
          <cell r="F7" t="str">
            <v>SOS / En Route</v>
          </cell>
        </row>
        <row r="8">
          <cell r="A8" t="str">
            <v>09-05575</v>
          </cell>
          <cell r="B8" t="str">
            <v>Navigation set</v>
          </cell>
          <cell r="C8" t="str">
            <v>013239061</v>
          </cell>
          <cell r="D8">
            <v>18</v>
          </cell>
          <cell r="E8" t="str">
            <v>W580KD5092A001</v>
          </cell>
          <cell r="F8" t="str">
            <v>SOS / En Route</v>
          </cell>
        </row>
        <row r="9">
          <cell r="A9" t="str">
            <v>00-05187</v>
          </cell>
          <cell r="B9" t="str">
            <v>Hose, Assembly</v>
          </cell>
          <cell r="C9" t="str">
            <v>011656987</v>
          </cell>
          <cell r="D9">
            <v>18</v>
          </cell>
          <cell r="E9" t="str">
            <v>W580KD5092A004</v>
          </cell>
          <cell r="F9" t="str">
            <v>SOS / En Route</v>
          </cell>
        </row>
        <row r="10">
          <cell r="A10" t="str">
            <v>01-05298</v>
          </cell>
          <cell r="B10" t="str">
            <v>screw, machine</v>
          </cell>
          <cell r="C10" t="str">
            <v>002071788</v>
          </cell>
          <cell r="D10">
            <v>7</v>
          </cell>
          <cell r="E10" t="str">
            <v>W580KD5103A003</v>
          </cell>
          <cell r="F10" t="str">
            <v>SOS / En Route</v>
          </cell>
        </row>
        <row r="11">
          <cell r="A11" t="str">
            <v>08-07052</v>
          </cell>
          <cell r="B11" t="str">
            <v>connecting link, rigid</v>
          </cell>
          <cell r="C11" t="str">
            <v>012413460</v>
          </cell>
          <cell r="D11">
            <v>6</v>
          </cell>
          <cell r="E11" t="str">
            <v>W580KD5104A001</v>
          </cell>
          <cell r="F11" t="str">
            <v>G8</v>
          </cell>
        </row>
        <row r="12">
          <cell r="A12" t="str">
            <v>07-05524</v>
          </cell>
          <cell r="B12" t="str">
            <v>flange assy drive</v>
          </cell>
          <cell r="C12" t="str">
            <v>011650999</v>
          </cell>
          <cell r="D12">
            <v>6</v>
          </cell>
          <cell r="E12" t="str">
            <v>W580KD5104A004</v>
          </cell>
          <cell r="F12" t="str">
            <v>SOS / En Route</v>
          </cell>
        </row>
        <row r="13">
          <cell r="A13" t="str">
            <v>07-05524</v>
          </cell>
          <cell r="B13" t="str">
            <v>Fan, Centrifugal</v>
          </cell>
          <cell r="C13" t="str">
            <v>011605627</v>
          </cell>
          <cell r="D13">
            <v>6</v>
          </cell>
          <cell r="E13" t="str">
            <v>W580KD5104A005</v>
          </cell>
          <cell r="F13" t="str">
            <v>SOS / En Route</v>
          </cell>
        </row>
        <row r="19">
          <cell r="A19"/>
          <cell r="D19"/>
        </row>
        <row r="20">
          <cell r="A20"/>
          <cell r="D20"/>
        </row>
        <row r="29">
          <cell r="A29" t="str">
            <v>00-05187</v>
          </cell>
          <cell r="B29" t="str">
            <v>Duct evaporator</v>
          </cell>
          <cell r="C29" t="str">
            <v>014815579</v>
          </cell>
          <cell r="D29">
            <v>19</v>
          </cell>
          <cell r="E29" t="str">
            <v>W580KD5091A003</v>
          </cell>
          <cell r="F29" t="str">
            <v>SOS / En Route</v>
          </cell>
        </row>
        <row r="30">
          <cell r="A30" t="str">
            <v>07-07036</v>
          </cell>
          <cell r="B30" t="str">
            <v>valve assy enviromental control</v>
          </cell>
          <cell r="C30" t="str">
            <v>014263043</v>
          </cell>
          <cell r="D30">
            <v>3</v>
          </cell>
          <cell r="E30" t="str">
            <v>W580KD5107A001</v>
          </cell>
          <cell r="F30" t="str">
            <v>G8</v>
          </cell>
        </row>
        <row r="31">
          <cell r="A31" t="str">
            <v>09-05582</v>
          </cell>
          <cell r="B31" t="str">
            <v>valve, modulating</v>
          </cell>
          <cell r="C31" t="str">
            <v>014260429</v>
          </cell>
          <cell r="D31">
            <v>3</v>
          </cell>
          <cell r="E31" t="str">
            <v>W580KD5107A002</v>
          </cell>
          <cell r="F31" t="str">
            <v>G8</v>
          </cell>
        </row>
        <row r="32">
          <cell r="A32" t="str">
            <v>09-05583</v>
          </cell>
          <cell r="B32" t="str">
            <v>valve, modulating</v>
          </cell>
          <cell r="C32" t="str">
            <v>014260429</v>
          </cell>
          <cell r="D32">
            <v>3</v>
          </cell>
          <cell r="E32" t="str">
            <v>W580KD5107A003</v>
          </cell>
          <cell r="F32" t="str">
            <v>G8</v>
          </cell>
        </row>
        <row r="33">
          <cell r="A33" t="str">
            <v>10-05613</v>
          </cell>
          <cell r="B33" t="str">
            <v>valve, modulating</v>
          </cell>
          <cell r="C33" t="str">
            <v>014260429</v>
          </cell>
          <cell r="D33">
            <v>3</v>
          </cell>
          <cell r="E33" t="str">
            <v>W580KD5107A004</v>
          </cell>
          <cell r="F33" t="str">
            <v>G8</v>
          </cell>
        </row>
        <row r="34">
          <cell r="A34"/>
          <cell r="D34" t="str">
            <v/>
          </cell>
          <cell r="F34" t="str">
            <v/>
          </cell>
        </row>
        <row r="35">
          <cell r="A35"/>
          <cell r="D35"/>
        </row>
        <row r="36">
          <cell r="A36"/>
          <cell r="D36"/>
        </row>
        <row r="37">
          <cell r="A37"/>
          <cell r="D37"/>
        </row>
      </sheetData>
      <sheetData sheetId="1"/>
      <sheetData sheetId="2"/>
      <sheetData sheetId="3"/>
      <sheetData sheetId="4"/>
      <sheetData sheetId="5"/>
      <sheetData sheetId="6"/>
      <sheetData sheetId="7"/>
    </sheetDataSet>
  </externalBook>
</externalLink>
</file>

<file path=xl/externalLinks/externalLink2.xml><?xml version="1.0" encoding="utf-8"?>
<externalLink xmlns="http://schemas.openxmlformats.org/spreadsheetml/2006/main">
  <externalBook xmlns:r="http://schemas.openxmlformats.org/officeDocument/2006/relationships" r:id="rId1">
    <sheetNames>
      <sheetName val="CADs Report"/>
      <sheetName val="CADs DATA"/>
    </sheetNames>
    <sheetDataSet>
      <sheetData sheetId="0">
        <row r="2">
          <cell r="B2" t="str">
            <v>0905575</v>
          </cell>
          <cell r="C2" t="str">
            <v>MS94</v>
          </cell>
          <cell r="K2">
            <v>42036</v>
          </cell>
          <cell r="L2" t="str">
            <v>CPG WINDOW</v>
          </cell>
          <cell r="M2">
            <v>700</v>
          </cell>
          <cell r="N2" t="str">
            <v>On Hand</v>
          </cell>
        </row>
        <row r="3">
          <cell r="B3" t="str">
            <v>0905582</v>
          </cell>
          <cell r="C3" t="str">
            <v>MS94</v>
          </cell>
          <cell r="K3">
            <v>42036</v>
          </cell>
          <cell r="L3" t="str">
            <v>CUTTING ASSY GUNNERS WINDOW</v>
          </cell>
          <cell r="M3">
            <v>700</v>
          </cell>
          <cell r="N3" t="str">
            <v>On Hand</v>
          </cell>
        </row>
        <row r="4">
          <cell r="B4" t="str">
            <v>0905583</v>
          </cell>
          <cell r="C4" t="str">
            <v>MS94</v>
          </cell>
          <cell r="K4">
            <v>42036</v>
          </cell>
          <cell r="L4" t="str">
            <v>CORD DETONATING</v>
          </cell>
          <cell r="M4">
            <v>700</v>
          </cell>
          <cell r="N4" t="str">
            <v>On Hand</v>
          </cell>
        </row>
        <row r="5">
          <cell r="B5" t="str">
            <v>0305383</v>
          </cell>
          <cell r="C5" t="str">
            <v>MS97</v>
          </cell>
          <cell r="K5">
            <v>42036</v>
          </cell>
          <cell r="L5" t="str">
            <v>CPG DOOR</v>
          </cell>
          <cell r="M5">
            <v>705</v>
          </cell>
          <cell r="N5" t="str">
            <v>On Hand</v>
          </cell>
        </row>
        <row r="6">
          <cell r="B6" t="str">
            <v>9905141</v>
          </cell>
          <cell r="C6" t="str">
            <v>MS97</v>
          </cell>
          <cell r="K6">
            <v>42036</v>
          </cell>
          <cell r="L6" t="str">
            <v>CUTTER ASSY, CPG DOOR</v>
          </cell>
          <cell r="M6">
            <v>705</v>
          </cell>
          <cell r="N6" t="str">
            <v>On Hand</v>
          </cell>
        </row>
        <row r="7">
          <cell r="B7" t="str">
            <v>0205298</v>
          </cell>
          <cell r="C7" t="str">
            <v>MS81</v>
          </cell>
          <cell r="K7">
            <v>42036</v>
          </cell>
          <cell r="L7" t="str">
            <v>DETONATING CORD</v>
          </cell>
          <cell r="M7">
            <v>730</v>
          </cell>
          <cell r="N7" t="str">
            <v>Waiver</v>
          </cell>
        </row>
        <row r="8">
          <cell r="B8" t="str">
            <v>0905585</v>
          </cell>
          <cell r="C8" t="str">
            <v>MS94</v>
          </cell>
          <cell r="K8">
            <v>42063</v>
          </cell>
          <cell r="L8" t="str">
            <v>SEVERANCE DEVICE</v>
          </cell>
          <cell r="M8">
            <v>700</v>
          </cell>
          <cell r="N8" t="str">
            <v>On Hand</v>
          </cell>
        </row>
        <row r="9">
          <cell r="B9" t="str">
            <v>0005187</v>
          </cell>
          <cell r="C9" t="str">
            <v>MS81</v>
          </cell>
          <cell r="K9">
            <v>42095</v>
          </cell>
          <cell r="L9" t="str">
            <v>CANOPY DET CORD</v>
          </cell>
          <cell r="M9">
            <v>730</v>
          </cell>
          <cell r="N9" t="str">
            <v>On Hand</v>
          </cell>
        </row>
        <row r="10">
          <cell r="B10" t="str">
            <v>0305383</v>
          </cell>
          <cell r="C10" t="str">
            <v>MS81</v>
          </cell>
          <cell r="K10">
            <v>42095</v>
          </cell>
          <cell r="L10" t="str">
            <v>CANOPY DET CORD</v>
          </cell>
          <cell r="M10">
            <v>730</v>
          </cell>
          <cell r="N10" t="str">
            <v>30D Ext</v>
          </cell>
        </row>
        <row r="11">
          <cell r="B11" t="str">
            <v>0005187</v>
          </cell>
          <cell r="C11" t="str">
            <v>MS82</v>
          </cell>
          <cell r="K11">
            <v>42095</v>
          </cell>
          <cell r="L11" t="str">
            <v>CANOPY DET CORD</v>
          </cell>
          <cell r="M11">
            <v>735</v>
          </cell>
          <cell r="N11" t="str">
            <v>On Hand</v>
          </cell>
        </row>
      </sheetData>
      <sheetData sheetId="1"/>
    </sheetDataSet>
  </externalBook>
</externalLink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AGM" refreshedDate="42114.739772685185" createdVersion="3" refreshedVersion="3" minRefreshableVersion="3" recordCount="3096">
  <cacheSource type="worksheet">
    <worksheetSource name="Table__1_4AHB_SLR_SCH_INSP"/>
  </cacheSource>
  <cacheFields count="8">
    <cacheField name="EI_ID" numFmtId="173">
      <sharedItems count="24">
        <s v="AH0742"/>
        <s v="AH0260"/>
        <s v="AH0719"/>
        <s v="AH0732"/>
        <s v="AH0738"/>
        <s v="AH0739"/>
        <s v="AH0745"/>
        <s v="AH0747"/>
        <s v="AH0755"/>
        <s v="AH0756"/>
        <s v="AH0760"/>
        <s v="AH0840"/>
        <s v="AH0842"/>
        <s v="AH0853"/>
        <s v="AH0042"/>
        <s v="AH0404"/>
        <s v="AH0417"/>
        <s v="AH0008"/>
        <s v="AH0059"/>
        <s v="AH0648"/>
        <s v="AH0744"/>
        <s v="AH0752"/>
        <s v="AH0773"/>
        <s v="AH0774"/>
      </sharedItems>
    </cacheField>
    <cacheField name="SYS_CODE" numFmtId="173">
      <sharedItems count="3">
        <s v="A"/>
        <s v="E"/>
        <s v="W"/>
      </sharedItems>
    </cacheField>
    <cacheField name="INSP_NO" numFmtId="173">
      <sharedItems containsSemiMixedTypes="0" containsNonDate="0" containsDate="1" containsString="0" minDate="1899-12-30T00:00:00" maxDate="1902-06-22T00:00:00" count="150">
        <d v="1899-12-30T00:00:00"/>
        <d v="1900-01-12T00:00:00"/>
        <d v="1900-01-13T00:00:00"/>
        <d v="1900-01-14T00:00:00"/>
        <d v="1900-01-24T00:00:00"/>
        <d v="1900-02-03T00:00:00"/>
        <d v="1900-02-13T00:00:00"/>
        <d v="1900-02-23T00:00:00"/>
        <d v="1900-03-02T00:00:00"/>
        <d v="1900-03-19T00:00:00"/>
        <d v="1900-03-25T00:00:00"/>
        <d v="1900-03-26T00:00:00"/>
        <d v="1900-03-28T00:00:00"/>
        <d v="1900-04-09T00:00:00"/>
        <d v="1900-04-10T00:00:00"/>
        <d v="1900-04-11T00:00:00"/>
        <d v="1900-04-12T00:00:00"/>
        <d v="1900-04-25T00:00:00"/>
        <d v="1900-05-09T00:00:00"/>
        <d v="1900-05-14T00:00:00"/>
        <d v="1900-05-19T00:00:00"/>
        <d v="1900-05-24T00:00:00"/>
        <d v="1900-05-29T00:00:00"/>
        <d v="1900-05-31T00:00:00"/>
        <d v="1900-06-08T00:00:00"/>
        <d v="1900-06-09T00:00:00"/>
        <d v="1900-06-12T00:00:00"/>
        <d v="1900-06-25T00:00:00"/>
        <d v="1900-07-10T00:00:00"/>
        <d v="1900-07-13T00:00:00"/>
        <d v="1900-07-16T00:00:00"/>
        <d v="1900-07-18T00:00:00"/>
        <d v="1900-08-09T00:00:00"/>
        <d v="1900-08-10T00:00:00"/>
        <d v="1900-08-11T00:00:00"/>
        <d v="1900-08-12T00:00:00"/>
        <d v="1900-08-13T00:00:00"/>
        <d v="1900-08-17T00:00:00"/>
        <d v="1900-08-18T00:00:00"/>
        <d v="1900-08-21T00:00:00"/>
        <d v="1900-09-16T00:00:00"/>
        <d v="1900-09-17T00:00:00"/>
        <d v="1900-09-26T00:00:00"/>
        <d v="1900-10-01T00:00:00"/>
        <d v="1900-10-12T00:00:00"/>
        <d v="1900-10-13T00:00:00"/>
        <d v="1900-10-16T00:00:00"/>
        <d v="1900-10-17T00:00:00"/>
        <d v="1900-10-21T00:00:00"/>
        <d v="1900-10-26T00:00:00"/>
        <d v="1900-11-05T00:00:00"/>
        <d v="1900-11-15T00:00:00"/>
        <d v="1900-11-21T00:00:00"/>
        <d v="1901-02-03T00:00:00"/>
        <d v="1901-04-09T00:00:00"/>
        <d v="1901-04-14T00:00:00"/>
        <d v="1901-05-10T00:00:00"/>
        <d v="1901-05-14T00:00:00"/>
        <d v="1901-06-13T00:00:00"/>
        <d v="1901-06-14T00:00:00"/>
        <d v="1901-06-15T00:00:00"/>
        <d v="1901-06-16T00:00:00"/>
        <d v="1901-06-17T00:00:00"/>
        <d v="1901-06-18T00:00:00"/>
        <d v="1901-06-25T00:00:00"/>
        <d v="1901-07-04T00:00:00"/>
        <d v="1901-07-06T00:00:00"/>
        <d v="1901-07-23T00:00:00"/>
        <d v="1901-08-02T00:00:00"/>
        <d v="1901-08-12T00:00:00"/>
        <d v="1901-08-13T00:00:00"/>
        <d v="1901-10-10T00:00:00"/>
        <d v="1901-11-04T00:00:00"/>
        <d v="1901-11-05T00:00:00"/>
        <d v="1901-11-06T00:00:00"/>
        <d v="1901-11-07T00:00:00"/>
        <d v="1901-11-08T00:00:00"/>
        <d v="1901-11-09T00:00:00"/>
        <d v="1901-11-10T00:00:00"/>
        <d v="1901-11-11T00:00:00"/>
        <d v="1901-11-12T00:00:00"/>
        <d v="1901-11-13T00:00:00"/>
        <d v="1901-11-14T00:00:00"/>
        <d v="1901-11-15T00:00:00"/>
        <d v="1901-11-30T00:00:00"/>
        <d v="1901-12-03T00:00:00"/>
        <d v="1901-12-05T00:00:00"/>
        <d v="1901-12-08T00:00:00"/>
        <d v="1901-12-09T00:00:00"/>
        <d v="1901-12-10T00:00:00"/>
        <d v="1901-12-11T00:00:00"/>
        <d v="1901-12-12T00:00:00"/>
        <d v="1901-12-14T00:00:00"/>
        <d v="1901-12-16T00:00:00"/>
        <d v="1901-12-18T00:00:00"/>
        <d v="1901-12-20T00:00:00"/>
        <d v="1901-12-25T00:00:00"/>
        <d v="1901-12-30T00:00:00"/>
        <d v="1902-01-04T00:00:00"/>
        <d v="1902-01-09T00:00:00"/>
        <d v="1902-01-14T00:00:00"/>
        <d v="1902-01-20T00:00:00"/>
        <d v="1902-01-21T00:00:00"/>
        <d v="1902-01-23T00:00:00"/>
        <d v="1902-01-24T00:00:00"/>
        <d v="1902-01-26T00:00:00"/>
        <d v="1902-01-29T00:00:00"/>
        <d v="1902-02-13T00:00:00"/>
        <d v="1902-02-18T00:00:00"/>
        <d v="1902-02-23T00:00:00"/>
        <d v="1902-03-03T00:00:00"/>
        <d v="1902-03-10T00:00:00"/>
        <d v="1902-03-11T00:00:00"/>
        <d v="1902-03-13T00:00:00"/>
        <d v="1902-03-14T00:00:00"/>
        <d v="1902-06-21T00:00:00"/>
        <d v="1900-01-04T00:00:00"/>
        <d v="1900-04-04T00:00:00"/>
        <d v="1900-04-17T00:00:00"/>
        <d v="1900-04-19T00:00:00"/>
        <d v="1900-04-24T00:00:00"/>
        <d v="1900-05-04T00:00:00"/>
        <d v="1900-06-03T00:00:00"/>
        <d v="1900-06-13T00:00:00"/>
        <d v="1900-06-23T00:00:00"/>
        <d v="1900-07-23T00:00:00"/>
        <d v="1900-08-07T00:00:00"/>
        <d v="1900-08-27T00:00:00"/>
        <d v="1900-09-01T00:00:00"/>
        <d v="1900-09-06T00:00:00"/>
        <d v="1900-12-15T00:00:00"/>
        <d v="1900-12-16T00:00:00"/>
        <d v="1900-12-17T00:00:00"/>
        <d v="1900-02-14T00:00:00"/>
        <d v="1900-04-14T00:00:00"/>
        <d v="1901-02-04T00:00:00"/>
        <d v="1901-02-08T00:00:00"/>
        <d v="1901-02-09T00:00:00"/>
        <d v="1901-02-10T00:00:00"/>
        <d v="1901-02-18T00:00:00"/>
        <d v="1901-03-20T00:00:00"/>
        <d v="1901-05-30T00:00:00"/>
        <d v="1901-06-03T00:00:00"/>
        <d v="1901-06-06T00:00:00"/>
        <d v="1901-06-08T00:00:00"/>
        <d v="1901-10-24T00:00:00"/>
        <d v="1901-10-26T00:00:00"/>
        <d v="1901-10-27T00:00:00"/>
        <d v="1901-10-28T00:00:00"/>
        <d v="1901-10-29T00:00:00"/>
      </sharedItems>
    </cacheField>
    <cacheField name="FRQ_TYPE" numFmtId="173">
      <sharedItems/>
    </cacheField>
    <cacheField name="INSP_DATE" numFmtId="22">
      <sharedItems containsNonDate="0" containsDate="1" containsString="0" containsBlank="1" minDate="2003-04-01T00:00:00" maxDate="2027-04-02T00:00:00"/>
    </cacheField>
    <cacheField name="INSP_VAL" numFmtId="173">
      <sharedItems containsNonDate="0" containsDate="1" containsString="0" containsBlank="1" minDate="1899-12-30T00:00:00" maxDate="1921-05-18T09:35:52"/>
    </cacheField>
    <cacheField name="DEL_FLAG" numFmtId="173">
      <sharedItems/>
    </cacheField>
    <cacheField name="EI_MODEL" numFmtId="173">
      <sharedItems count="1">
        <s v="AH-64D"/>
      </sharedItems>
    </cacheField>
  </cacheFields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3096">
  <r>
    <x v="0"/>
    <x v="0"/>
    <x v="0"/>
    <s v="D"/>
    <d v="2014-11-17T10:05:00"/>
    <d v="1899-12-30T00:00:00"/>
    <b v="0"/>
    <x v="0"/>
  </r>
  <r>
    <x v="0"/>
    <x v="0"/>
    <x v="0"/>
    <s v="H"/>
    <m/>
    <d v="1904-09-09T02:23:58"/>
    <b v="0"/>
    <x v="0"/>
  </r>
  <r>
    <x v="1"/>
    <x v="0"/>
    <x v="1"/>
    <s v="D"/>
    <d v="2015-04-14T22:56:00"/>
    <d v="1899-12-30T00:00:00"/>
    <b v="0"/>
    <x v="0"/>
  </r>
  <r>
    <x v="2"/>
    <x v="0"/>
    <x v="1"/>
    <s v="D"/>
    <d v="2015-04-16T07:18:00"/>
    <d v="1899-12-30T00:00:00"/>
    <b v="0"/>
    <x v="0"/>
  </r>
  <r>
    <x v="3"/>
    <x v="0"/>
    <x v="1"/>
    <s v="D"/>
    <d v="2015-04-14T09:38:00"/>
    <d v="1899-12-30T00:00:00"/>
    <b v="0"/>
    <x v="0"/>
  </r>
  <r>
    <x v="4"/>
    <x v="0"/>
    <x v="1"/>
    <s v="D"/>
    <d v="2015-02-25T09:13:00"/>
    <d v="1899-12-30T00:00:00"/>
    <b v="0"/>
    <x v="0"/>
  </r>
  <r>
    <x v="5"/>
    <x v="0"/>
    <x v="1"/>
    <s v="D"/>
    <d v="2015-04-02T00:00:00"/>
    <d v="1899-12-30T00:00:00"/>
    <b v="0"/>
    <x v="0"/>
  </r>
  <r>
    <x v="6"/>
    <x v="0"/>
    <x v="1"/>
    <s v="D"/>
    <d v="2015-03-17T19:06:00"/>
    <d v="1899-12-30T00:00:00"/>
    <b v="0"/>
    <x v="0"/>
  </r>
  <r>
    <x v="7"/>
    <x v="0"/>
    <x v="1"/>
    <s v="D"/>
    <d v="2015-04-17T00:00:00"/>
    <d v="1899-12-30T00:00:00"/>
    <b v="0"/>
    <x v="0"/>
  </r>
  <r>
    <x v="8"/>
    <x v="0"/>
    <x v="1"/>
    <s v="D"/>
    <d v="2015-04-14T17:02:00"/>
    <d v="1899-12-30T00:00:00"/>
    <b v="0"/>
    <x v="0"/>
  </r>
  <r>
    <x v="9"/>
    <x v="0"/>
    <x v="1"/>
    <s v="D"/>
    <d v="2015-04-08T23:38:00"/>
    <d v="1899-12-30T00:00:00"/>
    <b v="0"/>
    <x v="0"/>
  </r>
  <r>
    <x v="10"/>
    <x v="0"/>
    <x v="1"/>
    <s v="D"/>
    <d v="2015-04-17T00:00:00"/>
    <d v="1899-12-30T00:00:00"/>
    <b v="0"/>
    <x v="0"/>
  </r>
  <r>
    <x v="11"/>
    <x v="0"/>
    <x v="1"/>
    <s v="D"/>
    <d v="2015-04-17T08:10:00"/>
    <d v="1899-12-30T00:00:00"/>
    <b v="0"/>
    <x v="0"/>
  </r>
  <r>
    <x v="12"/>
    <x v="0"/>
    <x v="1"/>
    <s v="D"/>
    <d v="2015-04-17T08:50:00"/>
    <d v="1899-12-30T00:00:00"/>
    <b v="0"/>
    <x v="0"/>
  </r>
  <r>
    <x v="13"/>
    <x v="0"/>
    <x v="1"/>
    <s v="D"/>
    <d v="2015-04-08T00:00:00"/>
    <d v="1899-12-30T00:00:00"/>
    <b v="0"/>
    <x v="0"/>
  </r>
  <r>
    <x v="14"/>
    <x v="0"/>
    <x v="2"/>
    <s v="H"/>
    <m/>
    <d v="1919-10-06T00:00:00"/>
    <b v="0"/>
    <x v="0"/>
  </r>
  <r>
    <x v="1"/>
    <x v="0"/>
    <x v="3"/>
    <s v="D"/>
    <d v="2015-04-15T17:42:00"/>
    <d v="1899-12-30T00:00:00"/>
    <b v="0"/>
    <x v="0"/>
  </r>
  <r>
    <x v="15"/>
    <x v="0"/>
    <x v="3"/>
    <s v="D"/>
    <d v="2015-04-08T17:40:00"/>
    <d v="1899-12-30T00:00:00"/>
    <b v="0"/>
    <x v="0"/>
  </r>
  <r>
    <x v="16"/>
    <x v="0"/>
    <x v="3"/>
    <s v="D"/>
    <d v="2015-04-08T12:36:00"/>
    <d v="1899-12-30T00:00:00"/>
    <b v="0"/>
    <x v="0"/>
  </r>
  <r>
    <x v="2"/>
    <x v="0"/>
    <x v="3"/>
    <s v="D"/>
    <d v="2015-04-17T17:38:00"/>
    <d v="1899-12-30T00:00:00"/>
    <b v="0"/>
    <x v="0"/>
  </r>
  <r>
    <x v="3"/>
    <x v="0"/>
    <x v="3"/>
    <s v="D"/>
    <d v="2015-04-09T11:08:00"/>
    <d v="1899-12-30T00:00:00"/>
    <b v="0"/>
    <x v="0"/>
  </r>
  <r>
    <x v="4"/>
    <x v="0"/>
    <x v="3"/>
    <s v="D"/>
    <d v="2015-02-17T17:05:00"/>
    <d v="1899-12-30T00:00:00"/>
    <b v="0"/>
    <x v="0"/>
  </r>
  <r>
    <x v="6"/>
    <x v="0"/>
    <x v="3"/>
    <s v="D"/>
    <d v="2015-03-18T14:29:00"/>
    <d v="1899-12-30T00:00:00"/>
    <b v="0"/>
    <x v="0"/>
  </r>
  <r>
    <x v="7"/>
    <x v="0"/>
    <x v="3"/>
    <s v="D"/>
    <d v="2015-04-17T00:00:00"/>
    <d v="1899-12-30T00:00:00"/>
    <b v="0"/>
    <x v="0"/>
  </r>
  <r>
    <x v="8"/>
    <x v="0"/>
    <x v="3"/>
    <s v="D"/>
    <d v="2015-04-14T13:06:00"/>
    <d v="1899-12-30T00:00:00"/>
    <b v="0"/>
    <x v="0"/>
  </r>
  <r>
    <x v="10"/>
    <x v="0"/>
    <x v="3"/>
    <s v="D"/>
    <d v="2015-04-17T00:00:00"/>
    <d v="1899-12-30T00:00:00"/>
    <b v="0"/>
    <x v="0"/>
  </r>
  <r>
    <x v="11"/>
    <x v="0"/>
    <x v="3"/>
    <s v="D"/>
    <d v="2015-04-15T09:21:00"/>
    <d v="1899-12-30T00:00:00"/>
    <b v="0"/>
    <x v="0"/>
  </r>
  <r>
    <x v="12"/>
    <x v="0"/>
    <x v="3"/>
    <s v="D"/>
    <d v="2015-04-17T14:11:00"/>
    <d v="1899-12-30T00:00:00"/>
    <b v="0"/>
    <x v="0"/>
  </r>
  <r>
    <x v="13"/>
    <x v="0"/>
    <x v="3"/>
    <s v="D"/>
    <d v="2015-04-08T06:50:00"/>
    <d v="1899-12-30T00:00:00"/>
    <b v="0"/>
    <x v="0"/>
  </r>
  <r>
    <x v="17"/>
    <x v="0"/>
    <x v="4"/>
    <s v="D"/>
    <d v="2015-04-17T10:59:00"/>
    <d v="1899-12-30T00:00:00"/>
    <b v="0"/>
    <x v="0"/>
  </r>
  <r>
    <x v="18"/>
    <x v="0"/>
    <x v="4"/>
    <s v="D"/>
    <d v="2015-04-08T16:54:00"/>
    <d v="1899-12-30T00:00:00"/>
    <b v="0"/>
    <x v="0"/>
  </r>
  <r>
    <x v="1"/>
    <x v="0"/>
    <x v="4"/>
    <s v="D"/>
    <d v="2015-04-14T01:44:00"/>
    <d v="1899-12-30T00:00:00"/>
    <b v="0"/>
    <x v="0"/>
  </r>
  <r>
    <x v="15"/>
    <x v="0"/>
    <x v="4"/>
    <s v="D"/>
    <d v="2015-04-09T22:17:00"/>
    <d v="1899-12-30T00:00:00"/>
    <b v="0"/>
    <x v="0"/>
  </r>
  <r>
    <x v="16"/>
    <x v="0"/>
    <x v="4"/>
    <s v="D"/>
    <d v="2015-04-09T17:01:00"/>
    <d v="1899-12-30T00:00:00"/>
    <b v="0"/>
    <x v="0"/>
  </r>
  <r>
    <x v="19"/>
    <x v="0"/>
    <x v="4"/>
    <s v="D"/>
    <d v="2015-04-15T17:33:00"/>
    <d v="1899-12-30T00:00:00"/>
    <b v="0"/>
    <x v="0"/>
  </r>
  <r>
    <x v="2"/>
    <x v="0"/>
    <x v="4"/>
    <s v="D"/>
    <d v="2015-04-17T14:55:00"/>
    <d v="1899-12-30T00:00:00"/>
    <b v="0"/>
    <x v="0"/>
  </r>
  <r>
    <x v="3"/>
    <x v="0"/>
    <x v="4"/>
    <s v="D"/>
    <d v="2015-04-13T15:56:00"/>
    <d v="1899-12-30T00:00:00"/>
    <b v="0"/>
    <x v="0"/>
  </r>
  <r>
    <x v="4"/>
    <x v="0"/>
    <x v="4"/>
    <s v="D"/>
    <d v="2015-02-24T08:56:00"/>
    <d v="1899-12-30T00:00:00"/>
    <b v="0"/>
    <x v="0"/>
  </r>
  <r>
    <x v="5"/>
    <x v="0"/>
    <x v="4"/>
    <s v="D"/>
    <d v="2015-03-31T20:03:00"/>
    <d v="1899-12-30T00:00:00"/>
    <b v="0"/>
    <x v="0"/>
  </r>
  <r>
    <x v="0"/>
    <x v="0"/>
    <x v="4"/>
    <s v="D"/>
    <d v="2015-04-08T17:08:00"/>
    <d v="1899-12-30T00:00:00"/>
    <b v="0"/>
    <x v="0"/>
  </r>
  <r>
    <x v="20"/>
    <x v="0"/>
    <x v="4"/>
    <s v="D"/>
    <d v="2015-04-14T16:56:00"/>
    <d v="1899-12-30T00:00:00"/>
    <b v="0"/>
    <x v="0"/>
  </r>
  <r>
    <x v="6"/>
    <x v="0"/>
    <x v="4"/>
    <s v="D"/>
    <d v="2015-03-11T07:43:00"/>
    <d v="1899-12-30T00:00:00"/>
    <b v="0"/>
    <x v="0"/>
  </r>
  <r>
    <x v="7"/>
    <x v="0"/>
    <x v="4"/>
    <s v="D"/>
    <d v="2015-04-15T00:00:00"/>
    <d v="1899-12-30T00:00:00"/>
    <b v="0"/>
    <x v="0"/>
  </r>
  <r>
    <x v="21"/>
    <x v="0"/>
    <x v="4"/>
    <s v="D"/>
    <d v="2015-04-13T17:42:00"/>
    <d v="1899-12-30T00:00:00"/>
    <b v="0"/>
    <x v="0"/>
  </r>
  <r>
    <x v="8"/>
    <x v="0"/>
    <x v="4"/>
    <s v="D"/>
    <d v="2015-04-14T11:00:00"/>
    <d v="1899-12-30T00:00:00"/>
    <b v="0"/>
    <x v="0"/>
  </r>
  <r>
    <x v="9"/>
    <x v="0"/>
    <x v="4"/>
    <s v="D"/>
    <d v="2015-04-09T12:31:00"/>
    <d v="1899-12-30T00:00:00"/>
    <b v="0"/>
    <x v="0"/>
  </r>
  <r>
    <x v="10"/>
    <x v="0"/>
    <x v="4"/>
    <s v="D"/>
    <d v="2015-04-14T11:30:00"/>
    <d v="1899-12-30T00:00:00"/>
    <b v="0"/>
    <x v="0"/>
  </r>
  <r>
    <x v="22"/>
    <x v="0"/>
    <x v="4"/>
    <s v="D"/>
    <d v="2015-04-15T18:13:00"/>
    <d v="1899-12-30T00:00:00"/>
    <b v="0"/>
    <x v="0"/>
  </r>
  <r>
    <x v="23"/>
    <x v="0"/>
    <x v="4"/>
    <s v="D"/>
    <d v="2015-03-13T12:03:00"/>
    <d v="1899-12-30T00:00:00"/>
    <b v="0"/>
    <x v="0"/>
  </r>
  <r>
    <x v="11"/>
    <x v="0"/>
    <x v="4"/>
    <s v="D"/>
    <d v="2015-04-14T20:14:00"/>
    <d v="1899-12-30T00:00:00"/>
    <b v="0"/>
    <x v="0"/>
  </r>
  <r>
    <x v="12"/>
    <x v="0"/>
    <x v="4"/>
    <s v="D"/>
    <d v="2015-04-10T13:42:00"/>
    <d v="1899-12-30T00:00:00"/>
    <b v="0"/>
    <x v="0"/>
  </r>
  <r>
    <x v="13"/>
    <x v="0"/>
    <x v="4"/>
    <s v="D"/>
    <d v="2015-04-10T14:07:00"/>
    <d v="1899-12-30T00:00:00"/>
    <b v="0"/>
    <x v="0"/>
  </r>
  <r>
    <x v="17"/>
    <x v="0"/>
    <x v="4"/>
    <s v="H"/>
    <m/>
    <d v="1914-10-30T12:00:00"/>
    <b v="0"/>
    <x v="0"/>
  </r>
  <r>
    <x v="14"/>
    <x v="0"/>
    <x v="4"/>
    <s v="H"/>
    <m/>
    <d v="1919-10-19T02:24:08"/>
    <b v="0"/>
    <x v="0"/>
  </r>
  <r>
    <x v="18"/>
    <x v="0"/>
    <x v="4"/>
    <s v="H"/>
    <m/>
    <d v="1921-05-18T09:35:52"/>
    <b v="0"/>
    <x v="0"/>
  </r>
  <r>
    <x v="1"/>
    <x v="0"/>
    <x v="4"/>
    <s v="H"/>
    <m/>
    <d v="1918-07-10T04:48:17"/>
    <b v="0"/>
    <x v="0"/>
  </r>
  <r>
    <x v="15"/>
    <x v="0"/>
    <x v="4"/>
    <s v="H"/>
    <m/>
    <d v="1920-06-24T21:35:52"/>
    <b v="0"/>
    <x v="0"/>
  </r>
  <r>
    <x v="16"/>
    <x v="0"/>
    <x v="4"/>
    <s v="H"/>
    <m/>
    <d v="1913-03-15T21:35:52"/>
    <b v="0"/>
    <x v="0"/>
  </r>
  <r>
    <x v="19"/>
    <x v="0"/>
    <x v="4"/>
    <s v="H"/>
    <m/>
    <d v="1909-10-02T00:00:00"/>
    <b v="0"/>
    <x v="0"/>
  </r>
  <r>
    <x v="2"/>
    <x v="0"/>
    <x v="4"/>
    <s v="H"/>
    <m/>
    <d v="1914-03-06T21:35:52"/>
    <b v="0"/>
    <x v="0"/>
  </r>
  <r>
    <x v="3"/>
    <x v="0"/>
    <x v="4"/>
    <s v="H"/>
    <m/>
    <d v="1911-02-25T14:24:08"/>
    <b v="0"/>
    <x v="0"/>
  </r>
  <r>
    <x v="4"/>
    <x v="0"/>
    <x v="4"/>
    <s v="H"/>
    <m/>
    <d v="1905-06-11T07:12:04"/>
    <b v="0"/>
    <x v="0"/>
  </r>
  <r>
    <x v="5"/>
    <x v="0"/>
    <x v="4"/>
    <s v="H"/>
    <m/>
    <d v="1905-01-11T09:36:02"/>
    <b v="0"/>
    <x v="0"/>
  </r>
  <r>
    <x v="0"/>
    <x v="0"/>
    <x v="4"/>
    <s v="H"/>
    <m/>
    <d v="1904-12-29T21:36:02"/>
    <b v="0"/>
    <x v="0"/>
  </r>
  <r>
    <x v="20"/>
    <x v="0"/>
    <x v="4"/>
    <s v="H"/>
    <m/>
    <d v="1905-04-27T09:36:02"/>
    <b v="0"/>
    <x v="0"/>
  </r>
  <r>
    <x v="6"/>
    <x v="0"/>
    <x v="4"/>
    <s v="H"/>
    <m/>
    <d v="1904-07-02T14:23:58"/>
    <b v="0"/>
    <x v="0"/>
  </r>
  <r>
    <x v="7"/>
    <x v="0"/>
    <x v="4"/>
    <s v="H"/>
    <m/>
    <d v="1907-10-05T19:12:04"/>
    <b v="0"/>
    <x v="0"/>
  </r>
  <r>
    <x v="21"/>
    <x v="0"/>
    <x v="4"/>
    <s v="H"/>
    <m/>
    <d v="1914-06-26T07:11:43"/>
    <b v="0"/>
    <x v="0"/>
  </r>
  <r>
    <x v="8"/>
    <x v="0"/>
    <x v="4"/>
    <s v="H"/>
    <m/>
    <d v="1912-02-06T12:00:00"/>
    <b v="0"/>
    <x v="0"/>
  </r>
  <r>
    <x v="9"/>
    <x v="0"/>
    <x v="4"/>
    <s v="H"/>
    <m/>
    <d v="1913-03-25T02:24:08"/>
    <b v="0"/>
    <x v="0"/>
  </r>
  <r>
    <x v="10"/>
    <x v="0"/>
    <x v="4"/>
    <s v="H"/>
    <m/>
    <d v="1914-06-22T14:24:08"/>
    <b v="0"/>
    <x v="0"/>
  </r>
  <r>
    <x v="22"/>
    <x v="0"/>
    <x v="4"/>
    <s v="H"/>
    <m/>
    <d v="1904-05-20T09:36:02"/>
    <b v="0"/>
    <x v="0"/>
  </r>
  <r>
    <x v="23"/>
    <x v="0"/>
    <x v="4"/>
    <s v="H"/>
    <m/>
    <d v="1904-03-09T12:00:00"/>
    <b v="0"/>
    <x v="0"/>
  </r>
  <r>
    <x v="11"/>
    <x v="0"/>
    <x v="4"/>
    <s v="H"/>
    <m/>
    <d v="1914-11-29T04:48:17"/>
    <b v="0"/>
    <x v="0"/>
  </r>
  <r>
    <x v="12"/>
    <x v="0"/>
    <x v="4"/>
    <s v="H"/>
    <m/>
    <d v="1908-11-20T04:47:56"/>
    <b v="0"/>
    <x v="0"/>
  </r>
  <r>
    <x v="13"/>
    <x v="0"/>
    <x v="4"/>
    <s v="H"/>
    <m/>
    <d v="1908-04-20T14:24:08"/>
    <b v="0"/>
    <x v="0"/>
  </r>
  <r>
    <x v="17"/>
    <x v="0"/>
    <x v="5"/>
    <s v="H"/>
    <m/>
    <d v="1914-04-07T14:24:08"/>
    <b v="0"/>
    <x v="0"/>
  </r>
  <r>
    <x v="14"/>
    <x v="0"/>
    <x v="5"/>
    <s v="H"/>
    <m/>
    <d v="1918-07-03T12:00:00"/>
    <b v="0"/>
    <x v="0"/>
  </r>
  <r>
    <x v="18"/>
    <x v="0"/>
    <x v="5"/>
    <s v="H"/>
    <m/>
    <d v="1920-06-01T16:48:17"/>
    <b v="0"/>
    <x v="0"/>
  </r>
  <r>
    <x v="1"/>
    <x v="0"/>
    <x v="5"/>
    <s v="H"/>
    <m/>
    <d v="1917-09-08T09:35:52"/>
    <b v="0"/>
    <x v="0"/>
  </r>
  <r>
    <x v="15"/>
    <x v="0"/>
    <x v="5"/>
    <s v="H"/>
    <m/>
    <d v="1920-03-18T02:24:08"/>
    <b v="0"/>
    <x v="0"/>
  </r>
  <r>
    <x v="16"/>
    <x v="0"/>
    <x v="5"/>
    <s v="H"/>
    <m/>
    <d v="1912-07-13T16:48:17"/>
    <b v="0"/>
    <x v="0"/>
  </r>
  <r>
    <x v="19"/>
    <x v="0"/>
    <x v="5"/>
    <s v="H"/>
    <m/>
    <d v="1908-07-09T07:12:04"/>
    <b v="0"/>
    <x v="0"/>
  </r>
  <r>
    <x v="2"/>
    <x v="0"/>
    <x v="5"/>
    <s v="H"/>
    <m/>
    <d v="1912-11-18T09:35:52"/>
    <b v="0"/>
    <x v="0"/>
  </r>
  <r>
    <x v="3"/>
    <x v="0"/>
    <x v="5"/>
    <s v="H"/>
    <m/>
    <d v="1910-03-31T09:35:52"/>
    <b v="0"/>
    <x v="0"/>
  </r>
  <r>
    <x v="4"/>
    <x v="0"/>
    <x v="5"/>
    <s v="H"/>
    <m/>
    <d v="1904-03-05T21:36:02"/>
    <b v="0"/>
    <x v="0"/>
  </r>
  <r>
    <x v="5"/>
    <x v="0"/>
    <x v="5"/>
    <s v="H"/>
    <m/>
    <d v="1904-11-04T07:12:04"/>
    <b v="0"/>
    <x v="0"/>
  </r>
  <r>
    <x v="0"/>
    <x v="0"/>
    <x v="5"/>
    <s v="H"/>
    <m/>
    <d v="1904-08-30T16:47:56"/>
    <b v="0"/>
    <x v="0"/>
  </r>
  <r>
    <x v="20"/>
    <x v="0"/>
    <x v="5"/>
    <s v="H"/>
    <m/>
    <d v="1904-02-26T19:12:04"/>
    <b v="0"/>
    <x v="0"/>
  </r>
  <r>
    <x v="6"/>
    <x v="0"/>
    <x v="5"/>
    <s v="H"/>
    <m/>
    <d v="1903-04-05T04:47:56"/>
    <b v="0"/>
    <x v="0"/>
  </r>
  <r>
    <x v="7"/>
    <x v="0"/>
    <x v="5"/>
    <s v="H"/>
    <m/>
    <d v="1907-04-23T19:12:04"/>
    <b v="0"/>
    <x v="0"/>
  </r>
  <r>
    <x v="21"/>
    <x v="0"/>
    <x v="5"/>
    <s v="H"/>
    <m/>
    <d v="1914-03-26T09:35:52"/>
    <b v="0"/>
    <x v="0"/>
  </r>
  <r>
    <x v="8"/>
    <x v="0"/>
    <x v="5"/>
    <s v="H"/>
    <m/>
    <d v="1910-12-11T14:24:08"/>
    <b v="0"/>
    <x v="0"/>
  </r>
  <r>
    <x v="9"/>
    <x v="0"/>
    <x v="5"/>
    <s v="H"/>
    <m/>
    <d v="1913-01-07T12:00:00"/>
    <b v="0"/>
    <x v="0"/>
  </r>
  <r>
    <x v="10"/>
    <x v="0"/>
    <x v="5"/>
    <s v="H"/>
    <m/>
    <d v="1913-11-28T00:00:00"/>
    <b v="0"/>
    <x v="0"/>
  </r>
  <r>
    <x v="22"/>
    <x v="0"/>
    <x v="5"/>
    <s v="H"/>
    <m/>
    <d v="1903-05-31T21:36:02"/>
    <b v="0"/>
    <x v="0"/>
  </r>
  <r>
    <x v="23"/>
    <x v="0"/>
    <x v="5"/>
    <s v="H"/>
    <m/>
    <d v="1903-08-17T09:36:02"/>
    <b v="0"/>
    <x v="0"/>
  </r>
  <r>
    <x v="11"/>
    <x v="0"/>
    <x v="5"/>
    <s v="H"/>
    <m/>
    <d v="1913-08-29T02:24:08"/>
    <b v="0"/>
    <x v="0"/>
  </r>
  <r>
    <x v="12"/>
    <x v="0"/>
    <x v="5"/>
    <s v="H"/>
    <m/>
    <d v="1907-12-27T04:47:56"/>
    <b v="0"/>
    <x v="0"/>
  </r>
  <r>
    <x v="13"/>
    <x v="0"/>
    <x v="5"/>
    <s v="H"/>
    <m/>
    <d v="1908-02-16T02:24:08"/>
    <b v="0"/>
    <x v="0"/>
  </r>
  <r>
    <x v="17"/>
    <x v="0"/>
    <x v="6"/>
    <s v="D"/>
    <d v="2015-04-16T11:04:00"/>
    <d v="1899-12-30T00:00:00"/>
    <b v="0"/>
    <x v="0"/>
  </r>
  <r>
    <x v="14"/>
    <x v="0"/>
    <x v="6"/>
    <s v="D"/>
    <d v="2015-03-25T08:40:00"/>
    <d v="1899-12-30T00:00:00"/>
    <b v="0"/>
    <x v="0"/>
  </r>
  <r>
    <x v="18"/>
    <x v="0"/>
    <x v="6"/>
    <s v="D"/>
    <d v="2015-04-08T11:33:00"/>
    <d v="1899-12-30T00:00:00"/>
    <b v="0"/>
    <x v="0"/>
  </r>
  <r>
    <x v="1"/>
    <x v="0"/>
    <x v="6"/>
    <s v="D"/>
    <d v="2015-04-13T18:06:00"/>
    <d v="1899-12-30T00:00:00"/>
    <b v="0"/>
    <x v="0"/>
  </r>
  <r>
    <x v="15"/>
    <x v="0"/>
    <x v="6"/>
    <s v="D"/>
    <d v="2015-04-09T20:55:00"/>
    <d v="1899-12-30T00:00:00"/>
    <b v="0"/>
    <x v="0"/>
  </r>
  <r>
    <x v="16"/>
    <x v="0"/>
    <x v="6"/>
    <s v="D"/>
    <d v="2015-04-09T11:30:00"/>
    <d v="1899-12-30T00:00:00"/>
    <b v="0"/>
    <x v="0"/>
  </r>
  <r>
    <x v="19"/>
    <x v="0"/>
    <x v="6"/>
    <s v="D"/>
    <d v="2015-04-15T17:18:00"/>
    <d v="1899-12-30T00:00:00"/>
    <b v="0"/>
    <x v="0"/>
  </r>
  <r>
    <x v="2"/>
    <x v="0"/>
    <x v="6"/>
    <s v="D"/>
    <d v="2015-04-17T20:06:00"/>
    <d v="1899-12-30T00:00:00"/>
    <b v="0"/>
    <x v="0"/>
  </r>
  <r>
    <x v="3"/>
    <x v="0"/>
    <x v="6"/>
    <s v="D"/>
    <d v="2015-04-13T12:14:00"/>
    <d v="1899-12-30T00:00:00"/>
    <b v="0"/>
    <x v="0"/>
  </r>
  <r>
    <x v="4"/>
    <x v="0"/>
    <x v="6"/>
    <s v="D"/>
    <d v="2015-02-18T09:51:00"/>
    <d v="1899-12-30T00:00:00"/>
    <b v="0"/>
    <x v="0"/>
  </r>
  <r>
    <x v="0"/>
    <x v="0"/>
    <x v="6"/>
    <s v="D"/>
    <d v="2015-04-08T15:23:00"/>
    <d v="1899-12-30T00:00:00"/>
    <b v="0"/>
    <x v="0"/>
  </r>
  <r>
    <x v="20"/>
    <x v="0"/>
    <x v="6"/>
    <s v="D"/>
    <d v="2015-04-15T09:19:00"/>
    <d v="1899-12-30T00:00:00"/>
    <b v="0"/>
    <x v="0"/>
  </r>
  <r>
    <x v="6"/>
    <x v="0"/>
    <x v="6"/>
    <s v="D"/>
    <d v="2015-03-24T11:59:00"/>
    <d v="1899-12-30T00:00:00"/>
    <b v="0"/>
    <x v="0"/>
  </r>
  <r>
    <x v="7"/>
    <x v="0"/>
    <x v="6"/>
    <s v="D"/>
    <d v="2015-04-15T00:00:00"/>
    <d v="1899-12-30T00:00:00"/>
    <b v="0"/>
    <x v="0"/>
  </r>
  <r>
    <x v="21"/>
    <x v="0"/>
    <x v="6"/>
    <s v="D"/>
    <d v="2015-04-13T16:13:00"/>
    <d v="1899-12-30T00:00:00"/>
    <b v="0"/>
    <x v="0"/>
  </r>
  <r>
    <x v="8"/>
    <x v="0"/>
    <x v="6"/>
    <s v="D"/>
    <d v="2015-04-14T10:47:00"/>
    <d v="1899-12-30T00:00:00"/>
    <b v="0"/>
    <x v="0"/>
  </r>
  <r>
    <x v="10"/>
    <x v="0"/>
    <x v="6"/>
    <s v="D"/>
    <d v="2015-04-14T11:31:00"/>
    <d v="1899-12-30T00:00:00"/>
    <b v="0"/>
    <x v="0"/>
  </r>
  <r>
    <x v="22"/>
    <x v="0"/>
    <x v="6"/>
    <s v="D"/>
    <d v="2015-04-15T18:15:00"/>
    <d v="1899-12-30T00:00:00"/>
    <b v="0"/>
    <x v="0"/>
  </r>
  <r>
    <x v="23"/>
    <x v="0"/>
    <x v="6"/>
    <s v="D"/>
    <d v="2015-04-16T22:25:00"/>
    <d v="1899-12-30T00:00:00"/>
    <b v="0"/>
    <x v="0"/>
  </r>
  <r>
    <x v="11"/>
    <x v="0"/>
    <x v="6"/>
    <s v="D"/>
    <d v="2015-04-10T00:27:00"/>
    <d v="1899-12-30T00:00:00"/>
    <b v="0"/>
    <x v="0"/>
  </r>
  <r>
    <x v="12"/>
    <x v="0"/>
    <x v="6"/>
    <s v="D"/>
    <d v="2015-04-10T13:43:00"/>
    <d v="1899-12-30T00:00:00"/>
    <b v="0"/>
    <x v="0"/>
  </r>
  <r>
    <x v="13"/>
    <x v="0"/>
    <x v="6"/>
    <s v="D"/>
    <d v="2015-04-10T14:07:00"/>
    <d v="1899-12-30T00:00:00"/>
    <b v="0"/>
    <x v="0"/>
  </r>
  <r>
    <x v="17"/>
    <x v="0"/>
    <x v="6"/>
    <s v="H"/>
    <m/>
    <d v="1914-10-30T12:00:00"/>
    <b v="0"/>
    <x v="0"/>
  </r>
  <r>
    <x v="14"/>
    <x v="0"/>
    <x v="6"/>
    <s v="H"/>
    <m/>
    <d v="1919-10-19T02:24:08"/>
    <b v="0"/>
    <x v="0"/>
  </r>
  <r>
    <x v="18"/>
    <x v="0"/>
    <x v="6"/>
    <s v="H"/>
    <m/>
    <d v="1921-05-18T09:35:52"/>
    <b v="0"/>
    <x v="0"/>
  </r>
  <r>
    <x v="1"/>
    <x v="0"/>
    <x v="6"/>
    <s v="H"/>
    <m/>
    <d v="1918-07-10T04:48:17"/>
    <b v="0"/>
    <x v="0"/>
  </r>
  <r>
    <x v="15"/>
    <x v="0"/>
    <x v="6"/>
    <s v="H"/>
    <m/>
    <d v="1920-06-24T21:35:52"/>
    <b v="0"/>
    <x v="0"/>
  </r>
  <r>
    <x v="16"/>
    <x v="0"/>
    <x v="6"/>
    <s v="H"/>
    <m/>
    <d v="1913-03-15T21:35:52"/>
    <b v="0"/>
    <x v="0"/>
  </r>
  <r>
    <x v="19"/>
    <x v="0"/>
    <x v="6"/>
    <s v="H"/>
    <m/>
    <d v="1909-10-02T00:00:00"/>
    <b v="0"/>
    <x v="0"/>
  </r>
  <r>
    <x v="2"/>
    <x v="0"/>
    <x v="6"/>
    <s v="H"/>
    <m/>
    <d v="1914-03-06T21:35:52"/>
    <b v="0"/>
    <x v="0"/>
  </r>
  <r>
    <x v="3"/>
    <x v="0"/>
    <x v="6"/>
    <s v="H"/>
    <m/>
    <d v="1911-02-25T14:24:08"/>
    <b v="0"/>
    <x v="0"/>
  </r>
  <r>
    <x v="4"/>
    <x v="0"/>
    <x v="6"/>
    <s v="H"/>
    <m/>
    <d v="1905-06-11T07:12:04"/>
    <b v="0"/>
    <x v="0"/>
  </r>
  <r>
    <x v="5"/>
    <x v="0"/>
    <x v="6"/>
    <s v="H"/>
    <m/>
    <d v="1905-01-11T09:36:02"/>
    <b v="0"/>
    <x v="0"/>
  </r>
  <r>
    <x v="0"/>
    <x v="0"/>
    <x v="6"/>
    <s v="H"/>
    <m/>
    <d v="1904-12-29T21:36:02"/>
    <b v="0"/>
    <x v="0"/>
  </r>
  <r>
    <x v="20"/>
    <x v="0"/>
    <x v="6"/>
    <s v="H"/>
    <m/>
    <d v="1905-04-27T09:36:02"/>
    <b v="0"/>
    <x v="0"/>
  </r>
  <r>
    <x v="6"/>
    <x v="0"/>
    <x v="6"/>
    <s v="H"/>
    <m/>
    <d v="1904-07-02T14:23:58"/>
    <b v="0"/>
    <x v="0"/>
  </r>
  <r>
    <x v="7"/>
    <x v="0"/>
    <x v="6"/>
    <s v="H"/>
    <m/>
    <d v="1907-10-05T19:12:04"/>
    <b v="0"/>
    <x v="0"/>
  </r>
  <r>
    <x v="21"/>
    <x v="0"/>
    <x v="6"/>
    <s v="H"/>
    <m/>
    <d v="1914-06-26T07:11:43"/>
    <b v="0"/>
    <x v="0"/>
  </r>
  <r>
    <x v="8"/>
    <x v="0"/>
    <x v="6"/>
    <s v="H"/>
    <m/>
    <d v="1912-02-06T12:00:00"/>
    <b v="0"/>
    <x v="0"/>
  </r>
  <r>
    <x v="9"/>
    <x v="0"/>
    <x v="6"/>
    <s v="H"/>
    <m/>
    <d v="1913-03-25T02:24:08"/>
    <b v="0"/>
    <x v="0"/>
  </r>
  <r>
    <x v="10"/>
    <x v="0"/>
    <x v="6"/>
    <s v="H"/>
    <m/>
    <d v="1914-06-22T14:24:08"/>
    <b v="0"/>
    <x v="0"/>
  </r>
  <r>
    <x v="22"/>
    <x v="0"/>
    <x v="6"/>
    <s v="H"/>
    <m/>
    <d v="1904-05-20T09:36:02"/>
    <b v="0"/>
    <x v="0"/>
  </r>
  <r>
    <x v="23"/>
    <x v="0"/>
    <x v="6"/>
    <s v="H"/>
    <m/>
    <d v="1904-03-09T12:00:00"/>
    <b v="0"/>
    <x v="0"/>
  </r>
  <r>
    <x v="11"/>
    <x v="0"/>
    <x v="6"/>
    <s v="H"/>
    <m/>
    <d v="1914-11-29T04:48:17"/>
    <b v="0"/>
    <x v="0"/>
  </r>
  <r>
    <x v="12"/>
    <x v="0"/>
    <x v="6"/>
    <s v="H"/>
    <m/>
    <d v="1908-11-20T04:47:56"/>
    <b v="0"/>
    <x v="0"/>
  </r>
  <r>
    <x v="13"/>
    <x v="0"/>
    <x v="6"/>
    <s v="H"/>
    <m/>
    <d v="1908-04-20T14:24:08"/>
    <b v="0"/>
    <x v="0"/>
  </r>
  <r>
    <x v="18"/>
    <x v="0"/>
    <x v="7"/>
    <s v="D"/>
    <d v="2014-11-12T15:39:00"/>
    <d v="1899-12-30T00:00:00"/>
    <b v="0"/>
    <x v="0"/>
  </r>
  <r>
    <x v="3"/>
    <x v="0"/>
    <x v="7"/>
    <s v="D"/>
    <d v="2014-11-17T11:25:00"/>
    <d v="1899-12-30T00:00:00"/>
    <b v="0"/>
    <x v="0"/>
  </r>
  <r>
    <x v="5"/>
    <x v="0"/>
    <x v="7"/>
    <s v="D"/>
    <d v="2015-02-25T13:45:00"/>
    <d v="1899-12-30T00:00:00"/>
    <b v="0"/>
    <x v="0"/>
  </r>
  <r>
    <x v="0"/>
    <x v="0"/>
    <x v="7"/>
    <s v="D"/>
    <d v="2014-11-12T15:25:00"/>
    <d v="1899-12-30T00:00:00"/>
    <b v="0"/>
    <x v="0"/>
  </r>
  <r>
    <x v="9"/>
    <x v="0"/>
    <x v="7"/>
    <s v="D"/>
    <d v="2015-02-05T00:00:00"/>
    <d v="1899-12-30T00:00:00"/>
    <b v="0"/>
    <x v="0"/>
  </r>
  <r>
    <x v="23"/>
    <x v="0"/>
    <x v="7"/>
    <s v="D"/>
    <d v="2014-11-12T15:45:00"/>
    <d v="1899-12-30T00:00:00"/>
    <b v="0"/>
    <x v="0"/>
  </r>
  <r>
    <x v="17"/>
    <x v="0"/>
    <x v="7"/>
    <s v="H"/>
    <m/>
    <d v="1914-10-22T09:35:52"/>
    <b v="0"/>
    <x v="0"/>
  </r>
  <r>
    <x v="14"/>
    <x v="0"/>
    <x v="7"/>
    <s v="H"/>
    <m/>
    <d v="1919-10-06T00:00:00"/>
    <b v="0"/>
    <x v="0"/>
  </r>
  <r>
    <x v="18"/>
    <x v="0"/>
    <x v="7"/>
    <s v="H"/>
    <m/>
    <d v="1921-04-15T12:00:00"/>
    <b v="0"/>
    <x v="0"/>
  </r>
  <r>
    <x v="1"/>
    <x v="0"/>
    <x v="7"/>
    <s v="H"/>
    <m/>
    <d v="1918-06-19T07:11:43"/>
    <b v="0"/>
    <x v="0"/>
  </r>
  <r>
    <x v="15"/>
    <x v="0"/>
    <x v="7"/>
    <s v="H"/>
    <m/>
    <d v="1920-05-19T14:24:08"/>
    <b v="0"/>
    <x v="0"/>
  </r>
  <r>
    <x v="16"/>
    <x v="0"/>
    <x v="7"/>
    <s v="H"/>
    <m/>
    <d v="1913-03-25T02:24:08"/>
    <b v="0"/>
    <x v="0"/>
  </r>
  <r>
    <x v="19"/>
    <x v="0"/>
    <x v="7"/>
    <s v="H"/>
    <m/>
    <d v="1909-07-05T12:00:00"/>
    <b v="0"/>
    <x v="0"/>
  </r>
  <r>
    <x v="2"/>
    <x v="0"/>
    <x v="7"/>
    <s v="H"/>
    <m/>
    <d v="1913-11-26T04:48:17"/>
    <b v="0"/>
    <x v="0"/>
  </r>
  <r>
    <x v="3"/>
    <x v="0"/>
    <x v="7"/>
    <s v="H"/>
    <m/>
    <d v="1910-12-10T02:24:08"/>
    <b v="0"/>
    <x v="0"/>
  </r>
  <r>
    <x v="4"/>
    <x v="0"/>
    <x v="7"/>
    <s v="H"/>
    <m/>
    <d v="1905-04-19T00:00:00"/>
    <b v="0"/>
    <x v="0"/>
  </r>
  <r>
    <x v="5"/>
    <x v="0"/>
    <x v="7"/>
    <s v="H"/>
    <m/>
    <d v="1904-11-04T07:12:04"/>
    <b v="0"/>
    <x v="0"/>
  </r>
  <r>
    <x v="0"/>
    <x v="0"/>
    <x v="7"/>
    <s v="H"/>
    <m/>
    <d v="1904-09-08T02:23:58"/>
    <b v="0"/>
    <x v="0"/>
  </r>
  <r>
    <x v="20"/>
    <x v="0"/>
    <x v="7"/>
    <s v="H"/>
    <m/>
    <d v="1905-01-02T07:12:04"/>
    <b v="0"/>
    <x v="0"/>
  </r>
  <r>
    <x v="6"/>
    <x v="0"/>
    <x v="7"/>
    <s v="H"/>
    <m/>
    <d v="1904-04-06T12:00:00"/>
    <b v="0"/>
    <x v="0"/>
  </r>
  <r>
    <x v="7"/>
    <x v="0"/>
    <x v="7"/>
    <s v="H"/>
    <m/>
    <d v="1907-08-23T21:35:52"/>
    <b v="0"/>
    <x v="0"/>
  </r>
  <r>
    <x v="21"/>
    <x v="0"/>
    <x v="7"/>
    <s v="H"/>
    <m/>
    <d v="1914-05-12T19:11:43"/>
    <b v="0"/>
    <x v="0"/>
  </r>
  <r>
    <x v="8"/>
    <x v="0"/>
    <x v="7"/>
    <s v="H"/>
    <m/>
    <d v="1911-10-12T02:24:08"/>
    <b v="0"/>
    <x v="0"/>
  </r>
  <r>
    <x v="9"/>
    <x v="0"/>
    <x v="7"/>
    <s v="H"/>
    <m/>
    <d v="1913-01-16T07:11:43"/>
    <b v="0"/>
    <x v="0"/>
  </r>
  <r>
    <x v="10"/>
    <x v="0"/>
    <x v="7"/>
    <s v="H"/>
    <m/>
    <d v="1914-05-21T04:48:17"/>
    <b v="0"/>
    <x v="0"/>
  </r>
  <r>
    <x v="23"/>
    <x v="0"/>
    <x v="7"/>
    <s v="H"/>
    <m/>
    <d v="1904-01-06T02:23:58"/>
    <b v="0"/>
    <x v="0"/>
  </r>
  <r>
    <x v="11"/>
    <x v="0"/>
    <x v="7"/>
    <s v="H"/>
    <m/>
    <d v="1914-09-06T16:48:17"/>
    <b v="0"/>
    <x v="0"/>
  </r>
  <r>
    <x v="12"/>
    <x v="0"/>
    <x v="7"/>
    <s v="H"/>
    <m/>
    <d v="1908-08-20T00:00:00"/>
    <b v="0"/>
    <x v="0"/>
  </r>
  <r>
    <x v="13"/>
    <x v="0"/>
    <x v="7"/>
    <s v="H"/>
    <m/>
    <d v="1908-02-19T07:12:04"/>
    <b v="0"/>
    <x v="0"/>
  </r>
  <r>
    <x v="17"/>
    <x v="0"/>
    <x v="8"/>
    <s v="H"/>
    <m/>
    <d v="1914-10-30T00:00:00"/>
    <b v="0"/>
    <x v="0"/>
  </r>
  <r>
    <x v="14"/>
    <x v="0"/>
    <x v="8"/>
    <s v="H"/>
    <m/>
    <d v="1919-10-19T02:24:08"/>
    <b v="0"/>
    <x v="0"/>
  </r>
  <r>
    <x v="18"/>
    <x v="0"/>
    <x v="8"/>
    <s v="H"/>
    <m/>
    <d v="1921-05-05T09:35:52"/>
    <b v="0"/>
    <x v="0"/>
  </r>
  <r>
    <x v="1"/>
    <x v="0"/>
    <x v="8"/>
    <s v="H"/>
    <m/>
    <d v="1918-07-10T04:48:17"/>
    <b v="0"/>
    <x v="0"/>
  </r>
  <r>
    <x v="15"/>
    <x v="0"/>
    <x v="8"/>
    <s v="H"/>
    <m/>
    <d v="1920-06-24T21:35:52"/>
    <b v="0"/>
    <x v="0"/>
  </r>
  <r>
    <x v="16"/>
    <x v="0"/>
    <x v="8"/>
    <s v="H"/>
    <m/>
    <d v="1913-03-12T02:24:08"/>
    <b v="0"/>
    <x v="0"/>
  </r>
  <r>
    <x v="19"/>
    <x v="0"/>
    <x v="8"/>
    <s v="H"/>
    <m/>
    <d v="1909-10-02T00:00:00"/>
    <b v="0"/>
    <x v="0"/>
  </r>
  <r>
    <x v="2"/>
    <x v="0"/>
    <x v="8"/>
    <s v="H"/>
    <m/>
    <d v="1914-02-25T19:11:43"/>
    <b v="0"/>
    <x v="0"/>
  </r>
  <r>
    <x v="3"/>
    <x v="0"/>
    <x v="8"/>
    <s v="H"/>
    <m/>
    <d v="1911-02-09T19:12:04"/>
    <b v="0"/>
    <x v="0"/>
  </r>
  <r>
    <x v="4"/>
    <x v="0"/>
    <x v="8"/>
    <s v="H"/>
    <m/>
    <d v="1905-06-04T16:47:56"/>
    <b v="0"/>
    <x v="0"/>
  </r>
  <r>
    <x v="5"/>
    <x v="0"/>
    <x v="8"/>
    <s v="H"/>
    <m/>
    <d v="1905-01-11T09:36:02"/>
    <b v="0"/>
    <x v="0"/>
  </r>
  <r>
    <x v="0"/>
    <x v="0"/>
    <x v="8"/>
    <s v="H"/>
    <m/>
    <d v="1904-12-14T07:12:04"/>
    <b v="0"/>
    <x v="0"/>
  </r>
  <r>
    <x v="20"/>
    <x v="0"/>
    <x v="8"/>
    <s v="H"/>
    <m/>
    <d v="1905-04-27T09:36:02"/>
    <b v="0"/>
    <x v="0"/>
  </r>
  <r>
    <x v="6"/>
    <x v="0"/>
    <x v="8"/>
    <s v="H"/>
    <m/>
    <d v="1904-06-17T14:23:58"/>
    <b v="0"/>
    <x v="0"/>
  </r>
  <r>
    <x v="7"/>
    <x v="0"/>
    <x v="8"/>
    <s v="H"/>
    <m/>
    <d v="1907-10-05T19:12:04"/>
    <b v="0"/>
    <x v="0"/>
  </r>
  <r>
    <x v="21"/>
    <x v="0"/>
    <x v="8"/>
    <s v="H"/>
    <m/>
    <d v="1914-06-26T07:11:43"/>
    <b v="0"/>
    <x v="0"/>
  </r>
  <r>
    <x v="8"/>
    <x v="0"/>
    <x v="8"/>
    <s v="H"/>
    <m/>
    <d v="1912-02-06T00:00:00"/>
    <b v="0"/>
    <x v="0"/>
  </r>
  <r>
    <x v="9"/>
    <x v="0"/>
    <x v="8"/>
    <s v="H"/>
    <m/>
    <d v="1913-03-25T02:24:08"/>
    <b v="0"/>
    <x v="0"/>
  </r>
  <r>
    <x v="10"/>
    <x v="0"/>
    <x v="8"/>
    <s v="H"/>
    <m/>
    <d v="1914-06-14T14:24:08"/>
    <b v="0"/>
    <x v="0"/>
  </r>
  <r>
    <x v="22"/>
    <x v="0"/>
    <x v="8"/>
    <s v="H"/>
    <m/>
    <d v="1904-05-04T09:36:02"/>
    <b v="0"/>
    <x v="0"/>
  </r>
  <r>
    <x v="23"/>
    <x v="0"/>
    <x v="8"/>
    <s v="H"/>
    <m/>
    <d v="1904-03-09T12:00:00"/>
    <b v="0"/>
    <x v="0"/>
  </r>
  <r>
    <x v="11"/>
    <x v="0"/>
    <x v="8"/>
    <s v="H"/>
    <m/>
    <d v="1914-11-29T04:48:17"/>
    <b v="0"/>
    <x v="0"/>
  </r>
  <r>
    <x v="12"/>
    <x v="0"/>
    <x v="8"/>
    <s v="H"/>
    <m/>
    <d v="1908-11-20T04:47:56"/>
    <b v="0"/>
    <x v="0"/>
  </r>
  <r>
    <x v="13"/>
    <x v="0"/>
    <x v="8"/>
    <s v="H"/>
    <m/>
    <d v="1908-04-16T02:24:08"/>
    <b v="0"/>
    <x v="0"/>
  </r>
  <r>
    <x v="17"/>
    <x v="0"/>
    <x v="9"/>
    <s v="D"/>
    <d v="2015-03-02T13:32:00"/>
    <d v="1899-12-30T00:00:00"/>
    <b v="0"/>
    <x v="0"/>
  </r>
  <r>
    <x v="14"/>
    <x v="0"/>
    <x v="9"/>
    <s v="D"/>
    <d v="2015-01-20T23:34:00"/>
    <d v="1899-12-30T00:00:00"/>
    <b v="0"/>
    <x v="0"/>
  </r>
  <r>
    <x v="18"/>
    <x v="0"/>
    <x v="9"/>
    <s v="D"/>
    <d v="2015-02-25T11:42:00"/>
    <d v="1899-12-30T00:00:00"/>
    <b v="0"/>
    <x v="0"/>
  </r>
  <r>
    <x v="15"/>
    <x v="0"/>
    <x v="9"/>
    <s v="D"/>
    <d v="2015-03-03T10:09:00"/>
    <d v="1899-12-30T00:00:00"/>
    <b v="0"/>
    <x v="0"/>
  </r>
  <r>
    <x v="16"/>
    <x v="0"/>
    <x v="9"/>
    <s v="D"/>
    <d v="2015-02-25T12:33:00"/>
    <d v="1899-12-30T00:00:00"/>
    <b v="0"/>
    <x v="0"/>
  </r>
  <r>
    <x v="19"/>
    <x v="0"/>
    <x v="9"/>
    <s v="D"/>
    <d v="2015-02-25T00:00:00"/>
    <d v="1899-12-30T00:00:00"/>
    <b v="0"/>
    <x v="0"/>
  </r>
  <r>
    <x v="2"/>
    <x v="0"/>
    <x v="9"/>
    <s v="D"/>
    <d v="2015-03-04T17:00:00"/>
    <d v="1899-12-30T00:00:00"/>
    <b v="0"/>
    <x v="0"/>
  </r>
  <r>
    <x v="3"/>
    <x v="0"/>
    <x v="9"/>
    <s v="D"/>
    <d v="2015-03-04T11:23:00"/>
    <d v="1899-12-30T00:00:00"/>
    <b v="0"/>
    <x v="0"/>
  </r>
  <r>
    <x v="4"/>
    <x v="0"/>
    <x v="9"/>
    <s v="D"/>
    <d v="2015-02-18T13:11:00"/>
    <d v="1899-12-30T00:00:00"/>
    <b v="0"/>
    <x v="0"/>
  </r>
  <r>
    <x v="5"/>
    <x v="0"/>
    <x v="9"/>
    <s v="D"/>
    <d v="2015-03-15T08:23:00"/>
    <d v="1899-12-30T00:00:00"/>
    <b v="0"/>
    <x v="0"/>
  </r>
  <r>
    <x v="0"/>
    <x v="0"/>
    <x v="9"/>
    <s v="D"/>
    <d v="2015-02-24T13:29:00"/>
    <d v="1899-12-30T00:00:00"/>
    <b v="0"/>
    <x v="0"/>
  </r>
  <r>
    <x v="20"/>
    <x v="0"/>
    <x v="9"/>
    <s v="D"/>
    <d v="2015-02-26T13:49:00"/>
    <d v="1899-12-30T00:00:00"/>
    <b v="0"/>
    <x v="0"/>
  </r>
  <r>
    <x v="6"/>
    <x v="0"/>
    <x v="9"/>
    <s v="D"/>
    <d v="2015-02-18T12:59:00"/>
    <d v="1899-12-30T00:00:00"/>
    <b v="0"/>
    <x v="0"/>
  </r>
  <r>
    <x v="7"/>
    <x v="0"/>
    <x v="9"/>
    <s v="D"/>
    <d v="2015-02-25T11:19:00"/>
    <d v="1899-12-30T00:00:00"/>
    <b v="0"/>
    <x v="0"/>
  </r>
  <r>
    <x v="21"/>
    <x v="0"/>
    <x v="9"/>
    <s v="D"/>
    <d v="2015-03-03T16:02:00"/>
    <d v="1899-12-30T00:00:00"/>
    <b v="0"/>
    <x v="0"/>
  </r>
  <r>
    <x v="8"/>
    <x v="0"/>
    <x v="9"/>
    <s v="D"/>
    <d v="2015-03-03T10:46:00"/>
    <d v="1899-12-30T00:00:00"/>
    <b v="0"/>
    <x v="0"/>
  </r>
  <r>
    <x v="9"/>
    <x v="0"/>
    <x v="9"/>
    <s v="D"/>
    <d v="2015-03-05T10:26:00"/>
    <d v="1899-12-30T00:00:00"/>
    <b v="0"/>
    <x v="0"/>
  </r>
  <r>
    <x v="10"/>
    <x v="0"/>
    <x v="9"/>
    <s v="D"/>
    <d v="2015-03-05T16:10:00"/>
    <d v="1899-12-30T00:00:00"/>
    <b v="0"/>
    <x v="0"/>
  </r>
  <r>
    <x v="22"/>
    <x v="0"/>
    <x v="9"/>
    <s v="D"/>
    <d v="2015-03-02T16:08:00"/>
    <d v="1899-12-30T00:00:00"/>
    <b v="0"/>
    <x v="0"/>
  </r>
  <r>
    <x v="23"/>
    <x v="0"/>
    <x v="9"/>
    <s v="D"/>
    <d v="2015-02-26T14:21:00"/>
    <d v="1899-12-30T00:00:00"/>
    <b v="0"/>
    <x v="0"/>
  </r>
  <r>
    <x v="11"/>
    <x v="0"/>
    <x v="9"/>
    <s v="D"/>
    <d v="2015-02-18T10:10:00"/>
    <d v="1899-12-30T00:00:00"/>
    <b v="0"/>
    <x v="0"/>
  </r>
  <r>
    <x v="12"/>
    <x v="0"/>
    <x v="9"/>
    <s v="D"/>
    <d v="2015-02-24T00:00:00"/>
    <d v="1899-12-30T00:00:00"/>
    <b v="0"/>
    <x v="0"/>
  </r>
  <r>
    <x v="13"/>
    <x v="0"/>
    <x v="9"/>
    <s v="D"/>
    <d v="2015-02-25T07:43:00"/>
    <d v="1899-12-30T00:00:00"/>
    <b v="0"/>
    <x v="0"/>
  </r>
  <r>
    <x v="17"/>
    <x v="0"/>
    <x v="9"/>
    <s v="H"/>
    <m/>
    <d v="1914-10-29T00:00:00"/>
    <b v="0"/>
    <x v="0"/>
  </r>
  <r>
    <x v="14"/>
    <x v="0"/>
    <x v="9"/>
    <s v="H"/>
    <m/>
    <d v="1919-10-06T00:00:00"/>
    <b v="0"/>
    <x v="0"/>
  </r>
  <r>
    <x v="18"/>
    <x v="0"/>
    <x v="9"/>
    <s v="H"/>
    <m/>
    <d v="1921-04-18T02:24:08"/>
    <b v="0"/>
    <x v="0"/>
  </r>
  <r>
    <x v="15"/>
    <x v="0"/>
    <x v="9"/>
    <s v="H"/>
    <m/>
    <d v="1920-05-26T14:24:08"/>
    <b v="0"/>
    <x v="0"/>
  </r>
  <r>
    <x v="16"/>
    <x v="0"/>
    <x v="9"/>
    <s v="H"/>
    <m/>
    <d v="1913-03-04T04:48:17"/>
    <b v="0"/>
    <x v="0"/>
  </r>
  <r>
    <x v="19"/>
    <x v="0"/>
    <x v="9"/>
    <s v="H"/>
    <m/>
    <d v="1909-07-10T00:00:00"/>
    <b v="0"/>
    <x v="0"/>
  </r>
  <r>
    <x v="2"/>
    <x v="0"/>
    <x v="9"/>
    <s v="H"/>
    <m/>
    <d v="1913-12-13T21:35:52"/>
    <b v="0"/>
    <x v="0"/>
  </r>
  <r>
    <x v="3"/>
    <x v="0"/>
    <x v="9"/>
    <s v="H"/>
    <m/>
    <d v="1911-02-09T19:12:04"/>
    <b v="0"/>
    <x v="0"/>
  </r>
  <r>
    <x v="4"/>
    <x v="0"/>
    <x v="9"/>
    <s v="H"/>
    <m/>
    <d v="1905-06-11T07:12:04"/>
    <b v="0"/>
    <x v="0"/>
  </r>
  <r>
    <x v="5"/>
    <x v="0"/>
    <x v="9"/>
    <s v="H"/>
    <m/>
    <d v="1904-11-19T14:23:58"/>
    <b v="0"/>
    <x v="0"/>
  </r>
  <r>
    <x v="0"/>
    <x v="0"/>
    <x v="9"/>
    <s v="H"/>
    <m/>
    <d v="1904-12-10T07:12:04"/>
    <b v="0"/>
    <x v="0"/>
  </r>
  <r>
    <x v="20"/>
    <x v="0"/>
    <x v="9"/>
    <s v="H"/>
    <m/>
    <d v="1905-04-26T21:36:02"/>
    <b v="0"/>
    <x v="0"/>
  </r>
  <r>
    <x v="6"/>
    <x v="0"/>
    <x v="9"/>
    <s v="H"/>
    <m/>
    <d v="1904-07-02T14:23:58"/>
    <b v="0"/>
    <x v="0"/>
  </r>
  <r>
    <x v="7"/>
    <x v="0"/>
    <x v="9"/>
    <s v="H"/>
    <m/>
    <d v="1907-09-09T07:12:04"/>
    <b v="0"/>
    <x v="0"/>
  </r>
  <r>
    <x v="21"/>
    <x v="0"/>
    <x v="9"/>
    <s v="H"/>
    <m/>
    <d v="1914-06-18T04:48:17"/>
    <b v="0"/>
    <x v="0"/>
  </r>
  <r>
    <x v="8"/>
    <x v="0"/>
    <x v="9"/>
    <s v="H"/>
    <m/>
    <d v="1911-12-30T02:24:08"/>
    <b v="0"/>
    <x v="0"/>
  </r>
  <r>
    <x v="9"/>
    <x v="0"/>
    <x v="9"/>
    <s v="H"/>
    <m/>
    <d v="1913-01-28T07:11:43"/>
    <b v="0"/>
    <x v="0"/>
  </r>
  <r>
    <x v="10"/>
    <x v="0"/>
    <x v="9"/>
    <s v="H"/>
    <m/>
    <d v="1914-05-27T07:11:43"/>
    <b v="0"/>
    <x v="0"/>
  </r>
  <r>
    <x v="22"/>
    <x v="0"/>
    <x v="9"/>
    <s v="H"/>
    <m/>
    <d v="1904-02-29T09:36:02"/>
    <b v="0"/>
    <x v="0"/>
  </r>
  <r>
    <x v="23"/>
    <x v="0"/>
    <x v="9"/>
    <s v="H"/>
    <m/>
    <d v="1904-03-09T12:00:00"/>
    <b v="0"/>
    <x v="0"/>
  </r>
  <r>
    <x v="11"/>
    <x v="0"/>
    <x v="9"/>
    <s v="H"/>
    <m/>
    <d v="1914-11-29T04:48:17"/>
    <b v="0"/>
    <x v="0"/>
  </r>
  <r>
    <x v="12"/>
    <x v="0"/>
    <x v="9"/>
    <s v="H"/>
    <m/>
    <d v="1908-11-15T04:47:56"/>
    <b v="0"/>
    <x v="0"/>
  </r>
  <r>
    <x v="13"/>
    <x v="0"/>
    <x v="9"/>
    <s v="H"/>
    <m/>
    <d v="1908-04-16T02:24:08"/>
    <b v="0"/>
    <x v="0"/>
  </r>
  <r>
    <x v="17"/>
    <x v="0"/>
    <x v="10"/>
    <s v="D"/>
    <d v="2015-03-02T14:22:00"/>
    <d v="1899-12-30T00:00:00"/>
    <b v="0"/>
    <x v="0"/>
  </r>
  <r>
    <x v="14"/>
    <x v="0"/>
    <x v="10"/>
    <s v="D"/>
    <d v="2015-01-20T23:35:00"/>
    <d v="1899-12-30T00:00:00"/>
    <b v="0"/>
    <x v="0"/>
  </r>
  <r>
    <x v="18"/>
    <x v="0"/>
    <x v="10"/>
    <s v="D"/>
    <d v="2015-02-25T00:00:00"/>
    <d v="1899-12-30T00:00:00"/>
    <b v="0"/>
    <x v="0"/>
  </r>
  <r>
    <x v="1"/>
    <x v="0"/>
    <x v="10"/>
    <s v="D"/>
    <d v="2015-01-21T21:04:00"/>
    <d v="1899-12-30T00:00:00"/>
    <b v="0"/>
    <x v="0"/>
  </r>
  <r>
    <x v="15"/>
    <x v="0"/>
    <x v="10"/>
    <s v="D"/>
    <d v="2015-03-03T09:25:00"/>
    <d v="1899-12-30T00:00:00"/>
    <b v="0"/>
    <x v="0"/>
  </r>
  <r>
    <x v="16"/>
    <x v="0"/>
    <x v="10"/>
    <s v="D"/>
    <d v="2015-02-25T12:42:00"/>
    <d v="1899-12-30T00:00:00"/>
    <b v="0"/>
    <x v="0"/>
  </r>
  <r>
    <x v="19"/>
    <x v="0"/>
    <x v="10"/>
    <s v="D"/>
    <d v="2015-02-25T00:00:00"/>
    <d v="1899-12-30T00:00:00"/>
    <b v="0"/>
    <x v="0"/>
  </r>
  <r>
    <x v="2"/>
    <x v="0"/>
    <x v="10"/>
    <s v="D"/>
    <d v="2015-03-05T10:47:00"/>
    <d v="1899-12-30T00:00:00"/>
    <b v="0"/>
    <x v="0"/>
  </r>
  <r>
    <x v="3"/>
    <x v="0"/>
    <x v="10"/>
    <s v="D"/>
    <d v="2015-03-04T11:25:00"/>
    <d v="1899-12-30T00:00:00"/>
    <b v="0"/>
    <x v="0"/>
  </r>
  <r>
    <x v="4"/>
    <x v="0"/>
    <x v="10"/>
    <s v="D"/>
    <d v="2015-02-18T13:12:00"/>
    <d v="1899-12-30T00:00:00"/>
    <b v="0"/>
    <x v="0"/>
  </r>
  <r>
    <x v="5"/>
    <x v="0"/>
    <x v="10"/>
    <s v="D"/>
    <d v="2015-03-17T02:03:00"/>
    <d v="1899-12-30T00:00:00"/>
    <b v="0"/>
    <x v="0"/>
  </r>
  <r>
    <x v="0"/>
    <x v="0"/>
    <x v="10"/>
    <s v="D"/>
    <d v="2015-02-24T12:34:00"/>
    <d v="1899-12-30T00:00:00"/>
    <b v="0"/>
    <x v="0"/>
  </r>
  <r>
    <x v="20"/>
    <x v="0"/>
    <x v="10"/>
    <s v="D"/>
    <d v="2015-02-26T13:50:00"/>
    <d v="1899-12-30T00:00:00"/>
    <b v="0"/>
    <x v="0"/>
  </r>
  <r>
    <x v="6"/>
    <x v="0"/>
    <x v="10"/>
    <s v="D"/>
    <d v="2015-02-18T13:00:00"/>
    <d v="1899-12-30T00:00:00"/>
    <b v="0"/>
    <x v="0"/>
  </r>
  <r>
    <x v="7"/>
    <x v="0"/>
    <x v="10"/>
    <s v="D"/>
    <d v="2015-02-25T11:20:00"/>
    <d v="1899-12-30T00:00:00"/>
    <b v="0"/>
    <x v="0"/>
  </r>
  <r>
    <x v="21"/>
    <x v="0"/>
    <x v="10"/>
    <s v="D"/>
    <d v="2015-03-03T16:03:00"/>
    <d v="1899-12-30T00:00:00"/>
    <b v="0"/>
    <x v="0"/>
  </r>
  <r>
    <x v="8"/>
    <x v="0"/>
    <x v="10"/>
    <s v="D"/>
    <d v="2015-03-03T10:47:00"/>
    <d v="1899-12-30T00:00:00"/>
    <b v="0"/>
    <x v="0"/>
  </r>
  <r>
    <x v="9"/>
    <x v="0"/>
    <x v="10"/>
    <s v="D"/>
    <d v="2015-03-05T10:26:00"/>
    <d v="1899-12-30T00:00:00"/>
    <b v="0"/>
    <x v="0"/>
  </r>
  <r>
    <x v="10"/>
    <x v="0"/>
    <x v="10"/>
    <s v="D"/>
    <d v="2015-03-05T16:10:00"/>
    <d v="1899-12-30T00:00:00"/>
    <b v="0"/>
    <x v="0"/>
  </r>
  <r>
    <x v="22"/>
    <x v="0"/>
    <x v="10"/>
    <s v="D"/>
    <d v="2015-03-05T12:48:00"/>
    <d v="1899-12-30T00:00:00"/>
    <b v="0"/>
    <x v="0"/>
  </r>
  <r>
    <x v="23"/>
    <x v="0"/>
    <x v="10"/>
    <s v="D"/>
    <d v="2015-02-26T14:06:00"/>
    <d v="1899-12-30T00:00:00"/>
    <b v="0"/>
    <x v="0"/>
  </r>
  <r>
    <x v="11"/>
    <x v="0"/>
    <x v="10"/>
    <s v="D"/>
    <d v="2015-02-18T10:15:00"/>
    <d v="1899-12-30T00:00:00"/>
    <b v="0"/>
    <x v="0"/>
  </r>
  <r>
    <x v="12"/>
    <x v="0"/>
    <x v="10"/>
    <s v="D"/>
    <d v="2015-02-24T00:00:00"/>
    <d v="1899-12-30T00:00:00"/>
    <b v="0"/>
    <x v="0"/>
  </r>
  <r>
    <x v="13"/>
    <x v="0"/>
    <x v="10"/>
    <s v="D"/>
    <d v="2015-02-25T07:44:00"/>
    <d v="1899-12-30T00:00:00"/>
    <b v="0"/>
    <x v="0"/>
  </r>
  <r>
    <x v="17"/>
    <x v="0"/>
    <x v="10"/>
    <s v="H"/>
    <m/>
    <d v="1914-10-29T00:00:00"/>
    <b v="0"/>
    <x v="0"/>
  </r>
  <r>
    <x v="14"/>
    <x v="0"/>
    <x v="10"/>
    <s v="H"/>
    <m/>
    <d v="1919-10-06T00:00:00"/>
    <b v="0"/>
    <x v="0"/>
  </r>
  <r>
    <x v="18"/>
    <x v="0"/>
    <x v="10"/>
    <s v="H"/>
    <m/>
    <d v="1921-04-18T02:24:08"/>
    <b v="0"/>
    <x v="0"/>
  </r>
  <r>
    <x v="1"/>
    <x v="0"/>
    <x v="10"/>
    <s v="H"/>
    <m/>
    <d v="1918-06-19T07:11:43"/>
    <b v="0"/>
    <x v="0"/>
  </r>
  <r>
    <x v="15"/>
    <x v="0"/>
    <x v="10"/>
    <s v="H"/>
    <m/>
    <d v="1920-05-26T14:24:08"/>
    <b v="0"/>
    <x v="0"/>
  </r>
  <r>
    <x v="16"/>
    <x v="0"/>
    <x v="10"/>
    <s v="H"/>
    <m/>
    <d v="1913-03-04T04:48:17"/>
    <b v="0"/>
    <x v="0"/>
  </r>
  <r>
    <x v="19"/>
    <x v="0"/>
    <x v="10"/>
    <s v="H"/>
    <m/>
    <d v="1909-07-10T00:00:00"/>
    <b v="0"/>
    <x v="0"/>
  </r>
  <r>
    <x v="2"/>
    <x v="0"/>
    <x v="10"/>
    <s v="H"/>
    <m/>
    <d v="1913-12-13T21:35:52"/>
    <b v="0"/>
    <x v="0"/>
  </r>
  <r>
    <x v="3"/>
    <x v="0"/>
    <x v="10"/>
    <s v="H"/>
    <m/>
    <d v="1911-02-09T19:12:04"/>
    <b v="0"/>
    <x v="0"/>
  </r>
  <r>
    <x v="4"/>
    <x v="0"/>
    <x v="10"/>
    <s v="H"/>
    <m/>
    <d v="1905-06-11T07:12:04"/>
    <b v="0"/>
    <x v="0"/>
  </r>
  <r>
    <x v="5"/>
    <x v="0"/>
    <x v="10"/>
    <s v="H"/>
    <m/>
    <d v="1904-11-27T07:12:04"/>
    <b v="0"/>
    <x v="0"/>
  </r>
  <r>
    <x v="0"/>
    <x v="0"/>
    <x v="10"/>
    <s v="H"/>
    <m/>
    <d v="1904-12-10T07:12:04"/>
    <b v="0"/>
    <x v="0"/>
  </r>
  <r>
    <x v="20"/>
    <x v="0"/>
    <x v="10"/>
    <s v="H"/>
    <m/>
    <d v="1905-04-26T21:36:02"/>
    <b v="0"/>
    <x v="0"/>
  </r>
  <r>
    <x v="6"/>
    <x v="0"/>
    <x v="10"/>
    <s v="H"/>
    <m/>
    <d v="1904-07-02T14:23:58"/>
    <b v="0"/>
    <x v="0"/>
  </r>
  <r>
    <x v="7"/>
    <x v="0"/>
    <x v="10"/>
    <s v="H"/>
    <m/>
    <d v="1907-09-09T07:12:04"/>
    <b v="0"/>
    <x v="0"/>
  </r>
  <r>
    <x v="21"/>
    <x v="0"/>
    <x v="10"/>
    <s v="H"/>
    <m/>
    <d v="1914-06-18T04:48:17"/>
    <b v="0"/>
    <x v="0"/>
  </r>
  <r>
    <x v="8"/>
    <x v="0"/>
    <x v="10"/>
    <s v="H"/>
    <m/>
    <d v="1911-12-30T02:24:08"/>
    <b v="0"/>
    <x v="0"/>
  </r>
  <r>
    <x v="9"/>
    <x v="0"/>
    <x v="10"/>
    <s v="H"/>
    <m/>
    <d v="1913-01-28T07:11:43"/>
    <b v="0"/>
    <x v="0"/>
  </r>
  <r>
    <x v="10"/>
    <x v="0"/>
    <x v="10"/>
    <s v="H"/>
    <m/>
    <d v="1914-05-27T07:11:43"/>
    <b v="0"/>
    <x v="0"/>
  </r>
  <r>
    <x v="22"/>
    <x v="0"/>
    <x v="10"/>
    <s v="H"/>
    <m/>
    <d v="1904-02-29T09:36:02"/>
    <b v="0"/>
    <x v="0"/>
  </r>
  <r>
    <x v="23"/>
    <x v="0"/>
    <x v="10"/>
    <s v="H"/>
    <m/>
    <d v="1904-03-09T12:00:00"/>
    <b v="0"/>
    <x v="0"/>
  </r>
  <r>
    <x v="11"/>
    <x v="0"/>
    <x v="10"/>
    <s v="H"/>
    <m/>
    <d v="1914-11-29T04:48:17"/>
    <b v="0"/>
    <x v="0"/>
  </r>
  <r>
    <x v="12"/>
    <x v="0"/>
    <x v="10"/>
    <s v="H"/>
    <m/>
    <d v="1908-11-15T04:47:56"/>
    <b v="0"/>
    <x v="0"/>
  </r>
  <r>
    <x v="13"/>
    <x v="0"/>
    <x v="10"/>
    <s v="H"/>
    <m/>
    <d v="1908-04-16T02:24:08"/>
    <b v="0"/>
    <x v="0"/>
  </r>
  <r>
    <x v="18"/>
    <x v="0"/>
    <x v="11"/>
    <s v="D"/>
    <d v="2015-02-25T11:45:00"/>
    <d v="1899-12-30T00:00:00"/>
    <b v="0"/>
    <x v="0"/>
  </r>
  <r>
    <x v="15"/>
    <x v="0"/>
    <x v="11"/>
    <s v="D"/>
    <d v="2015-03-03T10:11:00"/>
    <d v="1899-12-30T00:00:00"/>
    <b v="0"/>
    <x v="0"/>
  </r>
  <r>
    <x v="16"/>
    <x v="0"/>
    <x v="11"/>
    <s v="D"/>
    <d v="2015-02-25T12:43:00"/>
    <d v="1899-12-30T00:00:00"/>
    <b v="0"/>
    <x v="0"/>
  </r>
  <r>
    <x v="2"/>
    <x v="0"/>
    <x v="11"/>
    <s v="D"/>
    <d v="2015-03-05T10:48:00"/>
    <d v="1899-12-30T00:00:00"/>
    <b v="0"/>
    <x v="0"/>
  </r>
  <r>
    <x v="3"/>
    <x v="0"/>
    <x v="11"/>
    <s v="D"/>
    <d v="2015-03-04T11:29:00"/>
    <d v="1899-12-30T00:00:00"/>
    <b v="0"/>
    <x v="0"/>
  </r>
  <r>
    <x v="4"/>
    <x v="0"/>
    <x v="11"/>
    <s v="D"/>
    <d v="2015-02-18T13:13:00"/>
    <d v="1899-12-30T00:00:00"/>
    <b v="0"/>
    <x v="0"/>
  </r>
  <r>
    <x v="0"/>
    <x v="0"/>
    <x v="11"/>
    <s v="D"/>
    <d v="2015-02-24T12:34:00"/>
    <d v="1899-12-30T00:00:00"/>
    <b v="0"/>
    <x v="0"/>
  </r>
  <r>
    <x v="20"/>
    <x v="0"/>
    <x v="11"/>
    <s v="D"/>
    <d v="2015-02-26T13:51:00"/>
    <d v="1899-12-30T00:00:00"/>
    <b v="0"/>
    <x v="0"/>
  </r>
  <r>
    <x v="6"/>
    <x v="0"/>
    <x v="11"/>
    <s v="D"/>
    <d v="2015-02-18T13:02:00"/>
    <d v="1899-12-30T00:00:00"/>
    <b v="0"/>
    <x v="0"/>
  </r>
  <r>
    <x v="7"/>
    <x v="0"/>
    <x v="11"/>
    <s v="D"/>
    <d v="2015-02-25T11:21:00"/>
    <d v="1899-12-30T00:00:00"/>
    <b v="0"/>
    <x v="0"/>
  </r>
  <r>
    <x v="21"/>
    <x v="0"/>
    <x v="11"/>
    <s v="D"/>
    <d v="2015-03-03T16:03:00"/>
    <d v="1899-12-30T00:00:00"/>
    <b v="0"/>
    <x v="0"/>
  </r>
  <r>
    <x v="8"/>
    <x v="0"/>
    <x v="11"/>
    <s v="D"/>
    <d v="2015-03-03T10:49:00"/>
    <d v="1899-12-30T00:00:00"/>
    <b v="0"/>
    <x v="0"/>
  </r>
  <r>
    <x v="10"/>
    <x v="0"/>
    <x v="11"/>
    <s v="D"/>
    <d v="2015-03-05T16:10:00"/>
    <d v="1899-12-30T00:00:00"/>
    <b v="0"/>
    <x v="0"/>
  </r>
  <r>
    <x v="11"/>
    <x v="0"/>
    <x v="11"/>
    <s v="D"/>
    <d v="2015-02-18T10:15:00"/>
    <d v="1899-12-30T00:00:00"/>
    <b v="0"/>
    <x v="0"/>
  </r>
  <r>
    <x v="12"/>
    <x v="0"/>
    <x v="11"/>
    <s v="D"/>
    <d v="2015-02-24T00:00:00"/>
    <d v="1899-12-30T00:00:00"/>
    <b v="0"/>
    <x v="0"/>
  </r>
  <r>
    <x v="13"/>
    <x v="0"/>
    <x v="11"/>
    <s v="D"/>
    <d v="2015-02-25T07:45:00"/>
    <d v="1899-12-30T00:00:00"/>
    <b v="0"/>
    <x v="0"/>
  </r>
  <r>
    <x v="18"/>
    <x v="0"/>
    <x v="11"/>
    <s v="H"/>
    <m/>
    <d v="1921-04-18T02:24:08"/>
    <b v="0"/>
    <x v="0"/>
  </r>
  <r>
    <x v="15"/>
    <x v="0"/>
    <x v="11"/>
    <s v="H"/>
    <m/>
    <d v="1920-05-26T14:24:08"/>
    <b v="0"/>
    <x v="0"/>
  </r>
  <r>
    <x v="16"/>
    <x v="0"/>
    <x v="11"/>
    <s v="H"/>
    <m/>
    <d v="1913-03-04T04:48:17"/>
    <b v="0"/>
    <x v="0"/>
  </r>
  <r>
    <x v="2"/>
    <x v="0"/>
    <x v="11"/>
    <s v="H"/>
    <m/>
    <d v="1913-12-13T21:35:52"/>
    <b v="0"/>
    <x v="0"/>
  </r>
  <r>
    <x v="3"/>
    <x v="0"/>
    <x v="11"/>
    <s v="H"/>
    <m/>
    <d v="1911-02-09T19:12:04"/>
    <b v="0"/>
    <x v="0"/>
  </r>
  <r>
    <x v="4"/>
    <x v="0"/>
    <x v="11"/>
    <s v="H"/>
    <m/>
    <d v="1905-06-11T07:12:04"/>
    <b v="0"/>
    <x v="0"/>
  </r>
  <r>
    <x v="0"/>
    <x v="0"/>
    <x v="11"/>
    <s v="H"/>
    <m/>
    <d v="1904-12-10T07:12:04"/>
    <b v="0"/>
    <x v="0"/>
  </r>
  <r>
    <x v="20"/>
    <x v="0"/>
    <x v="11"/>
    <s v="H"/>
    <m/>
    <d v="1905-04-26T21:36:02"/>
    <b v="0"/>
    <x v="0"/>
  </r>
  <r>
    <x v="6"/>
    <x v="0"/>
    <x v="11"/>
    <s v="H"/>
    <m/>
    <d v="1904-07-02T14:23:58"/>
    <b v="0"/>
    <x v="0"/>
  </r>
  <r>
    <x v="7"/>
    <x v="0"/>
    <x v="11"/>
    <s v="H"/>
    <m/>
    <d v="1907-09-09T07:12:04"/>
    <b v="0"/>
    <x v="0"/>
  </r>
  <r>
    <x v="21"/>
    <x v="0"/>
    <x v="11"/>
    <s v="H"/>
    <m/>
    <d v="1914-06-18T04:48:17"/>
    <b v="0"/>
    <x v="0"/>
  </r>
  <r>
    <x v="8"/>
    <x v="0"/>
    <x v="11"/>
    <s v="H"/>
    <m/>
    <d v="1911-12-30T02:24:08"/>
    <b v="0"/>
    <x v="0"/>
  </r>
  <r>
    <x v="10"/>
    <x v="0"/>
    <x v="11"/>
    <s v="H"/>
    <m/>
    <d v="1914-05-27T07:11:43"/>
    <b v="0"/>
    <x v="0"/>
  </r>
  <r>
    <x v="11"/>
    <x v="0"/>
    <x v="11"/>
    <s v="H"/>
    <m/>
    <d v="1914-11-29T04:48:17"/>
    <b v="0"/>
    <x v="0"/>
  </r>
  <r>
    <x v="12"/>
    <x v="0"/>
    <x v="11"/>
    <s v="H"/>
    <m/>
    <d v="1908-11-15T04:47:56"/>
    <b v="0"/>
    <x v="0"/>
  </r>
  <r>
    <x v="13"/>
    <x v="0"/>
    <x v="11"/>
    <s v="H"/>
    <m/>
    <d v="1908-04-16T02:24:08"/>
    <b v="0"/>
    <x v="0"/>
  </r>
  <r>
    <x v="18"/>
    <x v="0"/>
    <x v="12"/>
    <s v="D"/>
    <d v="2014-11-12T15:43:00"/>
    <d v="1899-12-30T00:00:00"/>
    <b v="0"/>
    <x v="0"/>
  </r>
  <r>
    <x v="3"/>
    <x v="0"/>
    <x v="12"/>
    <s v="D"/>
    <d v="2014-11-17T10:56:00"/>
    <d v="1899-12-30T00:00:00"/>
    <b v="0"/>
    <x v="0"/>
  </r>
  <r>
    <x v="5"/>
    <x v="0"/>
    <x v="12"/>
    <s v="D"/>
    <d v="2015-02-24T16:15:00"/>
    <d v="1899-12-30T00:00:00"/>
    <b v="0"/>
    <x v="0"/>
  </r>
  <r>
    <x v="0"/>
    <x v="0"/>
    <x v="12"/>
    <s v="D"/>
    <d v="2014-11-12T10:22:00"/>
    <d v="1899-12-30T00:00:00"/>
    <b v="0"/>
    <x v="0"/>
  </r>
  <r>
    <x v="9"/>
    <x v="0"/>
    <x v="12"/>
    <s v="D"/>
    <d v="2015-02-04T15:18:00"/>
    <d v="1899-12-30T00:00:00"/>
    <b v="0"/>
    <x v="0"/>
  </r>
  <r>
    <x v="23"/>
    <x v="0"/>
    <x v="12"/>
    <s v="D"/>
    <d v="2014-11-12T00:00:00"/>
    <d v="1899-12-30T00:00:00"/>
    <b v="0"/>
    <x v="0"/>
  </r>
  <r>
    <x v="18"/>
    <x v="0"/>
    <x v="12"/>
    <s v="H"/>
    <m/>
    <d v="1921-03-19T21:35:52"/>
    <b v="0"/>
    <x v="0"/>
  </r>
  <r>
    <x v="3"/>
    <x v="0"/>
    <x v="12"/>
    <s v="H"/>
    <m/>
    <d v="1910-11-29T12:00:00"/>
    <b v="0"/>
    <x v="0"/>
  </r>
  <r>
    <x v="5"/>
    <x v="0"/>
    <x v="12"/>
    <s v="H"/>
    <m/>
    <d v="1904-11-04T07:12:04"/>
    <b v="0"/>
    <x v="0"/>
  </r>
  <r>
    <x v="0"/>
    <x v="0"/>
    <x v="12"/>
    <s v="H"/>
    <m/>
    <d v="1904-09-08T02:23:58"/>
    <b v="0"/>
    <x v="0"/>
  </r>
  <r>
    <x v="9"/>
    <x v="0"/>
    <x v="12"/>
    <s v="H"/>
    <m/>
    <d v="1913-01-16T07:11:43"/>
    <b v="0"/>
    <x v="0"/>
  </r>
  <r>
    <x v="23"/>
    <x v="0"/>
    <x v="12"/>
    <s v="H"/>
    <m/>
    <d v="1903-12-23T14:23:58"/>
    <b v="0"/>
    <x v="0"/>
  </r>
  <r>
    <x v="17"/>
    <x v="0"/>
    <x v="13"/>
    <s v="D"/>
    <d v="2015-04-15T14:53:00"/>
    <d v="1899-12-30T00:00:00"/>
    <b v="0"/>
    <x v="0"/>
  </r>
  <r>
    <x v="14"/>
    <x v="0"/>
    <x v="13"/>
    <s v="D"/>
    <d v="2015-03-11T00:00:00"/>
    <d v="1899-12-30T00:00:00"/>
    <b v="0"/>
    <x v="0"/>
  </r>
  <r>
    <x v="18"/>
    <x v="0"/>
    <x v="13"/>
    <s v="D"/>
    <d v="2015-04-14T16:39:00"/>
    <d v="1899-12-30T00:00:00"/>
    <b v="0"/>
    <x v="0"/>
  </r>
  <r>
    <x v="1"/>
    <x v="0"/>
    <x v="13"/>
    <s v="D"/>
    <d v="2015-04-15T12:38:00"/>
    <d v="1899-12-30T00:00:00"/>
    <b v="0"/>
    <x v="0"/>
  </r>
  <r>
    <x v="15"/>
    <x v="0"/>
    <x v="13"/>
    <s v="D"/>
    <d v="2015-04-12T15:50:00"/>
    <d v="1899-12-30T00:00:00"/>
    <b v="0"/>
    <x v="0"/>
  </r>
  <r>
    <x v="16"/>
    <x v="0"/>
    <x v="13"/>
    <s v="D"/>
    <d v="2015-04-12T15:11:00"/>
    <d v="1899-12-30T00:00:00"/>
    <b v="0"/>
    <x v="0"/>
  </r>
  <r>
    <x v="19"/>
    <x v="0"/>
    <x v="13"/>
    <s v="D"/>
    <d v="2015-04-14T16:45:00"/>
    <d v="1899-12-30T00:00:00"/>
    <b v="0"/>
    <x v="0"/>
  </r>
  <r>
    <x v="2"/>
    <x v="0"/>
    <x v="13"/>
    <s v="D"/>
    <d v="2015-03-19T14:02:00"/>
    <d v="1899-12-30T00:00:00"/>
    <b v="0"/>
    <x v="0"/>
  </r>
  <r>
    <x v="3"/>
    <x v="0"/>
    <x v="13"/>
    <s v="D"/>
    <d v="2015-04-12T16:08:00"/>
    <d v="1899-12-30T00:00:00"/>
    <b v="0"/>
    <x v="0"/>
  </r>
  <r>
    <x v="4"/>
    <x v="0"/>
    <x v="13"/>
    <s v="D"/>
    <d v="2015-02-24T00:00:00"/>
    <d v="1899-12-30T00:00:00"/>
    <b v="0"/>
    <x v="0"/>
  </r>
  <r>
    <x v="5"/>
    <x v="0"/>
    <x v="13"/>
    <s v="D"/>
    <d v="2015-04-15T00:00:00"/>
    <d v="1899-12-30T00:00:00"/>
    <b v="0"/>
    <x v="0"/>
  </r>
  <r>
    <x v="0"/>
    <x v="0"/>
    <x v="13"/>
    <s v="D"/>
    <d v="2015-04-15T10:49:00"/>
    <d v="1899-12-30T00:00:00"/>
    <b v="0"/>
    <x v="0"/>
  </r>
  <r>
    <x v="20"/>
    <x v="0"/>
    <x v="13"/>
    <s v="D"/>
    <d v="2015-04-14T00:00:00"/>
    <d v="1899-12-30T00:00:00"/>
    <b v="0"/>
    <x v="0"/>
  </r>
  <r>
    <x v="6"/>
    <x v="0"/>
    <x v="13"/>
    <s v="D"/>
    <d v="2015-02-24T00:00:00"/>
    <d v="1899-12-30T00:00:00"/>
    <b v="0"/>
    <x v="0"/>
  </r>
  <r>
    <x v="7"/>
    <x v="0"/>
    <x v="13"/>
    <s v="D"/>
    <d v="2015-04-15T00:00:00"/>
    <d v="1899-12-30T00:00:00"/>
    <b v="0"/>
    <x v="0"/>
  </r>
  <r>
    <x v="21"/>
    <x v="0"/>
    <x v="13"/>
    <s v="D"/>
    <d v="2015-04-15T12:24:00"/>
    <d v="1899-12-30T00:00:00"/>
    <b v="0"/>
    <x v="0"/>
  </r>
  <r>
    <x v="8"/>
    <x v="0"/>
    <x v="13"/>
    <s v="D"/>
    <d v="2015-03-16T00:00:00"/>
    <d v="1899-12-30T00:00:00"/>
    <b v="0"/>
    <x v="0"/>
  </r>
  <r>
    <x v="9"/>
    <x v="0"/>
    <x v="13"/>
    <s v="D"/>
    <d v="2015-04-14T00:00:00"/>
    <d v="1899-12-30T00:00:00"/>
    <b v="0"/>
    <x v="0"/>
  </r>
  <r>
    <x v="10"/>
    <x v="0"/>
    <x v="13"/>
    <s v="D"/>
    <d v="2015-04-14T11:47:00"/>
    <d v="1899-12-30T00:00:00"/>
    <b v="0"/>
    <x v="0"/>
  </r>
  <r>
    <x v="22"/>
    <x v="0"/>
    <x v="13"/>
    <s v="D"/>
    <d v="2015-03-19T13:56:00"/>
    <d v="1899-12-30T00:00:00"/>
    <b v="0"/>
    <x v="0"/>
  </r>
  <r>
    <x v="23"/>
    <x v="0"/>
    <x v="13"/>
    <s v="D"/>
    <d v="2015-04-13T00:00:00"/>
    <d v="1899-12-30T00:00:00"/>
    <b v="0"/>
    <x v="0"/>
  </r>
  <r>
    <x v="11"/>
    <x v="0"/>
    <x v="13"/>
    <s v="D"/>
    <d v="2015-03-26T00:00:00"/>
    <d v="1899-12-30T00:00:00"/>
    <b v="0"/>
    <x v="0"/>
  </r>
  <r>
    <x v="12"/>
    <x v="0"/>
    <x v="13"/>
    <s v="D"/>
    <d v="2015-04-13T09:55:00"/>
    <d v="1899-12-30T00:00:00"/>
    <b v="0"/>
    <x v="0"/>
  </r>
  <r>
    <x v="13"/>
    <x v="0"/>
    <x v="13"/>
    <s v="D"/>
    <d v="2015-04-15T10:39:00"/>
    <d v="1899-12-30T00:00:00"/>
    <b v="0"/>
    <x v="0"/>
  </r>
  <r>
    <x v="14"/>
    <x v="0"/>
    <x v="13"/>
    <s v="M"/>
    <d v="2015-01-15T08:04:00"/>
    <d v="1899-12-30T00:00:00"/>
    <b v="0"/>
    <x v="0"/>
  </r>
  <r>
    <x v="17"/>
    <x v="0"/>
    <x v="14"/>
    <s v="D"/>
    <d v="2015-02-14T14:54:00"/>
    <d v="1899-12-30T00:00:00"/>
    <b v="0"/>
    <x v="0"/>
  </r>
  <r>
    <x v="18"/>
    <x v="0"/>
    <x v="14"/>
    <s v="D"/>
    <d v="2015-02-14T10:15:00"/>
    <d v="1899-12-30T00:00:00"/>
    <b v="0"/>
    <x v="0"/>
  </r>
  <r>
    <x v="1"/>
    <x v="0"/>
    <x v="14"/>
    <s v="D"/>
    <d v="2015-01-14T00:00:00"/>
    <d v="1899-12-30T00:00:00"/>
    <b v="0"/>
    <x v="0"/>
  </r>
  <r>
    <x v="15"/>
    <x v="0"/>
    <x v="14"/>
    <s v="D"/>
    <d v="2015-02-11T15:53:00"/>
    <d v="1899-12-30T00:00:00"/>
    <b v="0"/>
    <x v="0"/>
  </r>
  <r>
    <x v="16"/>
    <x v="0"/>
    <x v="14"/>
    <s v="D"/>
    <d v="2015-02-11T15:15:00"/>
    <d v="1899-12-30T00:00:00"/>
    <b v="0"/>
    <x v="0"/>
  </r>
  <r>
    <x v="19"/>
    <x v="0"/>
    <x v="14"/>
    <s v="D"/>
    <d v="2015-02-12T15:38:00"/>
    <d v="1899-12-30T00:00:00"/>
    <b v="0"/>
    <x v="0"/>
  </r>
  <r>
    <x v="2"/>
    <x v="0"/>
    <x v="14"/>
    <s v="D"/>
    <d v="2015-02-17T14:03:00"/>
    <d v="1899-12-30T00:00:00"/>
    <b v="0"/>
    <x v="0"/>
  </r>
  <r>
    <x v="3"/>
    <x v="0"/>
    <x v="14"/>
    <s v="D"/>
    <d v="2015-02-11T00:00:00"/>
    <d v="1899-12-30T00:00:00"/>
    <b v="0"/>
    <x v="0"/>
  </r>
  <r>
    <x v="4"/>
    <x v="0"/>
    <x v="14"/>
    <s v="D"/>
    <d v="2015-02-24T00:00:00"/>
    <d v="1899-12-30T00:00:00"/>
    <b v="0"/>
    <x v="0"/>
  </r>
  <r>
    <x v="5"/>
    <x v="0"/>
    <x v="14"/>
    <s v="D"/>
    <d v="2015-03-12T07:44:00"/>
    <d v="1899-12-30T00:00:00"/>
    <b v="0"/>
    <x v="0"/>
  </r>
  <r>
    <x v="0"/>
    <x v="0"/>
    <x v="14"/>
    <s v="D"/>
    <d v="2015-02-11T00:00:00"/>
    <d v="1899-12-30T00:00:00"/>
    <b v="0"/>
    <x v="0"/>
  </r>
  <r>
    <x v="20"/>
    <x v="0"/>
    <x v="14"/>
    <s v="D"/>
    <d v="2015-03-02T07:55:00"/>
    <d v="1899-12-30T00:00:00"/>
    <b v="0"/>
    <x v="0"/>
  </r>
  <r>
    <x v="6"/>
    <x v="0"/>
    <x v="14"/>
    <s v="D"/>
    <d v="2015-02-24T00:00:00"/>
    <d v="1899-12-30T00:00:00"/>
    <b v="0"/>
    <x v="0"/>
  </r>
  <r>
    <x v="7"/>
    <x v="0"/>
    <x v="14"/>
    <s v="D"/>
    <d v="2015-02-13T15:51:00"/>
    <d v="1899-12-30T00:00:00"/>
    <b v="0"/>
    <x v="0"/>
  </r>
  <r>
    <x v="21"/>
    <x v="0"/>
    <x v="14"/>
    <s v="D"/>
    <d v="2015-02-13T00:00:00"/>
    <d v="1899-12-30T00:00:00"/>
    <b v="0"/>
    <x v="0"/>
  </r>
  <r>
    <x v="8"/>
    <x v="0"/>
    <x v="14"/>
    <s v="D"/>
    <d v="2015-02-24T00:00:00"/>
    <d v="1899-12-30T00:00:00"/>
    <b v="0"/>
    <x v="0"/>
  </r>
  <r>
    <x v="9"/>
    <x v="0"/>
    <x v="14"/>
    <s v="D"/>
    <d v="2015-02-24T11:12:00"/>
    <d v="1899-12-30T00:00:00"/>
    <b v="0"/>
    <x v="0"/>
  </r>
  <r>
    <x v="10"/>
    <x v="0"/>
    <x v="14"/>
    <s v="D"/>
    <d v="2015-02-13T00:00:00"/>
    <d v="1899-12-30T00:00:00"/>
    <b v="0"/>
    <x v="0"/>
  </r>
  <r>
    <x v="22"/>
    <x v="0"/>
    <x v="14"/>
    <s v="D"/>
    <d v="2015-02-17T13:57:00"/>
    <d v="1899-12-30T00:00:00"/>
    <b v="0"/>
    <x v="0"/>
  </r>
  <r>
    <x v="23"/>
    <x v="0"/>
    <x v="14"/>
    <s v="D"/>
    <d v="2015-02-12T00:00:00"/>
    <d v="1899-12-30T00:00:00"/>
    <b v="0"/>
    <x v="0"/>
  </r>
  <r>
    <x v="11"/>
    <x v="0"/>
    <x v="14"/>
    <s v="D"/>
    <d v="2015-02-24T00:00:00"/>
    <d v="1899-12-30T00:00:00"/>
    <b v="0"/>
    <x v="0"/>
  </r>
  <r>
    <x v="12"/>
    <x v="0"/>
    <x v="14"/>
    <s v="D"/>
    <d v="2015-02-12T09:56:00"/>
    <d v="1899-12-30T00:00:00"/>
    <b v="0"/>
    <x v="0"/>
  </r>
  <r>
    <x v="13"/>
    <x v="0"/>
    <x v="14"/>
    <s v="D"/>
    <d v="2015-02-15T21:12:00"/>
    <d v="1899-12-30T00:00:00"/>
    <b v="0"/>
    <x v="0"/>
  </r>
  <r>
    <x v="14"/>
    <x v="0"/>
    <x v="14"/>
    <s v="M"/>
    <d v="2015-01-15T08:05:00"/>
    <d v="1899-12-30T00:00:00"/>
    <b v="0"/>
    <x v="0"/>
  </r>
  <r>
    <x v="17"/>
    <x v="0"/>
    <x v="15"/>
    <s v="D"/>
    <d v="2015-04-01T13:30:00"/>
    <d v="1899-12-30T00:00:00"/>
    <b v="0"/>
    <x v="0"/>
  </r>
  <r>
    <x v="14"/>
    <x v="0"/>
    <x v="15"/>
    <s v="D"/>
    <d v="2015-03-11T08:53:00"/>
    <d v="1899-12-30T00:00:00"/>
    <b v="0"/>
    <x v="0"/>
  </r>
  <r>
    <x v="18"/>
    <x v="0"/>
    <x v="15"/>
    <s v="D"/>
    <d v="2015-03-31T13:30:00"/>
    <d v="1899-12-30T00:00:00"/>
    <b v="0"/>
    <x v="0"/>
  </r>
  <r>
    <x v="1"/>
    <x v="0"/>
    <x v="15"/>
    <s v="D"/>
    <d v="2015-03-31T09:36:00"/>
    <d v="1899-12-30T00:00:00"/>
    <b v="0"/>
    <x v="0"/>
  </r>
  <r>
    <x v="15"/>
    <x v="0"/>
    <x v="15"/>
    <s v="D"/>
    <d v="2015-04-08T14:06:00"/>
    <d v="1899-12-30T00:00:00"/>
    <b v="0"/>
    <x v="0"/>
  </r>
  <r>
    <x v="16"/>
    <x v="0"/>
    <x v="15"/>
    <s v="D"/>
    <d v="2015-03-24T16:14:00"/>
    <d v="1899-12-30T00:00:00"/>
    <b v="0"/>
    <x v="0"/>
  </r>
  <r>
    <x v="19"/>
    <x v="0"/>
    <x v="15"/>
    <s v="D"/>
    <d v="2015-04-11T10:55:00"/>
    <d v="1899-12-30T00:00:00"/>
    <b v="0"/>
    <x v="0"/>
  </r>
  <r>
    <x v="2"/>
    <x v="0"/>
    <x v="15"/>
    <s v="D"/>
    <d v="2015-04-04T10:32:00"/>
    <d v="1899-12-30T00:00:00"/>
    <b v="0"/>
    <x v="0"/>
  </r>
  <r>
    <x v="3"/>
    <x v="0"/>
    <x v="15"/>
    <s v="D"/>
    <d v="2015-04-02T07:48:00"/>
    <d v="1899-12-30T00:00:00"/>
    <b v="0"/>
    <x v="0"/>
  </r>
  <r>
    <x v="4"/>
    <x v="0"/>
    <x v="15"/>
    <s v="D"/>
    <d v="2015-02-25T10:54:00"/>
    <d v="1899-12-30T00:00:00"/>
    <b v="0"/>
    <x v="0"/>
  </r>
  <r>
    <x v="5"/>
    <x v="0"/>
    <x v="15"/>
    <s v="D"/>
    <d v="2015-03-31T00:00:00"/>
    <d v="1899-12-30T00:00:00"/>
    <b v="0"/>
    <x v="0"/>
  </r>
  <r>
    <x v="0"/>
    <x v="0"/>
    <x v="15"/>
    <s v="D"/>
    <d v="2015-04-11T00:00:00"/>
    <d v="1899-12-30T00:00:00"/>
    <b v="0"/>
    <x v="0"/>
  </r>
  <r>
    <x v="20"/>
    <x v="0"/>
    <x v="15"/>
    <s v="D"/>
    <d v="2015-03-26T09:37:00"/>
    <d v="1899-12-30T00:00:00"/>
    <b v="0"/>
    <x v="0"/>
  </r>
  <r>
    <x v="6"/>
    <x v="0"/>
    <x v="15"/>
    <s v="D"/>
    <d v="2015-02-24T16:15:00"/>
    <d v="1899-12-30T00:00:00"/>
    <b v="0"/>
    <x v="0"/>
  </r>
  <r>
    <x v="7"/>
    <x v="0"/>
    <x v="15"/>
    <s v="D"/>
    <d v="2015-04-03T07:35:00"/>
    <d v="1899-12-30T00:00:00"/>
    <b v="0"/>
    <x v="0"/>
  </r>
  <r>
    <x v="21"/>
    <x v="0"/>
    <x v="15"/>
    <s v="D"/>
    <d v="2015-04-14T14:38:00"/>
    <d v="1899-12-30T00:00:00"/>
    <b v="0"/>
    <x v="0"/>
  </r>
  <r>
    <x v="8"/>
    <x v="0"/>
    <x v="15"/>
    <s v="D"/>
    <d v="2015-04-02T10:41:00"/>
    <d v="1899-12-30T00:00:00"/>
    <b v="0"/>
    <x v="0"/>
  </r>
  <r>
    <x v="9"/>
    <x v="0"/>
    <x v="15"/>
    <s v="D"/>
    <d v="2015-04-15T10:32:00"/>
    <d v="1899-12-30T00:00:00"/>
    <b v="0"/>
    <x v="0"/>
  </r>
  <r>
    <x v="10"/>
    <x v="0"/>
    <x v="15"/>
    <s v="D"/>
    <d v="2015-03-31T22:47:00"/>
    <d v="1899-12-30T00:00:00"/>
    <b v="0"/>
    <x v="0"/>
  </r>
  <r>
    <x v="22"/>
    <x v="0"/>
    <x v="15"/>
    <s v="D"/>
    <d v="2015-04-02T08:44:00"/>
    <d v="1899-12-30T00:00:00"/>
    <b v="0"/>
    <x v="0"/>
  </r>
  <r>
    <x v="23"/>
    <x v="0"/>
    <x v="15"/>
    <s v="D"/>
    <d v="2015-03-06T15:10:00"/>
    <d v="1899-12-30T00:00:00"/>
    <b v="0"/>
    <x v="0"/>
  </r>
  <r>
    <x v="11"/>
    <x v="0"/>
    <x v="15"/>
    <s v="D"/>
    <d v="2015-04-10T07:44:00"/>
    <d v="1899-12-30T00:00:00"/>
    <b v="0"/>
    <x v="0"/>
  </r>
  <r>
    <x v="12"/>
    <x v="0"/>
    <x v="15"/>
    <s v="D"/>
    <d v="2015-04-13T10:14:00"/>
    <d v="1899-12-30T00:00:00"/>
    <b v="0"/>
    <x v="0"/>
  </r>
  <r>
    <x v="13"/>
    <x v="0"/>
    <x v="15"/>
    <s v="D"/>
    <d v="2015-04-01T06:53:00"/>
    <d v="1899-12-30T00:00:00"/>
    <b v="0"/>
    <x v="0"/>
  </r>
  <r>
    <x v="17"/>
    <x v="0"/>
    <x v="16"/>
    <s v="D"/>
    <d v="2015-02-16T14:16:00"/>
    <d v="1899-12-30T00:00:00"/>
    <b v="0"/>
    <x v="0"/>
  </r>
  <r>
    <x v="14"/>
    <x v="0"/>
    <x v="16"/>
    <s v="D"/>
    <d v="2015-03-25T11:44:00"/>
    <d v="1899-12-30T00:00:00"/>
    <b v="0"/>
    <x v="0"/>
  </r>
  <r>
    <x v="18"/>
    <x v="0"/>
    <x v="16"/>
    <s v="D"/>
    <d v="2015-01-25T07:30:00"/>
    <d v="1899-12-30T00:00:00"/>
    <b v="0"/>
    <x v="0"/>
  </r>
  <r>
    <x v="1"/>
    <x v="0"/>
    <x v="16"/>
    <s v="D"/>
    <d v="2015-01-15T09:54:00"/>
    <d v="1899-12-30T00:00:00"/>
    <b v="0"/>
    <x v="0"/>
  </r>
  <r>
    <x v="15"/>
    <x v="0"/>
    <x v="16"/>
    <s v="D"/>
    <d v="2015-04-10T00:00:00"/>
    <d v="1899-12-30T00:00:00"/>
    <b v="0"/>
    <x v="0"/>
  </r>
  <r>
    <x v="16"/>
    <x v="0"/>
    <x v="16"/>
    <s v="D"/>
    <d v="2015-04-04T00:00:00"/>
    <d v="1899-12-30T00:00:00"/>
    <b v="0"/>
    <x v="0"/>
  </r>
  <r>
    <x v="19"/>
    <x v="0"/>
    <x v="16"/>
    <s v="D"/>
    <d v="2015-02-11T10:41:00"/>
    <d v="1899-12-30T00:00:00"/>
    <b v="0"/>
    <x v="0"/>
  </r>
  <r>
    <x v="2"/>
    <x v="0"/>
    <x v="16"/>
    <s v="D"/>
    <d v="2015-03-05T15:07:00"/>
    <d v="1899-12-30T00:00:00"/>
    <b v="0"/>
    <x v="0"/>
  </r>
  <r>
    <x v="3"/>
    <x v="0"/>
    <x v="16"/>
    <s v="D"/>
    <d v="2015-02-04T08:42:00"/>
    <d v="1899-12-30T00:00:00"/>
    <b v="0"/>
    <x v="0"/>
  </r>
  <r>
    <x v="4"/>
    <x v="0"/>
    <x v="16"/>
    <s v="D"/>
    <d v="2014-12-09T16:51:00"/>
    <d v="1899-12-30T00:00:00"/>
    <b v="0"/>
    <x v="0"/>
  </r>
  <r>
    <x v="5"/>
    <x v="0"/>
    <x v="16"/>
    <s v="D"/>
    <d v="2015-02-25T07:07:00"/>
    <d v="1899-12-30T00:00:00"/>
    <b v="0"/>
    <x v="0"/>
  </r>
  <r>
    <x v="0"/>
    <x v="0"/>
    <x v="16"/>
    <s v="D"/>
    <d v="2015-03-10T12:43:00"/>
    <d v="1899-12-30T00:00:00"/>
    <b v="0"/>
    <x v="0"/>
  </r>
  <r>
    <x v="20"/>
    <x v="0"/>
    <x v="16"/>
    <s v="D"/>
    <d v="2015-03-10T13:55:00"/>
    <d v="1899-12-30T00:00:00"/>
    <b v="0"/>
    <x v="0"/>
  </r>
  <r>
    <x v="6"/>
    <x v="0"/>
    <x v="16"/>
    <s v="D"/>
    <d v="2014-12-20T14:52:00"/>
    <d v="1899-12-30T00:00:00"/>
    <b v="0"/>
    <x v="0"/>
  </r>
  <r>
    <x v="7"/>
    <x v="0"/>
    <x v="16"/>
    <s v="D"/>
    <d v="2015-04-05T17:01:00"/>
    <d v="1899-12-30T00:00:00"/>
    <b v="0"/>
    <x v="0"/>
  </r>
  <r>
    <x v="21"/>
    <x v="0"/>
    <x v="16"/>
    <s v="D"/>
    <d v="2015-03-25T00:00:00"/>
    <d v="1899-12-30T00:00:00"/>
    <b v="0"/>
    <x v="0"/>
  </r>
  <r>
    <x v="8"/>
    <x v="0"/>
    <x v="16"/>
    <s v="D"/>
    <d v="2015-03-03T10:39:00"/>
    <d v="1899-12-30T00:00:00"/>
    <b v="0"/>
    <x v="0"/>
  </r>
  <r>
    <x v="9"/>
    <x v="0"/>
    <x v="16"/>
    <s v="D"/>
    <d v="2015-02-05T10:46:00"/>
    <d v="1899-12-30T00:00:00"/>
    <b v="0"/>
    <x v="0"/>
  </r>
  <r>
    <x v="10"/>
    <x v="0"/>
    <x v="16"/>
    <s v="D"/>
    <d v="2015-03-17T10:22:00"/>
    <d v="1899-12-30T00:00:00"/>
    <b v="0"/>
    <x v="0"/>
  </r>
  <r>
    <x v="22"/>
    <x v="0"/>
    <x v="16"/>
    <s v="D"/>
    <d v="2015-03-09T16:55:00"/>
    <d v="1899-12-30T00:00:00"/>
    <b v="0"/>
    <x v="0"/>
  </r>
  <r>
    <x v="23"/>
    <x v="0"/>
    <x v="16"/>
    <s v="D"/>
    <d v="2015-02-01T10:54:00"/>
    <d v="1899-12-30T00:00:00"/>
    <b v="0"/>
    <x v="0"/>
  </r>
  <r>
    <x v="11"/>
    <x v="0"/>
    <x v="16"/>
    <s v="D"/>
    <d v="2015-02-06T02:09:00"/>
    <d v="1899-12-30T00:00:00"/>
    <b v="0"/>
    <x v="0"/>
  </r>
  <r>
    <x v="12"/>
    <x v="0"/>
    <x v="16"/>
    <s v="D"/>
    <d v="2015-02-23T20:44:00"/>
    <d v="1899-12-30T00:00:00"/>
    <b v="0"/>
    <x v="0"/>
  </r>
  <r>
    <x v="13"/>
    <x v="0"/>
    <x v="16"/>
    <s v="D"/>
    <d v="2015-03-30T00:00:00"/>
    <d v="1899-12-30T00:00:00"/>
    <b v="0"/>
    <x v="0"/>
  </r>
  <r>
    <x v="3"/>
    <x v="0"/>
    <x v="17"/>
    <s v="D"/>
    <d v="2015-04-10T19:38:00"/>
    <d v="1899-12-30T00:00:00"/>
    <b v="0"/>
    <x v="0"/>
  </r>
  <r>
    <x v="17"/>
    <x v="0"/>
    <x v="18"/>
    <s v="H"/>
    <m/>
    <d v="1914-10-22T09:35:52"/>
    <b v="0"/>
    <x v="0"/>
  </r>
  <r>
    <x v="14"/>
    <x v="0"/>
    <x v="18"/>
    <s v="H"/>
    <m/>
    <d v="1919-09-11T21:35:52"/>
    <b v="0"/>
    <x v="0"/>
  </r>
  <r>
    <x v="18"/>
    <x v="0"/>
    <x v="18"/>
    <s v="H"/>
    <m/>
    <d v="1921-04-26T04:48:17"/>
    <b v="0"/>
    <x v="0"/>
  </r>
  <r>
    <x v="1"/>
    <x v="0"/>
    <x v="18"/>
    <s v="H"/>
    <m/>
    <d v="1918-06-21T07:11:43"/>
    <b v="0"/>
    <x v="0"/>
  </r>
  <r>
    <x v="15"/>
    <x v="0"/>
    <x v="18"/>
    <s v="H"/>
    <m/>
    <d v="1920-06-26T02:24:08"/>
    <b v="0"/>
    <x v="0"/>
  </r>
  <r>
    <x v="16"/>
    <x v="0"/>
    <x v="18"/>
    <s v="H"/>
    <m/>
    <d v="1913-02-19T12:00:00"/>
    <b v="0"/>
    <x v="0"/>
  </r>
  <r>
    <x v="19"/>
    <x v="0"/>
    <x v="18"/>
    <s v="H"/>
    <m/>
    <d v="1909-08-30T00:00:00"/>
    <b v="0"/>
    <x v="0"/>
  </r>
  <r>
    <x v="2"/>
    <x v="0"/>
    <x v="18"/>
    <s v="H"/>
    <m/>
    <d v="1914-02-12T12:00:00"/>
    <b v="0"/>
    <x v="0"/>
  </r>
  <r>
    <x v="3"/>
    <x v="0"/>
    <x v="18"/>
    <s v="H"/>
    <m/>
    <d v="1911-01-12T00:00:00"/>
    <b v="0"/>
    <x v="0"/>
  </r>
  <r>
    <x v="4"/>
    <x v="0"/>
    <x v="18"/>
    <s v="H"/>
    <m/>
    <d v="1905-05-19T09:36:02"/>
    <b v="0"/>
    <x v="0"/>
  </r>
  <r>
    <x v="5"/>
    <x v="0"/>
    <x v="18"/>
    <s v="H"/>
    <m/>
    <d v="1904-12-21T21:36:02"/>
    <b v="0"/>
    <x v="0"/>
  </r>
  <r>
    <x v="0"/>
    <x v="0"/>
    <x v="18"/>
    <s v="H"/>
    <m/>
    <d v="1904-11-24T14:23:58"/>
    <b v="0"/>
    <x v="0"/>
  </r>
  <r>
    <x v="20"/>
    <x v="0"/>
    <x v="18"/>
    <s v="H"/>
    <m/>
    <d v="1905-04-17T16:47:56"/>
    <b v="0"/>
    <x v="0"/>
  </r>
  <r>
    <x v="6"/>
    <x v="0"/>
    <x v="18"/>
    <s v="H"/>
    <m/>
    <d v="1904-06-15T02:23:58"/>
    <b v="0"/>
    <x v="0"/>
  </r>
  <r>
    <x v="7"/>
    <x v="0"/>
    <x v="18"/>
    <s v="H"/>
    <m/>
    <d v="1907-09-12T19:12:04"/>
    <b v="0"/>
    <x v="0"/>
  </r>
  <r>
    <x v="21"/>
    <x v="0"/>
    <x v="18"/>
    <s v="H"/>
    <m/>
    <d v="1914-06-26T07:11:43"/>
    <b v="0"/>
    <x v="0"/>
  </r>
  <r>
    <x v="8"/>
    <x v="0"/>
    <x v="18"/>
    <s v="H"/>
    <m/>
    <d v="1912-02-06T00:00:00"/>
    <b v="0"/>
    <x v="0"/>
  </r>
  <r>
    <x v="9"/>
    <x v="0"/>
    <x v="18"/>
    <s v="H"/>
    <m/>
    <d v="1913-02-26T12:00:00"/>
    <b v="0"/>
    <x v="0"/>
  </r>
  <r>
    <x v="10"/>
    <x v="0"/>
    <x v="18"/>
    <s v="H"/>
    <m/>
    <d v="1914-06-03T16:48:17"/>
    <b v="0"/>
    <x v="0"/>
  </r>
  <r>
    <x v="22"/>
    <x v="0"/>
    <x v="18"/>
    <s v="H"/>
    <m/>
    <d v="1904-05-04T09:36:02"/>
    <b v="0"/>
    <x v="0"/>
  </r>
  <r>
    <x v="23"/>
    <x v="0"/>
    <x v="18"/>
    <s v="H"/>
    <m/>
    <d v="1904-02-08T02:23:58"/>
    <b v="0"/>
    <x v="0"/>
  </r>
  <r>
    <x v="11"/>
    <x v="0"/>
    <x v="18"/>
    <s v="H"/>
    <m/>
    <d v="1914-10-18T02:24:08"/>
    <b v="0"/>
    <x v="0"/>
  </r>
  <r>
    <x v="12"/>
    <x v="0"/>
    <x v="18"/>
    <s v="H"/>
    <m/>
    <d v="1908-10-09T00:00:00"/>
    <b v="0"/>
    <x v="0"/>
  </r>
  <r>
    <x v="13"/>
    <x v="0"/>
    <x v="18"/>
    <s v="H"/>
    <m/>
    <d v="1908-03-30T19:12:04"/>
    <b v="0"/>
    <x v="0"/>
  </r>
  <r>
    <x v="17"/>
    <x v="0"/>
    <x v="19"/>
    <s v="H"/>
    <m/>
    <d v="1914-10-22T09:35:52"/>
    <b v="0"/>
    <x v="0"/>
  </r>
  <r>
    <x v="14"/>
    <x v="0"/>
    <x v="19"/>
    <s v="H"/>
    <m/>
    <d v="1919-09-11T21:35:52"/>
    <b v="0"/>
    <x v="0"/>
  </r>
  <r>
    <x v="18"/>
    <x v="0"/>
    <x v="19"/>
    <s v="H"/>
    <m/>
    <d v="1921-04-26T04:48:17"/>
    <b v="0"/>
    <x v="0"/>
  </r>
  <r>
    <x v="1"/>
    <x v="0"/>
    <x v="19"/>
    <s v="H"/>
    <m/>
    <d v="1918-06-21T07:11:43"/>
    <b v="0"/>
    <x v="0"/>
  </r>
  <r>
    <x v="15"/>
    <x v="0"/>
    <x v="19"/>
    <s v="H"/>
    <m/>
    <d v="1920-06-26T02:24:08"/>
    <b v="0"/>
    <x v="0"/>
  </r>
  <r>
    <x v="16"/>
    <x v="0"/>
    <x v="19"/>
    <s v="H"/>
    <m/>
    <d v="1913-02-19T12:00:00"/>
    <b v="0"/>
    <x v="0"/>
  </r>
  <r>
    <x v="19"/>
    <x v="0"/>
    <x v="19"/>
    <s v="H"/>
    <m/>
    <d v="1909-08-30T00:00:00"/>
    <b v="0"/>
    <x v="0"/>
  </r>
  <r>
    <x v="2"/>
    <x v="0"/>
    <x v="19"/>
    <s v="H"/>
    <m/>
    <d v="1914-02-12T12:00:00"/>
    <b v="0"/>
    <x v="0"/>
  </r>
  <r>
    <x v="3"/>
    <x v="0"/>
    <x v="19"/>
    <s v="H"/>
    <m/>
    <d v="1911-01-12T00:00:00"/>
    <b v="0"/>
    <x v="0"/>
  </r>
  <r>
    <x v="4"/>
    <x v="0"/>
    <x v="19"/>
    <s v="H"/>
    <m/>
    <d v="1905-05-19T09:36:02"/>
    <b v="0"/>
    <x v="0"/>
  </r>
  <r>
    <x v="5"/>
    <x v="0"/>
    <x v="19"/>
    <s v="H"/>
    <m/>
    <d v="1904-12-21T21:36:02"/>
    <b v="0"/>
    <x v="0"/>
  </r>
  <r>
    <x v="0"/>
    <x v="0"/>
    <x v="19"/>
    <s v="H"/>
    <m/>
    <d v="1904-11-24T14:23:58"/>
    <b v="0"/>
    <x v="0"/>
  </r>
  <r>
    <x v="20"/>
    <x v="0"/>
    <x v="19"/>
    <s v="H"/>
    <m/>
    <d v="1905-04-17T16:47:56"/>
    <b v="0"/>
    <x v="0"/>
  </r>
  <r>
    <x v="6"/>
    <x v="0"/>
    <x v="19"/>
    <s v="H"/>
    <m/>
    <d v="1904-06-15T02:23:58"/>
    <b v="0"/>
    <x v="0"/>
  </r>
  <r>
    <x v="7"/>
    <x v="0"/>
    <x v="19"/>
    <s v="H"/>
    <m/>
    <d v="1907-09-12T19:12:04"/>
    <b v="0"/>
    <x v="0"/>
  </r>
  <r>
    <x v="21"/>
    <x v="0"/>
    <x v="19"/>
    <s v="H"/>
    <m/>
    <d v="1914-06-26T07:11:43"/>
    <b v="0"/>
    <x v="0"/>
  </r>
  <r>
    <x v="8"/>
    <x v="0"/>
    <x v="19"/>
    <s v="H"/>
    <m/>
    <d v="1912-02-06T00:00:00"/>
    <b v="0"/>
    <x v="0"/>
  </r>
  <r>
    <x v="9"/>
    <x v="0"/>
    <x v="19"/>
    <s v="H"/>
    <m/>
    <d v="1913-02-26T12:00:00"/>
    <b v="0"/>
    <x v="0"/>
  </r>
  <r>
    <x v="10"/>
    <x v="0"/>
    <x v="19"/>
    <s v="H"/>
    <m/>
    <d v="1914-06-03T16:48:17"/>
    <b v="0"/>
    <x v="0"/>
  </r>
  <r>
    <x v="22"/>
    <x v="0"/>
    <x v="19"/>
    <s v="H"/>
    <m/>
    <d v="1904-05-04T09:36:02"/>
    <b v="0"/>
    <x v="0"/>
  </r>
  <r>
    <x v="23"/>
    <x v="0"/>
    <x v="19"/>
    <s v="H"/>
    <m/>
    <d v="1904-02-08T02:23:58"/>
    <b v="0"/>
    <x v="0"/>
  </r>
  <r>
    <x v="11"/>
    <x v="0"/>
    <x v="19"/>
    <s v="H"/>
    <m/>
    <d v="1914-10-18T02:24:08"/>
    <b v="0"/>
    <x v="0"/>
  </r>
  <r>
    <x v="12"/>
    <x v="0"/>
    <x v="19"/>
    <s v="H"/>
    <m/>
    <d v="1908-10-09T00:00:00"/>
    <b v="0"/>
    <x v="0"/>
  </r>
  <r>
    <x v="13"/>
    <x v="0"/>
    <x v="19"/>
    <s v="H"/>
    <m/>
    <d v="1908-03-30T19:12:04"/>
    <b v="0"/>
    <x v="0"/>
  </r>
  <r>
    <x v="14"/>
    <x v="0"/>
    <x v="20"/>
    <s v="H"/>
    <m/>
    <d v="1919-09-11T21:35:52"/>
    <b v="0"/>
    <x v="0"/>
  </r>
  <r>
    <x v="17"/>
    <x v="0"/>
    <x v="21"/>
    <s v="H"/>
    <m/>
    <d v="1914-10-22T09:35:52"/>
    <b v="0"/>
    <x v="0"/>
  </r>
  <r>
    <x v="14"/>
    <x v="0"/>
    <x v="21"/>
    <s v="H"/>
    <m/>
    <d v="1919-09-11T21:35:52"/>
    <b v="0"/>
    <x v="0"/>
  </r>
  <r>
    <x v="18"/>
    <x v="0"/>
    <x v="21"/>
    <s v="H"/>
    <m/>
    <d v="1921-04-26T04:48:17"/>
    <b v="0"/>
    <x v="0"/>
  </r>
  <r>
    <x v="1"/>
    <x v="0"/>
    <x v="21"/>
    <s v="H"/>
    <m/>
    <d v="1918-06-21T07:11:43"/>
    <b v="0"/>
    <x v="0"/>
  </r>
  <r>
    <x v="15"/>
    <x v="0"/>
    <x v="21"/>
    <s v="H"/>
    <m/>
    <d v="1920-06-26T02:24:08"/>
    <b v="0"/>
    <x v="0"/>
  </r>
  <r>
    <x v="16"/>
    <x v="0"/>
    <x v="21"/>
    <s v="H"/>
    <m/>
    <d v="1913-02-19T12:00:00"/>
    <b v="0"/>
    <x v="0"/>
  </r>
  <r>
    <x v="19"/>
    <x v="0"/>
    <x v="21"/>
    <s v="H"/>
    <m/>
    <d v="1909-08-30T00:00:00"/>
    <b v="0"/>
    <x v="0"/>
  </r>
  <r>
    <x v="2"/>
    <x v="0"/>
    <x v="21"/>
    <s v="H"/>
    <m/>
    <d v="1914-02-12T12:00:00"/>
    <b v="0"/>
    <x v="0"/>
  </r>
  <r>
    <x v="3"/>
    <x v="0"/>
    <x v="21"/>
    <s v="H"/>
    <m/>
    <d v="1911-01-12T00:00:00"/>
    <b v="0"/>
    <x v="0"/>
  </r>
  <r>
    <x v="4"/>
    <x v="0"/>
    <x v="21"/>
    <s v="H"/>
    <m/>
    <d v="1905-05-19T09:36:02"/>
    <b v="0"/>
    <x v="0"/>
  </r>
  <r>
    <x v="5"/>
    <x v="0"/>
    <x v="21"/>
    <s v="H"/>
    <m/>
    <d v="1904-12-21T21:36:02"/>
    <b v="0"/>
    <x v="0"/>
  </r>
  <r>
    <x v="0"/>
    <x v="0"/>
    <x v="21"/>
    <s v="H"/>
    <m/>
    <d v="1904-11-24T14:23:58"/>
    <b v="0"/>
    <x v="0"/>
  </r>
  <r>
    <x v="20"/>
    <x v="0"/>
    <x v="21"/>
    <s v="H"/>
    <m/>
    <d v="1905-04-17T16:47:56"/>
    <b v="0"/>
    <x v="0"/>
  </r>
  <r>
    <x v="6"/>
    <x v="0"/>
    <x v="21"/>
    <s v="H"/>
    <m/>
    <d v="1904-06-15T02:23:58"/>
    <b v="0"/>
    <x v="0"/>
  </r>
  <r>
    <x v="7"/>
    <x v="0"/>
    <x v="21"/>
    <s v="H"/>
    <m/>
    <d v="1907-09-12T19:12:04"/>
    <b v="0"/>
    <x v="0"/>
  </r>
  <r>
    <x v="21"/>
    <x v="0"/>
    <x v="21"/>
    <s v="H"/>
    <m/>
    <d v="1914-06-26T07:11:43"/>
    <b v="0"/>
    <x v="0"/>
  </r>
  <r>
    <x v="8"/>
    <x v="0"/>
    <x v="21"/>
    <s v="H"/>
    <m/>
    <d v="1912-02-06T00:00:00"/>
    <b v="0"/>
    <x v="0"/>
  </r>
  <r>
    <x v="9"/>
    <x v="0"/>
    <x v="21"/>
    <s v="H"/>
    <m/>
    <d v="1913-02-26T12:00:00"/>
    <b v="0"/>
    <x v="0"/>
  </r>
  <r>
    <x v="10"/>
    <x v="0"/>
    <x v="21"/>
    <s v="H"/>
    <m/>
    <d v="1914-06-03T16:48:17"/>
    <b v="0"/>
    <x v="0"/>
  </r>
  <r>
    <x v="22"/>
    <x v="0"/>
    <x v="21"/>
    <s v="H"/>
    <m/>
    <d v="1904-05-04T09:36:02"/>
    <b v="0"/>
    <x v="0"/>
  </r>
  <r>
    <x v="23"/>
    <x v="0"/>
    <x v="21"/>
    <s v="H"/>
    <m/>
    <d v="1904-02-08T02:23:58"/>
    <b v="0"/>
    <x v="0"/>
  </r>
  <r>
    <x v="11"/>
    <x v="0"/>
    <x v="21"/>
    <s v="H"/>
    <m/>
    <d v="1914-10-18T02:24:08"/>
    <b v="0"/>
    <x v="0"/>
  </r>
  <r>
    <x v="12"/>
    <x v="0"/>
    <x v="21"/>
    <s v="H"/>
    <m/>
    <d v="1908-10-09T00:00:00"/>
    <b v="0"/>
    <x v="0"/>
  </r>
  <r>
    <x v="13"/>
    <x v="0"/>
    <x v="21"/>
    <s v="H"/>
    <m/>
    <d v="1908-03-30T19:12:04"/>
    <b v="0"/>
    <x v="0"/>
  </r>
  <r>
    <x v="17"/>
    <x v="0"/>
    <x v="22"/>
    <s v="H"/>
    <m/>
    <d v="1914-08-10T21:35:52"/>
    <b v="0"/>
    <x v="0"/>
  </r>
  <r>
    <x v="14"/>
    <x v="0"/>
    <x v="22"/>
    <s v="H"/>
    <m/>
    <d v="1919-07-05T00:00:00"/>
    <b v="0"/>
    <x v="0"/>
  </r>
  <r>
    <x v="18"/>
    <x v="0"/>
    <x v="22"/>
    <s v="H"/>
    <m/>
    <d v="1921-02-01T16:48:17"/>
    <b v="0"/>
    <x v="0"/>
  </r>
  <r>
    <x v="1"/>
    <x v="0"/>
    <x v="22"/>
    <s v="H"/>
    <m/>
    <d v="1918-05-08T09:35:52"/>
    <b v="0"/>
    <x v="0"/>
  </r>
  <r>
    <x v="15"/>
    <x v="0"/>
    <x v="22"/>
    <s v="H"/>
    <m/>
    <d v="1920-03-18T02:24:08"/>
    <b v="0"/>
    <x v="0"/>
  </r>
  <r>
    <x v="16"/>
    <x v="0"/>
    <x v="22"/>
    <s v="H"/>
    <m/>
    <d v="1913-03-04T04:48:17"/>
    <b v="0"/>
    <x v="0"/>
  </r>
  <r>
    <x v="19"/>
    <x v="0"/>
    <x v="22"/>
    <s v="H"/>
    <m/>
    <d v="1909-06-26T04:47:56"/>
    <b v="0"/>
    <x v="0"/>
  </r>
  <r>
    <x v="2"/>
    <x v="0"/>
    <x v="22"/>
    <s v="H"/>
    <m/>
    <d v="1913-11-25T16:48:17"/>
    <b v="0"/>
    <x v="0"/>
  </r>
  <r>
    <x v="3"/>
    <x v="0"/>
    <x v="22"/>
    <s v="H"/>
    <m/>
    <d v="1910-11-28T00:00:00"/>
    <b v="0"/>
    <x v="0"/>
  </r>
  <r>
    <x v="4"/>
    <x v="0"/>
    <x v="22"/>
    <s v="H"/>
    <m/>
    <d v="1905-03-12T02:23:58"/>
    <b v="0"/>
    <x v="0"/>
  </r>
  <r>
    <x v="5"/>
    <x v="0"/>
    <x v="22"/>
    <s v="H"/>
    <m/>
    <d v="1904-11-04T07:12:04"/>
    <b v="0"/>
    <x v="0"/>
  </r>
  <r>
    <x v="0"/>
    <x v="0"/>
    <x v="22"/>
    <s v="H"/>
    <m/>
    <d v="1904-08-30T16:47:56"/>
    <b v="0"/>
    <x v="0"/>
  </r>
  <r>
    <x v="20"/>
    <x v="0"/>
    <x v="22"/>
    <s v="H"/>
    <m/>
    <d v="1905-02-05T09:36:02"/>
    <b v="0"/>
    <x v="0"/>
  </r>
  <r>
    <x v="6"/>
    <x v="0"/>
    <x v="22"/>
    <s v="H"/>
    <m/>
    <d v="1904-04-08T00:00:00"/>
    <b v="0"/>
    <x v="0"/>
  </r>
  <r>
    <x v="7"/>
    <x v="0"/>
    <x v="22"/>
    <s v="H"/>
    <m/>
    <d v="1907-08-26T19:12:04"/>
    <b v="0"/>
    <x v="0"/>
  </r>
  <r>
    <x v="21"/>
    <x v="0"/>
    <x v="22"/>
    <s v="H"/>
    <m/>
    <d v="1914-03-26T09:35:52"/>
    <b v="0"/>
    <x v="0"/>
  </r>
  <r>
    <x v="8"/>
    <x v="0"/>
    <x v="22"/>
    <s v="H"/>
    <m/>
    <d v="1911-12-17T19:11:43"/>
    <b v="0"/>
    <x v="0"/>
  </r>
  <r>
    <x v="9"/>
    <x v="0"/>
    <x v="22"/>
    <s v="H"/>
    <m/>
    <d v="1913-01-07T12:00:00"/>
    <b v="0"/>
    <x v="0"/>
  </r>
  <r>
    <x v="10"/>
    <x v="0"/>
    <x v="22"/>
    <s v="H"/>
    <m/>
    <d v="1914-04-02T00:00:00"/>
    <b v="0"/>
    <x v="0"/>
  </r>
  <r>
    <x v="22"/>
    <x v="0"/>
    <x v="22"/>
    <s v="H"/>
    <m/>
    <d v="1904-01-31T16:47:56"/>
    <b v="0"/>
    <x v="0"/>
  </r>
  <r>
    <x v="23"/>
    <x v="0"/>
    <x v="22"/>
    <s v="H"/>
    <m/>
    <d v="1903-12-20T02:23:58"/>
    <b v="0"/>
    <x v="0"/>
  </r>
  <r>
    <x v="11"/>
    <x v="0"/>
    <x v="22"/>
    <s v="H"/>
    <m/>
    <d v="1914-09-03T02:24:08"/>
    <b v="0"/>
    <x v="0"/>
  </r>
  <r>
    <x v="12"/>
    <x v="0"/>
    <x v="22"/>
    <s v="H"/>
    <m/>
    <d v="1908-08-20T00:00:00"/>
    <b v="0"/>
    <x v="0"/>
  </r>
  <r>
    <x v="13"/>
    <x v="0"/>
    <x v="22"/>
    <s v="H"/>
    <m/>
    <d v="1908-02-16T02:24:08"/>
    <b v="0"/>
    <x v="0"/>
  </r>
  <r>
    <x v="17"/>
    <x v="0"/>
    <x v="23"/>
    <s v="H"/>
    <m/>
    <d v="1914-08-10T21:35:52"/>
    <b v="0"/>
    <x v="0"/>
  </r>
  <r>
    <x v="14"/>
    <x v="0"/>
    <x v="23"/>
    <s v="H"/>
    <m/>
    <d v="1919-07-05T00:00:00"/>
    <b v="0"/>
    <x v="0"/>
  </r>
  <r>
    <x v="18"/>
    <x v="0"/>
    <x v="23"/>
    <s v="H"/>
    <m/>
    <d v="1921-02-01T16:48:17"/>
    <b v="0"/>
    <x v="0"/>
  </r>
  <r>
    <x v="1"/>
    <x v="0"/>
    <x v="23"/>
    <s v="H"/>
    <m/>
    <d v="1918-05-08T09:35:52"/>
    <b v="0"/>
    <x v="0"/>
  </r>
  <r>
    <x v="15"/>
    <x v="0"/>
    <x v="23"/>
    <s v="H"/>
    <m/>
    <d v="1920-03-18T02:24:08"/>
    <b v="0"/>
    <x v="0"/>
  </r>
  <r>
    <x v="16"/>
    <x v="0"/>
    <x v="23"/>
    <s v="H"/>
    <m/>
    <d v="1913-03-04T04:48:17"/>
    <b v="0"/>
    <x v="0"/>
  </r>
  <r>
    <x v="19"/>
    <x v="0"/>
    <x v="23"/>
    <s v="H"/>
    <m/>
    <d v="1909-06-26T04:47:56"/>
    <b v="0"/>
    <x v="0"/>
  </r>
  <r>
    <x v="2"/>
    <x v="0"/>
    <x v="23"/>
    <s v="H"/>
    <m/>
    <d v="1913-11-25T16:48:17"/>
    <b v="0"/>
    <x v="0"/>
  </r>
  <r>
    <x v="3"/>
    <x v="0"/>
    <x v="23"/>
    <s v="H"/>
    <m/>
    <d v="1910-11-28T00:00:00"/>
    <b v="0"/>
    <x v="0"/>
  </r>
  <r>
    <x v="4"/>
    <x v="0"/>
    <x v="23"/>
    <s v="H"/>
    <m/>
    <d v="1905-03-12T02:23:58"/>
    <b v="0"/>
    <x v="0"/>
  </r>
  <r>
    <x v="5"/>
    <x v="0"/>
    <x v="23"/>
    <s v="H"/>
    <m/>
    <d v="1904-11-04T07:12:04"/>
    <b v="0"/>
    <x v="0"/>
  </r>
  <r>
    <x v="0"/>
    <x v="0"/>
    <x v="23"/>
    <s v="H"/>
    <m/>
    <d v="1904-08-30T16:47:56"/>
    <b v="0"/>
    <x v="0"/>
  </r>
  <r>
    <x v="20"/>
    <x v="0"/>
    <x v="23"/>
    <s v="H"/>
    <m/>
    <d v="1905-02-05T09:36:02"/>
    <b v="0"/>
    <x v="0"/>
  </r>
  <r>
    <x v="6"/>
    <x v="0"/>
    <x v="23"/>
    <s v="H"/>
    <m/>
    <d v="1904-04-08T00:00:00"/>
    <b v="0"/>
    <x v="0"/>
  </r>
  <r>
    <x v="7"/>
    <x v="0"/>
    <x v="23"/>
    <s v="H"/>
    <m/>
    <d v="1907-08-26T19:12:04"/>
    <b v="0"/>
    <x v="0"/>
  </r>
  <r>
    <x v="21"/>
    <x v="0"/>
    <x v="23"/>
    <s v="H"/>
    <m/>
    <d v="1914-03-26T09:35:52"/>
    <b v="0"/>
    <x v="0"/>
  </r>
  <r>
    <x v="8"/>
    <x v="0"/>
    <x v="23"/>
    <s v="H"/>
    <m/>
    <d v="1911-12-17T19:11:43"/>
    <b v="0"/>
    <x v="0"/>
  </r>
  <r>
    <x v="9"/>
    <x v="0"/>
    <x v="23"/>
    <s v="H"/>
    <m/>
    <d v="1913-01-07T12:00:00"/>
    <b v="0"/>
    <x v="0"/>
  </r>
  <r>
    <x v="10"/>
    <x v="0"/>
    <x v="23"/>
    <s v="H"/>
    <m/>
    <d v="1914-04-02T00:00:00"/>
    <b v="0"/>
    <x v="0"/>
  </r>
  <r>
    <x v="22"/>
    <x v="0"/>
    <x v="23"/>
    <s v="H"/>
    <m/>
    <d v="1904-01-31T16:47:56"/>
    <b v="0"/>
    <x v="0"/>
  </r>
  <r>
    <x v="23"/>
    <x v="0"/>
    <x v="23"/>
    <s v="H"/>
    <m/>
    <d v="1903-12-20T02:23:58"/>
    <b v="0"/>
    <x v="0"/>
  </r>
  <r>
    <x v="11"/>
    <x v="0"/>
    <x v="23"/>
    <s v="H"/>
    <m/>
    <d v="1914-09-03T02:24:08"/>
    <b v="0"/>
    <x v="0"/>
  </r>
  <r>
    <x v="12"/>
    <x v="0"/>
    <x v="23"/>
    <s v="H"/>
    <m/>
    <d v="1908-08-20T00:00:00"/>
    <b v="0"/>
    <x v="0"/>
  </r>
  <r>
    <x v="13"/>
    <x v="0"/>
    <x v="23"/>
    <s v="H"/>
    <m/>
    <d v="1908-02-16T02:24:08"/>
    <b v="0"/>
    <x v="0"/>
  </r>
  <r>
    <x v="17"/>
    <x v="0"/>
    <x v="24"/>
    <s v="D"/>
    <d v="2015-04-15T12:41:00"/>
    <d v="1899-12-30T00:00:00"/>
    <b v="0"/>
    <x v="0"/>
  </r>
  <r>
    <x v="14"/>
    <x v="0"/>
    <x v="24"/>
    <s v="D"/>
    <d v="2015-03-11T00:00:00"/>
    <d v="1899-12-30T00:00:00"/>
    <b v="0"/>
    <x v="0"/>
  </r>
  <r>
    <x v="18"/>
    <x v="0"/>
    <x v="24"/>
    <s v="D"/>
    <d v="2015-02-25T00:00:00"/>
    <d v="1899-12-30T00:00:00"/>
    <b v="0"/>
    <x v="0"/>
  </r>
  <r>
    <x v="1"/>
    <x v="0"/>
    <x v="24"/>
    <s v="D"/>
    <d v="2015-03-18T00:00:00"/>
    <d v="1899-12-30T00:00:00"/>
    <b v="0"/>
    <x v="0"/>
  </r>
  <r>
    <x v="15"/>
    <x v="0"/>
    <x v="24"/>
    <s v="D"/>
    <d v="2015-03-27T07:50:00"/>
    <d v="1899-12-30T00:00:00"/>
    <b v="0"/>
    <x v="0"/>
  </r>
  <r>
    <x v="16"/>
    <x v="0"/>
    <x v="24"/>
    <s v="D"/>
    <d v="2015-02-27T13:21:00"/>
    <d v="1899-12-30T00:00:00"/>
    <b v="0"/>
    <x v="0"/>
  </r>
  <r>
    <x v="19"/>
    <x v="0"/>
    <x v="24"/>
    <s v="D"/>
    <d v="2015-03-09T10:03:00"/>
    <d v="1899-12-30T00:00:00"/>
    <b v="0"/>
    <x v="0"/>
  </r>
  <r>
    <x v="2"/>
    <x v="0"/>
    <x v="24"/>
    <s v="D"/>
    <d v="2015-03-13T12:47:00"/>
    <d v="1899-12-30T00:00:00"/>
    <b v="0"/>
    <x v="0"/>
  </r>
  <r>
    <x v="3"/>
    <x v="0"/>
    <x v="24"/>
    <s v="D"/>
    <d v="2015-03-19T11:25:00"/>
    <d v="1899-12-30T00:00:00"/>
    <b v="0"/>
    <x v="0"/>
  </r>
  <r>
    <x v="4"/>
    <x v="0"/>
    <x v="24"/>
    <s v="D"/>
    <d v="2015-01-15T20:21:00"/>
    <d v="1899-12-30T00:00:00"/>
    <b v="0"/>
    <x v="0"/>
  </r>
  <r>
    <x v="5"/>
    <x v="0"/>
    <x v="24"/>
    <s v="D"/>
    <d v="2015-02-25T12:27:00"/>
    <d v="1899-12-30T00:00:00"/>
    <b v="0"/>
    <x v="0"/>
  </r>
  <r>
    <x v="0"/>
    <x v="0"/>
    <x v="24"/>
    <s v="D"/>
    <d v="2015-03-31T08:04:00"/>
    <d v="1899-12-30T00:00:00"/>
    <b v="0"/>
    <x v="0"/>
  </r>
  <r>
    <x v="20"/>
    <x v="0"/>
    <x v="24"/>
    <s v="D"/>
    <d v="2015-04-15T19:50:00"/>
    <d v="1899-12-30T00:00:00"/>
    <b v="0"/>
    <x v="0"/>
  </r>
  <r>
    <x v="6"/>
    <x v="0"/>
    <x v="24"/>
    <s v="D"/>
    <d v="2015-03-16T20:44:00"/>
    <d v="1899-12-30T00:00:00"/>
    <b v="0"/>
    <x v="0"/>
  </r>
  <r>
    <x v="7"/>
    <x v="0"/>
    <x v="24"/>
    <s v="D"/>
    <d v="2015-02-26T15:29:00"/>
    <d v="1899-12-30T00:00:00"/>
    <b v="0"/>
    <x v="0"/>
  </r>
  <r>
    <x v="21"/>
    <x v="0"/>
    <x v="24"/>
    <s v="D"/>
    <d v="2015-04-07T18:29:00"/>
    <d v="1899-12-30T00:00:00"/>
    <b v="0"/>
    <x v="0"/>
  </r>
  <r>
    <x v="8"/>
    <x v="0"/>
    <x v="24"/>
    <s v="D"/>
    <d v="2015-03-03T13:24:00"/>
    <d v="1899-12-30T00:00:00"/>
    <b v="0"/>
    <x v="0"/>
  </r>
  <r>
    <x v="9"/>
    <x v="0"/>
    <x v="24"/>
    <s v="D"/>
    <d v="2015-02-19T16:22:00"/>
    <d v="1899-12-30T00:00:00"/>
    <b v="0"/>
    <x v="0"/>
  </r>
  <r>
    <x v="10"/>
    <x v="0"/>
    <x v="24"/>
    <s v="D"/>
    <d v="2015-04-02T07:39:00"/>
    <d v="1899-12-30T00:00:00"/>
    <b v="0"/>
    <x v="0"/>
  </r>
  <r>
    <x v="22"/>
    <x v="0"/>
    <x v="24"/>
    <s v="D"/>
    <d v="2015-03-13T16:14:00"/>
    <d v="1899-12-30T00:00:00"/>
    <b v="0"/>
    <x v="0"/>
  </r>
  <r>
    <x v="23"/>
    <x v="0"/>
    <x v="24"/>
    <s v="D"/>
    <d v="2015-02-12T03:38:00"/>
    <d v="1899-12-30T00:00:00"/>
    <b v="0"/>
    <x v="0"/>
  </r>
  <r>
    <x v="11"/>
    <x v="0"/>
    <x v="24"/>
    <s v="D"/>
    <d v="2015-04-17T14:06:00"/>
    <d v="1899-12-30T00:00:00"/>
    <b v="0"/>
    <x v="0"/>
  </r>
  <r>
    <x v="12"/>
    <x v="0"/>
    <x v="24"/>
    <s v="D"/>
    <d v="2015-04-11T00:00:00"/>
    <d v="1899-12-30T00:00:00"/>
    <b v="0"/>
    <x v="0"/>
  </r>
  <r>
    <x v="13"/>
    <x v="0"/>
    <x v="24"/>
    <s v="D"/>
    <d v="2015-04-10T17:05:00"/>
    <d v="1899-12-30T00:00:00"/>
    <b v="0"/>
    <x v="0"/>
  </r>
  <r>
    <x v="17"/>
    <x v="0"/>
    <x v="25"/>
    <s v="D"/>
    <d v="2015-04-15T00:00:00"/>
    <d v="1899-12-30T00:00:00"/>
    <b v="0"/>
    <x v="0"/>
  </r>
  <r>
    <x v="18"/>
    <x v="0"/>
    <x v="25"/>
    <s v="D"/>
    <d v="2015-02-25T00:00:00"/>
    <d v="1899-12-30T00:00:00"/>
    <b v="0"/>
    <x v="0"/>
  </r>
  <r>
    <x v="16"/>
    <x v="0"/>
    <x v="25"/>
    <s v="D"/>
    <d v="2015-02-27T00:00:00"/>
    <d v="1899-12-30T00:00:00"/>
    <b v="0"/>
    <x v="0"/>
  </r>
  <r>
    <x v="19"/>
    <x v="0"/>
    <x v="25"/>
    <s v="D"/>
    <d v="2015-03-09T00:00:00"/>
    <d v="1899-12-30T00:00:00"/>
    <b v="0"/>
    <x v="0"/>
  </r>
  <r>
    <x v="3"/>
    <x v="0"/>
    <x v="25"/>
    <s v="D"/>
    <d v="2015-03-19T00:00:00"/>
    <d v="1899-12-30T00:00:00"/>
    <b v="0"/>
    <x v="0"/>
  </r>
  <r>
    <x v="0"/>
    <x v="0"/>
    <x v="25"/>
    <s v="D"/>
    <d v="2015-03-31T00:00:00"/>
    <d v="1899-12-30T00:00:00"/>
    <b v="0"/>
    <x v="0"/>
  </r>
  <r>
    <x v="8"/>
    <x v="0"/>
    <x v="25"/>
    <s v="D"/>
    <d v="2015-03-03T00:00:00"/>
    <d v="1899-12-30T00:00:00"/>
    <b v="0"/>
    <x v="0"/>
  </r>
  <r>
    <x v="11"/>
    <x v="0"/>
    <x v="25"/>
    <s v="D"/>
    <d v="2015-04-17T00:00:00"/>
    <d v="1899-12-30T00:00:00"/>
    <b v="0"/>
    <x v="0"/>
  </r>
  <r>
    <x v="18"/>
    <x v="0"/>
    <x v="26"/>
    <s v="H"/>
    <m/>
    <d v="1921-03-19T21:35:52"/>
    <b v="0"/>
    <x v="0"/>
  </r>
  <r>
    <x v="3"/>
    <x v="0"/>
    <x v="26"/>
    <s v="H"/>
    <m/>
    <d v="1910-03-31T09:35:52"/>
    <b v="0"/>
    <x v="0"/>
  </r>
  <r>
    <x v="5"/>
    <x v="0"/>
    <x v="26"/>
    <s v="H"/>
    <m/>
    <d v="1904-11-04T07:12:04"/>
    <b v="0"/>
    <x v="0"/>
  </r>
  <r>
    <x v="0"/>
    <x v="0"/>
    <x v="26"/>
    <s v="H"/>
    <m/>
    <d v="1904-08-30T16:47:56"/>
    <b v="0"/>
    <x v="0"/>
  </r>
  <r>
    <x v="9"/>
    <x v="0"/>
    <x v="26"/>
    <s v="H"/>
    <m/>
    <d v="1913-01-13T12:00:00"/>
    <b v="0"/>
    <x v="0"/>
  </r>
  <r>
    <x v="23"/>
    <x v="0"/>
    <x v="26"/>
    <s v="H"/>
    <m/>
    <d v="1903-08-17T14:23:58"/>
    <b v="0"/>
    <x v="0"/>
  </r>
  <r>
    <x v="17"/>
    <x v="0"/>
    <x v="27"/>
    <s v="D"/>
    <d v="2015-01-29T15:43:00"/>
    <d v="1899-12-30T00:00:00"/>
    <b v="0"/>
    <x v="0"/>
  </r>
  <r>
    <x v="14"/>
    <x v="0"/>
    <x v="27"/>
    <s v="D"/>
    <d v="2015-03-13T14:16:00"/>
    <d v="1899-12-30T00:00:00"/>
    <b v="0"/>
    <x v="0"/>
  </r>
  <r>
    <x v="18"/>
    <x v="0"/>
    <x v="27"/>
    <s v="D"/>
    <d v="2015-02-26T00:00:00"/>
    <d v="1899-12-30T00:00:00"/>
    <b v="0"/>
    <x v="0"/>
  </r>
  <r>
    <x v="1"/>
    <x v="0"/>
    <x v="27"/>
    <s v="D"/>
    <d v="2015-03-18T12:51:00"/>
    <d v="1899-12-30T00:00:00"/>
    <b v="0"/>
    <x v="0"/>
  </r>
  <r>
    <x v="15"/>
    <x v="0"/>
    <x v="27"/>
    <s v="D"/>
    <d v="2015-02-18T10:47:00"/>
    <d v="1899-12-30T00:00:00"/>
    <b v="0"/>
    <x v="0"/>
  </r>
  <r>
    <x v="16"/>
    <x v="0"/>
    <x v="27"/>
    <s v="D"/>
    <d v="2015-02-25T12:44:00"/>
    <d v="1899-12-30T00:00:00"/>
    <b v="0"/>
    <x v="0"/>
  </r>
  <r>
    <x v="19"/>
    <x v="0"/>
    <x v="27"/>
    <s v="D"/>
    <d v="2015-03-11T00:00:00"/>
    <d v="1899-12-30T00:00:00"/>
    <b v="0"/>
    <x v="0"/>
  </r>
  <r>
    <x v="2"/>
    <x v="0"/>
    <x v="27"/>
    <s v="D"/>
    <d v="2015-04-17T00:00:00"/>
    <d v="1899-12-30T00:00:00"/>
    <b v="0"/>
    <x v="0"/>
  </r>
  <r>
    <x v="3"/>
    <x v="0"/>
    <x v="27"/>
    <s v="D"/>
    <d v="2015-03-19T14:13:00"/>
    <d v="1899-12-30T00:00:00"/>
    <b v="0"/>
    <x v="0"/>
  </r>
  <r>
    <x v="4"/>
    <x v="0"/>
    <x v="27"/>
    <s v="D"/>
    <d v="2014-12-18T00:00:00"/>
    <d v="1899-12-30T00:00:00"/>
    <b v="0"/>
    <x v="0"/>
  </r>
  <r>
    <x v="5"/>
    <x v="0"/>
    <x v="27"/>
    <s v="D"/>
    <d v="2015-02-25T12:37:00"/>
    <d v="1899-12-30T00:00:00"/>
    <b v="0"/>
    <x v="0"/>
  </r>
  <r>
    <x v="0"/>
    <x v="0"/>
    <x v="27"/>
    <s v="D"/>
    <d v="2015-03-18T07:30:00"/>
    <d v="1899-12-30T00:00:00"/>
    <b v="0"/>
    <x v="0"/>
  </r>
  <r>
    <x v="20"/>
    <x v="0"/>
    <x v="27"/>
    <s v="D"/>
    <d v="2015-02-05T11:08:00"/>
    <d v="1899-12-30T00:00:00"/>
    <b v="0"/>
    <x v="0"/>
  </r>
  <r>
    <x v="6"/>
    <x v="0"/>
    <x v="27"/>
    <s v="D"/>
    <d v="2015-03-18T07:50:00"/>
    <d v="1899-12-30T00:00:00"/>
    <b v="0"/>
    <x v="0"/>
  </r>
  <r>
    <x v="7"/>
    <x v="0"/>
    <x v="27"/>
    <s v="D"/>
    <d v="2015-03-11T15:19:00"/>
    <d v="1899-12-30T00:00:00"/>
    <b v="0"/>
    <x v="0"/>
  </r>
  <r>
    <x v="21"/>
    <x v="0"/>
    <x v="27"/>
    <s v="D"/>
    <d v="2015-03-09T23:26:00"/>
    <d v="1899-12-30T00:00:00"/>
    <b v="0"/>
    <x v="0"/>
  </r>
  <r>
    <x v="8"/>
    <x v="0"/>
    <x v="27"/>
    <s v="D"/>
    <d v="2015-03-11T00:00:00"/>
    <d v="1899-12-30T00:00:00"/>
    <b v="0"/>
    <x v="0"/>
  </r>
  <r>
    <x v="9"/>
    <x v="0"/>
    <x v="27"/>
    <s v="D"/>
    <d v="2015-01-29T08:30:00"/>
    <d v="1899-12-30T00:00:00"/>
    <b v="0"/>
    <x v="0"/>
  </r>
  <r>
    <x v="10"/>
    <x v="0"/>
    <x v="27"/>
    <s v="D"/>
    <d v="2015-03-09T00:00:00"/>
    <d v="1899-12-30T00:00:00"/>
    <b v="0"/>
    <x v="0"/>
  </r>
  <r>
    <x v="22"/>
    <x v="0"/>
    <x v="27"/>
    <s v="D"/>
    <d v="2015-03-11T11:58:00"/>
    <d v="1899-12-30T00:00:00"/>
    <b v="0"/>
    <x v="0"/>
  </r>
  <r>
    <x v="23"/>
    <x v="0"/>
    <x v="27"/>
    <s v="D"/>
    <d v="2015-03-19T09:22:00"/>
    <d v="1899-12-30T00:00:00"/>
    <b v="0"/>
    <x v="0"/>
  </r>
  <r>
    <x v="11"/>
    <x v="0"/>
    <x v="27"/>
    <s v="D"/>
    <d v="2015-03-13T08:15:00"/>
    <d v="1899-12-30T00:00:00"/>
    <b v="0"/>
    <x v="0"/>
  </r>
  <r>
    <x v="12"/>
    <x v="0"/>
    <x v="27"/>
    <s v="D"/>
    <d v="2015-03-09T00:00:00"/>
    <d v="1899-12-30T00:00:00"/>
    <b v="0"/>
    <x v="0"/>
  </r>
  <r>
    <x v="13"/>
    <x v="0"/>
    <x v="27"/>
    <s v="D"/>
    <d v="2015-03-24T07:32:00"/>
    <d v="1899-12-30T00:00:00"/>
    <b v="0"/>
    <x v="0"/>
  </r>
  <r>
    <x v="17"/>
    <x v="0"/>
    <x v="28"/>
    <s v="H"/>
    <m/>
    <d v="1914-08-10T21:35:52"/>
    <b v="0"/>
    <x v="0"/>
  </r>
  <r>
    <x v="14"/>
    <x v="0"/>
    <x v="28"/>
    <s v="H"/>
    <m/>
    <d v="1919-07-05T00:00:00"/>
    <b v="0"/>
    <x v="0"/>
  </r>
  <r>
    <x v="18"/>
    <x v="0"/>
    <x v="28"/>
    <s v="H"/>
    <m/>
    <d v="1921-02-01T16:48:17"/>
    <b v="0"/>
    <x v="0"/>
  </r>
  <r>
    <x v="1"/>
    <x v="0"/>
    <x v="28"/>
    <s v="H"/>
    <m/>
    <d v="1918-05-08T09:35:52"/>
    <b v="0"/>
    <x v="0"/>
  </r>
  <r>
    <x v="15"/>
    <x v="0"/>
    <x v="28"/>
    <s v="H"/>
    <m/>
    <d v="1920-03-18T02:24:08"/>
    <b v="0"/>
    <x v="0"/>
  </r>
  <r>
    <x v="16"/>
    <x v="0"/>
    <x v="28"/>
    <s v="H"/>
    <m/>
    <d v="1913-03-10T00:00:00"/>
    <b v="0"/>
    <x v="0"/>
  </r>
  <r>
    <x v="19"/>
    <x v="0"/>
    <x v="28"/>
    <s v="H"/>
    <m/>
    <d v="1909-06-26T04:47:56"/>
    <b v="0"/>
    <x v="0"/>
  </r>
  <r>
    <x v="2"/>
    <x v="0"/>
    <x v="28"/>
    <s v="H"/>
    <m/>
    <d v="1913-11-25T16:48:17"/>
    <b v="0"/>
    <x v="0"/>
  </r>
  <r>
    <x v="3"/>
    <x v="0"/>
    <x v="28"/>
    <s v="H"/>
    <m/>
    <d v="1910-11-28T00:00:00"/>
    <b v="0"/>
    <x v="0"/>
  </r>
  <r>
    <x v="4"/>
    <x v="0"/>
    <x v="28"/>
    <s v="H"/>
    <m/>
    <d v="1905-03-12T02:23:58"/>
    <b v="0"/>
    <x v="0"/>
  </r>
  <r>
    <x v="5"/>
    <x v="0"/>
    <x v="28"/>
    <s v="H"/>
    <m/>
    <d v="1904-11-04T07:12:04"/>
    <b v="0"/>
    <x v="0"/>
  </r>
  <r>
    <x v="0"/>
    <x v="0"/>
    <x v="28"/>
    <s v="H"/>
    <m/>
    <d v="1904-08-30T16:47:56"/>
    <b v="0"/>
    <x v="0"/>
  </r>
  <r>
    <x v="20"/>
    <x v="0"/>
    <x v="28"/>
    <s v="H"/>
    <m/>
    <d v="1905-02-05T09:36:02"/>
    <b v="0"/>
    <x v="0"/>
  </r>
  <r>
    <x v="6"/>
    <x v="0"/>
    <x v="28"/>
    <s v="H"/>
    <m/>
    <d v="1904-04-08T00:00:00"/>
    <b v="0"/>
    <x v="0"/>
  </r>
  <r>
    <x v="7"/>
    <x v="0"/>
    <x v="28"/>
    <s v="H"/>
    <m/>
    <d v="1907-08-26T19:12:04"/>
    <b v="0"/>
    <x v="0"/>
  </r>
  <r>
    <x v="21"/>
    <x v="0"/>
    <x v="28"/>
    <s v="H"/>
    <m/>
    <d v="1914-03-26T09:35:52"/>
    <b v="0"/>
    <x v="0"/>
  </r>
  <r>
    <x v="8"/>
    <x v="0"/>
    <x v="28"/>
    <s v="H"/>
    <m/>
    <d v="1911-12-17T19:11:43"/>
    <b v="0"/>
    <x v="0"/>
  </r>
  <r>
    <x v="9"/>
    <x v="0"/>
    <x v="28"/>
    <s v="H"/>
    <m/>
    <d v="1913-01-07T12:00:00"/>
    <b v="0"/>
    <x v="0"/>
  </r>
  <r>
    <x v="10"/>
    <x v="0"/>
    <x v="28"/>
    <s v="H"/>
    <m/>
    <d v="1914-04-02T00:00:00"/>
    <b v="0"/>
    <x v="0"/>
  </r>
  <r>
    <x v="22"/>
    <x v="0"/>
    <x v="28"/>
    <s v="H"/>
    <m/>
    <d v="1904-01-31T16:47:56"/>
    <b v="0"/>
    <x v="0"/>
  </r>
  <r>
    <x v="23"/>
    <x v="0"/>
    <x v="28"/>
    <s v="H"/>
    <m/>
    <d v="1903-12-21T14:23:58"/>
    <b v="0"/>
    <x v="0"/>
  </r>
  <r>
    <x v="11"/>
    <x v="0"/>
    <x v="28"/>
    <s v="H"/>
    <m/>
    <d v="1914-09-03T02:24:08"/>
    <b v="0"/>
    <x v="0"/>
  </r>
  <r>
    <x v="12"/>
    <x v="0"/>
    <x v="28"/>
    <s v="H"/>
    <m/>
    <d v="1908-08-20T00:00:00"/>
    <b v="0"/>
    <x v="0"/>
  </r>
  <r>
    <x v="13"/>
    <x v="0"/>
    <x v="28"/>
    <s v="H"/>
    <m/>
    <d v="1908-02-16T02:24:08"/>
    <b v="0"/>
    <x v="0"/>
  </r>
  <r>
    <x v="17"/>
    <x v="0"/>
    <x v="29"/>
    <s v="H"/>
    <m/>
    <d v="1914-08-10T21:35:52"/>
    <b v="0"/>
    <x v="0"/>
  </r>
  <r>
    <x v="14"/>
    <x v="0"/>
    <x v="29"/>
    <s v="H"/>
    <m/>
    <d v="1919-07-05T00:00:00"/>
    <b v="0"/>
    <x v="0"/>
  </r>
  <r>
    <x v="18"/>
    <x v="0"/>
    <x v="29"/>
    <s v="H"/>
    <m/>
    <d v="1921-02-01T16:48:17"/>
    <b v="0"/>
    <x v="0"/>
  </r>
  <r>
    <x v="1"/>
    <x v="0"/>
    <x v="29"/>
    <s v="H"/>
    <m/>
    <d v="1918-05-08T09:35:52"/>
    <b v="0"/>
    <x v="0"/>
  </r>
  <r>
    <x v="15"/>
    <x v="0"/>
    <x v="29"/>
    <s v="H"/>
    <m/>
    <d v="1920-03-18T02:24:08"/>
    <b v="0"/>
    <x v="0"/>
  </r>
  <r>
    <x v="16"/>
    <x v="0"/>
    <x v="29"/>
    <s v="H"/>
    <m/>
    <d v="1913-03-04T04:48:17"/>
    <b v="0"/>
    <x v="0"/>
  </r>
  <r>
    <x v="19"/>
    <x v="0"/>
    <x v="29"/>
    <s v="H"/>
    <m/>
    <d v="1909-06-26T04:47:56"/>
    <b v="0"/>
    <x v="0"/>
  </r>
  <r>
    <x v="2"/>
    <x v="0"/>
    <x v="29"/>
    <s v="H"/>
    <m/>
    <d v="1913-11-25T16:48:17"/>
    <b v="0"/>
    <x v="0"/>
  </r>
  <r>
    <x v="3"/>
    <x v="0"/>
    <x v="29"/>
    <s v="H"/>
    <m/>
    <d v="1910-11-28T00:00:00"/>
    <b v="0"/>
    <x v="0"/>
  </r>
  <r>
    <x v="4"/>
    <x v="0"/>
    <x v="29"/>
    <s v="H"/>
    <m/>
    <d v="1905-03-12T02:23:58"/>
    <b v="0"/>
    <x v="0"/>
  </r>
  <r>
    <x v="5"/>
    <x v="0"/>
    <x v="29"/>
    <s v="H"/>
    <m/>
    <d v="1904-11-04T07:12:04"/>
    <b v="0"/>
    <x v="0"/>
  </r>
  <r>
    <x v="0"/>
    <x v="0"/>
    <x v="29"/>
    <s v="H"/>
    <m/>
    <d v="1904-08-30T16:47:56"/>
    <b v="0"/>
    <x v="0"/>
  </r>
  <r>
    <x v="20"/>
    <x v="0"/>
    <x v="29"/>
    <s v="H"/>
    <m/>
    <d v="1905-02-05T09:36:02"/>
    <b v="0"/>
    <x v="0"/>
  </r>
  <r>
    <x v="6"/>
    <x v="0"/>
    <x v="29"/>
    <s v="H"/>
    <m/>
    <d v="1904-04-08T00:00:00"/>
    <b v="0"/>
    <x v="0"/>
  </r>
  <r>
    <x v="7"/>
    <x v="0"/>
    <x v="29"/>
    <s v="H"/>
    <m/>
    <d v="1907-08-26T19:12:04"/>
    <b v="0"/>
    <x v="0"/>
  </r>
  <r>
    <x v="21"/>
    <x v="0"/>
    <x v="29"/>
    <s v="H"/>
    <m/>
    <d v="1914-03-26T09:35:52"/>
    <b v="0"/>
    <x v="0"/>
  </r>
  <r>
    <x v="8"/>
    <x v="0"/>
    <x v="29"/>
    <s v="H"/>
    <m/>
    <d v="1911-12-17T19:11:43"/>
    <b v="0"/>
    <x v="0"/>
  </r>
  <r>
    <x v="9"/>
    <x v="0"/>
    <x v="29"/>
    <s v="H"/>
    <m/>
    <d v="1913-01-07T12:00:00"/>
    <b v="0"/>
    <x v="0"/>
  </r>
  <r>
    <x v="10"/>
    <x v="0"/>
    <x v="29"/>
    <s v="H"/>
    <m/>
    <d v="1914-04-02T00:00:00"/>
    <b v="0"/>
    <x v="0"/>
  </r>
  <r>
    <x v="22"/>
    <x v="0"/>
    <x v="29"/>
    <s v="H"/>
    <m/>
    <d v="1904-01-31T16:47:56"/>
    <b v="0"/>
    <x v="0"/>
  </r>
  <r>
    <x v="23"/>
    <x v="0"/>
    <x v="29"/>
    <s v="H"/>
    <m/>
    <d v="1903-12-20T02:23:58"/>
    <b v="0"/>
    <x v="0"/>
  </r>
  <r>
    <x v="11"/>
    <x v="0"/>
    <x v="29"/>
    <s v="H"/>
    <m/>
    <d v="1914-09-03T02:24:08"/>
    <b v="0"/>
    <x v="0"/>
  </r>
  <r>
    <x v="12"/>
    <x v="0"/>
    <x v="29"/>
    <s v="H"/>
    <m/>
    <d v="1908-08-20T00:00:00"/>
    <b v="0"/>
    <x v="0"/>
  </r>
  <r>
    <x v="13"/>
    <x v="0"/>
    <x v="29"/>
    <s v="H"/>
    <m/>
    <d v="1908-02-16T02:24:08"/>
    <b v="0"/>
    <x v="0"/>
  </r>
  <r>
    <x v="17"/>
    <x v="0"/>
    <x v="30"/>
    <s v="H"/>
    <m/>
    <d v="1914-08-10T21:35:52"/>
    <b v="0"/>
    <x v="0"/>
  </r>
  <r>
    <x v="18"/>
    <x v="0"/>
    <x v="30"/>
    <s v="H"/>
    <m/>
    <d v="1921-02-01T16:48:17"/>
    <b v="0"/>
    <x v="0"/>
  </r>
  <r>
    <x v="1"/>
    <x v="0"/>
    <x v="30"/>
    <s v="H"/>
    <m/>
    <d v="1918-05-08T09:35:52"/>
    <b v="0"/>
    <x v="0"/>
  </r>
  <r>
    <x v="15"/>
    <x v="0"/>
    <x v="30"/>
    <s v="H"/>
    <m/>
    <d v="1920-03-18T02:24:08"/>
    <b v="0"/>
    <x v="0"/>
  </r>
  <r>
    <x v="16"/>
    <x v="0"/>
    <x v="30"/>
    <s v="H"/>
    <m/>
    <d v="1912-11-05T00:00:00"/>
    <b v="0"/>
    <x v="0"/>
  </r>
  <r>
    <x v="19"/>
    <x v="0"/>
    <x v="30"/>
    <s v="H"/>
    <m/>
    <d v="1909-06-26T04:47:56"/>
    <b v="0"/>
    <x v="0"/>
  </r>
  <r>
    <x v="2"/>
    <x v="0"/>
    <x v="30"/>
    <s v="H"/>
    <m/>
    <d v="1913-11-25T16:48:17"/>
    <b v="0"/>
    <x v="0"/>
  </r>
  <r>
    <x v="3"/>
    <x v="0"/>
    <x v="30"/>
    <s v="H"/>
    <m/>
    <d v="1910-11-28T00:00:00"/>
    <b v="0"/>
    <x v="0"/>
  </r>
  <r>
    <x v="4"/>
    <x v="0"/>
    <x v="30"/>
    <s v="H"/>
    <m/>
    <d v="1905-03-12T02:23:58"/>
    <b v="0"/>
    <x v="0"/>
  </r>
  <r>
    <x v="5"/>
    <x v="0"/>
    <x v="30"/>
    <s v="H"/>
    <m/>
    <d v="1904-11-04T07:12:04"/>
    <b v="0"/>
    <x v="0"/>
  </r>
  <r>
    <x v="20"/>
    <x v="0"/>
    <x v="30"/>
    <s v="H"/>
    <m/>
    <d v="1905-02-05T09:36:02"/>
    <b v="0"/>
    <x v="0"/>
  </r>
  <r>
    <x v="6"/>
    <x v="0"/>
    <x v="30"/>
    <s v="H"/>
    <m/>
    <d v="1904-04-08T00:00:00"/>
    <b v="0"/>
    <x v="0"/>
  </r>
  <r>
    <x v="7"/>
    <x v="0"/>
    <x v="30"/>
    <s v="H"/>
    <m/>
    <d v="1907-08-26T19:12:04"/>
    <b v="0"/>
    <x v="0"/>
  </r>
  <r>
    <x v="21"/>
    <x v="0"/>
    <x v="30"/>
    <s v="H"/>
    <m/>
    <d v="1914-03-26T09:35:52"/>
    <b v="0"/>
    <x v="0"/>
  </r>
  <r>
    <x v="8"/>
    <x v="0"/>
    <x v="30"/>
    <s v="H"/>
    <m/>
    <d v="1911-12-17T19:11:43"/>
    <b v="0"/>
    <x v="0"/>
  </r>
  <r>
    <x v="9"/>
    <x v="0"/>
    <x v="30"/>
    <s v="H"/>
    <m/>
    <d v="1913-01-07T12:00:00"/>
    <b v="0"/>
    <x v="0"/>
  </r>
  <r>
    <x v="10"/>
    <x v="0"/>
    <x v="30"/>
    <s v="H"/>
    <m/>
    <d v="1914-04-02T00:00:00"/>
    <b v="0"/>
    <x v="0"/>
  </r>
  <r>
    <x v="22"/>
    <x v="0"/>
    <x v="30"/>
    <s v="H"/>
    <m/>
    <d v="1904-01-31T16:47:56"/>
    <b v="0"/>
    <x v="0"/>
  </r>
  <r>
    <x v="23"/>
    <x v="0"/>
    <x v="30"/>
    <s v="H"/>
    <m/>
    <d v="1903-12-20T02:23:58"/>
    <b v="0"/>
    <x v="0"/>
  </r>
  <r>
    <x v="11"/>
    <x v="0"/>
    <x v="30"/>
    <s v="H"/>
    <m/>
    <d v="1914-09-03T02:24:08"/>
    <b v="0"/>
    <x v="0"/>
  </r>
  <r>
    <x v="12"/>
    <x v="0"/>
    <x v="30"/>
    <s v="H"/>
    <m/>
    <d v="1908-08-20T00:00:00"/>
    <b v="0"/>
    <x v="0"/>
  </r>
  <r>
    <x v="13"/>
    <x v="0"/>
    <x v="30"/>
    <s v="H"/>
    <m/>
    <d v="1908-02-16T02:24:08"/>
    <b v="0"/>
    <x v="0"/>
  </r>
  <r>
    <x v="17"/>
    <x v="0"/>
    <x v="31"/>
    <s v="H"/>
    <m/>
    <d v="1914-08-10T21:35:52"/>
    <b v="0"/>
    <x v="0"/>
  </r>
  <r>
    <x v="14"/>
    <x v="0"/>
    <x v="31"/>
    <s v="H"/>
    <m/>
    <d v="1919-07-05T00:00:00"/>
    <b v="0"/>
    <x v="0"/>
  </r>
  <r>
    <x v="18"/>
    <x v="0"/>
    <x v="31"/>
    <s v="H"/>
    <m/>
    <d v="1921-02-01T16:48:17"/>
    <b v="0"/>
    <x v="0"/>
  </r>
  <r>
    <x v="1"/>
    <x v="0"/>
    <x v="31"/>
    <s v="H"/>
    <m/>
    <d v="1918-05-08T09:35:52"/>
    <b v="0"/>
    <x v="0"/>
  </r>
  <r>
    <x v="15"/>
    <x v="0"/>
    <x v="31"/>
    <s v="H"/>
    <m/>
    <d v="1920-03-18T02:24:08"/>
    <b v="0"/>
    <x v="0"/>
  </r>
  <r>
    <x v="16"/>
    <x v="0"/>
    <x v="31"/>
    <s v="H"/>
    <m/>
    <d v="1913-03-04T04:48:17"/>
    <b v="0"/>
    <x v="0"/>
  </r>
  <r>
    <x v="19"/>
    <x v="0"/>
    <x v="31"/>
    <s v="H"/>
    <m/>
    <d v="1909-06-26T04:47:56"/>
    <b v="0"/>
    <x v="0"/>
  </r>
  <r>
    <x v="2"/>
    <x v="0"/>
    <x v="31"/>
    <s v="H"/>
    <m/>
    <d v="1913-11-25T16:48:17"/>
    <b v="0"/>
    <x v="0"/>
  </r>
  <r>
    <x v="3"/>
    <x v="0"/>
    <x v="31"/>
    <s v="H"/>
    <m/>
    <d v="1910-11-28T00:00:00"/>
    <b v="0"/>
    <x v="0"/>
  </r>
  <r>
    <x v="4"/>
    <x v="0"/>
    <x v="31"/>
    <s v="H"/>
    <m/>
    <d v="1905-03-12T02:23:58"/>
    <b v="0"/>
    <x v="0"/>
  </r>
  <r>
    <x v="5"/>
    <x v="0"/>
    <x v="31"/>
    <s v="H"/>
    <m/>
    <d v="1904-11-04T07:12:04"/>
    <b v="0"/>
    <x v="0"/>
  </r>
  <r>
    <x v="20"/>
    <x v="0"/>
    <x v="31"/>
    <s v="H"/>
    <m/>
    <d v="1905-02-05T09:36:02"/>
    <b v="0"/>
    <x v="0"/>
  </r>
  <r>
    <x v="6"/>
    <x v="0"/>
    <x v="31"/>
    <s v="H"/>
    <m/>
    <d v="1904-04-08T00:00:00"/>
    <b v="0"/>
    <x v="0"/>
  </r>
  <r>
    <x v="7"/>
    <x v="0"/>
    <x v="31"/>
    <s v="H"/>
    <m/>
    <d v="1907-08-26T19:12:04"/>
    <b v="0"/>
    <x v="0"/>
  </r>
  <r>
    <x v="21"/>
    <x v="0"/>
    <x v="31"/>
    <s v="H"/>
    <m/>
    <d v="1914-03-26T09:35:52"/>
    <b v="0"/>
    <x v="0"/>
  </r>
  <r>
    <x v="8"/>
    <x v="0"/>
    <x v="31"/>
    <s v="H"/>
    <m/>
    <d v="1911-12-17T19:11:43"/>
    <b v="0"/>
    <x v="0"/>
  </r>
  <r>
    <x v="9"/>
    <x v="0"/>
    <x v="31"/>
    <s v="H"/>
    <m/>
    <d v="1913-01-07T12:00:00"/>
    <b v="0"/>
    <x v="0"/>
  </r>
  <r>
    <x v="10"/>
    <x v="0"/>
    <x v="31"/>
    <s v="H"/>
    <m/>
    <d v="1914-04-02T00:00:00"/>
    <b v="0"/>
    <x v="0"/>
  </r>
  <r>
    <x v="22"/>
    <x v="0"/>
    <x v="31"/>
    <s v="H"/>
    <m/>
    <d v="1904-01-31T16:47:56"/>
    <b v="0"/>
    <x v="0"/>
  </r>
  <r>
    <x v="23"/>
    <x v="0"/>
    <x v="31"/>
    <s v="H"/>
    <m/>
    <d v="1903-12-20T02:23:58"/>
    <b v="0"/>
    <x v="0"/>
  </r>
  <r>
    <x v="11"/>
    <x v="0"/>
    <x v="31"/>
    <s v="H"/>
    <m/>
    <d v="1914-09-03T02:24:08"/>
    <b v="0"/>
    <x v="0"/>
  </r>
  <r>
    <x v="12"/>
    <x v="0"/>
    <x v="31"/>
    <s v="H"/>
    <m/>
    <d v="1908-08-20T00:00:00"/>
    <b v="0"/>
    <x v="0"/>
  </r>
  <r>
    <x v="13"/>
    <x v="0"/>
    <x v="31"/>
    <s v="H"/>
    <m/>
    <d v="1908-02-16T02:24:08"/>
    <b v="0"/>
    <x v="0"/>
  </r>
  <r>
    <x v="17"/>
    <x v="0"/>
    <x v="32"/>
    <s v="D"/>
    <d v="2014-08-11T00:00:00"/>
    <d v="1899-12-30T00:00:00"/>
    <b v="0"/>
    <x v="0"/>
  </r>
  <r>
    <x v="14"/>
    <x v="0"/>
    <x v="32"/>
    <s v="D"/>
    <d v="2015-03-11T00:00:00"/>
    <d v="1899-12-30T00:00:00"/>
    <b v="0"/>
    <x v="0"/>
  </r>
  <r>
    <x v="18"/>
    <x v="0"/>
    <x v="32"/>
    <s v="D"/>
    <d v="2014-07-21T15:28:00"/>
    <d v="1899-12-30T00:00:00"/>
    <b v="0"/>
    <x v="0"/>
  </r>
  <r>
    <x v="1"/>
    <x v="0"/>
    <x v="32"/>
    <s v="D"/>
    <d v="2015-04-05T00:00:00"/>
    <d v="1899-12-30T00:00:00"/>
    <b v="0"/>
    <x v="0"/>
  </r>
  <r>
    <x v="15"/>
    <x v="0"/>
    <x v="32"/>
    <s v="D"/>
    <d v="2014-07-23T13:39:00"/>
    <d v="1899-12-30T00:00:00"/>
    <b v="0"/>
    <x v="0"/>
  </r>
  <r>
    <x v="16"/>
    <x v="0"/>
    <x v="32"/>
    <s v="D"/>
    <d v="2014-06-19T17:31:00"/>
    <d v="1899-12-30T00:00:00"/>
    <b v="0"/>
    <x v="0"/>
  </r>
  <r>
    <x v="19"/>
    <x v="0"/>
    <x v="32"/>
    <s v="D"/>
    <d v="2014-07-05T00:00:00"/>
    <d v="1899-12-30T00:00:00"/>
    <b v="0"/>
    <x v="0"/>
  </r>
  <r>
    <x v="2"/>
    <x v="0"/>
    <x v="32"/>
    <s v="D"/>
    <d v="2014-11-25T00:00:00"/>
    <d v="1899-12-30T00:00:00"/>
    <b v="0"/>
    <x v="0"/>
  </r>
  <r>
    <x v="3"/>
    <x v="0"/>
    <x v="32"/>
    <s v="D"/>
    <d v="2014-11-06T13:57:00"/>
    <d v="1899-12-30T00:00:00"/>
    <b v="0"/>
    <x v="0"/>
  </r>
  <r>
    <x v="4"/>
    <x v="0"/>
    <x v="32"/>
    <s v="D"/>
    <d v="2014-11-25T12:55:00"/>
    <d v="1899-12-30T00:00:00"/>
    <b v="0"/>
    <x v="0"/>
  </r>
  <r>
    <x v="5"/>
    <x v="0"/>
    <x v="32"/>
    <s v="D"/>
    <d v="2014-07-05T12:41:00"/>
    <d v="1899-12-30T00:00:00"/>
    <b v="0"/>
    <x v="0"/>
  </r>
  <r>
    <x v="0"/>
    <x v="0"/>
    <x v="32"/>
    <s v="D"/>
    <d v="2014-07-21T10:20:00"/>
    <d v="1899-12-30T00:00:00"/>
    <b v="0"/>
    <x v="0"/>
  </r>
  <r>
    <x v="20"/>
    <x v="0"/>
    <x v="32"/>
    <s v="D"/>
    <d v="2014-11-24T00:00:00"/>
    <d v="1899-12-30T00:00:00"/>
    <b v="0"/>
    <x v="0"/>
  </r>
  <r>
    <x v="6"/>
    <x v="0"/>
    <x v="32"/>
    <s v="D"/>
    <d v="2014-11-25T15:20:00"/>
    <d v="1899-12-30T00:00:00"/>
    <b v="0"/>
    <x v="0"/>
  </r>
  <r>
    <x v="7"/>
    <x v="0"/>
    <x v="32"/>
    <s v="D"/>
    <d v="2014-07-05T05:59:00"/>
    <d v="1899-12-30T00:00:00"/>
    <b v="0"/>
    <x v="0"/>
  </r>
  <r>
    <x v="21"/>
    <x v="0"/>
    <x v="32"/>
    <s v="D"/>
    <d v="2014-07-05T00:00:00"/>
    <d v="1899-12-30T00:00:00"/>
    <b v="0"/>
    <x v="0"/>
  </r>
  <r>
    <x v="8"/>
    <x v="0"/>
    <x v="32"/>
    <s v="D"/>
    <d v="2014-11-25T00:00:00"/>
    <d v="1899-12-30T00:00:00"/>
    <b v="0"/>
    <x v="0"/>
  </r>
  <r>
    <x v="9"/>
    <x v="0"/>
    <x v="32"/>
    <s v="D"/>
    <d v="2014-07-05T00:00:00"/>
    <d v="1899-12-30T00:00:00"/>
    <b v="0"/>
    <x v="0"/>
  </r>
  <r>
    <x v="10"/>
    <x v="0"/>
    <x v="32"/>
    <s v="D"/>
    <d v="2014-07-05T07:30:00"/>
    <d v="1899-12-30T00:00:00"/>
    <b v="0"/>
    <x v="0"/>
  </r>
  <r>
    <x v="22"/>
    <x v="0"/>
    <x v="32"/>
    <s v="D"/>
    <d v="2014-11-25T15:25:00"/>
    <d v="1899-12-30T00:00:00"/>
    <b v="0"/>
    <x v="0"/>
  </r>
  <r>
    <x v="23"/>
    <x v="0"/>
    <x v="32"/>
    <s v="D"/>
    <d v="2014-08-05T13:09:00"/>
    <d v="1899-12-30T00:00:00"/>
    <b v="0"/>
    <x v="0"/>
  </r>
  <r>
    <x v="11"/>
    <x v="0"/>
    <x v="32"/>
    <s v="D"/>
    <d v="2014-11-25T00:00:00"/>
    <d v="1899-12-30T00:00:00"/>
    <b v="0"/>
    <x v="0"/>
  </r>
  <r>
    <x v="12"/>
    <x v="0"/>
    <x v="32"/>
    <s v="D"/>
    <d v="2014-07-22T12:51:00"/>
    <d v="1899-12-30T00:00:00"/>
    <b v="0"/>
    <x v="0"/>
  </r>
  <r>
    <x v="13"/>
    <x v="0"/>
    <x v="32"/>
    <s v="D"/>
    <d v="2014-07-05T00:00:00"/>
    <d v="1899-12-30T00:00:00"/>
    <b v="0"/>
    <x v="0"/>
  </r>
  <r>
    <x v="14"/>
    <x v="0"/>
    <x v="32"/>
    <s v="M"/>
    <d v="2014-04-09T00:00:00"/>
    <m/>
    <b v="0"/>
    <x v="0"/>
  </r>
  <r>
    <x v="17"/>
    <x v="0"/>
    <x v="33"/>
    <s v="H"/>
    <m/>
    <d v="1914-04-12T14:24:08"/>
    <b v="0"/>
    <x v="0"/>
  </r>
  <r>
    <x v="14"/>
    <x v="0"/>
    <x v="33"/>
    <s v="H"/>
    <m/>
    <d v="1919-03-02T00:00:00"/>
    <b v="0"/>
    <x v="0"/>
  </r>
  <r>
    <x v="18"/>
    <x v="0"/>
    <x v="33"/>
    <s v="H"/>
    <m/>
    <d v="1921-02-01T16:48:17"/>
    <b v="0"/>
    <x v="0"/>
  </r>
  <r>
    <x v="1"/>
    <x v="0"/>
    <x v="33"/>
    <s v="H"/>
    <m/>
    <d v="1918-05-08T09:35:52"/>
    <b v="0"/>
    <x v="0"/>
  </r>
  <r>
    <x v="15"/>
    <x v="0"/>
    <x v="33"/>
    <s v="H"/>
    <m/>
    <d v="1920-03-18T02:24:08"/>
    <b v="0"/>
    <x v="0"/>
  </r>
  <r>
    <x v="16"/>
    <x v="0"/>
    <x v="33"/>
    <s v="H"/>
    <m/>
    <d v="1913-03-04T04:48:17"/>
    <b v="0"/>
    <x v="0"/>
  </r>
  <r>
    <x v="19"/>
    <x v="0"/>
    <x v="33"/>
    <s v="H"/>
    <m/>
    <d v="1909-02-21T12:00:00"/>
    <b v="0"/>
    <x v="0"/>
  </r>
  <r>
    <x v="2"/>
    <x v="0"/>
    <x v="33"/>
    <s v="H"/>
    <m/>
    <d v="1913-07-23T16:48:17"/>
    <b v="0"/>
    <x v="0"/>
  </r>
  <r>
    <x v="3"/>
    <x v="0"/>
    <x v="33"/>
    <s v="H"/>
    <m/>
    <d v="1910-11-28T00:00:00"/>
    <b v="0"/>
    <x v="0"/>
  </r>
  <r>
    <x v="4"/>
    <x v="0"/>
    <x v="33"/>
    <s v="H"/>
    <m/>
    <d v="1904-11-15T19:12:04"/>
    <b v="0"/>
    <x v="0"/>
  </r>
  <r>
    <x v="5"/>
    <x v="0"/>
    <x v="33"/>
    <s v="H"/>
    <m/>
    <d v="1904-11-04T07:12:04"/>
    <b v="0"/>
    <x v="0"/>
  </r>
  <r>
    <x v="0"/>
    <x v="0"/>
    <x v="33"/>
    <s v="H"/>
    <m/>
    <d v="1904-08-30T16:47:56"/>
    <b v="0"/>
    <x v="0"/>
  </r>
  <r>
    <x v="20"/>
    <x v="0"/>
    <x v="33"/>
    <s v="H"/>
    <m/>
    <d v="1904-10-16T12:00:00"/>
    <b v="0"/>
    <x v="0"/>
  </r>
  <r>
    <x v="6"/>
    <x v="0"/>
    <x v="33"/>
    <s v="H"/>
    <m/>
    <d v="1903-12-05T00:00:00"/>
    <b v="0"/>
    <x v="0"/>
  </r>
  <r>
    <x v="7"/>
    <x v="0"/>
    <x v="33"/>
    <s v="H"/>
    <m/>
    <d v="1907-04-23T19:12:04"/>
    <b v="0"/>
    <x v="0"/>
  </r>
  <r>
    <x v="21"/>
    <x v="0"/>
    <x v="33"/>
    <s v="H"/>
    <m/>
    <d v="1914-03-26T09:35:52"/>
    <b v="0"/>
    <x v="0"/>
  </r>
  <r>
    <x v="8"/>
    <x v="0"/>
    <x v="33"/>
    <s v="H"/>
    <m/>
    <d v="1911-08-14T19:11:43"/>
    <b v="0"/>
    <x v="0"/>
  </r>
  <r>
    <x v="9"/>
    <x v="0"/>
    <x v="33"/>
    <s v="H"/>
    <m/>
    <d v="1913-01-07T12:00:00"/>
    <b v="0"/>
    <x v="0"/>
  </r>
  <r>
    <x v="10"/>
    <x v="0"/>
    <x v="33"/>
    <s v="H"/>
    <m/>
    <d v="1913-11-28T00:00:00"/>
    <b v="0"/>
    <x v="0"/>
  </r>
  <r>
    <x v="22"/>
    <x v="0"/>
    <x v="33"/>
    <s v="H"/>
    <m/>
    <d v="1904-01-31T16:47:56"/>
    <b v="0"/>
    <x v="0"/>
  </r>
  <r>
    <x v="23"/>
    <x v="0"/>
    <x v="33"/>
    <s v="H"/>
    <m/>
    <d v="1903-08-17T09:36:02"/>
    <b v="0"/>
    <x v="0"/>
  </r>
  <r>
    <x v="11"/>
    <x v="0"/>
    <x v="33"/>
    <s v="H"/>
    <m/>
    <d v="1914-05-01T02:24:08"/>
    <b v="0"/>
    <x v="0"/>
  </r>
  <r>
    <x v="12"/>
    <x v="0"/>
    <x v="33"/>
    <s v="H"/>
    <m/>
    <d v="1908-08-23T04:47:56"/>
    <b v="0"/>
    <x v="0"/>
  </r>
  <r>
    <x v="13"/>
    <x v="0"/>
    <x v="33"/>
    <s v="H"/>
    <m/>
    <d v="1908-02-16T02:24:08"/>
    <b v="0"/>
    <x v="0"/>
  </r>
  <r>
    <x v="17"/>
    <x v="0"/>
    <x v="34"/>
    <s v="H"/>
    <m/>
    <d v="1914-08-10T21:35:52"/>
    <b v="0"/>
    <x v="0"/>
  </r>
  <r>
    <x v="14"/>
    <x v="0"/>
    <x v="34"/>
    <s v="H"/>
    <m/>
    <d v="1919-07-05T00:00:00"/>
    <b v="0"/>
    <x v="0"/>
  </r>
  <r>
    <x v="18"/>
    <x v="0"/>
    <x v="34"/>
    <s v="H"/>
    <m/>
    <d v="1921-02-01T16:48:17"/>
    <b v="0"/>
    <x v="0"/>
  </r>
  <r>
    <x v="1"/>
    <x v="0"/>
    <x v="34"/>
    <s v="H"/>
    <m/>
    <d v="1918-05-08T09:35:52"/>
    <b v="0"/>
    <x v="0"/>
  </r>
  <r>
    <x v="15"/>
    <x v="0"/>
    <x v="34"/>
    <s v="H"/>
    <m/>
    <d v="1920-03-18T02:24:08"/>
    <b v="0"/>
    <x v="0"/>
  </r>
  <r>
    <x v="16"/>
    <x v="0"/>
    <x v="34"/>
    <s v="H"/>
    <m/>
    <d v="1913-03-04T04:48:17"/>
    <b v="0"/>
    <x v="0"/>
  </r>
  <r>
    <x v="19"/>
    <x v="0"/>
    <x v="34"/>
    <s v="H"/>
    <m/>
    <d v="1909-06-26T04:47:56"/>
    <b v="0"/>
    <x v="0"/>
  </r>
  <r>
    <x v="2"/>
    <x v="0"/>
    <x v="34"/>
    <s v="H"/>
    <m/>
    <d v="1913-11-25T16:48:17"/>
    <b v="0"/>
    <x v="0"/>
  </r>
  <r>
    <x v="3"/>
    <x v="0"/>
    <x v="34"/>
    <s v="H"/>
    <m/>
    <d v="1910-11-28T00:00:00"/>
    <b v="0"/>
    <x v="0"/>
  </r>
  <r>
    <x v="4"/>
    <x v="0"/>
    <x v="34"/>
    <s v="H"/>
    <m/>
    <d v="1905-03-12T02:23:58"/>
    <b v="0"/>
    <x v="0"/>
  </r>
  <r>
    <x v="5"/>
    <x v="0"/>
    <x v="34"/>
    <s v="H"/>
    <m/>
    <d v="1904-11-04T07:12:04"/>
    <b v="0"/>
    <x v="0"/>
  </r>
  <r>
    <x v="0"/>
    <x v="0"/>
    <x v="34"/>
    <s v="H"/>
    <m/>
    <d v="1904-08-30T16:47:56"/>
    <b v="0"/>
    <x v="0"/>
  </r>
  <r>
    <x v="20"/>
    <x v="0"/>
    <x v="34"/>
    <s v="H"/>
    <m/>
    <d v="1905-02-05T09:36:02"/>
    <b v="0"/>
    <x v="0"/>
  </r>
  <r>
    <x v="6"/>
    <x v="0"/>
    <x v="34"/>
    <s v="H"/>
    <m/>
    <d v="1904-04-08T00:00:00"/>
    <b v="0"/>
    <x v="0"/>
  </r>
  <r>
    <x v="7"/>
    <x v="0"/>
    <x v="34"/>
    <s v="H"/>
    <m/>
    <d v="1907-08-26T19:12:04"/>
    <b v="0"/>
    <x v="0"/>
  </r>
  <r>
    <x v="21"/>
    <x v="0"/>
    <x v="34"/>
    <s v="H"/>
    <m/>
    <d v="1914-06-26T07:11:43"/>
    <b v="0"/>
    <x v="0"/>
  </r>
  <r>
    <x v="8"/>
    <x v="0"/>
    <x v="34"/>
    <s v="H"/>
    <m/>
    <d v="1911-12-17T19:11:43"/>
    <b v="0"/>
    <x v="0"/>
  </r>
  <r>
    <x v="9"/>
    <x v="0"/>
    <x v="34"/>
    <s v="H"/>
    <m/>
    <d v="1913-01-07T12:00:00"/>
    <b v="0"/>
    <x v="0"/>
  </r>
  <r>
    <x v="10"/>
    <x v="0"/>
    <x v="34"/>
    <s v="H"/>
    <m/>
    <d v="1914-04-02T00:00:00"/>
    <b v="0"/>
    <x v="0"/>
  </r>
  <r>
    <x v="22"/>
    <x v="0"/>
    <x v="34"/>
    <s v="H"/>
    <m/>
    <d v="1904-01-31T16:47:56"/>
    <b v="0"/>
    <x v="0"/>
  </r>
  <r>
    <x v="23"/>
    <x v="0"/>
    <x v="34"/>
    <s v="H"/>
    <m/>
    <d v="1903-12-20T02:23:58"/>
    <b v="0"/>
    <x v="0"/>
  </r>
  <r>
    <x v="11"/>
    <x v="0"/>
    <x v="34"/>
    <s v="H"/>
    <m/>
    <d v="1914-09-03T02:24:08"/>
    <b v="0"/>
    <x v="0"/>
  </r>
  <r>
    <x v="12"/>
    <x v="0"/>
    <x v="34"/>
    <s v="H"/>
    <m/>
    <d v="1908-08-20T00:00:00"/>
    <b v="0"/>
    <x v="0"/>
  </r>
  <r>
    <x v="13"/>
    <x v="0"/>
    <x v="34"/>
    <s v="H"/>
    <m/>
    <d v="1908-02-16T02:24:08"/>
    <b v="0"/>
    <x v="0"/>
  </r>
  <r>
    <x v="18"/>
    <x v="0"/>
    <x v="35"/>
    <s v="D"/>
    <d v="2014-10-01T00:00:00"/>
    <d v="1899-12-30T00:00:00"/>
    <b v="0"/>
    <x v="0"/>
  </r>
  <r>
    <x v="3"/>
    <x v="0"/>
    <x v="35"/>
    <s v="D"/>
    <d v="2014-08-06T00:00:00"/>
    <d v="1899-12-30T00:00:00"/>
    <b v="0"/>
    <x v="0"/>
  </r>
  <r>
    <x v="5"/>
    <x v="0"/>
    <x v="35"/>
    <s v="D"/>
    <d v="2014-08-28T13:07:00"/>
    <d v="1899-12-30T00:00:00"/>
    <b v="0"/>
    <x v="0"/>
  </r>
  <r>
    <x v="0"/>
    <x v="0"/>
    <x v="35"/>
    <s v="D"/>
    <d v="2014-06-11T00:00:00"/>
    <d v="1899-12-30T00:00:00"/>
    <b v="0"/>
    <x v="0"/>
  </r>
  <r>
    <x v="9"/>
    <x v="0"/>
    <x v="35"/>
    <s v="D"/>
    <d v="2015-01-22T00:00:00"/>
    <d v="1899-12-30T00:00:00"/>
    <b v="0"/>
    <x v="0"/>
  </r>
  <r>
    <x v="23"/>
    <x v="0"/>
    <x v="35"/>
    <s v="D"/>
    <d v="2014-08-04T10:40:00"/>
    <d v="1899-12-30T00:00:00"/>
    <b v="0"/>
    <x v="0"/>
  </r>
  <r>
    <x v="18"/>
    <x v="0"/>
    <x v="35"/>
    <s v="H"/>
    <m/>
    <d v="1921-02-01T04:48:17"/>
    <b v="0"/>
    <x v="0"/>
  </r>
  <r>
    <x v="3"/>
    <x v="0"/>
    <x v="35"/>
    <s v="H"/>
    <m/>
    <d v="1910-11-28T00:00:00"/>
    <b v="0"/>
    <x v="0"/>
  </r>
  <r>
    <x v="5"/>
    <x v="0"/>
    <x v="35"/>
    <s v="H"/>
    <m/>
    <d v="1904-11-04T07:12:04"/>
    <b v="0"/>
    <x v="0"/>
  </r>
  <r>
    <x v="0"/>
    <x v="0"/>
    <x v="35"/>
    <s v="H"/>
    <m/>
    <d v="1904-08-30T16:47:56"/>
    <b v="0"/>
    <x v="0"/>
  </r>
  <r>
    <x v="9"/>
    <x v="0"/>
    <x v="35"/>
    <s v="H"/>
    <m/>
    <d v="1912-11-05T04:48:17"/>
    <b v="0"/>
    <x v="0"/>
  </r>
  <r>
    <x v="23"/>
    <x v="0"/>
    <x v="35"/>
    <s v="H"/>
    <m/>
    <d v="1903-12-23T14:23:58"/>
    <b v="0"/>
    <x v="0"/>
  </r>
  <r>
    <x v="17"/>
    <x v="0"/>
    <x v="36"/>
    <s v="H"/>
    <m/>
    <d v="1914-04-12T14:24:08"/>
    <b v="0"/>
    <x v="0"/>
  </r>
  <r>
    <x v="14"/>
    <x v="0"/>
    <x v="36"/>
    <s v="H"/>
    <m/>
    <d v="1918-07-03T12:00:00"/>
    <b v="0"/>
    <x v="0"/>
  </r>
  <r>
    <x v="18"/>
    <x v="0"/>
    <x v="36"/>
    <s v="H"/>
    <m/>
    <d v="1920-06-01T16:48:17"/>
    <b v="0"/>
    <x v="0"/>
  </r>
  <r>
    <x v="1"/>
    <x v="0"/>
    <x v="36"/>
    <s v="H"/>
    <m/>
    <d v="1917-09-08T09:35:52"/>
    <b v="0"/>
    <x v="0"/>
  </r>
  <r>
    <x v="15"/>
    <x v="0"/>
    <x v="36"/>
    <s v="H"/>
    <m/>
    <d v="1920-03-18T02:24:08"/>
    <b v="0"/>
    <x v="0"/>
  </r>
  <r>
    <x v="16"/>
    <x v="0"/>
    <x v="36"/>
    <s v="H"/>
    <m/>
    <d v="1912-07-13T16:48:17"/>
    <b v="0"/>
    <x v="0"/>
  </r>
  <r>
    <x v="19"/>
    <x v="0"/>
    <x v="36"/>
    <s v="H"/>
    <m/>
    <d v="1908-07-09T07:12:04"/>
    <b v="0"/>
    <x v="0"/>
  </r>
  <r>
    <x v="2"/>
    <x v="0"/>
    <x v="36"/>
    <s v="H"/>
    <m/>
    <d v="1912-11-18T09:35:52"/>
    <b v="0"/>
    <x v="0"/>
  </r>
  <r>
    <x v="3"/>
    <x v="0"/>
    <x v="36"/>
    <s v="H"/>
    <m/>
    <d v="1910-03-31T09:35:52"/>
    <b v="0"/>
    <x v="0"/>
  </r>
  <r>
    <x v="4"/>
    <x v="0"/>
    <x v="36"/>
    <s v="H"/>
    <m/>
    <d v="1904-03-05T21:36:02"/>
    <b v="0"/>
    <x v="0"/>
  </r>
  <r>
    <x v="5"/>
    <x v="0"/>
    <x v="36"/>
    <s v="H"/>
    <m/>
    <d v="1904-11-04T07:12:04"/>
    <b v="0"/>
    <x v="0"/>
  </r>
  <r>
    <x v="0"/>
    <x v="0"/>
    <x v="36"/>
    <s v="H"/>
    <m/>
    <d v="1904-08-30T16:47:56"/>
    <b v="0"/>
    <x v="0"/>
  </r>
  <r>
    <x v="20"/>
    <x v="0"/>
    <x v="36"/>
    <s v="H"/>
    <m/>
    <d v="1904-02-26T19:12:04"/>
    <b v="0"/>
    <x v="0"/>
  </r>
  <r>
    <x v="6"/>
    <x v="0"/>
    <x v="36"/>
    <s v="H"/>
    <m/>
    <d v="1903-04-05T04:47:56"/>
    <b v="0"/>
    <x v="0"/>
  </r>
  <r>
    <x v="7"/>
    <x v="0"/>
    <x v="36"/>
    <s v="H"/>
    <m/>
    <d v="1907-04-23T19:12:04"/>
    <b v="0"/>
    <x v="0"/>
  </r>
  <r>
    <x v="21"/>
    <x v="0"/>
    <x v="36"/>
    <s v="H"/>
    <m/>
    <d v="1914-03-26T09:35:52"/>
    <b v="0"/>
    <x v="0"/>
  </r>
  <r>
    <x v="8"/>
    <x v="0"/>
    <x v="36"/>
    <s v="H"/>
    <m/>
    <d v="1910-12-11T14:24:08"/>
    <b v="0"/>
    <x v="0"/>
  </r>
  <r>
    <x v="9"/>
    <x v="0"/>
    <x v="36"/>
    <s v="H"/>
    <m/>
    <d v="1913-01-07T12:00:00"/>
    <b v="0"/>
    <x v="0"/>
  </r>
  <r>
    <x v="10"/>
    <x v="0"/>
    <x v="36"/>
    <s v="H"/>
    <m/>
    <d v="1913-11-28T00:00:00"/>
    <b v="0"/>
    <x v="0"/>
  </r>
  <r>
    <x v="22"/>
    <x v="0"/>
    <x v="36"/>
    <s v="H"/>
    <m/>
    <d v="1903-05-31T21:36:02"/>
    <b v="0"/>
    <x v="0"/>
  </r>
  <r>
    <x v="23"/>
    <x v="0"/>
    <x v="36"/>
    <s v="H"/>
    <m/>
    <d v="1903-08-17T09:36:02"/>
    <b v="0"/>
    <x v="0"/>
  </r>
  <r>
    <x v="11"/>
    <x v="0"/>
    <x v="36"/>
    <s v="H"/>
    <m/>
    <d v="1913-08-29T02:24:08"/>
    <b v="0"/>
    <x v="0"/>
  </r>
  <r>
    <x v="12"/>
    <x v="0"/>
    <x v="36"/>
    <s v="H"/>
    <m/>
    <d v="1907-12-27T04:47:56"/>
    <b v="0"/>
    <x v="0"/>
  </r>
  <r>
    <x v="13"/>
    <x v="0"/>
    <x v="36"/>
    <s v="H"/>
    <m/>
    <d v="1908-02-16T02:24:08"/>
    <b v="0"/>
    <x v="0"/>
  </r>
  <r>
    <x v="17"/>
    <x v="0"/>
    <x v="37"/>
    <s v="H"/>
    <m/>
    <d v="1914-04-12T14:24:08"/>
    <b v="0"/>
    <x v="0"/>
  </r>
  <r>
    <x v="14"/>
    <x v="0"/>
    <x v="37"/>
    <s v="H"/>
    <m/>
    <d v="1918-07-03T12:00:00"/>
    <b v="0"/>
    <x v="0"/>
  </r>
  <r>
    <x v="18"/>
    <x v="0"/>
    <x v="37"/>
    <s v="H"/>
    <m/>
    <d v="1920-06-01T16:48:17"/>
    <b v="0"/>
    <x v="0"/>
  </r>
  <r>
    <x v="1"/>
    <x v="0"/>
    <x v="37"/>
    <s v="H"/>
    <m/>
    <d v="1917-09-08T09:35:52"/>
    <b v="0"/>
    <x v="0"/>
  </r>
  <r>
    <x v="15"/>
    <x v="0"/>
    <x v="37"/>
    <s v="H"/>
    <m/>
    <d v="1920-03-18T02:24:08"/>
    <b v="0"/>
    <x v="0"/>
  </r>
  <r>
    <x v="16"/>
    <x v="0"/>
    <x v="37"/>
    <s v="H"/>
    <m/>
    <d v="1912-07-13T16:48:17"/>
    <b v="0"/>
    <x v="0"/>
  </r>
  <r>
    <x v="19"/>
    <x v="0"/>
    <x v="37"/>
    <s v="H"/>
    <m/>
    <d v="1908-07-09T07:12:04"/>
    <b v="0"/>
    <x v="0"/>
  </r>
  <r>
    <x v="2"/>
    <x v="0"/>
    <x v="37"/>
    <s v="H"/>
    <m/>
    <d v="1912-11-18T09:35:52"/>
    <b v="0"/>
    <x v="0"/>
  </r>
  <r>
    <x v="3"/>
    <x v="0"/>
    <x v="37"/>
    <s v="H"/>
    <m/>
    <d v="1910-03-31T09:35:52"/>
    <b v="0"/>
    <x v="0"/>
  </r>
  <r>
    <x v="4"/>
    <x v="0"/>
    <x v="37"/>
    <s v="H"/>
    <m/>
    <d v="1904-03-05T21:36:02"/>
    <b v="0"/>
    <x v="0"/>
  </r>
  <r>
    <x v="5"/>
    <x v="0"/>
    <x v="37"/>
    <s v="H"/>
    <m/>
    <d v="1904-11-04T07:12:04"/>
    <b v="0"/>
    <x v="0"/>
  </r>
  <r>
    <x v="20"/>
    <x v="0"/>
    <x v="37"/>
    <s v="H"/>
    <m/>
    <d v="1904-02-26T19:12:04"/>
    <b v="0"/>
    <x v="0"/>
  </r>
  <r>
    <x v="6"/>
    <x v="0"/>
    <x v="37"/>
    <s v="H"/>
    <m/>
    <d v="1903-04-05T04:47:56"/>
    <b v="0"/>
    <x v="0"/>
  </r>
  <r>
    <x v="7"/>
    <x v="0"/>
    <x v="37"/>
    <s v="H"/>
    <m/>
    <d v="1907-04-23T19:12:04"/>
    <b v="0"/>
    <x v="0"/>
  </r>
  <r>
    <x v="21"/>
    <x v="0"/>
    <x v="37"/>
    <s v="H"/>
    <m/>
    <d v="1914-03-26T09:35:52"/>
    <b v="0"/>
    <x v="0"/>
  </r>
  <r>
    <x v="8"/>
    <x v="0"/>
    <x v="37"/>
    <s v="H"/>
    <m/>
    <d v="1910-12-11T14:24:08"/>
    <b v="0"/>
    <x v="0"/>
  </r>
  <r>
    <x v="9"/>
    <x v="0"/>
    <x v="37"/>
    <s v="H"/>
    <m/>
    <d v="1913-01-07T12:00:00"/>
    <b v="0"/>
    <x v="0"/>
  </r>
  <r>
    <x v="10"/>
    <x v="0"/>
    <x v="37"/>
    <s v="H"/>
    <m/>
    <d v="1913-11-28T00:00:00"/>
    <b v="0"/>
    <x v="0"/>
  </r>
  <r>
    <x v="22"/>
    <x v="0"/>
    <x v="37"/>
    <s v="H"/>
    <m/>
    <d v="1903-05-31T21:36:02"/>
    <b v="0"/>
    <x v="0"/>
  </r>
  <r>
    <x v="23"/>
    <x v="0"/>
    <x v="37"/>
    <s v="H"/>
    <m/>
    <d v="1903-08-17T09:36:02"/>
    <b v="0"/>
    <x v="0"/>
  </r>
  <r>
    <x v="11"/>
    <x v="0"/>
    <x v="37"/>
    <s v="H"/>
    <m/>
    <d v="1913-08-29T02:24:08"/>
    <b v="0"/>
    <x v="0"/>
  </r>
  <r>
    <x v="12"/>
    <x v="0"/>
    <x v="37"/>
    <s v="H"/>
    <m/>
    <d v="1907-12-27T04:47:56"/>
    <b v="0"/>
    <x v="0"/>
  </r>
  <r>
    <x v="13"/>
    <x v="0"/>
    <x v="37"/>
    <s v="H"/>
    <m/>
    <d v="1908-02-16T02:24:08"/>
    <b v="0"/>
    <x v="0"/>
  </r>
  <r>
    <x v="17"/>
    <x v="0"/>
    <x v="38"/>
    <s v="H"/>
    <m/>
    <d v="1914-04-12T14:24:08"/>
    <b v="0"/>
    <x v="0"/>
  </r>
  <r>
    <x v="14"/>
    <x v="0"/>
    <x v="38"/>
    <s v="H"/>
    <m/>
    <d v="1919-03-02T00:00:00"/>
    <b v="0"/>
    <x v="0"/>
  </r>
  <r>
    <x v="18"/>
    <x v="0"/>
    <x v="38"/>
    <s v="H"/>
    <m/>
    <d v="1921-02-01T16:48:17"/>
    <b v="0"/>
    <x v="0"/>
  </r>
  <r>
    <x v="1"/>
    <x v="0"/>
    <x v="38"/>
    <s v="H"/>
    <m/>
    <d v="1918-05-08T09:35:52"/>
    <b v="0"/>
    <x v="0"/>
  </r>
  <r>
    <x v="15"/>
    <x v="0"/>
    <x v="38"/>
    <s v="H"/>
    <m/>
    <d v="1920-03-18T02:24:08"/>
    <b v="0"/>
    <x v="0"/>
  </r>
  <r>
    <x v="16"/>
    <x v="0"/>
    <x v="38"/>
    <s v="H"/>
    <m/>
    <d v="1913-03-04T04:48:17"/>
    <b v="0"/>
    <x v="0"/>
  </r>
  <r>
    <x v="19"/>
    <x v="0"/>
    <x v="38"/>
    <s v="H"/>
    <m/>
    <d v="1909-02-21T04:47:56"/>
    <b v="0"/>
    <x v="0"/>
  </r>
  <r>
    <x v="2"/>
    <x v="0"/>
    <x v="38"/>
    <s v="H"/>
    <m/>
    <d v="1913-07-23T16:48:17"/>
    <b v="0"/>
    <x v="0"/>
  </r>
  <r>
    <x v="3"/>
    <x v="0"/>
    <x v="38"/>
    <s v="H"/>
    <m/>
    <d v="1910-11-28T00:00:00"/>
    <b v="0"/>
    <x v="0"/>
  </r>
  <r>
    <x v="4"/>
    <x v="0"/>
    <x v="38"/>
    <s v="H"/>
    <m/>
    <d v="1904-11-15T19:12:04"/>
    <b v="0"/>
    <x v="0"/>
  </r>
  <r>
    <x v="5"/>
    <x v="0"/>
    <x v="38"/>
    <s v="H"/>
    <m/>
    <d v="1904-11-04T07:12:04"/>
    <b v="0"/>
    <x v="0"/>
  </r>
  <r>
    <x v="0"/>
    <x v="0"/>
    <x v="38"/>
    <s v="H"/>
    <m/>
    <d v="1904-08-30T16:47:56"/>
    <b v="0"/>
    <x v="0"/>
  </r>
  <r>
    <x v="20"/>
    <x v="0"/>
    <x v="38"/>
    <s v="H"/>
    <m/>
    <d v="1904-10-16T12:00:00"/>
    <b v="0"/>
    <x v="0"/>
  </r>
  <r>
    <x v="6"/>
    <x v="0"/>
    <x v="38"/>
    <s v="H"/>
    <m/>
    <d v="1903-12-05T00:00:00"/>
    <b v="0"/>
    <x v="0"/>
  </r>
  <r>
    <x v="7"/>
    <x v="0"/>
    <x v="38"/>
    <s v="H"/>
    <m/>
    <d v="1907-04-23T19:12:04"/>
    <b v="0"/>
    <x v="0"/>
  </r>
  <r>
    <x v="21"/>
    <x v="0"/>
    <x v="38"/>
    <s v="H"/>
    <m/>
    <d v="1914-03-26T09:35:52"/>
    <b v="0"/>
    <x v="0"/>
  </r>
  <r>
    <x v="8"/>
    <x v="0"/>
    <x v="38"/>
    <s v="H"/>
    <m/>
    <d v="1911-08-14T19:11:43"/>
    <b v="0"/>
    <x v="0"/>
  </r>
  <r>
    <x v="9"/>
    <x v="0"/>
    <x v="38"/>
    <s v="H"/>
    <m/>
    <d v="1913-01-07T12:00:00"/>
    <b v="0"/>
    <x v="0"/>
  </r>
  <r>
    <x v="10"/>
    <x v="0"/>
    <x v="38"/>
    <s v="H"/>
    <m/>
    <d v="1913-11-28T00:00:00"/>
    <b v="0"/>
    <x v="0"/>
  </r>
  <r>
    <x v="22"/>
    <x v="0"/>
    <x v="38"/>
    <s v="H"/>
    <m/>
    <d v="1904-01-31T16:47:56"/>
    <b v="0"/>
    <x v="0"/>
  </r>
  <r>
    <x v="23"/>
    <x v="0"/>
    <x v="38"/>
    <s v="H"/>
    <m/>
    <d v="1903-08-17T09:36:02"/>
    <b v="0"/>
    <x v="0"/>
  </r>
  <r>
    <x v="11"/>
    <x v="0"/>
    <x v="38"/>
    <s v="H"/>
    <m/>
    <d v="1914-05-01T02:24:08"/>
    <b v="0"/>
    <x v="0"/>
  </r>
  <r>
    <x v="12"/>
    <x v="0"/>
    <x v="38"/>
    <s v="H"/>
    <m/>
    <d v="1908-08-23T04:47:56"/>
    <b v="0"/>
    <x v="0"/>
  </r>
  <r>
    <x v="13"/>
    <x v="0"/>
    <x v="38"/>
    <s v="H"/>
    <m/>
    <d v="1908-02-16T02:24:08"/>
    <b v="0"/>
    <x v="0"/>
  </r>
  <r>
    <x v="17"/>
    <x v="0"/>
    <x v="39"/>
    <s v="H"/>
    <m/>
    <d v="1914-04-12T14:24:08"/>
    <b v="0"/>
    <x v="0"/>
  </r>
  <r>
    <x v="14"/>
    <x v="0"/>
    <x v="39"/>
    <s v="H"/>
    <m/>
    <d v="1919-03-02T00:00:00"/>
    <b v="0"/>
    <x v="0"/>
  </r>
  <r>
    <x v="18"/>
    <x v="0"/>
    <x v="39"/>
    <s v="H"/>
    <m/>
    <d v="1921-02-01T16:48:17"/>
    <b v="0"/>
    <x v="0"/>
  </r>
  <r>
    <x v="1"/>
    <x v="0"/>
    <x v="39"/>
    <s v="H"/>
    <m/>
    <d v="1918-05-08T09:35:52"/>
    <b v="0"/>
    <x v="0"/>
  </r>
  <r>
    <x v="15"/>
    <x v="0"/>
    <x v="39"/>
    <s v="H"/>
    <m/>
    <d v="1920-03-18T02:24:08"/>
    <b v="0"/>
    <x v="0"/>
  </r>
  <r>
    <x v="16"/>
    <x v="0"/>
    <x v="39"/>
    <s v="H"/>
    <m/>
    <d v="1913-03-04T04:48:17"/>
    <b v="0"/>
    <x v="0"/>
  </r>
  <r>
    <x v="19"/>
    <x v="0"/>
    <x v="39"/>
    <s v="H"/>
    <m/>
    <d v="1909-02-21T04:47:56"/>
    <b v="0"/>
    <x v="0"/>
  </r>
  <r>
    <x v="2"/>
    <x v="0"/>
    <x v="39"/>
    <s v="H"/>
    <m/>
    <d v="1913-07-23T16:48:17"/>
    <b v="0"/>
    <x v="0"/>
  </r>
  <r>
    <x v="3"/>
    <x v="0"/>
    <x v="39"/>
    <s v="H"/>
    <m/>
    <d v="1910-11-28T00:00:00"/>
    <b v="0"/>
    <x v="0"/>
  </r>
  <r>
    <x v="4"/>
    <x v="0"/>
    <x v="39"/>
    <s v="H"/>
    <m/>
    <d v="1904-11-15T19:12:04"/>
    <b v="0"/>
    <x v="0"/>
  </r>
  <r>
    <x v="5"/>
    <x v="0"/>
    <x v="39"/>
    <s v="H"/>
    <m/>
    <d v="1904-11-04T07:12:04"/>
    <b v="0"/>
    <x v="0"/>
  </r>
  <r>
    <x v="0"/>
    <x v="0"/>
    <x v="39"/>
    <s v="H"/>
    <m/>
    <d v="1904-08-30T16:47:56"/>
    <b v="0"/>
    <x v="0"/>
  </r>
  <r>
    <x v="20"/>
    <x v="0"/>
    <x v="39"/>
    <s v="H"/>
    <m/>
    <d v="1904-10-16T12:00:00"/>
    <b v="0"/>
    <x v="0"/>
  </r>
  <r>
    <x v="6"/>
    <x v="0"/>
    <x v="39"/>
    <s v="H"/>
    <m/>
    <d v="1903-12-05T00:00:00"/>
    <b v="0"/>
    <x v="0"/>
  </r>
  <r>
    <x v="7"/>
    <x v="0"/>
    <x v="39"/>
    <s v="H"/>
    <m/>
    <d v="1907-04-23T19:12:04"/>
    <b v="0"/>
    <x v="0"/>
  </r>
  <r>
    <x v="21"/>
    <x v="0"/>
    <x v="39"/>
    <s v="H"/>
    <m/>
    <d v="1914-03-26T09:35:52"/>
    <b v="0"/>
    <x v="0"/>
  </r>
  <r>
    <x v="8"/>
    <x v="0"/>
    <x v="39"/>
    <s v="H"/>
    <m/>
    <d v="1911-08-14T19:11:43"/>
    <b v="0"/>
    <x v="0"/>
  </r>
  <r>
    <x v="9"/>
    <x v="0"/>
    <x v="39"/>
    <s v="H"/>
    <m/>
    <d v="1913-01-07T12:00:00"/>
    <b v="0"/>
    <x v="0"/>
  </r>
  <r>
    <x v="10"/>
    <x v="0"/>
    <x v="39"/>
    <s v="H"/>
    <m/>
    <d v="1913-11-28T00:00:00"/>
    <b v="0"/>
    <x v="0"/>
  </r>
  <r>
    <x v="22"/>
    <x v="0"/>
    <x v="39"/>
    <s v="H"/>
    <m/>
    <d v="1904-01-31T16:47:56"/>
    <b v="0"/>
    <x v="0"/>
  </r>
  <r>
    <x v="23"/>
    <x v="0"/>
    <x v="39"/>
    <s v="H"/>
    <m/>
    <d v="1903-08-17T09:36:02"/>
    <b v="0"/>
    <x v="0"/>
  </r>
  <r>
    <x v="11"/>
    <x v="0"/>
    <x v="39"/>
    <s v="H"/>
    <m/>
    <d v="1914-05-01T02:24:08"/>
    <b v="0"/>
    <x v="0"/>
  </r>
  <r>
    <x v="12"/>
    <x v="0"/>
    <x v="39"/>
    <s v="H"/>
    <m/>
    <d v="1908-08-23T04:47:56"/>
    <b v="0"/>
    <x v="0"/>
  </r>
  <r>
    <x v="13"/>
    <x v="0"/>
    <x v="39"/>
    <s v="H"/>
    <m/>
    <d v="1908-02-16T02:24:08"/>
    <b v="0"/>
    <x v="0"/>
  </r>
  <r>
    <x v="17"/>
    <x v="0"/>
    <x v="40"/>
    <s v="D"/>
    <d v="2015-03-05T11:33:00"/>
    <d v="1899-12-30T00:00:00"/>
    <b v="0"/>
    <x v="0"/>
  </r>
  <r>
    <x v="14"/>
    <x v="0"/>
    <x v="40"/>
    <s v="D"/>
    <d v="2015-03-11T00:00:00"/>
    <d v="1899-12-30T00:00:00"/>
    <b v="0"/>
    <x v="0"/>
  </r>
  <r>
    <x v="18"/>
    <x v="0"/>
    <x v="40"/>
    <s v="D"/>
    <d v="2014-11-26T00:00:00"/>
    <d v="1899-12-30T00:00:00"/>
    <b v="0"/>
    <x v="0"/>
  </r>
  <r>
    <x v="15"/>
    <x v="0"/>
    <x v="40"/>
    <s v="D"/>
    <d v="2015-02-03T08:25:00"/>
    <d v="1899-12-30T00:00:00"/>
    <b v="0"/>
    <x v="0"/>
  </r>
  <r>
    <x v="16"/>
    <x v="0"/>
    <x v="40"/>
    <s v="D"/>
    <d v="2015-02-18T09:23:00"/>
    <d v="1899-12-30T00:00:00"/>
    <b v="0"/>
    <x v="0"/>
  </r>
  <r>
    <x v="19"/>
    <x v="0"/>
    <x v="40"/>
    <s v="D"/>
    <d v="2014-08-21T00:00:00"/>
    <d v="1899-12-30T00:00:00"/>
    <b v="0"/>
    <x v="0"/>
  </r>
  <r>
    <x v="2"/>
    <x v="0"/>
    <x v="40"/>
    <s v="D"/>
    <d v="2014-11-18T13:41:00"/>
    <d v="1899-12-30T00:00:00"/>
    <b v="0"/>
    <x v="0"/>
  </r>
  <r>
    <x v="3"/>
    <x v="0"/>
    <x v="40"/>
    <s v="D"/>
    <d v="2014-11-25T00:00:00"/>
    <d v="1899-12-30T00:00:00"/>
    <b v="0"/>
    <x v="0"/>
  </r>
  <r>
    <x v="4"/>
    <x v="0"/>
    <x v="40"/>
    <s v="D"/>
    <d v="2014-12-10T00:00:00"/>
    <d v="1899-12-30T00:00:00"/>
    <b v="0"/>
    <x v="0"/>
  </r>
  <r>
    <x v="5"/>
    <x v="0"/>
    <x v="40"/>
    <s v="D"/>
    <d v="2014-11-21T00:00:00"/>
    <d v="1899-12-30T00:00:00"/>
    <b v="0"/>
    <x v="0"/>
  </r>
  <r>
    <x v="0"/>
    <x v="0"/>
    <x v="40"/>
    <s v="D"/>
    <d v="2014-11-26T00:00:00"/>
    <d v="1899-12-30T00:00:00"/>
    <b v="0"/>
    <x v="0"/>
  </r>
  <r>
    <x v="20"/>
    <x v="0"/>
    <x v="40"/>
    <s v="D"/>
    <d v="2015-03-30T20:08:00"/>
    <d v="1899-12-30T00:00:00"/>
    <b v="0"/>
    <x v="0"/>
  </r>
  <r>
    <x v="6"/>
    <x v="0"/>
    <x v="40"/>
    <s v="D"/>
    <d v="2014-12-09T11:25:00"/>
    <d v="1899-12-30T00:00:00"/>
    <b v="0"/>
    <x v="0"/>
  </r>
  <r>
    <x v="7"/>
    <x v="0"/>
    <x v="40"/>
    <s v="D"/>
    <d v="2014-12-05T11:08:00"/>
    <d v="1899-12-30T00:00:00"/>
    <b v="0"/>
    <x v="0"/>
  </r>
  <r>
    <x v="21"/>
    <x v="0"/>
    <x v="40"/>
    <s v="D"/>
    <d v="2015-03-11T16:34:00"/>
    <d v="1899-12-30T00:00:00"/>
    <b v="0"/>
    <x v="0"/>
  </r>
  <r>
    <x v="8"/>
    <x v="0"/>
    <x v="40"/>
    <s v="D"/>
    <d v="2015-02-01T12:44:00"/>
    <d v="1899-12-30T00:00:00"/>
    <b v="0"/>
    <x v="0"/>
  </r>
  <r>
    <x v="9"/>
    <x v="0"/>
    <x v="40"/>
    <s v="D"/>
    <d v="2015-01-22T00:00:00"/>
    <d v="1899-12-30T00:00:00"/>
    <b v="0"/>
    <x v="0"/>
  </r>
  <r>
    <x v="10"/>
    <x v="0"/>
    <x v="40"/>
    <s v="D"/>
    <d v="2014-12-26T00:00:00"/>
    <d v="1899-12-30T00:00:00"/>
    <b v="0"/>
    <x v="0"/>
  </r>
  <r>
    <x v="22"/>
    <x v="0"/>
    <x v="40"/>
    <s v="D"/>
    <d v="2014-09-12T00:00:00"/>
    <d v="1899-12-30T00:00:00"/>
    <b v="0"/>
    <x v="0"/>
  </r>
  <r>
    <x v="23"/>
    <x v="0"/>
    <x v="40"/>
    <s v="D"/>
    <d v="2014-11-26T00:00:00"/>
    <d v="1899-12-30T00:00:00"/>
    <b v="0"/>
    <x v="0"/>
  </r>
  <r>
    <x v="11"/>
    <x v="0"/>
    <x v="40"/>
    <s v="D"/>
    <d v="2014-11-20T13:30:00"/>
    <d v="1899-12-30T00:00:00"/>
    <b v="0"/>
    <x v="0"/>
  </r>
  <r>
    <x v="12"/>
    <x v="0"/>
    <x v="40"/>
    <s v="D"/>
    <d v="2014-10-21T15:47:00"/>
    <d v="1899-12-30T00:00:00"/>
    <b v="0"/>
    <x v="0"/>
  </r>
  <r>
    <x v="13"/>
    <x v="0"/>
    <x v="40"/>
    <s v="D"/>
    <d v="2014-11-18T00:00:00"/>
    <d v="1899-12-30T00:00:00"/>
    <b v="0"/>
    <x v="0"/>
  </r>
  <r>
    <x v="17"/>
    <x v="0"/>
    <x v="40"/>
    <s v="H"/>
    <m/>
    <d v="1914-10-29T00:00:00"/>
    <b v="0"/>
    <x v="0"/>
  </r>
  <r>
    <x v="14"/>
    <x v="0"/>
    <x v="40"/>
    <s v="H"/>
    <m/>
    <d v="1919-07-05T00:00:00"/>
    <b v="0"/>
    <x v="0"/>
  </r>
  <r>
    <x v="18"/>
    <x v="0"/>
    <x v="40"/>
    <s v="H"/>
    <m/>
    <d v="1921-03-19T21:35:52"/>
    <b v="0"/>
    <x v="0"/>
  </r>
  <r>
    <x v="1"/>
    <x v="0"/>
    <x v="40"/>
    <s v="H"/>
    <m/>
    <d v="1918-05-08T09:35:52"/>
    <b v="0"/>
    <x v="0"/>
  </r>
  <r>
    <x v="15"/>
    <x v="0"/>
    <x v="40"/>
    <s v="H"/>
    <m/>
    <d v="1920-05-19T14:24:08"/>
    <b v="0"/>
    <x v="0"/>
  </r>
  <r>
    <x v="16"/>
    <x v="0"/>
    <x v="40"/>
    <s v="H"/>
    <m/>
    <d v="1913-03-04T04:48:17"/>
    <b v="0"/>
    <x v="0"/>
  </r>
  <r>
    <x v="19"/>
    <x v="0"/>
    <x v="40"/>
    <s v="H"/>
    <m/>
    <d v="1909-06-26T04:47:56"/>
    <b v="0"/>
    <x v="0"/>
  </r>
  <r>
    <x v="2"/>
    <x v="0"/>
    <x v="40"/>
    <s v="H"/>
    <m/>
    <d v="1913-11-27T00:00:00"/>
    <b v="0"/>
    <x v="0"/>
  </r>
  <r>
    <x v="3"/>
    <x v="0"/>
    <x v="40"/>
    <s v="H"/>
    <m/>
    <d v="1910-11-28T00:00:00"/>
    <b v="0"/>
    <x v="0"/>
  </r>
  <r>
    <x v="4"/>
    <x v="0"/>
    <x v="40"/>
    <s v="H"/>
    <m/>
    <d v="1905-04-14T14:23:58"/>
    <b v="0"/>
    <x v="0"/>
  </r>
  <r>
    <x v="5"/>
    <x v="0"/>
    <x v="40"/>
    <s v="H"/>
    <m/>
    <d v="1904-11-04T07:12:04"/>
    <b v="0"/>
    <x v="0"/>
  </r>
  <r>
    <x v="0"/>
    <x v="0"/>
    <x v="40"/>
    <s v="H"/>
    <m/>
    <d v="1904-09-09T02:23:58"/>
    <b v="0"/>
    <x v="0"/>
  </r>
  <r>
    <x v="20"/>
    <x v="0"/>
    <x v="40"/>
    <s v="H"/>
    <m/>
    <d v="1905-04-27T09:36:02"/>
    <b v="0"/>
    <x v="0"/>
  </r>
  <r>
    <x v="6"/>
    <x v="0"/>
    <x v="40"/>
    <s v="H"/>
    <m/>
    <d v="1904-04-08T00:00:00"/>
    <b v="0"/>
    <x v="0"/>
  </r>
  <r>
    <x v="7"/>
    <x v="0"/>
    <x v="40"/>
    <s v="H"/>
    <m/>
    <d v="1907-08-26T19:12:04"/>
    <b v="0"/>
    <x v="0"/>
  </r>
  <r>
    <x v="21"/>
    <x v="0"/>
    <x v="40"/>
    <s v="H"/>
    <m/>
    <d v="1914-06-23T19:11:43"/>
    <b v="0"/>
    <x v="0"/>
  </r>
  <r>
    <x v="8"/>
    <x v="0"/>
    <x v="40"/>
    <s v="H"/>
    <m/>
    <d v="1911-12-17T19:11:43"/>
    <b v="0"/>
    <x v="0"/>
  </r>
  <r>
    <x v="9"/>
    <x v="0"/>
    <x v="40"/>
    <s v="H"/>
    <m/>
    <d v="1913-01-07T12:00:00"/>
    <b v="0"/>
    <x v="0"/>
  </r>
  <r>
    <x v="10"/>
    <x v="0"/>
    <x v="40"/>
    <s v="H"/>
    <m/>
    <d v="1914-05-08T14:24:08"/>
    <b v="0"/>
    <x v="0"/>
  </r>
  <r>
    <x v="22"/>
    <x v="0"/>
    <x v="40"/>
    <s v="H"/>
    <m/>
    <d v="1904-02-18T12:00:00"/>
    <b v="0"/>
    <x v="0"/>
  </r>
  <r>
    <x v="23"/>
    <x v="0"/>
    <x v="40"/>
    <s v="H"/>
    <m/>
    <d v="1903-12-23T14:23:58"/>
    <b v="0"/>
    <x v="0"/>
  </r>
  <r>
    <x v="11"/>
    <x v="0"/>
    <x v="40"/>
    <s v="H"/>
    <m/>
    <d v="1914-09-03T02:24:08"/>
    <b v="0"/>
    <x v="0"/>
  </r>
  <r>
    <x v="12"/>
    <x v="0"/>
    <x v="40"/>
    <s v="H"/>
    <m/>
    <d v="1908-08-20T00:00:00"/>
    <b v="0"/>
    <x v="0"/>
  </r>
  <r>
    <x v="13"/>
    <x v="0"/>
    <x v="40"/>
    <s v="H"/>
    <m/>
    <d v="1908-02-16T02:24:08"/>
    <b v="0"/>
    <x v="0"/>
  </r>
  <r>
    <x v="17"/>
    <x v="0"/>
    <x v="41"/>
    <s v="D"/>
    <d v="2015-02-03T15:01:00"/>
    <d v="1899-12-30T00:00:00"/>
    <b v="0"/>
    <x v="0"/>
  </r>
  <r>
    <x v="14"/>
    <x v="0"/>
    <x v="41"/>
    <s v="D"/>
    <d v="2014-10-23T09:01:00"/>
    <d v="1899-12-30T00:00:00"/>
    <b v="0"/>
    <x v="0"/>
  </r>
  <r>
    <x v="18"/>
    <x v="0"/>
    <x v="41"/>
    <s v="D"/>
    <d v="2014-11-26T00:00:00"/>
    <d v="1899-12-30T00:00:00"/>
    <b v="0"/>
    <x v="0"/>
  </r>
  <r>
    <x v="15"/>
    <x v="0"/>
    <x v="41"/>
    <s v="D"/>
    <d v="2015-01-06T00:00:00"/>
    <d v="1899-12-30T00:00:00"/>
    <b v="0"/>
    <x v="0"/>
  </r>
  <r>
    <x v="16"/>
    <x v="0"/>
    <x v="41"/>
    <s v="D"/>
    <d v="2015-02-18T09:28:00"/>
    <d v="1899-12-30T00:00:00"/>
    <b v="0"/>
    <x v="0"/>
  </r>
  <r>
    <x v="19"/>
    <x v="0"/>
    <x v="41"/>
    <s v="D"/>
    <d v="2014-08-21T18:46:00"/>
    <d v="1899-12-30T00:00:00"/>
    <b v="0"/>
    <x v="0"/>
  </r>
  <r>
    <x v="2"/>
    <x v="0"/>
    <x v="41"/>
    <s v="D"/>
    <d v="2014-08-14T00:00:00"/>
    <d v="1899-12-30T00:00:00"/>
    <b v="0"/>
    <x v="0"/>
  </r>
  <r>
    <x v="3"/>
    <x v="0"/>
    <x v="41"/>
    <s v="D"/>
    <d v="2014-11-25T00:00:00"/>
    <d v="1899-12-30T00:00:00"/>
    <b v="0"/>
    <x v="0"/>
  </r>
  <r>
    <x v="4"/>
    <x v="0"/>
    <x v="41"/>
    <s v="D"/>
    <d v="2014-12-10T00:00:00"/>
    <d v="1899-12-30T00:00:00"/>
    <b v="0"/>
    <x v="0"/>
  </r>
  <r>
    <x v="5"/>
    <x v="0"/>
    <x v="41"/>
    <s v="D"/>
    <d v="2014-11-21T00:00:00"/>
    <d v="1899-12-30T00:00:00"/>
    <b v="0"/>
    <x v="0"/>
  </r>
  <r>
    <x v="0"/>
    <x v="0"/>
    <x v="41"/>
    <s v="D"/>
    <d v="2014-11-26T00:00:00"/>
    <d v="1899-12-30T00:00:00"/>
    <b v="0"/>
    <x v="0"/>
  </r>
  <r>
    <x v="20"/>
    <x v="0"/>
    <x v="41"/>
    <s v="D"/>
    <d v="2015-03-05T10:52:00"/>
    <d v="1899-12-30T00:00:00"/>
    <b v="0"/>
    <x v="0"/>
  </r>
  <r>
    <x v="6"/>
    <x v="0"/>
    <x v="41"/>
    <s v="D"/>
    <d v="2014-11-08T00:00:00"/>
    <d v="1899-12-30T00:00:00"/>
    <b v="0"/>
    <x v="0"/>
  </r>
  <r>
    <x v="7"/>
    <x v="0"/>
    <x v="41"/>
    <s v="D"/>
    <d v="2015-01-25T00:00:00"/>
    <d v="1899-12-30T00:00:00"/>
    <b v="0"/>
    <x v="0"/>
  </r>
  <r>
    <x v="21"/>
    <x v="0"/>
    <x v="41"/>
    <s v="D"/>
    <d v="2015-03-11T16:35:00"/>
    <d v="1899-12-30T00:00:00"/>
    <b v="0"/>
    <x v="0"/>
  </r>
  <r>
    <x v="8"/>
    <x v="0"/>
    <x v="41"/>
    <s v="D"/>
    <d v="2014-07-17T00:00:00"/>
    <d v="1899-12-30T00:00:00"/>
    <b v="0"/>
    <x v="0"/>
  </r>
  <r>
    <x v="9"/>
    <x v="0"/>
    <x v="41"/>
    <s v="D"/>
    <d v="2015-01-22T00:00:00"/>
    <d v="1899-12-30T00:00:00"/>
    <b v="0"/>
    <x v="0"/>
  </r>
  <r>
    <x v="10"/>
    <x v="0"/>
    <x v="41"/>
    <s v="D"/>
    <d v="2014-12-26T00:00:00"/>
    <d v="1899-12-30T00:00:00"/>
    <b v="0"/>
    <x v="0"/>
  </r>
  <r>
    <x v="22"/>
    <x v="0"/>
    <x v="41"/>
    <s v="D"/>
    <d v="2014-09-12T00:00:00"/>
    <d v="1899-12-30T00:00:00"/>
    <b v="0"/>
    <x v="0"/>
  </r>
  <r>
    <x v="23"/>
    <x v="0"/>
    <x v="41"/>
    <s v="D"/>
    <d v="2014-11-26T00:00:00"/>
    <d v="1899-12-30T00:00:00"/>
    <b v="0"/>
    <x v="0"/>
  </r>
  <r>
    <x v="11"/>
    <x v="0"/>
    <x v="41"/>
    <s v="D"/>
    <d v="2014-08-22T00:00:00"/>
    <d v="1899-12-30T00:00:00"/>
    <b v="0"/>
    <x v="0"/>
  </r>
  <r>
    <x v="12"/>
    <x v="0"/>
    <x v="41"/>
    <s v="D"/>
    <d v="2014-10-21T00:00:00"/>
    <d v="1899-12-30T00:00:00"/>
    <b v="0"/>
    <x v="0"/>
  </r>
  <r>
    <x v="13"/>
    <x v="0"/>
    <x v="41"/>
    <s v="D"/>
    <d v="2014-11-18T15:46:00"/>
    <d v="1899-12-30T00:00:00"/>
    <b v="0"/>
    <x v="0"/>
  </r>
  <r>
    <x v="17"/>
    <x v="0"/>
    <x v="41"/>
    <s v="H"/>
    <m/>
    <d v="1914-10-29T00:00:00"/>
    <b v="0"/>
    <x v="0"/>
  </r>
  <r>
    <x v="14"/>
    <x v="0"/>
    <x v="41"/>
    <s v="H"/>
    <m/>
    <d v="1919-03-02T00:00:00"/>
    <b v="0"/>
    <x v="0"/>
  </r>
  <r>
    <x v="18"/>
    <x v="0"/>
    <x v="41"/>
    <s v="H"/>
    <m/>
    <d v="1921-03-19T21:35:52"/>
    <b v="0"/>
    <x v="0"/>
  </r>
  <r>
    <x v="1"/>
    <x v="0"/>
    <x v="41"/>
    <s v="H"/>
    <m/>
    <d v="1918-05-08T09:35:52"/>
    <b v="0"/>
    <x v="0"/>
  </r>
  <r>
    <x v="15"/>
    <x v="0"/>
    <x v="41"/>
    <s v="H"/>
    <m/>
    <d v="1920-05-19T14:24:08"/>
    <b v="0"/>
    <x v="0"/>
  </r>
  <r>
    <x v="16"/>
    <x v="0"/>
    <x v="41"/>
    <s v="H"/>
    <m/>
    <d v="1913-03-04T04:48:17"/>
    <b v="0"/>
    <x v="0"/>
  </r>
  <r>
    <x v="19"/>
    <x v="0"/>
    <x v="41"/>
    <s v="H"/>
    <m/>
    <d v="1909-06-25T16:47:56"/>
    <b v="0"/>
    <x v="0"/>
  </r>
  <r>
    <x v="2"/>
    <x v="0"/>
    <x v="41"/>
    <s v="H"/>
    <m/>
    <d v="1913-11-04T12:00:00"/>
    <b v="0"/>
    <x v="0"/>
  </r>
  <r>
    <x v="3"/>
    <x v="0"/>
    <x v="41"/>
    <s v="H"/>
    <m/>
    <d v="1910-11-28T00:00:00"/>
    <b v="0"/>
    <x v="0"/>
  </r>
  <r>
    <x v="4"/>
    <x v="0"/>
    <x v="41"/>
    <s v="H"/>
    <m/>
    <d v="1905-04-14T14:23:58"/>
    <b v="0"/>
    <x v="0"/>
  </r>
  <r>
    <x v="5"/>
    <x v="0"/>
    <x v="41"/>
    <s v="H"/>
    <m/>
    <d v="1904-11-04T07:12:04"/>
    <b v="0"/>
    <x v="0"/>
  </r>
  <r>
    <x v="0"/>
    <x v="0"/>
    <x v="41"/>
    <s v="H"/>
    <m/>
    <d v="1904-09-09T02:23:58"/>
    <b v="0"/>
    <x v="0"/>
  </r>
  <r>
    <x v="20"/>
    <x v="0"/>
    <x v="41"/>
    <s v="H"/>
    <m/>
    <d v="1905-04-27T09:36:02"/>
    <b v="0"/>
    <x v="0"/>
  </r>
  <r>
    <x v="6"/>
    <x v="0"/>
    <x v="41"/>
    <s v="H"/>
    <m/>
    <d v="1903-12-05T00:00:00"/>
    <b v="0"/>
    <x v="0"/>
  </r>
  <r>
    <x v="7"/>
    <x v="0"/>
    <x v="41"/>
    <s v="H"/>
    <m/>
    <d v="1907-08-23T21:35:52"/>
    <b v="0"/>
    <x v="0"/>
  </r>
  <r>
    <x v="21"/>
    <x v="0"/>
    <x v="41"/>
    <s v="H"/>
    <m/>
    <d v="1914-06-23T19:11:43"/>
    <b v="0"/>
    <x v="0"/>
  </r>
  <r>
    <x v="8"/>
    <x v="0"/>
    <x v="41"/>
    <s v="H"/>
    <m/>
    <d v="1911-08-14T19:11:43"/>
    <b v="0"/>
    <x v="0"/>
  </r>
  <r>
    <x v="9"/>
    <x v="0"/>
    <x v="41"/>
    <s v="H"/>
    <m/>
    <d v="1913-01-07T12:00:00"/>
    <b v="0"/>
    <x v="0"/>
  </r>
  <r>
    <x v="10"/>
    <x v="0"/>
    <x v="41"/>
    <s v="H"/>
    <m/>
    <d v="1913-11-28T00:00:00"/>
    <b v="0"/>
    <x v="0"/>
  </r>
  <r>
    <x v="22"/>
    <x v="0"/>
    <x v="41"/>
    <s v="H"/>
    <m/>
    <d v="1904-02-02T04:47:56"/>
    <b v="0"/>
    <x v="0"/>
  </r>
  <r>
    <x v="23"/>
    <x v="0"/>
    <x v="41"/>
    <s v="H"/>
    <m/>
    <d v="1903-12-23T14:23:58"/>
    <b v="0"/>
    <x v="0"/>
  </r>
  <r>
    <x v="11"/>
    <x v="0"/>
    <x v="41"/>
    <s v="H"/>
    <m/>
    <d v="1914-05-01T02:24:08"/>
    <b v="0"/>
    <x v="0"/>
  </r>
  <r>
    <x v="12"/>
    <x v="0"/>
    <x v="41"/>
    <s v="H"/>
    <m/>
    <d v="1908-08-20T00:00:00"/>
    <b v="0"/>
    <x v="0"/>
  </r>
  <r>
    <x v="13"/>
    <x v="0"/>
    <x v="41"/>
    <s v="H"/>
    <m/>
    <d v="1908-02-16T02:24:08"/>
    <b v="0"/>
    <x v="0"/>
  </r>
  <r>
    <x v="17"/>
    <x v="0"/>
    <x v="42"/>
    <s v="H"/>
    <m/>
    <d v="1914-04-12T14:24:08"/>
    <b v="0"/>
    <x v="0"/>
  </r>
  <r>
    <x v="14"/>
    <x v="0"/>
    <x v="42"/>
    <s v="H"/>
    <m/>
    <d v="1919-03-02T00:00:00"/>
    <b v="0"/>
    <x v="0"/>
  </r>
  <r>
    <x v="18"/>
    <x v="0"/>
    <x v="42"/>
    <s v="H"/>
    <m/>
    <d v="1921-02-01T16:48:17"/>
    <b v="0"/>
    <x v="0"/>
  </r>
  <r>
    <x v="1"/>
    <x v="0"/>
    <x v="42"/>
    <s v="H"/>
    <m/>
    <d v="1918-05-08T09:35:52"/>
    <b v="0"/>
    <x v="0"/>
  </r>
  <r>
    <x v="15"/>
    <x v="0"/>
    <x v="42"/>
    <s v="H"/>
    <m/>
    <d v="1920-03-18T02:24:08"/>
    <b v="0"/>
    <x v="0"/>
  </r>
  <r>
    <x v="16"/>
    <x v="0"/>
    <x v="42"/>
    <s v="H"/>
    <m/>
    <d v="1913-03-04T04:48:17"/>
    <b v="0"/>
    <x v="0"/>
  </r>
  <r>
    <x v="19"/>
    <x v="0"/>
    <x v="42"/>
    <s v="H"/>
    <m/>
    <d v="1909-02-21T04:47:56"/>
    <b v="0"/>
    <x v="0"/>
  </r>
  <r>
    <x v="2"/>
    <x v="0"/>
    <x v="42"/>
    <s v="H"/>
    <m/>
    <d v="1913-07-23T16:48:17"/>
    <b v="0"/>
    <x v="0"/>
  </r>
  <r>
    <x v="3"/>
    <x v="0"/>
    <x v="42"/>
    <s v="H"/>
    <m/>
    <d v="1910-11-28T00:00:00"/>
    <b v="0"/>
    <x v="0"/>
  </r>
  <r>
    <x v="4"/>
    <x v="0"/>
    <x v="42"/>
    <s v="H"/>
    <m/>
    <d v="1904-11-15T19:12:04"/>
    <b v="0"/>
    <x v="0"/>
  </r>
  <r>
    <x v="5"/>
    <x v="0"/>
    <x v="42"/>
    <s v="H"/>
    <m/>
    <d v="1904-11-04T07:12:04"/>
    <b v="0"/>
    <x v="0"/>
  </r>
  <r>
    <x v="0"/>
    <x v="0"/>
    <x v="42"/>
    <s v="H"/>
    <m/>
    <d v="1904-08-30T16:47:56"/>
    <b v="0"/>
    <x v="0"/>
  </r>
  <r>
    <x v="20"/>
    <x v="0"/>
    <x v="42"/>
    <s v="H"/>
    <m/>
    <d v="1904-10-16T12:00:00"/>
    <b v="0"/>
    <x v="0"/>
  </r>
  <r>
    <x v="6"/>
    <x v="0"/>
    <x v="42"/>
    <s v="H"/>
    <m/>
    <d v="1903-12-05T00:00:00"/>
    <b v="0"/>
    <x v="0"/>
  </r>
  <r>
    <x v="7"/>
    <x v="0"/>
    <x v="42"/>
    <s v="H"/>
    <m/>
    <d v="1907-04-23T19:12:04"/>
    <b v="0"/>
    <x v="0"/>
  </r>
  <r>
    <x v="21"/>
    <x v="0"/>
    <x v="42"/>
    <s v="H"/>
    <m/>
    <d v="1914-03-26T09:35:52"/>
    <b v="0"/>
    <x v="0"/>
  </r>
  <r>
    <x v="8"/>
    <x v="0"/>
    <x v="42"/>
    <s v="H"/>
    <m/>
    <d v="1911-08-14T19:11:43"/>
    <b v="0"/>
    <x v="0"/>
  </r>
  <r>
    <x v="9"/>
    <x v="0"/>
    <x v="42"/>
    <s v="H"/>
    <m/>
    <d v="1913-01-07T12:00:00"/>
    <b v="0"/>
    <x v="0"/>
  </r>
  <r>
    <x v="10"/>
    <x v="0"/>
    <x v="42"/>
    <s v="H"/>
    <m/>
    <d v="1913-11-28T00:00:00"/>
    <b v="0"/>
    <x v="0"/>
  </r>
  <r>
    <x v="22"/>
    <x v="0"/>
    <x v="42"/>
    <s v="H"/>
    <m/>
    <d v="1904-01-31T16:47:56"/>
    <b v="0"/>
    <x v="0"/>
  </r>
  <r>
    <x v="23"/>
    <x v="0"/>
    <x v="42"/>
    <s v="H"/>
    <m/>
    <d v="1903-08-17T09:36:02"/>
    <b v="0"/>
    <x v="0"/>
  </r>
  <r>
    <x v="11"/>
    <x v="0"/>
    <x v="42"/>
    <s v="H"/>
    <m/>
    <d v="1914-05-01T02:24:08"/>
    <b v="0"/>
    <x v="0"/>
  </r>
  <r>
    <x v="12"/>
    <x v="0"/>
    <x v="42"/>
    <s v="H"/>
    <m/>
    <d v="1908-08-23T04:47:56"/>
    <b v="0"/>
    <x v="0"/>
  </r>
  <r>
    <x v="13"/>
    <x v="0"/>
    <x v="42"/>
    <s v="H"/>
    <m/>
    <d v="1908-02-16T02:24:08"/>
    <b v="0"/>
    <x v="0"/>
  </r>
  <r>
    <x v="17"/>
    <x v="0"/>
    <x v="43"/>
    <s v="H"/>
    <m/>
    <d v="1914-04-12T14:24:08"/>
    <b v="0"/>
    <x v="0"/>
  </r>
  <r>
    <x v="14"/>
    <x v="0"/>
    <x v="43"/>
    <s v="H"/>
    <m/>
    <d v="1919-03-02T00:00:00"/>
    <b v="0"/>
    <x v="0"/>
  </r>
  <r>
    <x v="18"/>
    <x v="0"/>
    <x v="43"/>
    <s v="H"/>
    <m/>
    <d v="1921-02-01T16:48:17"/>
    <b v="0"/>
    <x v="0"/>
  </r>
  <r>
    <x v="1"/>
    <x v="0"/>
    <x v="43"/>
    <s v="H"/>
    <m/>
    <d v="1918-05-08T09:35:52"/>
    <b v="0"/>
    <x v="0"/>
  </r>
  <r>
    <x v="15"/>
    <x v="0"/>
    <x v="43"/>
    <s v="H"/>
    <m/>
    <d v="1920-03-18T02:24:08"/>
    <b v="0"/>
    <x v="0"/>
  </r>
  <r>
    <x v="16"/>
    <x v="0"/>
    <x v="43"/>
    <s v="H"/>
    <m/>
    <d v="1913-03-04T04:48:17"/>
    <b v="0"/>
    <x v="0"/>
  </r>
  <r>
    <x v="19"/>
    <x v="0"/>
    <x v="43"/>
    <s v="H"/>
    <m/>
    <d v="1909-02-21T12:00:00"/>
    <b v="0"/>
    <x v="0"/>
  </r>
  <r>
    <x v="2"/>
    <x v="0"/>
    <x v="43"/>
    <s v="H"/>
    <m/>
    <d v="1913-07-23T16:48:17"/>
    <b v="0"/>
    <x v="0"/>
  </r>
  <r>
    <x v="3"/>
    <x v="0"/>
    <x v="43"/>
    <s v="H"/>
    <m/>
    <d v="1910-11-28T00:00:00"/>
    <b v="0"/>
    <x v="0"/>
  </r>
  <r>
    <x v="4"/>
    <x v="0"/>
    <x v="43"/>
    <s v="H"/>
    <m/>
    <d v="1904-11-15T19:12:04"/>
    <b v="0"/>
    <x v="0"/>
  </r>
  <r>
    <x v="5"/>
    <x v="0"/>
    <x v="43"/>
    <s v="H"/>
    <m/>
    <d v="1904-11-04T07:12:04"/>
    <b v="0"/>
    <x v="0"/>
  </r>
  <r>
    <x v="0"/>
    <x v="0"/>
    <x v="43"/>
    <s v="H"/>
    <m/>
    <d v="1904-08-30T16:47:56"/>
    <b v="0"/>
    <x v="0"/>
  </r>
  <r>
    <x v="20"/>
    <x v="0"/>
    <x v="43"/>
    <s v="H"/>
    <m/>
    <d v="1904-10-16T12:00:00"/>
    <b v="0"/>
    <x v="0"/>
  </r>
  <r>
    <x v="6"/>
    <x v="0"/>
    <x v="43"/>
    <s v="H"/>
    <m/>
    <d v="1903-12-05T00:00:00"/>
    <b v="0"/>
    <x v="0"/>
  </r>
  <r>
    <x v="7"/>
    <x v="0"/>
    <x v="43"/>
    <s v="H"/>
    <m/>
    <d v="1907-04-23T19:12:04"/>
    <b v="0"/>
    <x v="0"/>
  </r>
  <r>
    <x v="21"/>
    <x v="0"/>
    <x v="43"/>
    <s v="H"/>
    <m/>
    <d v="1914-03-26T09:35:52"/>
    <b v="0"/>
    <x v="0"/>
  </r>
  <r>
    <x v="8"/>
    <x v="0"/>
    <x v="43"/>
    <s v="H"/>
    <m/>
    <d v="1911-08-14T19:11:43"/>
    <b v="0"/>
    <x v="0"/>
  </r>
  <r>
    <x v="9"/>
    <x v="0"/>
    <x v="43"/>
    <s v="H"/>
    <m/>
    <d v="1913-01-07T12:00:00"/>
    <b v="0"/>
    <x v="0"/>
  </r>
  <r>
    <x v="10"/>
    <x v="0"/>
    <x v="43"/>
    <s v="H"/>
    <m/>
    <d v="1913-11-28T00:00:00"/>
    <b v="0"/>
    <x v="0"/>
  </r>
  <r>
    <x v="22"/>
    <x v="0"/>
    <x v="43"/>
    <s v="H"/>
    <m/>
    <d v="1904-01-31T16:47:56"/>
    <b v="0"/>
    <x v="0"/>
  </r>
  <r>
    <x v="23"/>
    <x v="0"/>
    <x v="43"/>
    <s v="H"/>
    <m/>
    <d v="1903-08-17T09:36:02"/>
    <b v="0"/>
    <x v="0"/>
  </r>
  <r>
    <x v="11"/>
    <x v="0"/>
    <x v="43"/>
    <s v="H"/>
    <m/>
    <d v="1914-05-01T02:24:08"/>
    <b v="0"/>
    <x v="0"/>
  </r>
  <r>
    <x v="12"/>
    <x v="0"/>
    <x v="43"/>
    <s v="H"/>
    <m/>
    <d v="1908-08-23T04:47:56"/>
    <b v="0"/>
    <x v="0"/>
  </r>
  <r>
    <x v="13"/>
    <x v="0"/>
    <x v="43"/>
    <s v="H"/>
    <m/>
    <d v="1908-02-16T02:24:08"/>
    <b v="0"/>
    <x v="0"/>
  </r>
  <r>
    <x v="14"/>
    <x v="0"/>
    <x v="44"/>
    <s v="H"/>
    <m/>
    <d v="1919-03-02T00:00:00"/>
    <b v="0"/>
    <x v="0"/>
  </r>
  <r>
    <x v="14"/>
    <x v="0"/>
    <x v="45"/>
    <s v="H"/>
    <m/>
    <d v="1919-03-02T00:00:00"/>
    <b v="0"/>
    <x v="0"/>
  </r>
  <r>
    <x v="17"/>
    <x v="0"/>
    <x v="46"/>
    <s v="H"/>
    <m/>
    <d v="1914-04-12T14:24:08"/>
    <b v="0"/>
    <x v="0"/>
  </r>
  <r>
    <x v="14"/>
    <x v="0"/>
    <x v="46"/>
    <s v="H"/>
    <m/>
    <d v="1919-03-02T00:00:00"/>
    <b v="0"/>
    <x v="0"/>
  </r>
  <r>
    <x v="18"/>
    <x v="0"/>
    <x v="46"/>
    <s v="H"/>
    <m/>
    <d v="1921-02-01T16:48:17"/>
    <b v="0"/>
    <x v="0"/>
  </r>
  <r>
    <x v="1"/>
    <x v="0"/>
    <x v="46"/>
    <s v="H"/>
    <m/>
    <d v="1918-05-08T09:35:52"/>
    <b v="0"/>
    <x v="0"/>
  </r>
  <r>
    <x v="15"/>
    <x v="0"/>
    <x v="46"/>
    <s v="H"/>
    <m/>
    <d v="1920-03-18T02:24:08"/>
    <b v="0"/>
    <x v="0"/>
  </r>
  <r>
    <x v="16"/>
    <x v="0"/>
    <x v="46"/>
    <s v="H"/>
    <m/>
    <d v="1913-03-04T04:48:17"/>
    <b v="0"/>
    <x v="0"/>
  </r>
  <r>
    <x v="19"/>
    <x v="0"/>
    <x v="46"/>
    <s v="H"/>
    <m/>
    <d v="1909-02-21T04:47:56"/>
    <b v="0"/>
    <x v="0"/>
  </r>
  <r>
    <x v="2"/>
    <x v="0"/>
    <x v="46"/>
    <s v="H"/>
    <m/>
    <d v="1913-07-23T16:48:17"/>
    <b v="0"/>
    <x v="0"/>
  </r>
  <r>
    <x v="3"/>
    <x v="0"/>
    <x v="46"/>
    <s v="H"/>
    <m/>
    <d v="1910-11-28T00:00:00"/>
    <b v="0"/>
    <x v="0"/>
  </r>
  <r>
    <x v="4"/>
    <x v="0"/>
    <x v="46"/>
    <s v="H"/>
    <m/>
    <d v="1904-11-15T19:12:04"/>
    <b v="0"/>
    <x v="0"/>
  </r>
  <r>
    <x v="5"/>
    <x v="0"/>
    <x v="46"/>
    <s v="H"/>
    <m/>
    <d v="1904-11-04T07:12:04"/>
    <b v="0"/>
    <x v="0"/>
  </r>
  <r>
    <x v="0"/>
    <x v="0"/>
    <x v="46"/>
    <s v="H"/>
    <m/>
    <d v="1904-08-30T16:47:56"/>
    <b v="0"/>
    <x v="0"/>
  </r>
  <r>
    <x v="20"/>
    <x v="0"/>
    <x v="46"/>
    <s v="H"/>
    <m/>
    <d v="1904-10-16T12:00:00"/>
    <b v="0"/>
    <x v="0"/>
  </r>
  <r>
    <x v="6"/>
    <x v="0"/>
    <x v="46"/>
    <s v="H"/>
    <m/>
    <d v="1903-12-05T00:00:00"/>
    <b v="0"/>
    <x v="0"/>
  </r>
  <r>
    <x v="7"/>
    <x v="0"/>
    <x v="46"/>
    <s v="H"/>
    <m/>
    <d v="1907-04-23T19:12:04"/>
    <b v="0"/>
    <x v="0"/>
  </r>
  <r>
    <x v="21"/>
    <x v="0"/>
    <x v="46"/>
    <s v="H"/>
    <m/>
    <d v="1914-03-26T09:35:52"/>
    <b v="0"/>
    <x v="0"/>
  </r>
  <r>
    <x v="8"/>
    <x v="0"/>
    <x v="46"/>
    <s v="H"/>
    <m/>
    <d v="1911-08-14T19:11:43"/>
    <b v="0"/>
    <x v="0"/>
  </r>
  <r>
    <x v="9"/>
    <x v="0"/>
    <x v="46"/>
    <s v="H"/>
    <m/>
    <d v="1913-01-07T12:00:00"/>
    <b v="0"/>
    <x v="0"/>
  </r>
  <r>
    <x v="10"/>
    <x v="0"/>
    <x v="46"/>
    <s v="H"/>
    <m/>
    <d v="1913-11-28T00:00:00"/>
    <b v="0"/>
    <x v="0"/>
  </r>
  <r>
    <x v="22"/>
    <x v="0"/>
    <x v="46"/>
    <s v="H"/>
    <m/>
    <d v="1904-01-31T16:47:56"/>
    <b v="0"/>
    <x v="0"/>
  </r>
  <r>
    <x v="23"/>
    <x v="0"/>
    <x v="46"/>
    <s v="H"/>
    <m/>
    <d v="1903-08-17T09:36:02"/>
    <b v="0"/>
    <x v="0"/>
  </r>
  <r>
    <x v="11"/>
    <x v="0"/>
    <x v="46"/>
    <s v="H"/>
    <m/>
    <d v="1914-05-01T02:24:08"/>
    <b v="0"/>
    <x v="0"/>
  </r>
  <r>
    <x v="12"/>
    <x v="0"/>
    <x v="46"/>
    <s v="H"/>
    <m/>
    <d v="1908-08-23T04:47:56"/>
    <b v="0"/>
    <x v="0"/>
  </r>
  <r>
    <x v="13"/>
    <x v="0"/>
    <x v="46"/>
    <s v="H"/>
    <m/>
    <d v="1908-02-16T02:24:08"/>
    <b v="0"/>
    <x v="0"/>
  </r>
  <r>
    <x v="17"/>
    <x v="0"/>
    <x v="47"/>
    <s v="H"/>
    <m/>
    <d v="1914-04-12T14:24:08"/>
    <b v="0"/>
    <x v="0"/>
  </r>
  <r>
    <x v="14"/>
    <x v="0"/>
    <x v="47"/>
    <s v="H"/>
    <m/>
    <d v="1919-03-02T00:00:00"/>
    <b v="0"/>
    <x v="0"/>
  </r>
  <r>
    <x v="18"/>
    <x v="0"/>
    <x v="47"/>
    <s v="H"/>
    <m/>
    <d v="1921-02-01T16:48:17"/>
    <b v="0"/>
    <x v="0"/>
  </r>
  <r>
    <x v="1"/>
    <x v="0"/>
    <x v="47"/>
    <s v="H"/>
    <m/>
    <d v="1918-05-08T09:35:52"/>
    <b v="0"/>
    <x v="0"/>
  </r>
  <r>
    <x v="15"/>
    <x v="0"/>
    <x v="47"/>
    <s v="H"/>
    <m/>
    <d v="1920-03-18T02:24:08"/>
    <b v="0"/>
    <x v="0"/>
  </r>
  <r>
    <x v="16"/>
    <x v="0"/>
    <x v="47"/>
    <s v="H"/>
    <m/>
    <d v="1913-03-04T04:48:17"/>
    <b v="0"/>
    <x v="0"/>
  </r>
  <r>
    <x v="19"/>
    <x v="0"/>
    <x v="47"/>
    <s v="H"/>
    <m/>
    <d v="1909-02-21T12:00:00"/>
    <b v="0"/>
    <x v="0"/>
  </r>
  <r>
    <x v="2"/>
    <x v="0"/>
    <x v="47"/>
    <s v="H"/>
    <m/>
    <d v="1913-07-23T16:48:17"/>
    <b v="0"/>
    <x v="0"/>
  </r>
  <r>
    <x v="3"/>
    <x v="0"/>
    <x v="47"/>
    <s v="H"/>
    <m/>
    <d v="1910-11-28T00:00:00"/>
    <b v="0"/>
    <x v="0"/>
  </r>
  <r>
    <x v="4"/>
    <x v="0"/>
    <x v="47"/>
    <s v="H"/>
    <m/>
    <d v="1904-11-15T19:12:04"/>
    <b v="0"/>
    <x v="0"/>
  </r>
  <r>
    <x v="5"/>
    <x v="0"/>
    <x v="47"/>
    <s v="H"/>
    <m/>
    <d v="1904-11-04T07:12:04"/>
    <b v="0"/>
    <x v="0"/>
  </r>
  <r>
    <x v="0"/>
    <x v="0"/>
    <x v="47"/>
    <s v="H"/>
    <m/>
    <d v="1904-08-30T16:47:56"/>
    <b v="0"/>
    <x v="0"/>
  </r>
  <r>
    <x v="20"/>
    <x v="0"/>
    <x v="47"/>
    <s v="H"/>
    <m/>
    <d v="1904-10-16T12:00:00"/>
    <b v="0"/>
    <x v="0"/>
  </r>
  <r>
    <x v="6"/>
    <x v="0"/>
    <x v="47"/>
    <s v="H"/>
    <m/>
    <d v="1903-12-05T00:00:00"/>
    <b v="0"/>
    <x v="0"/>
  </r>
  <r>
    <x v="7"/>
    <x v="0"/>
    <x v="47"/>
    <s v="H"/>
    <m/>
    <d v="1907-04-23T19:12:04"/>
    <b v="0"/>
    <x v="0"/>
  </r>
  <r>
    <x v="21"/>
    <x v="0"/>
    <x v="47"/>
    <s v="H"/>
    <m/>
    <d v="1914-03-26T09:35:52"/>
    <b v="0"/>
    <x v="0"/>
  </r>
  <r>
    <x v="8"/>
    <x v="0"/>
    <x v="47"/>
    <s v="H"/>
    <m/>
    <d v="1911-08-14T19:11:43"/>
    <b v="0"/>
    <x v="0"/>
  </r>
  <r>
    <x v="9"/>
    <x v="0"/>
    <x v="47"/>
    <s v="H"/>
    <m/>
    <d v="1913-01-07T12:00:00"/>
    <b v="0"/>
    <x v="0"/>
  </r>
  <r>
    <x v="10"/>
    <x v="0"/>
    <x v="47"/>
    <s v="H"/>
    <m/>
    <d v="1913-11-28T00:00:00"/>
    <b v="0"/>
    <x v="0"/>
  </r>
  <r>
    <x v="22"/>
    <x v="0"/>
    <x v="47"/>
    <s v="H"/>
    <m/>
    <d v="1904-01-31T16:47:56"/>
    <b v="0"/>
    <x v="0"/>
  </r>
  <r>
    <x v="23"/>
    <x v="0"/>
    <x v="47"/>
    <s v="H"/>
    <m/>
    <d v="1903-08-17T09:36:02"/>
    <b v="0"/>
    <x v="0"/>
  </r>
  <r>
    <x v="11"/>
    <x v="0"/>
    <x v="47"/>
    <s v="H"/>
    <m/>
    <d v="1914-05-01T02:24:08"/>
    <b v="0"/>
    <x v="0"/>
  </r>
  <r>
    <x v="12"/>
    <x v="0"/>
    <x v="47"/>
    <s v="H"/>
    <m/>
    <d v="1908-08-23T04:47:56"/>
    <b v="0"/>
    <x v="0"/>
  </r>
  <r>
    <x v="13"/>
    <x v="0"/>
    <x v="47"/>
    <s v="H"/>
    <m/>
    <d v="1908-02-16T02:24:08"/>
    <b v="0"/>
    <x v="0"/>
  </r>
  <r>
    <x v="17"/>
    <x v="0"/>
    <x v="48"/>
    <s v="H"/>
    <m/>
    <d v="1914-04-12T14:24:08"/>
    <b v="0"/>
    <x v="0"/>
  </r>
  <r>
    <x v="14"/>
    <x v="0"/>
    <x v="48"/>
    <s v="H"/>
    <m/>
    <d v="1919-03-02T00:00:00"/>
    <b v="0"/>
    <x v="0"/>
  </r>
  <r>
    <x v="18"/>
    <x v="0"/>
    <x v="48"/>
    <s v="H"/>
    <m/>
    <d v="1921-02-01T16:48:17"/>
    <b v="0"/>
    <x v="0"/>
  </r>
  <r>
    <x v="1"/>
    <x v="0"/>
    <x v="48"/>
    <s v="H"/>
    <m/>
    <d v="1918-05-08T09:35:52"/>
    <b v="0"/>
    <x v="0"/>
  </r>
  <r>
    <x v="15"/>
    <x v="0"/>
    <x v="48"/>
    <s v="H"/>
    <m/>
    <d v="1920-03-18T02:24:08"/>
    <b v="0"/>
    <x v="0"/>
  </r>
  <r>
    <x v="16"/>
    <x v="0"/>
    <x v="48"/>
    <s v="H"/>
    <m/>
    <d v="1913-03-04T04:48:17"/>
    <b v="0"/>
    <x v="0"/>
  </r>
  <r>
    <x v="19"/>
    <x v="0"/>
    <x v="48"/>
    <s v="H"/>
    <m/>
    <d v="1909-02-21T12:00:00"/>
    <b v="0"/>
    <x v="0"/>
  </r>
  <r>
    <x v="2"/>
    <x v="0"/>
    <x v="48"/>
    <s v="H"/>
    <m/>
    <d v="1913-07-23T16:48:17"/>
    <b v="0"/>
    <x v="0"/>
  </r>
  <r>
    <x v="3"/>
    <x v="0"/>
    <x v="48"/>
    <s v="H"/>
    <m/>
    <d v="1910-11-28T00:00:00"/>
    <b v="0"/>
    <x v="0"/>
  </r>
  <r>
    <x v="4"/>
    <x v="0"/>
    <x v="48"/>
    <s v="H"/>
    <m/>
    <d v="1904-11-15T19:12:04"/>
    <b v="0"/>
    <x v="0"/>
  </r>
  <r>
    <x v="5"/>
    <x v="0"/>
    <x v="48"/>
    <s v="H"/>
    <m/>
    <d v="1904-11-04T07:12:04"/>
    <b v="0"/>
    <x v="0"/>
  </r>
  <r>
    <x v="0"/>
    <x v="0"/>
    <x v="48"/>
    <s v="H"/>
    <m/>
    <d v="1904-08-30T16:47:56"/>
    <b v="0"/>
    <x v="0"/>
  </r>
  <r>
    <x v="20"/>
    <x v="0"/>
    <x v="48"/>
    <s v="H"/>
    <m/>
    <d v="1904-10-16T12:00:00"/>
    <b v="0"/>
    <x v="0"/>
  </r>
  <r>
    <x v="6"/>
    <x v="0"/>
    <x v="48"/>
    <s v="H"/>
    <m/>
    <d v="1903-12-05T00:00:00"/>
    <b v="0"/>
    <x v="0"/>
  </r>
  <r>
    <x v="7"/>
    <x v="0"/>
    <x v="48"/>
    <s v="H"/>
    <m/>
    <d v="1907-04-23T19:12:04"/>
    <b v="0"/>
    <x v="0"/>
  </r>
  <r>
    <x v="21"/>
    <x v="0"/>
    <x v="48"/>
    <s v="H"/>
    <m/>
    <d v="1914-03-26T09:35:52"/>
    <b v="0"/>
    <x v="0"/>
  </r>
  <r>
    <x v="8"/>
    <x v="0"/>
    <x v="48"/>
    <s v="H"/>
    <m/>
    <d v="1911-08-14T19:11:43"/>
    <b v="0"/>
    <x v="0"/>
  </r>
  <r>
    <x v="9"/>
    <x v="0"/>
    <x v="48"/>
    <s v="H"/>
    <m/>
    <d v="1913-01-07T12:00:00"/>
    <b v="0"/>
    <x v="0"/>
  </r>
  <r>
    <x v="10"/>
    <x v="0"/>
    <x v="48"/>
    <s v="H"/>
    <m/>
    <d v="1913-11-28T00:00:00"/>
    <b v="0"/>
    <x v="0"/>
  </r>
  <r>
    <x v="22"/>
    <x v="0"/>
    <x v="48"/>
    <s v="H"/>
    <m/>
    <d v="1904-01-31T16:47:56"/>
    <b v="0"/>
    <x v="0"/>
  </r>
  <r>
    <x v="23"/>
    <x v="0"/>
    <x v="48"/>
    <s v="H"/>
    <m/>
    <d v="1903-08-17T09:36:02"/>
    <b v="0"/>
    <x v="0"/>
  </r>
  <r>
    <x v="11"/>
    <x v="0"/>
    <x v="48"/>
    <s v="H"/>
    <m/>
    <d v="1914-05-01T02:24:08"/>
    <b v="0"/>
    <x v="0"/>
  </r>
  <r>
    <x v="12"/>
    <x v="0"/>
    <x v="48"/>
    <s v="H"/>
    <m/>
    <d v="1908-08-23T04:47:56"/>
    <b v="0"/>
    <x v="0"/>
  </r>
  <r>
    <x v="13"/>
    <x v="0"/>
    <x v="48"/>
    <s v="H"/>
    <m/>
    <d v="1908-02-16T02:24:08"/>
    <b v="0"/>
    <x v="0"/>
  </r>
  <r>
    <x v="17"/>
    <x v="0"/>
    <x v="49"/>
    <s v="H"/>
    <m/>
    <d v="1914-04-12T14:24:08"/>
    <b v="0"/>
    <x v="0"/>
  </r>
  <r>
    <x v="14"/>
    <x v="0"/>
    <x v="49"/>
    <s v="H"/>
    <m/>
    <d v="1919-03-02T00:00:00"/>
    <b v="0"/>
    <x v="0"/>
  </r>
  <r>
    <x v="18"/>
    <x v="0"/>
    <x v="49"/>
    <s v="H"/>
    <m/>
    <d v="1921-02-01T16:48:17"/>
    <b v="0"/>
    <x v="0"/>
  </r>
  <r>
    <x v="1"/>
    <x v="0"/>
    <x v="49"/>
    <s v="H"/>
    <m/>
    <d v="1918-05-08T09:35:52"/>
    <b v="0"/>
    <x v="0"/>
  </r>
  <r>
    <x v="15"/>
    <x v="0"/>
    <x v="49"/>
    <s v="H"/>
    <m/>
    <d v="1920-03-18T02:24:08"/>
    <b v="0"/>
    <x v="0"/>
  </r>
  <r>
    <x v="16"/>
    <x v="0"/>
    <x v="49"/>
    <s v="H"/>
    <m/>
    <d v="1913-03-04T04:48:17"/>
    <b v="0"/>
    <x v="0"/>
  </r>
  <r>
    <x v="19"/>
    <x v="0"/>
    <x v="49"/>
    <s v="H"/>
    <m/>
    <d v="1909-02-21T12:00:00"/>
    <b v="0"/>
    <x v="0"/>
  </r>
  <r>
    <x v="2"/>
    <x v="0"/>
    <x v="49"/>
    <s v="H"/>
    <m/>
    <d v="1913-07-23T16:48:17"/>
    <b v="0"/>
    <x v="0"/>
  </r>
  <r>
    <x v="3"/>
    <x v="0"/>
    <x v="49"/>
    <s v="H"/>
    <m/>
    <d v="1910-11-28T00:00:00"/>
    <b v="0"/>
    <x v="0"/>
  </r>
  <r>
    <x v="4"/>
    <x v="0"/>
    <x v="49"/>
    <s v="H"/>
    <m/>
    <d v="1904-11-15T19:12:04"/>
    <b v="0"/>
    <x v="0"/>
  </r>
  <r>
    <x v="5"/>
    <x v="0"/>
    <x v="49"/>
    <s v="H"/>
    <m/>
    <d v="1904-11-04T07:12:04"/>
    <b v="0"/>
    <x v="0"/>
  </r>
  <r>
    <x v="0"/>
    <x v="0"/>
    <x v="49"/>
    <s v="H"/>
    <m/>
    <d v="1904-08-30T16:47:56"/>
    <b v="0"/>
    <x v="0"/>
  </r>
  <r>
    <x v="20"/>
    <x v="0"/>
    <x v="49"/>
    <s v="H"/>
    <m/>
    <d v="1904-10-16T12:00:00"/>
    <b v="0"/>
    <x v="0"/>
  </r>
  <r>
    <x v="6"/>
    <x v="0"/>
    <x v="49"/>
    <s v="H"/>
    <m/>
    <d v="1903-12-05T00:00:00"/>
    <b v="0"/>
    <x v="0"/>
  </r>
  <r>
    <x v="7"/>
    <x v="0"/>
    <x v="49"/>
    <s v="H"/>
    <m/>
    <d v="1907-04-23T19:12:04"/>
    <b v="0"/>
    <x v="0"/>
  </r>
  <r>
    <x v="21"/>
    <x v="0"/>
    <x v="49"/>
    <s v="H"/>
    <m/>
    <d v="1914-03-26T09:35:52"/>
    <b v="0"/>
    <x v="0"/>
  </r>
  <r>
    <x v="8"/>
    <x v="0"/>
    <x v="49"/>
    <s v="H"/>
    <m/>
    <d v="1911-08-14T19:11:43"/>
    <b v="0"/>
    <x v="0"/>
  </r>
  <r>
    <x v="9"/>
    <x v="0"/>
    <x v="49"/>
    <s v="H"/>
    <m/>
    <d v="1913-01-07T12:00:00"/>
    <b v="0"/>
    <x v="0"/>
  </r>
  <r>
    <x v="10"/>
    <x v="0"/>
    <x v="49"/>
    <s v="H"/>
    <m/>
    <d v="1913-11-28T00:00:00"/>
    <b v="0"/>
    <x v="0"/>
  </r>
  <r>
    <x v="22"/>
    <x v="0"/>
    <x v="49"/>
    <s v="H"/>
    <m/>
    <d v="1904-01-31T16:47:56"/>
    <b v="0"/>
    <x v="0"/>
  </r>
  <r>
    <x v="23"/>
    <x v="0"/>
    <x v="49"/>
    <s v="H"/>
    <m/>
    <d v="1903-08-17T09:36:02"/>
    <b v="0"/>
    <x v="0"/>
  </r>
  <r>
    <x v="11"/>
    <x v="0"/>
    <x v="49"/>
    <s v="H"/>
    <m/>
    <d v="1914-05-01T02:24:08"/>
    <b v="0"/>
    <x v="0"/>
  </r>
  <r>
    <x v="12"/>
    <x v="0"/>
    <x v="49"/>
    <s v="H"/>
    <m/>
    <d v="1908-08-23T04:47:56"/>
    <b v="0"/>
    <x v="0"/>
  </r>
  <r>
    <x v="13"/>
    <x v="0"/>
    <x v="49"/>
    <s v="H"/>
    <m/>
    <d v="1908-02-16T02:24:08"/>
    <b v="0"/>
    <x v="0"/>
  </r>
  <r>
    <x v="1"/>
    <x v="0"/>
    <x v="50"/>
    <s v="H"/>
    <m/>
    <d v="1917-09-08T09:35:52"/>
    <b v="0"/>
    <x v="0"/>
  </r>
  <r>
    <x v="1"/>
    <x v="0"/>
    <x v="51"/>
    <s v="M"/>
    <d v="2014-11-12T00:00:00"/>
    <d v="1899-12-30T00:00:00"/>
    <b v="0"/>
    <x v="0"/>
  </r>
  <r>
    <x v="19"/>
    <x v="0"/>
    <x v="51"/>
    <s v="M"/>
    <d v="2014-08-14T00:00:00"/>
    <d v="1899-12-30T00:00:00"/>
    <b v="0"/>
    <x v="0"/>
  </r>
  <r>
    <x v="1"/>
    <x v="0"/>
    <x v="52"/>
    <s v="M"/>
    <d v="2014-11-12T00:00:00"/>
    <d v="1899-12-30T00:00:00"/>
    <b v="0"/>
    <x v="0"/>
  </r>
  <r>
    <x v="19"/>
    <x v="0"/>
    <x v="52"/>
    <s v="M"/>
    <d v="2014-08-14T00:00:00"/>
    <d v="1899-12-30T00:00:00"/>
    <b v="0"/>
    <x v="0"/>
  </r>
  <r>
    <x v="17"/>
    <x v="0"/>
    <x v="53"/>
    <s v="H"/>
    <m/>
    <d v="1914-04-07T14:24:08"/>
    <b v="0"/>
    <x v="0"/>
  </r>
  <r>
    <x v="14"/>
    <x v="0"/>
    <x v="53"/>
    <s v="H"/>
    <m/>
    <d v="1918-07-03T12:00:00"/>
    <b v="0"/>
    <x v="0"/>
  </r>
  <r>
    <x v="18"/>
    <x v="0"/>
    <x v="53"/>
    <s v="H"/>
    <m/>
    <d v="1920-06-01T16:48:17"/>
    <b v="0"/>
    <x v="0"/>
  </r>
  <r>
    <x v="1"/>
    <x v="0"/>
    <x v="53"/>
    <s v="H"/>
    <m/>
    <d v="1917-09-08T09:35:52"/>
    <b v="0"/>
    <x v="0"/>
  </r>
  <r>
    <x v="15"/>
    <x v="0"/>
    <x v="53"/>
    <s v="H"/>
    <m/>
    <d v="1920-03-18T02:24:08"/>
    <b v="0"/>
    <x v="0"/>
  </r>
  <r>
    <x v="16"/>
    <x v="0"/>
    <x v="53"/>
    <s v="H"/>
    <m/>
    <d v="1912-07-13T16:48:17"/>
    <b v="0"/>
    <x v="0"/>
  </r>
  <r>
    <x v="19"/>
    <x v="0"/>
    <x v="53"/>
    <s v="H"/>
    <m/>
    <d v="1908-07-09T07:12:04"/>
    <b v="0"/>
    <x v="0"/>
  </r>
  <r>
    <x v="2"/>
    <x v="0"/>
    <x v="53"/>
    <s v="H"/>
    <m/>
    <d v="1912-11-18T09:35:52"/>
    <b v="0"/>
    <x v="0"/>
  </r>
  <r>
    <x v="3"/>
    <x v="0"/>
    <x v="53"/>
    <s v="H"/>
    <m/>
    <d v="1910-03-31T09:35:52"/>
    <b v="0"/>
    <x v="0"/>
  </r>
  <r>
    <x v="4"/>
    <x v="0"/>
    <x v="53"/>
    <s v="H"/>
    <m/>
    <d v="1904-03-05T21:36:02"/>
    <b v="0"/>
    <x v="0"/>
  </r>
  <r>
    <x v="5"/>
    <x v="0"/>
    <x v="53"/>
    <s v="H"/>
    <m/>
    <d v="1904-11-04T07:12:04"/>
    <b v="0"/>
    <x v="0"/>
  </r>
  <r>
    <x v="0"/>
    <x v="0"/>
    <x v="53"/>
    <s v="H"/>
    <m/>
    <d v="1904-08-30T16:47:56"/>
    <b v="0"/>
    <x v="0"/>
  </r>
  <r>
    <x v="20"/>
    <x v="0"/>
    <x v="53"/>
    <s v="H"/>
    <m/>
    <d v="1904-02-26T19:12:04"/>
    <b v="0"/>
    <x v="0"/>
  </r>
  <r>
    <x v="6"/>
    <x v="0"/>
    <x v="53"/>
    <s v="H"/>
    <m/>
    <d v="1903-04-05T04:47:56"/>
    <b v="0"/>
    <x v="0"/>
  </r>
  <r>
    <x v="7"/>
    <x v="0"/>
    <x v="53"/>
    <s v="H"/>
    <m/>
    <d v="1907-04-23T19:12:04"/>
    <b v="0"/>
    <x v="0"/>
  </r>
  <r>
    <x v="21"/>
    <x v="0"/>
    <x v="53"/>
    <s v="H"/>
    <m/>
    <d v="1914-03-26T09:35:52"/>
    <b v="0"/>
    <x v="0"/>
  </r>
  <r>
    <x v="8"/>
    <x v="0"/>
    <x v="53"/>
    <s v="H"/>
    <m/>
    <d v="1910-12-11T14:24:08"/>
    <b v="0"/>
    <x v="0"/>
  </r>
  <r>
    <x v="9"/>
    <x v="0"/>
    <x v="53"/>
    <s v="H"/>
    <m/>
    <d v="1913-01-07T12:00:00"/>
    <b v="0"/>
    <x v="0"/>
  </r>
  <r>
    <x v="10"/>
    <x v="0"/>
    <x v="53"/>
    <s v="H"/>
    <m/>
    <d v="1913-11-28T00:00:00"/>
    <b v="0"/>
    <x v="0"/>
  </r>
  <r>
    <x v="22"/>
    <x v="0"/>
    <x v="53"/>
    <s v="H"/>
    <m/>
    <d v="1903-05-31T21:36:02"/>
    <b v="0"/>
    <x v="0"/>
  </r>
  <r>
    <x v="23"/>
    <x v="0"/>
    <x v="53"/>
    <s v="H"/>
    <m/>
    <d v="1903-08-17T09:36:02"/>
    <b v="0"/>
    <x v="0"/>
  </r>
  <r>
    <x v="11"/>
    <x v="0"/>
    <x v="53"/>
    <s v="H"/>
    <m/>
    <d v="1913-08-29T02:24:08"/>
    <b v="0"/>
    <x v="0"/>
  </r>
  <r>
    <x v="12"/>
    <x v="0"/>
    <x v="53"/>
    <s v="H"/>
    <m/>
    <d v="1907-12-27T04:47:56"/>
    <b v="0"/>
    <x v="0"/>
  </r>
  <r>
    <x v="13"/>
    <x v="0"/>
    <x v="53"/>
    <s v="H"/>
    <m/>
    <d v="1908-02-16T02:24:08"/>
    <b v="0"/>
    <x v="0"/>
  </r>
  <r>
    <x v="17"/>
    <x v="0"/>
    <x v="54"/>
    <s v="H"/>
    <m/>
    <d v="1914-04-12T14:24:08"/>
    <b v="0"/>
    <x v="0"/>
  </r>
  <r>
    <x v="14"/>
    <x v="0"/>
    <x v="54"/>
    <s v="H"/>
    <m/>
    <d v="1919-03-02T00:00:00"/>
    <b v="0"/>
    <x v="0"/>
  </r>
  <r>
    <x v="18"/>
    <x v="0"/>
    <x v="54"/>
    <s v="H"/>
    <m/>
    <d v="1921-02-01T16:48:17"/>
    <b v="0"/>
    <x v="0"/>
  </r>
  <r>
    <x v="1"/>
    <x v="0"/>
    <x v="54"/>
    <s v="H"/>
    <m/>
    <d v="1918-05-08T09:35:52"/>
    <b v="0"/>
    <x v="0"/>
  </r>
  <r>
    <x v="15"/>
    <x v="0"/>
    <x v="54"/>
    <s v="H"/>
    <m/>
    <d v="1920-03-18T02:24:08"/>
    <b v="0"/>
    <x v="0"/>
  </r>
  <r>
    <x v="16"/>
    <x v="0"/>
    <x v="54"/>
    <s v="H"/>
    <m/>
    <d v="1913-03-04T04:48:17"/>
    <b v="0"/>
    <x v="0"/>
  </r>
  <r>
    <x v="19"/>
    <x v="0"/>
    <x v="54"/>
    <s v="H"/>
    <m/>
    <d v="1909-02-21T04:47:56"/>
    <b v="0"/>
    <x v="0"/>
  </r>
  <r>
    <x v="2"/>
    <x v="0"/>
    <x v="54"/>
    <s v="H"/>
    <m/>
    <d v="1913-07-23T16:48:17"/>
    <b v="0"/>
    <x v="0"/>
  </r>
  <r>
    <x v="3"/>
    <x v="0"/>
    <x v="54"/>
    <s v="H"/>
    <m/>
    <d v="1910-11-28T00:00:00"/>
    <b v="0"/>
    <x v="0"/>
  </r>
  <r>
    <x v="4"/>
    <x v="0"/>
    <x v="54"/>
    <s v="H"/>
    <m/>
    <d v="1904-11-15T19:12:04"/>
    <b v="0"/>
    <x v="0"/>
  </r>
  <r>
    <x v="5"/>
    <x v="0"/>
    <x v="54"/>
    <s v="H"/>
    <m/>
    <d v="1904-11-04T07:12:04"/>
    <b v="0"/>
    <x v="0"/>
  </r>
  <r>
    <x v="0"/>
    <x v="0"/>
    <x v="54"/>
    <s v="H"/>
    <m/>
    <d v="1904-08-30T16:47:56"/>
    <b v="0"/>
    <x v="0"/>
  </r>
  <r>
    <x v="20"/>
    <x v="0"/>
    <x v="54"/>
    <s v="H"/>
    <m/>
    <d v="1904-10-16T12:00:00"/>
    <b v="0"/>
    <x v="0"/>
  </r>
  <r>
    <x v="6"/>
    <x v="0"/>
    <x v="54"/>
    <s v="H"/>
    <m/>
    <d v="1903-12-05T00:00:00"/>
    <b v="0"/>
    <x v="0"/>
  </r>
  <r>
    <x v="7"/>
    <x v="0"/>
    <x v="54"/>
    <s v="H"/>
    <m/>
    <d v="1907-04-23T19:12:04"/>
    <b v="0"/>
    <x v="0"/>
  </r>
  <r>
    <x v="21"/>
    <x v="0"/>
    <x v="54"/>
    <s v="H"/>
    <m/>
    <d v="1914-03-26T09:35:52"/>
    <b v="0"/>
    <x v="0"/>
  </r>
  <r>
    <x v="8"/>
    <x v="0"/>
    <x v="54"/>
    <s v="H"/>
    <m/>
    <d v="1911-08-14T19:11:43"/>
    <b v="0"/>
    <x v="0"/>
  </r>
  <r>
    <x v="9"/>
    <x v="0"/>
    <x v="54"/>
    <s v="H"/>
    <m/>
    <d v="1913-01-07T12:00:00"/>
    <b v="0"/>
    <x v="0"/>
  </r>
  <r>
    <x v="10"/>
    <x v="0"/>
    <x v="54"/>
    <s v="H"/>
    <m/>
    <d v="1913-11-28T00:00:00"/>
    <b v="0"/>
    <x v="0"/>
  </r>
  <r>
    <x v="22"/>
    <x v="0"/>
    <x v="54"/>
    <s v="H"/>
    <m/>
    <d v="1904-01-31T16:47:56"/>
    <b v="0"/>
    <x v="0"/>
  </r>
  <r>
    <x v="23"/>
    <x v="0"/>
    <x v="54"/>
    <s v="H"/>
    <m/>
    <d v="1903-08-17T09:36:02"/>
    <b v="0"/>
    <x v="0"/>
  </r>
  <r>
    <x v="11"/>
    <x v="0"/>
    <x v="54"/>
    <s v="H"/>
    <m/>
    <d v="1914-05-01T02:24:08"/>
    <b v="0"/>
    <x v="0"/>
  </r>
  <r>
    <x v="12"/>
    <x v="0"/>
    <x v="54"/>
    <s v="H"/>
    <m/>
    <d v="1908-08-23T04:47:56"/>
    <b v="0"/>
    <x v="0"/>
  </r>
  <r>
    <x v="13"/>
    <x v="0"/>
    <x v="54"/>
    <s v="H"/>
    <m/>
    <d v="1908-02-16T02:24:08"/>
    <b v="0"/>
    <x v="0"/>
  </r>
  <r>
    <x v="1"/>
    <x v="0"/>
    <x v="55"/>
    <s v="H"/>
    <m/>
    <d v="1918-05-08T09:35:52"/>
    <b v="0"/>
    <x v="0"/>
  </r>
  <r>
    <x v="17"/>
    <x v="0"/>
    <x v="56"/>
    <s v="D"/>
    <d v="2015-03-08T00:00:00"/>
    <d v="1899-12-30T00:00:00"/>
    <b v="0"/>
    <x v="0"/>
  </r>
  <r>
    <x v="14"/>
    <x v="0"/>
    <x v="56"/>
    <s v="D"/>
    <d v="2015-03-25T00:00:00"/>
    <d v="1899-12-30T00:00:00"/>
    <b v="0"/>
    <x v="0"/>
  </r>
  <r>
    <x v="18"/>
    <x v="0"/>
    <x v="56"/>
    <s v="D"/>
    <d v="2015-01-17T11:21:00"/>
    <d v="1899-12-30T00:00:00"/>
    <b v="0"/>
    <x v="0"/>
  </r>
  <r>
    <x v="1"/>
    <x v="0"/>
    <x v="56"/>
    <s v="D"/>
    <d v="2014-12-12T00:00:00"/>
    <d v="1899-12-30T00:00:00"/>
    <b v="0"/>
    <x v="0"/>
  </r>
  <r>
    <x v="15"/>
    <x v="0"/>
    <x v="56"/>
    <s v="D"/>
    <d v="2015-04-10T00:00:00"/>
    <d v="1899-12-30T00:00:00"/>
    <b v="0"/>
    <x v="0"/>
  </r>
  <r>
    <x v="16"/>
    <x v="0"/>
    <x v="56"/>
    <s v="D"/>
    <d v="2015-03-15T00:00:00"/>
    <d v="1899-12-30T00:00:00"/>
    <b v="0"/>
    <x v="0"/>
  </r>
  <r>
    <x v="19"/>
    <x v="0"/>
    <x v="56"/>
    <s v="D"/>
    <d v="2015-03-02T00:00:00"/>
    <d v="1899-12-30T00:00:00"/>
    <b v="0"/>
    <x v="0"/>
  </r>
  <r>
    <x v="2"/>
    <x v="0"/>
    <x v="56"/>
    <s v="D"/>
    <d v="2015-03-04T00:00:00"/>
    <d v="1899-12-30T00:00:00"/>
    <b v="0"/>
    <x v="0"/>
  </r>
  <r>
    <x v="3"/>
    <x v="0"/>
    <x v="56"/>
    <s v="D"/>
    <d v="2014-10-24T10:19:00"/>
    <d v="1899-12-30T00:00:00"/>
    <b v="0"/>
    <x v="0"/>
  </r>
  <r>
    <x v="4"/>
    <x v="0"/>
    <x v="56"/>
    <s v="D"/>
    <d v="2014-12-14T22:56:00"/>
    <d v="1899-12-30T00:00:00"/>
    <b v="0"/>
    <x v="0"/>
  </r>
  <r>
    <x v="5"/>
    <x v="0"/>
    <x v="56"/>
    <s v="D"/>
    <d v="2015-02-10T07:46:00"/>
    <d v="1899-12-30T00:00:00"/>
    <b v="0"/>
    <x v="0"/>
  </r>
  <r>
    <x v="0"/>
    <x v="0"/>
    <x v="56"/>
    <s v="D"/>
    <d v="2014-10-27T09:58:00"/>
    <d v="1899-12-30T00:00:00"/>
    <b v="0"/>
    <x v="0"/>
  </r>
  <r>
    <x v="20"/>
    <x v="0"/>
    <x v="56"/>
    <s v="D"/>
    <d v="2015-04-05T00:00:00"/>
    <d v="1899-12-30T00:00:00"/>
    <b v="0"/>
    <x v="0"/>
  </r>
  <r>
    <x v="6"/>
    <x v="0"/>
    <x v="56"/>
    <s v="D"/>
    <d v="2015-01-11T08:40:00"/>
    <d v="1899-12-30T00:00:00"/>
    <b v="0"/>
    <x v="0"/>
  </r>
  <r>
    <x v="7"/>
    <x v="0"/>
    <x v="56"/>
    <s v="D"/>
    <d v="2015-04-05T05:00:00"/>
    <d v="1899-12-30T00:00:00"/>
    <b v="0"/>
    <x v="0"/>
  </r>
  <r>
    <x v="21"/>
    <x v="0"/>
    <x v="56"/>
    <s v="D"/>
    <d v="2015-03-03T14:00:00"/>
    <d v="1899-12-30T00:00:00"/>
    <b v="0"/>
    <x v="0"/>
  </r>
  <r>
    <x v="8"/>
    <x v="0"/>
    <x v="56"/>
    <s v="D"/>
    <d v="2015-03-13T09:56:00"/>
    <d v="1899-12-30T00:00:00"/>
    <b v="0"/>
    <x v="0"/>
  </r>
  <r>
    <x v="9"/>
    <x v="0"/>
    <x v="56"/>
    <s v="D"/>
    <d v="2015-04-14T09:50:00"/>
    <d v="1899-12-30T00:00:00"/>
    <b v="0"/>
    <x v="0"/>
  </r>
  <r>
    <x v="10"/>
    <x v="0"/>
    <x v="56"/>
    <s v="D"/>
    <d v="2015-02-23T11:16:00"/>
    <d v="1899-12-30T00:00:00"/>
    <b v="0"/>
    <x v="0"/>
  </r>
  <r>
    <x v="22"/>
    <x v="0"/>
    <x v="56"/>
    <s v="D"/>
    <d v="2015-01-05T13:01:00"/>
    <d v="1899-12-30T00:00:00"/>
    <b v="0"/>
    <x v="0"/>
  </r>
  <r>
    <x v="23"/>
    <x v="0"/>
    <x v="56"/>
    <s v="D"/>
    <d v="2014-11-12T07:43:00"/>
    <d v="1899-12-30T00:00:00"/>
    <b v="0"/>
    <x v="0"/>
  </r>
  <r>
    <x v="11"/>
    <x v="0"/>
    <x v="56"/>
    <s v="D"/>
    <d v="2015-04-09T13:05:00"/>
    <d v="1899-12-30T00:00:00"/>
    <b v="0"/>
    <x v="0"/>
  </r>
  <r>
    <x v="12"/>
    <x v="0"/>
    <x v="56"/>
    <s v="D"/>
    <d v="2015-03-18T08:49:00"/>
    <d v="1899-12-30T00:00:00"/>
    <b v="0"/>
    <x v="0"/>
  </r>
  <r>
    <x v="13"/>
    <x v="0"/>
    <x v="56"/>
    <s v="D"/>
    <d v="2014-12-09T16:12:00"/>
    <d v="1899-12-30T00:00:00"/>
    <b v="0"/>
    <x v="0"/>
  </r>
  <r>
    <x v="14"/>
    <x v="0"/>
    <x v="56"/>
    <s v="M"/>
    <d v="2014-08-19T07:22:00"/>
    <d v="1899-12-30T00:00:00"/>
    <b v="0"/>
    <x v="0"/>
  </r>
  <r>
    <x v="17"/>
    <x v="0"/>
    <x v="57"/>
    <s v="M"/>
    <d v="2015-03-27T10:39:00"/>
    <d v="1899-12-30T00:00:00"/>
    <b v="0"/>
    <x v="0"/>
  </r>
  <r>
    <x v="14"/>
    <x v="0"/>
    <x v="57"/>
    <s v="M"/>
    <d v="2014-09-27T00:37:00"/>
    <d v="1899-12-30T00:00:00"/>
    <b v="0"/>
    <x v="0"/>
  </r>
  <r>
    <x v="18"/>
    <x v="0"/>
    <x v="57"/>
    <s v="M"/>
    <d v="2015-01-09T11:50:00"/>
    <d v="1899-12-30T00:00:00"/>
    <b v="0"/>
    <x v="0"/>
  </r>
  <r>
    <x v="1"/>
    <x v="0"/>
    <x v="57"/>
    <s v="M"/>
    <d v="2015-04-13T13:35:00"/>
    <d v="1899-12-30T00:00:00"/>
    <b v="0"/>
    <x v="0"/>
  </r>
  <r>
    <x v="15"/>
    <x v="0"/>
    <x v="57"/>
    <s v="M"/>
    <d v="2014-10-25T00:00:00"/>
    <d v="1899-12-30T00:00:00"/>
    <b v="0"/>
    <x v="0"/>
  </r>
  <r>
    <x v="16"/>
    <x v="0"/>
    <x v="57"/>
    <s v="M"/>
    <d v="2015-01-16T00:00:00"/>
    <d v="1899-12-30T00:00:00"/>
    <b v="0"/>
    <x v="0"/>
  </r>
  <r>
    <x v="19"/>
    <x v="0"/>
    <x v="57"/>
    <s v="M"/>
    <d v="2015-03-26T14:21:00"/>
    <d v="1899-12-30T00:00:00"/>
    <b v="0"/>
    <x v="0"/>
  </r>
  <r>
    <x v="2"/>
    <x v="0"/>
    <x v="57"/>
    <s v="M"/>
    <d v="2015-03-17T15:53:00"/>
    <d v="1899-12-30T00:00:00"/>
    <b v="0"/>
    <x v="0"/>
  </r>
  <r>
    <x v="3"/>
    <x v="0"/>
    <x v="57"/>
    <s v="M"/>
    <d v="2015-02-14T15:57:00"/>
    <d v="1899-12-30T00:00:00"/>
    <b v="0"/>
    <x v="0"/>
  </r>
  <r>
    <x v="4"/>
    <x v="0"/>
    <x v="57"/>
    <s v="M"/>
    <d v="2015-02-05T15:34:00"/>
    <d v="1899-12-30T00:00:00"/>
    <b v="0"/>
    <x v="0"/>
  </r>
  <r>
    <x v="5"/>
    <x v="0"/>
    <x v="57"/>
    <s v="M"/>
    <d v="2015-02-10T07:47:00"/>
    <d v="1899-12-30T00:00:00"/>
    <b v="0"/>
    <x v="0"/>
  </r>
  <r>
    <x v="0"/>
    <x v="0"/>
    <x v="57"/>
    <s v="M"/>
    <d v="2014-12-11T12:28:00"/>
    <d v="1899-12-30T00:00:00"/>
    <b v="0"/>
    <x v="0"/>
  </r>
  <r>
    <x v="20"/>
    <x v="0"/>
    <x v="57"/>
    <s v="M"/>
    <d v="2015-04-18T00:55:00"/>
    <d v="1899-12-30T00:00:00"/>
    <b v="0"/>
    <x v="0"/>
  </r>
  <r>
    <x v="6"/>
    <x v="0"/>
    <x v="57"/>
    <s v="M"/>
    <d v="2014-09-25T02:38:00"/>
    <d v="1899-12-30T00:00:00"/>
    <b v="0"/>
    <x v="0"/>
  </r>
  <r>
    <x v="7"/>
    <x v="0"/>
    <x v="57"/>
    <s v="M"/>
    <d v="2015-04-10T00:00:00"/>
    <d v="1899-12-30T00:00:00"/>
    <b v="0"/>
    <x v="0"/>
  </r>
  <r>
    <x v="21"/>
    <x v="0"/>
    <x v="57"/>
    <s v="M"/>
    <d v="2015-03-31T17:02:00"/>
    <d v="1899-12-30T00:00:00"/>
    <b v="0"/>
    <x v="0"/>
  </r>
  <r>
    <x v="8"/>
    <x v="0"/>
    <x v="57"/>
    <s v="M"/>
    <d v="2014-10-17T03:13:00"/>
    <d v="1899-12-30T00:00:00"/>
    <b v="0"/>
    <x v="0"/>
  </r>
  <r>
    <x v="9"/>
    <x v="0"/>
    <x v="57"/>
    <s v="M"/>
    <d v="2015-01-22T00:00:00"/>
    <d v="1899-12-30T00:00:00"/>
    <b v="0"/>
    <x v="0"/>
  </r>
  <r>
    <x v="10"/>
    <x v="0"/>
    <x v="57"/>
    <s v="M"/>
    <d v="2015-03-30T00:00:00"/>
    <d v="1899-12-30T00:00:00"/>
    <b v="0"/>
    <x v="0"/>
  </r>
  <r>
    <x v="22"/>
    <x v="0"/>
    <x v="57"/>
    <s v="M"/>
    <d v="2015-03-20T08:21:00"/>
    <d v="1899-12-30T00:00:00"/>
    <b v="0"/>
    <x v="0"/>
  </r>
  <r>
    <x v="23"/>
    <x v="0"/>
    <x v="57"/>
    <s v="M"/>
    <d v="2015-03-10T09:28:00"/>
    <d v="1899-12-30T00:00:00"/>
    <b v="0"/>
    <x v="0"/>
  </r>
  <r>
    <x v="11"/>
    <x v="0"/>
    <x v="57"/>
    <s v="M"/>
    <d v="2014-11-05T10:27:00"/>
    <d v="1899-12-30T00:00:00"/>
    <b v="0"/>
    <x v="0"/>
  </r>
  <r>
    <x v="12"/>
    <x v="0"/>
    <x v="57"/>
    <s v="M"/>
    <d v="2014-11-15T17:05:00"/>
    <d v="1899-12-30T00:00:00"/>
    <b v="0"/>
    <x v="0"/>
  </r>
  <r>
    <x v="13"/>
    <x v="0"/>
    <x v="57"/>
    <s v="M"/>
    <d v="2015-02-21T00:00:00"/>
    <d v="1899-12-30T00:00:00"/>
    <b v="0"/>
    <x v="0"/>
  </r>
  <r>
    <x v="17"/>
    <x v="0"/>
    <x v="58"/>
    <s v="M"/>
    <d v="2014-07-12T00:00:00"/>
    <d v="1899-12-30T00:00:00"/>
    <b v="0"/>
    <x v="0"/>
  </r>
  <r>
    <x v="14"/>
    <x v="0"/>
    <x v="58"/>
    <s v="M"/>
    <d v="2014-06-22T07:54:00"/>
    <d v="1899-12-30T00:00:00"/>
    <b v="0"/>
    <x v="0"/>
  </r>
  <r>
    <x v="18"/>
    <x v="0"/>
    <x v="58"/>
    <s v="M"/>
    <d v="2014-11-10T13:54:00"/>
    <d v="1899-12-30T00:00:00"/>
    <b v="0"/>
    <x v="0"/>
  </r>
  <r>
    <x v="1"/>
    <x v="0"/>
    <x v="58"/>
    <s v="M"/>
    <d v="2014-11-29T00:00:00"/>
    <d v="1899-12-30T00:00:00"/>
    <b v="0"/>
    <x v="0"/>
  </r>
  <r>
    <x v="15"/>
    <x v="0"/>
    <x v="58"/>
    <s v="M"/>
    <d v="2015-02-21T00:00:00"/>
    <d v="1899-12-30T00:00:00"/>
    <b v="0"/>
    <x v="0"/>
  </r>
  <r>
    <x v="16"/>
    <x v="0"/>
    <x v="58"/>
    <s v="M"/>
    <d v="2015-03-11T10:09:00"/>
    <d v="1899-12-30T00:00:00"/>
    <b v="0"/>
    <x v="0"/>
  </r>
  <r>
    <x v="19"/>
    <x v="0"/>
    <x v="58"/>
    <s v="M"/>
    <d v="2014-09-30T00:00:00"/>
    <d v="1899-12-30T00:00:00"/>
    <b v="0"/>
    <x v="0"/>
  </r>
  <r>
    <x v="2"/>
    <x v="0"/>
    <x v="58"/>
    <s v="M"/>
    <d v="2014-08-18T06:31:00"/>
    <d v="1899-12-30T00:00:00"/>
    <b v="0"/>
    <x v="0"/>
  </r>
  <r>
    <x v="3"/>
    <x v="0"/>
    <x v="58"/>
    <s v="M"/>
    <d v="2014-11-13T11:40:00"/>
    <d v="1899-12-30T00:00:00"/>
    <b v="0"/>
    <x v="0"/>
  </r>
  <r>
    <x v="4"/>
    <x v="0"/>
    <x v="58"/>
    <s v="M"/>
    <d v="2014-08-18T09:08:00"/>
    <d v="1899-12-30T00:00:00"/>
    <b v="0"/>
    <x v="0"/>
  </r>
  <r>
    <x v="5"/>
    <x v="0"/>
    <x v="58"/>
    <s v="M"/>
    <d v="2015-02-17T10:42:00"/>
    <d v="1899-12-30T00:00:00"/>
    <b v="0"/>
    <x v="0"/>
  </r>
  <r>
    <x v="0"/>
    <x v="0"/>
    <x v="58"/>
    <s v="M"/>
    <d v="2014-11-17T10:10:00"/>
    <d v="1899-12-30T00:00:00"/>
    <b v="0"/>
    <x v="0"/>
  </r>
  <r>
    <x v="20"/>
    <x v="0"/>
    <x v="58"/>
    <s v="M"/>
    <d v="2014-08-26T00:00:00"/>
    <d v="1899-12-30T00:00:00"/>
    <b v="0"/>
    <x v="0"/>
  </r>
  <r>
    <x v="6"/>
    <x v="0"/>
    <x v="58"/>
    <s v="M"/>
    <d v="2015-01-17T10:48:00"/>
    <d v="1899-12-30T00:00:00"/>
    <b v="0"/>
    <x v="0"/>
  </r>
  <r>
    <x v="7"/>
    <x v="0"/>
    <x v="58"/>
    <s v="M"/>
    <d v="2014-10-21T00:00:00"/>
    <d v="1899-12-30T00:00:00"/>
    <b v="0"/>
    <x v="0"/>
  </r>
  <r>
    <x v="21"/>
    <x v="0"/>
    <x v="58"/>
    <s v="M"/>
    <d v="2014-09-30T00:00:00"/>
    <d v="1899-12-30T00:00:00"/>
    <b v="0"/>
    <x v="0"/>
  </r>
  <r>
    <x v="8"/>
    <x v="0"/>
    <x v="58"/>
    <s v="M"/>
    <d v="2014-12-03T16:55:00"/>
    <d v="1899-12-30T00:00:00"/>
    <b v="0"/>
    <x v="0"/>
  </r>
  <r>
    <x v="9"/>
    <x v="0"/>
    <x v="58"/>
    <s v="M"/>
    <d v="2014-08-19T00:00:00"/>
    <d v="1899-12-30T00:00:00"/>
    <b v="0"/>
    <x v="0"/>
  </r>
  <r>
    <x v="10"/>
    <x v="0"/>
    <x v="58"/>
    <s v="M"/>
    <d v="2014-05-05T12:06:00"/>
    <d v="1899-12-30T00:00:00"/>
    <b v="0"/>
    <x v="0"/>
  </r>
  <r>
    <x v="22"/>
    <x v="0"/>
    <x v="58"/>
    <s v="M"/>
    <d v="2014-08-19T06:12:00"/>
    <d v="1899-12-30T00:00:00"/>
    <b v="0"/>
    <x v="0"/>
  </r>
  <r>
    <x v="23"/>
    <x v="0"/>
    <x v="58"/>
    <s v="M"/>
    <d v="2015-03-20T16:41:00"/>
    <d v="1899-12-30T00:00:00"/>
    <b v="0"/>
    <x v="0"/>
  </r>
  <r>
    <x v="11"/>
    <x v="0"/>
    <x v="58"/>
    <s v="M"/>
    <d v="2014-08-19T00:00:00"/>
    <d v="1899-12-30T00:00:00"/>
    <b v="0"/>
    <x v="0"/>
  </r>
  <r>
    <x v="12"/>
    <x v="0"/>
    <x v="58"/>
    <s v="M"/>
    <d v="2014-09-19T00:00:00"/>
    <d v="1899-12-30T00:00:00"/>
    <b v="0"/>
    <x v="0"/>
  </r>
  <r>
    <x v="13"/>
    <x v="0"/>
    <x v="58"/>
    <s v="M"/>
    <d v="2014-10-02T00:00:00"/>
    <d v="1899-12-30T00:00:00"/>
    <b v="0"/>
    <x v="0"/>
  </r>
  <r>
    <x v="17"/>
    <x v="0"/>
    <x v="59"/>
    <s v="M"/>
    <d v="2015-03-04T00:00:00"/>
    <d v="1899-12-30T00:00:00"/>
    <b v="0"/>
    <x v="0"/>
  </r>
  <r>
    <x v="14"/>
    <x v="0"/>
    <x v="59"/>
    <s v="M"/>
    <d v="2014-03-05T00:00:00"/>
    <d v="1899-12-30T00:00:00"/>
    <b v="0"/>
    <x v="0"/>
  </r>
  <r>
    <x v="18"/>
    <x v="0"/>
    <x v="59"/>
    <s v="M"/>
    <d v="2015-02-04T23:21:00"/>
    <d v="1899-12-30T00:00:00"/>
    <b v="0"/>
    <x v="0"/>
  </r>
  <r>
    <x v="1"/>
    <x v="0"/>
    <x v="59"/>
    <s v="M"/>
    <d v="2015-01-05T00:00:00"/>
    <d v="1899-12-30T00:00:00"/>
    <b v="0"/>
    <x v="0"/>
  </r>
  <r>
    <x v="15"/>
    <x v="0"/>
    <x v="59"/>
    <s v="M"/>
    <d v="2014-12-11T00:00:00"/>
    <d v="1899-12-30T00:00:00"/>
    <b v="0"/>
    <x v="0"/>
  </r>
  <r>
    <x v="16"/>
    <x v="0"/>
    <x v="59"/>
    <s v="M"/>
    <d v="2014-04-17T15:43:00"/>
    <d v="1899-12-30T00:00:00"/>
    <b v="0"/>
    <x v="0"/>
  </r>
  <r>
    <x v="19"/>
    <x v="0"/>
    <x v="59"/>
    <s v="M"/>
    <d v="2015-02-24T14:03:00"/>
    <d v="1899-12-30T00:00:00"/>
    <b v="0"/>
    <x v="0"/>
  </r>
  <r>
    <x v="2"/>
    <x v="0"/>
    <x v="59"/>
    <s v="M"/>
    <d v="2015-03-24T09:28:00"/>
    <d v="1899-12-30T00:00:00"/>
    <b v="0"/>
    <x v="0"/>
  </r>
  <r>
    <x v="3"/>
    <x v="0"/>
    <x v="59"/>
    <s v="M"/>
    <d v="2015-02-24T21:57:00"/>
    <d v="1899-12-30T00:00:00"/>
    <b v="0"/>
    <x v="0"/>
  </r>
  <r>
    <x v="4"/>
    <x v="0"/>
    <x v="59"/>
    <s v="M"/>
    <d v="2014-12-11T18:40:00"/>
    <d v="1899-12-30T00:00:00"/>
    <b v="0"/>
    <x v="0"/>
  </r>
  <r>
    <x v="5"/>
    <x v="0"/>
    <x v="59"/>
    <s v="M"/>
    <d v="2015-02-25T12:19:00"/>
    <d v="1899-12-30T00:00:00"/>
    <b v="0"/>
    <x v="0"/>
  </r>
  <r>
    <x v="20"/>
    <x v="0"/>
    <x v="59"/>
    <s v="M"/>
    <d v="2014-12-11T17:40:00"/>
    <d v="1899-12-30T00:00:00"/>
    <b v="0"/>
    <x v="0"/>
  </r>
  <r>
    <x v="6"/>
    <x v="0"/>
    <x v="59"/>
    <s v="M"/>
    <d v="2014-04-02T23:10:00"/>
    <d v="1899-12-30T00:00:00"/>
    <b v="0"/>
    <x v="0"/>
  </r>
  <r>
    <x v="7"/>
    <x v="0"/>
    <x v="59"/>
    <s v="M"/>
    <d v="2014-04-10T06:00:00"/>
    <d v="1899-12-30T00:00:00"/>
    <b v="0"/>
    <x v="0"/>
  </r>
  <r>
    <x v="21"/>
    <x v="0"/>
    <x v="59"/>
    <s v="M"/>
    <d v="2014-03-25T00:00:00"/>
    <d v="1899-12-30T00:00:00"/>
    <b v="0"/>
    <x v="0"/>
  </r>
  <r>
    <x v="8"/>
    <x v="0"/>
    <x v="59"/>
    <s v="M"/>
    <d v="2014-04-15T13:37:00"/>
    <d v="1899-12-30T00:00:00"/>
    <b v="0"/>
    <x v="0"/>
  </r>
  <r>
    <x v="9"/>
    <x v="0"/>
    <x v="59"/>
    <s v="M"/>
    <d v="2014-10-31T06:02:00"/>
    <d v="1899-12-30T00:00:00"/>
    <b v="0"/>
    <x v="0"/>
  </r>
  <r>
    <x v="10"/>
    <x v="0"/>
    <x v="59"/>
    <s v="M"/>
    <d v="2014-03-31T00:00:00"/>
    <d v="1899-12-30T00:00:00"/>
    <b v="0"/>
    <x v="0"/>
  </r>
  <r>
    <x v="22"/>
    <x v="0"/>
    <x v="59"/>
    <s v="M"/>
    <d v="2014-12-12T00:00:00"/>
    <d v="1899-12-30T00:00:00"/>
    <b v="0"/>
    <x v="0"/>
  </r>
  <r>
    <x v="23"/>
    <x v="0"/>
    <x v="59"/>
    <s v="M"/>
    <d v="2015-03-10T09:28:00"/>
    <d v="1899-12-30T00:00:00"/>
    <b v="0"/>
    <x v="0"/>
  </r>
  <r>
    <x v="11"/>
    <x v="0"/>
    <x v="59"/>
    <s v="M"/>
    <d v="2014-05-15T14:49:00"/>
    <d v="1899-12-30T00:00:00"/>
    <b v="0"/>
    <x v="0"/>
  </r>
  <r>
    <x v="12"/>
    <x v="0"/>
    <x v="59"/>
    <s v="M"/>
    <d v="2014-12-16T00:00:00"/>
    <d v="1899-12-30T00:00:00"/>
    <b v="0"/>
    <x v="0"/>
  </r>
  <r>
    <x v="13"/>
    <x v="0"/>
    <x v="59"/>
    <s v="M"/>
    <d v="2014-11-21T15:00:00"/>
    <d v="1899-12-30T00:00:00"/>
    <b v="0"/>
    <x v="0"/>
  </r>
  <r>
    <x v="17"/>
    <x v="0"/>
    <x v="60"/>
    <s v="M"/>
    <d v="2014-08-14T00:00:00"/>
    <d v="1899-12-30T00:00:00"/>
    <b v="0"/>
    <x v="0"/>
  </r>
  <r>
    <x v="14"/>
    <x v="0"/>
    <x v="60"/>
    <s v="M"/>
    <d v="2014-10-25T14:58:00"/>
    <d v="1899-12-30T00:00:00"/>
    <b v="0"/>
    <x v="0"/>
  </r>
  <r>
    <x v="18"/>
    <x v="0"/>
    <x v="60"/>
    <s v="M"/>
    <d v="2014-07-24T12:35:00"/>
    <d v="1899-12-30T00:00:00"/>
    <b v="0"/>
    <x v="0"/>
  </r>
  <r>
    <x v="1"/>
    <x v="0"/>
    <x v="60"/>
    <s v="M"/>
    <d v="2015-04-15T17:46:00"/>
    <d v="1899-12-30T00:00:00"/>
    <b v="0"/>
    <x v="0"/>
  </r>
  <r>
    <x v="15"/>
    <x v="0"/>
    <x v="60"/>
    <s v="M"/>
    <d v="2014-06-24T13:29:00"/>
    <d v="1899-12-30T00:00:00"/>
    <b v="0"/>
    <x v="0"/>
  </r>
  <r>
    <x v="16"/>
    <x v="0"/>
    <x v="60"/>
    <s v="M"/>
    <d v="2014-06-24T05:03:00"/>
    <d v="1899-12-30T00:00:00"/>
    <b v="0"/>
    <x v="0"/>
  </r>
  <r>
    <x v="19"/>
    <x v="0"/>
    <x v="60"/>
    <s v="M"/>
    <d v="2014-05-17T00:00:00"/>
    <d v="1899-12-30T00:00:00"/>
    <b v="0"/>
    <x v="0"/>
  </r>
  <r>
    <x v="2"/>
    <x v="0"/>
    <x v="60"/>
    <s v="M"/>
    <d v="2015-03-05T13:45:00"/>
    <d v="1899-12-30T00:00:00"/>
    <b v="0"/>
    <x v="0"/>
  </r>
  <r>
    <x v="3"/>
    <x v="0"/>
    <x v="60"/>
    <s v="M"/>
    <d v="2014-05-13T09:58:00"/>
    <d v="1899-12-30T00:00:00"/>
    <b v="0"/>
    <x v="0"/>
  </r>
  <r>
    <x v="4"/>
    <x v="0"/>
    <x v="60"/>
    <s v="M"/>
    <d v="2014-12-11T00:00:00"/>
    <d v="1899-12-30T00:00:00"/>
    <b v="0"/>
    <x v="0"/>
  </r>
  <r>
    <x v="5"/>
    <x v="0"/>
    <x v="60"/>
    <s v="M"/>
    <d v="2015-03-10T13:16:00"/>
    <d v="1899-12-30T00:00:00"/>
    <b v="0"/>
    <x v="0"/>
  </r>
  <r>
    <x v="0"/>
    <x v="0"/>
    <x v="60"/>
    <s v="M"/>
    <d v="2014-12-24T00:00:00"/>
    <d v="1899-12-30T00:00:00"/>
    <b v="0"/>
    <x v="0"/>
  </r>
  <r>
    <x v="20"/>
    <x v="0"/>
    <x v="60"/>
    <s v="M"/>
    <d v="2014-12-06T14:40:00"/>
    <d v="1899-12-30T00:00:00"/>
    <b v="0"/>
    <x v="0"/>
  </r>
  <r>
    <x v="6"/>
    <x v="0"/>
    <x v="60"/>
    <s v="M"/>
    <d v="2014-03-26T16:22:00"/>
    <d v="1899-12-30T00:00:00"/>
    <b v="0"/>
    <x v="0"/>
  </r>
  <r>
    <x v="7"/>
    <x v="0"/>
    <x v="60"/>
    <s v="M"/>
    <d v="2014-04-14T08:11:00"/>
    <d v="1899-12-30T00:00:00"/>
    <b v="0"/>
    <x v="0"/>
  </r>
  <r>
    <x v="21"/>
    <x v="0"/>
    <x v="60"/>
    <s v="M"/>
    <d v="2015-03-12T12:39:00"/>
    <d v="1899-12-30T00:00:00"/>
    <b v="0"/>
    <x v="0"/>
  </r>
  <r>
    <x v="8"/>
    <x v="0"/>
    <x v="60"/>
    <s v="M"/>
    <d v="2014-04-20T16:59:00"/>
    <d v="1899-12-30T00:00:00"/>
    <b v="0"/>
    <x v="0"/>
  </r>
  <r>
    <x v="9"/>
    <x v="0"/>
    <x v="60"/>
    <s v="M"/>
    <d v="2015-02-09T08:03:00"/>
    <d v="1899-12-30T00:00:00"/>
    <b v="0"/>
    <x v="0"/>
  </r>
  <r>
    <x v="10"/>
    <x v="0"/>
    <x v="60"/>
    <s v="M"/>
    <d v="2014-04-01T00:00:00"/>
    <d v="1899-12-30T00:00:00"/>
    <b v="0"/>
    <x v="0"/>
  </r>
  <r>
    <x v="22"/>
    <x v="0"/>
    <x v="60"/>
    <s v="M"/>
    <d v="2014-03-27T11:41:00"/>
    <d v="1899-12-30T00:00:00"/>
    <b v="0"/>
    <x v="0"/>
  </r>
  <r>
    <x v="23"/>
    <x v="0"/>
    <x v="60"/>
    <s v="M"/>
    <d v="2015-02-08T06:29:00"/>
    <d v="1899-12-30T00:00:00"/>
    <b v="0"/>
    <x v="0"/>
  </r>
  <r>
    <x v="11"/>
    <x v="0"/>
    <x v="60"/>
    <s v="M"/>
    <d v="2014-05-20T00:00:00"/>
    <d v="1899-12-30T00:00:00"/>
    <b v="0"/>
    <x v="0"/>
  </r>
  <r>
    <x v="12"/>
    <x v="0"/>
    <x v="60"/>
    <s v="M"/>
    <d v="2014-05-30T11:15:00"/>
    <d v="1899-12-30T00:00:00"/>
    <b v="0"/>
    <x v="0"/>
  </r>
  <r>
    <x v="13"/>
    <x v="0"/>
    <x v="60"/>
    <s v="M"/>
    <d v="2014-04-10T15:00:00"/>
    <d v="1899-12-30T00:00:00"/>
    <b v="0"/>
    <x v="0"/>
  </r>
  <r>
    <x v="17"/>
    <x v="0"/>
    <x v="61"/>
    <s v="M"/>
    <d v="2015-03-04T00:00:00"/>
    <d v="1899-12-30T00:00:00"/>
    <b v="0"/>
    <x v="0"/>
  </r>
  <r>
    <x v="14"/>
    <x v="0"/>
    <x v="61"/>
    <s v="M"/>
    <d v="2014-03-30T00:00:00"/>
    <d v="1899-12-30T00:00:00"/>
    <b v="0"/>
    <x v="0"/>
  </r>
  <r>
    <x v="18"/>
    <x v="0"/>
    <x v="61"/>
    <s v="M"/>
    <d v="2015-02-04T23:24:00"/>
    <d v="1899-12-30T00:00:00"/>
    <b v="0"/>
    <x v="0"/>
  </r>
  <r>
    <x v="1"/>
    <x v="0"/>
    <x v="61"/>
    <s v="M"/>
    <d v="2015-01-05T00:00:00"/>
    <d v="1899-12-30T00:00:00"/>
    <b v="0"/>
    <x v="0"/>
  </r>
  <r>
    <x v="15"/>
    <x v="0"/>
    <x v="61"/>
    <s v="M"/>
    <d v="2014-12-11T00:00:00"/>
    <d v="1899-12-30T00:00:00"/>
    <b v="0"/>
    <x v="0"/>
  </r>
  <r>
    <x v="16"/>
    <x v="0"/>
    <x v="61"/>
    <s v="M"/>
    <d v="2014-04-17T15:41:00"/>
    <d v="1899-12-30T00:00:00"/>
    <b v="0"/>
    <x v="0"/>
  </r>
  <r>
    <x v="19"/>
    <x v="0"/>
    <x v="61"/>
    <s v="M"/>
    <d v="2015-02-24T13:59:00"/>
    <d v="1899-12-30T00:00:00"/>
    <b v="0"/>
    <x v="0"/>
  </r>
  <r>
    <x v="2"/>
    <x v="0"/>
    <x v="61"/>
    <s v="M"/>
    <d v="2014-12-16T00:00:00"/>
    <d v="1899-12-30T00:00:00"/>
    <b v="0"/>
    <x v="0"/>
  </r>
  <r>
    <x v="3"/>
    <x v="0"/>
    <x v="61"/>
    <s v="M"/>
    <d v="2015-02-24T21:56:00"/>
    <d v="1899-12-30T00:00:00"/>
    <b v="0"/>
    <x v="0"/>
  </r>
  <r>
    <x v="4"/>
    <x v="0"/>
    <x v="61"/>
    <s v="M"/>
    <d v="2014-12-11T00:00:00"/>
    <d v="1899-12-30T00:00:00"/>
    <b v="0"/>
    <x v="0"/>
  </r>
  <r>
    <x v="5"/>
    <x v="0"/>
    <x v="61"/>
    <s v="M"/>
    <d v="2015-02-17T08:25:00"/>
    <d v="1899-12-30T00:00:00"/>
    <b v="0"/>
    <x v="0"/>
  </r>
  <r>
    <x v="0"/>
    <x v="0"/>
    <x v="61"/>
    <s v="M"/>
    <d v="2014-12-04T19:49:00"/>
    <d v="1899-12-30T00:00:00"/>
    <b v="0"/>
    <x v="0"/>
  </r>
  <r>
    <x v="20"/>
    <x v="0"/>
    <x v="61"/>
    <s v="M"/>
    <d v="2014-12-11T17:42:00"/>
    <d v="1899-12-30T00:00:00"/>
    <b v="0"/>
    <x v="0"/>
  </r>
  <r>
    <x v="6"/>
    <x v="0"/>
    <x v="61"/>
    <s v="M"/>
    <d v="2014-04-02T23:40:00"/>
    <d v="1899-12-30T00:00:00"/>
    <b v="0"/>
    <x v="0"/>
  </r>
  <r>
    <x v="7"/>
    <x v="0"/>
    <x v="61"/>
    <s v="M"/>
    <d v="2015-04-10T06:00:00"/>
    <d v="1899-12-30T00:00:00"/>
    <b v="0"/>
    <x v="0"/>
  </r>
  <r>
    <x v="21"/>
    <x v="0"/>
    <x v="61"/>
    <s v="M"/>
    <d v="2015-04-09T17:42:00"/>
    <d v="1899-12-30T00:00:00"/>
    <b v="0"/>
    <x v="0"/>
  </r>
  <r>
    <x v="8"/>
    <x v="0"/>
    <x v="61"/>
    <s v="M"/>
    <d v="2014-04-15T16:54:00"/>
    <d v="1899-12-30T00:00:00"/>
    <b v="0"/>
    <x v="0"/>
  </r>
  <r>
    <x v="9"/>
    <x v="0"/>
    <x v="61"/>
    <s v="M"/>
    <d v="2015-01-22T00:00:00"/>
    <d v="1899-12-30T00:00:00"/>
    <b v="0"/>
    <x v="0"/>
  </r>
  <r>
    <x v="10"/>
    <x v="0"/>
    <x v="61"/>
    <s v="M"/>
    <d v="2014-03-31T07:32:00"/>
    <d v="1899-12-30T00:00:00"/>
    <b v="0"/>
    <x v="0"/>
  </r>
  <r>
    <x v="22"/>
    <x v="0"/>
    <x v="61"/>
    <s v="M"/>
    <d v="2014-12-12T17:13:00"/>
    <d v="1899-12-30T00:00:00"/>
    <b v="0"/>
    <x v="0"/>
  </r>
  <r>
    <x v="23"/>
    <x v="0"/>
    <x v="61"/>
    <s v="M"/>
    <d v="2015-03-10T20:23:00"/>
    <d v="1899-12-30T00:00:00"/>
    <b v="0"/>
    <x v="0"/>
  </r>
  <r>
    <x v="11"/>
    <x v="0"/>
    <x v="61"/>
    <s v="M"/>
    <d v="2014-05-15T14:50:00"/>
    <d v="1899-12-30T00:00:00"/>
    <b v="0"/>
    <x v="0"/>
  </r>
  <r>
    <x v="12"/>
    <x v="0"/>
    <x v="61"/>
    <s v="M"/>
    <d v="2014-12-16T00:00:00"/>
    <d v="1899-12-30T00:00:00"/>
    <b v="0"/>
    <x v="0"/>
  </r>
  <r>
    <x v="13"/>
    <x v="0"/>
    <x v="61"/>
    <s v="M"/>
    <d v="2014-11-21T15:00:00"/>
    <d v="1899-12-30T00:00:00"/>
    <b v="0"/>
    <x v="0"/>
  </r>
  <r>
    <x v="17"/>
    <x v="0"/>
    <x v="62"/>
    <s v="M"/>
    <d v="2015-03-04T00:00:00"/>
    <d v="1899-12-30T00:00:00"/>
    <b v="0"/>
    <x v="0"/>
  </r>
  <r>
    <x v="14"/>
    <x v="0"/>
    <x v="62"/>
    <s v="M"/>
    <d v="2014-03-30T00:00:00"/>
    <d v="1899-12-30T00:00:00"/>
    <b v="0"/>
    <x v="0"/>
  </r>
  <r>
    <x v="18"/>
    <x v="0"/>
    <x v="62"/>
    <s v="M"/>
    <d v="2015-02-04T23:21:00"/>
    <d v="1899-12-30T00:00:00"/>
    <b v="0"/>
    <x v="0"/>
  </r>
  <r>
    <x v="1"/>
    <x v="0"/>
    <x v="62"/>
    <s v="M"/>
    <d v="2015-01-05T00:00:00"/>
    <d v="1899-12-30T00:00:00"/>
    <b v="0"/>
    <x v="0"/>
  </r>
  <r>
    <x v="15"/>
    <x v="0"/>
    <x v="62"/>
    <s v="M"/>
    <d v="2014-12-11T00:00:00"/>
    <d v="1899-12-30T00:00:00"/>
    <b v="0"/>
    <x v="0"/>
  </r>
  <r>
    <x v="16"/>
    <x v="0"/>
    <x v="62"/>
    <s v="M"/>
    <d v="2014-04-17T00:00:00"/>
    <d v="1899-12-30T00:00:00"/>
    <b v="0"/>
    <x v="0"/>
  </r>
  <r>
    <x v="19"/>
    <x v="0"/>
    <x v="62"/>
    <s v="M"/>
    <d v="2015-02-24T14:01:00"/>
    <d v="1899-12-30T00:00:00"/>
    <b v="0"/>
    <x v="0"/>
  </r>
  <r>
    <x v="2"/>
    <x v="0"/>
    <x v="62"/>
    <s v="M"/>
    <d v="2014-12-16T00:00:00"/>
    <d v="1899-12-30T00:00:00"/>
    <b v="0"/>
    <x v="0"/>
  </r>
  <r>
    <x v="3"/>
    <x v="0"/>
    <x v="62"/>
    <s v="M"/>
    <d v="2015-02-24T21:51:00"/>
    <d v="1899-12-30T00:00:00"/>
    <b v="0"/>
    <x v="0"/>
  </r>
  <r>
    <x v="4"/>
    <x v="0"/>
    <x v="62"/>
    <s v="M"/>
    <d v="2014-12-11T00:00:00"/>
    <d v="1899-12-30T00:00:00"/>
    <b v="0"/>
    <x v="0"/>
  </r>
  <r>
    <x v="5"/>
    <x v="0"/>
    <x v="62"/>
    <s v="M"/>
    <d v="2015-02-25T12:23:00"/>
    <d v="1899-12-30T00:00:00"/>
    <b v="0"/>
    <x v="0"/>
  </r>
  <r>
    <x v="0"/>
    <x v="0"/>
    <x v="62"/>
    <s v="M"/>
    <d v="2014-12-04T19:55:00"/>
    <d v="1899-12-30T00:00:00"/>
    <b v="0"/>
    <x v="0"/>
  </r>
  <r>
    <x v="20"/>
    <x v="0"/>
    <x v="62"/>
    <s v="M"/>
    <d v="2014-12-11T17:41:00"/>
    <d v="1899-12-30T00:00:00"/>
    <b v="0"/>
    <x v="0"/>
  </r>
  <r>
    <x v="6"/>
    <x v="0"/>
    <x v="62"/>
    <s v="M"/>
    <d v="2014-04-02T23:11:00"/>
    <d v="1899-12-30T00:00:00"/>
    <b v="0"/>
    <x v="0"/>
  </r>
  <r>
    <x v="7"/>
    <x v="0"/>
    <x v="62"/>
    <s v="M"/>
    <d v="2015-04-10T06:00:00"/>
    <d v="1899-12-30T00:00:00"/>
    <b v="0"/>
    <x v="0"/>
  </r>
  <r>
    <x v="21"/>
    <x v="0"/>
    <x v="62"/>
    <s v="M"/>
    <d v="2015-04-09T17:46:00"/>
    <d v="1899-12-30T00:00:00"/>
    <b v="0"/>
    <x v="0"/>
  </r>
  <r>
    <x v="8"/>
    <x v="0"/>
    <x v="62"/>
    <s v="M"/>
    <d v="2014-04-15T13:38:00"/>
    <d v="1899-12-30T00:00:00"/>
    <b v="0"/>
    <x v="0"/>
  </r>
  <r>
    <x v="9"/>
    <x v="0"/>
    <x v="62"/>
    <s v="M"/>
    <d v="2015-01-22T00:00:00"/>
    <d v="1899-12-30T00:00:00"/>
    <b v="0"/>
    <x v="0"/>
  </r>
  <r>
    <x v="10"/>
    <x v="0"/>
    <x v="62"/>
    <s v="M"/>
    <d v="2014-03-31T07:32:00"/>
    <d v="1899-12-30T00:00:00"/>
    <b v="0"/>
    <x v="0"/>
  </r>
  <r>
    <x v="22"/>
    <x v="0"/>
    <x v="62"/>
    <s v="M"/>
    <d v="2014-12-12T00:00:00"/>
    <d v="1899-12-30T00:00:00"/>
    <b v="0"/>
    <x v="0"/>
  </r>
  <r>
    <x v="23"/>
    <x v="0"/>
    <x v="62"/>
    <s v="M"/>
    <d v="2015-04-20T13:25:00"/>
    <d v="1899-12-30T00:00:00"/>
    <b v="0"/>
    <x v="0"/>
  </r>
  <r>
    <x v="11"/>
    <x v="0"/>
    <x v="62"/>
    <s v="M"/>
    <d v="2014-05-15T14:50:00"/>
    <d v="1899-12-30T00:00:00"/>
    <b v="0"/>
    <x v="0"/>
  </r>
  <r>
    <x v="12"/>
    <x v="0"/>
    <x v="62"/>
    <s v="M"/>
    <d v="2014-12-16T00:00:00"/>
    <d v="1899-12-30T00:00:00"/>
    <b v="0"/>
    <x v="0"/>
  </r>
  <r>
    <x v="13"/>
    <x v="0"/>
    <x v="62"/>
    <s v="M"/>
    <d v="2014-11-21T15:00:00"/>
    <d v="1899-12-30T00:00:00"/>
    <b v="0"/>
    <x v="0"/>
  </r>
  <r>
    <x v="17"/>
    <x v="0"/>
    <x v="63"/>
    <s v="M"/>
    <d v="2014-07-16T00:00:00"/>
    <d v="1899-12-30T00:00:00"/>
    <b v="0"/>
    <x v="0"/>
  </r>
  <r>
    <x v="14"/>
    <x v="0"/>
    <x v="63"/>
    <s v="M"/>
    <d v="2014-12-30T08:30:00"/>
    <d v="1899-12-30T00:00:00"/>
    <b v="0"/>
    <x v="0"/>
  </r>
  <r>
    <x v="18"/>
    <x v="0"/>
    <x v="63"/>
    <s v="M"/>
    <d v="2014-12-31T00:00:00"/>
    <d v="1899-12-30T00:00:00"/>
    <b v="0"/>
    <x v="0"/>
  </r>
  <r>
    <x v="1"/>
    <x v="0"/>
    <x v="63"/>
    <s v="M"/>
    <d v="2015-04-13T13:49:00"/>
    <d v="1899-12-30T00:00:00"/>
    <b v="0"/>
    <x v="0"/>
  </r>
  <r>
    <x v="15"/>
    <x v="0"/>
    <x v="63"/>
    <s v="M"/>
    <d v="2014-10-02T11:49:00"/>
    <d v="1899-12-30T00:00:00"/>
    <b v="0"/>
    <x v="0"/>
  </r>
  <r>
    <x v="16"/>
    <x v="0"/>
    <x v="63"/>
    <s v="M"/>
    <d v="2014-11-30T00:00:00"/>
    <d v="1899-12-30T00:00:00"/>
    <b v="0"/>
    <x v="0"/>
  </r>
  <r>
    <x v="19"/>
    <x v="0"/>
    <x v="63"/>
    <s v="M"/>
    <d v="2014-06-15T15:07:00"/>
    <d v="1899-12-30T00:00:00"/>
    <b v="0"/>
    <x v="0"/>
  </r>
  <r>
    <x v="2"/>
    <x v="0"/>
    <x v="63"/>
    <s v="M"/>
    <d v="2014-11-26T00:00:00"/>
    <d v="1899-12-30T00:00:00"/>
    <b v="0"/>
    <x v="0"/>
  </r>
  <r>
    <x v="3"/>
    <x v="0"/>
    <x v="63"/>
    <s v="M"/>
    <d v="2014-12-30T00:00:00"/>
    <d v="1899-12-30T00:00:00"/>
    <b v="0"/>
    <x v="0"/>
  </r>
  <r>
    <x v="4"/>
    <x v="0"/>
    <x v="63"/>
    <s v="M"/>
    <d v="2014-03-05T00:00:00"/>
    <d v="1899-12-30T00:00:00"/>
    <b v="0"/>
    <x v="0"/>
  </r>
  <r>
    <x v="5"/>
    <x v="0"/>
    <x v="63"/>
    <s v="M"/>
    <d v="2015-03-02T00:00:00"/>
    <d v="1899-12-30T00:00:00"/>
    <b v="0"/>
    <x v="0"/>
  </r>
  <r>
    <x v="0"/>
    <x v="0"/>
    <x v="63"/>
    <s v="M"/>
    <d v="2014-12-31T09:58:00"/>
    <d v="1899-12-30T00:00:00"/>
    <b v="0"/>
    <x v="0"/>
  </r>
  <r>
    <x v="20"/>
    <x v="0"/>
    <x v="63"/>
    <s v="M"/>
    <d v="2014-09-19T00:00:00"/>
    <d v="1899-12-30T00:00:00"/>
    <b v="0"/>
    <x v="0"/>
  </r>
  <r>
    <x v="6"/>
    <x v="0"/>
    <x v="63"/>
    <s v="M"/>
    <d v="2015-03-16T16:04:00"/>
    <d v="1899-12-30T00:00:00"/>
    <b v="0"/>
    <x v="0"/>
  </r>
  <r>
    <x v="7"/>
    <x v="0"/>
    <x v="63"/>
    <s v="M"/>
    <d v="2014-06-18T00:00:00"/>
    <d v="1899-12-30T00:00:00"/>
    <b v="0"/>
    <x v="0"/>
  </r>
  <r>
    <x v="21"/>
    <x v="0"/>
    <x v="63"/>
    <s v="M"/>
    <d v="2014-09-11T00:00:00"/>
    <d v="1899-12-30T00:00:00"/>
    <b v="0"/>
    <x v="0"/>
  </r>
  <r>
    <x v="8"/>
    <x v="0"/>
    <x v="63"/>
    <s v="M"/>
    <d v="2014-09-09T10:53:00"/>
    <d v="1899-12-30T00:00:00"/>
    <b v="0"/>
    <x v="0"/>
  </r>
  <r>
    <x v="9"/>
    <x v="0"/>
    <x v="63"/>
    <s v="M"/>
    <d v="2015-03-18T08:38:00"/>
    <d v="1899-12-30T00:00:00"/>
    <b v="0"/>
    <x v="0"/>
  </r>
  <r>
    <x v="10"/>
    <x v="0"/>
    <x v="63"/>
    <s v="M"/>
    <d v="2014-11-30T00:00:00"/>
    <d v="1899-12-30T00:00:00"/>
    <b v="0"/>
    <x v="0"/>
  </r>
  <r>
    <x v="22"/>
    <x v="0"/>
    <x v="63"/>
    <s v="M"/>
    <d v="2015-03-20T08:21:00"/>
    <d v="1899-12-30T00:00:00"/>
    <b v="0"/>
    <x v="0"/>
  </r>
  <r>
    <x v="23"/>
    <x v="0"/>
    <x v="63"/>
    <s v="M"/>
    <d v="2014-12-31T08:20:00"/>
    <d v="1899-12-30T00:00:00"/>
    <b v="0"/>
    <x v="0"/>
  </r>
  <r>
    <x v="11"/>
    <x v="0"/>
    <x v="63"/>
    <s v="M"/>
    <d v="2015-03-12T09:33:00"/>
    <d v="1899-12-30T00:00:00"/>
    <b v="0"/>
    <x v="0"/>
  </r>
  <r>
    <x v="12"/>
    <x v="0"/>
    <x v="63"/>
    <s v="M"/>
    <d v="2014-09-25T00:00:00"/>
    <d v="1899-12-30T00:00:00"/>
    <b v="0"/>
    <x v="0"/>
  </r>
  <r>
    <x v="13"/>
    <x v="0"/>
    <x v="63"/>
    <s v="M"/>
    <d v="2014-07-12T00:00:00"/>
    <d v="1899-12-30T00:00:00"/>
    <b v="0"/>
    <x v="0"/>
  </r>
  <r>
    <x v="17"/>
    <x v="0"/>
    <x v="64"/>
    <s v="M"/>
    <d v="2015-03-04T00:00:00"/>
    <d v="1899-12-30T00:00:00"/>
    <b v="0"/>
    <x v="0"/>
  </r>
  <r>
    <x v="14"/>
    <x v="0"/>
    <x v="64"/>
    <s v="M"/>
    <d v="2014-03-30T00:00:00"/>
    <m/>
    <b v="0"/>
    <x v="0"/>
  </r>
  <r>
    <x v="18"/>
    <x v="0"/>
    <x v="64"/>
    <s v="M"/>
    <d v="2015-02-04T23:25:00"/>
    <d v="1899-12-30T00:00:00"/>
    <b v="0"/>
    <x v="0"/>
  </r>
  <r>
    <x v="1"/>
    <x v="0"/>
    <x v="64"/>
    <s v="M"/>
    <d v="2015-01-05T00:00:00"/>
    <d v="1899-12-30T00:00:00"/>
    <b v="0"/>
    <x v="0"/>
  </r>
  <r>
    <x v="15"/>
    <x v="0"/>
    <x v="64"/>
    <s v="M"/>
    <d v="2014-12-11T00:00:00"/>
    <d v="1899-12-30T00:00:00"/>
    <b v="0"/>
    <x v="0"/>
  </r>
  <r>
    <x v="16"/>
    <x v="0"/>
    <x v="64"/>
    <s v="M"/>
    <d v="2014-04-17T00:00:00"/>
    <d v="1899-12-30T00:00:00"/>
    <b v="0"/>
    <x v="0"/>
  </r>
  <r>
    <x v="19"/>
    <x v="0"/>
    <x v="64"/>
    <s v="M"/>
    <d v="2015-02-24T14:05:00"/>
    <d v="1899-12-30T00:00:00"/>
    <b v="0"/>
    <x v="0"/>
  </r>
  <r>
    <x v="2"/>
    <x v="0"/>
    <x v="64"/>
    <s v="M"/>
    <d v="2014-12-16T00:00:00"/>
    <d v="1899-12-30T00:00:00"/>
    <b v="0"/>
    <x v="0"/>
  </r>
  <r>
    <x v="3"/>
    <x v="0"/>
    <x v="64"/>
    <s v="M"/>
    <d v="2015-02-24T21:53:00"/>
    <d v="1899-12-30T00:00:00"/>
    <b v="0"/>
    <x v="0"/>
  </r>
  <r>
    <x v="4"/>
    <x v="0"/>
    <x v="64"/>
    <s v="M"/>
    <d v="2014-12-11T00:00:00"/>
    <d v="1899-12-30T00:00:00"/>
    <b v="0"/>
    <x v="0"/>
  </r>
  <r>
    <x v="5"/>
    <x v="0"/>
    <x v="64"/>
    <s v="M"/>
    <d v="2015-02-25T12:21:00"/>
    <d v="1899-12-30T00:00:00"/>
    <b v="0"/>
    <x v="0"/>
  </r>
  <r>
    <x v="0"/>
    <x v="0"/>
    <x v="64"/>
    <s v="M"/>
    <d v="2014-12-04T19:50:00"/>
    <d v="1899-12-30T00:00:00"/>
    <b v="0"/>
    <x v="0"/>
  </r>
  <r>
    <x v="20"/>
    <x v="0"/>
    <x v="64"/>
    <s v="M"/>
    <d v="2014-12-11T17:43:00"/>
    <d v="1899-12-30T00:00:00"/>
    <b v="0"/>
    <x v="0"/>
  </r>
  <r>
    <x v="6"/>
    <x v="0"/>
    <x v="64"/>
    <s v="M"/>
    <d v="2014-04-02T23:11:00"/>
    <d v="1899-12-30T00:00:00"/>
    <b v="0"/>
    <x v="0"/>
  </r>
  <r>
    <x v="7"/>
    <x v="0"/>
    <x v="64"/>
    <s v="M"/>
    <d v="2014-04-10T06:00:00"/>
    <d v="1899-12-30T00:00:00"/>
    <b v="0"/>
    <x v="0"/>
  </r>
  <r>
    <x v="21"/>
    <x v="0"/>
    <x v="64"/>
    <s v="M"/>
    <d v="2014-03-25T00:00:00"/>
    <d v="1899-12-30T00:00:00"/>
    <b v="0"/>
    <x v="0"/>
  </r>
  <r>
    <x v="8"/>
    <x v="0"/>
    <x v="64"/>
    <s v="M"/>
    <d v="2014-04-15T16:57:00"/>
    <d v="1899-12-30T00:00:00"/>
    <b v="0"/>
    <x v="0"/>
  </r>
  <r>
    <x v="9"/>
    <x v="0"/>
    <x v="64"/>
    <s v="M"/>
    <d v="2015-01-22T00:00:00"/>
    <d v="1899-12-30T00:00:00"/>
    <b v="0"/>
    <x v="0"/>
  </r>
  <r>
    <x v="10"/>
    <x v="0"/>
    <x v="64"/>
    <s v="M"/>
    <d v="2014-03-31T07:33:00"/>
    <d v="1899-12-30T00:00:00"/>
    <b v="0"/>
    <x v="0"/>
  </r>
  <r>
    <x v="22"/>
    <x v="0"/>
    <x v="64"/>
    <s v="M"/>
    <d v="2014-12-12T00:00:00"/>
    <d v="1899-12-30T00:00:00"/>
    <b v="0"/>
    <x v="0"/>
  </r>
  <r>
    <x v="23"/>
    <x v="0"/>
    <x v="64"/>
    <s v="M"/>
    <d v="2015-03-10T09:36:00"/>
    <d v="1899-12-30T00:00:00"/>
    <b v="0"/>
    <x v="0"/>
  </r>
  <r>
    <x v="11"/>
    <x v="0"/>
    <x v="64"/>
    <s v="M"/>
    <d v="2014-05-15T14:51:00"/>
    <d v="1899-12-30T00:00:00"/>
    <b v="0"/>
    <x v="0"/>
  </r>
  <r>
    <x v="12"/>
    <x v="0"/>
    <x v="64"/>
    <s v="M"/>
    <d v="2014-12-16T00:00:00"/>
    <d v="1899-12-30T00:00:00"/>
    <b v="0"/>
    <x v="0"/>
  </r>
  <r>
    <x v="13"/>
    <x v="0"/>
    <x v="64"/>
    <s v="M"/>
    <d v="2014-11-21T15:00:00"/>
    <d v="1899-12-30T00:00:00"/>
    <b v="0"/>
    <x v="0"/>
  </r>
  <r>
    <x v="17"/>
    <x v="0"/>
    <x v="65"/>
    <s v="M"/>
    <d v="2014-06-04T12:32:00"/>
    <d v="1899-12-30T00:00:00"/>
    <b v="0"/>
    <x v="0"/>
  </r>
  <r>
    <x v="14"/>
    <x v="0"/>
    <x v="65"/>
    <s v="M"/>
    <d v="2014-12-13T00:00:00"/>
    <d v="1899-12-30T00:00:00"/>
    <b v="0"/>
    <x v="0"/>
  </r>
  <r>
    <x v="18"/>
    <x v="0"/>
    <x v="65"/>
    <s v="M"/>
    <d v="2015-02-05T10:43:00"/>
    <d v="1899-12-30T00:00:00"/>
    <b v="0"/>
    <x v="0"/>
  </r>
  <r>
    <x v="1"/>
    <x v="0"/>
    <x v="65"/>
    <s v="M"/>
    <d v="2014-05-10T00:00:00"/>
    <d v="1899-12-30T00:00:00"/>
    <b v="0"/>
    <x v="0"/>
  </r>
  <r>
    <x v="15"/>
    <x v="0"/>
    <x v="65"/>
    <s v="M"/>
    <d v="2014-10-28T00:00:00"/>
    <d v="1899-12-30T00:00:00"/>
    <b v="0"/>
    <x v="0"/>
  </r>
  <r>
    <x v="16"/>
    <x v="0"/>
    <x v="65"/>
    <s v="M"/>
    <d v="2014-06-19T15:03:00"/>
    <d v="1899-12-30T00:00:00"/>
    <b v="0"/>
    <x v="0"/>
  </r>
  <r>
    <x v="19"/>
    <x v="0"/>
    <x v="65"/>
    <s v="M"/>
    <d v="2014-09-26T00:00:00"/>
    <d v="1899-12-30T00:00:00"/>
    <b v="0"/>
    <x v="0"/>
  </r>
  <r>
    <x v="2"/>
    <x v="0"/>
    <x v="65"/>
    <s v="M"/>
    <d v="2015-03-04T16:55:00"/>
    <d v="1899-12-30T00:00:00"/>
    <b v="0"/>
    <x v="0"/>
  </r>
  <r>
    <x v="3"/>
    <x v="0"/>
    <x v="65"/>
    <s v="M"/>
    <d v="2015-02-25T21:36:00"/>
    <d v="1899-12-30T00:00:00"/>
    <b v="0"/>
    <x v="0"/>
  </r>
  <r>
    <x v="4"/>
    <x v="0"/>
    <x v="65"/>
    <s v="M"/>
    <d v="2014-12-11T00:00:00"/>
    <d v="1899-12-30T00:00:00"/>
    <b v="0"/>
    <x v="0"/>
  </r>
  <r>
    <x v="5"/>
    <x v="0"/>
    <x v="65"/>
    <s v="M"/>
    <d v="2015-02-10T15:10:00"/>
    <d v="1899-12-30T00:00:00"/>
    <b v="0"/>
    <x v="0"/>
  </r>
  <r>
    <x v="0"/>
    <x v="0"/>
    <x v="65"/>
    <s v="M"/>
    <d v="2014-12-05T00:46:00"/>
    <d v="1899-12-30T00:00:00"/>
    <b v="0"/>
    <x v="0"/>
  </r>
  <r>
    <x v="20"/>
    <x v="0"/>
    <x v="65"/>
    <s v="M"/>
    <d v="2014-10-30T00:00:00"/>
    <d v="1899-12-30T00:00:00"/>
    <b v="0"/>
    <x v="0"/>
  </r>
  <r>
    <x v="6"/>
    <x v="0"/>
    <x v="65"/>
    <s v="M"/>
    <d v="2014-04-02T23:12:00"/>
    <d v="1899-12-30T00:00:00"/>
    <b v="0"/>
    <x v="0"/>
  </r>
  <r>
    <x v="7"/>
    <x v="0"/>
    <x v="65"/>
    <s v="M"/>
    <d v="2015-04-10T00:00:00"/>
    <d v="1899-12-30T00:00:00"/>
    <b v="0"/>
    <x v="0"/>
  </r>
  <r>
    <x v="21"/>
    <x v="0"/>
    <x v="65"/>
    <s v="M"/>
    <d v="2015-03-27T00:00:00"/>
    <d v="1899-12-30T00:00:00"/>
    <b v="0"/>
    <x v="0"/>
  </r>
  <r>
    <x v="8"/>
    <x v="0"/>
    <x v="65"/>
    <s v="M"/>
    <d v="2014-04-21T12:55:00"/>
    <d v="1899-12-30T00:00:00"/>
    <b v="0"/>
    <x v="0"/>
  </r>
  <r>
    <x v="9"/>
    <x v="0"/>
    <x v="65"/>
    <s v="M"/>
    <d v="2015-01-22T00:00:00"/>
    <d v="1899-12-30T00:00:00"/>
    <b v="0"/>
    <x v="0"/>
  </r>
  <r>
    <x v="10"/>
    <x v="0"/>
    <x v="65"/>
    <s v="M"/>
    <d v="2014-03-31T00:00:00"/>
    <d v="1899-12-30T00:00:00"/>
    <b v="0"/>
    <x v="0"/>
  </r>
  <r>
    <x v="22"/>
    <x v="0"/>
    <x v="65"/>
    <s v="M"/>
    <d v="2015-03-20T08:22:00"/>
    <d v="1899-12-30T00:00:00"/>
    <b v="0"/>
    <x v="0"/>
  </r>
  <r>
    <x v="23"/>
    <x v="0"/>
    <x v="65"/>
    <s v="M"/>
    <d v="2015-03-07T07:56:00"/>
    <d v="1899-12-30T00:00:00"/>
    <b v="0"/>
    <x v="0"/>
  </r>
  <r>
    <x v="11"/>
    <x v="0"/>
    <x v="65"/>
    <s v="M"/>
    <d v="2014-05-13T12:12:00"/>
    <d v="1899-12-30T00:00:00"/>
    <b v="0"/>
    <x v="0"/>
  </r>
  <r>
    <x v="12"/>
    <x v="0"/>
    <x v="65"/>
    <s v="M"/>
    <d v="2014-05-20T17:32:00"/>
    <d v="1899-12-30T00:00:00"/>
    <b v="0"/>
    <x v="0"/>
  </r>
  <r>
    <x v="13"/>
    <x v="0"/>
    <x v="65"/>
    <s v="M"/>
    <d v="2015-02-18T00:00:00"/>
    <d v="1899-12-30T00:00:00"/>
    <b v="0"/>
    <x v="0"/>
  </r>
  <r>
    <x v="17"/>
    <x v="0"/>
    <x v="66"/>
    <s v="M"/>
    <d v="2014-05-08T10:58:00"/>
    <d v="1899-12-30T00:00:00"/>
    <b v="0"/>
    <x v="0"/>
  </r>
  <r>
    <x v="14"/>
    <x v="0"/>
    <x v="66"/>
    <s v="M"/>
    <d v="2014-12-07T00:00:00"/>
    <d v="1899-12-30T00:00:00"/>
    <b v="0"/>
    <x v="0"/>
  </r>
  <r>
    <x v="18"/>
    <x v="0"/>
    <x v="66"/>
    <s v="M"/>
    <d v="2015-02-26T00:00:00"/>
    <d v="1899-12-30T00:00:00"/>
    <b v="0"/>
    <x v="0"/>
  </r>
  <r>
    <x v="1"/>
    <x v="0"/>
    <x v="66"/>
    <s v="M"/>
    <d v="2015-03-18T00:00:00"/>
    <d v="1899-12-30T00:00:00"/>
    <b v="0"/>
    <x v="0"/>
  </r>
  <r>
    <x v="15"/>
    <x v="0"/>
    <x v="66"/>
    <s v="M"/>
    <d v="2015-01-23T12:48:00"/>
    <d v="1899-12-30T00:00:00"/>
    <b v="0"/>
    <x v="0"/>
  </r>
  <r>
    <x v="16"/>
    <x v="0"/>
    <x v="66"/>
    <s v="M"/>
    <d v="2015-01-23T12:51:00"/>
    <d v="1899-12-30T00:00:00"/>
    <b v="0"/>
    <x v="0"/>
  </r>
  <r>
    <x v="19"/>
    <x v="0"/>
    <x v="66"/>
    <s v="M"/>
    <d v="2014-05-16T07:46:00"/>
    <d v="1899-12-30T00:00:00"/>
    <b v="0"/>
    <x v="0"/>
  </r>
  <r>
    <x v="2"/>
    <x v="0"/>
    <x v="66"/>
    <s v="M"/>
    <d v="2015-04-17T00:00:00"/>
    <d v="1899-12-30T00:00:00"/>
    <b v="0"/>
    <x v="0"/>
  </r>
  <r>
    <x v="3"/>
    <x v="0"/>
    <x v="66"/>
    <s v="M"/>
    <d v="2015-03-16T14:16:00"/>
    <d v="1899-12-30T00:00:00"/>
    <b v="0"/>
    <x v="0"/>
  </r>
  <r>
    <x v="4"/>
    <x v="0"/>
    <x v="66"/>
    <s v="M"/>
    <d v="2014-08-11T00:00:00"/>
    <d v="1899-12-30T00:00:00"/>
    <b v="0"/>
    <x v="0"/>
  </r>
  <r>
    <x v="5"/>
    <x v="0"/>
    <x v="66"/>
    <s v="M"/>
    <d v="2015-02-25T12:24:00"/>
    <d v="1899-12-30T00:00:00"/>
    <b v="0"/>
    <x v="0"/>
  </r>
  <r>
    <x v="0"/>
    <x v="0"/>
    <x v="66"/>
    <s v="M"/>
    <d v="2014-12-11T11:23:00"/>
    <d v="1899-12-30T00:00:00"/>
    <b v="0"/>
    <x v="0"/>
  </r>
  <r>
    <x v="20"/>
    <x v="0"/>
    <x v="66"/>
    <s v="M"/>
    <d v="2014-08-07T09:11:00"/>
    <d v="1899-12-30T00:00:00"/>
    <b v="0"/>
    <x v="0"/>
  </r>
  <r>
    <x v="6"/>
    <x v="0"/>
    <x v="66"/>
    <s v="M"/>
    <d v="2015-03-17T18:42:00"/>
    <d v="1899-12-30T00:00:00"/>
    <b v="0"/>
    <x v="0"/>
  </r>
  <r>
    <x v="7"/>
    <x v="0"/>
    <x v="66"/>
    <s v="M"/>
    <d v="2014-04-23T00:00:00"/>
    <d v="1899-12-30T00:00:00"/>
    <b v="0"/>
    <x v="0"/>
  </r>
  <r>
    <x v="21"/>
    <x v="0"/>
    <x v="66"/>
    <s v="M"/>
    <d v="2015-03-27T16:47:00"/>
    <d v="1899-12-30T00:00:00"/>
    <b v="0"/>
    <x v="0"/>
  </r>
  <r>
    <x v="8"/>
    <x v="0"/>
    <x v="66"/>
    <s v="M"/>
    <d v="2014-04-16T10:48:00"/>
    <d v="1899-12-30T00:00:00"/>
    <b v="0"/>
    <x v="0"/>
  </r>
  <r>
    <x v="9"/>
    <x v="0"/>
    <x v="66"/>
    <s v="M"/>
    <d v="2014-11-20T15:32:00"/>
    <d v="1899-12-30T00:00:00"/>
    <b v="0"/>
    <x v="0"/>
  </r>
  <r>
    <x v="10"/>
    <x v="0"/>
    <x v="66"/>
    <s v="M"/>
    <d v="2015-04-03T07:09:00"/>
    <d v="1899-12-30T00:00:00"/>
    <b v="0"/>
    <x v="0"/>
  </r>
  <r>
    <x v="22"/>
    <x v="0"/>
    <x v="66"/>
    <s v="M"/>
    <d v="2015-04-16T11:58:00"/>
    <d v="1899-12-30T00:00:00"/>
    <b v="0"/>
    <x v="0"/>
  </r>
  <r>
    <x v="23"/>
    <x v="0"/>
    <x v="66"/>
    <s v="M"/>
    <d v="2014-12-11T11:52:00"/>
    <d v="1899-12-30T00:00:00"/>
    <b v="0"/>
    <x v="0"/>
  </r>
  <r>
    <x v="11"/>
    <x v="0"/>
    <x v="66"/>
    <s v="M"/>
    <d v="2014-08-06T14:28:00"/>
    <d v="1899-12-30T00:00:00"/>
    <b v="0"/>
    <x v="0"/>
  </r>
  <r>
    <x v="12"/>
    <x v="0"/>
    <x v="66"/>
    <s v="M"/>
    <d v="2014-05-28T00:00:00"/>
    <d v="1899-12-30T00:00:00"/>
    <b v="0"/>
    <x v="0"/>
  </r>
  <r>
    <x v="13"/>
    <x v="0"/>
    <x v="66"/>
    <s v="M"/>
    <d v="2015-04-01T08:44:00"/>
    <d v="1899-12-30T00:00:00"/>
    <b v="0"/>
    <x v="0"/>
  </r>
  <r>
    <x v="17"/>
    <x v="0"/>
    <x v="67"/>
    <s v="M"/>
    <d v="2015-03-27T12:19:00"/>
    <d v="1899-12-30T00:00:00"/>
    <b v="0"/>
    <x v="0"/>
  </r>
  <r>
    <x v="14"/>
    <x v="0"/>
    <x v="67"/>
    <s v="M"/>
    <d v="2014-10-12T11:28:00"/>
    <d v="1899-12-30T00:00:00"/>
    <b v="0"/>
    <x v="0"/>
  </r>
  <r>
    <x v="18"/>
    <x v="0"/>
    <x v="67"/>
    <s v="M"/>
    <d v="2015-02-05T10:41:00"/>
    <d v="1899-12-30T00:00:00"/>
    <b v="0"/>
    <x v="0"/>
  </r>
  <r>
    <x v="1"/>
    <x v="0"/>
    <x v="67"/>
    <s v="M"/>
    <d v="2015-01-05T00:00:00"/>
    <d v="1899-12-30T00:00:00"/>
    <b v="0"/>
    <x v="0"/>
  </r>
  <r>
    <x v="15"/>
    <x v="0"/>
    <x v="67"/>
    <s v="M"/>
    <d v="2014-05-28T01:57:00"/>
    <d v="1899-12-30T00:00:00"/>
    <b v="0"/>
    <x v="0"/>
  </r>
  <r>
    <x v="16"/>
    <x v="0"/>
    <x v="67"/>
    <s v="M"/>
    <d v="2014-10-16T00:00:00"/>
    <d v="1899-12-30T00:00:00"/>
    <b v="0"/>
    <x v="0"/>
  </r>
  <r>
    <x v="19"/>
    <x v="0"/>
    <x v="67"/>
    <s v="M"/>
    <d v="2015-04-21T13:49:00"/>
    <d v="1899-12-30T00:00:00"/>
    <b v="0"/>
    <x v="0"/>
  </r>
  <r>
    <x v="2"/>
    <x v="0"/>
    <x v="67"/>
    <s v="M"/>
    <d v="2015-03-06T13:39:00"/>
    <d v="1899-12-30T00:00:00"/>
    <b v="0"/>
    <x v="0"/>
  </r>
  <r>
    <x v="3"/>
    <x v="0"/>
    <x v="67"/>
    <s v="M"/>
    <d v="2015-01-03T11:30:00"/>
    <d v="1899-12-30T00:00:00"/>
    <b v="0"/>
    <x v="0"/>
  </r>
  <r>
    <x v="4"/>
    <x v="0"/>
    <x v="67"/>
    <s v="M"/>
    <d v="2015-01-27T11:55:00"/>
    <d v="1899-12-30T00:00:00"/>
    <b v="0"/>
    <x v="0"/>
  </r>
  <r>
    <x v="5"/>
    <x v="0"/>
    <x v="67"/>
    <s v="M"/>
    <d v="2015-02-10T07:48:00"/>
    <d v="1899-12-30T00:00:00"/>
    <b v="0"/>
    <x v="0"/>
  </r>
  <r>
    <x v="0"/>
    <x v="0"/>
    <x v="67"/>
    <s v="M"/>
    <d v="2014-12-04T22:16:00"/>
    <d v="1899-12-30T00:00:00"/>
    <b v="0"/>
    <x v="0"/>
  </r>
  <r>
    <x v="20"/>
    <x v="0"/>
    <x v="67"/>
    <s v="M"/>
    <d v="2014-11-19T00:00:00"/>
    <d v="1899-12-30T00:00:00"/>
    <b v="0"/>
    <x v="0"/>
  </r>
  <r>
    <x v="6"/>
    <x v="0"/>
    <x v="67"/>
    <s v="M"/>
    <d v="2014-08-05T11:24:00"/>
    <d v="1899-12-30T00:00:00"/>
    <b v="0"/>
    <x v="0"/>
  </r>
  <r>
    <x v="7"/>
    <x v="0"/>
    <x v="67"/>
    <s v="M"/>
    <d v="2015-04-10T06:00:00"/>
    <d v="1899-12-30T00:00:00"/>
    <b v="0"/>
    <x v="0"/>
  </r>
  <r>
    <x v="21"/>
    <x v="0"/>
    <x v="67"/>
    <s v="M"/>
    <d v="2015-03-25T00:00:00"/>
    <d v="1899-12-30T00:00:00"/>
    <b v="0"/>
    <x v="0"/>
  </r>
  <r>
    <x v="8"/>
    <x v="0"/>
    <x v="67"/>
    <s v="M"/>
    <d v="2014-04-18T14:37:00"/>
    <d v="1899-12-30T00:00:00"/>
    <b v="0"/>
    <x v="0"/>
  </r>
  <r>
    <x v="9"/>
    <x v="0"/>
    <x v="67"/>
    <s v="M"/>
    <d v="2015-01-22T00:00:00"/>
    <d v="1899-12-30T00:00:00"/>
    <b v="0"/>
    <x v="0"/>
  </r>
  <r>
    <x v="10"/>
    <x v="0"/>
    <x v="67"/>
    <s v="M"/>
    <d v="2015-03-31T00:00:00"/>
    <d v="1899-12-30T00:00:00"/>
    <b v="0"/>
    <x v="0"/>
  </r>
  <r>
    <x v="22"/>
    <x v="0"/>
    <x v="67"/>
    <s v="M"/>
    <d v="2015-03-20T08:20:00"/>
    <d v="1899-12-30T00:00:00"/>
    <b v="0"/>
    <x v="0"/>
  </r>
  <r>
    <x v="23"/>
    <x v="0"/>
    <x v="67"/>
    <s v="M"/>
    <d v="2014-12-04T00:00:00"/>
    <d v="1899-12-30T00:00:00"/>
    <b v="0"/>
    <x v="0"/>
  </r>
  <r>
    <x v="11"/>
    <x v="0"/>
    <x v="67"/>
    <s v="M"/>
    <d v="2015-03-28T10:00:00"/>
    <d v="1899-12-30T00:00:00"/>
    <b v="0"/>
    <x v="0"/>
  </r>
  <r>
    <x v="12"/>
    <x v="0"/>
    <x v="67"/>
    <s v="M"/>
    <d v="2014-05-30T16:07:00"/>
    <d v="1899-12-30T00:00:00"/>
    <b v="0"/>
    <x v="0"/>
  </r>
  <r>
    <x v="13"/>
    <x v="0"/>
    <x v="67"/>
    <s v="M"/>
    <d v="2015-03-04T00:00:00"/>
    <d v="1899-12-30T00:00:00"/>
    <b v="0"/>
    <x v="0"/>
  </r>
  <r>
    <x v="17"/>
    <x v="0"/>
    <x v="68"/>
    <s v="M"/>
    <d v="2015-03-27T12:21:00"/>
    <d v="1899-12-30T00:00:00"/>
    <b v="0"/>
    <x v="0"/>
  </r>
  <r>
    <x v="14"/>
    <x v="0"/>
    <x v="68"/>
    <s v="M"/>
    <d v="2014-10-12T11:30:00"/>
    <d v="1899-12-30T00:00:00"/>
    <b v="0"/>
    <x v="0"/>
  </r>
  <r>
    <x v="18"/>
    <x v="0"/>
    <x v="68"/>
    <s v="M"/>
    <d v="2015-02-05T10:45:00"/>
    <d v="1899-12-30T00:00:00"/>
    <b v="0"/>
    <x v="0"/>
  </r>
  <r>
    <x v="1"/>
    <x v="0"/>
    <x v="68"/>
    <s v="M"/>
    <d v="2015-01-05T00:00:00"/>
    <d v="1899-12-30T00:00:00"/>
    <b v="0"/>
    <x v="0"/>
  </r>
  <r>
    <x v="15"/>
    <x v="0"/>
    <x v="68"/>
    <s v="M"/>
    <d v="2014-05-28T01:57:00"/>
    <d v="1899-12-30T00:00:00"/>
    <b v="0"/>
    <x v="0"/>
  </r>
  <r>
    <x v="16"/>
    <x v="0"/>
    <x v="68"/>
    <s v="M"/>
    <d v="2014-10-16T00:00:00"/>
    <d v="1899-12-30T00:00:00"/>
    <b v="0"/>
    <x v="0"/>
  </r>
  <r>
    <x v="19"/>
    <x v="0"/>
    <x v="68"/>
    <s v="M"/>
    <d v="2015-04-21T13:52:00"/>
    <d v="1899-12-30T00:00:00"/>
    <b v="0"/>
    <x v="0"/>
  </r>
  <r>
    <x v="2"/>
    <x v="0"/>
    <x v="68"/>
    <s v="M"/>
    <d v="2015-03-06T13:40:00"/>
    <d v="1899-12-30T00:00:00"/>
    <b v="0"/>
    <x v="0"/>
  </r>
  <r>
    <x v="3"/>
    <x v="0"/>
    <x v="68"/>
    <s v="M"/>
    <d v="2015-01-04T11:23:00"/>
    <d v="1899-12-30T00:00:00"/>
    <b v="0"/>
    <x v="0"/>
  </r>
  <r>
    <x v="4"/>
    <x v="0"/>
    <x v="68"/>
    <s v="M"/>
    <d v="2015-01-27T11:57:00"/>
    <d v="1899-12-30T00:00:00"/>
    <b v="0"/>
    <x v="0"/>
  </r>
  <r>
    <x v="5"/>
    <x v="0"/>
    <x v="68"/>
    <s v="M"/>
    <d v="2015-02-12T07:46:00"/>
    <d v="1899-12-30T00:00:00"/>
    <b v="0"/>
    <x v="0"/>
  </r>
  <r>
    <x v="0"/>
    <x v="0"/>
    <x v="68"/>
    <s v="M"/>
    <d v="2014-11-26T00:00:00"/>
    <d v="1899-12-30T00:00:00"/>
    <b v="0"/>
    <x v="0"/>
  </r>
  <r>
    <x v="20"/>
    <x v="0"/>
    <x v="68"/>
    <s v="M"/>
    <d v="2014-11-19T00:00:00"/>
    <d v="1899-12-30T00:00:00"/>
    <b v="0"/>
    <x v="0"/>
  </r>
  <r>
    <x v="6"/>
    <x v="0"/>
    <x v="68"/>
    <s v="M"/>
    <d v="2014-08-05T10:54:00"/>
    <d v="1899-12-30T00:00:00"/>
    <b v="0"/>
    <x v="0"/>
  </r>
  <r>
    <x v="7"/>
    <x v="0"/>
    <x v="68"/>
    <s v="M"/>
    <d v="2015-04-10T06:00:00"/>
    <d v="1899-12-30T00:00:00"/>
    <b v="0"/>
    <x v="0"/>
  </r>
  <r>
    <x v="21"/>
    <x v="0"/>
    <x v="68"/>
    <s v="M"/>
    <d v="2015-03-25T00:00:00"/>
    <d v="1899-12-30T00:00:00"/>
    <b v="0"/>
    <x v="0"/>
  </r>
  <r>
    <x v="8"/>
    <x v="0"/>
    <x v="68"/>
    <s v="M"/>
    <d v="2014-04-18T14:44:00"/>
    <d v="1899-12-30T00:00:00"/>
    <b v="0"/>
    <x v="0"/>
  </r>
  <r>
    <x v="9"/>
    <x v="0"/>
    <x v="68"/>
    <s v="M"/>
    <d v="2015-01-22T00:00:00"/>
    <d v="1899-12-30T00:00:00"/>
    <b v="0"/>
    <x v="0"/>
  </r>
  <r>
    <x v="10"/>
    <x v="0"/>
    <x v="68"/>
    <s v="M"/>
    <d v="2015-03-31T00:00:00"/>
    <d v="1899-12-30T00:00:00"/>
    <b v="0"/>
    <x v="0"/>
  </r>
  <r>
    <x v="22"/>
    <x v="0"/>
    <x v="68"/>
    <s v="M"/>
    <d v="2015-03-20T08:19:00"/>
    <d v="1899-12-30T00:00:00"/>
    <b v="0"/>
    <x v="0"/>
  </r>
  <r>
    <x v="23"/>
    <x v="0"/>
    <x v="68"/>
    <s v="M"/>
    <d v="2014-12-04T00:00:00"/>
    <d v="1899-12-30T00:00:00"/>
    <b v="0"/>
    <x v="0"/>
  </r>
  <r>
    <x v="11"/>
    <x v="0"/>
    <x v="68"/>
    <s v="M"/>
    <d v="2015-03-28T10:01:00"/>
    <d v="1899-12-30T00:00:00"/>
    <b v="0"/>
    <x v="0"/>
  </r>
  <r>
    <x v="12"/>
    <x v="0"/>
    <x v="68"/>
    <s v="M"/>
    <d v="2014-05-30T16:10:00"/>
    <d v="1899-12-30T00:00:00"/>
    <b v="0"/>
    <x v="0"/>
  </r>
  <r>
    <x v="13"/>
    <x v="0"/>
    <x v="68"/>
    <s v="M"/>
    <d v="2015-03-04T00:00:00"/>
    <d v="1899-12-30T00:00:00"/>
    <b v="0"/>
    <x v="0"/>
  </r>
  <r>
    <x v="3"/>
    <x v="0"/>
    <x v="69"/>
    <s v="M"/>
    <d v="2014-11-25T00:00:00"/>
    <d v="1899-12-30T00:00:00"/>
    <b v="0"/>
    <x v="0"/>
  </r>
  <r>
    <x v="17"/>
    <x v="0"/>
    <x v="70"/>
    <s v="M"/>
    <d v="2014-11-01T00:00:00"/>
    <d v="1899-12-30T00:00:00"/>
    <b v="0"/>
    <x v="0"/>
  </r>
  <r>
    <x v="14"/>
    <x v="0"/>
    <x v="70"/>
    <s v="M"/>
    <d v="2015-03-11T00:00:00"/>
    <d v="1899-12-30T00:00:00"/>
    <b v="0"/>
    <x v="0"/>
  </r>
  <r>
    <x v="15"/>
    <x v="0"/>
    <x v="70"/>
    <s v="M"/>
    <d v="2014-09-19T00:00:00"/>
    <d v="1899-12-30T00:00:00"/>
    <b v="0"/>
    <x v="0"/>
  </r>
  <r>
    <x v="16"/>
    <x v="0"/>
    <x v="70"/>
    <s v="M"/>
    <d v="2014-10-01T00:00:00"/>
    <d v="1899-12-30T00:00:00"/>
    <b v="0"/>
    <x v="0"/>
  </r>
  <r>
    <x v="2"/>
    <x v="0"/>
    <x v="70"/>
    <s v="M"/>
    <d v="2014-09-19T00:00:00"/>
    <d v="1899-12-30T00:00:00"/>
    <b v="0"/>
    <x v="0"/>
  </r>
  <r>
    <x v="3"/>
    <x v="0"/>
    <x v="70"/>
    <s v="M"/>
    <d v="2014-11-25T00:00:00"/>
    <d v="1899-12-30T00:00:00"/>
    <b v="0"/>
    <x v="0"/>
  </r>
  <r>
    <x v="4"/>
    <x v="0"/>
    <x v="70"/>
    <s v="M"/>
    <d v="2014-09-19T00:00:00"/>
    <d v="1899-12-30T00:00:00"/>
    <b v="0"/>
    <x v="0"/>
  </r>
  <r>
    <x v="20"/>
    <x v="0"/>
    <x v="70"/>
    <s v="M"/>
    <d v="2014-09-19T00:00:00"/>
    <d v="1899-12-30T00:00:00"/>
    <b v="0"/>
    <x v="0"/>
  </r>
  <r>
    <x v="6"/>
    <x v="0"/>
    <x v="70"/>
    <s v="M"/>
    <d v="2014-09-19T00:00:00"/>
    <d v="1899-12-30T00:00:00"/>
    <b v="0"/>
    <x v="0"/>
  </r>
  <r>
    <x v="7"/>
    <x v="0"/>
    <x v="70"/>
    <s v="M"/>
    <d v="2014-04-30T00:00:00"/>
    <d v="1899-12-30T00:00:00"/>
    <b v="0"/>
    <x v="0"/>
  </r>
  <r>
    <x v="21"/>
    <x v="0"/>
    <x v="70"/>
    <s v="M"/>
    <d v="2014-09-19T00:00:00"/>
    <d v="1899-12-30T00:00:00"/>
    <b v="0"/>
    <x v="0"/>
  </r>
  <r>
    <x v="8"/>
    <x v="0"/>
    <x v="70"/>
    <s v="M"/>
    <d v="2014-09-19T00:00:00"/>
    <d v="1899-12-30T00:00:00"/>
    <b v="0"/>
    <x v="0"/>
  </r>
  <r>
    <x v="10"/>
    <x v="0"/>
    <x v="70"/>
    <s v="M"/>
    <d v="2014-09-19T00:00:00"/>
    <d v="1899-12-30T00:00:00"/>
    <b v="0"/>
    <x v="0"/>
  </r>
  <r>
    <x v="23"/>
    <x v="0"/>
    <x v="70"/>
    <s v="M"/>
    <d v="2014-11-26T00:00:00"/>
    <d v="1899-12-30T00:00:00"/>
    <b v="0"/>
    <x v="0"/>
  </r>
  <r>
    <x v="11"/>
    <x v="0"/>
    <x v="70"/>
    <s v="M"/>
    <d v="2014-09-19T00:00:00"/>
    <d v="1899-12-30T00:00:00"/>
    <b v="0"/>
    <x v="0"/>
  </r>
  <r>
    <x v="12"/>
    <x v="0"/>
    <x v="70"/>
    <s v="M"/>
    <d v="2014-09-19T00:00:00"/>
    <d v="1899-12-30T00:00:00"/>
    <b v="0"/>
    <x v="0"/>
  </r>
  <r>
    <x v="13"/>
    <x v="0"/>
    <x v="70"/>
    <s v="M"/>
    <d v="2014-09-19T00:00:00"/>
    <d v="1899-12-30T00:00:00"/>
    <b v="0"/>
    <x v="0"/>
  </r>
  <r>
    <x v="17"/>
    <x v="0"/>
    <x v="71"/>
    <s v="M"/>
    <d v="2014-05-08T16:14:00"/>
    <d v="1899-12-30T00:00:00"/>
    <b v="0"/>
    <x v="0"/>
  </r>
  <r>
    <x v="14"/>
    <x v="0"/>
    <x v="71"/>
    <s v="M"/>
    <d v="2014-04-01T00:00:00"/>
    <d v="1899-12-30T00:00:00"/>
    <b v="0"/>
    <x v="0"/>
  </r>
  <r>
    <x v="18"/>
    <x v="0"/>
    <x v="71"/>
    <s v="M"/>
    <d v="2015-02-26T00:00:00"/>
    <d v="1899-12-30T00:00:00"/>
    <b v="0"/>
    <x v="0"/>
  </r>
  <r>
    <x v="1"/>
    <x v="0"/>
    <x v="71"/>
    <s v="M"/>
    <d v="2013-06-21T00:00:00"/>
    <m/>
    <b v="0"/>
    <x v="0"/>
  </r>
  <r>
    <x v="15"/>
    <x v="0"/>
    <x v="71"/>
    <s v="M"/>
    <d v="2013-04-22T00:00:00"/>
    <d v="1899-12-30T00:00:00"/>
    <b v="0"/>
    <x v="0"/>
  </r>
  <r>
    <x v="16"/>
    <x v="0"/>
    <x v="71"/>
    <s v="M"/>
    <d v="2013-08-09T00:00:00"/>
    <m/>
    <b v="0"/>
    <x v="0"/>
  </r>
  <r>
    <x v="19"/>
    <x v="0"/>
    <x v="71"/>
    <s v="M"/>
    <d v="2014-05-16T00:00:00"/>
    <d v="1899-12-30T00:00:00"/>
    <b v="0"/>
    <x v="0"/>
  </r>
  <r>
    <x v="2"/>
    <x v="0"/>
    <x v="71"/>
    <s v="M"/>
    <d v="2015-04-18T00:33:00"/>
    <d v="1899-12-30T00:00:00"/>
    <b v="0"/>
    <x v="0"/>
  </r>
  <r>
    <x v="3"/>
    <x v="0"/>
    <x v="71"/>
    <s v="M"/>
    <d v="2015-03-19T15:34:00"/>
    <d v="1899-12-30T00:00:00"/>
    <b v="0"/>
    <x v="0"/>
  </r>
  <r>
    <x v="4"/>
    <x v="0"/>
    <x v="71"/>
    <s v="M"/>
    <d v="2013-02-07T00:00:00"/>
    <d v="1899-12-30T00:00:00"/>
    <b v="0"/>
    <x v="0"/>
  </r>
  <r>
    <x v="5"/>
    <x v="0"/>
    <x v="71"/>
    <s v="M"/>
    <d v="2015-02-25T12:29:00"/>
    <d v="1899-12-30T00:00:00"/>
    <b v="0"/>
    <x v="0"/>
  </r>
  <r>
    <x v="0"/>
    <x v="0"/>
    <x v="71"/>
    <s v="M"/>
    <d v="2014-12-04T00:00:00"/>
    <d v="1899-12-30T00:00:00"/>
    <b v="0"/>
    <x v="0"/>
  </r>
  <r>
    <x v="20"/>
    <x v="0"/>
    <x v="71"/>
    <s v="M"/>
    <d v="2014-12-11T00:00:00"/>
    <d v="1899-12-30T00:00:00"/>
    <b v="0"/>
    <x v="0"/>
  </r>
  <r>
    <x v="6"/>
    <x v="0"/>
    <x v="71"/>
    <s v="M"/>
    <d v="2013-03-20T00:00:00"/>
    <d v="1899-12-30T00:00:00"/>
    <b v="0"/>
    <x v="0"/>
  </r>
  <r>
    <x v="7"/>
    <x v="0"/>
    <x v="71"/>
    <s v="M"/>
    <d v="2014-04-23T00:00:00"/>
    <d v="1899-12-30T00:00:00"/>
    <b v="0"/>
    <x v="0"/>
  </r>
  <r>
    <x v="21"/>
    <x v="0"/>
    <x v="71"/>
    <s v="M"/>
    <d v="2014-03-28T00:00:00"/>
    <m/>
    <b v="0"/>
    <x v="0"/>
  </r>
  <r>
    <x v="8"/>
    <x v="0"/>
    <x v="71"/>
    <s v="M"/>
    <d v="2013-04-15T00:00:00"/>
    <d v="1899-12-30T00:00:00"/>
    <b v="0"/>
    <x v="0"/>
  </r>
  <r>
    <x v="9"/>
    <x v="0"/>
    <x v="71"/>
    <s v="M"/>
    <d v="2015-01-22T00:00:00"/>
    <d v="1899-12-30T00:00:00"/>
    <b v="0"/>
    <x v="0"/>
  </r>
  <r>
    <x v="10"/>
    <x v="0"/>
    <x v="71"/>
    <s v="M"/>
    <d v="2014-04-04T00:00:00"/>
    <d v="1899-12-30T00:00:00"/>
    <b v="0"/>
    <x v="0"/>
  </r>
  <r>
    <x v="22"/>
    <x v="0"/>
    <x v="71"/>
    <s v="M"/>
    <d v="2015-03-28T00:00:00"/>
    <d v="1899-12-30T00:00:00"/>
    <b v="0"/>
    <x v="0"/>
  </r>
  <r>
    <x v="23"/>
    <x v="0"/>
    <x v="71"/>
    <s v="M"/>
    <d v="2015-01-03T00:00:00"/>
    <d v="1899-12-30T00:00:00"/>
    <b v="0"/>
    <x v="0"/>
  </r>
  <r>
    <x v="11"/>
    <x v="0"/>
    <x v="71"/>
    <s v="M"/>
    <d v="2013-05-08T00:00:00"/>
    <d v="1899-12-30T00:00:00"/>
    <b v="0"/>
    <x v="0"/>
  </r>
  <r>
    <x v="12"/>
    <x v="0"/>
    <x v="71"/>
    <s v="M"/>
    <d v="2013-05-20T00:00:00"/>
    <d v="1899-12-30T00:00:00"/>
    <b v="0"/>
    <x v="0"/>
  </r>
  <r>
    <x v="13"/>
    <x v="0"/>
    <x v="71"/>
    <s v="M"/>
    <d v="2014-04-04T00:00:00"/>
    <d v="1899-12-30T00:00:00"/>
    <b v="0"/>
    <x v="0"/>
  </r>
  <r>
    <x v="18"/>
    <x v="0"/>
    <x v="72"/>
    <s v="M"/>
    <d v="2014-11-26T00:00:00"/>
    <d v="1899-12-30T00:00:00"/>
    <b v="0"/>
    <x v="0"/>
  </r>
  <r>
    <x v="1"/>
    <x v="0"/>
    <x v="72"/>
    <s v="M"/>
    <d v="2012-11-01T00:00:00"/>
    <m/>
    <b v="0"/>
    <x v="0"/>
  </r>
  <r>
    <x v="19"/>
    <x v="0"/>
    <x v="72"/>
    <s v="M"/>
    <d v="2014-06-03T00:00:00"/>
    <d v="1899-12-30T00:00:00"/>
    <b v="0"/>
    <x v="0"/>
  </r>
  <r>
    <x v="0"/>
    <x v="0"/>
    <x v="72"/>
    <s v="M"/>
    <d v="2014-11-26T00:00:00"/>
    <d v="1899-12-30T00:00:00"/>
    <b v="0"/>
    <x v="0"/>
  </r>
  <r>
    <x v="7"/>
    <x v="0"/>
    <x v="72"/>
    <s v="M"/>
    <d v="2014-04-30T00:00:00"/>
    <d v="1899-12-30T00:00:00"/>
    <b v="0"/>
    <x v="0"/>
  </r>
  <r>
    <x v="21"/>
    <x v="0"/>
    <x v="72"/>
    <s v="M"/>
    <d v="2014-06-03T00:00:00"/>
    <d v="1899-12-30T00:00:00"/>
    <b v="0"/>
    <x v="0"/>
  </r>
  <r>
    <x v="10"/>
    <x v="0"/>
    <x v="72"/>
    <s v="M"/>
    <d v="2014-04-29T00:00:00"/>
    <d v="1899-12-30T00:00:00"/>
    <b v="0"/>
    <x v="0"/>
  </r>
  <r>
    <x v="13"/>
    <x v="0"/>
    <x v="72"/>
    <s v="M"/>
    <d v="2014-04-28T00:00:00"/>
    <d v="1899-12-30T00:00:00"/>
    <b v="0"/>
    <x v="0"/>
  </r>
  <r>
    <x v="18"/>
    <x v="0"/>
    <x v="73"/>
    <s v="M"/>
    <d v="2014-11-26T00:00:00"/>
    <d v="1899-12-30T00:00:00"/>
    <b v="0"/>
    <x v="0"/>
  </r>
  <r>
    <x v="1"/>
    <x v="0"/>
    <x v="73"/>
    <s v="M"/>
    <d v="2012-11-01T00:00:00"/>
    <m/>
    <b v="0"/>
    <x v="0"/>
  </r>
  <r>
    <x v="19"/>
    <x v="0"/>
    <x v="73"/>
    <s v="M"/>
    <d v="2014-06-03T00:00:00"/>
    <d v="1899-12-30T00:00:00"/>
    <b v="0"/>
    <x v="0"/>
  </r>
  <r>
    <x v="0"/>
    <x v="0"/>
    <x v="73"/>
    <s v="M"/>
    <d v="2014-11-26T00:00:00"/>
    <d v="1899-12-30T00:00:00"/>
    <b v="0"/>
    <x v="0"/>
  </r>
  <r>
    <x v="7"/>
    <x v="0"/>
    <x v="73"/>
    <s v="M"/>
    <d v="2014-04-30T00:00:00"/>
    <d v="1899-12-30T00:00:00"/>
    <b v="0"/>
    <x v="0"/>
  </r>
  <r>
    <x v="21"/>
    <x v="0"/>
    <x v="73"/>
    <s v="M"/>
    <d v="2014-06-03T00:00:00"/>
    <d v="1899-12-30T00:00:00"/>
    <b v="0"/>
    <x v="0"/>
  </r>
  <r>
    <x v="10"/>
    <x v="0"/>
    <x v="73"/>
    <s v="M"/>
    <d v="2014-04-29T00:00:00"/>
    <d v="1899-12-30T00:00:00"/>
    <b v="0"/>
    <x v="0"/>
  </r>
  <r>
    <x v="13"/>
    <x v="0"/>
    <x v="73"/>
    <s v="M"/>
    <d v="2014-04-28T00:00:00"/>
    <d v="1899-12-30T00:00:00"/>
    <b v="0"/>
    <x v="0"/>
  </r>
  <r>
    <x v="18"/>
    <x v="0"/>
    <x v="74"/>
    <s v="M"/>
    <d v="2014-11-26T00:00:00"/>
    <d v="1899-12-30T00:00:00"/>
    <b v="0"/>
    <x v="0"/>
  </r>
  <r>
    <x v="1"/>
    <x v="0"/>
    <x v="74"/>
    <s v="M"/>
    <d v="2012-11-01T00:00:00"/>
    <m/>
    <b v="0"/>
    <x v="0"/>
  </r>
  <r>
    <x v="19"/>
    <x v="0"/>
    <x v="74"/>
    <s v="M"/>
    <d v="2014-06-03T00:00:00"/>
    <d v="1899-12-30T00:00:00"/>
    <b v="0"/>
    <x v="0"/>
  </r>
  <r>
    <x v="0"/>
    <x v="0"/>
    <x v="74"/>
    <s v="M"/>
    <d v="2014-11-26T00:00:00"/>
    <d v="1899-12-30T00:00:00"/>
    <b v="0"/>
    <x v="0"/>
  </r>
  <r>
    <x v="7"/>
    <x v="0"/>
    <x v="74"/>
    <s v="M"/>
    <d v="2014-04-30T00:00:00"/>
    <d v="1899-12-30T00:00:00"/>
    <b v="0"/>
    <x v="0"/>
  </r>
  <r>
    <x v="21"/>
    <x v="0"/>
    <x v="74"/>
    <s v="M"/>
    <d v="2014-06-03T00:00:00"/>
    <d v="1899-12-30T00:00:00"/>
    <b v="0"/>
    <x v="0"/>
  </r>
  <r>
    <x v="10"/>
    <x v="0"/>
    <x v="74"/>
    <s v="M"/>
    <d v="2014-04-29T00:00:00"/>
    <d v="1899-12-30T00:00:00"/>
    <b v="0"/>
    <x v="0"/>
  </r>
  <r>
    <x v="13"/>
    <x v="0"/>
    <x v="74"/>
    <s v="M"/>
    <d v="2014-04-28T00:00:00"/>
    <d v="1899-12-30T00:00:00"/>
    <b v="0"/>
    <x v="0"/>
  </r>
  <r>
    <x v="18"/>
    <x v="0"/>
    <x v="75"/>
    <s v="M"/>
    <d v="2014-11-26T00:00:00"/>
    <d v="1899-12-30T00:00:00"/>
    <b v="0"/>
    <x v="0"/>
  </r>
  <r>
    <x v="1"/>
    <x v="0"/>
    <x v="75"/>
    <s v="M"/>
    <d v="2012-11-01T00:00:00"/>
    <m/>
    <b v="0"/>
    <x v="0"/>
  </r>
  <r>
    <x v="19"/>
    <x v="0"/>
    <x v="75"/>
    <s v="M"/>
    <d v="2014-06-03T00:00:00"/>
    <d v="1899-12-30T00:00:00"/>
    <b v="0"/>
    <x v="0"/>
  </r>
  <r>
    <x v="0"/>
    <x v="0"/>
    <x v="75"/>
    <s v="M"/>
    <d v="2014-11-26T00:00:00"/>
    <d v="1899-12-30T00:00:00"/>
    <b v="0"/>
    <x v="0"/>
  </r>
  <r>
    <x v="7"/>
    <x v="0"/>
    <x v="75"/>
    <s v="M"/>
    <d v="2014-04-30T00:00:00"/>
    <d v="1899-12-30T00:00:00"/>
    <b v="0"/>
    <x v="0"/>
  </r>
  <r>
    <x v="21"/>
    <x v="0"/>
    <x v="75"/>
    <s v="M"/>
    <d v="2014-06-03T00:00:00"/>
    <d v="1899-12-30T00:00:00"/>
    <b v="0"/>
    <x v="0"/>
  </r>
  <r>
    <x v="10"/>
    <x v="0"/>
    <x v="75"/>
    <s v="M"/>
    <d v="2014-04-29T00:00:00"/>
    <d v="1899-12-30T00:00:00"/>
    <b v="0"/>
    <x v="0"/>
  </r>
  <r>
    <x v="13"/>
    <x v="0"/>
    <x v="75"/>
    <s v="M"/>
    <d v="2014-04-28T00:00:00"/>
    <d v="1899-12-30T00:00:00"/>
    <b v="0"/>
    <x v="0"/>
  </r>
  <r>
    <x v="18"/>
    <x v="0"/>
    <x v="76"/>
    <s v="M"/>
    <d v="2014-11-26T00:00:00"/>
    <d v="1899-12-30T00:00:00"/>
    <b v="0"/>
    <x v="0"/>
  </r>
  <r>
    <x v="1"/>
    <x v="0"/>
    <x v="76"/>
    <s v="M"/>
    <d v="2012-11-01T00:00:00"/>
    <m/>
    <b v="0"/>
    <x v="0"/>
  </r>
  <r>
    <x v="19"/>
    <x v="0"/>
    <x v="76"/>
    <s v="M"/>
    <d v="2014-06-03T00:00:00"/>
    <d v="1899-12-30T00:00:00"/>
    <b v="0"/>
    <x v="0"/>
  </r>
  <r>
    <x v="0"/>
    <x v="0"/>
    <x v="76"/>
    <s v="M"/>
    <d v="2014-11-26T00:00:00"/>
    <d v="1899-12-30T00:00:00"/>
    <b v="0"/>
    <x v="0"/>
  </r>
  <r>
    <x v="7"/>
    <x v="0"/>
    <x v="76"/>
    <s v="M"/>
    <d v="2014-04-30T00:00:00"/>
    <d v="1899-12-30T00:00:00"/>
    <b v="0"/>
    <x v="0"/>
  </r>
  <r>
    <x v="21"/>
    <x v="0"/>
    <x v="76"/>
    <s v="M"/>
    <d v="2014-06-03T00:00:00"/>
    <d v="1899-12-30T00:00:00"/>
    <b v="0"/>
    <x v="0"/>
  </r>
  <r>
    <x v="10"/>
    <x v="0"/>
    <x v="76"/>
    <s v="M"/>
    <d v="2014-04-29T00:00:00"/>
    <d v="1899-12-30T00:00:00"/>
    <b v="0"/>
    <x v="0"/>
  </r>
  <r>
    <x v="13"/>
    <x v="0"/>
    <x v="76"/>
    <s v="M"/>
    <d v="2014-04-28T00:00:00"/>
    <d v="1899-12-30T00:00:00"/>
    <b v="0"/>
    <x v="0"/>
  </r>
  <r>
    <x v="18"/>
    <x v="0"/>
    <x v="77"/>
    <s v="M"/>
    <d v="2014-11-26T00:00:00"/>
    <d v="1899-12-30T00:00:00"/>
    <b v="0"/>
    <x v="0"/>
  </r>
  <r>
    <x v="1"/>
    <x v="0"/>
    <x v="77"/>
    <s v="M"/>
    <d v="2012-11-01T00:00:00"/>
    <m/>
    <b v="0"/>
    <x v="0"/>
  </r>
  <r>
    <x v="19"/>
    <x v="0"/>
    <x v="77"/>
    <s v="M"/>
    <d v="2014-06-03T00:00:00"/>
    <d v="1899-12-30T00:00:00"/>
    <b v="0"/>
    <x v="0"/>
  </r>
  <r>
    <x v="0"/>
    <x v="0"/>
    <x v="77"/>
    <s v="M"/>
    <d v="2014-11-26T00:00:00"/>
    <d v="1899-12-30T00:00:00"/>
    <b v="0"/>
    <x v="0"/>
  </r>
  <r>
    <x v="7"/>
    <x v="0"/>
    <x v="77"/>
    <s v="M"/>
    <d v="2014-04-30T00:00:00"/>
    <d v="1899-12-30T00:00:00"/>
    <b v="0"/>
    <x v="0"/>
  </r>
  <r>
    <x v="21"/>
    <x v="0"/>
    <x v="77"/>
    <s v="M"/>
    <d v="2014-06-03T00:00:00"/>
    <d v="1899-12-30T00:00:00"/>
    <b v="0"/>
    <x v="0"/>
  </r>
  <r>
    <x v="10"/>
    <x v="0"/>
    <x v="77"/>
    <s v="M"/>
    <d v="2014-04-29T00:00:00"/>
    <d v="1899-12-30T00:00:00"/>
    <b v="0"/>
    <x v="0"/>
  </r>
  <r>
    <x v="13"/>
    <x v="0"/>
    <x v="77"/>
    <s v="M"/>
    <d v="2014-04-28T00:00:00"/>
    <d v="1899-12-30T00:00:00"/>
    <b v="0"/>
    <x v="0"/>
  </r>
  <r>
    <x v="17"/>
    <x v="0"/>
    <x v="78"/>
    <s v="M"/>
    <d v="2014-04-30T00:00:00"/>
    <d v="1899-12-30T00:00:00"/>
    <b v="0"/>
    <x v="0"/>
  </r>
  <r>
    <x v="14"/>
    <x v="0"/>
    <x v="78"/>
    <s v="M"/>
    <d v="2013-02-01T00:00:00"/>
    <m/>
    <b v="0"/>
    <x v="0"/>
  </r>
  <r>
    <x v="18"/>
    <x v="0"/>
    <x v="78"/>
    <s v="M"/>
    <d v="2010-12-01T00:00:00"/>
    <m/>
    <b v="0"/>
    <x v="0"/>
  </r>
  <r>
    <x v="15"/>
    <x v="0"/>
    <x v="78"/>
    <s v="M"/>
    <d v="2014-05-22T00:00:00"/>
    <d v="1899-12-30T00:00:00"/>
    <b v="0"/>
    <x v="0"/>
  </r>
  <r>
    <x v="16"/>
    <x v="0"/>
    <x v="78"/>
    <s v="M"/>
    <d v="2014-04-30T00:00:00"/>
    <d v="1899-12-30T00:00:00"/>
    <b v="0"/>
    <x v="0"/>
  </r>
  <r>
    <x v="19"/>
    <x v="0"/>
    <x v="78"/>
    <s v="M"/>
    <d v="2014-06-03T00:00:00"/>
    <d v="1899-12-30T00:00:00"/>
    <b v="0"/>
    <x v="0"/>
  </r>
  <r>
    <x v="2"/>
    <x v="0"/>
    <x v="78"/>
    <s v="M"/>
    <d v="2009-10-01T00:00:00"/>
    <m/>
    <b v="0"/>
    <x v="0"/>
  </r>
  <r>
    <x v="3"/>
    <x v="0"/>
    <x v="78"/>
    <s v="M"/>
    <d v="2009-07-01T00:00:00"/>
    <m/>
    <b v="0"/>
    <x v="0"/>
  </r>
  <r>
    <x v="4"/>
    <x v="0"/>
    <x v="78"/>
    <s v="M"/>
    <d v="2009-07-01T00:00:00"/>
    <m/>
    <b v="0"/>
    <x v="0"/>
  </r>
  <r>
    <x v="5"/>
    <x v="0"/>
    <x v="78"/>
    <s v="M"/>
    <d v="2009-08-01T00:00:00"/>
    <m/>
    <b v="0"/>
    <x v="0"/>
  </r>
  <r>
    <x v="0"/>
    <x v="0"/>
    <x v="78"/>
    <s v="M"/>
    <d v="2009-10-01T00:00:00"/>
    <m/>
    <b v="0"/>
    <x v="0"/>
  </r>
  <r>
    <x v="20"/>
    <x v="0"/>
    <x v="78"/>
    <s v="M"/>
    <d v="2009-11-01T00:00:00"/>
    <m/>
    <b v="0"/>
    <x v="0"/>
  </r>
  <r>
    <x v="6"/>
    <x v="0"/>
    <x v="78"/>
    <s v="M"/>
    <d v="2009-12-01T00:00:00"/>
    <m/>
    <b v="0"/>
    <x v="0"/>
  </r>
  <r>
    <x v="7"/>
    <x v="0"/>
    <x v="78"/>
    <s v="M"/>
    <d v="2014-04-30T00:00:00"/>
    <d v="1899-12-30T00:00:00"/>
    <b v="0"/>
    <x v="0"/>
  </r>
  <r>
    <x v="21"/>
    <x v="0"/>
    <x v="78"/>
    <s v="M"/>
    <d v="2010-02-01T00:00:00"/>
    <m/>
    <b v="0"/>
    <x v="0"/>
  </r>
  <r>
    <x v="8"/>
    <x v="0"/>
    <x v="78"/>
    <s v="M"/>
    <d v="2009-09-01T00:00:00"/>
    <m/>
    <b v="0"/>
    <x v="0"/>
  </r>
  <r>
    <x v="9"/>
    <x v="0"/>
    <x v="78"/>
    <s v="M"/>
    <d v="2009-09-01T00:00:00"/>
    <m/>
    <b v="0"/>
    <x v="0"/>
  </r>
  <r>
    <x v="10"/>
    <x v="0"/>
    <x v="78"/>
    <s v="M"/>
    <d v="2014-04-29T00:00:00"/>
    <d v="1899-12-30T00:00:00"/>
    <b v="0"/>
    <x v="0"/>
  </r>
  <r>
    <x v="22"/>
    <x v="0"/>
    <x v="78"/>
    <s v="M"/>
    <d v="2010-08-01T00:00:00"/>
    <m/>
    <b v="0"/>
    <x v="0"/>
  </r>
  <r>
    <x v="23"/>
    <x v="0"/>
    <x v="78"/>
    <s v="M"/>
    <d v="2010-09-01T00:00:00"/>
    <m/>
    <b v="0"/>
    <x v="0"/>
  </r>
  <r>
    <x v="11"/>
    <x v="0"/>
    <x v="78"/>
    <s v="M"/>
    <d v="2010-07-01T00:00:00"/>
    <m/>
    <b v="0"/>
    <x v="0"/>
  </r>
  <r>
    <x v="12"/>
    <x v="0"/>
    <x v="78"/>
    <s v="M"/>
    <d v="2010-08-01T00:00:00"/>
    <m/>
    <b v="0"/>
    <x v="0"/>
  </r>
  <r>
    <x v="13"/>
    <x v="0"/>
    <x v="78"/>
    <s v="M"/>
    <d v="2010-12-01T00:00:00"/>
    <d v="1899-12-30T00:00:00"/>
    <b v="0"/>
    <x v="0"/>
  </r>
  <r>
    <x v="17"/>
    <x v="0"/>
    <x v="79"/>
    <s v="M"/>
    <d v="2014-04-30T00:00:00"/>
    <d v="1899-12-30T00:00:00"/>
    <b v="0"/>
    <x v="0"/>
  </r>
  <r>
    <x v="14"/>
    <x v="0"/>
    <x v="79"/>
    <s v="M"/>
    <d v="2013-02-01T00:00:00"/>
    <m/>
    <b v="0"/>
    <x v="0"/>
  </r>
  <r>
    <x v="18"/>
    <x v="0"/>
    <x v="79"/>
    <s v="M"/>
    <d v="2010-12-01T00:00:00"/>
    <m/>
    <b v="0"/>
    <x v="0"/>
  </r>
  <r>
    <x v="15"/>
    <x v="0"/>
    <x v="79"/>
    <s v="M"/>
    <d v="2014-05-22T00:00:00"/>
    <d v="1899-12-30T00:00:00"/>
    <b v="0"/>
    <x v="0"/>
  </r>
  <r>
    <x v="16"/>
    <x v="0"/>
    <x v="79"/>
    <s v="M"/>
    <d v="2012-07-01T00:00:00"/>
    <m/>
    <b v="0"/>
    <x v="0"/>
  </r>
  <r>
    <x v="19"/>
    <x v="0"/>
    <x v="79"/>
    <s v="M"/>
    <d v="2014-06-03T00:00:00"/>
    <d v="1899-12-30T00:00:00"/>
    <b v="0"/>
    <x v="0"/>
  </r>
  <r>
    <x v="2"/>
    <x v="0"/>
    <x v="79"/>
    <s v="M"/>
    <d v="2009-10-01T00:00:00"/>
    <m/>
    <b v="0"/>
    <x v="0"/>
  </r>
  <r>
    <x v="3"/>
    <x v="0"/>
    <x v="79"/>
    <s v="M"/>
    <d v="2009-07-01T00:00:00"/>
    <m/>
    <b v="0"/>
    <x v="0"/>
  </r>
  <r>
    <x v="4"/>
    <x v="0"/>
    <x v="79"/>
    <s v="M"/>
    <d v="2009-07-01T00:00:00"/>
    <m/>
    <b v="0"/>
    <x v="0"/>
  </r>
  <r>
    <x v="5"/>
    <x v="0"/>
    <x v="79"/>
    <s v="M"/>
    <d v="2009-08-01T00:00:00"/>
    <m/>
    <b v="0"/>
    <x v="0"/>
  </r>
  <r>
    <x v="0"/>
    <x v="0"/>
    <x v="79"/>
    <s v="M"/>
    <d v="2009-10-01T00:00:00"/>
    <m/>
    <b v="0"/>
    <x v="0"/>
  </r>
  <r>
    <x v="20"/>
    <x v="0"/>
    <x v="79"/>
    <s v="M"/>
    <d v="2009-11-01T00:00:00"/>
    <m/>
    <b v="0"/>
    <x v="0"/>
  </r>
  <r>
    <x v="6"/>
    <x v="0"/>
    <x v="79"/>
    <s v="M"/>
    <d v="2009-12-01T00:00:00"/>
    <m/>
    <b v="0"/>
    <x v="0"/>
  </r>
  <r>
    <x v="7"/>
    <x v="0"/>
    <x v="79"/>
    <s v="M"/>
    <d v="2014-04-30T00:00:00"/>
    <d v="1899-12-30T00:00:00"/>
    <b v="0"/>
    <x v="0"/>
  </r>
  <r>
    <x v="21"/>
    <x v="0"/>
    <x v="79"/>
    <s v="M"/>
    <d v="2010-02-01T00:00:00"/>
    <m/>
    <b v="0"/>
    <x v="0"/>
  </r>
  <r>
    <x v="8"/>
    <x v="0"/>
    <x v="79"/>
    <s v="M"/>
    <d v="2009-09-01T00:00:00"/>
    <m/>
    <b v="0"/>
    <x v="0"/>
  </r>
  <r>
    <x v="9"/>
    <x v="0"/>
    <x v="79"/>
    <s v="M"/>
    <d v="2009-09-01T00:00:00"/>
    <m/>
    <b v="0"/>
    <x v="0"/>
  </r>
  <r>
    <x v="10"/>
    <x v="0"/>
    <x v="79"/>
    <s v="M"/>
    <d v="2014-04-29T00:00:00"/>
    <d v="1899-12-30T00:00:00"/>
    <b v="0"/>
    <x v="0"/>
  </r>
  <r>
    <x v="22"/>
    <x v="0"/>
    <x v="79"/>
    <s v="M"/>
    <d v="2010-08-01T00:00:00"/>
    <m/>
    <b v="0"/>
    <x v="0"/>
  </r>
  <r>
    <x v="23"/>
    <x v="0"/>
    <x v="79"/>
    <s v="M"/>
    <d v="2010-09-01T00:00:00"/>
    <m/>
    <b v="0"/>
    <x v="0"/>
  </r>
  <r>
    <x v="11"/>
    <x v="0"/>
    <x v="79"/>
    <s v="M"/>
    <d v="2010-07-01T00:00:00"/>
    <m/>
    <b v="0"/>
    <x v="0"/>
  </r>
  <r>
    <x v="12"/>
    <x v="0"/>
    <x v="79"/>
    <s v="M"/>
    <d v="2010-08-01T00:00:00"/>
    <m/>
    <b v="0"/>
    <x v="0"/>
  </r>
  <r>
    <x v="13"/>
    <x v="0"/>
    <x v="79"/>
    <s v="M"/>
    <d v="2010-12-01T00:00:00"/>
    <d v="1899-12-30T00:00:00"/>
    <b v="0"/>
    <x v="0"/>
  </r>
  <r>
    <x v="17"/>
    <x v="0"/>
    <x v="80"/>
    <s v="M"/>
    <d v="2012-08-01T00:00:00"/>
    <m/>
    <b v="0"/>
    <x v="0"/>
  </r>
  <r>
    <x v="14"/>
    <x v="0"/>
    <x v="80"/>
    <s v="M"/>
    <d v="2013-02-01T00:00:00"/>
    <m/>
    <b v="0"/>
    <x v="0"/>
  </r>
  <r>
    <x v="18"/>
    <x v="0"/>
    <x v="80"/>
    <s v="M"/>
    <d v="2010-12-01T00:00:00"/>
    <m/>
    <b v="0"/>
    <x v="0"/>
  </r>
  <r>
    <x v="15"/>
    <x v="0"/>
    <x v="80"/>
    <s v="M"/>
    <d v="2012-07-01T00:00:00"/>
    <m/>
    <b v="0"/>
    <x v="0"/>
  </r>
  <r>
    <x v="16"/>
    <x v="0"/>
    <x v="80"/>
    <s v="M"/>
    <d v="2012-07-01T00:00:00"/>
    <m/>
    <b v="0"/>
    <x v="0"/>
  </r>
  <r>
    <x v="19"/>
    <x v="0"/>
    <x v="80"/>
    <s v="M"/>
    <d v="2008-03-01T00:00:00"/>
    <m/>
    <b v="0"/>
    <x v="0"/>
  </r>
  <r>
    <x v="2"/>
    <x v="0"/>
    <x v="80"/>
    <s v="M"/>
    <d v="2009-10-01T00:00:00"/>
    <m/>
    <b v="0"/>
    <x v="0"/>
  </r>
  <r>
    <x v="3"/>
    <x v="0"/>
    <x v="80"/>
    <s v="M"/>
    <d v="2009-07-01T00:00:00"/>
    <m/>
    <b v="0"/>
    <x v="0"/>
  </r>
  <r>
    <x v="4"/>
    <x v="0"/>
    <x v="80"/>
    <s v="M"/>
    <d v="2009-07-01T00:00:00"/>
    <m/>
    <b v="0"/>
    <x v="0"/>
  </r>
  <r>
    <x v="5"/>
    <x v="0"/>
    <x v="80"/>
    <s v="M"/>
    <d v="2009-08-01T00:00:00"/>
    <m/>
    <b v="0"/>
    <x v="0"/>
  </r>
  <r>
    <x v="0"/>
    <x v="0"/>
    <x v="80"/>
    <s v="M"/>
    <d v="2009-10-01T00:00:00"/>
    <m/>
    <b v="0"/>
    <x v="0"/>
  </r>
  <r>
    <x v="20"/>
    <x v="0"/>
    <x v="80"/>
    <s v="M"/>
    <d v="2009-11-01T00:00:00"/>
    <m/>
    <b v="0"/>
    <x v="0"/>
  </r>
  <r>
    <x v="6"/>
    <x v="0"/>
    <x v="80"/>
    <s v="M"/>
    <d v="2009-12-01T00:00:00"/>
    <m/>
    <b v="0"/>
    <x v="0"/>
  </r>
  <r>
    <x v="7"/>
    <x v="0"/>
    <x v="80"/>
    <s v="M"/>
    <d v="2010-01-01T00:00:00"/>
    <m/>
    <b v="0"/>
    <x v="0"/>
  </r>
  <r>
    <x v="21"/>
    <x v="0"/>
    <x v="80"/>
    <s v="M"/>
    <d v="2010-02-01T00:00:00"/>
    <m/>
    <b v="0"/>
    <x v="0"/>
  </r>
  <r>
    <x v="8"/>
    <x v="0"/>
    <x v="80"/>
    <s v="M"/>
    <d v="2009-09-01T00:00:00"/>
    <m/>
    <b v="0"/>
    <x v="0"/>
  </r>
  <r>
    <x v="9"/>
    <x v="0"/>
    <x v="80"/>
    <s v="M"/>
    <d v="2009-09-01T00:00:00"/>
    <m/>
    <b v="0"/>
    <x v="0"/>
  </r>
  <r>
    <x v="10"/>
    <x v="0"/>
    <x v="80"/>
    <s v="M"/>
    <d v="2009-12-01T00:00:00"/>
    <m/>
    <b v="0"/>
    <x v="0"/>
  </r>
  <r>
    <x v="22"/>
    <x v="0"/>
    <x v="80"/>
    <s v="M"/>
    <d v="2010-08-01T00:00:00"/>
    <m/>
    <b v="0"/>
    <x v="0"/>
  </r>
  <r>
    <x v="23"/>
    <x v="0"/>
    <x v="80"/>
    <s v="M"/>
    <d v="2011-06-01T00:00:00"/>
    <m/>
    <b v="0"/>
    <x v="0"/>
  </r>
  <r>
    <x v="11"/>
    <x v="0"/>
    <x v="80"/>
    <s v="M"/>
    <d v="2010-07-01T00:00:00"/>
    <m/>
    <b v="0"/>
    <x v="0"/>
  </r>
  <r>
    <x v="12"/>
    <x v="0"/>
    <x v="80"/>
    <s v="M"/>
    <d v="2010-08-01T00:00:00"/>
    <m/>
    <b v="0"/>
    <x v="0"/>
  </r>
  <r>
    <x v="13"/>
    <x v="0"/>
    <x v="80"/>
    <s v="M"/>
    <d v="2011-02-01T00:00:00"/>
    <m/>
    <b v="0"/>
    <x v="0"/>
  </r>
  <r>
    <x v="17"/>
    <x v="0"/>
    <x v="81"/>
    <s v="M"/>
    <d v="2012-08-01T00:00:00"/>
    <m/>
    <b v="0"/>
    <x v="0"/>
  </r>
  <r>
    <x v="14"/>
    <x v="0"/>
    <x v="81"/>
    <s v="M"/>
    <d v="2013-02-01T00:00:00"/>
    <m/>
    <b v="0"/>
    <x v="0"/>
  </r>
  <r>
    <x v="18"/>
    <x v="0"/>
    <x v="81"/>
    <s v="M"/>
    <d v="2010-12-01T00:00:00"/>
    <m/>
    <b v="0"/>
    <x v="0"/>
  </r>
  <r>
    <x v="15"/>
    <x v="0"/>
    <x v="81"/>
    <s v="M"/>
    <d v="2012-07-01T00:00:00"/>
    <m/>
    <b v="0"/>
    <x v="0"/>
  </r>
  <r>
    <x v="16"/>
    <x v="0"/>
    <x v="81"/>
    <s v="M"/>
    <d v="2012-07-01T00:00:00"/>
    <m/>
    <b v="0"/>
    <x v="0"/>
  </r>
  <r>
    <x v="19"/>
    <x v="0"/>
    <x v="81"/>
    <s v="M"/>
    <d v="2010-12-10T00:00:00"/>
    <m/>
    <b v="0"/>
    <x v="0"/>
  </r>
  <r>
    <x v="2"/>
    <x v="0"/>
    <x v="81"/>
    <s v="M"/>
    <d v="2009-10-01T00:00:00"/>
    <m/>
    <b v="0"/>
    <x v="0"/>
  </r>
  <r>
    <x v="3"/>
    <x v="0"/>
    <x v="81"/>
    <s v="M"/>
    <d v="2009-07-01T00:00:00"/>
    <m/>
    <b v="0"/>
    <x v="0"/>
  </r>
  <r>
    <x v="4"/>
    <x v="0"/>
    <x v="81"/>
    <s v="M"/>
    <d v="2009-07-01T00:00:00"/>
    <m/>
    <b v="0"/>
    <x v="0"/>
  </r>
  <r>
    <x v="5"/>
    <x v="0"/>
    <x v="81"/>
    <s v="M"/>
    <d v="2009-08-01T00:00:00"/>
    <m/>
    <b v="0"/>
    <x v="0"/>
  </r>
  <r>
    <x v="0"/>
    <x v="0"/>
    <x v="81"/>
    <s v="M"/>
    <d v="2009-10-01T00:00:00"/>
    <m/>
    <b v="0"/>
    <x v="0"/>
  </r>
  <r>
    <x v="20"/>
    <x v="0"/>
    <x v="81"/>
    <s v="M"/>
    <d v="2009-11-01T00:00:00"/>
    <m/>
    <b v="0"/>
    <x v="0"/>
  </r>
  <r>
    <x v="6"/>
    <x v="0"/>
    <x v="81"/>
    <s v="M"/>
    <d v="2009-12-01T00:00:00"/>
    <m/>
    <b v="0"/>
    <x v="0"/>
  </r>
  <r>
    <x v="7"/>
    <x v="0"/>
    <x v="81"/>
    <s v="M"/>
    <d v="2010-02-01T00:00:00"/>
    <m/>
    <b v="0"/>
    <x v="0"/>
  </r>
  <r>
    <x v="21"/>
    <x v="0"/>
    <x v="81"/>
    <s v="M"/>
    <d v="2010-02-01T00:00:00"/>
    <m/>
    <b v="0"/>
    <x v="0"/>
  </r>
  <r>
    <x v="8"/>
    <x v="0"/>
    <x v="81"/>
    <s v="M"/>
    <d v="2009-09-01T00:00:00"/>
    <m/>
    <b v="0"/>
    <x v="0"/>
  </r>
  <r>
    <x v="9"/>
    <x v="0"/>
    <x v="81"/>
    <s v="M"/>
    <d v="2009-09-01T00:00:00"/>
    <m/>
    <b v="0"/>
    <x v="0"/>
  </r>
  <r>
    <x v="10"/>
    <x v="0"/>
    <x v="81"/>
    <s v="M"/>
    <d v="2009-12-01T00:00:00"/>
    <m/>
    <b v="0"/>
    <x v="0"/>
  </r>
  <r>
    <x v="22"/>
    <x v="0"/>
    <x v="81"/>
    <s v="M"/>
    <d v="2010-08-01T00:00:00"/>
    <m/>
    <b v="0"/>
    <x v="0"/>
  </r>
  <r>
    <x v="23"/>
    <x v="0"/>
    <x v="81"/>
    <s v="M"/>
    <d v="2010-09-01T00:00:00"/>
    <m/>
    <b v="0"/>
    <x v="0"/>
  </r>
  <r>
    <x v="11"/>
    <x v="0"/>
    <x v="81"/>
    <s v="M"/>
    <d v="2010-07-01T00:00:00"/>
    <m/>
    <b v="0"/>
    <x v="0"/>
  </r>
  <r>
    <x v="12"/>
    <x v="0"/>
    <x v="81"/>
    <s v="M"/>
    <d v="2010-08-01T00:00:00"/>
    <m/>
    <b v="0"/>
    <x v="0"/>
  </r>
  <r>
    <x v="13"/>
    <x v="0"/>
    <x v="81"/>
    <s v="M"/>
    <d v="2010-12-01T00:00:00"/>
    <m/>
    <b v="0"/>
    <x v="0"/>
  </r>
  <r>
    <x v="17"/>
    <x v="0"/>
    <x v="82"/>
    <s v="M"/>
    <d v="2012-08-01T00:00:00"/>
    <m/>
    <b v="0"/>
    <x v="0"/>
  </r>
  <r>
    <x v="14"/>
    <x v="0"/>
    <x v="82"/>
    <s v="M"/>
    <d v="2013-02-01T00:00:00"/>
    <m/>
    <b v="0"/>
    <x v="0"/>
  </r>
  <r>
    <x v="18"/>
    <x v="0"/>
    <x v="82"/>
    <s v="M"/>
    <d v="2010-12-01T00:00:00"/>
    <m/>
    <b v="0"/>
    <x v="0"/>
  </r>
  <r>
    <x v="15"/>
    <x v="0"/>
    <x v="82"/>
    <s v="M"/>
    <d v="2012-07-01T00:00:00"/>
    <m/>
    <b v="0"/>
    <x v="0"/>
  </r>
  <r>
    <x v="16"/>
    <x v="0"/>
    <x v="82"/>
    <s v="M"/>
    <d v="2012-07-01T00:00:00"/>
    <m/>
    <b v="0"/>
    <x v="0"/>
  </r>
  <r>
    <x v="19"/>
    <x v="0"/>
    <x v="82"/>
    <s v="M"/>
    <d v="2010-12-10T00:00:00"/>
    <m/>
    <b v="0"/>
    <x v="0"/>
  </r>
  <r>
    <x v="2"/>
    <x v="0"/>
    <x v="82"/>
    <s v="M"/>
    <d v="2009-10-01T00:00:00"/>
    <m/>
    <b v="0"/>
    <x v="0"/>
  </r>
  <r>
    <x v="3"/>
    <x v="0"/>
    <x v="82"/>
    <s v="M"/>
    <d v="2009-07-01T00:00:00"/>
    <m/>
    <b v="0"/>
    <x v="0"/>
  </r>
  <r>
    <x v="4"/>
    <x v="0"/>
    <x v="82"/>
    <s v="M"/>
    <d v="2009-07-01T00:00:00"/>
    <m/>
    <b v="0"/>
    <x v="0"/>
  </r>
  <r>
    <x v="5"/>
    <x v="0"/>
    <x v="82"/>
    <s v="M"/>
    <d v="2009-08-01T00:00:00"/>
    <m/>
    <b v="0"/>
    <x v="0"/>
  </r>
  <r>
    <x v="0"/>
    <x v="0"/>
    <x v="82"/>
    <s v="M"/>
    <d v="2009-10-01T00:00:00"/>
    <m/>
    <b v="0"/>
    <x v="0"/>
  </r>
  <r>
    <x v="20"/>
    <x v="0"/>
    <x v="82"/>
    <s v="M"/>
    <d v="2009-11-01T00:00:00"/>
    <m/>
    <b v="0"/>
    <x v="0"/>
  </r>
  <r>
    <x v="6"/>
    <x v="0"/>
    <x v="82"/>
    <s v="M"/>
    <d v="2009-12-01T00:00:00"/>
    <m/>
    <b v="0"/>
    <x v="0"/>
  </r>
  <r>
    <x v="7"/>
    <x v="0"/>
    <x v="82"/>
    <s v="M"/>
    <d v="2010-02-01T00:00:00"/>
    <m/>
    <b v="0"/>
    <x v="0"/>
  </r>
  <r>
    <x v="21"/>
    <x v="0"/>
    <x v="82"/>
    <s v="M"/>
    <d v="2010-02-01T00:00:00"/>
    <m/>
    <b v="0"/>
    <x v="0"/>
  </r>
  <r>
    <x v="8"/>
    <x v="0"/>
    <x v="82"/>
    <s v="M"/>
    <d v="2009-09-01T00:00:00"/>
    <m/>
    <b v="0"/>
    <x v="0"/>
  </r>
  <r>
    <x v="9"/>
    <x v="0"/>
    <x v="82"/>
    <s v="M"/>
    <d v="2009-09-01T00:00:00"/>
    <m/>
    <b v="0"/>
    <x v="0"/>
  </r>
  <r>
    <x v="10"/>
    <x v="0"/>
    <x v="82"/>
    <s v="M"/>
    <d v="2009-12-01T00:00:00"/>
    <m/>
    <b v="0"/>
    <x v="0"/>
  </r>
  <r>
    <x v="22"/>
    <x v="0"/>
    <x v="82"/>
    <s v="M"/>
    <d v="2010-08-01T00:00:00"/>
    <m/>
    <b v="0"/>
    <x v="0"/>
  </r>
  <r>
    <x v="23"/>
    <x v="0"/>
    <x v="82"/>
    <s v="M"/>
    <d v="2010-09-01T00:00:00"/>
    <m/>
    <b v="0"/>
    <x v="0"/>
  </r>
  <r>
    <x v="11"/>
    <x v="0"/>
    <x v="82"/>
    <s v="M"/>
    <d v="2010-07-01T00:00:00"/>
    <m/>
    <b v="0"/>
    <x v="0"/>
  </r>
  <r>
    <x v="12"/>
    <x v="0"/>
    <x v="82"/>
    <s v="M"/>
    <d v="2010-08-01T00:00:00"/>
    <m/>
    <b v="0"/>
    <x v="0"/>
  </r>
  <r>
    <x v="13"/>
    <x v="0"/>
    <x v="82"/>
    <s v="M"/>
    <d v="2010-12-01T00:00:00"/>
    <m/>
    <b v="0"/>
    <x v="0"/>
  </r>
  <r>
    <x v="17"/>
    <x v="0"/>
    <x v="83"/>
    <s v="M"/>
    <d v="2012-08-01T00:00:00"/>
    <m/>
    <b v="0"/>
    <x v="0"/>
  </r>
  <r>
    <x v="14"/>
    <x v="0"/>
    <x v="83"/>
    <s v="M"/>
    <d v="2013-02-01T00:00:00"/>
    <m/>
    <b v="0"/>
    <x v="0"/>
  </r>
  <r>
    <x v="18"/>
    <x v="0"/>
    <x v="83"/>
    <s v="M"/>
    <d v="2010-12-01T00:00:00"/>
    <m/>
    <b v="0"/>
    <x v="0"/>
  </r>
  <r>
    <x v="15"/>
    <x v="0"/>
    <x v="83"/>
    <s v="M"/>
    <d v="2012-07-01T00:00:00"/>
    <m/>
    <b v="0"/>
    <x v="0"/>
  </r>
  <r>
    <x v="16"/>
    <x v="0"/>
    <x v="83"/>
    <s v="M"/>
    <d v="2012-07-01T00:00:00"/>
    <m/>
    <b v="0"/>
    <x v="0"/>
  </r>
  <r>
    <x v="19"/>
    <x v="0"/>
    <x v="83"/>
    <s v="M"/>
    <d v="2010-12-10T00:00:00"/>
    <m/>
    <b v="0"/>
    <x v="0"/>
  </r>
  <r>
    <x v="2"/>
    <x v="0"/>
    <x v="83"/>
    <s v="M"/>
    <d v="2009-10-01T00:00:00"/>
    <m/>
    <b v="0"/>
    <x v="0"/>
  </r>
  <r>
    <x v="3"/>
    <x v="0"/>
    <x v="83"/>
    <s v="M"/>
    <d v="2009-07-01T00:00:00"/>
    <m/>
    <b v="0"/>
    <x v="0"/>
  </r>
  <r>
    <x v="4"/>
    <x v="0"/>
    <x v="83"/>
    <s v="M"/>
    <d v="2009-07-01T00:00:00"/>
    <m/>
    <b v="0"/>
    <x v="0"/>
  </r>
  <r>
    <x v="5"/>
    <x v="0"/>
    <x v="83"/>
    <s v="M"/>
    <d v="2009-08-01T00:00:00"/>
    <m/>
    <b v="0"/>
    <x v="0"/>
  </r>
  <r>
    <x v="0"/>
    <x v="0"/>
    <x v="83"/>
    <s v="M"/>
    <d v="2009-10-01T00:00:00"/>
    <m/>
    <b v="0"/>
    <x v="0"/>
  </r>
  <r>
    <x v="20"/>
    <x v="0"/>
    <x v="83"/>
    <s v="M"/>
    <d v="2009-11-01T00:00:00"/>
    <m/>
    <b v="0"/>
    <x v="0"/>
  </r>
  <r>
    <x v="6"/>
    <x v="0"/>
    <x v="83"/>
    <s v="M"/>
    <d v="2009-12-01T00:00:00"/>
    <m/>
    <b v="0"/>
    <x v="0"/>
  </r>
  <r>
    <x v="7"/>
    <x v="0"/>
    <x v="83"/>
    <s v="M"/>
    <d v="2010-02-01T00:00:00"/>
    <m/>
    <b v="0"/>
    <x v="0"/>
  </r>
  <r>
    <x v="21"/>
    <x v="0"/>
    <x v="83"/>
    <s v="M"/>
    <d v="2010-02-01T00:00:00"/>
    <m/>
    <b v="0"/>
    <x v="0"/>
  </r>
  <r>
    <x v="8"/>
    <x v="0"/>
    <x v="83"/>
    <s v="M"/>
    <d v="2009-09-01T00:00:00"/>
    <m/>
    <b v="0"/>
    <x v="0"/>
  </r>
  <r>
    <x v="9"/>
    <x v="0"/>
    <x v="83"/>
    <s v="M"/>
    <d v="2009-09-01T00:00:00"/>
    <m/>
    <b v="0"/>
    <x v="0"/>
  </r>
  <r>
    <x v="10"/>
    <x v="0"/>
    <x v="83"/>
    <s v="M"/>
    <d v="2009-12-01T00:00:00"/>
    <m/>
    <b v="0"/>
    <x v="0"/>
  </r>
  <r>
    <x v="22"/>
    <x v="0"/>
    <x v="83"/>
    <s v="M"/>
    <d v="2010-08-01T00:00:00"/>
    <m/>
    <b v="0"/>
    <x v="0"/>
  </r>
  <r>
    <x v="23"/>
    <x v="0"/>
    <x v="83"/>
    <s v="M"/>
    <d v="2011-06-01T00:00:00"/>
    <m/>
    <b v="0"/>
    <x v="0"/>
  </r>
  <r>
    <x v="11"/>
    <x v="0"/>
    <x v="83"/>
    <s v="M"/>
    <d v="2010-07-01T00:00:00"/>
    <m/>
    <b v="0"/>
    <x v="0"/>
  </r>
  <r>
    <x v="12"/>
    <x v="0"/>
    <x v="83"/>
    <s v="M"/>
    <d v="2010-08-01T00:00:00"/>
    <m/>
    <b v="0"/>
    <x v="0"/>
  </r>
  <r>
    <x v="13"/>
    <x v="0"/>
    <x v="83"/>
    <s v="M"/>
    <d v="2010-12-01T00:00:00"/>
    <m/>
    <b v="0"/>
    <x v="0"/>
  </r>
  <r>
    <x v="17"/>
    <x v="0"/>
    <x v="84"/>
    <s v="M"/>
    <d v="2007-07-01T00:00:00"/>
    <m/>
    <b v="0"/>
    <x v="0"/>
  </r>
  <r>
    <x v="14"/>
    <x v="0"/>
    <x v="84"/>
    <s v="M"/>
    <d v="2007-08-01T00:00:00"/>
    <m/>
    <b v="0"/>
    <x v="0"/>
  </r>
  <r>
    <x v="18"/>
    <x v="0"/>
    <x v="84"/>
    <s v="M"/>
    <d v="2010-11-01T00:00:00"/>
    <m/>
    <b v="0"/>
    <x v="0"/>
  </r>
  <r>
    <x v="1"/>
    <x v="0"/>
    <x v="84"/>
    <s v="M"/>
    <d v="2009-01-01T00:00:00"/>
    <m/>
    <b v="0"/>
    <x v="0"/>
  </r>
  <r>
    <x v="15"/>
    <x v="0"/>
    <x v="84"/>
    <s v="M"/>
    <d v="2014-07-01T13:27:00"/>
    <d v="1899-12-30T00:00:00"/>
    <b v="0"/>
    <x v="0"/>
  </r>
  <r>
    <x v="16"/>
    <x v="0"/>
    <x v="84"/>
    <s v="M"/>
    <d v="2009-03-01T00:00:00"/>
    <m/>
    <b v="0"/>
    <x v="0"/>
  </r>
  <r>
    <x v="19"/>
    <x v="0"/>
    <x v="84"/>
    <s v="M"/>
    <d v="2008-02-29T00:00:00"/>
    <m/>
    <b v="0"/>
    <x v="0"/>
  </r>
  <r>
    <x v="2"/>
    <x v="0"/>
    <x v="84"/>
    <s v="M"/>
    <d v="2015-04-15T09:31:00"/>
    <d v="1899-12-30T00:00:00"/>
    <b v="0"/>
    <x v="0"/>
  </r>
  <r>
    <x v="3"/>
    <x v="0"/>
    <x v="84"/>
    <s v="M"/>
    <d v="2015-04-01T00:00:00"/>
    <d v="1899-12-30T00:00:00"/>
    <b v="0"/>
    <x v="0"/>
  </r>
  <r>
    <x v="4"/>
    <x v="0"/>
    <x v="84"/>
    <s v="M"/>
    <d v="2009-05-01T00:00:00"/>
    <m/>
    <b v="0"/>
    <x v="0"/>
  </r>
  <r>
    <x v="5"/>
    <x v="0"/>
    <x v="84"/>
    <s v="M"/>
    <d v="2009-04-01T00:00:00"/>
    <m/>
    <b v="0"/>
    <x v="0"/>
  </r>
  <r>
    <x v="0"/>
    <x v="0"/>
    <x v="84"/>
    <s v="M"/>
    <d v="2009-10-01T00:00:00"/>
    <m/>
    <b v="0"/>
    <x v="0"/>
  </r>
  <r>
    <x v="20"/>
    <x v="0"/>
    <x v="84"/>
    <s v="M"/>
    <d v="2010-01-01T00:00:00"/>
    <m/>
    <b v="0"/>
    <x v="0"/>
  </r>
  <r>
    <x v="6"/>
    <x v="0"/>
    <x v="84"/>
    <s v="M"/>
    <d v="2009-05-01T00:00:00"/>
    <m/>
    <b v="0"/>
    <x v="0"/>
  </r>
  <r>
    <x v="7"/>
    <x v="0"/>
    <x v="84"/>
    <s v="M"/>
    <d v="2010-03-01T00:00:00"/>
    <m/>
    <b v="0"/>
    <x v="0"/>
  </r>
  <r>
    <x v="21"/>
    <x v="0"/>
    <x v="84"/>
    <s v="M"/>
    <d v="2010-03-01T00:00:00"/>
    <m/>
    <b v="0"/>
    <x v="0"/>
  </r>
  <r>
    <x v="8"/>
    <x v="0"/>
    <x v="84"/>
    <s v="M"/>
    <d v="2015-04-15T09:40:00"/>
    <d v="1899-12-30T00:00:00"/>
    <b v="0"/>
    <x v="0"/>
  </r>
  <r>
    <x v="9"/>
    <x v="0"/>
    <x v="84"/>
    <s v="M"/>
    <d v="2015-04-17T02:33:00"/>
    <d v="1899-12-30T00:00:00"/>
    <b v="0"/>
    <x v="0"/>
  </r>
  <r>
    <x v="10"/>
    <x v="0"/>
    <x v="84"/>
    <s v="M"/>
    <d v="2010-04-01T00:00:00"/>
    <m/>
    <b v="0"/>
    <x v="0"/>
  </r>
  <r>
    <x v="22"/>
    <x v="0"/>
    <x v="84"/>
    <s v="M"/>
    <d v="2010-09-30T00:00:00"/>
    <m/>
    <b v="0"/>
    <x v="0"/>
  </r>
  <r>
    <x v="23"/>
    <x v="0"/>
    <x v="84"/>
    <s v="M"/>
    <d v="2009-05-01T00:00:00"/>
    <m/>
    <b v="0"/>
    <x v="0"/>
  </r>
  <r>
    <x v="11"/>
    <x v="0"/>
    <x v="84"/>
    <s v="M"/>
    <d v="2010-08-01T00:00:00"/>
    <m/>
    <b v="0"/>
    <x v="0"/>
  </r>
  <r>
    <x v="12"/>
    <x v="0"/>
    <x v="84"/>
    <s v="M"/>
    <d v="2010-09-01T00:00:00"/>
    <m/>
    <b v="0"/>
    <x v="0"/>
  </r>
  <r>
    <x v="13"/>
    <x v="0"/>
    <x v="84"/>
    <s v="M"/>
    <d v="2011-01-01T00:00:00"/>
    <m/>
    <b v="0"/>
    <x v="0"/>
  </r>
  <r>
    <x v="17"/>
    <x v="0"/>
    <x v="85"/>
    <s v="M"/>
    <d v="2010-08-01T00:00:00"/>
    <m/>
    <b v="0"/>
    <x v="0"/>
  </r>
  <r>
    <x v="14"/>
    <x v="0"/>
    <x v="85"/>
    <s v="M"/>
    <d v="2012-05-01T00:00:00"/>
    <m/>
    <b v="0"/>
    <x v="0"/>
  </r>
  <r>
    <x v="18"/>
    <x v="0"/>
    <x v="85"/>
    <s v="M"/>
    <d v="2010-11-01T00:00:00"/>
    <m/>
    <b v="0"/>
    <x v="0"/>
  </r>
  <r>
    <x v="1"/>
    <x v="0"/>
    <x v="85"/>
    <s v="M"/>
    <d v="2011-01-01T00:00:00"/>
    <m/>
    <b v="0"/>
    <x v="0"/>
  </r>
  <r>
    <x v="15"/>
    <x v="0"/>
    <x v="85"/>
    <s v="M"/>
    <d v="2014-07-10T11:40:00"/>
    <d v="1899-12-30T00:00:00"/>
    <b v="0"/>
    <x v="0"/>
  </r>
  <r>
    <x v="16"/>
    <x v="0"/>
    <x v="85"/>
    <s v="M"/>
    <d v="2007-05-01T00:00:00"/>
    <d v="1899-12-30T00:00:00"/>
    <b v="0"/>
    <x v="0"/>
  </r>
  <r>
    <x v="19"/>
    <x v="0"/>
    <x v="85"/>
    <s v="M"/>
    <d v="2007-03-31T00:00:00"/>
    <d v="1899-12-30T00:00:00"/>
    <b v="0"/>
    <x v="0"/>
  </r>
  <r>
    <x v="2"/>
    <x v="0"/>
    <x v="85"/>
    <s v="M"/>
    <d v="2010-06-01T00:00:00"/>
    <m/>
    <b v="0"/>
    <x v="0"/>
  </r>
  <r>
    <x v="3"/>
    <x v="0"/>
    <x v="85"/>
    <s v="M"/>
    <d v="2011-06-01T00:00:00"/>
    <m/>
    <b v="0"/>
    <x v="0"/>
  </r>
  <r>
    <x v="4"/>
    <x v="0"/>
    <x v="85"/>
    <s v="M"/>
    <d v="2014-12-03T15:07:00"/>
    <d v="1899-12-30T00:00:00"/>
    <b v="0"/>
    <x v="0"/>
  </r>
  <r>
    <x v="5"/>
    <x v="0"/>
    <x v="85"/>
    <s v="M"/>
    <d v="2015-02-11T08:26:00"/>
    <d v="1899-12-30T00:00:00"/>
    <b v="0"/>
    <x v="0"/>
  </r>
  <r>
    <x v="0"/>
    <x v="0"/>
    <x v="85"/>
    <s v="M"/>
    <d v="2010-05-01T00:00:00"/>
    <m/>
    <b v="0"/>
    <x v="0"/>
  </r>
  <r>
    <x v="20"/>
    <x v="0"/>
    <x v="85"/>
    <s v="M"/>
    <d v="2010-01-01T00:00:00"/>
    <m/>
    <b v="0"/>
    <x v="0"/>
  </r>
  <r>
    <x v="6"/>
    <x v="0"/>
    <x v="85"/>
    <s v="M"/>
    <d v="2010-01-31T00:00:00"/>
    <m/>
    <b v="0"/>
    <x v="0"/>
  </r>
  <r>
    <x v="7"/>
    <x v="0"/>
    <x v="85"/>
    <s v="M"/>
    <d v="2010-03-01T00:00:00"/>
    <m/>
    <b v="0"/>
    <x v="0"/>
  </r>
  <r>
    <x v="21"/>
    <x v="0"/>
    <x v="85"/>
    <s v="M"/>
    <d v="2008-11-01T00:00:00"/>
    <m/>
    <b v="0"/>
    <x v="0"/>
  </r>
  <r>
    <x v="8"/>
    <x v="0"/>
    <x v="85"/>
    <s v="M"/>
    <d v="2010-01-01T00:00:00"/>
    <m/>
    <b v="0"/>
    <x v="0"/>
  </r>
  <r>
    <x v="9"/>
    <x v="0"/>
    <x v="85"/>
    <s v="M"/>
    <d v="2011-05-01T00:00:00"/>
    <m/>
    <b v="0"/>
    <x v="0"/>
  </r>
  <r>
    <x v="10"/>
    <x v="0"/>
    <x v="85"/>
    <s v="M"/>
    <d v="2011-08-01T00:00:00"/>
    <m/>
    <b v="0"/>
    <x v="0"/>
  </r>
  <r>
    <x v="22"/>
    <x v="0"/>
    <x v="85"/>
    <s v="M"/>
    <d v="2010-09-30T00:00:00"/>
    <m/>
    <b v="0"/>
    <x v="0"/>
  </r>
  <r>
    <x v="23"/>
    <x v="0"/>
    <x v="85"/>
    <s v="M"/>
    <d v="2010-10-01T00:00:00"/>
    <m/>
    <b v="0"/>
    <x v="0"/>
  </r>
  <r>
    <x v="11"/>
    <x v="0"/>
    <x v="85"/>
    <s v="M"/>
    <d v="2010-09-01T00:00:00"/>
    <m/>
    <b v="0"/>
    <x v="0"/>
  </r>
  <r>
    <x v="12"/>
    <x v="0"/>
    <x v="85"/>
    <s v="M"/>
    <d v="2010-09-01T00:00:00"/>
    <m/>
    <b v="0"/>
    <x v="0"/>
  </r>
  <r>
    <x v="13"/>
    <x v="0"/>
    <x v="85"/>
    <s v="M"/>
    <d v="2011-01-01T00:00:00"/>
    <m/>
    <b v="0"/>
    <x v="0"/>
  </r>
  <r>
    <x v="17"/>
    <x v="0"/>
    <x v="86"/>
    <s v="M"/>
    <d v="2007-07-01T00:00:00"/>
    <m/>
    <b v="0"/>
    <x v="0"/>
  </r>
  <r>
    <x v="14"/>
    <x v="0"/>
    <x v="86"/>
    <s v="M"/>
    <d v="2012-04-01T00:00:00"/>
    <m/>
    <b v="0"/>
    <x v="0"/>
  </r>
  <r>
    <x v="18"/>
    <x v="0"/>
    <x v="86"/>
    <s v="M"/>
    <d v="2015-04-15T00:00:00"/>
    <d v="1899-12-30T00:00:00"/>
    <b v="0"/>
    <x v="0"/>
  </r>
  <r>
    <x v="1"/>
    <x v="0"/>
    <x v="86"/>
    <s v="M"/>
    <d v="2007-07-01T00:00:00"/>
    <m/>
    <b v="0"/>
    <x v="0"/>
  </r>
  <r>
    <x v="15"/>
    <x v="0"/>
    <x v="86"/>
    <s v="M"/>
    <d v="2010-04-01T00:00:00"/>
    <m/>
    <b v="0"/>
    <x v="0"/>
  </r>
  <r>
    <x v="16"/>
    <x v="0"/>
    <x v="86"/>
    <s v="M"/>
    <d v="2015-04-15T00:00:00"/>
    <d v="1899-12-30T00:00:00"/>
    <b v="0"/>
    <x v="0"/>
  </r>
  <r>
    <x v="19"/>
    <x v="0"/>
    <x v="86"/>
    <s v="M"/>
    <d v="2008-02-29T00:00:00"/>
    <m/>
    <b v="0"/>
    <x v="0"/>
  </r>
  <r>
    <x v="2"/>
    <x v="0"/>
    <x v="86"/>
    <s v="M"/>
    <d v="2008-11-01T00:00:00"/>
    <m/>
    <b v="0"/>
    <x v="0"/>
  </r>
  <r>
    <x v="3"/>
    <x v="0"/>
    <x v="86"/>
    <s v="M"/>
    <d v="2008-08-01T00:00:00"/>
    <m/>
    <b v="0"/>
    <x v="0"/>
  </r>
  <r>
    <x v="4"/>
    <x v="0"/>
    <x v="86"/>
    <s v="M"/>
    <d v="2008-08-01T00:00:00"/>
    <m/>
    <b v="0"/>
    <x v="0"/>
  </r>
  <r>
    <x v="5"/>
    <x v="0"/>
    <x v="86"/>
    <s v="M"/>
    <d v="2009-09-01T00:00:00"/>
    <m/>
    <b v="0"/>
    <x v="0"/>
  </r>
  <r>
    <x v="0"/>
    <x v="0"/>
    <x v="86"/>
    <s v="M"/>
    <d v="2010-01-01T00:00:00"/>
    <m/>
    <b v="0"/>
    <x v="0"/>
  </r>
  <r>
    <x v="20"/>
    <x v="0"/>
    <x v="86"/>
    <s v="M"/>
    <d v="2009-01-01T00:00:00"/>
    <m/>
    <b v="0"/>
    <x v="0"/>
  </r>
  <r>
    <x v="6"/>
    <x v="0"/>
    <x v="86"/>
    <s v="M"/>
    <d v="2011-08-01T00:00:00"/>
    <m/>
    <b v="0"/>
    <x v="0"/>
  </r>
  <r>
    <x v="7"/>
    <x v="0"/>
    <x v="86"/>
    <s v="M"/>
    <d v="2007-05-01T00:00:00"/>
    <d v="1899-12-30T00:00:00"/>
    <b v="0"/>
    <x v="0"/>
  </r>
  <r>
    <x v="21"/>
    <x v="0"/>
    <x v="86"/>
    <s v="M"/>
    <d v="2008-08-01T00:00:00"/>
    <m/>
    <b v="0"/>
    <x v="0"/>
  </r>
  <r>
    <x v="8"/>
    <x v="0"/>
    <x v="86"/>
    <s v="M"/>
    <d v="2009-04-01T00:00:00"/>
    <m/>
    <b v="0"/>
    <x v="0"/>
  </r>
  <r>
    <x v="9"/>
    <x v="0"/>
    <x v="86"/>
    <s v="M"/>
    <d v="2009-04-01T00:00:00"/>
    <m/>
    <b v="0"/>
    <x v="0"/>
  </r>
  <r>
    <x v="10"/>
    <x v="0"/>
    <x v="86"/>
    <s v="M"/>
    <d v="2010-04-01T00:00:00"/>
    <m/>
    <b v="0"/>
    <x v="0"/>
  </r>
  <r>
    <x v="22"/>
    <x v="0"/>
    <x v="86"/>
    <s v="M"/>
    <d v="2009-12-01T00:00:00"/>
    <m/>
    <b v="0"/>
    <x v="0"/>
  </r>
  <r>
    <x v="23"/>
    <x v="0"/>
    <x v="86"/>
    <s v="M"/>
    <d v="2010-10-01T00:00:00"/>
    <m/>
    <b v="0"/>
    <x v="0"/>
  </r>
  <r>
    <x v="11"/>
    <x v="0"/>
    <x v="86"/>
    <s v="M"/>
    <d v="2010-09-01T00:00:00"/>
    <m/>
    <b v="0"/>
    <x v="0"/>
  </r>
  <r>
    <x v="12"/>
    <x v="0"/>
    <x v="86"/>
    <s v="M"/>
    <d v="2008-10-01T00:00:00"/>
    <m/>
    <b v="0"/>
    <x v="0"/>
  </r>
  <r>
    <x v="13"/>
    <x v="0"/>
    <x v="86"/>
    <s v="M"/>
    <d v="2008-10-01T00:00:00"/>
    <m/>
    <b v="0"/>
    <x v="0"/>
  </r>
  <r>
    <x v="17"/>
    <x v="0"/>
    <x v="87"/>
    <s v="M"/>
    <d v="2010-02-01T00:00:00"/>
    <m/>
    <b v="0"/>
    <x v="0"/>
  </r>
  <r>
    <x v="14"/>
    <x v="0"/>
    <x v="87"/>
    <s v="M"/>
    <d v="2011-09-01T00:00:00"/>
    <m/>
    <b v="0"/>
    <x v="0"/>
  </r>
  <r>
    <x v="18"/>
    <x v="0"/>
    <x v="87"/>
    <s v="M"/>
    <d v="2007-07-01T00:00:00"/>
    <m/>
    <b v="0"/>
    <x v="0"/>
  </r>
  <r>
    <x v="1"/>
    <x v="0"/>
    <x v="87"/>
    <s v="M"/>
    <d v="2011-03-01T00:00:00"/>
    <m/>
    <b v="0"/>
    <x v="0"/>
  </r>
  <r>
    <x v="15"/>
    <x v="0"/>
    <x v="87"/>
    <s v="M"/>
    <d v="2008-04-01T00:00:00"/>
    <m/>
    <b v="0"/>
    <x v="0"/>
  </r>
  <r>
    <x v="16"/>
    <x v="0"/>
    <x v="87"/>
    <s v="M"/>
    <d v="2007-05-01T00:00:00"/>
    <d v="1899-12-30T00:00:00"/>
    <b v="0"/>
    <x v="0"/>
  </r>
  <r>
    <x v="19"/>
    <x v="0"/>
    <x v="87"/>
    <s v="M"/>
    <d v="2008-02-29T00:00:00"/>
    <m/>
    <b v="0"/>
    <x v="0"/>
  </r>
  <r>
    <x v="2"/>
    <x v="0"/>
    <x v="87"/>
    <s v="M"/>
    <d v="2010-10-01T00:00:00"/>
    <m/>
    <b v="0"/>
    <x v="0"/>
  </r>
  <r>
    <x v="3"/>
    <x v="0"/>
    <x v="87"/>
    <s v="M"/>
    <d v="2009-08-01T00:00:00"/>
    <m/>
    <b v="0"/>
    <x v="0"/>
  </r>
  <r>
    <x v="4"/>
    <x v="0"/>
    <x v="87"/>
    <s v="M"/>
    <d v="2010-03-01T00:00:00"/>
    <m/>
    <b v="0"/>
    <x v="0"/>
  </r>
  <r>
    <x v="5"/>
    <x v="0"/>
    <x v="87"/>
    <s v="M"/>
    <d v="2009-09-01T00:00:00"/>
    <m/>
    <b v="0"/>
    <x v="0"/>
  </r>
  <r>
    <x v="0"/>
    <x v="0"/>
    <x v="87"/>
    <s v="M"/>
    <d v="2008-08-01T00:00:00"/>
    <m/>
    <b v="0"/>
    <x v="0"/>
  </r>
  <r>
    <x v="20"/>
    <x v="0"/>
    <x v="87"/>
    <s v="M"/>
    <d v="2010-08-01T00:00:00"/>
    <m/>
    <b v="0"/>
    <x v="0"/>
  </r>
  <r>
    <x v="6"/>
    <x v="0"/>
    <x v="87"/>
    <s v="M"/>
    <d v="2010-10-01T00:00:00"/>
    <m/>
    <b v="0"/>
    <x v="0"/>
  </r>
  <r>
    <x v="7"/>
    <x v="0"/>
    <x v="87"/>
    <s v="M"/>
    <d v="2008-08-27T00:00:00"/>
    <m/>
    <b v="0"/>
    <x v="0"/>
  </r>
  <r>
    <x v="21"/>
    <x v="0"/>
    <x v="87"/>
    <s v="M"/>
    <d v="2008-08-01T00:00:00"/>
    <m/>
    <b v="0"/>
    <x v="0"/>
  </r>
  <r>
    <x v="8"/>
    <x v="0"/>
    <x v="87"/>
    <s v="M"/>
    <d v="2014-12-03T17:18:00"/>
    <d v="1899-12-30T00:00:00"/>
    <b v="0"/>
    <x v="0"/>
  </r>
  <r>
    <x v="9"/>
    <x v="0"/>
    <x v="87"/>
    <s v="M"/>
    <d v="2009-11-01T00:00:00"/>
    <m/>
    <b v="0"/>
    <x v="0"/>
  </r>
  <r>
    <x v="10"/>
    <x v="0"/>
    <x v="87"/>
    <s v="M"/>
    <d v="2009-01-27T00:00:00"/>
    <m/>
    <b v="0"/>
    <x v="0"/>
  </r>
  <r>
    <x v="22"/>
    <x v="0"/>
    <x v="87"/>
    <s v="M"/>
    <d v="2010-09-01T00:00:00"/>
    <m/>
    <b v="0"/>
    <x v="0"/>
  </r>
  <r>
    <x v="23"/>
    <x v="0"/>
    <x v="87"/>
    <s v="M"/>
    <d v="2010-11-01T00:00:00"/>
    <m/>
    <b v="0"/>
    <x v="0"/>
  </r>
  <r>
    <x v="11"/>
    <x v="0"/>
    <x v="87"/>
    <s v="M"/>
    <d v="2010-09-01T00:00:00"/>
    <m/>
    <b v="0"/>
    <x v="0"/>
  </r>
  <r>
    <x v="12"/>
    <x v="0"/>
    <x v="87"/>
    <s v="M"/>
    <d v="2010-10-01T00:00:00"/>
    <m/>
    <b v="0"/>
    <x v="0"/>
  </r>
  <r>
    <x v="13"/>
    <x v="0"/>
    <x v="87"/>
    <s v="M"/>
    <d v="2011-02-01T00:00:00"/>
    <m/>
    <b v="0"/>
    <x v="0"/>
  </r>
  <r>
    <x v="17"/>
    <x v="0"/>
    <x v="88"/>
    <s v="M"/>
    <d v="2008-09-01T00:00:00"/>
    <m/>
    <b v="0"/>
    <x v="0"/>
  </r>
  <r>
    <x v="14"/>
    <x v="0"/>
    <x v="88"/>
    <s v="M"/>
    <d v="2009-11-01T00:00:00"/>
    <m/>
    <b v="0"/>
    <x v="0"/>
  </r>
  <r>
    <x v="18"/>
    <x v="0"/>
    <x v="88"/>
    <s v="M"/>
    <d v="2012-06-01T00:00:00"/>
    <m/>
    <b v="0"/>
    <x v="0"/>
  </r>
  <r>
    <x v="1"/>
    <x v="0"/>
    <x v="88"/>
    <s v="M"/>
    <d v="2011-03-01T00:00:00"/>
    <m/>
    <b v="0"/>
    <x v="0"/>
  </r>
  <r>
    <x v="15"/>
    <x v="0"/>
    <x v="88"/>
    <s v="M"/>
    <d v="2009-03-01T00:00:00"/>
    <m/>
    <b v="0"/>
    <x v="0"/>
  </r>
  <r>
    <x v="16"/>
    <x v="0"/>
    <x v="88"/>
    <s v="M"/>
    <d v="2008-06-01T00:00:00"/>
    <m/>
    <b v="0"/>
    <x v="0"/>
  </r>
  <r>
    <x v="19"/>
    <x v="0"/>
    <x v="88"/>
    <s v="M"/>
    <d v="2007-01-31T00:00:00"/>
    <m/>
    <b v="0"/>
    <x v="0"/>
  </r>
  <r>
    <x v="2"/>
    <x v="0"/>
    <x v="88"/>
    <s v="M"/>
    <d v="2012-06-01T00:00:00"/>
    <m/>
    <b v="0"/>
    <x v="0"/>
  </r>
  <r>
    <x v="3"/>
    <x v="0"/>
    <x v="88"/>
    <s v="M"/>
    <d v="2009-07-01T00:00:00"/>
    <m/>
    <b v="0"/>
    <x v="0"/>
  </r>
  <r>
    <x v="4"/>
    <x v="0"/>
    <x v="88"/>
    <s v="M"/>
    <d v="2009-07-01T00:00:00"/>
    <m/>
    <b v="0"/>
    <x v="0"/>
  </r>
  <r>
    <x v="5"/>
    <x v="0"/>
    <x v="88"/>
    <s v="M"/>
    <d v="2009-08-01T00:00:00"/>
    <m/>
    <b v="0"/>
    <x v="0"/>
  </r>
  <r>
    <x v="0"/>
    <x v="0"/>
    <x v="88"/>
    <s v="M"/>
    <d v="2009-10-01T00:00:00"/>
    <m/>
    <b v="0"/>
    <x v="0"/>
  </r>
  <r>
    <x v="20"/>
    <x v="0"/>
    <x v="88"/>
    <s v="M"/>
    <d v="2009-11-01T00:00:00"/>
    <m/>
    <b v="0"/>
    <x v="0"/>
  </r>
  <r>
    <x v="6"/>
    <x v="0"/>
    <x v="88"/>
    <s v="M"/>
    <d v="2009-12-01T00:00:00"/>
    <m/>
    <b v="0"/>
    <x v="0"/>
  </r>
  <r>
    <x v="7"/>
    <x v="0"/>
    <x v="88"/>
    <s v="M"/>
    <d v="2010-01-01T00:00:00"/>
    <m/>
    <b v="0"/>
    <x v="0"/>
  </r>
  <r>
    <x v="21"/>
    <x v="0"/>
    <x v="88"/>
    <s v="M"/>
    <d v="2009-08-01T00:00:00"/>
    <m/>
    <b v="0"/>
    <x v="0"/>
  </r>
  <r>
    <x v="8"/>
    <x v="0"/>
    <x v="88"/>
    <s v="M"/>
    <d v="2011-11-01T00:00:00"/>
    <m/>
    <b v="0"/>
    <x v="0"/>
  </r>
  <r>
    <x v="9"/>
    <x v="0"/>
    <x v="88"/>
    <s v="M"/>
    <d v="2012-11-01T00:00:00"/>
    <m/>
    <b v="0"/>
    <x v="0"/>
  </r>
  <r>
    <x v="10"/>
    <x v="0"/>
    <x v="88"/>
    <s v="M"/>
    <d v="2009-07-01T00:00:00"/>
    <m/>
    <b v="0"/>
    <x v="0"/>
  </r>
  <r>
    <x v="22"/>
    <x v="0"/>
    <x v="88"/>
    <s v="M"/>
    <d v="2010-08-01T00:00:00"/>
    <m/>
    <b v="0"/>
    <x v="0"/>
  </r>
  <r>
    <x v="23"/>
    <x v="0"/>
    <x v="88"/>
    <s v="M"/>
    <d v="2010-09-01T00:00:00"/>
    <m/>
    <b v="0"/>
    <x v="0"/>
  </r>
  <r>
    <x v="11"/>
    <x v="0"/>
    <x v="88"/>
    <s v="M"/>
    <d v="2010-08-01T00:00:00"/>
    <m/>
    <b v="0"/>
    <x v="0"/>
  </r>
  <r>
    <x v="12"/>
    <x v="0"/>
    <x v="88"/>
    <s v="M"/>
    <d v="2010-09-01T00:00:00"/>
    <m/>
    <b v="0"/>
    <x v="0"/>
  </r>
  <r>
    <x v="13"/>
    <x v="0"/>
    <x v="88"/>
    <s v="M"/>
    <d v="2010-12-01T00:00:00"/>
    <m/>
    <b v="0"/>
    <x v="0"/>
  </r>
  <r>
    <x v="17"/>
    <x v="0"/>
    <x v="89"/>
    <s v="M"/>
    <d v="2008-09-01T00:00:00"/>
    <m/>
    <b v="0"/>
    <x v="0"/>
  </r>
  <r>
    <x v="14"/>
    <x v="0"/>
    <x v="89"/>
    <s v="M"/>
    <d v="2009-11-01T00:00:00"/>
    <m/>
    <b v="0"/>
    <x v="0"/>
  </r>
  <r>
    <x v="18"/>
    <x v="0"/>
    <x v="89"/>
    <s v="M"/>
    <d v="2012-06-01T00:00:00"/>
    <m/>
    <b v="0"/>
    <x v="0"/>
  </r>
  <r>
    <x v="1"/>
    <x v="0"/>
    <x v="89"/>
    <s v="M"/>
    <d v="2011-03-01T00:00:00"/>
    <m/>
    <b v="0"/>
    <x v="0"/>
  </r>
  <r>
    <x v="15"/>
    <x v="0"/>
    <x v="89"/>
    <s v="M"/>
    <d v="2009-03-01T00:00:00"/>
    <m/>
    <b v="0"/>
    <x v="0"/>
  </r>
  <r>
    <x v="16"/>
    <x v="0"/>
    <x v="89"/>
    <s v="M"/>
    <d v="2008-06-01T00:00:00"/>
    <m/>
    <b v="0"/>
    <x v="0"/>
  </r>
  <r>
    <x v="19"/>
    <x v="0"/>
    <x v="89"/>
    <s v="M"/>
    <d v="2008-02-29T00:00:00"/>
    <m/>
    <b v="0"/>
    <x v="0"/>
  </r>
  <r>
    <x v="2"/>
    <x v="0"/>
    <x v="89"/>
    <s v="M"/>
    <d v="2012-06-01T00:00:00"/>
    <m/>
    <b v="0"/>
    <x v="0"/>
  </r>
  <r>
    <x v="3"/>
    <x v="0"/>
    <x v="89"/>
    <s v="M"/>
    <d v="2009-03-01T00:00:00"/>
    <m/>
    <b v="0"/>
    <x v="0"/>
  </r>
  <r>
    <x v="4"/>
    <x v="0"/>
    <x v="89"/>
    <s v="M"/>
    <d v="2009-07-01T00:00:00"/>
    <m/>
    <b v="0"/>
    <x v="0"/>
  </r>
  <r>
    <x v="5"/>
    <x v="0"/>
    <x v="89"/>
    <s v="M"/>
    <d v="2009-08-01T00:00:00"/>
    <m/>
    <b v="0"/>
    <x v="0"/>
  </r>
  <r>
    <x v="0"/>
    <x v="0"/>
    <x v="89"/>
    <s v="M"/>
    <d v="2009-10-01T00:00:00"/>
    <m/>
    <b v="0"/>
    <x v="0"/>
  </r>
  <r>
    <x v="20"/>
    <x v="0"/>
    <x v="89"/>
    <s v="M"/>
    <d v="2009-11-01T00:00:00"/>
    <m/>
    <b v="0"/>
    <x v="0"/>
  </r>
  <r>
    <x v="6"/>
    <x v="0"/>
    <x v="89"/>
    <s v="M"/>
    <d v="2009-12-01T00:00:00"/>
    <m/>
    <b v="0"/>
    <x v="0"/>
  </r>
  <r>
    <x v="7"/>
    <x v="0"/>
    <x v="89"/>
    <s v="M"/>
    <d v="2010-01-01T00:00:00"/>
    <m/>
    <b v="0"/>
    <x v="0"/>
  </r>
  <r>
    <x v="21"/>
    <x v="0"/>
    <x v="89"/>
    <s v="M"/>
    <d v="2009-03-01T00:00:00"/>
    <m/>
    <b v="0"/>
    <x v="0"/>
  </r>
  <r>
    <x v="8"/>
    <x v="0"/>
    <x v="89"/>
    <s v="M"/>
    <d v="2011-11-01T00:00:00"/>
    <m/>
    <b v="0"/>
    <x v="0"/>
  </r>
  <r>
    <x v="9"/>
    <x v="0"/>
    <x v="89"/>
    <s v="M"/>
    <d v="2012-11-01T00:00:00"/>
    <m/>
    <b v="0"/>
    <x v="0"/>
  </r>
  <r>
    <x v="10"/>
    <x v="0"/>
    <x v="89"/>
    <s v="M"/>
    <d v="2012-10-01T00:00:00"/>
    <m/>
    <b v="0"/>
    <x v="0"/>
  </r>
  <r>
    <x v="22"/>
    <x v="0"/>
    <x v="89"/>
    <s v="M"/>
    <d v="2010-08-01T00:00:00"/>
    <m/>
    <b v="0"/>
    <x v="0"/>
  </r>
  <r>
    <x v="23"/>
    <x v="0"/>
    <x v="89"/>
    <s v="M"/>
    <d v="2010-09-01T00:00:00"/>
    <m/>
    <b v="0"/>
    <x v="0"/>
  </r>
  <r>
    <x v="11"/>
    <x v="0"/>
    <x v="89"/>
    <s v="M"/>
    <d v="2010-08-01T00:00:00"/>
    <m/>
    <b v="0"/>
    <x v="0"/>
  </r>
  <r>
    <x v="12"/>
    <x v="0"/>
    <x v="89"/>
    <s v="M"/>
    <d v="2010-09-01T00:00:00"/>
    <m/>
    <b v="0"/>
    <x v="0"/>
  </r>
  <r>
    <x v="13"/>
    <x v="0"/>
    <x v="89"/>
    <s v="M"/>
    <d v="2010-12-01T00:00:00"/>
    <m/>
    <b v="0"/>
    <x v="0"/>
  </r>
  <r>
    <x v="17"/>
    <x v="0"/>
    <x v="90"/>
    <s v="M"/>
    <d v="2008-09-01T00:00:00"/>
    <m/>
    <b v="0"/>
    <x v="0"/>
  </r>
  <r>
    <x v="14"/>
    <x v="0"/>
    <x v="90"/>
    <s v="M"/>
    <d v="2010-06-01T00:00:00"/>
    <m/>
    <b v="0"/>
    <x v="0"/>
  </r>
  <r>
    <x v="18"/>
    <x v="0"/>
    <x v="90"/>
    <s v="M"/>
    <d v="2008-01-01T00:00:00"/>
    <d v="1899-12-30T00:00:00"/>
    <b v="0"/>
    <x v="0"/>
  </r>
  <r>
    <x v="1"/>
    <x v="0"/>
    <x v="90"/>
    <s v="M"/>
    <d v="2011-03-01T00:00:00"/>
    <m/>
    <b v="0"/>
    <x v="0"/>
  </r>
  <r>
    <x v="15"/>
    <x v="0"/>
    <x v="90"/>
    <s v="M"/>
    <d v="2009-04-01T00:00:00"/>
    <m/>
    <b v="0"/>
    <x v="0"/>
  </r>
  <r>
    <x v="16"/>
    <x v="0"/>
    <x v="90"/>
    <s v="M"/>
    <d v="2008-06-01T00:00:00"/>
    <m/>
    <b v="0"/>
    <x v="0"/>
  </r>
  <r>
    <x v="19"/>
    <x v="0"/>
    <x v="90"/>
    <s v="M"/>
    <d v="2008-01-31T00:00:00"/>
    <m/>
    <b v="0"/>
    <x v="0"/>
  </r>
  <r>
    <x v="2"/>
    <x v="0"/>
    <x v="90"/>
    <s v="M"/>
    <d v="2008-06-01T00:00:00"/>
    <m/>
    <b v="0"/>
    <x v="0"/>
  </r>
  <r>
    <x v="3"/>
    <x v="0"/>
    <x v="90"/>
    <s v="M"/>
    <d v="2009-07-01T00:00:00"/>
    <m/>
    <b v="0"/>
    <x v="0"/>
  </r>
  <r>
    <x v="4"/>
    <x v="0"/>
    <x v="90"/>
    <s v="M"/>
    <d v="2009-07-01T00:00:00"/>
    <m/>
    <b v="0"/>
    <x v="0"/>
  </r>
  <r>
    <x v="5"/>
    <x v="0"/>
    <x v="90"/>
    <s v="M"/>
    <d v="2009-08-01T00:00:00"/>
    <m/>
    <b v="0"/>
    <x v="0"/>
  </r>
  <r>
    <x v="0"/>
    <x v="0"/>
    <x v="90"/>
    <s v="M"/>
    <d v="2009-10-01T00:00:00"/>
    <m/>
    <b v="0"/>
    <x v="0"/>
  </r>
  <r>
    <x v="20"/>
    <x v="0"/>
    <x v="90"/>
    <s v="M"/>
    <d v="2009-11-01T00:00:00"/>
    <m/>
    <b v="0"/>
    <x v="0"/>
  </r>
  <r>
    <x v="6"/>
    <x v="0"/>
    <x v="90"/>
    <s v="M"/>
    <d v="2009-12-01T00:00:00"/>
    <m/>
    <b v="0"/>
    <x v="0"/>
  </r>
  <r>
    <x v="7"/>
    <x v="0"/>
    <x v="90"/>
    <s v="M"/>
    <d v="2010-01-01T00:00:00"/>
    <m/>
    <b v="0"/>
    <x v="0"/>
  </r>
  <r>
    <x v="21"/>
    <x v="0"/>
    <x v="90"/>
    <s v="M"/>
    <d v="2009-03-01T00:00:00"/>
    <m/>
    <b v="0"/>
    <x v="0"/>
  </r>
  <r>
    <x v="8"/>
    <x v="0"/>
    <x v="90"/>
    <s v="M"/>
    <d v="2008-09-01T00:00:00"/>
    <m/>
    <b v="0"/>
    <x v="0"/>
  </r>
  <r>
    <x v="9"/>
    <x v="0"/>
    <x v="90"/>
    <s v="M"/>
    <d v="2009-03-01T00:00:00"/>
    <m/>
    <b v="0"/>
    <x v="0"/>
  </r>
  <r>
    <x v="10"/>
    <x v="0"/>
    <x v="90"/>
    <s v="M"/>
    <d v="2008-09-01T00:00:00"/>
    <m/>
    <b v="0"/>
    <x v="0"/>
  </r>
  <r>
    <x v="22"/>
    <x v="0"/>
    <x v="90"/>
    <s v="M"/>
    <d v="2010-08-31T00:00:00"/>
    <m/>
    <b v="0"/>
    <x v="0"/>
  </r>
  <r>
    <x v="23"/>
    <x v="0"/>
    <x v="90"/>
    <s v="M"/>
    <d v="2010-09-01T00:00:00"/>
    <m/>
    <b v="0"/>
    <x v="0"/>
  </r>
  <r>
    <x v="11"/>
    <x v="0"/>
    <x v="90"/>
    <s v="M"/>
    <d v="2010-08-01T00:00:00"/>
    <m/>
    <b v="0"/>
    <x v="0"/>
  </r>
  <r>
    <x v="12"/>
    <x v="0"/>
    <x v="90"/>
    <s v="M"/>
    <d v="2010-09-01T00:00:00"/>
    <m/>
    <b v="0"/>
    <x v="0"/>
  </r>
  <r>
    <x v="13"/>
    <x v="0"/>
    <x v="90"/>
    <s v="M"/>
    <d v="2010-12-01T00:00:00"/>
    <m/>
    <b v="0"/>
    <x v="0"/>
  </r>
  <r>
    <x v="17"/>
    <x v="0"/>
    <x v="91"/>
    <s v="M"/>
    <d v="2008-09-01T00:00:00"/>
    <m/>
    <b v="0"/>
    <x v="0"/>
  </r>
  <r>
    <x v="14"/>
    <x v="0"/>
    <x v="91"/>
    <s v="M"/>
    <d v="2010-06-01T00:00:00"/>
    <m/>
    <b v="0"/>
    <x v="0"/>
  </r>
  <r>
    <x v="18"/>
    <x v="0"/>
    <x v="91"/>
    <s v="M"/>
    <d v="2008-10-01T00:00:00"/>
    <m/>
    <b v="0"/>
    <x v="0"/>
  </r>
  <r>
    <x v="1"/>
    <x v="0"/>
    <x v="91"/>
    <s v="M"/>
    <d v="2011-03-01T00:00:00"/>
    <m/>
    <b v="0"/>
    <x v="0"/>
  </r>
  <r>
    <x v="15"/>
    <x v="0"/>
    <x v="91"/>
    <s v="M"/>
    <d v="2008-09-01T00:00:00"/>
    <m/>
    <b v="0"/>
    <x v="0"/>
  </r>
  <r>
    <x v="16"/>
    <x v="0"/>
    <x v="91"/>
    <s v="M"/>
    <d v="2007-07-01T00:00:00"/>
    <m/>
    <b v="0"/>
    <x v="0"/>
  </r>
  <r>
    <x v="19"/>
    <x v="0"/>
    <x v="91"/>
    <s v="M"/>
    <d v="2008-02-29T00:00:00"/>
    <m/>
    <b v="0"/>
    <x v="0"/>
  </r>
  <r>
    <x v="2"/>
    <x v="0"/>
    <x v="91"/>
    <s v="M"/>
    <d v="2008-06-01T00:00:00"/>
    <m/>
    <b v="0"/>
    <x v="0"/>
  </r>
  <r>
    <x v="3"/>
    <x v="0"/>
    <x v="91"/>
    <s v="M"/>
    <d v="2009-07-01T00:00:00"/>
    <m/>
    <b v="0"/>
    <x v="0"/>
  </r>
  <r>
    <x v="4"/>
    <x v="0"/>
    <x v="91"/>
    <s v="M"/>
    <d v="2009-07-01T00:00:00"/>
    <m/>
    <b v="0"/>
    <x v="0"/>
  </r>
  <r>
    <x v="5"/>
    <x v="0"/>
    <x v="91"/>
    <s v="M"/>
    <d v="2009-08-01T00:00:00"/>
    <m/>
    <b v="0"/>
    <x v="0"/>
  </r>
  <r>
    <x v="0"/>
    <x v="0"/>
    <x v="91"/>
    <s v="M"/>
    <d v="2009-10-01T00:00:00"/>
    <m/>
    <b v="0"/>
    <x v="0"/>
  </r>
  <r>
    <x v="20"/>
    <x v="0"/>
    <x v="91"/>
    <s v="M"/>
    <d v="2009-11-01T00:00:00"/>
    <m/>
    <b v="0"/>
    <x v="0"/>
  </r>
  <r>
    <x v="6"/>
    <x v="0"/>
    <x v="91"/>
    <s v="M"/>
    <d v="2009-12-01T00:00:00"/>
    <m/>
    <b v="0"/>
    <x v="0"/>
  </r>
  <r>
    <x v="7"/>
    <x v="0"/>
    <x v="91"/>
    <s v="M"/>
    <d v="2010-01-01T00:00:00"/>
    <m/>
    <b v="0"/>
    <x v="0"/>
  </r>
  <r>
    <x v="21"/>
    <x v="0"/>
    <x v="91"/>
    <s v="M"/>
    <d v="2008-06-01T00:00:00"/>
    <m/>
    <b v="0"/>
    <x v="0"/>
  </r>
  <r>
    <x v="8"/>
    <x v="0"/>
    <x v="91"/>
    <s v="M"/>
    <d v="2008-09-01T00:00:00"/>
    <m/>
    <b v="0"/>
    <x v="0"/>
  </r>
  <r>
    <x v="9"/>
    <x v="0"/>
    <x v="91"/>
    <s v="M"/>
    <d v="2009-03-01T00:00:00"/>
    <m/>
    <b v="0"/>
    <x v="0"/>
  </r>
  <r>
    <x v="10"/>
    <x v="0"/>
    <x v="91"/>
    <s v="M"/>
    <d v="2008-09-01T00:00:00"/>
    <m/>
    <b v="0"/>
    <x v="0"/>
  </r>
  <r>
    <x v="22"/>
    <x v="0"/>
    <x v="91"/>
    <s v="M"/>
    <d v="2010-08-31T00:00:00"/>
    <m/>
    <b v="0"/>
    <x v="0"/>
  </r>
  <r>
    <x v="23"/>
    <x v="0"/>
    <x v="91"/>
    <s v="M"/>
    <d v="2010-09-01T00:00:00"/>
    <m/>
    <b v="0"/>
    <x v="0"/>
  </r>
  <r>
    <x v="11"/>
    <x v="0"/>
    <x v="91"/>
    <s v="M"/>
    <d v="2010-08-01T00:00:00"/>
    <m/>
    <b v="0"/>
    <x v="0"/>
  </r>
  <r>
    <x v="12"/>
    <x v="0"/>
    <x v="91"/>
    <s v="M"/>
    <d v="2010-09-01T00:00:00"/>
    <m/>
    <b v="0"/>
    <x v="0"/>
  </r>
  <r>
    <x v="13"/>
    <x v="0"/>
    <x v="91"/>
    <s v="M"/>
    <d v="2010-12-01T00:00:00"/>
    <m/>
    <b v="0"/>
    <x v="0"/>
  </r>
  <r>
    <x v="17"/>
    <x v="0"/>
    <x v="92"/>
    <s v="M"/>
    <d v="2014-07-14T00:00:00"/>
    <d v="1899-12-30T00:00:00"/>
    <b v="0"/>
    <x v="0"/>
  </r>
  <r>
    <x v="14"/>
    <x v="0"/>
    <x v="92"/>
    <s v="M"/>
    <d v="2012-05-01T00:00:00"/>
    <m/>
    <b v="0"/>
    <x v="0"/>
  </r>
  <r>
    <x v="18"/>
    <x v="0"/>
    <x v="92"/>
    <s v="M"/>
    <d v="2012-06-01T00:00:00"/>
    <m/>
    <b v="0"/>
    <x v="0"/>
  </r>
  <r>
    <x v="1"/>
    <x v="0"/>
    <x v="92"/>
    <s v="M"/>
    <d v="2013-04-01T00:00:00"/>
    <m/>
    <b v="0"/>
    <x v="0"/>
  </r>
  <r>
    <x v="15"/>
    <x v="0"/>
    <x v="92"/>
    <s v="M"/>
    <d v="2010-02-01T00:00:00"/>
    <m/>
    <b v="0"/>
    <x v="0"/>
  </r>
  <r>
    <x v="16"/>
    <x v="0"/>
    <x v="92"/>
    <s v="M"/>
    <d v="2007-05-01T00:00:00"/>
    <d v="1899-12-30T00:00:00"/>
    <b v="0"/>
    <x v="0"/>
  </r>
  <r>
    <x v="19"/>
    <x v="0"/>
    <x v="92"/>
    <s v="M"/>
    <d v="2012-06-21T00:00:00"/>
    <m/>
    <b v="0"/>
    <x v="0"/>
  </r>
  <r>
    <x v="2"/>
    <x v="0"/>
    <x v="92"/>
    <s v="M"/>
    <d v="2014-08-13T10:00:00"/>
    <d v="1899-12-30T00:00:00"/>
    <b v="0"/>
    <x v="0"/>
  </r>
  <r>
    <x v="3"/>
    <x v="0"/>
    <x v="92"/>
    <s v="M"/>
    <d v="2009-07-01T00:00:00"/>
    <m/>
    <b v="0"/>
    <x v="0"/>
  </r>
  <r>
    <x v="4"/>
    <x v="0"/>
    <x v="92"/>
    <s v="M"/>
    <d v="2009-07-01T00:00:00"/>
    <m/>
    <b v="0"/>
    <x v="0"/>
  </r>
  <r>
    <x v="5"/>
    <x v="0"/>
    <x v="92"/>
    <s v="M"/>
    <d v="2009-08-01T00:00:00"/>
    <m/>
    <b v="0"/>
    <x v="0"/>
  </r>
  <r>
    <x v="0"/>
    <x v="0"/>
    <x v="92"/>
    <s v="M"/>
    <d v="2009-10-01T00:00:00"/>
    <m/>
    <b v="0"/>
    <x v="0"/>
  </r>
  <r>
    <x v="20"/>
    <x v="0"/>
    <x v="92"/>
    <s v="M"/>
    <d v="2014-08-12T11:02:00"/>
    <d v="1899-12-30T00:00:00"/>
    <b v="0"/>
    <x v="0"/>
  </r>
  <r>
    <x v="6"/>
    <x v="0"/>
    <x v="92"/>
    <s v="M"/>
    <d v="2009-12-01T00:00:00"/>
    <m/>
    <b v="0"/>
    <x v="0"/>
  </r>
  <r>
    <x v="7"/>
    <x v="0"/>
    <x v="92"/>
    <s v="M"/>
    <d v="2013-04-01T00:00:00"/>
    <m/>
    <b v="0"/>
    <x v="0"/>
  </r>
  <r>
    <x v="21"/>
    <x v="0"/>
    <x v="92"/>
    <s v="M"/>
    <d v="2010-02-01T00:00:00"/>
    <m/>
    <b v="0"/>
    <x v="0"/>
  </r>
  <r>
    <x v="8"/>
    <x v="0"/>
    <x v="92"/>
    <s v="M"/>
    <d v="2009-10-01T00:00:00"/>
    <m/>
    <b v="0"/>
    <x v="0"/>
  </r>
  <r>
    <x v="9"/>
    <x v="0"/>
    <x v="92"/>
    <s v="M"/>
    <d v="2014-08-13T09:31:00"/>
    <d v="1899-12-30T00:00:00"/>
    <b v="0"/>
    <x v="0"/>
  </r>
  <r>
    <x v="10"/>
    <x v="0"/>
    <x v="92"/>
    <s v="M"/>
    <d v="2010-03-01T00:00:00"/>
    <m/>
    <b v="0"/>
    <x v="0"/>
  </r>
  <r>
    <x v="22"/>
    <x v="0"/>
    <x v="92"/>
    <s v="M"/>
    <d v="2010-08-31T00:00:00"/>
    <m/>
    <b v="0"/>
    <x v="0"/>
  </r>
  <r>
    <x v="23"/>
    <x v="0"/>
    <x v="92"/>
    <s v="M"/>
    <d v="2010-09-01T00:00:00"/>
    <m/>
    <b v="0"/>
    <x v="0"/>
  </r>
  <r>
    <x v="11"/>
    <x v="0"/>
    <x v="92"/>
    <s v="M"/>
    <d v="2010-08-01T00:00:00"/>
    <m/>
    <b v="0"/>
    <x v="0"/>
  </r>
  <r>
    <x v="12"/>
    <x v="0"/>
    <x v="92"/>
    <s v="M"/>
    <d v="2010-09-01T00:00:00"/>
    <m/>
    <b v="0"/>
    <x v="0"/>
  </r>
  <r>
    <x v="13"/>
    <x v="0"/>
    <x v="92"/>
    <s v="M"/>
    <d v="2010-12-01T00:00:00"/>
    <m/>
    <b v="0"/>
    <x v="0"/>
  </r>
  <r>
    <x v="17"/>
    <x v="0"/>
    <x v="93"/>
    <s v="M"/>
    <d v="2010-08-01T00:00:00"/>
    <m/>
    <b v="0"/>
    <x v="0"/>
  </r>
  <r>
    <x v="14"/>
    <x v="0"/>
    <x v="93"/>
    <s v="M"/>
    <d v="2012-05-01T00:00:00"/>
    <m/>
    <b v="0"/>
    <x v="0"/>
  </r>
  <r>
    <x v="18"/>
    <x v="0"/>
    <x v="93"/>
    <s v="M"/>
    <d v="2013-05-01T00:00:00"/>
    <m/>
    <b v="0"/>
    <x v="0"/>
  </r>
  <r>
    <x v="1"/>
    <x v="0"/>
    <x v="93"/>
    <s v="M"/>
    <d v="2011-01-01T00:00:00"/>
    <m/>
    <b v="0"/>
    <x v="0"/>
  </r>
  <r>
    <x v="15"/>
    <x v="0"/>
    <x v="93"/>
    <s v="M"/>
    <d v="2012-06-01T00:00:00"/>
    <m/>
    <b v="0"/>
    <x v="0"/>
  </r>
  <r>
    <x v="16"/>
    <x v="0"/>
    <x v="93"/>
    <s v="M"/>
    <d v="2011-12-08T00:00:00"/>
    <m/>
    <b v="0"/>
    <x v="0"/>
  </r>
  <r>
    <x v="19"/>
    <x v="0"/>
    <x v="93"/>
    <s v="M"/>
    <d v="2010-12-10T00:00:00"/>
    <m/>
    <b v="0"/>
    <x v="0"/>
  </r>
  <r>
    <x v="2"/>
    <x v="0"/>
    <x v="93"/>
    <s v="M"/>
    <d v="2013-02-01T00:00:00"/>
    <m/>
    <b v="0"/>
    <x v="0"/>
  </r>
  <r>
    <x v="3"/>
    <x v="0"/>
    <x v="93"/>
    <s v="M"/>
    <d v="2009-07-01T00:00:00"/>
    <m/>
    <b v="0"/>
    <x v="0"/>
  </r>
  <r>
    <x v="4"/>
    <x v="0"/>
    <x v="93"/>
    <s v="M"/>
    <d v="2013-05-01T00:00:00"/>
    <m/>
    <b v="0"/>
    <x v="0"/>
  </r>
  <r>
    <x v="5"/>
    <x v="0"/>
    <x v="93"/>
    <s v="M"/>
    <d v="2009-08-01T00:00:00"/>
    <m/>
    <b v="0"/>
    <x v="0"/>
  </r>
  <r>
    <x v="0"/>
    <x v="0"/>
    <x v="93"/>
    <s v="M"/>
    <d v="2009-10-01T00:00:00"/>
    <m/>
    <b v="0"/>
    <x v="0"/>
  </r>
  <r>
    <x v="20"/>
    <x v="0"/>
    <x v="93"/>
    <s v="M"/>
    <d v="2010-05-01T00:00:00"/>
    <m/>
    <b v="0"/>
    <x v="0"/>
  </r>
  <r>
    <x v="6"/>
    <x v="0"/>
    <x v="93"/>
    <s v="M"/>
    <d v="2010-07-01T00:00:00"/>
    <m/>
    <b v="0"/>
    <x v="0"/>
  </r>
  <r>
    <x v="7"/>
    <x v="0"/>
    <x v="93"/>
    <s v="M"/>
    <d v="2014-04-01T00:00:00"/>
    <m/>
    <b v="0"/>
    <x v="0"/>
  </r>
  <r>
    <x v="21"/>
    <x v="0"/>
    <x v="93"/>
    <s v="M"/>
    <d v="2014-02-01T00:00:00"/>
    <m/>
    <b v="0"/>
    <x v="0"/>
  </r>
  <r>
    <x v="8"/>
    <x v="0"/>
    <x v="93"/>
    <s v="M"/>
    <d v="2013-05-01T00:00:00"/>
    <m/>
    <b v="0"/>
    <x v="0"/>
  </r>
  <r>
    <x v="9"/>
    <x v="0"/>
    <x v="93"/>
    <s v="M"/>
    <d v="2013-05-01T00:00:00"/>
    <m/>
    <b v="0"/>
    <x v="0"/>
  </r>
  <r>
    <x v="10"/>
    <x v="0"/>
    <x v="93"/>
    <s v="M"/>
    <d v="2010-03-01T00:00:00"/>
    <m/>
    <b v="0"/>
    <x v="0"/>
  </r>
  <r>
    <x v="22"/>
    <x v="0"/>
    <x v="93"/>
    <s v="M"/>
    <d v="2010-08-31T00:00:00"/>
    <m/>
    <b v="0"/>
    <x v="0"/>
  </r>
  <r>
    <x v="23"/>
    <x v="0"/>
    <x v="93"/>
    <s v="M"/>
    <d v="2010-09-01T00:00:00"/>
    <m/>
    <b v="0"/>
    <x v="0"/>
  </r>
  <r>
    <x v="11"/>
    <x v="0"/>
    <x v="93"/>
    <s v="M"/>
    <d v="2010-08-01T00:00:00"/>
    <m/>
    <b v="0"/>
    <x v="0"/>
  </r>
  <r>
    <x v="12"/>
    <x v="0"/>
    <x v="93"/>
    <s v="M"/>
    <d v="2010-09-01T00:00:00"/>
    <m/>
    <b v="0"/>
    <x v="0"/>
  </r>
  <r>
    <x v="13"/>
    <x v="0"/>
    <x v="93"/>
    <s v="M"/>
    <d v="2010-12-01T00:00:00"/>
    <m/>
    <b v="0"/>
    <x v="0"/>
  </r>
  <r>
    <x v="14"/>
    <x v="0"/>
    <x v="94"/>
    <s v="M"/>
    <d v="2012-08-01T00:00:00"/>
    <m/>
    <b v="0"/>
    <x v="0"/>
  </r>
  <r>
    <x v="18"/>
    <x v="0"/>
    <x v="94"/>
    <s v="M"/>
    <d v="2013-02-01T00:00:00"/>
    <m/>
    <b v="0"/>
    <x v="0"/>
  </r>
  <r>
    <x v="1"/>
    <x v="0"/>
    <x v="94"/>
    <s v="M"/>
    <d v="2013-04-01T00:00:00"/>
    <m/>
    <b v="0"/>
    <x v="0"/>
  </r>
  <r>
    <x v="15"/>
    <x v="0"/>
    <x v="94"/>
    <s v="M"/>
    <d v="2012-07-01T00:00:00"/>
    <m/>
    <b v="0"/>
    <x v="0"/>
  </r>
  <r>
    <x v="16"/>
    <x v="0"/>
    <x v="94"/>
    <s v="M"/>
    <d v="2012-08-01T00:00:00"/>
    <m/>
    <b v="0"/>
    <x v="0"/>
  </r>
  <r>
    <x v="19"/>
    <x v="0"/>
    <x v="94"/>
    <s v="M"/>
    <d v="2010-10-01T00:00:00"/>
    <m/>
    <b v="0"/>
    <x v="0"/>
  </r>
  <r>
    <x v="2"/>
    <x v="0"/>
    <x v="94"/>
    <s v="M"/>
    <d v="2012-01-01T00:00:00"/>
    <m/>
    <b v="0"/>
    <x v="0"/>
  </r>
  <r>
    <x v="3"/>
    <x v="0"/>
    <x v="94"/>
    <s v="M"/>
    <d v="2013-02-01T00:00:00"/>
    <m/>
    <b v="0"/>
    <x v="0"/>
  </r>
  <r>
    <x v="4"/>
    <x v="0"/>
    <x v="94"/>
    <s v="M"/>
    <d v="2009-07-01T00:00:00"/>
    <m/>
    <b v="0"/>
    <x v="0"/>
  </r>
  <r>
    <x v="5"/>
    <x v="0"/>
    <x v="94"/>
    <s v="M"/>
    <d v="2009-08-01T00:00:00"/>
    <m/>
    <b v="0"/>
    <x v="0"/>
  </r>
  <r>
    <x v="0"/>
    <x v="0"/>
    <x v="94"/>
    <s v="M"/>
    <d v="2009-10-01T00:00:00"/>
    <m/>
    <b v="0"/>
    <x v="0"/>
  </r>
  <r>
    <x v="20"/>
    <x v="0"/>
    <x v="94"/>
    <s v="M"/>
    <d v="2010-12-01T00:00:00"/>
    <m/>
    <b v="0"/>
    <x v="0"/>
  </r>
  <r>
    <x v="6"/>
    <x v="0"/>
    <x v="94"/>
    <s v="M"/>
    <d v="2009-07-01T00:00:00"/>
    <m/>
    <b v="0"/>
    <x v="0"/>
  </r>
  <r>
    <x v="7"/>
    <x v="0"/>
    <x v="94"/>
    <s v="M"/>
    <d v="2010-10-31T00:00:00"/>
    <m/>
    <b v="0"/>
    <x v="0"/>
  </r>
  <r>
    <x v="21"/>
    <x v="0"/>
    <x v="94"/>
    <s v="M"/>
    <d v="2013-01-01T00:00:00"/>
    <m/>
    <b v="0"/>
    <x v="0"/>
  </r>
  <r>
    <x v="8"/>
    <x v="0"/>
    <x v="94"/>
    <s v="M"/>
    <d v="2013-03-01T00:00:00"/>
    <m/>
    <b v="0"/>
    <x v="0"/>
  </r>
  <r>
    <x v="9"/>
    <x v="0"/>
    <x v="94"/>
    <s v="M"/>
    <d v="2012-01-01T00:00:00"/>
    <m/>
    <b v="0"/>
    <x v="0"/>
  </r>
  <r>
    <x v="10"/>
    <x v="0"/>
    <x v="94"/>
    <s v="M"/>
    <d v="2013-01-01T00:00:00"/>
    <m/>
    <b v="0"/>
    <x v="0"/>
  </r>
  <r>
    <x v="22"/>
    <x v="0"/>
    <x v="94"/>
    <s v="M"/>
    <d v="2010-08-01T00:00:00"/>
    <m/>
    <b v="0"/>
    <x v="0"/>
  </r>
  <r>
    <x v="11"/>
    <x v="0"/>
    <x v="94"/>
    <s v="M"/>
    <d v="2010-08-01T00:00:00"/>
    <m/>
    <b v="0"/>
    <x v="0"/>
  </r>
  <r>
    <x v="12"/>
    <x v="0"/>
    <x v="94"/>
    <s v="M"/>
    <d v="2010-09-01T00:00:00"/>
    <m/>
    <b v="0"/>
    <x v="0"/>
  </r>
  <r>
    <x v="13"/>
    <x v="0"/>
    <x v="94"/>
    <s v="M"/>
    <d v="2010-12-01T00:00:00"/>
    <m/>
    <b v="0"/>
    <x v="0"/>
  </r>
  <r>
    <x v="17"/>
    <x v="0"/>
    <x v="95"/>
    <s v="M"/>
    <d v="2009-08-01T00:00:00"/>
    <d v="1899-12-30T00:00:00"/>
    <b v="0"/>
    <x v="0"/>
  </r>
  <r>
    <x v="14"/>
    <x v="0"/>
    <x v="95"/>
    <s v="M"/>
    <d v="2010-06-01T00:00:00"/>
    <m/>
    <b v="0"/>
    <x v="0"/>
  </r>
  <r>
    <x v="18"/>
    <x v="0"/>
    <x v="95"/>
    <s v="M"/>
    <d v="2013-02-01T00:00:00"/>
    <m/>
    <b v="0"/>
    <x v="0"/>
  </r>
  <r>
    <x v="1"/>
    <x v="0"/>
    <x v="95"/>
    <s v="M"/>
    <d v="2013-03-01T00:00:00"/>
    <m/>
    <b v="0"/>
    <x v="0"/>
  </r>
  <r>
    <x v="15"/>
    <x v="0"/>
    <x v="95"/>
    <s v="M"/>
    <d v="2012-07-01T00:00:00"/>
    <m/>
    <b v="0"/>
    <x v="0"/>
  </r>
  <r>
    <x v="16"/>
    <x v="0"/>
    <x v="95"/>
    <s v="M"/>
    <d v="2012-08-01T00:00:00"/>
    <m/>
    <b v="0"/>
    <x v="0"/>
  </r>
  <r>
    <x v="19"/>
    <x v="0"/>
    <x v="95"/>
    <s v="M"/>
    <d v="2010-10-01T00:00:00"/>
    <m/>
    <b v="0"/>
    <x v="0"/>
  </r>
  <r>
    <x v="2"/>
    <x v="0"/>
    <x v="95"/>
    <s v="M"/>
    <d v="2009-07-01T00:00:00"/>
    <m/>
    <b v="0"/>
    <x v="0"/>
  </r>
  <r>
    <x v="3"/>
    <x v="0"/>
    <x v="95"/>
    <s v="M"/>
    <d v="2013-02-01T00:00:00"/>
    <m/>
    <b v="0"/>
    <x v="0"/>
  </r>
  <r>
    <x v="4"/>
    <x v="0"/>
    <x v="95"/>
    <s v="M"/>
    <d v="2009-07-01T00:00:00"/>
    <m/>
    <b v="0"/>
    <x v="0"/>
  </r>
  <r>
    <x v="5"/>
    <x v="0"/>
    <x v="95"/>
    <s v="M"/>
    <d v="2009-08-01T00:00:00"/>
    <m/>
    <b v="0"/>
    <x v="0"/>
  </r>
  <r>
    <x v="0"/>
    <x v="0"/>
    <x v="95"/>
    <s v="M"/>
    <d v="2009-10-01T00:00:00"/>
    <m/>
    <b v="0"/>
    <x v="0"/>
  </r>
  <r>
    <x v="20"/>
    <x v="0"/>
    <x v="95"/>
    <s v="M"/>
    <d v="2010-10-01T00:00:00"/>
    <m/>
    <b v="0"/>
    <x v="0"/>
  </r>
  <r>
    <x v="6"/>
    <x v="0"/>
    <x v="95"/>
    <s v="M"/>
    <d v="2011-08-01T00:00:00"/>
    <m/>
    <b v="0"/>
    <x v="0"/>
  </r>
  <r>
    <x v="7"/>
    <x v="0"/>
    <x v="95"/>
    <s v="M"/>
    <d v="2010-10-31T00:00:00"/>
    <m/>
    <b v="0"/>
    <x v="0"/>
  </r>
  <r>
    <x v="21"/>
    <x v="0"/>
    <x v="95"/>
    <s v="M"/>
    <d v="2013-02-01T00:00:00"/>
    <m/>
    <b v="0"/>
    <x v="0"/>
  </r>
  <r>
    <x v="8"/>
    <x v="0"/>
    <x v="95"/>
    <s v="M"/>
    <d v="2013-03-01T00:00:00"/>
    <m/>
    <b v="0"/>
    <x v="0"/>
  </r>
  <r>
    <x v="9"/>
    <x v="0"/>
    <x v="95"/>
    <s v="M"/>
    <d v="2009-07-01T00:00:00"/>
    <m/>
    <b v="0"/>
    <x v="0"/>
  </r>
  <r>
    <x v="10"/>
    <x v="0"/>
    <x v="95"/>
    <s v="M"/>
    <d v="2013-01-01T00:00:00"/>
    <m/>
    <b v="0"/>
    <x v="0"/>
  </r>
  <r>
    <x v="22"/>
    <x v="0"/>
    <x v="95"/>
    <s v="M"/>
    <d v="2010-08-01T00:00:00"/>
    <m/>
    <b v="0"/>
    <x v="0"/>
  </r>
  <r>
    <x v="23"/>
    <x v="0"/>
    <x v="95"/>
    <s v="M"/>
    <d v="2010-09-01T00:00:00"/>
    <m/>
    <b v="0"/>
    <x v="0"/>
  </r>
  <r>
    <x v="11"/>
    <x v="0"/>
    <x v="95"/>
    <s v="M"/>
    <d v="2010-08-01T00:00:00"/>
    <m/>
    <b v="0"/>
    <x v="0"/>
  </r>
  <r>
    <x v="12"/>
    <x v="0"/>
    <x v="95"/>
    <s v="M"/>
    <d v="2010-09-01T00:00:00"/>
    <m/>
    <b v="0"/>
    <x v="0"/>
  </r>
  <r>
    <x v="13"/>
    <x v="0"/>
    <x v="95"/>
    <s v="M"/>
    <d v="2010-12-01T00:00:00"/>
    <m/>
    <b v="0"/>
    <x v="0"/>
  </r>
  <r>
    <x v="17"/>
    <x v="0"/>
    <x v="96"/>
    <s v="M"/>
    <d v="2009-08-01T00:00:00"/>
    <d v="1899-12-30T00:00:00"/>
    <b v="0"/>
    <x v="0"/>
  </r>
  <r>
    <x v="14"/>
    <x v="0"/>
    <x v="96"/>
    <s v="M"/>
    <d v="2012-08-01T00:00:00"/>
    <m/>
    <b v="0"/>
    <x v="0"/>
  </r>
  <r>
    <x v="18"/>
    <x v="0"/>
    <x v="96"/>
    <s v="M"/>
    <d v="2013-02-01T00:00:00"/>
    <m/>
    <b v="0"/>
    <x v="0"/>
  </r>
  <r>
    <x v="1"/>
    <x v="0"/>
    <x v="96"/>
    <s v="M"/>
    <d v="2013-03-01T00:00:00"/>
    <m/>
    <b v="0"/>
    <x v="0"/>
  </r>
  <r>
    <x v="15"/>
    <x v="0"/>
    <x v="96"/>
    <s v="M"/>
    <d v="2012-07-01T00:00:00"/>
    <m/>
    <b v="0"/>
    <x v="0"/>
  </r>
  <r>
    <x v="16"/>
    <x v="0"/>
    <x v="96"/>
    <s v="M"/>
    <d v="2012-08-01T00:00:00"/>
    <m/>
    <b v="0"/>
    <x v="0"/>
  </r>
  <r>
    <x v="19"/>
    <x v="0"/>
    <x v="96"/>
    <s v="M"/>
    <d v="2010-10-29T00:00:00"/>
    <m/>
    <b v="0"/>
    <x v="0"/>
  </r>
  <r>
    <x v="2"/>
    <x v="0"/>
    <x v="96"/>
    <s v="M"/>
    <d v="2012-06-01T00:00:00"/>
    <m/>
    <b v="0"/>
    <x v="0"/>
  </r>
  <r>
    <x v="3"/>
    <x v="0"/>
    <x v="96"/>
    <s v="M"/>
    <d v="2013-02-01T00:00:00"/>
    <m/>
    <b v="0"/>
    <x v="0"/>
  </r>
  <r>
    <x v="4"/>
    <x v="0"/>
    <x v="96"/>
    <s v="M"/>
    <d v="2009-07-01T00:00:00"/>
    <m/>
    <b v="0"/>
    <x v="0"/>
  </r>
  <r>
    <x v="5"/>
    <x v="0"/>
    <x v="96"/>
    <s v="M"/>
    <d v="2009-08-01T00:00:00"/>
    <m/>
    <b v="0"/>
    <x v="0"/>
  </r>
  <r>
    <x v="0"/>
    <x v="0"/>
    <x v="96"/>
    <s v="M"/>
    <d v="2009-10-01T00:00:00"/>
    <m/>
    <b v="0"/>
    <x v="0"/>
  </r>
  <r>
    <x v="20"/>
    <x v="0"/>
    <x v="96"/>
    <s v="M"/>
    <d v="2010-10-01T00:00:00"/>
    <m/>
    <b v="0"/>
    <x v="0"/>
  </r>
  <r>
    <x v="6"/>
    <x v="0"/>
    <x v="96"/>
    <s v="M"/>
    <d v="2011-08-01T00:00:00"/>
    <m/>
    <b v="0"/>
    <x v="0"/>
  </r>
  <r>
    <x v="7"/>
    <x v="0"/>
    <x v="96"/>
    <s v="M"/>
    <d v="2010-10-31T00:00:00"/>
    <m/>
    <b v="0"/>
    <x v="0"/>
  </r>
  <r>
    <x v="21"/>
    <x v="0"/>
    <x v="96"/>
    <s v="M"/>
    <d v="2013-01-01T00:00:00"/>
    <m/>
    <b v="0"/>
    <x v="0"/>
  </r>
  <r>
    <x v="8"/>
    <x v="0"/>
    <x v="96"/>
    <s v="M"/>
    <d v="2013-03-01T00:00:00"/>
    <m/>
    <b v="0"/>
    <x v="0"/>
  </r>
  <r>
    <x v="9"/>
    <x v="0"/>
    <x v="96"/>
    <s v="M"/>
    <d v="2009-07-01T00:00:00"/>
    <m/>
    <b v="0"/>
    <x v="0"/>
  </r>
  <r>
    <x v="10"/>
    <x v="0"/>
    <x v="96"/>
    <s v="M"/>
    <d v="2013-01-01T00:00:00"/>
    <m/>
    <b v="0"/>
    <x v="0"/>
  </r>
  <r>
    <x v="22"/>
    <x v="0"/>
    <x v="96"/>
    <s v="M"/>
    <d v="2010-08-01T00:00:00"/>
    <m/>
    <b v="0"/>
    <x v="0"/>
  </r>
  <r>
    <x v="23"/>
    <x v="0"/>
    <x v="96"/>
    <s v="M"/>
    <d v="2010-09-01T00:00:00"/>
    <m/>
    <b v="0"/>
    <x v="0"/>
  </r>
  <r>
    <x v="11"/>
    <x v="0"/>
    <x v="96"/>
    <s v="M"/>
    <d v="2010-08-01T00:00:00"/>
    <m/>
    <b v="0"/>
    <x v="0"/>
  </r>
  <r>
    <x v="12"/>
    <x v="0"/>
    <x v="96"/>
    <s v="M"/>
    <d v="2010-09-01T00:00:00"/>
    <m/>
    <b v="0"/>
    <x v="0"/>
  </r>
  <r>
    <x v="13"/>
    <x v="0"/>
    <x v="96"/>
    <s v="M"/>
    <d v="2010-12-01T00:00:00"/>
    <m/>
    <b v="0"/>
    <x v="0"/>
  </r>
  <r>
    <x v="17"/>
    <x v="0"/>
    <x v="97"/>
    <s v="M"/>
    <d v="2015-04-01T13:21:00"/>
    <d v="1899-12-30T00:00:00"/>
    <b v="0"/>
    <x v="0"/>
  </r>
  <r>
    <x v="14"/>
    <x v="0"/>
    <x v="97"/>
    <s v="M"/>
    <d v="2003-10-01T00:00:00"/>
    <m/>
    <b v="0"/>
    <x v="0"/>
  </r>
  <r>
    <x v="18"/>
    <x v="0"/>
    <x v="97"/>
    <s v="M"/>
    <d v="2003-04-01T00:00:00"/>
    <d v="1899-12-30T00:00:00"/>
    <b v="0"/>
    <x v="0"/>
  </r>
  <r>
    <x v="1"/>
    <x v="0"/>
    <x v="97"/>
    <s v="M"/>
    <d v="2011-01-01T00:00:00"/>
    <m/>
    <b v="0"/>
    <x v="0"/>
  </r>
  <r>
    <x v="15"/>
    <x v="0"/>
    <x v="97"/>
    <s v="M"/>
    <d v="2014-09-01T00:00:00"/>
    <d v="1899-12-30T00:00:00"/>
    <b v="0"/>
    <x v="0"/>
  </r>
  <r>
    <x v="16"/>
    <x v="0"/>
    <x v="97"/>
    <s v="M"/>
    <d v="2013-01-01T00:00:00"/>
    <m/>
    <b v="0"/>
    <x v="0"/>
  </r>
  <r>
    <x v="19"/>
    <x v="0"/>
    <x v="97"/>
    <s v="M"/>
    <d v="2010-12-10T00:00:00"/>
    <m/>
    <b v="0"/>
    <x v="0"/>
  </r>
  <r>
    <x v="2"/>
    <x v="0"/>
    <x v="97"/>
    <s v="M"/>
    <d v="2004-02-01T00:00:00"/>
    <m/>
    <b v="0"/>
    <x v="0"/>
  </r>
  <r>
    <x v="3"/>
    <x v="0"/>
    <x v="97"/>
    <s v="M"/>
    <d v="2009-07-01T00:00:00"/>
    <m/>
    <b v="0"/>
    <x v="0"/>
  </r>
  <r>
    <x v="4"/>
    <x v="0"/>
    <x v="97"/>
    <s v="M"/>
    <d v="2004-02-01T00:00:00"/>
    <m/>
    <b v="0"/>
    <x v="0"/>
  </r>
  <r>
    <x v="5"/>
    <x v="0"/>
    <x v="97"/>
    <s v="M"/>
    <d v="2004-02-01T00:00:00"/>
    <m/>
    <b v="0"/>
    <x v="0"/>
  </r>
  <r>
    <x v="0"/>
    <x v="0"/>
    <x v="97"/>
    <s v="M"/>
    <d v="2003-08-01T00:00:00"/>
    <m/>
    <b v="0"/>
    <x v="0"/>
  </r>
  <r>
    <x v="20"/>
    <x v="0"/>
    <x v="97"/>
    <s v="M"/>
    <d v="2009-08-01T00:00:00"/>
    <m/>
    <b v="0"/>
    <x v="0"/>
  </r>
  <r>
    <x v="6"/>
    <x v="0"/>
    <x v="97"/>
    <s v="M"/>
    <d v="2009-12-21T00:00:00"/>
    <m/>
    <b v="0"/>
    <x v="0"/>
  </r>
  <r>
    <x v="7"/>
    <x v="0"/>
    <x v="97"/>
    <s v="M"/>
    <d v="2004-02-01T00:00:00"/>
    <m/>
    <b v="0"/>
    <x v="0"/>
  </r>
  <r>
    <x v="21"/>
    <x v="0"/>
    <x v="97"/>
    <s v="M"/>
    <d v="2010-02-01T00:00:00"/>
    <m/>
    <b v="0"/>
    <x v="0"/>
  </r>
  <r>
    <x v="8"/>
    <x v="0"/>
    <x v="97"/>
    <s v="M"/>
    <d v="2009-10-01T00:00:00"/>
    <m/>
    <b v="0"/>
    <x v="0"/>
  </r>
  <r>
    <x v="9"/>
    <x v="0"/>
    <x v="97"/>
    <s v="M"/>
    <d v="2004-02-01T00:00:00"/>
    <m/>
    <b v="0"/>
    <x v="0"/>
  </r>
  <r>
    <x v="10"/>
    <x v="0"/>
    <x v="97"/>
    <s v="M"/>
    <d v="2009-09-01T00:00:00"/>
    <m/>
    <b v="0"/>
    <x v="0"/>
  </r>
  <r>
    <x v="22"/>
    <x v="0"/>
    <x v="97"/>
    <s v="M"/>
    <d v="2004-02-01T00:00:00"/>
    <m/>
    <b v="0"/>
    <x v="0"/>
  </r>
  <r>
    <x v="23"/>
    <x v="0"/>
    <x v="97"/>
    <s v="M"/>
    <d v="2004-02-01T00:00:00"/>
    <m/>
    <b v="0"/>
    <x v="0"/>
  </r>
  <r>
    <x v="11"/>
    <x v="0"/>
    <x v="97"/>
    <s v="M"/>
    <d v="2013-04-01T00:00:00"/>
    <m/>
    <b v="0"/>
    <x v="0"/>
  </r>
  <r>
    <x v="12"/>
    <x v="0"/>
    <x v="97"/>
    <s v="M"/>
    <d v="2004-02-01T00:00:00"/>
    <m/>
    <b v="0"/>
    <x v="0"/>
  </r>
  <r>
    <x v="13"/>
    <x v="0"/>
    <x v="97"/>
    <s v="M"/>
    <d v="2010-12-01T00:00:00"/>
    <m/>
    <b v="0"/>
    <x v="0"/>
  </r>
  <r>
    <x v="17"/>
    <x v="0"/>
    <x v="98"/>
    <s v="M"/>
    <d v="2027-04-01T00:00:00"/>
    <d v="1899-12-30T00:00:00"/>
    <b v="0"/>
    <x v="0"/>
  </r>
  <r>
    <x v="14"/>
    <x v="0"/>
    <x v="98"/>
    <s v="M"/>
    <d v="2015-03-01T00:00:00"/>
    <d v="1899-12-30T00:00:00"/>
    <b v="0"/>
    <x v="0"/>
  </r>
  <r>
    <x v="18"/>
    <x v="0"/>
    <x v="98"/>
    <s v="M"/>
    <d v="2003-04-01T00:00:00"/>
    <d v="1899-12-30T00:00:00"/>
    <b v="0"/>
    <x v="0"/>
  </r>
  <r>
    <x v="1"/>
    <x v="0"/>
    <x v="98"/>
    <s v="M"/>
    <d v="2007-01-01T00:00:00"/>
    <d v="1899-12-30T00:00:00"/>
    <b v="0"/>
    <x v="0"/>
  </r>
  <r>
    <x v="15"/>
    <x v="0"/>
    <x v="98"/>
    <s v="M"/>
    <d v="2014-03-01T00:00:00"/>
    <m/>
    <b v="0"/>
    <x v="0"/>
  </r>
  <r>
    <x v="16"/>
    <x v="0"/>
    <x v="98"/>
    <s v="M"/>
    <d v="2013-01-01T00:00:00"/>
    <m/>
    <b v="0"/>
    <x v="0"/>
  </r>
  <r>
    <x v="19"/>
    <x v="0"/>
    <x v="98"/>
    <s v="M"/>
    <d v="2010-12-10T00:00:00"/>
    <m/>
    <b v="0"/>
    <x v="0"/>
  </r>
  <r>
    <x v="2"/>
    <x v="0"/>
    <x v="98"/>
    <s v="M"/>
    <d v="2006-06-01T00:00:00"/>
    <d v="1899-12-30T00:00:00"/>
    <b v="0"/>
    <x v="0"/>
  </r>
  <r>
    <x v="3"/>
    <x v="0"/>
    <x v="98"/>
    <s v="M"/>
    <d v="2009-07-01T00:00:00"/>
    <m/>
    <b v="0"/>
    <x v="0"/>
  </r>
  <r>
    <x v="4"/>
    <x v="0"/>
    <x v="98"/>
    <s v="M"/>
    <d v="2004-02-01T00:00:00"/>
    <m/>
    <b v="0"/>
    <x v="0"/>
  </r>
  <r>
    <x v="5"/>
    <x v="0"/>
    <x v="98"/>
    <s v="M"/>
    <d v="2003-10-01T00:00:00"/>
    <m/>
    <b v="0"/>
    <x v="0"/>
  </r>
  <r>
    <x v="0"/>
    <x v="0"/>
    <x v="98"/>
    <s v="M"/>
    <d v="2009-10-01T00:00:00"/>
    <m/>
    <b v="0"/>
    <x v="0"/>
  </r>
  <r>
    <x v="20"/>
    <x v="0"/>
    <x v="98"/>
    <s v="M"/>
    <d v="2006-01-01T00:00:00"/>
    <d v="1899-12-30T00:00:00"/>
    <b v="0"/>
    <x v="0"/>
  </r>
  <r>
    <x v="6"/>
    <x v="0"/>
    <x v="98"/>
    <s v="M"/>
    <d v="2006-01-31T00:00:00"/>
    <d v="1899-12-30T00:00:00"/>
    <b v="0"/>
    <x v="0"/>
  </r>
  <r>
    <x v="7"/>
    <x v="0"/>
    <x v="98"/>
    <s v="M"/>
    <d v="2006-03-01T00:00:00"/>
    <d v="1899-12-30T00:00:00"/>
    <b v="0"/>
    <x v="0"/>
  </r>
  <r>
    <x v="21"/>
    <x v="0"/>
    <x v="98"/>
    <s v="M"/>
    <d v="2004-11-01T00:00:00"/>
    <d v="1899-12-30T00:00:00"/>
    <b v="0"/>
    <x v="0"/>
  </r>
  <r>
    <x v="8"/>
    <x v="0"/>
    <x v="98"/>
    <s v="M"/>
    <d v="2006-01-01T00:00:00"/>
    <d v="1899-12-30T00:00:00"/>
    <b v="0"/>
    <x v="0"/>
  </r>
  <r>
    <x v="9"/>
    <x v="0"/>
    <x v="98"/>
    <s v="M"/>
    <d v="2009-10-01T00:00:00"/>
    <m/>
    <b v="0"/>
    <x v="0"/>
  </r>
  <r>
    <x v="10"/>
    <x v="0"/>
    <x v="98"/>
    <s v="M"/>
    <d v="2007-08-01T00:00:00"/>
    <d v="1899-12-30T00:00:00"/>
    <b v="0"/>
    <x v="0"/>
  </r>
  <r>
    <x v="22"/>
    <x v="0"/>
    <x v="98"/>
    <s v="M"/>
    <d v="2010-08-01T00:00:00"/>
    <m/>
    <b v="0"/>
    <x v="0"/>
  </r>
  <r>
    <x v="23"/>
    <x v="0"/>
    <x v="98"/>
    <s v="M"/>
    <d v="2010-09-01T00:00:00"/>
    <m/>
    <b v="0"/>
    <x v="0"/>
  </r>
  <r>
    <x v="11"/>
    <x v="0"/>
    <x v="98"/>
    <s v="M"/>
    <d v="2010-08-01T00:00:00"/>
    <m/>
    <b v="0"/>
    <x v="0"/>
  </r>
  <r>
    <x v="12"/>
    <x v="0"/>
    <x v="98"/>
    <s v="M"/>
    <d v="2010-09-01T00:00:00"/>
    <m/>
    <b v="0"/>
    <x v="0"/>
  </r>
  <r>
    <x v="13"/>
    <x v="0"/>
    <x v="98"/>
    <s v="M"/>
    <d v="2010-12-01T00:00:00"/>
    <m/>
    <b v="0"/>
    <x v="0"/>
  </r>
  <r>
    <x v="17"/>
    <x v="0"/>
    <x v="99"/>
    <s v="M"/>
    <d v="2027-04-01T00:00:00"/>
    <d v="1899-12-30T00:00:00"/>
    <b v="0"/>
    <x v="0"/>
  </r>
  <r>
    <x v="14"/>
    <x v="0"/>
    <x v="99"/>
    <s v="M"/>
    <d v="2004-02-01T00:00:00"/>
    <m/>
    <b v="0"/>
    <x v="0"/>
  </r>
  <r>
    <x v="18"/>
    <x v="0"/>
    <x v="99"/>
    <s v="M"/>
    <d v="2004-02-01T00:00:00"/>
    <m/>
    <b v="0"/>
    <x v="0"/>
  </r>
  <r>
    <x v="1"/>
    <x v="0"/>
    <x v="99"/>
    <s v="M"/>
    <d v="2013-09-01T00:00:00"/>
    <m/>
    <b v="0"/>
    <x v="0"/>
  </r>
  <r>
    <x v="15"/>
    <x v="0"/>
    <x v="99"/>
    <s v="M"/>
    <d v="2013-02-01T00:00:00"/>
    <m/>
    <b v="0"/>
    <x v="0"/>
  </r>
  <r>
    <x v="16"/>
    <x v="0"/>
    <x v="99"/>
    <s v="M"/>
    <d v="2011-04-27T00:00:00"/>
    <m/>
    <b v="0"/>
    <x v="0"/>
  </r>
  <r>
    <x v="19"/>
    <x v="0"/>
    <x v="99"/>
    <s v="M"/>
    <d v="2010-12-10T00:00:00"/>
    <m/>
    <b v="0"/>
    <x v="0"/>
  </r>
  <r>
    <x v="2"/>
    <x v="0"/>
    <x v="99"/>
    <s v="M"/>
    <d v="2009-11-01T00:00:00"/>
    <m/>
    <b v="0"/>
    <x v="0"/>
  </r>
  <r>
    <x v="3"/>
    <x v="0"/>
    <x v="99"/>
    <s v="M"/>
    <d v="2009-07-01T00:00:00"/>
    <m/>
    <b v="0"/>
    <x v="0"/>
  </r>
  <r>
    <x v="4"/>
    <x v="0"/>
    <x v="99"/>
    <s v="M"/>
    <d v="2009-07-01T00:00:00"/>
    <m/>
    <b v="0"/>
    <x v="0"/>
  </r>
  <r>
    <x v="5"/>
    <x v="0"/>
    <x v="99"/>
    <s v="M"/>
    <d v="2012-08-01T00:00:00"/>
    <m/>
    <b v="0"/>
    <x v="0"/>
  </r>
  <r>
    <x v="0"/>
    <x v="0"/>
    <x v="99"/>
    <s v="M"/>
    <d v="2003-08-01T00:00:00"/>
    <m/>
    <b v="0"/>
    <x v="0"/>
  </r>
  <r>
    <x v="20"/>
    <x v="0"/>
    <x v="99"/>
    <s v="M"/>
    <d v="2003-08-01T00:00:00"/>
    <m/>
    <b v="0"/>
    <x v="0"/>
  </r>
  <r>
    <x v="6"/>
    <x v="0"/>
    <x v="99"/>
    <s v="M"/>
    <d v="2004-02-01T00:00:00"/>
    <m/>
    <b v="0"/>
    <x v="0"/>
  </r>
  <r>
    <x v="7"/>
    <x v="0"/>
    <x v="99"/>
    <s v="M"/>
    <d v="2004-02-01T00:00:00"/>
    <m/>
    <b v="0"/>
    <x v="0"/>
  </r>
  <r>
    <x v="21"/>
    <x v="0"/>
    <x v="99"/>
    <s v="M"/>
    <d v="2010-02-01T00:00:00"/>
    <m/>
    <b v="0"/>
    <x v="0"/>
  </r>
  <r>
    <x v="8"/>
    <x v="0"/>
    <x v="99"/>
    <s v="M"/>
    <d v="2009-10-01T00:00:00"/>
    <m/>
    <b v="0"/>
    <x v="0"/>
  </r>
  <r>
    <x v="9"/>
    <x v="0"/>
    <x v="99"/>
    <s v="M"/>
    <d v="2009-10-01T00:00:00"/>
    <m/>
    <b v="0"/>
    <x v="0"/>
  </r>
  <r>
    <x v="10"/>
    <x v="0"/>
    <x v="99"/>
    <s v="M"/>
    <d v="2009-09-01T00:00:00"/>
    <m/>
    <b v="0"/>
    <x v="0"/>
  </r>
  <r>
    <x v="22"/>
    <x v="0"/>
    <x v="99"/>
    <s v="M"/>
    <d v="2010-08-01T00:00:00"/>
    <m/>
    <b v="0"/>
    <x v="0"/>
  </r>
  <r>
    <x v="23"/>
    <x v="0"/>
    <x v="99"/>
    <s v="M"/>
    <d v="2010-09-01T00:00:00"/>
    <m/>
    <b v="0"/>
    <x v="0"/>
  </r>
  <r>
    <x v="11"/>
    <x v="0"/>
    <x v="99"/>
    <s v="M"/>
    <d v="2010-08-01T00:00:00"/>
    <m/>
    <b v="0"/>
    <x v="0"/>
  </r>
  <r>
    <x v="12"/>
    <x v="0"/>
    <x v="99"/>
    <s v="M"/>
    <d v="2010-09-01T00:00:00"/>
    <m/>
    <b v="0"/>
    <x v="0"/>
  </r>
  <r>
    <x v="13"/>
    <x v="0"/>
    <x v="99"/>
    <s v="M"/>
    <d v="2010-12-01T00:00:00"/>
    <m/>
    <b v="0"/>
    <x v="0"/>
  </r>
  <r>
    <x v="17"/>
    <x v="0"/>
    <x v="100"/>
    <s v="M"/>
    <d v="2015-04-01T13:25:00"/>
    <d v="1899-12-30T00:00:00"/>
    <b v="0"/>
    <x v="0"/>
  </r>
  <r>
    <x v="14"/>
    <x v="0"/>
    <x v="100"/>
    <s v="M"/>
    <d v="2004-02-01T00:00:00"/>
    <m/>
    <b v="0"/>
    <x v="0"/>
  </r>
  <r>
    <x v="18"/>
    <x v="0"/>
    <x v="100"/>
    <s v="M"/>
    <d v="2010-11-01T00:00:00"/>
    <m/>
    <b v="0"/>
    <x v="0"/>
  </r>
  <r>
    <x v="1"/>
    <x v="0"/>
    <x v="100"/>
    <s v="M"/>
    <d v="2015-03-18T14:27:00"/>
    <d v="1899-12-30T00:00:00"/>
    <b v="0"/>
    <x v="0"/>
  </r>
  <r>
    <x v="15"/>
    <x v="0"/>
    <x v="100"/>
    <s v="M"/>
    <d v="2014-09-01T00:00:00"/>
    <d v="1899-12-30T00:00:00"/>
    <b v="0"/>
    <x v="0"/>
  </r>
  <r>
    <x v="16"/>
    <x v="0"/>
    <x v="100"/>
    <s v="M"/>
    <d v="2005-03-01T00:00:00"/>
    <d v="1899-12-30T00:00:00"/>
    <b v="0"/>
    <x v="0"/>
  </r>
  <r>
    <x v="19"/>
    <x v="0"/>
    <x v="100"/>
    <s v="M"/>
    <d v="2010-12-10T00:00:00"/>
    <m/>
    <b v="0"/>
    <x v="0"/>
  </r>
  <r>
    <x v="2"/>
    <x v="0"/>
    <x v="100"/>
    <s v="M"/>
    <d v="2015-03-05T10:16:00"/>
    <d v="1899-12-30T00:00:00"/>
    <b v="0"/>
    <x v="0"/>
  </r>
  <r>
    <x v="3"/>
    <x v="0"/>
    <x v="100"/>
    <s v="M"/>
    <d v="2009-07-01T00:00:00"/>
    <m/>
    <b v="0"/>
    <x v="0"/>
  </r>
  <r>
    <x v="4"/>
    <x v="0"/>
    <x v="100"/>
    <s v="M"/>
    <d v="2005-05-01T00:00:00"/>
    <d v="1899-12-30T00:00:00"/>
    <b v="0"/>
    <x v="0"/>
  </r>
  <r>
    <x v="5"/>
    <x v="0"/>
    <x v="100"/>
    <s v="M"/>
    <d v="2004-02-01T00:00:00"/>
    <m/>
    <b v="0"/>
    <x v="0"/>
  </r>
  <r>
    <x v="0"/>
    <x v="0"/>
    <x v="100"/>
    <s v="M"/>
    <d v="2003-08-01T00:00:00"/>
    <m/>
    <b v="0"/>
    <x v="0"/>
  </r>
  <r>
    <x v="20"/>
    <x v="0"/>
    <x v="100"/>
    <s v="M"/>
    <d v="2009-10-01T00:00:00"/>
    <m/>
    <b v="0"/>
    <x v="0"/>
  </r>
  <r>
    <x v="6"/>
    <x v="0"/>
    <x v="100"/>
    <s v="M"/>
    <d v="2005-05-01T00:00:00"/>
    <d v="1899-12-30T00:00:00"/>
    <b v="0"/>
    <x v="0"/>
  </r>
  <r>
    <x v="7"/>
    <x v="0"/>
    <x v="100"/>
    <s v="M"/>
    <d v="2006-03-01T00:00:00"/>
    <d v="1899-12-30T00:00:00"/>
    <b v="0"/>
    <x v="0"/>
  </r>
  <r>
    <x v="21"/>
    <x v="0"/>
    <x v="100"/>
    <s v="M"/>
    <d v="2006-03-01T00:00:00"/>
    <d v="1899-12-30T00:00:00"/>
    <b v="0"/>
    <x v="0"/>
  </r>
  <r>
    <x v="8"/>
    <x v="0"/>
    <x v="100"/>
    <s v="M"/>
    <d v="2015-03-05T09:42:00"/>
    <d v="1899-12-30T00:00:00"/>
    <b v="0"/>
    <x v="0"/>
  </r>
  <r>
    <x v="9"/>
    <x v="0"/>
    <x v="100"/>
    <s v="M"/>
    <d v="2009-10-01T00:00:00"/>
    <m/>
    <b v="0"/>
    <x v="0"/>
  </r>
  <r>
    <x v="10"/>
    <x v="0"/>
    <x v="100"/>
    <s v="M"/>
    <d v="2006-04-01T00:00:00"/>
    <d v="1899-12-30T00:00:00"/>
    <b v="0"/>
    <x v="0"/>
  </r>
  <r>
    <x v="22"/>
    <x v="0"/>
    <x v="100"/>
    <s v="M"/>
    <d v="2006-09-30T00:00:00"/>
    <d v="1899-12-30T00:00:00"/>
    <b v="0"/>
    <x v="0"/>
  </r>
  <r>
    <x v="23"/>
    <x v="0"/>
    <x v="100"/>
    <s v="M"/>
    <d v="2010-09-01T00:00:00"/>
    <m/>
    <b v="0"/>
    <x v="0"/>
  </r>
  <r>
    <x v="11"/>
    <x v="0"/>
    <x v="100"/>
    <s v="M"/>
    <d v="2010-08-01T00:00:00"/>
    <m/>
    <b v="0"/>
    <x v="0"/>
  </r>
  <r>
    <x v="12"/>
    <x v="0"/>
    <x v="100"/>
    <s v="M"/>
    <d v="2010-09-01T00:00:00"/>
    <m/>
    <b v="0"/>
    <x v="0"/>
  </r>
  <r>
    <x v="13"/>
    <x v="0"/>
    <x v="100"/>
    <s v="M"/>
    <d v="2010-12-01T00:00:00"/>
    <m/>
    <b v="0"/>
    <x v="0"/>
  </r>
  <r>
    <x v="3"/>
    <x v="0"/>
    <x v="101"/>
    <s v="A"/>
    <m/>
    <d v="1901-01-03T19:11:59"/>
    <b v="0"/>
    <x v="0"/>
  </r>
  <r>
    <x v="17"/>
    <x v="0"/>
    <x v="101"/>
    <s v="H"/>
    <m/>
    <d v="1914-04-12T14:24:08"/>
    <b v="0"/>
    <x v="0"/>
  </r>
  <r>
    <x v="14"/>
    <x v="0"/>
    <x v="101"/>
    <s v="H"/>
    <m/>
    <d v="1919-03-02T00:00:00"/>
    <b v="0"/>
    <x v="0"/>
  </r>
  <r>
    <x v="18"/>
    <x v="0"/>
    <x v="101"/>
    <s v="H"/>
    <m/>
    <d v="1921-02-01T16:48:17"/>
    <b v="0"/>
    <x v="0"/>
  </r>
  <r>
    <x v="1"/>
    <x v="0"/>
    <x v="101"/>
    <s v="H"/>
    <m/>
    <d v="1918-05-08T09:35:52"/>
    <b v="0"/>
    <x v="0"/>
  </r>
  <r>
    <x v="15"/>
    <x v="0"/>
    <x v="101"/>
    <s v="H"/>
    <m/>
    <d v="1920-03-18T02:24:08"/>
    <b v="0"/>
    <x v="0"/>
  </r>
  <r>
    <x v="16"/>
    <x v="0"/>
    <x v="101"/>
    <s v="H"/>
    <m/>
    <d v="1913-03-04T04:48:17"/>
    <b v="0"/>
    <x v="0"/>
  </r>
  <r>
    <x v="19"/>
    <x v="0"/>
    <x v="101"/>
    <s v="H"/>
    <m/>
    <d v="1909-02-21T04:47:56"/>
    <b v="0"/>
    <x v="0"/>
  </r>
  <r>
    <x v="2"/>
    <x v="0"/>
    <x v="101"/>
    <s v="H"/>
    <m/>
    <d v="1913-07-23T16:48:17"/>
    <b v="0"/>
    <x v="0"/>
  </r>
  <r>
    <x v="3"/>
    <x v="0"/>
    <x v="101"/>
    <s v="H"/>
    <m/>
    <d v="1910-11-29T12:00:00"/>
    <b v="0"/>
    <x v="0"/>
  </r>
  <r>
    <x v="4"/>
    <x v="0"/>
    <x v="101"/>
    <s v="H"/>
    <m/>
    <d v="1904-11-15T19:12:04"/>
    <b v="0"/>
    <x v="0"/>
  </r>
  <r>
    <x v="5"/>
    <x v="0"/>
    <x v="101"/>
    <s v="H"/>
    <m/>
    <d v="1904-11-04T07:12:04"/>
    <b v="0"/>
    <x v="0"/>
  </r>
  <r>
    <x v="0"/>
    <x v="0"/>
    <x v="101"/>
    <s v="H"/>
    <m/>
    <d v="1904-08-30T16:47:56"/>
    <b v="0"/>
    <x v="0"/>
  </r>
  <r>
    <x v="20"/>
    <x v="0"/>
    <x v="101"/>
    <s v="H"/>
    <m/>
    <d v="1904-10-16T12:00:00"/>
    <b v="0"/>
    <x v="0"/>
  </r>
  <r>
    <x v="6"/>
    <x v="0"/>
    <x v="101"/>
    <s v="H"/>
    <m/>
    <d v="1903-12-05T00:00:00"/>
    <b v="0"/>
    <x v="0"/>
  </r>
  <r>
    <x v="7"/>
    <x v="0"/>
    <x v="101"/>
    <s v="H"/>
    <m/>
    <d v="1907-04-23T19:12:04"/>
    <b v="0"/>
    <x v="0"/>
  </r>
  <r>
    <x v="21"/>
    <x v="0"/>
    <x v="101"/>
    <s v="H"/>
    <m/>
    <d v="1914-03-26T09:35:52"/>
    <b v="0"/>
    <x v="0"/>
  </r>
  <r>
    <x v="8"/>
    <x v="0"/>
    <x v="101"/>
    <s v="H"/>
    <m/>
    <d v="1911-08-14T19:11:43"/>
    <b v="0"/>
    <x v="0"/>
  </r>
  <r>
    <x v="9"/>
    <x v="0"/>
    <x v="101"/>
    <s v="H"/>
    <m/>
    <d v="1913-01-07T12:00:00"/>
    <b v="0"/>
    <x v="0"/>
  </r>
  <r>
    <x v="10"/>
    <x v="0"/>
    <x v="101"/>
    <s v="H"/>
    <m/>
    <d v="1913-11-28T00:00:00"/>
    <b v="0"/>
    <x v="0"/>
  </r>
  <r>
    <x v="22"/>
    <x v="0"/>
    <x v="101"/>
    <s v="H"/>
    <m/>
    <d v="1904-01-31T16:47:56"/>
    <b v="0"/>
    <x v="0"/>
  </r>
  <r>
    <x v="23"/>
    <x v="0"/>
    <x v="101"/>
    <s v="H"/>
    <m/>
    <d v="1903-08-17T09:36:02"/>
    <b v="0"/>
    <x v="0"/>
  </r>
  <r>
    <x v="11"/>
    <x v="0"/>
    <x v="101"/>
    <s v="H"/>
    <m/>
    <d v="1914-05-01T02:24:08"/>
    <b v="0"/>
    <x v="0"/>
  </r>
  <r>
    <x v="12"/>
    <x v="0"/>
    <x v="101"/>
    <s v="H"/>
    <m/>
    <d v="1908-08-23T04:47:56"/>
    <b v="0"/>
    <x v="0"/>
  </r>
  <r>
    <x v="13"/>
    <x v="0"/>
    <x v="101"/>
    <s v="H"/>
    <m/>
    <d v="1908-02-16T02:24:08"/>
    <b v="0"/>
    <x v="0"/>
  </r>
  <r>
    <x v="17"/>
    <x v="0"/>
    <x v="102"/>
    <s v="H"/>
    <m/>
    <d v="1914-04-07T14:24:08"/>
    <b v="0"/>
    <x v="0"/>
  </r>
  <r>
    <x v="14"/>
    <x v="0"/>
    <x v="102"/>
    <s v="H"/>
    <m/>
    <d v="1918-07-03T12:00:00"/>
    <b v="0"/>
    <x v="0"/>
  </r>
  <r>
    <x v="18"/>
    <x v="0"/>
    <x v="102"/>
    <s v="H"/>
    <m/>
    <d v="1920-06-01T16:48:17"/>
    <b v="0"/>
    <x v="0"/>
  </r>
  <r>
    <x v="1"/>
    <x v="0"/>
    <x v="102"/>
    <s v="H"/>
    <m/>
    <d v="1917-09-08T09:35:52"/>
    <b v="0"/>
    <x v="0"/>
  </r>
  <r>
    <x v="15"/>
    <x v="0"/>
    <x v="102"/>
    <s v="H"/>
    <m/>
    <d v="1920-03-18T02:24:08"/>
    <b v="0"/>
    <x v="0"/>
  </r>
  <r>
    <x v="16"/>
    <x v="0"/>
    <x v="102"/>
    <s v="H"/>
    <m/>
    <d v="1912-07-13T16:48:17"/>
    <b v="0"/>
    <x v="0"/>
  </r>
  <r>
    <x v="19"/>
    <x v="0"/>
    <x v="102"/>
    <s v="H"/>
    <m/>
    <d v="1908-07-09T07:12:04"/>
    <b v="0"/>
    <x v="0"/>
  </r>
  <r>
    <x v="2"/>
    <x v="0"/>
    <x v="102"/>
    <s v="H"/>
    <m/>
    <d v="1912-11-18T09:35:52"/>
    <b v="0"/>
    <x v="0"/>
  </r>
  <r>
    <x v="3"/>
    <x v="0"/>
    <x v="102"/>
    <s v="H"/>
    <m/>
    <d v="1910-03-31T09:35:52"/>
    <b v="0"/>
    <x v="0"/>
  </r>
  <r>
    <x v="4"/>
    <x v="0"/>
    <x v="102"/>
    <s v="H"/>
    <m/>
    <d v="1904-03-05T21:36:02"/>
    <b v="0"/>
    <x v="0"/>
  </r>
  <r>
    <x v="5"/>
    <x v="0"/>
    <x v="102"/>
    <s v="H"/>
    <m/>
    <d v="1904-11-04T07:12:04"/>
    <b v="0"/>
    <x v="0"/>
  </r>
  <r>
    <x v="0"/>
    <x v="0"/>
    <x v="102"/>
    <s v="H"/>
    <m/>
    <d v="1904-08-30T16:47:56"/>
    <b v="0"/>
    <x v="0"/>
  </r>
  <r>
    <x v="20"/>
    <x v="0"/>
    <x v="102"/>
    <s v="H"/>
    <m/>
    <d v="1904-02-26T19:12:04"/>
    <b v="0"/>
    <x v="0"/>
  </r>
  <r>
    <x v="6"/>
    <x v="0"/>
    <x v="102"/>
    <s v="H"/>
    <m/>
    <d v="1903-04-05T04:47:56"/>
    <b v="0"/>
    <x v="0"/>
  </r>
  <r>
    <x v="7"/>
    <x v="0"/>
    <x v="102"/>
    <s v="H"/>
    <m/>
    <d v="1907-04-23T19:12:04"/>
    <b v="0"/>
    <x v="0"/>
  </r>
  <r>
    <x v="21"/>
    <x v="0"/>
    <x v="102"/>
    <s v="H"/>
    <m/>
    <d v="1914-03-26T09:35:52"/>
    <b v="0"/>
    <x v="0"/>
  </r>
  <r>
    <x v="8"/>
    <x v="0"/>
    <x v="102"/>
    <s v="H"/>
    <m/>
    <d v="1910-12-11T14:24:08"/>
    <b v="0"/>
    <x v="0"/>
  </r>
  <r>
    <x v="9"/>
    <x v="0"/>
    <x v="102"/>
    <s v="H"/>
    <m/>
    <d v="1913-01-07T12:00:00"/>
    <b v="0"/>
    <x v="0"/>
  </r>
  <r>
    <x v="10"/>
    <x v="0"/>
    <x v="102"/>
    <s v="H"/>
    <m/>
    <d v="1913-11-28T00:00:00"/>
    <b v="0"/>
    <x v="0"/>
  </r>
  <r>
    <x v="22"/>
    <x v="0"/>
    <x v="102"/>
    <s v="H"/>
    <m/>
    <d v="1903-05-31T21:36:02"/>
    <b v="0"/>
    <x v="0"/>
  </r>
  <r>
    <x v="23"/>
    <x v="0"/>
    <x v="102"/>
    <s v="H"/>
    <m/>
    <d v="1903-08-17T09:36:02"/>
    <b v="0"/>
    <x v="0"/>
  </r>
  <r>
    <x v="11"/>
    <x v="0"/>
    <x v="102"/>
    <s v="H"/>
    <m/>
    <d v="1913-08-29T02:24:08"/>
    <b v="0"/>
    <x v="0"/>
  </r>
  <r>
    <x v="12"/>
    <x v="0"/>
    <x v="102"/>
    <s v="H"/>
    <m/>
    <d v="1907-12-27T04:47:56"/>
    <b v="0"/>
    <x v="0"/>
  </r>
  <r>
    <x v="13"/>
    <x v="0"/>
    <x v="102"/>
    <s v="H"/>
    <m/>
    <d v="1908-02-16T02:24:08"/>
    <b v="0"/>
    <x v="0"/>
  </r>
  <r>
    <x v="17"/>
    <x v="0"/>
    <x v="103"/>
    <s v="H"/>
    <m/>
    <d v="1914-04-07T14:24:08"/>
    <b v="0"/>
    <x v="0"/>
  </r>
  <r>
    <x v="14"/>
    <x v="0"/>
    <x v="103"/>
    <s v="H"/>
    <m/>
    <d v="1918-07-03T12:00:00"/>
    <b v="0"/>
    <x v="0"/>
  </r>
  <r>
    <x v="18"/>
    <x v="0"/>
    <x v="103"/>
    <s v="H"/>
    <m/>
    <d v="1920-06-01T16:48:17"/>
    <b v="0"/>
    <x v="0"/>
  </r>
  <r>
    <x v="1"/>
    <x v="0"/>
    <x v="103"/>
    <s v="H"/>
    <m/>
    <d v="1917-09-08T09:35:52"/>
    <b v="0"/>
    <x v="0"/>
  </r>
  <r>
    <x v="15"/>
    <x v="0"/>
    <x v="103"/>
    <s v="H"/>
    <m/>
    <d v="1920-03-18T02:24:08"/>
    <b v="0"/>
    <x v="0"/>
  </r>
  <r>
    <x v="16"/>
    <x v="0"/>
    <x v="103"/>
    <s v="H"/>
    <m/>
    <d v="1912-07-13T16:48:17"/>
    <b v="0"/>
    <x v="0"/>
  </r>
  <r>
    <x v="19"/>
    <x v="0"/>
    <x v="103"/>
    <s v="H"/>
    <m/>
    <d v="1908-07-09T07:12:04"/>
    <b v="0"/>
    <x v="0"/>
  </r>
  <r>
    <x v="2"/>
    <x v="0"/>
    <x v="103"/>
    <s v="H"/>
    <m/>
    <d v="1912-11-18T09:35:52"/>
    <b v="0"/>
    <x v="0"/>
  </r>
  <r>
    <x v="3"/>
    <x v="0"/>
    <x v="103"/>
    <s v="H"/>
    <m/>
    <d v="1910-03-31T09:35:52"/>
    <b v="0"/>
    <x v="0"/>
  </r>
  <r>
    <x v="4"/>
    <x v="0"/>
    <x v="103"/>
    <s v="H"/>
    <m/>
    <d v="1904-03-05T21:36:02"/>
    <b v="0"/>
    <x v="0"/>
  </r>
  <r>
    <x v="5"/>
    <x v="0"/>
    <x v="103"/>
    <s v="H"/>
    <m/>
    <d v="1904-11-04T07:12:04"/>
    <b v="0"/>
    <x v="0"/>
  </r>
  <r>
    <x v="0"/>
    <x v="0"/>
    <x v="103"/>
    <s v="H"/>
    <m/>
    <d v="1904-08-30T16:47:56"/>
    <b v="0"/>
    <x v="0"/>
  </r>
  <r>
    <x v="20"/>
    <x v="0"/>
    <x v="103"/>
    <s v="H"/>
    <m/>
    <d v="1904-02-26T19:12:04"/>
    <b v="0"/>
    <x v="0"/>
  </r>
  <r>
    <x v="6"/>
    <x v="0"/>
    <x v="103"/>
    <s v="H"/>
    <m/>
    <d v="1903-04-05T04:47:56"/>
    <b v="0"/>
    <x v="0"/>
  </r>
  <r>
    <x v="7"/>
    <x v="0"/>
    <x v="103"/>
    <s v="H"/>
    <m/>
    <d v="1907-04-23T19:12:04"/>
    <b v="0"/>
    <x v="0"/>
  </r>
  <r>
    <x v="21"/>
    <x v="0"/>
    <x v="103"/>
    <s v="H"/>
    <m/>
    <d v="1914-03-26T09:35:52"/>
    <b v="0"/>
    <x v="0"/>
  </r>
  <r>
    <x v="8"/>
    <x v="0"/>
    <x v="103"/>
    <s v="H"/>
    <m/>
    <d v="1910-12-11T14:24:08"/>
    <b v="0"/>
    <x v="0"/>
  </r>
  <r>
    <x v="9"/>
    <x v="0"/>
    <x v="103"/>
    <s v="H"/>
    <m/>
    <d v="1913-01-07T12:00:00"/>
    <b v="0"/>
    <x v="0"/>
  </r>
  <r>
    <x v="10"/>
    <x v="0"/>
    <x v="103"/>
    <s v="H"/>
    <m/>
    <d v="1913-11-28T00:00:00"/>
    <b v="0"/>
    <x v="0"/>
  </r>
  <r>
    <x v="22"/>
    <x v="0"/>
    <x v="103"/>
    <s v="H"/>
    <m/>
    <d v="1903-05-31T21:36:02"/>
    <b v="0"/>
    <x v="0"/>
  </r>
  <r>
    <x v="23"/>
    <x v="0"/>
    <x v="103"/>
    <s v="H"/>
    <m/>
    <d v="1903-08-17T09:36:02"/>
    <b v="0"/>
    <x v="0"/>
  </r>
  <r>
    <x v="11"/>
    <x v="0"/>
    <x v="103"/>
    <s v="H"/>
    <m/>
    <d v="1913-08-29T02:24:08"/>
    <b v="0"/>
    <x v="0"/>
  </r>
  <r>
    <x v="12"/>
    <x v="0"/>
    <x v="103"/>
    <s v="H"/>
    <m/>
    <d v="1907-12-27T04:47:56"/>
    <b v="0"/>
    <x v="0"/>
  </r>
  <r>
    <x v="13"/>
    <x v="0"/>
    <x v="103"/>
    <s v="H"/>
    <m/>
    <d v="1908-02-16T02:24:08"/>
    <b v="0"/>
    <x v="0"/>
  </r>
  <r>
    <x v="17"/>
    <x v="0"/>
    <x v="104"/>
    <s v="H"/>
    <m/>
    <d v="1914-04-07T14:24:08"/>
    <b v="0"/>
    <x v="0"/>
  </r>
  <r>
    <x v="14"/>
    <x v="0"/>
    <x v="104"/>
    <s v="H"/>
    <m/>
    <d v="1918-07-03T12:00:00"/>
    <b v="0"/>
    <x v="0"/>
  </r>
  <r>
    <x v="18"/>
    <x v="0"/>
    <x v="104"/>
    <s v="H"/>
    <m/>
    <d v="1920-06-01T16:48:17"/>
    <b v="0"/>
    <x v="0"/>
  </r>
  <r>
    <x v="1"/>
    <x v="0"/>
    <x v="104"/>
    <s v="H"/>
    <m/>
    <d v="1917-09-08T09:35:52"/>
    <b v="0"/>
    <x v="0"/>
  </r>
  <r>
    <x v="15"/>
    <x v="0"/>
    <x v="104"/>
    <s v="H"/>
    <m/>
    <d v="1920-03-18T02:24:08"/>
    <b v="0"/>
    <x v="0"/>
  </r>
  <r>
    <x v="16"/>
    <x v="0"/>
    <x v="104"/>
    <s v="H"/>
    <m/>
    <d v="1912-07-13T16:48:17"/>
    <b v="0"/>
    <x v="0"/>
  </r>
  <r>
    <x v="19"/>
    <x v="0"/>
    <x v="104"/>
    <s v="H"/>
    <m/>
    <d v="1908-07-09T07:12:04"/>
    <b v="0"/>
    <x v="0"/>
  </r>
  <r>
    <x v="2"/>
    <x v="0"/>
    <x v="104"/>
    <s v="H"/>
    <m/>
    <d v="1912-11-18T09:35:52"/>
    <b v="0"/>
    <x v="0"/>
  </r>
  <r>
    <x v="3"/>
    <x v="0"/>
    <x v="104"/>
    <s v="H"/>
    <m/>
    <d v="1910-03-31T09:35:52"/>
    <b v="0"/>
    <x v="0"/>
  </r>
  <r>
    <x v="4"/>
    <x v="0"/>
    <x v="104"/>
    <s v="H"/>
    <m/>
    <d v="1904-03-05T21:36:02"/>
    <b v="0"/>
    <x v="0"/>
  </r>
  <r>
    <x v="5"/>
    <x v="0"/>
    <x v="104"/>
    <s v="H"/>
    <m/>
    <d v="1904-11-04T07:12:04"/>
    <b v="0"/>
    <x v="0"/>
  </r>
  <r>
    <x v="0"/>
    <x v="0"/>
    <x v="104"/>
    <s v="H"/>
    <m/>
    <d v="1904-08-30T16:47:56"/>
    <b v="0"/>
    <x v="0"/>
  </r>
  <r>
    <x v="20"/>
    <x v="0"/>
    <x v="104"/>
    <s v="H"/>
    <m/>
    <d v="1904-02-26T19:12:04"/>
    <b v="0"/>
    <x v="0"/>
  </r>
  <r>
    <x v="6"/>
    <x v="0"/>
    <x v="104"/>
    <s v="H"/>
    <m/>
    <d v="1903-04-05T04:47:56"/>
    <b v="0"/>
    <x v="0"/>
  </r>
  <r>
    <x v="7"/>
    <x v="0"/>
    <x v="104"/>
    <s v="H"/>
    <m/>
    <d v="1907-04-23T19:12:04"/>
    <b v="0"/>
    <x v="0"/>
  </r>
  <r>
    <x v="21"/>
    <x v="0"/>
    <x v="104"/>
    <s v="H"/>
    <m/>
    <d v="1914-03-26T09:35:52"/>
    <b v="0"/>
    <x v="0"/>
  </r>
  <r>
    <x v="8"/>
    <x v="0"/>
    <x v="104"/>
    <s v="H"/>
    <m/>
    <d v="1910-12-11T14:24:08"/>
    <b v="0"/>
    <x v="0"/>
  </r>
  <r>
    <x v="9"/>
    <x v="0"/>
    <x v="104"/>
    <s v="H"/>
    <m/>
    <d v="1913-01-07T12:00:00"/>
    <b v="0"/>
    <x v="0"/>
  </r>
  <r>
    <x v="10"/>
    <x v="0"/>
    <x v="104"/>
    <s v="H"/>
    <m/>
    <d v="1913-11-28T00:00:00"/>
    <b v="0"/>
    <x v="0"/>
  </r>
  <r>
    <x v="22"/>
    <x v="0"/>
    <x v="104"/>
    <s v="H"/>
    <m/>
    <d v="1903-05-31T21:36:02"/>
    <b v="0"/>
    <x v="0"/>
  </r>
  <r>
    <x v="23"/>
    <x v="0"/>
    <x v="104"/>
    <s v="H"/>
    <m/>
    <d v="1903-08-17T09:36:02"/>
    <b v="0"/>
    <x v="0"/>
  </r>
  <r>
    <x v="11"/>
    <x v="0"/>
    <x v="104"/>
    <s v="H"/>
    <m/>
    <d v="1913-08-29T02:24:08"/>
    <b v="0"/>
    <x v="0"/>
  </r>
  <r>
    <x v="12"/>
    <x v="0"/>
    <x v="104"/>
    <s v="H"/>
    <m/>
    <d v="1907-12-27T04:47:56"/>
    <b v="0"/>
    <x v="0"/>
  </r>
  <r>
    <x v="13"/>
    <x v="0"/>
    <x v="104"/>
    <s v="H"/>
    <m/>
    <d v="1908-02-16T02:24:08"/>
    <b v="0"/>
    <x v="0"/>
  </r>
  <r>
    <x v="17"/>
    <x v="0"/>
    <x v="105"/>
    <s v="H"/>
    <m/>
    <d v="1914-04-12T14:24:08"/>
    <b v="0"/>
    <x v="0"/>
  </r>
  <r>
    <x v="14"/>
    <x v="0"/>
    <x v="105"/>
    <s v="H"/>
    <m/>
    <d v="1919-03-02T00:00:00"/>
    <b v="0"/>
    <x v="0"/>
  </r>
  <r>
    <x v="18"/>
    <x v="0"/>
    <x v="105"/>
    <s v="H"/>
    <m/>
    <d v="1921-02-01T16:48:17"/>
    <b v="0"/>
    <x v="0"/>
  </r>
  <r>
    <x v="1"/>
    <x v="0"/>
    <x v="105"/>
    <s v="H"/>
    <m/>
    <d v="1918-05-08T09:35:52"/>
    <b v="0"/>
    <x v="0"/>
  </r>
  <r>
    <x v="15"/>
    <x v="0"/>
    <x v="105"/>
    <s v="H"/>
    <m/>
    <d v="1920-03-18T02:24:08"/>
    <b v="0"/>
    <x v="0"/>
  </r>
  <r>
    <x v="16"/>
    <x v="0"/>
    <x v="105"/>
    <s v="H"/>
    <m/>
    <d v="1913-03-04T04:48:17"/>
    <b v="0"/>
    <x v="0"/>
  </r>
  <r>
    <x v="19"/>
    <x v="0"/>
    <x v="105"/>
    <s v="H"/>
    <m/>
    <d v="1909-02-21T04:47:56"/>
    <b v="0"/>
    <x v="0"/>
  </r>
  <r>
    <x v="2"/>
    <x v="0"/>
    <x v="105"/>
    <s v="H"/>
    <m/>
    <d v="1913-07-23T16:48:17"/>
    <b v="0"/>
    <x v="0"/>
  </r>
  <r>
    <x v="3"/>
    <x v="0"/>
    <x v="105"/>
    <s v="H"/>
    <m/>
    <d v="1910-11-29T12:00:00"/>
    <b v="0"/>
    <x v="0"/>
  </r>
  <r>
    <x v="4"/>
    <x v="0"/>
    <x v="105"/>
    <s v="H"/>
    <m/>
    <d v="1904-11-15T19:12:04"/>
    <b v="0"/>
    <x v="0"/>
  </r>
  <r>
    <x v="5"/>
    <x v="0"/>
    <x v="105"/>
    <s v="H"/>
    <m/>
    <d v="1904-11-04T07:12:04"/>
    <b v="0"/>
    <x v="0"/>
  </r>
  <r>
    <x v="0"/>
    <x v="0"/>
    <x v="105"/>
    <s v="H"/>
    <m/>
    <d v="1904-08-30T16:47:56"/>
    <b v="0"/>
    <x v="0"/>
  </r>
  <r>
    <x v="20"/>
    <x v="0"/>
    <x v="105"/>
    <s v="H"/>
    <m/>
    <d v="1904-10-16T12:00:00"/>
    <b v="0"/>
    <x v="0"/>
  </r>
  <r>
    <x v="6"/>
    <x v="0"/>
    <x v="105"/>
    <s v="H"/>
    <m/>
    <d v="1903-12-05T00:00:00"/>
    <b v="0"/>
    <x v="0"/>
  </r>
  <r>
    <x v="7"/>
    <x v="0"/>
    <x v="105"/>
    <s v="H"/>
    <m/>
    <d v="1907-04-23T19:12:04"/>
    <b v="0"/>
    <x v="0"/>
  </r>
  <r>
    <x v="21"/>
    <x v="0"/>
    <x v="105"/>
    <s v="H"/>
    <m/>
    <d v="1914-03-26T09:35:52"/>
    <b v="0"/>
    <x v="0"/>
  </r>
  <r>
    <x v="8"/>
    <x v="0"/>
    <x v="105"/>
    <s v="H"/>
    <m/>
    <d v="1911-08-14T19:11:43"/>
    <b v="0"/>
    <x v="0"/>
  </r>
  <r>
    <x v="9"/>
    <x v="0"/>
    <x v="105"/>
    <s v="H"/>
    <m/>
    <d v="1913-01-07T12:00:00"/>
    <b v="0"/>
    <x v="0"/>
  </r>
  <r>
    <x v="10"/>
    <x v="0"/>
    <x v="105"/>
    <s v="H"/>
    <m/>
    <d v="1913-11-28T00:00:00"/>
    <b v="0"/>
    <x v="0"/>
  </r>
  <r>
    <x v="22"/>
    <x v="0"/>
    <x v="105"/>
    <s v="H"/>
    <m/>
    <d v="1904-01-31T16:47:56"/>
    <b v="0"/>
    <x v="0"/>
  </r>
  <r>
    <x v="23"/>
    <x v="0"/>
    <x v="105"/>
    <s v="H"/>
    <m/>
    <d v="1903-08-17T09:36:02"/>
    <b v="0"/>
    <x v="0"/>
  </r>
  <r>
    <x v="11"/>
    <x v="0"/>
    <x v="105"/>
    <s v="H"/>
    <m/>
    <d v="1914-05-01T02:24:08"/>
    <b v="0"/>
    <x v="0"/>
  </r>
  <r>
    <x v="12"/>
    <x v="0"/>
    <x v="105"/>
    <s v="H"/>
    <m/>
    <d v="1908-08-20T00:00:00"/>
    <b v="0"/>
    <x v="0"/>
  </r>
  <r>
    <x v="13"/>
    <x v="0"/>
    <x v="105"/>
    <s v="H"/>
    <m/>
    <d v="1908-02-16T02:24:08"/>
    <b v="0"/>
    <x v="0"/>
  </r>
  <r>
    <x v="17"/>
    <x v="0"/>
    <x v="106"/>
    <s v="M"/>
    <d v="2015-03-04T00:00:00"/>
    <d v="1899-12-30T00:00:00"/>
    <b v="0"/>
    <x v="0"/>
  </r>
  <r>
    <x v="14"/>
    <x v="0"/>
    <x v="106"/>
    <s v="M"/>
    <d v="2014-03-22T00:00:00"/>
    <m/>
    <b v="0"/>
    <x v="0"/>
  </r>
  <r>
    <x v="18"/>
    <x v="0"/>
    <x v="106"/>
    <s v="M"/>
    <d v="2015-01-30T00:00:00"/>
    <d v="1899-12-30T00:00:00"/>
    <b v="0"/>
    <x v="0"/>
  </r>
  <r>
    <x v="1"/>
    <x v="0"/>
    <x v="106"/>
    <s v="M"/>
    <d v="2014-09-22T00:00:00"/>
    <d v="1899-12-30T00:00:00"/>
    <b v="0"/>
    <x v="0"/>
  </r>
  <r>
    <x v="15"/>
    <x v="0"/>
    <x v="106"/>
    <s v="M"/>
    <d v="2015-02-22T00:00:00"/>
    <d v="1899-12-30T00:00:00"/>
    <b v="0"/>
    <x v="0"/>
  </r>
  <r>
    <x v="16"/>
    <x v="0"/>
    <x v="106"/>
    <s v="M"/>
    <d v="2014-03-04T00:00:00"/>
    <m/>
    <b v="0"/>
    <x v="0"/>
  </r>
  <r>
    <x v="19"/>
    <x v="0"/>
    <x v="106"/>
    <s v="M"/>
    <d v="2014-09-26T00:00:00"/>
    <d v="1899-12-30T00:00:00"/>
    <b v="0"/>
    <x v="0"/>
  </r>
  <r>
    <x v="2"/>
    <x v="0"/>
    <x v="106"/>
    <s v="M"/>
    <d v="2015-03-08T00:00:00"/>
    <d v="1899-12-30T00:00:00"/>
    <b v="0"/>
    <x v="0"/>
  </r>
  <r>
    <x v="3"/>
    <x v="0"/>
    <x v="106"/>
    <s v="M"/>
    <d v="2015-01-15T00:00:00"/>
    <d v="1899-12-30T00:00:00"/>
    <b v="0"/>
    <x v="0"/>
  </r>
  <r>
    <x v="4"/>
    <x v="0"/>
    <x v="106"/>
    <s v="M"/>
    <d v="2015-02-15T00:00:00"/>
    <d v="1899-12-30T00:00:00"/>
    <b v="0"/>
    <x v="0"/>
  </r>
  <r>
    <x v="5"/>
    <x v="0"/>
    <x v="106"/>
    <s v="M"/>
    <d v="2015-02-10T08:29:00"/>
    <d v="1899-12-30T00:00:00"/>
    <b v="0"/>
    <x v="0"/>
  </r>
  <r>
    <x v="0"/>
    <x v="0"/>
    <x v="106"/>
    <s v="M"/>
    <d v="2014-06-11T00:00:00"/>
    <d v="1899-12-30T00:00:00"/>
    <b v="0"/>
    <x v="0"/>
  </r>
  <r>
    <x v="20"/>
    <x v="0"/>
    <x v="106"/>
    <s v="M"/>
    <d v="2014-09-30T16:52:00"/>
    <d v="1899-12-30T00:00:00"/>
    <b v="0"/>
    <x v="0"/>
  </r>
  <r>
    <x v="6"/>
    <x v="0"/>
    <x v="106"/>
    <s v="M"/>
    <d v="2013-03-25T00:00:00"/>
    <d v="1899-12-30T00:00:00"/>
    <b v="0"/>
    <x v="0"/>
  </r>
  <r>
    <x v="7"/>
    <x v="0"/>
    <x v="106"/>
    <s v="M"/>
    <d v="2014-04-10T00:00:00"/>
    <d v="1899-12-30T00:00:00"/>
    <b v="0"/>
    <x v="0"/>
  </r>
  <r>
    <x v="21"/>
    <x v="0"/>
    <x v="106"/>
    <s v="M"/>
    <d v="2014-03-24T00:00:00"/>
    <m/>
    <b v="0"/>
    <x v="0"/>
  </r>
  <r>
    <x v="8"/>
    <x v="0"/>
    <x v="106"/>
    <s v="M"/>
    <d v="2013-04-15T00:00:00"/>
    <d v="1899-12-30T00:00:00"/>
    <b v="0"/>
    <x v="0"/>
  </r>
  <r>
    <x v="9"/>
    <x v="0"/>
    <x v="106"/>
    <s v="M"/>
    <d v="2014-10-31T05:52:00"/>
    <d v="1899-12-30T00:00:00"/>
    <b v="0"/>
    <x v="0"/>
  </r>
  <r>
    <x v="10"/>
    <x v="0"/>
    <x v="106"/>
    <s v="M"/>
    <d v="2014-03-31T00:00:00"/>
    <d v="1899-12-30T00:00:00"/>
    <b v="0"/>
    <x v="0"/>
  </r>
  <r>
    <x v="22"/>
    <x v="0"/>
    <x v="106"/>
    <s v="M"/>
    <d v="2015-03-25T00:00:00"/>
    <d v="1899-12-30T00:00:00"/>
    <b v="0"/>
    <x v="0"/>
  </r>
  <r>
    <x v="23"/>
    <x v="0"/>
    <x v="106"/>
    <s v="M"/>
    <d v="2014-03-07T00:00:00"/>
    <d v="1899-12-30T00:00:00"/>
    <b v="0"/>
    <x v="0"/>
  </r>
  <r>
    <x v="11"/>
    <x v="0"/>
    <x v="106"/>
    <s v="M"/>
    <d v="2013-07-24T00:00:00"/>
    <m/>
    <b v="0"/>
    <x v="0"/>
  </r>
  <r>
    <x v="12"/>
    <x v="0"/>
    <x v="106"/>
    <s v="M"/>
    <d v="2013-05-22T00:00:00"/>
    <d v="1899-12-30T00:00:00"/>
    <b v="0"/>
    <x v="0"/>
  </r>
  <r>
    <x v="13"/>
    <x v="0"/>
    <x v="106"/>
    <s v="M"/>
    <d v="2015-03-05T00:00:00"/>
    <d v="1899-12-30T00:00:00"/>
    <b v="0"/>
    <x v="0"/>
  </r>
  <r>
    <x v="17"/>
    <x v="0"/>
    <x v="107"/>
    <s v="M"/>
    <d v="2027-04-01T00:00:00"/>
    <d v="1899-12-30T00:00:00"/>
    <b v="0"/>
    <x v="0"/>
  </r>
  <r>
    <x v="14"/>
    <x v="0"/>
    <x v="107"/>
    <s v="M"/>
    <d v="2003-10-01T00:00:00"/>
    <m/>
    <b v="0"/>
    <x v="0"/>
  </r>
  <r>
    <x v="18"/>
    <x v="0"/>
    <x v="107"/>
    <s v="M"/>
    <d v="2013-07-01T00:00:00"/>
    <m/>
    <b v="0"/>
    <x v="0"/>
  </r>
  <r>
    <x v="1"/>
    <x v="0"/>
    <x v="107"/>
    <s v="M"/>
    <d v="2012-10-01T00:00:00"/>
    <m/>
    <b v="0"/>
    <x v="0"/>
  </r>
  <r>
    <x v="15"/>
    <x v="0"/>
    <x v="107"/>
    <s v="M"/>
    <d v="2014-09-01T00:00:00"/>
    <d v="1899-12-30T00:00:00"/>
    <b v="0"/>
    <x v="0"/>
  </r>
  <r>
    <x v="16"/>
    <x v="0"/>
    <x v="107"/>
    <s v="M"/>
    <d v="2013-01-01T00:00:00"/>
    <m/>
    <b v="0"/>
    <x v="0"/>
  </r>
  <r>
    <x v="19"/>
    <x v="0"/>
    <x v="107"/>
    <s v="M"/>
    <d v="2010-12-10T00:00:00"/>
    <m/>
    <b v="0"/>
    <x v="0"/>
  </r>
  <r>
    <x v="2"/>
    <x v="0"/>
    <x v="107"/>
    <s v="M"/>
    <d v="2009-11-01T00:00:00"/>
    <m/>
    <b v="0"/>
    <x v="0"/>
  </r>
  <r>
    <x v="3"/>
    <x v="0"/>
    <x v="107"/>
    <s v="M"/>
    <d v="2009-07-01T00:00:00"/>
    <m/>
    <b v="0"/>
    <x v="0"/>
  </r>
  <r>
    <x v="4"/>
    <x v="0"/>
    <x v="107"/>
    <s v="M"/>
    <d v="2004-02-01T00:00:00"/>
    <m/>
    <b v="0"/>
    <x v="0"/>
  </r>
  <r>
    <x v="5"/>
    <x v="0"/>
    <x v="107"/>
    <s v="M"/>
    <d v="2004-02-01T00:00:00"/>
    <m/>
    <b v="0"/>
    <x v="0"/>
  </r>
  <r>
    <x v="0"/>
    <x v="0"/>
    <x v="107"/>
    <s v="M"/>
    <d v="2003-08-01T00:00:00"/>
    <m/>
    <b v="0"/>
    <x v="0"/>
  </r>
  <r>
    <x v="20"/>
    <x v="0"/>
    <x v="107"/>
    <s v="M"/>
    <d v="2003-10-01T00:00:00"/>
    <m/>
    <b v="0"/>
    <x v="0"/>
  </r>
  <r>
    <x v="6"/>
    <x v="0"/>
    <x v="107"/>
    <s v="M"/>
    <d v="2009-12-31T00:00:00"/>
    <m/>
    <b v="0"/>
    <x v="0"/>
  </r>
  <r>
    <x v="7"/>
    <x v="0"/>
    <x v="107"/>
    <s v="M"/>
    <d v="2003-12-01T00:00:00"/>
    <m/>
    <b v="0"/>
    <x v="0"/>
  </r>
  <r>
    <x v="21"/>
    <x v="0"/>
    <x v="107"/>
    <s v="M"/>
    <d v="2010-02-01T00:00:00"/>
    <m/>
    <b v="0"/>
    <x v="0"/>
  </r>
  <r>
    <x v="8"/>
    <x v="0"/>
    <x v="107"/>
    <s v="M"/>
    <d v="2009-10-01T00:00:00"/>
    <m/>
    <b v="0"/>
    <x v="0"/>
  </r>
  <r>
    <x v="9"/>
    <x v="0"/>
    <x v="107"/>
    <s v="M"/>
    <d v="2009-10-01T00:00:00"/>
    <m/>
    <b v="0"/>
    <x v="0"/>
  </r>
  <r>
    <x v="10"/>
    <x v="0"/>
    <x v="107"/>
    <s v="M"/>
    <d v="2009-09-01T00:00:00"/>
    <m/>
    <b v="0"/>
    <x v="0"/>
  </r>
  <r>
    <x v="22"/>
    <x v="0"/>
    <x v="107"/>
    <s v="M"/>
    <d v="2004-02-01T00:00:00"/>
    <m/>
    <b v="0"/>
    <x v="0"/>
  </r>
  <r>
    <x v="23"/>
    <x v="0"/>
    <x v="107"/>
    <s v="M"/>
    <d v="2004-02-01T00:00:00"/>
    <m/>
    <b v="0"/>
    <x v="0"/>
  </r>
  <r>
    <x v="11"/>
    <x v="0"/>
    <x v="107"/>
    <s v="M"/>
    <d v="2010-08-01T00:00:00"/>
    <m/>
    <b v="0"/>
    <x v="0"/>
  </r>
  <r>
    <x v="12"/>
    <x v="0"/>
    <x v="107"/>
    <s v="M"/>
    <d v="2010-09-01T00:00:00"/>
    <m/>
    <b v="0"/>
    <x v="0"/>
  </r>
  <r>
    <x v="13"/>
    <x v="0"/>
    <x v="107"/>
    <s v="M"/>
    <d v="2010-12-01T00:00:00"/>
    <m/>
    <b v="0"/>
    <x v="0"/>
  </r>
  <r>
    <x v="17"/>
    <x v="0"/>
    <x v="108"/>
    <s v="M"/>
    <d v="2015-04-01T13:27:00"/>
    <d v="1899-12-30T00:00:00"/>
    <b v="0"/>
    <x v="0"/>
  </r>
  <r>
    <x v="14"/>
    <x v="0"/>
    <x v="108"/>
    <s v="M"/>
    <d v="2003-10-01T00:00:00"/>
    <m/>
    <b v="0"/>
    <x v="0"/>
  </r>
  <r>
    <x v="18"/>
    <x v="0"/>
    <x v="108"/>
    <s v="M"/>
    <d v="2004-02-01T00:00:00"/>
    <m/>
    <b v="0"/>
    <x v="0"/>
  </r>
  <r>
    <x v="1"/>
    <x v="0"/>
    <x v="108"/>
    <s v="M"/>
    <d v="2015-03-01T00:00:00"/>
    <d v="1899-12-30T00:00:00"/>
    <b v="0"/>
    <x v="0"/>
  </r>
  <r>
    <x v="15"/>
    <x v="0"/>
    <x v="108"/>
    <s v="M"/>
    <d v="2014-09-01T00:00:00"/>
    <d v="1899-12-30T00:00:00"/>
    <b v="0"/>
    <x v="0"/>
  </r>
  <r>
    <x v="16"/>
    <x v="0"/>
    <x v="108"/>
    <s v="M"/>
    <d v="2013-01-01T00:00:00"/>
    <m/>
    <b v="0"/>
    <x v="0"/>
  </r>
  <r>
    <x v="19"/>
    <x v="0"/>
    <x v="108"/>
    <s v="M"/>
    <d v="2010-12-10T00:00:00"/>
    <m/>
    <b v="0"/>
    <x v="0"/>
  </r>
  <r>
    <x v="2"/>
    <x v="0"/>
    <x v="108"/>
    <s v="M"/>
    <d v="2009-12-31T00:00:00"/>
    <d v="1899-12-30T00:00:00"/>
    <b v="0"/>
    <x v="0"/>
  </r>
  <r>
    <x v="3"/>
    <x v="0"/>
    <x v="108"/>
    <s v="M"/>
    <d v="2009-07-01T00:00:00"/>
    <m/>
    <b v="0"/>
    <x v="0"/>
  </r>
  <r>
    <x v="4"/>
    <x v="0"/>
    <x v="108"/>
    <s v="M"/>
    <d v="2009-07-01T00:00:00"/>
    <m/>
    <b v="0"/>
    <x v="0"/>
  </r>
  <r>
    <x v="5"/>
    <x v="0"/>
    <x v="108"/>
    <s v="M"/>
    <d v="2009-08-01T00:00:00"/>
    <m/>
    <b v="0"/>
    <x v="0"/>
  </r>
  <r>
    <x v="0"/>
    <x v="0"/>
    <x v="108"/>
    <s v="M"/>
    <d v="2003-10-01T00:00:00"/>
    <m/>
    <b v="0"/>
    <x v="0"/>
  </r>
  <r>
    <x v="20"/>
    <x v="0"/>
    <x v="108"/>
    <s v="M"/>
    <d v="2009-11-01T00:00:00"/>
    <m/>
    <b v="0"/>
    <x v="0"/>
  </r>
  <r>
    <x v="6"/>
    <x v="0"/>
    <x v="108"/>
    <s v="M"/>
    <d v="2009-12-01T00:00:00"/>
    <m/>
    <b v="0"/>
    <x v="0"/>
  </r>
  <r>
    <x v="7"/>
    <x v="0"/>
    <x v="108"/>
    <s v="M"/>
    <d v="2010-01-01T00:00:00"/>
    <m/>
    <b v="0"/>
    <x v="0"/>
  </r>
  <r>
    <x v="21"/>
    <x v="0"/>
    <x v="108"/>
    <s v="M"/>
    <d v="2010-02-01T00:00:00"/>
    <m/>
    <b v="0"/>
    <x v="0"/>
  </r>
  <r>
    <x v="8"/>
    <x v="0"/>
    <x v="108"/>
    <s v="M"/>
    <d v="2009-10-01T00:00:00"/>
    <m/>
    <b v="0"/>
    <x v="0"/>
  </r>
  <r>
    <x v="9"/>
    <x v="0"/>
    <x v="108"/>
    <s v="M"/>
    <d v="2009-10-01T00:00:00"/>
    <m/>
    <b v="0"/>
    <x v="0"/>
  </r>
  <r>
    <x v="10"/>
    <x v="0"/>
    <x v="108"/>
    <s v="M"/>
    <d v="2009-09-01T00:00:00"/>
    <m/>
    <b v="0"/>
    <x v="0"/>
  </r>
  <r>
    <x v="22"/>
    <x v="0"/>
    <x v="108"/>
    <s v="M"/>
    <d v="2010-08-01T00:00:00"/>
    <m/>
    <b v="0"/>
    <x v="0"/>
  </r>
  <r>
    <x v="23"/>
    <x v="0"/>
    <x v="108"/>
    <s v="M"/>
    <d v="2010-09-01T00:00:00"/>
    <m/>
    <b v="0"/>
    <x v="0"/>
  </r>
  <r>
    <x v="11"/>
    <x v="0"/>
    <x v="108"/>
    <s v="M"/>
    <d v="2010-08-01T00:00:00"/>
    <m/>
    <b v="0"/>
    <x v="0"/>
  </r>
  <r>
    <x v="12"/>
    <x v="0"/>
    <x v="108"/>
    <s v="M"/>
    <d v="2010-09-01T00:00:00"/>
    <m/>
    <b v="0"/>
    <x v="0"/>
  </r>
  <r>
    <x v="13"/>
    <x v="0"/>
    <x v="108"/>
    <s v="M"/>
    <d v="2010-12-01T00:00:00"/>
    <m/>
    <b v="0"/>
    <x v="0"/>
  </r>
  <r>
    <x v="17"/>
    <x v="0"/>
    <x v="109"/>
    <s v="M"/>
    <d v="2014-04-30T00:00:00"/>
    <d v="1899-12-30T00:00:00"/>
    <b v="0"/>
    <x v="0"/>
  </r>
  <r>
    <x v="14"/>
    <x v="0"/>
    <x v="109"/>
    <s v="M"/>
    <d v="2015-03-11T00:00:00"/>
    <d v="1899-12-30T00:00:00"/>
    <b v="0"/>
    <x v="0"/>
  </r>
  <r>
    <x v="18"/>
    <x v="0"/>
    <x v="109"/>
    <s v="M"/>
    <d v="2014-11-26T00:00:00"/>
    <d v="1899-12-30T00:00:00"/>
    <b v="0"/>
    <x v="0"/>
  </r>
  <r>
    <x v="15"/>
    <x v="0"/>
    <x v="109"/>
    <s v="M"/>
    <d v="2014-05-22T00:00:00"/>
    <d v="1899-12-30T00:00:00"/>
    <b v="0"/>
    <x v="0"/>
  </r>
  <r>
    <x v="16"/>
    <x v="0"/>
    <x v="109"/>
    <s v="M"/>
    <d v="2014-04-30T00:00:00"/>
    <d v="1899-12-30T00:00:00"/>
    <b v="0"/>
    <x v="0"/>
  </r>
  <r>
    <x v="19"/>
    <x v="0"/>
    <x v="109"/>
    <s v="M"/>
    <d v="2010-12-10T00:00:00"/>
    <m/>
    <b v="0"/>
    <x v="0"/>
  </r>
  <r>
    <x v="0"/>
    <x v="0"/>
    <x v="109"/>
    <s v="M"/>
    <d v="2014-11-26T00:00:00"/>
    <d v="1899-12-30T00:00:00"/>
    <b v="0"/>
    <x v="0"/>
  </r>
  <r>
    <x v="7"/>
    <x v="0"/>
    <x v="109"/>
    <s v="M"/>
    <d v="2013-10-24T00:00:00"/>
    <m/>
    <b v="0"/>
    <x v="0"/>
  </r>
  <r>
    <x v="21"/>
    <x v="0"/>
    <x v="109"/>
    <s v="M"/>
    <d v="2014-06-03T00:00:00"/>
    <d v="1899-12-30T00:00:00"/>
    <b v="0"/>
    <x v="0"/>
  </r>
  <r>
    <x v="10"/>
    <x v="0"/>
    <x v="109"/>
    <s v="M"/>
    <d v="2013-10-28T00:00:00"/>
    <m/>
    <b v="0"/>
    <x v="0"/>
  </r>
  <r>
    <x v="23"/>
    <x v="0"/>
    <x v="109"/>
    <s v="M"/>
    <d v="2014-11-26T00:00:00"/>
    <d v="1899-12-30T00:00:00"/>
    <b v="0"/>
    <x v="0"/>
  </r>
  <r>
    <x v="13"/>
    <x v="0"/>
    <x v="109"/>
    <s v="M"/>
    <d v="2014-04-28T00:00:00"/>
    <d v="1899-12-30T00:00:00"/>
    <b v="0"/>
    <x v="0"/>
  </r>
  <r>
    <x v="14"/>
    <x v="0"/>
    <x v="110"/>
    <s v="M"/>
    <d v="2014-10-05T00:00:00"/>
    <d v="1899-12-30T00:00:00"/>
    <b v="0"/>
    <x v="0"/>
  </r>
  <r>
    <x v="17"/>
    <x v="0"/>
    <x v="111"/>
    <s v="D"/>
    <d v="2015-03-31T16:58:00"/>
    <d v="1899-12-30T00:00:00"/>
    <b v="0"/>
    <x v="0"/>
  </r>
  <r>
    <x v="14"/>
    <x v="0"/>
    <x v="111"/>
    <s v="D"/>
    <d v="2015-03-11T00:00:00"/>
    <d v="1899-12-30T00:00:00"/>
    <b v="0"/>
    <x v="0"/>
  </r>
  <r>
    <x v="18"/>
    <x v="0"/>
    <x v="111"/>
    <s v="D"/>
    <d v="2015-04-09T10:34:00"/>
    <d v="1899-12-30T00:00:00"/>
    <b v="0"/>
    <x v="0"/>
  </r>
  <r>
    <x v="1"/>
    <x v="0"/>
    <x v="111"/>
    <s v="D"/>
    <d v="2015-03-18T00:00:00"/>
    <d v="1899-12-30T00:00:00"/>
    <b v="0"/>
    <x v="0"/>
  </r>
  <r>
    <x v="15"/>
    <x v="0"/>
    <x v="111"/>
    <s v="D"/>
    <d v="2015-03-31T14:00:00"/>
    <d v="1899-12-30T00:00:00"/>
    <b v="0"/>
    <x v="0"/>
  </r>
  <r>
    <x v="16"/>
    <x v="0"/>
    <x v="111"/>
    <s v="D"/>
    <d v="2015-03-26T12:45:00"/>
    <d v="1899-12-30T00:00:00"/>
    <b v="0"/>
    <x v="0"/>
  </r>
  <r>
    <x v="19"/>
    <x v="0"/>
    <x v="111"/>
    <s v="D"/>
    <d v="2015-03-10T10:47:00"/>
    <d v="1899-12-30T00:00:00"/>
    <b v="0"/>
    <x v="0"/>
  </r>
  <r>
    <x v="2"/>
    <x v="0"/>
    <x v="111"/>
    <s v="D"/>
    <d v="2015-04-17T21:33:00"/>
    <d v="1899-12-30T00:00:00"/>
    <b v="0"/>
    <x v="0"/>
  </r>
  <r>
    <x v="3"/>
    <x v="0"/>
    <x v="111"/>
    <s v="D"/>
    <d v="2015-04-16T14:55:00"/>
    <d v="1899-12-30T00:00:00"/>
    <b v="0"/>
    <x v="0"/>
  </r>
  <r>
    <x v="4"/>
    <x v="0"/>
    <x v="111"/>
    <s v="D"/>
    <d v="2015-02-05T20:26:00"/>
    <d v="1899-12-30T00:00:00"/>
    <b v="0"/>
    <x v="0"/>
  </r>
  <r>
    <x v="0"/>
    <x v="0"/>
    <x v="111"/>
    <s v="D"/>
    <d v="2015-04-14T15:56:00"/>
    <d v="1899-12-30T00:00:00"/>
    <b v="0"/>
    <x v="0"/>
  </r>
  <r>
    <x v="20"/>
    <x v="0"/>
    <x v="111"/>
    <s v="D"/>
    <d v="2015-04-07T16:45:00"/>
    <d v="1899-12-30T00:00:00"/>
    <b v="0"/>
    <x v="0"/>
  </r>
  <r>
    <x v="6"/>
    <x v="0"/>
    <x v="111"/>
    <s v="D"/>
    <d v="2015-03-16T20:18:00"/>
    <d v="1899-12-30T00:00:00"/>
    <b v="0"/>
    <x v="0"/>
  </r>
  <r>
    <x v="7"/>
    <x v="0"/>
    <x v="111"/>
    <s v="D"/>
    <d v="2015-04-14T14:08:00"/>
    <d v="1899-12-30T00:00:00"/>
    <b v="0"/>
    <x v="0"/>
  </r>
  <r>
    <x v="21"/>
    <x v="0"/>
    <x v="111"/>
    <s v="D"/>
    <d v="2015-04-15T13:48:00"/>
    <d v="1899-12-30T00:00:00"/>
    <b v="0"/>
    <x v="0"/>
  </r>
  <r>
    <x v="8"/>
    <x v="0"/>
    <x v="111"/>
    <s v="D"/>
    <d v="2015-03-05T09:37:00"/>
    <d v="1899-12-30T00:00:00"/>
    <b v="0"/>
    <x v="0"/>
  </r>
  <r>
    <x v="10"/>
    <x v="0"/>
    <x v="111"/>
    <s v="D"/>
    <d v="2015-04-17T08:35:00"/>
    <d v="1899-12-30T00:00:00"/>
    <b v="0"/>
    <x v="0"/>
  </r>
  <r>
    <x v="22"/>
    <x v="0"/>
    <x v="111"/>
    <s v="D"/>
    <d v="2015-03-13T19:31:00"/>
    <d v="1899-12-30T00:00:00"/>
    <b v="0"/>
    <x v="0"/>
  </r>
  <r>
    <x v="23"/>
    <x v="0"/>
    <x v="111"/>
    <s v="D"/>
    <d v="2015-02-12T00:00:00"/>
    <d v="1899-12-30T00:00:00"/>
    <b v="0"/>
    <x v="0"/>
  </r>
  <r>
    <x v="11"/>
    <x v="0"/>
    <x v="111"/>
    <s v="D"/>
    <d v="2015-03-13T15:57:00"/>
    <d v="1899-12-30T00:00:00"/>
    <b v="0"/>
    <x v="0"/>
  </r>
  <r>
    <x v="12"/>
    <x v="0"/>
    <x v="111"/>
    <s v="D"/>
    <d v="2015-03-29T11:51:00"/>
    <d v="1899-12-30T00:00:00"/>
    <b v="0"/>
    <x v="0"/>
  </r>
  <r>
    <x v="13"/>
    <x v="0"/>
    <x v="111"/>
    <s v="D"/>
    <d v="2015-03-31T06:07:00"/>
    <d v="1899-12-30T00:00:00"/>
    <b v="0"/>
    <x v="0"/>
  </r>
  <r>
    <x v="17"/>
    <x v="0"/>
    <x v="112"/>
    <s v="D"/>
    <d v="2015-04-10T07:42:00"/>
    <d v="1899-12-30T00:00:00"/>
    <b v="0"/>
    <x v="0"/>
  </r>
  <r>
    <x v="14"/>
    <x v="0"/>
    <x v="112"/>
    <s v="D"/>
    <d v="2015-03-25T00:00:00"/>
    <d v="1899-12-30T00:00:00"/>
    <b v="0"/>
    <x v="0"/>
  </r>
  <r>
    <x v="18"/>
    <x v="0"/>
    <x v="112"/>
    <s v="D"/>
    <d v="2015-04-20T09:35:00"/>
    <d v="1899-12-30T00:00:00"/>
    <b v="0"/>
    <x v="0"/>
  </r>
  <r>
    <x v="1"/>
    <x v="0"/>
    <x v="112"/>
    <s v="D"/>
    <d v="2015-04-16T03:01:00"/>
    <d v="1899-12-30T00:00:00"/>
    <b v="0"/>
    <x v="0"/>
  </r>
  <r>
    <x v="15"/>
    <x v="0"/>
    <x v="112"/>
    <s v="D"/>
    <d v="2015-04-09T00:00:00"/>
    <d v="1899-12-30T00:00:00"/>
    <b v="0"/>
    <x v="0"/>
  </r>
  <r>
    <x v="16"/>
    <x v="0"/>
    <x v="112"/>
    <s v="D"/>
    <d v="2015-04-10T08:13:00"/>
    <d v="1899-12-30T00:00:00"/>
    <b v="0"/>
    <x v="0"/>
  </r>
  <r>
    <x v="19"/>
    <x v="0"/>
    <x v="112"/>
    <s v="D"/>
    <d v="2015-04-17T13:26:00"/>
    <d v="1899-12-30T00:00:00"/>
    <b v="0"/>
    <x v="0"/>
  </r>
  <r>
    <x v="2"/>
    <x v="0"/>
    <x v="112"/>
    <s v="D"/>
    <d v="2015-04-08T21:50:00"/>
    <d v="1899-12-30T00:00:00"/>
    <b v="0"/>
    <x v="0"/>
  </r>
  <r>
    <x v="3"/>
    <x v="0"/>
    <x v="112"/>
    <s v="D"/>
    <d v="2015-04-13T11:19:00"/>
    <d v="1899-12-30T00:00:00"/>
    <b v="0"/>
    <x v="0"/>
  </r>
  <r>
    <x v="4"/>
    <x v="0"/>
    <x v="112"/>
    <s v="D"/>
    <d v="2015-02-18T09:33:00"/>
    <d v="1899-12-30T00:00:00"/>
    <b v="0"/>
    <x v="0"/>
  </r>
  <r>
    <x v="0"/>
    <x v="0"/>
    <x v="112"/>
    <s v="D"/>
    <d v="2015-04-08T15:03:00"/>
    <d v="1899-12-30T00:00:00"/>
    <b v="0"/>
    <x v="0"/>
  </r>
  <r>
    <x v="20"/>
    <x v="0"/>
    <x v="112"/>
    <s v="D"/>
    <d v="2015-04-14T22:37:00"/>
    <d v="1899-12-30T00:00:00"/>
    <b v="0"/>
    <x v="0"/>
  </r>
  <r>
    <x v="6"/>
    <x v="0"/>
    <x v="112"/>
    <s v="D"/>
    <d v="2015-03-24T12:23:00"/>
    <d v="1899-12-30T00:00:00"/>
    <b v="0"/>
    <x v="0"/>
  </r>
  <r>
    <x v="7"/>
    <x v="0"/>
    <x v="112"/>
    <s v="D"/>
    <d v="2015-04-08T06:50:00"/>
    <d v="1899-12-30T00:00:00"/>
    <b v="0"/>
    <x v="0"/>
  </r>
  <r>
    <x v="21"/>
    <x v="0"/>
    <x v="112"/>
    <s v="D"/>
    <d v="2015-04-13T00:00:00"/>
    <d v="1899-12-30T00:00:00"/>
    <b v="0"/>
    <x v="0"/>
  </r>
  <r>
    <x v="8"/>
    <x v="0"/>
    <x v="112"/>
    <s v="D"/>
    <d v="2015-03-03T10:42:00"/>
    <d v="1899-12-30T00:00:00"/>
    <b v="0"/>
    <x v="0"/>
  </r>
  <r>
    <x v="10"/>
    <x v="0"/>
    <x v="112"/>
    <s v="D"/>
    <d v="2015-04-17T08:22:00"/>
    <d v="1899-12-30T00:00:00"/>
    <b v="0"/>
    <x v="0"/>
  </r>
  <r>
    <x v="22"/>
    <x v="0"/>
    <x v="112"/>
    <s v="D"/>
    <d v="2015-04-15T00:00:00"/>
    <d v="1899-12-30T00:00:00"/>
    <b v="0"/>
    <x v="0"/>
  </r>
  <r>
    <x v="23"/>
    <x v="0"/>
    <x v="112"/>
    <s v="D"/>
    <d v="2015-04-17T02:00:00"/>
    <d v="1899-12-30T00:00:00"/>
    <b v="0"/>
    <x v="0"/>
  </r>
  <r>
    <x v="11"/>
    <x v="0"/>
    <x v="112"/>
    <s v="D"/>
    <d v="2015-04-08T14:02:00"/>
    <d v="1899-12-30T00:00:00"/>
    <b v="0"/>
    <x v="0"/>
  </r>
  <r>
    <x v="12"/>
    <x v="0"/>
    <x v="112"/>
    <s v="D"/>
    <d v="2015-04-10T16:29:00"/>
    <d v="1899-12-30T00:00:00"/>
    <b v="0"/>
    <x v="0"/>
  </r>
  <r>
    <x v="13"/>
    <x v="0"/>
    <x v="112"/>
    <s v="D"/>
    <d v="2015-04-10T18:48:00"/>
    <d v="1899-12-30T00:00:00"/>
    <b v="0"/>
    <x v="0"/>
  </r>
  <r>
    <x v="18"/>
    <x v="0"/>
    <x v="113"/>
    <s v="M"/>
    <d v="2014-11-26T00:00:00"/>
    <d v="1899-12-30T00:00:00"/>
    <b v="0"/>
    <x v="0"/>
  </r>
  <r>
    <x v="2"/>
    <x v="0"/>
    <x v="113"/>
    <s v="M"/>
    <d v="2014-11-29T00:00:00"/>
    <d v="1899-12-30T00:00:00"/>
    <b v="0"/>
    <x v="0"/>
  </r>
  <r>
    <x v="3"/>
    <x v="0"/>
    <x v="113"/>
    <s v="M"/>
    <d v="2014-11-25T19:17:00"/>
    <d v="1899-12-30T00:00:00"/>
    <b v="0"/>
    <x v="0"/>
  </r>
  <r>
    <x v="4"/>
    <x v="0"/>
    <x v="113"/>
    <s v="M"/>
    <d v="2014-09-04T00:00:00"/>
    <d v="1899-12-30T00:00:00"/>
    <b v="0"/>
    <x v="0"/>
  </r>
  <r>
    <x v="0"/>
    <x v="0"/>
    <x v="113"/>
    <s v="M"/>
    <d v="2014-11-26T00:00:00"/>
    <d v="1899-12-30T00:00:00"/>
    <b v="0"/>
    <x v="0"/>
  </r>
  <r>
    <x v="20"/>
    <x v="0"/>
    <x v="113"/>
    <s v="M"/>
    <d v="2015-03-08T00:00:00"/>
    <d v="1899-12-30T00:00:00"/>
    <b v="0"/>
    <x v="0"/>
  </r>
  <r>
    <x v="6"/>
    <x v="0"/>
    <x v="113"/>
    <s v="M"/>
    <d v="2014-09-19T00:00:00"/>
    <d v="1899-12-30T00:00:00"/>
    <b v="0"/>
    <x v="0"/>
  </r>
  <r>
    <x v="7"/>
    <x v="0"/>
    <x v="113"/>
    <s v="M"/>
    <d v="2015-03-19T00:00:00"/>
    <d v="1899-12-30T00:00:00"/>
    <b v="0"/>
    <x v="0"/>
  </r>
  <r>
    <x v="21"/>
    <x v="0"/>
    <x v="113"/>
    <s v="M"/>
    <d v="2015-03-19T00:00:00"/>
    <d v="1899-12-30T00:00:00"/>
    <b v="0"/>
    <x v="0"/>
  </r>
  <r>
    <x v="8"/>
    <x v="0"/>
    <x v="113"/>
    <s v="M"/>
    <d v="2014-09-11T00:00:00"/>
    <d v="1899-12-30T00:00:00"/>
    <b v="0"/>
    <x v="0"/>
  </r>
  <r>
    <x v="10"/>
    <x v="0"/>
    <x v="113"/>
    <s v="M"/>
    <d v="2015-04-17T08:25:00"/>
    <d v="1899-12-30T00:00:00"/>
    <b v="0"/>
    <x v="0"/>
  </r>
  <r>
    <x v="22"/>
    <x v="0"/>
    <x v="113"/>
    <s v="M"/>
    <d v="2015-04-08T22:17:00"/>
    <d v="1899-12-30T00:00:00"/>
    <b v="0"/>
    <x v="0"/>
  </r>
  <r>
    <x v="11"/>
    <x v="0"/>
    <x v="113"/>
    <s v="M"/>
    <d v="2015-03-24T13:39:00"/>
    <d v="1899-12-30T00:00:00"/>
    <b v="0"/>
    <x v="0"/>
  </r>
  <r>
    <x v="12"/>
    <x v="0"/>
    <x v="113"/>
    <s v="M"/>
    <d v="2015-03-08T00:00:00"/>
    <d v="1899-12-30T00:00:00"/>
    <b v="0"/>
    <x v="0"/>
  </r>
  <r>
    <x v="13"/>
    <x v="0"/>
    <x v="113"/>
    <s v="M"/>
    <d v="2015-03-19T00:00:00"/>
    <d v="1899-12-30T00:00:00"/>
    <b v="0"/>
    <x v="0"/>
  </r>
  <r>
    <x v="17"/>
    <x v="0"/>
    <x v="114"/>
    <s v="D"/>
    <d v="2015-04-16T10:58:00"/>
    <d v="1899-12-30T00:00:00"/>
    <b v="0"/>
    <x v="0"/>
  </r>
  <r>
    <x v="14"/>
    <x v="0"/>
    <x v="114"/>
    <s v="D"/>
    <d v="2015-03-25T00:00:00"/>
    <d v="1899-12-30T00:00:00"/>
    <b v="0"/>
    <x v="0"/>
  </r>
  <r>
    <x v="18"/>
    <x v="0"/>
    <x v="114"/>
    <s v="D"/>
    <d v="2015-04-08T11:14:00"/>
    <d v="1899-12-30T00:00:00"/>
    <b v="0"/>
    <x v="0"/>
  </r>
  <r>
    <x v="1"/>
    <x v="0"/>
    <x v="114"/>
    <s v="D"/>
    <d v="2015-04-13T13:55:00"/>
    <d v="1899-12-30T00:00:00"/>
    <b v="0"/>
    <x v="0"/>
  </r>
  <r>
    <x v="15"/>
    <x v="0"/>
    <x v="114"/>
    <s v="D"/>
    <d v="2015-04-09T13:09:00"/>
    <d v="1899-12-30T00:00:00"/>
    <b v="0"/>
    <x v="0"/>
  </r>
  <r>
    <x v="16"/>
    <x v="0"/>
    <x v="114"/>
    <s v="D"/>
    <d v="2015-04-09T11:28:00"/>
    <d v="1899-12-30T00:00:00"/>
    <b v="0"/>
    <x v="0"/>
  </r>
  <r>
    <x v="19"/>
    <x v="0"/>
    <x v="114"/>
    <s v="D"/>
    <d v="2015-04-15T17:09:00"/>
    <d v="1899-12-30T00:00:00"/>
    <b v="0"/>
    <x v="0"/>
  </r>
  <r>
    <x v="2"/>
    <x v="0"/>
    <x v="114"/>
    <s v="D"/>
    <d v="2015-04-17T11:20:00"/>
    <d v="1899-12-30T00:00:00"/>
    <b v="0"/>
    <x v="0"/>
  </r>
  <r>
    <x v="3"/>
    <x v="0"/>
    <x v="114"/>
    <s v="D"/>
    <d v="2015-04-13T12:15:00"/>
    <d v="1899-12-30T00:00:00"/>
    <b v="0"/>
    <x v="0"/>
  </r>
  <r>
    <x v="4"/>
    <x v="0"/>
    <x v="114"/>
    <s v="D"/>
    <d v="2015-02-18T00:00:00"/>
    <d v="1899-12-30T00:00:00"/>
    <b v="0"/>
    <x v="0"/>
  </r>
  <r>
    <x v="0"/>
    <x v="0"/>
    <x v="114"/>
    <s v="D"/>
    <d v="2015-04-08T15:04:00"/>
    <d v="1899-12-30T00:00:00"/>
    <b v="0"/>
    <x v="0"/>
  </r>
  <r>
    <x v="20"/>
    <x v="0"/>
    <x v="114"/>
    <s v="D"/>
    <d v="2015-04-14T22:39:00"/>
    <d v="1899-12-30T00:00:00"/>
    <b v="0"/>
    <x v="0"/>
  </r>
  <r>
    <x v="6"/>
    <x v="0"/>
    <x v="114"/>
    <s v="D"/>
    <d v="2015-03-10T12:24:00"/>
    <d v="1899-12-30T00:00:00"/>
    <b v="0"/>
    <x v="0"/>
  </r>
  <r>
    <x v="7"/>
    <x v="0"/>
    <x v="114"/>
    <s v="D"/>
    <d v="2015-04-15T15:17:00"/>
    <d v="1899-12-30T00:00:00"/>
    <b v="0"/>
    <x v="0"/>
  </r>
  <r>
    <x v="21"/>
    <x v="0"/>
    <x v="114"/>
    <s v="D"/>
    <d v="2015-04-13T00:00:00"/>
    <d v="1899-12-30T00:00:00"/>
    <b v="0"/>
    <x v="0"/>
  </r>
  <r>
    <x v="8"/>
    <x v="0"/>
    <x v="114"/>
    <s v="D"/>
    <d v="2015-03-11T06:49:00"/>
    <d v="1899-12-30T00:00:00"/>
    <b v="0"/>
    <x v="0"/>
  </r>
  <r>
    <x v="10"/>
    <x v="0"/>
    <x v="114"/>
    <s v="D"/>
    <d v="2015-04-17T08:23:00"/>
    <d v="1899-12-30T00:00:00"/>
    <b v="0"/>
    <x v="0"/>
  </r>
  <r>
    <x v="22"/>
    <x v="0"/>
    <x v="114"/>
    <s v="D"/>
    <d v="2015-04-15T00:00:00"/>
    <d v="1899-12-30T00:00:00"/>
    <b v="0"/>
    <x v="0"/>
  </r>
  <r>
    <x v="23"/>
    <x v="0"/>
    <x v="114"/>
    <s v="D"/>
    <d v="2015-04-16T21:31:00"/>
    <d v="1899-12-30T00:00:00"/>
    <b v="0"/>
    <x v="0"/>
  </r>
  <r>
    <x v="11"/>
    <x v="0"/>
    <x v="114"/>
    <s v="D"/>
    <d v="2015-04-10T00:29:00"/>
    <d v="1899-12-30T00:00:00"/>
    <b v="0"/>
    <x v="0"/>
  </r>
  <r>
    <x v="12"/>
    <x v="0"/>
    <x v="114"/>
    <s v="D"/>
    <d v="2015-04-10T13:44:00"/>
    <d v="1899-12-30T00:00:00"/>
    <b v="0"/>
    <x v="0"/>
  </r>
  <r>
    <x v="13"/>
    <x v="0"/>
    <x v="114"/>
    <s v="D"/>
    <d v="2015-04-10T18:46:00"/>
    <d v="1899-12-30T00:00:00"/>
    <b v="0"/>
    <x v="0"/>
  </r>
  <r>
    <x v="3"/>
    <x v="0"/>
    <x v="115"/>
    <s v="D"/>
    <d v="2014-11-17T10:48:00"/>
    <d v="1899-12-30T00:00:00"/>
    <b v="0"/>
    <x v="0"/>
  </r>
  <r>
    <x v="5"/>
    <x v="0"/>
    <x v="115"/>
    <s v="D"/>
    <d v="2015-03-05T08:09:00"/>
    <d v="1899-12-30T00:00:00"/>
    <b v="0"/>
    <x v="0"/>
  </r>
  <r>
    <x v="0"/>
    <x v="0"/>
    <x v="115"/>
    <s v="D"/>
    <d v="2014-11-12T00:00:00"/>
    <d v="1899-12-30T00:00:00"/>
    <b v="0"/>
    <x v="0"/>
  </r>
  <r>
    <x v="9"/>
    <x v="0"/>
    <x v="115"/>
    <s v="D"/>
    <d v="2014-10-31T13:44:00"/>
    <d v="1899-12-30T00:00:00"/>
    <b v="0"/>
    <x v="0"/>
  </r>
  <r>
    <x v="23"/>
    <x v="0"/>
    <x v="115"/>
    <s v="D"/>
    <d v="2014-11-12T07:40:00"/>
    <d v="1899-12-30T00:00:00"/>
    <b v="0"/>
    <x v="0"/>
  </r>
  <r>
    <x v="3"/>
    <x v="0"/>
    <x v="115"/>
    <s v="H"/>
    <m/>
    <d v="1910-11-29T12:00:00"/>
    <b v="0"/>
    <x v="0"/>
  </r>
  <r>
    <x v="5"/>
    <x v="1"/>
    <x v="116"/>
    <s v="D"/>
    <d v="2015-02-25T00:00:00"/>
    <d v="1899-12-30T00:00:00"/>
    <b v="0"/>
    <x v="0"/>
  </r>
  <r>
    <x v="14"/>
    <x v="1"/>
    <x v="3"/>
    <s v="D"/>
    <d v="2015-01-20T23:58:00"/>
    <d v="1899-12-30T00:00:00"/>
    <b v="0"/>
    <x v="0"/>
  </r>
  <r>
    <x v="18"/>
    <x v="1"/>
    <x v="3"/>
    <s v="D"/>
    <d v="2015-02-27T14:33:00"/>
    <d v="1899-12-30T00:00:00"/>
    <b v="0"/>
    <x v="0"/>
  </r>
  <r>
    <x v="1"/>
    <x v="1"/>
    <x v="3"/>
    <s v="D"/>
    <d v="2015-01-21T00:00:00"/>
    <d v="1899-12-30T00:00:00"/>
    <b v="0"/>
    <x v="0"/>
  </r>
  <r>
    <x v="3"/>
    <x v="1"/>
    <x v="3"/>
    <s v="D"/>
    <d v="2015-02-25T11:01:00"/>
    <d v="1899-12-30T00:00:00"/>
    <b v="0"/>
    <x v="0"/>
  </r>
  <r>
    <x v="4"/>
    <x v="1"/>
    <x v="3"/>
    <s v="D"/>
    <d v="2015-02-24T08:35:00"/>
    <d v="1899-12-30T00:00:00"/>
    <b v="0"/>
    <x v="0"/>
  </r>
  <r>
    <x v="5"/>
    <x v="1"/>
    <x v="3"/>
    <s v="D"/>
    <d v="2015-03-15T08:22:00"/>
    <d v="1899-12-30T00:00:00"/>
    <b v="0"/>
    <x v="0"/>
  </r>
  <r>
    <x v="0"/>
    <x v="1"/>
    <x v="3"/>
    <s v="D"/>
    <d v="2015-03-05T07:59:00"/>
    <d v="1899-12-30T00:00:00"/>
    <b v="0"/>
    <x v="0"/>
  </r>
  <r>
    <x v="20"/>
    <x v="1"/>
    <x v="3"/>
    <s v="D"/>
    <d v="2015-02-26T13:47:00"/>
    <d v="1899-12-30T00:00:00"/>
    <b v="0"/>
    <x v="0"/>
  </r>
  <r>
    <x v="6"/>
    <x v="1"/>
    <x v="3"/>
    <s v="D"/>
    <d v="2015-02-18T11:11:00"/>
    <d v="1899-12-30T00:00:00"/>
    <b v="0"/>
    <x v="0"/>
  </r>
  <r>
    <x v="7"/>
    <x v="1"/>
    <x v="3"/>
    <s v="D"/>
    <d v="2015-03-04T00:00:00"/>
    <d v="1899-12-30T00:00:00"/>
    <b v="0"/>
    <x v="0"/>
  </r>
  <r>
    <x v="21"/>
    <x v="1"/>
    <x v="3"/>
    <s v="D"/>
    <d v="2015-03-03T00:00:00"/>
    <d v="1899-12-30T00:00:00"/>
    <b v="0"/>
    <x v="0"/>
  </r>
  <r>
    <x v="8"/>
    <x v="1"/>
    <x v="3"/>
    <s v="D"/>
    <d v="2015-03-03T16:35:00"/>
    <d v="1899-12-30T00:00:00"/>
    <b v="0"/>
    <x v="0"/>
  </r>
  <r>
    <x v="9"/>
    <x v="1"/>
    <x v="3"/>
    <s v="D"/>
    <d v="2015-02-19T07:51:00"/>
    <d v="1899-12-30T00:00:00"/>
    <b v="0"/>
    <x v="0"/>
  </r>
  <r>
    <x v="10"/>
    <x v="1"/>
    <x v="3"/>
    <s v="D"/>
    <d v="2015-02-27T14:48:00"/>
    <d v="1899-12-30T00:00:00"/>
    <b v="0"/>
    <x v="0"/>
  </r>
  <r>
    <x v="22"/>
    <x v="1"/>
    <x v="3"/>
    <s v="D"/>
    <d v="2015-03-02T14:54:00"/>
    <d v="1899-12-30T00:00:00"/>
    <b v="0"/>
    <x v="0"/>
  </r>
  <r>
    <x v="23"/>
    <x v="1"/>
    <x v="3"/>
    <s v="D"/>
    <d v="2015-03-05T14:14:00"/>
    <d v="1899-12-30T00:00:00"/>
    <b v="0"/>
    <x v="0"/>
  </r>
  <r>
    <x v="11"/>
    <x v="1"/>
    <x v="3"/>
    <s v="D"/>
    <d v="2015-02-18T10:13:00"/>
    <d v="1899-12-30T00:00:00"/>
    <b v="0"/>
    <x v="0"/>
  </r>
  <r>
    <x v="12"/>
    <x v="1"/>
    <x v="3"/>
    <s v="D"/>
    <d v="2015-02-23T08:58:00"/>
    <d v="1899-12-30T00:00:00"/>
    <b v="0"/>
    <x v="0"/>
  </r>
  <r>
    <x v="13"/>
    <x v="1"/>
    <x v="3"/>
    <s v="D"/>
    <d v="2015-03-05T10:38:00"/>
    <d v="1899-12-30T00:00:00"/>
    <b v="0"/>
    <x v="0"/>
  </r>
  <r>
    <x v="20"/>
    <x v="1"/>
    <x v="117"/>
    <s v="D"/>
    <d v="2015-03-18T00:00:00"/>
    <d v="1899-12-30T00:00:00"/>
    <b v="0"/>
    <x v="0"/>
  </r>
  <r>
    <x v="8"/>
    <x v="1"/>
    <x v="117"/>
    <s v="D"/>
    <d v="2015-03-08T09:10:00"/>
    <d v="1899-12-30T00:00:00"/>
    <b v="0"/>
    <x v="0"/>
  </r>
  <r>
    <x v="10"/>
    <x v="1"/>
    <x v="117"/>
    <s v="D"/>
    <d v="2015-03-18T00:00:00"/>
    <d v="1899-12-30T00:00:00"/>
    <b v="0"/>
    <x v="0"/>
  </r>
  <r>
    <x v="14"/>
    <x v="1"/>
    <x v="13"/>
    <s v="D"/>
    <d v="2015-01-03T00:00:00"/>
    <d v="1899-12-30T00:00:00"/>
    <b v="0"/>
    <x v="0"/>
  </r>
  <r>
    <x v="18"/>
    <x v="1"/>
    <x v="13"/>
    <s v="D"/>
    <d v="2015-02-26T14:08:00"/>
    <d v="1899-12-30T00:00:00"/>
    <b v="0"/>
    <x v="0"/>
  </r>
  <r>
    <x v="1"/>
    <x v="1"/>
    <x v="13"/>
    <s v="D"/>
    <d v="2014-12-21T08:13:00"/>
    <d v="1899-12-30T00:00:00"/>
    <b v="0"/>
    <x v="0"/>
  </r>
  <r>
    <x v="16"/>
    <x v="1"/>
    <x v="13"/>
    <s v="D"/>
    <d v="2014-12-18T00:00:00"/>
    <d v="1899-12-30T00:00:00"/>
    <b v="0"/>
    <x v="0"/>
  </r>
  <r>
    <x v="2"/>
    <x v="1"/>
    <x v="13"/>
    <s v="D"/>
    <d v="2015-03-08T08:04:00"/>
    <d v="1899-12-30T00:00:00"/>
    <b v="0"/>
    <x v="0"/>
  </r>
  <r>
    <x v="3"/>
    <x v="1"/>
    <x v="13"/>
    <s v="D"/>
    <d v="2015-02-03T13:00:00"/>
    <d v="1899-12-30T00:00:00"/>
    <b v="0"/>
    <x v="0"/>
  </r>
  <r>
    <x v="4"/>
    <x v="1"/>
    <x v="13"/>
    <s v="D"/>
    <d v="2015-01-26T17:18:00"/>
    <d v="1899-12-30T00:00:00"/>
    <b v="0"/>
    <x v="0"/>
  </r>
  <r>
    <x v="5"/>
    <x v="1"/>
    <x v="13"/>
    <s v="D"/>
    <d v="2015-03-18T07:39:00"/>
    <d v="1899-12-30T00:00:00"/>
    <b v="0"/>
    <x v="0"/>
  </r>
  <r>
    <x v="0"/>
    <x v="1"/>
    <x v="13"/>
    <s v="D"/>
    <d v="2014-12-10T11:51:00"/>
    <d v="1899-12-30T00:00:00"/>
    <b v="0"/>
    <x v="0"/>
  </r>
  <r>
    <x v="20"/>
    <x v="1"/>
    <x v="13"/>
    <s v="D"/>
    <d v="2014-12-11T11:16:00"/>
    <d v="1899-12-30T00:00:00"/>
    <b v="0"/>
    <x v="0"/>
  </r>
  <r>
    <x v="6"/>
    <x v="1"/>
    <x v="13"/>
    <s v="D"/>
    <d v="2014-12-06T14:42:00"/>
    <d v="1899-12-30T00:00:00"/>
    <b v="0"/>
    <x v="0"/>
  </r>
  <r>
    <x v="7"/>
    <x v="1"/>
    <x v="13"/>
    <s v="D"/>
    <d v="2015-03-04T12:54:00"/>
    <d v="1899-12-30T00:00:00"/>
    <b v="0"/>
    <x v="0"/>
  </r>
  <r>
    <x v="21"/>
    <x v="1"/>
    <x v="13"/>
    <s v="D"/>
    <d v="2014-12-20T04:46:00"/>
    <d v="1899-12-30T00:00:00"/>
    <b v="0"/>
    <x v="0"/>
  </r>
  <r>
    <x v="8"/>
    <x v="1"/>
    <x v="13"/>
    <s v="D"/>
    <d v="2015-02-01T10:47:00"/>
    <d v="1899-12-30T00:00:00"/>
    <b v="0"/>
    <x v="0"/>
  </r>
  <r>
    <x v="9"/>
    <x v="1"/>
    <x v="13"/>
    <s v="D"/>
    <d v="2015-01-27T00:00:00"/>
    <d v="1899-12-30T00:00:00"/>
    <b v="0"/>
    <x v="0"/>
  </r>
  <r>
    <x v="22"/>
    <x v="1"/>
    <x v="13"/>
    <s v="D"/>
    <d v="2015-01-05T12:12:00"/>
    <d v="1899-12-30T00:00:00"/>
    <b v="0"/>
    <x v="0"/>
  </r>
  <r>
    <x v="23"/>
    <x v="1"/>
    <x v="13"/>
    <s v="D"/>
    <d v="2015-03-10T00:00:00"/>
    <d v="1899-12-30T00:00:00"/>
    <b v="0"/>
    <x v="0"/>
  </r>
  <r>
    <x v="11"/>
    <x v="1"/>
    <x v="13"/>
    <s v="D"/>
    <d v="2015-02-07T09:10:00"/>
    <d v="1899-12-30T00:00:00"/>
    <b v="0"/>
    <x v="0"/>
  </r>
  <r>
    <x v="12"/>
    <x v="1"/>
    <x v="13"/>
    <s v="D"/>
    <d v="2014-12-17T11:11:00"/>
    <d v="1899-12-30T00:00:00"/>
    <b v="0"/>
    <x v="0"/>
  </r>
  <r>
    <x v="13"/>
    <x v="1"/>
    <x v="13"/>
    <s v="D"/>
    <d v="2014-12-04T12:16:00"/>
    <d v="1899-12-30T00:00:00"/>
    <b v="0"/>
    <x v="0"/>
  </r>
  <r>
    <x v="14"/>
    <x v="1"/>
    <x v="14"/>
    <s v="D"/>
    <d v="2014-12-27T19:23:00"/>
    <d v="1899-12-30T00:00:00"/>
    <b v="0"/>
    <x v="0"/>
  </r>
  <r>
    <x v="14"/>
    <x v="1"/>
    <x v="118"/>
    <s v="D"/>
    <d v="2014-12-27T10:45:00"/>
    <d v="1899-12-30T00:00:00"/>
    <b v="0"/>
    <x v="0"/>
  </r>
  <r>
    <x v="18"/>
    <x v="1"/>
    <x v="118"/>
    <s v="D"/>
    <d v="2014-11-13T00:00:00"/>
    <d v="1899-12-30T00:00:00"/>
    <b v="0"/>
    <x v="0"/>
  </r>
  <r>
    <x v="1"/>
    <x v="1"/>
    <x v="118"/>
    <s v="D"/>
    <d v="2015-01-16T08:59:00"/>
    <d v="1899-12-30T00:00:00"/>
    <b v="0"/>
    <x v="0"/>
  </r>
  <r>
    <x v="3"/>
    <x v="1"/>
    <x v="118"/>
    <s v="D"/>
    <d v="2014-11-06T13:58:00"/>
    <d v="1899-12-30T00:00:00"/>
    <b v="0"/>
    <x v="0"/>
  </r>
  <r>
    <x v="5"/>
    <x v="1"/>
    <x v="118"/>
    <s v="D"/>
    <d v="2015-03-05T17:56:00"/>
    <d v="1899-12-30T00:00:00"/>
    <b v="0"/>
    <x v="0"/>
  </r>
  <r>
    <x v="0"/>
    <x v="1"/>
    <x v="118"/>
    <s v="D"/>
    <d v="2014-11-04T16:41:00"/>
    <d v="1899-12-30T00:00:00"/>
    <b v="0"/>
    <x v="0"/>
  </r>
  <r>
    <x v="9"/>
    <x v="1"/>
    <x v="118"/>
    <s v="D"/>
    <d v="2015-01-29T12:01:00"/>
    <d v="1899-12-30T00:00:00"/>
    <b v="0"/>
    <x v="0"/>
  </r>
  <r>
    <x v="23"/>
    <x v="1"/>
    <x v="118"/>
    <s v="D"/>
    <d v="2014-11-12T00:00:00"/>
    <d v="1899-12-30T00:00:00"/>
    <b v="0"/>
    <x v="0"/>
  </r>
  <r>
    <x v="14"/>
    <x v="1"/>
    <x v="119"/>
    <s v="D"/>
    <d v="2014-09-30T06:59:00"/>
    <d v="1899-12-30T00:00:00"/>
    <b v="0"/>
    <x v="0"/>
  </r>
  <r>
    <x v="18"/>
    <x v="1"/>
    <x v="119"/>
    <s v="D"/>
    <d v="2014-07-22T09:19:00"/>
    <d v="1899-12-30T00:00:00"/>
    <b v="0"/>
    <x v="0"/>
  </r>
  <r>
    <x v="1"/>
    <x v="1"/>
    <x v="119"/>
    <s v="D"/>
    <d v="2014-12-20T00:00:00"/>
    <d v="1899-12-30T00:00:00"/>
    <b v="0"/>
    <x v="0"/>
  </r>
  <r>
    <x v="3"/>
    <x v="1"/>
    <x v="119"/>
    <s v="D"/>
    <d v="2014-08-11T15:29:00"/>
    <d v="1899-12-30T00:00:00"/>
    <b v="0"/>
    <x v="0"/>
  </r>
  <r>
    <x v="5"/>
    <x v="1"/>
    <x v="119"/>
    <s v="D"/>
    <d v="2015-02-10T07:32:00"/>
    <d v="1899-12-30T00:00:00"/>
    <b v="0"/>
    <x v="0"/>
  </r>
  <r>
    <x v="0"/>
    <x v="1"/>
    <x v="119"/>
    <s v="D"/>
    <d v="2014-06-11T11:23:00"/>
    <d v="1899-12-30T00:00:00"/>
    <b v="0"/>
    <x v="0"/>
  </r>
  <r>
    <x v="9"/>
    <x v="1"/>
    <x v="119"/>
    <s v="D"/>
    <d v="2015-01-22T00:00:00"/>
    <d v="1899-12-30T00:00:00"/>
    <b v="0"/>
    <x v="0"/>
  </r>
  <r>
    <x v="23"/>
    <x v="1"/>
    <x v="119"/>
    <s v="D"/>
    <d v="2014-08-06T17:42:00"/>
    <d v="1899-12-30T00:00:00"/>
    <b v="0"/>
    <x v="0"/>
  </r>
  <r>
    <x v="13"/>
    <x v="1"/>
    <x v="119"/>
    <s v="D"/>
    <d v="2014-11-18T09:42:00"/>
    <d v="1899-12-30T00:00:00"/>
    <b v="0"/>
    <x v="0"/>
  </r>
  <r>
    <x v="14"/>
    <x v="1"/>
    <x v="120"/>
    <s v="D"/>
    <d v="2014-09-30T07:00:00"/>
    <d v="1899-12-30T00:00:00"/>
    <b v="0"/>
    <x v="0"/>
  </r>
  <r>
    <x v="3"/>
    <x v="1"/>
    <x v="120"/>
    <s v="D"/>
    <d v="2014-09-29T00:00:00"/>
    <d v="1899-12-30T00:00:00"/>
    <b v="0"/>
    <x v="0"/>
  </r>
  <r>
    <x v="5"/>
    <x v="1"/>
    <x v="120"/>
    <s v="D"/>
    <d v="2015-03-01T15:12:00"/>
    <d v="1899-12-30T00:00:00"/>
    <b v="0"/>
    <x v="0"/>
  </r>
  <r>
    <x v="9"/>
    <x v="1"/>
    <x v="120"/>
    <s v="D"/>
    <d v="2015-01-22T10:16:00"/>
    <d v="1899-12-30T00:00:00"/>
    <b v="0"/>
    <x v="0"/>
  </r>
  <r>
    <x v="23"/>
    <x v="1"/>
    <x v="120"/>
    <s v="D"/>
    <d v="2014-10-06T00:00:00"/>
    <d v="1899-12-30T00:00:00"/>
    <b v="0"/>
    <x v="0"/>
  </r>
  <r>
    <x v="17"/>
    <x v="1"/>
    <x v="121"/>
    <s v="D"/>
    <d v="2015-01-25T00:00:00"/>
    <d v="1899-12-30T00:00:00"/>
    <b v="0"/>
    <x v="0"/>
  </r>
  <r>
    <x v="14"/>
    <x v="1"/>
    <x v="121"/>
    <s v="D"/>
    <d v="2015-03-13T07:21:00"/>
    <d v="1899-12-30T00:00:00"/>
    <b v="0"/>
    <x v="0"/>
  </r>
  <r>
    <x v="18"/>
    <x v="1"/>
    <x v="121"/>
    <s v="D"/>
    <d v="2015-02-10T13:43:00"/>
    <d v="1899-12-30T00:00:00"/>
    <b v="0"/>
    <x v="0"/>
  </r>
  <r>
    <x v="1"/>
    <x v="1"/>
    <x v="121"/>
    <s v="D"/>
    <d v="2015-01-24T22:12:00"/>
    <d v="1899-12-30T00:00:00"/>
    <b v="0"/>
    <x v="0"/>
  </r>
  <r>
    <x v="15"/>
    <x v="1"/>
    <x v="121"/>
    <s v="D"/>
    <d v="2015-03-20T00:00:00"/>
    <d v="1899-12-30T00:00:00"/>
    <b v="0"/>
    <x v="0"/>
  </r>
  <r>
    <x v="16"/>
    <x v="1"/>
    <x v="121"/>
    <s v="D"/>
    <d v="2015-04-04T11:04:00"/>
    <d v="1899-12-30T00:00:00"/>
    <b v="0"/>
    <x v="0"/>
  </r>
  <r>
    <x v="2"/>
    <x v="1"/>
    <x v="121"/>
    <s v="D"/>
    <d v="2015-03-02T08:38:00"/>
    <d v="1899-12-30T00:00:00"/>
    <b v="0"/>
    <x v="0"/>
  </r>
  <r>
    <x v="3"/>
    <x v="1"/>
    <x v="121"/>
    <s v="D"/>
    <d v="2015-02-15T11:26:00"/>
    <d v="1899-12-30T00:00:00"/>
    <b v="0"/>
    <x v="0"/>
  </r>
  <r>
    <x v="4"/>
    <x v="1"/>
    <x v="121"/>
    <s v="D"/>
    <d v="2014-12-04T13:19:00"/>
    <d v="1899-12-30T00:00:00"/>
    <b v="0"/>
    <x v="0"/>
  </r>
  <r>
    <x v="5"/>
    <x v="1"/>
    <x v="121"/>
    <s v="D"/>
    <d v="2015-03-05T17:54:00"/>
    <d v="1899-12-30T00:00:00"/>
    <b v="0"/>
    <x v="0"/>
  </r>
  <r>
    <x v="0"/>
    <x v="1"/>
    <x v="121"/>
    <s v="D"/>
    <d v="2015-01-25T09:04:00"/>
    <d v="1899-12-30T00:00:00"/>
    <b v="0"/>
    <x v="0"/>
  </r>
  <r>
    <x v="20"/>
    <x v="1"/>
    <x v="121"/>
    <s v="D"/>
    <d v="2015-03-11T16:28:00"/>
    <d v="1899-12-30T00:00:00"/>
    <b v="0"/>
    <x v="0"/>
  </r>
  <r>
    <x v="6"/>
    <x v="1"/>
    <x v="121"/>
    <s v="D"/>
    <d v="2015-02-19T17:47:00"/>
    <d v="1899-12-30T00:00:00"/>
    <b v="0"/>
    <x v="0"/>
  </r>
  <r>
    <x v="7"/>
    <x v="1"/>
    <x v="121"/>
    <s v="D"/>
    <d v="2015-04-11T09:20:00"/>
    <d v="1899-12-30T00:00:00"/>
    <b v="0"/>
    <x v="0"/>
  </r>
  <r>
    <x v="21"/>
    <x v="1"/>
    <x v="121"/>
    <s v="D"/>
    <d v="2015-03-20T04:47:00"/>
    <d v="1899-12-30T00:00:00"/>
    <b v="0"/>
    <x v="0"/>
  </r>
  <r>
    <x v="8"/>
    <x v="1"/>
    <x v="121"/>
    <s v="D"/>
    <d v="2015-03-07T09:02:00"/>
    <d v="1899-12-30T00:00:00"/>
    <b v="0"/>
    <x v="0"/>
  </r>
  <r>
    <x v="9"/>
    <x v="1"/>
    <x v="121"/>
    <s v="D"/>
    <d v="2015-04-25T07:25:00"/>
    <d v="1899-12-30T00:00:00"/>
    <b v="0"/>
    <x v="0"/>
  </r>
  <r>
    <x v="10"/>
    <x v="1"/>
    <x v="121"/>
    <s v="D"/>
    <d v="2015-03-16T13:47:00"/>
    <d v="1899-12-30T00:00:00"/>
    <b v="0"/>
    <x v="0"/>
  </r>
  <r>
    <x v="22"/>
    <x v="1"/>
    <x v="121"/>
    <s v="D"/>
    <d v="2015-03-16T15:43:00"/>
    <d v="1899-12-30T00:00:00"/>
    <b v="0"/>
    <x v="0"/>
  </r>
  <r>
    <x v="23"/>
    <x v="1"/>
    <x v="121"/>
    <s v="D"/>
    <d v="2015-02-10T09:18:00"/>
    <d v="1899-12-30T00:00:00"/>
    <b v="0"/>
    <x v="0"/>
  </r>
  <r>
    <x v="11"/>
    <x v="1"/>
    <x v="121"/>
    <s v="D"/>
    <d v="2015-01-09T17:05:00"/>
    <d v="1899-12-30T00:00:00"/>
    <b v="0"/>
    <x v="0"/>
  </r>
  <r>
    <x v="12"/>
    <x v="1"/>
    <x v="121"/>
    <s v="D"/>
    <d v="2015-02-10T11:50:00"/>
    <d v="1899-12-30T00:00:00"/>
    <b v="0"/>
    <x v="0"/>
  </r>
  <r>
    <x v="13"/>
    <x v="1"/>
    <x v="121"/>
    <s v="D"/>
    <d v="2015-02-03T16:45:00"/>
    <d v="1899-12-30T00:00:00"/>
    <b v="0"/>
    <x v="0"/>
  </r>
  <r>
    <x v="17"/>
    <x v="1"/>
    <x v="19"/>
    <s v="M"/>
    <d v="2014-10-30T00:00:00"/>
    <d v="1899-12-30T00:00:00"/>
    <b v="0"/>
    <x v="0"/>
  </r>
  <r>
    <x v="14"/>
    <x v="1"/>
    <x v="19"/>
    <s v="M"/>
    <d v="2014-10-10T10:08:00"/>
    <d v="1899-12-30T00:00:00"/>
    <b v="0"/>
    <x v="0"/>
  </r>
  <r>
    <x v="18"/>
    <x v="1"/>
    <x v="19"/>
    <s v="M"/>
    <d v="2015-01-30T09:37:00"/>
    <d v="1899-12-30T00:00:00"/>
    <b v="0"/>
    <x v="0"/>
  </r>
  <r>
    <x v="1"/>
    <x v="1"/>
    <x v="19"/>
    <s v="M"/>
    <d v="2014-12-17T00:00:00"/>
    <d v="1899-12-30T00:00:00"/>
    <b v="0"/>
    <x v="0"/>
  </r>
  <r>
    <x v="15"/>
    <x v="1"/>
    <x v="19"/>
    <s v="M"/>
    <d v="2014-11-22T00:00:00"/>
    <d v="1899-12-30T00:00:00"/>
    <b v="0"/>
    <x v="0"/>
  </r>
  <r>
    <x v="16"/>
    <x v="1"/>
    <x v="19"/>
    <s v="M"/>
    <d v="2014-10-30T00:00:00"/>
    <d v="1899-12-30T00:00:00"/>
    <b v="0"/>
    <x v="0"/>
  </r>
  <r>
    <x v="19"/>
    <x v="1"/>
    <x v="19"/>
    <s v="M"/>
    <d v="2015-01-01T09:12:00"/>
    <d v="1899-12-30T00:00:00"/>
    <b v="0"/>
    <x v="0"/>
  </r>
  <r>
    <x v="2"/>
    <x v="1"/>
    <x v="19"/>
    <s v="M"/>
    <d v="2015-03-05T10:20:00"/>
    <d v="1899-12-30T00:00:00"/>
    <b v="0"/>
    <x v="0"/>
  </r>
  <r>
    <x v="3"/>
    <x v="1"/>
    <x v="19"/>
    <s v="M"/>
    <d v="2015-01-01T17:17:00"/>
    <d v="1899-12-30T00:00:00"/>
    <b v="0"/>
    <x v="0"/>
  </r>
  <r>
    <x v="4"/>
    <x v="1"/>
    <x v="19"/>
    <s v="M"/>
    <d v="2014-12-12T16:29:00"/>
    <d v="1899-12-30T00:00:00"/>
    <b v="0"/>
    <x v="0"/>
  </r>
  <r>
    <x v="5"/>
    <x v="1"/>
    <x v="19"/>
    <s v="M"/>
    <d v="2015-02-25T12:22:00"/>
    <d v="1899-12-30T00:00:00"/>
    <b v="0"/>
    <x v="0"/>
  </r>
  <r>
    <x v="0"/>
    <x v="1"/>
    <x v="19"/>
    <s v="M"/>
    <d v="2014-12-11T11:30:00"/>
    <d v="1899-12-30T00:00:00"/>
    <b v="0"/>
    <x v="0"/>
  </r>
  <r>
    <x v="20"/>
    <x v="1"/>
    <x v="19"/>
    <s v="M"/>
    <d v="2014-11-29T21:38:00"/>
    <d v="1899-12-30T00:00:00"/>
    <b v="0"/>
    <x v="0"/>
  </r>
  <r>
    <x v="6"/>
    <x v="1"/>
    <x v="19"/>
    <s v="M"/>
    <d v="2014-11-21T00:00:00"/>
    <d v="1899-12-30T00:00:00"/>
    <b v="0"/>
    <x v="0"/>
  </r>
  <r>
    <x v="7"/>
    <x v="1"/>
    <x v="19"/>
    <s v="M"/>
    <d v="2015-04-10T05:00:00"/>
    <d v="1899-12-30T00:00:00"/>
    <b v="0"/>
    <x v="0"/>
  </r>
  <r>
    <x v="21"/>
    <x v="1"/>
    <x v="19"/>
    <s v="M"/>
    <d v="2014-12-03T00:00:00"/>
    <d v="1899-12-30T00:00:00"/>
    <b v="0"/>
    <x v="0"/>
  </r>
  <r>
    <x v="8"/>
    <x v="1"/>
    <x v="19"/>
    <s v="M"/>
    <d v="2014-11-21T00:00:00"/>
    <d v="1899-12-30T00:00:00"/>
    <b v="0"/>
    <x v="0"/>
  </r>
  <r>
    <x v="9"/>
    <x v="1"/>
    <x v="19"/>
    <s v="M"/>
    <d v="2015-02-12T13:35:00"/>
    <d v="1899-12-30T00:00:00"/>
    <b v="0"/>
    <x v="0"/>
  </r>
  <r>
    <x v="10"/>
    <x v="1"/>
    <x v="19"/>
    <s v="M"/>
    <d v="2014-11-06T12:02:00"/>
    <d v="1899-12-30T00:00:00"/>
    <b v="0"/>
    <x v="0"/>
  </r>
  <r>
    <x v="22"/>
    <x v="1"/>
    <x v="19"/>
    <s v="M"/>
    <d v="2015-03-24T10:06:00"/>
    <d v="1899-12-30T00:00:00"/>
    <b v="0"/>
    <x v="0"/>
  </r>
  <r>
    <x v="23"/>
    <x v="1"/>
    <x v="19"/>
    <s v="M"/>
    <d v="2015-02-06T17:40:00"/>
    <d v="1899-12-30T00:00:00"/>
    <b v="0"/>
    <x v="0"/>
  </r>
  <r>
    <x v="11"/>
    <x v="1"/>
    <x v="19"/>
    <s v="M"/>
    <d v="2015-02-02T13:10:00"/>
    <d v="1899-12-30T00:00:00"/>
    <b v="0"/>
    <x v="0"/>
  </r>
  <r>
    <x v="12"/>
    <x v="1"/>
    <x v="19"/>
    <s v="M"/>
    <d v="2014-11-21T15:31:00"/>
    <d v="1899-12-30T00:00:00"/>
    <b v="0"/>
    <x v="0"/>
  </r>
  <r>
    <x v="13"/>
    <x v="1"/>
    <x v="19"/>
    <s v="M"/>
    <d v="2014-12-16T13:09:00"/>
    <d v="1899-12-30T00:00:00"/>
    <b v="0"/>
    <x v="0"/>
  </r>
  <r>
    <x v="17"/>
    <x v="1"/>
    <x v="21"/>
    <s v="M"/>
    <d v="2014-12-16T13:48:00"/>
    <d v="1899-12-30T00:00:00"/>
    <b v="0"/>
    <x v="0"/>
  </r>
  <r>
    <x v="18"/>
    <x v="1"/>
    <x v="21"/>
    <s v="M"/>
    <d v="2014-11-26T00:00:00"/>
    <d v="1899-12-30T00:00:00"/>
    <b v="0"/>
    <x v="0"/>
  </r>
  <r>
    <x v="15"/>
    <x v="1"/>
    <x v="21"/>
    <s v="M"/>
    <d v="2014-11-22T00:00:00"/>
    <d v="1899-12-30T00:00:00"/>
    <b v="0"/>
    <x v="0"/>
  </r>
  <r>
    <x v="16"/>
    <x v="1"/>
    <x v="21"/>
    <s v="M"/>
    <d v="2014-10-30T00:00:00"/>
    <d v="1899-12-30T00:00:00"/>
    <b v="0"/>
    <x v="0"/>
  </r>
  <r>
    <x v="19"/>
    <x v="1"/>
    <x v="21"/>
    <s v="M"/>
    <d v="2015-01-01T09:12:00"/>
    <d v="1899-12-30T00:00:00"/>
    <b v="0"/>
    <x v="0"/>
  </r>
  <r>
    <x v="2"/>
    <x v="1"/>
    <x v="21"/>
    <s v="M"/>
    <d v="2015-03-05T10:21:00"/>
    <d v="1899-12-30T00:00:00"/>
    <b v="0"/>
    <x v="0"/>
  </r>
  <r>
    <x v="3"/>
    <x v="1"/>
    <x v="21"/>
    <s v="M"/>
    <d v="2014-11-05T13:00:00"/>
    <d v="1899-12-30T00:00:00"/>
    <b v="0"/>
    <x v="0"/>
  </r>
  <r>
    <x v="4"/>
    <x v="1"/>
    <x v="21"/>
    <s v="M"/>
    <d v="2014-12-12T00:00:00"/>
    <d v="1899-12-30T00:00:00"/>
    <b v="0"/>
    <x v="0"/>
  </r>
  <r>
    <x v="20"/>
    <x v="1"/>
    <x v="21"/>
    <s v="M"/>
    <d v="2014-11-29T00:00:00"/>
    <d v="1899-12-30T00:00:00"/>
    <b v="0"/>
    <x v="0"/>
  </r>
  <r>
    <x v="6"/>
    <x v="1"/>
    <x v="21"/>
    <s v="M"/>
    <d v="2014-11-21T00:00:00"/>
    <d v="1899-12-30T00:00:00"/>
    <b v="0"/>
    <x v="0"/>
  </r>
  <r>
    <x v="7"/>
    <x v="1"/>
    <x v="21"/>
    <s v="M"/>
    <d v="2014-10-10T05:00:00"/>
    <d v="1899-12-30T00:00:00"/>
    <b v="0"/>
    <x v="0"/>
  </r>
  <r>
    <x v="21"/>
    <x v="1"/>
    <x v="21"/>
    <s v="M"/>
    <d v="2014-09-25T00:00:00"/>
    <d v="1899-12-30T00:00:00"/>
    <b v="0"/>
    <x v="0"/>
  </r>
  <r>
    <x v="8"/>
    <x v="1"/>
    <x v="21"/>
    <s v="M"/>
    <d v="2014-11-21T00:00:00"/>
    <d v="1899-12-30T00:00:00"/>
    <b v="0"/>
    <x v="0"/>
  </r>
  <r>
    <x v="10"/>
    <x v="1"/>
    <x v="21"/>
    <s v="M"/>
    <d v="2014-09-30T07:35:00"/>
    <d v="1899-12-30T00:00:00"/>
    <b v="0"/>
    <x v="0"/>
  </r>
  <r>
    <x v="23"/>
    <x v="1"/>
    <x v="21"/>
    <s v="M"/>
    <d v="2014-11-26T00:00:00"/>
    <d v="1899-12-30T00:00:00"/>
    <b v="0"/>
    <x v="0"/>
  </r>
  <r>
    <x v="11"/>
    <x v="1"/>
    <x v="21"/>
    <s v="M"/>
    <d v="2015-02-02T13:11:00"/>
    <d v="1899-12-30T00:00:00"/>
    <b v="0"/>
    <x v="0"/>
  </r>
  <r>
    <x v="12"/>
    <x v="1"/>
    <x v="21"/>
    <s v="M"/>
    <d v="2014-12-18T10:24:00"/>
    <d v="1899-12-30T00:00:00"/>
    <b v="0"/>
    <x v="0"/>
  </r>
  <r>
    <x v="13"/>
    <x v="1"/>
    <x v="21"/>
    <s v="M"/>
    <d v="2014-11-18T14:04:00"/>
    <d v="1899-12-30T00:00:00"/>
    <b v="0"/>
    <x v="0"/>
  </r>
  <r>
    <x v="17"/>
    <x v="1"/>
    <x v="122"/>
    <s v="D"/>
    <d v="2014-10-27T00:00:00"/>
    <d v="1899-12-30T00:00:00"/>
    <b v="0"/>
    <x v="0"/>
  </r>
  <r>
    <x v="14"/>
    <x v="1"/>
    <x v="122"/>
    <s v="D"/>
    <d v="2015-03-11T00:00:00"/>
    <d v="1899-12-30T00:00:00"/>
    <b v="0"/>
    <x v="0"/>
  </r>
  <r>
    <x v="18"/>
    <x v="1"/>
    <x v="122"/>
    <s v="D"/>
    <d v="2015-01-17T21:28:00"/>
    <d v="1899-12-30T00:00:00"/>
    <b v="0"/>
    <x v="0"/>
  </r>
  <r>
    <x v="1"/>
    <x v="1"/>
    <x v="122"/>
    <s v="D"/>
    <d v="2014-12-07T00:00:00"/>
    <d v="1899-12-30T00:00:00"/>
    <b v="0"/>
    <x v="0"/>
  </r>
  <r>
    <x v="15"/>
    <x v="1"/>
    <x v="122"/>
    <s v="D"/>
    <d v="2014-11-25T03:28:00"/>
    <d v="1899-12-30T00:00:00"/>
    <b v="0"/>
    <x v="0"/>
  </r>
  <r>
    <x v="16"/>
    <x v="1"/>
    <x v="122"/>
    <s v="D"/>
    <d v="2015-03-15T10:27:00"/>
    <d v="1899-12-30T00:00:00"/>
    <b v="0"/>
    <x v="0"/>
  </r>
  <r>
    <x v="2"/>
    <x v="1"/>
    <x v="122"/>
    <s v="D"/>
    <d v="2015-03-01T00:00:00"/>
    <d v="1899-12-30T00:00:00"/>
    <b v="0"/>
    <x v="0"/>
  </r>
  <r>
    <x v="3"/>
    <x v="1"/>
    <x v="122"/>
    <s v="D"/>
    <d v="2014-11-05T13:00:00"/>
    <d v="1899-12-30T00:00:00"/>
    <b v="0"/>
    <x v="0"/>
  </r>
  <r>
    <x v="4"/>
    <x v="1"/>
    <x v="122"/>
    <s v="D"/>
    <d v="2015-02-21T00:00:00"/>
    <d v="1899-12-30T00:00:00"/>
    <b v="0"/>
    <x v="0"/>
  </r>
  <r>
    <x v="0"/>
    <x v="1"/>
    <x v="122"/>
    <s v="D"/>
    <d v="2015-03-25T11:58:00"/>
    <d v="1899-12-30T00:00:00"/>
    <b v="0"/>
    <x v="0"/>
  </r>
  <r>
    <x v="20"/>
    <x v="1"/>
    <x v="122"/>
    <s v="D"/>
    <d v="2014-12-28T14:57:00"/>
    <d v="1899-12-30T00:00:00"/>
    <b v="0"/>
    <x v="0"/>
  </r>
  <r>
    <x v="6"/>
    <x v="1"/>
    <x v="122"/>
    <s v="D"/>
    <d v="2015-03-18T00:00:00"/>
    <d v="1899-12-30T00:00:00"/>
    <b v="0"/>
    <x v="0"/>
  </r>
  <r>
    <x v="7"/>
    <x v="1"/>
    <x v="122"/>
    <s v="D"/>
    <d v="2015-04-25T01:43:00"/>
    <d v="1899-12-30T00:00:00"/>
    <b v="0"/>
    <x v="0"/>
  </r>
  <r>
    <x v="21"/>
    <x v="1"/>
    <x v="122"/>
    <s v="D"/>
    <d v="2015-03-20T00:00:00"/>
    <d v="1899-12-30T00:00:00"/>
    <b v="0"/>
    <x v="0"/>
  </r>
  <r>
    <x v="8"/>
    <x v="1"/>
    <x v="122"/>
    <s v="D"/>
    <d v="2014-10-28T00:00:00"/>
    <d v="1899-12-30T00:00:00"/>
    <b v="0"/>
    <x v="0"/>
  </r>
  <r>
    <x v="10"/>
    <x v="1"/>
    <x v="122"/>
    <s v="D"/>
    <d v="2015-03-26T07:32:00"/>
    <d v="1899-12-30T00:00:00"/>
    <b v="0"/>
    <x v="0"/>
  </r>
  <r>
    <x v="23"/>
    <x v="1"/>
    <x v="122"/>
    <s v="D"/>
    <d v="2014-11-26T00:00:00"/>
    <d v="1899-12-30T00:00:00"/>
    <b v="0"/>
    <x v="0"/>
  </r>
  <r>
    <x v="11"/>
    <x v="1"/>
    <x v="122"/>
    <s v="D"/>
    <d v="2015-01-13T00:00:00"/>
    <d v="1899-12-30T00:00:00"/>
    <b v="0"/>
    <x v="0"/>
  </r>
  <r>
    <x v="12"/>
    <x v="1"/>
    <x v="122"/>
    <s v="D"/>
    <d v="2015-01-13T00:00:00"/>
    <d v="1899-12-30T00:00:00"/>
    <b v="0"/>
    <x v="0"/>
  </r>
  <r>
    <x v="13"/>
    <x v="1"/>
    <x v="122"/>
    <s v="D"/>
    <d v="2014-11-18T10:22:00"/>
    <d v="1899-12-30T00:00:00"/>
    <b v="0"/>
    <x v="0"/>
  </r>
  <r>
    <x v="14"/>
    <x v="1"/>
    <x v="122"/>
    <s v="M"/>
    <d v="2014-10-01T11:01:00"/>
    <d v="1899-12-30T00:00:00"/>
    <b v="0"/>
    <x v="0"/>
  </r>
  <r>
    <x v="3"/>
    <x v="1"/>
    <x v="122"/>
    <s v="M"/>
    <d v="2014-11-06T15:33:00"/>
    <d v="1899-12-30T00:00:00"/>
    <b v="0"/>
    <x v="0"/>
  </r>
  <r>
    <x v="5"/>
    <x v="1"/>
    <x v="122"/>
    <s v="M"/>
    <d v="2015-02-12T09:27:00"/>
    <d v="1899-12-30T00:00:00"/>
    <b v="0"/>
    <x v="0"/>
  </r>
  <r>
    <x v="9"/>
    <x v="1"/>
    <x v="122"/>
    <s v="M"/>
    <d v="2015-01-29T07:32:00"/>
    <d v="1899-12-30T00:00:00"/>
    <b v="0"/>
    <x v="0"/>
  </r>
  <r>
    <x v="17"/>
    <x v="1"/>
    <x v="123"/>
    <s v="D"/>
    <d v="2015-02-02T00:00:00"/>
    <d v="1899-12-30T00:00:00"/>
    <b v="0"/>
    <x v="0"/>
  </r>
  <r>
    <x v="23"/>
    <x v="1"/>
    <x v="123"/>
    <s v="D"/>
    <d v="2014-11-26T00:00:00"/>
    <d v="1899-12-30T00:00:00"/>
    <b v="0"/>
    <x v="0"/>
  </r>
  <r>
    <x v="17"/>
    <x v="1"/>
    <x v="124"/>
    <s v="D"/>
    <d v="2015-04-05T14:43:00"/>
    <d v="1899-12-30T00:00:00"/>
    <b v="0"/>
    <x v="0"/>
  </r>
  <r>
    <x v="14"/>
    <x v="1"/>
    <x v="124"/>
    <s v="D"/>
    <d v="2015-03-11T00:00:00"/>
    <d v="1899-12-30T00:00:00"/>
    <b v="0"/>
    <x v="0"/>
  </r>
  <r>
    <x v="18"/>
    <x v="1"/>
    <x v="124"/>
    <s v="D"/>
    <d v="2014-12-29T10:51:00"/>
    <d v="1899-12-30T00:00:00"/>
    <b v="0"/>
    <x v="0"/>
  </r>
  <r>
    <x v="1"/>
    <x v="1"/>
    <x v="124"/>
    <s v="D"/>
    <d v="2015-03-23T08:49:00"/>
    <d v="1899-12-30T00:00:00"/>
    <b v="0"/>
    <x v="0"/>
  </r>
  <r>
    <x v="15"/>
    <x v="1"/>
    <x v="124"/>
    <s v="D"/>
    <d v="2014-11-18T00:00:00"/>
    <d v="1899-12-30T00:00:00"/>
    <b v="0"/>
    <x v="0"/>
  </r>
  <r>
    <x v="16"/>
    <x v="1"/>
    <x v="124"/>
    <s v="D"/>
    <d v="2014-10-27T00:00:00"/>
    <d v="1899-12-30T00:00:00"/>
    <b v="0"/>
    <x v="0"/>
  </r>
  <r>
    <x v="19"/>
    <x v="1"/>
    <x v="124"/>
    <s v="D"/>
    <d v="2014-12-21T08:27:00"/>
    <d v="1899-12-30T00:00:00"/>
    <b v="0"/>
    <x v="0"/>
  </r>
  <r>
    <x v="2"/>
    <x v="1"/>
    <x v="124"/>
    <s v="D"/>
    <d v="2015-02-27T11:12:00"/>
    <d v="1899-12-30T00:00:00"/>
    <b v="0"/>
    <x v="0"/>
  </r>
  <r>
    <x v="3"/>
    <x v="1"/>
    <x v="124"/>
    <s v="D"/>
    <d v="2015-03-31T09:36:00"/>
    <d v="1899-12-30T00:00:00"/>
    <b v="0"/>
    <x v="0"/>
  </r>
  <r>
    <x v="4"/>
    <x v="1"/>
    <x v="124"/>
    <s v="D"/>
    <d v="2015-02-21T00:00:00"/>
    <d v="1899-12-30T00:00:00"/>
    <b v="0"/>
    <x v="0"/>
  </r>
  <r>
    <x v="0"/>
    <x v="1"/>
    <x v="124"/>
    <s v="D"/>
    <d v="2014-12-08T15:02:00"/>
    <d v="1899-12-30T00:00:00"/>
    <b v="0"/>
    <x v="0"/>
  </r>
  <r>
    <x v="20"/>
    <x v="1"/>
    <x v="124"/>
    <s v="D"/>
    <d v="2014-10-31T11:39:00"/>
    <d v="1899-12-30T00:00:00"/>
    <b v="0"/>
    <x v="0"/>
  </r>
  <r>
    <x v="6"/>
    <x v="1"/>
    <x v="124"/>
    <s v="D"/>
    <d v="2015-03-10T12:27:00"/>
    <d v="1899-12-30T00:00:00"/>
    <b v="0"/>
    <x v="0"/>
  </r>
  <r>
    <x v="7"/>
    <x v="1"/>
    <x v="124"/>
    <s v="D"/>
    <d v="2015-01-05T00:00:00"/>
    <d v="1899-12-30T00:00:00"/>
    <b v="0"/>
    <x v="0"/>
  </r>
  <r>
    <x v="21"/>
    <x v="1"/>
    <x v="124"/>
    <s v="D"/>
    <d v="2015-04-10T11:03:00"/>
    <d v="1899-12-30T00:00:00"/>
    <b v="0"/>
    <x v="0"/>
  </r>
  <r>
    <x v="8"/>
    <x v="1"/>
    <x v="124"/>
    <s v="D"/>
    <d v="2015-03-14T09:15:00"/>
    <d v="1899-12-30T00:00:00"/>
    <b v="0"/>
    <x v="0"/>
  </r>
  <r>
    <x v="9"/>
    <x v="1"/>
    <x v="124"/>
    <s v="D"/>
    <d v="2015-01-30T11:27:00"/>
    <d v="1899-12-30T00:00:00"/>
    <b v="0"/>
    <x v="0"/>
  </r>
  <r>
    <x v="10"/>
    <x v="1"/>
    <x v="124"/>
    <s v="D"/>
    <d v="2015-03-26T00:00:00"/>
    <d v="1899-12-30T00:00:00"/>
    <b v="0"/>
    <x v="0"/>
  </r>
  <r>
    <x v="22"/>
    <x v="1"/>
    <x v="124"/>
    <s v="D"/>
    <d v="2015-03-19T08:54:00"/>
    <d v="1899-12-30T00:00:00"/>
    <b v="0"/>
    <x v="0"/>
  </r>
  <r>
    <x v="23"/>
    <x v="1"/>
    <x v="124"/>
    <s v="D"/>
    <d v="2015-01-31T07:58:00"/>
    <d v="1899-12-30T00:00:00"/>
    <b v="0"/>
    <x v="0"/>
  </r>
  <r>
    <x v="11"/>
    <x v="1"/>
    <x v="124"/>
    <s v="D"/>
    <d v="2014-11-03T15:27:00"/>
    <d v="1899-12-30T00:00:00"/>
    <b v="0"/>
    <x v="0"/>
  </r>
  <r>
    <x v="12"/>
    <x v="1"/>
    <x v="124"/>
    <s v="D"/>
    <d v="2014-11-29T10:52:00"/>
    <d v="1899-12-30T00:00:00"/>
    <b v="0"/>
    <x v="0"/>
  </r>
  <r>
    <x v="13"/>
    <x v="1"/>
    <x v="124"/>
    <s v="D"/>
    <d v="2014-11-18T14:19:00"/>
    <d v="1899-12-30T00:00:00"/>
    <b v="0"/>
    <x v="0"/>
  </r>
  <r>
    <x v="14"/>
    <x v="1"/>
    <x v="124"/>
    <s v="M"/>
    <d v="2014-09-26T20:54:00"/>
    <d v="1899-12-30T00:00:00"/>
    <b v="0"/>
    <x v="0"/>
  </r>
  <r>
    <x v="5"/>
    <x v="1"/>
    <x v="124"/>
    <s v="M"/>
    <d v="2015-02-10T07:34:00"/>
    <d v="1899-12-30T00:00:00"/>
    <b v="0"/>
    <x v="0"/>
  </r>
  <r>
    <x v="17"/>
    <x v="1"/>
    <x v="31"/>
    <s v="M"/>
    <d v="2014-04-30T00:00:00"/>
    <d v="1899-12-30T00:00:00"/>
    <b v="0"/>
    <x v="0"/>
  </r>
  <r>
    <x v="14"/>
    <x v="1"/>
    <x v="31"/>
    <s v="M"/>
    <d v="2011-09-10T00:00:00"/>
    <m/>
    <b v="0"/>
    <x v="0"/>
  </r>
  <r>
    <x v="18"/>
    <x v="1"/>
    <x v="31"/>
    <s v="M"/>
    <d v="2012-04-04T00:00:00"/>
    <m/>
    <b v="0"/>
    <x v="0"/>
  </r>
  <r>
    <x v="1"/>
    <x v="1"/>
    <x v="31"/>
    <s v="M"/>
    <d v="2015-02-25T00:00:00"/>
    <d v="1899-12-30T00:00:00"/>
    <b v="0"/>
    <x v="0"/>
  </r>
  <r>
    <x v="15"/>
    <x v="1"/>
    <x v="31"/>
    <s v="M"/>
    <d v="2014-05-22T00:00:00"/>
    <d v="1899-12-30T00:00:00"/>
    <b v="0"/>
    <x v="0"/>
  </r>
  <r>
    <x v="16"/>
    <x v="1"/>
    <x v="31"/>
    <s v="M"/>
    <d v="2014-04-30T00:00:00"/>
    <d v="1899-12-30T00:00:00"/>
    <b v="0"/>
    <x v="0"/>
  </r>
  <r>
    <x v="19"/>
    <x v="1"/>
    <x v="31"/>
    <s v="M"/>
    <d v="2014-12-29T00:00:00"/>
    <d v="1899-12-30T00:00:00"/>
    <b v="0"/>
    <x v="0"/>
  </r>
  <r>
    <x v="2"/>
    <x v="1"/>
    <x v="31"/>
    <s v="M"/>
    <d v="2013-03-08T00:00:00"/>
    <m/>
    <b v="0"/>
    <x v="0"/>
  </r>
  <r>
    <x v="3"/>
    <x v="1"/>
    <x v="31"/>
    <s v="M"/>
    <d v="2010-01-14T00:00:00"/>
    <m/>
    <b v="0"/>
    <x v="0"/>
  </r>
  <r>
    <x v="4"/>
    <x v="1"/>
    <x v="31"/>
    <s v="M"/>
    <d v="2010-01-25T00:00:00"/>
    <m/>
    <b v="0"/>
    <x v="0"/>
  </r>
  <r>
    <x v="5"/>
    <x v="1"/>
    <x v="31"/>
    <s v="M"/>
    <d v="2012-12-31T00:00:00"/>
    <m/>
    <b v="0"/>
    <x v="0"/>
  </r>
  <r>
    <x v="0"/>
    <x v="1"/>
    <x v="31"/>
    <s v="M"/>
    <d v="2010-03-25T00:00:00"/>
    <m/>
    <b v="0"/>
    <x v="0"/>
  </r>
  <r>
    <x v="20"/>
    <x v="1"/>
    <x v="31"/>
    <s v="M"/>
    <d v="2010-04-28T00:00:00"/>
    <m/>
    <b v="0"/>
    <x v="0"/>
  </r>
  <r>
    <x v="6"/>
    <x v="1"/>
    <x v="31"/>
    <s v="M"/>
    <d v="2010-05-25T00:00:00"/>
    <m/>
    <b v="0"/>
    <x v="0"/>
  </r>
  <r>
    <x v="7"/>
    <x v="1"/>
    <x v="31"/>
    <s v="M"/>
    <d v="2012-12-30T00:00:00"/>
    <m/>
    <b v="0"/>
    <x v="0"/>
  </r>
  <r>
    <x v="21"/>
    <x v="1"/>
    <x v="31"/>
    <s v="M"/>
    <d v="2011-12-30T00:00:00"/>
    <m/>
    <b v="0"/>
    <x v="0"/>
  </r>
  <r>
    <x v="8"/>
    <x v="1"/>
    <x v="31"/>
    <s v="M"/>
    <d v="2010-03-31T00:00:00"/>
    <m/>
    <b v="0"/>
    <x v="0"/>
  </r>
  <r>
    <x v="9"/>
    <x v="1"/>
    <x v="31"/>
    <s v="M"/>
    <d v="2009-06-24T00:00:00"/>
    <m/>
    <b v="0"/>
    <x v="0"/>
  </r>
  <r>
    <x v="10"/>
    <x v="1"/>
    <x v="31"/>
    <s v="M"/>
    <d v="2011-09-17T00:00:00"/>
    <m/>
    <b v="0"/>
    <x v="0"/>
  </r>
  <r>
    <x v="22"/>
    <x v="1"/>
    <x v="31"/>
    <s v="M"/>
    <d v="2011-01-24T00:00:00"/>
    <m/>
    <b v="0"/>
    <x v="0"/>
  </r>
  <r>
    <x v="23"/>
    <x v="1"/>
    <x v="31"/>
    <s v="M"/>
    <d v="2011-02-23T00:00:00"/>
    <m/>
    <b v="0"/>
    <x v="0"/>
  </r>
  <r>
    <x v="11"/>
    <x v="1"/>
    <x v="31"/>
    <s v="M"/>
    <d v="2011-01-24T00:00:00"/>
    <m/>
    <b v="0"/>
    <x v="0"/>
  </r>
  <r>
    <x v="12"/>
    <x v="1"/>
    <x v="31"/>
    <s v="M"/>
    <d v="2011-02-23T00:00:00"/>
    <m/>
    <b v="0"/>
    <x v="0"/>
  </r>
  <r>
    <x v="13"/>
    <x v="1"/>
    <x v="31"/>
    <s v="M"/>
    <d v="2014-04-28T00:00:00"/>
    <d v="1899-12-30T00:00:00"/>
    <b v="0"/>
    <x v="0"/>
  </r>
  <r>
    <x v="14"/>
    <x v="1"/>
    <x v="125"/>
    <s v="H"/>
    <m/>
    <d v="1919-10-19T02:24:08"/>
    <b v="0"/>
    <x v="0"/>
  </r>
  <r>
    <x v="1"/>
    <x v="1"/>
    <x v="125"/>
    <s v="H"/>
    <m/>
    <d v="1917-09-08T09:35:52"/>
    <b v="0"/>
    <x v="0"/>
  </r>
  <r>
    <x v="16"/>
    <x v="1"/>
    <x v="125"/>
    <s v="H"/>
    <m/>
    <d v="1913-03-15T21:35:52"/>
    <b v="0"/>
    <x v="0"/>
  </r>
  <r>
    <x v="3"/>
    <x v="1"/>
    <x v="125"/>
    <s v="H"/>
    <m/>
    <d v="1911-02-25T14:24:08"/>
    <b v="0"/>
    <x v="0"/>
  </r>
  <r>
    <x v="22"/>
    <x v="1"/>
    <x v="125"/>
    <s v="H"/>
    <m/>
    <d v="1903-05-31T21:36:02"/>
    <b v="0"/>
    <x v="0"/>
  </r>
  <r>
    <x v="17"/>
    <x v="1"/>
    <x v="126"/>
    <s v="M"/>
    <d v="2015-04-07T14:45:00"/>
    <d v="1899-12-30T00:00:00"/>
    <b v="0"/>
    <x v="0"/>
  </r>
  <r>
    <x v="14"/>
    <x v="1"/>
    <x v="126"/>
    <s v="M"/>
    <d v="2015-03-19T07:41:00"/>
    <d v="1899-12-30T00:00:00"/>
    <b v="0"/>
    <x v="0"/>
  </r>
  <r>
    <x v="18"/>
    <x v="1"/>
    <x v="126"/>
    <s v="M"/>
    <d v="2015-02-14T10:09:00"/>
    <d v="1899-12-30T00:00:00"/>
    <b v="0"/>
    <x v="0"/>
  </r>
  <r>
    <x v="1"/>
    <x v="1"/>
    <x v="126"/>
    <s v="M"/>
    <d v="2014-11-12T00:00:00"/>
    <d v="1899-12-30T00:00:00"/>
    <b v="0"/>
    <x v="0"/>
  </r>
  <r>
    <x v="16"/>
    <x v="1"/>
    <x v="126"/>
    <s v="M"/>
    <d v="2014-10-30T00:00:00"/>
    <d v="1899-12-30T00:00:00"/>
    <b v="0"/>
    <x v="0"/>
  </r>
  <r>
    <x v="2"/>
    <x v="1"/>
    <x v="126"/>
    <s v="M"/>
    <d v="2015-03-03T00:00:00"/>
    <d v="1899-12-30T00:00:00"/>
    <b v="0"/>
    <x v="0"/>
  </r>
  <r>
    <x v="3"/>
    <x v="1"/>
    <x v="126"/>
    <s v="M"/>
    <d v="2015-01-23T08:57:00"/>
    <d v="1899-12-30T00:00:00"/>
    <b v="0"/>
    <x v="0"/>
  </r>
  <r>
    <x v="4"/>
    <x v="1"/>
    <x v="126"/>
    <s v="M"/>
    <d v="2014-12-17T00:00:00"/>
    <d v="1899-12-30T00:00:00"/>
    <b v="0"/>
    <x v="0"/>
  </r>
  <r>
    <x v="5"/>
    <x v="1"/>
    <x v="126"/>
    <s v="M"/>
    <d v="2015-02-19T08:41:00"/>
    <d v="1899-12-30T00:00:00"/>
    <b v="0"/>
    <x v="0"/>
  </r>
  <r>
    <x v="0"/>
    <x v="1"/>
    <x v="126"/>
    <s v="M"/>
    <d v="2014-12-11T11:46:00"/>
    <d v="1899-12-30T00:00:00"/>
    <b v="0"/>
    <x v="0"/>
  </r>
  <r>
    <x v="7"/>
    <x v="1"/>
    <x v="126"/>
    <s v="M"/>
    <d v="2014-10-30T01:49:00"/>
    <d v="1899-12-30T00:00:00"/>
    <b v="0"/>
    <x v="0"/>
  </r>
  <r>
    <x v="21"/>
    <x v="1"/>
    <x v="126"/>
    <s v="M"/>
    <d v="2015-03-25T00:00:00"/>
    <d v="1899-12-30T00:00:00"/>
    <b v="0"/>
    <x v="0"/>
  </r>
  <r>
    <x v="8"/>
    <x v="1"/>
    <x v="126"/>
    <s v="M"/>
    <d v="2014-10-28T11:32:00"/>
    <d v="1899-12-30T00:00:00"/>
    <b v="0"/>
    <x v="0"/>
  </r>
  <r>
    <x v="9"/>
    <x v="1"/>
    <x v="126"/>
    <s v="M"/>
    <d v="2015-01-26T00:00:00"/>
    <d v="1899-12-30T00:00:00"/>
    <b v="0"/>
    <x v="0"/>
  </r>
  <r>
    <x v="10"/>
    <x v="1"/>
    <x v="126"/>
    <s v="M"/>
    <d v="2015-03-30T00:00:00"/>
    <d v="1899-12-30T00:00:00"/>
    <b v="0"/>
    <x v="0"/>
  </r>
  <r>
    <x v="22"/>
    <x v="1"/>
    <x v="126"/>
    <s v="M"/>
    <d v="2015-03-19T11:41:00"/>
    <d v="1899-12-30T00:00:00"/>
    <b v="0"/>
    <x v="0"/>
  </r>
  <r>
    <x v="23"/>
    <x v="1"/>
    <x v="126"/>
    <s v="M"/>
    <d v="2015-02-07T09:49:00"/>
    <d v="1899-12-30T00:00:00"/>
    <b v="0"/>
    <x v="0"/>
  </r>
  <r>
    <x v="11"/>
    <x v="1"/>
    <x v="126"/>
    <s v="M"/>
    <d v="2015-02-08T00:00:00"/>
    <d v="1899-12-30T00:00:00"/>
    <b v="0"/>
    <x v="0"/>
  </r>
  <r>
    <x v="12"/>
    <x v="1"/>
    <x v="126"/>
    <s v="M"/>
    <d v="2015-02-08T14:55:00"/>
    <d v="1899-12-30T00:00:00"/>
    <b v="0"/>
    <x v="0"/>
  </r>
  <r>
    <x v="13"/>
    <x v="1"/>
    <x v="126"/>
    <s v="M"/>
    <d v="2015-02-21T00:00:00"/>
    <d v="1899-12-30T00:00:00"/>
    <b v="0"/>
    <x v="0"/>
  </r>
  <r>
    <x v="13"/>
    <x v="1"/>
    <x v="35"/>
    <s v="M"/>
    <d v="2014-11-18T13:58:00"/>
    <d v="1899-12-30T00:00:00"/>
    <b v="0"/>
    <x v="0"/>
  </r>
  <r>
    <x v="17"/>
    <x v="1"/>
    <x v="35"/>
    <s v="Y"/>
    <d v="2014-04-30T00:00:00"/>
    <d v="1899-12-30T00:00:00"/>
    <b v="0"/>
    <x v="0"/>
  </r>
  <r>
    <x v="16"/>
    <x v="1"/>
    <x v="35"/>
    <s v="Y"/>
    <d v="2014-04-30T00:00:00"/>
    <d v="1899-12-30T00:00:00"/>
    <b v="0"/>
    <x v="0"/>
  </r>
  <r>
    <x v="6"/>
    <x v="1"/>
    <x v="35"/>
    <s v="Y"/>
    <d v="2014-09-03T00:00:00"/>
    <d v="1899-12-30T00:00:00"/>
    <b v="0"/>
    <x v="0"/>
  </r>
  <r>
    <x v="7"/>
    <x v="1"/>
    <x v="35"/>
    <s v="Y"/>
    <d v="2013-10-24T00:00:00"/>
    <m/>
    <b v="0"/>
    <x v="0"/>
  </r>
  <r>
    <x v="10"/>
    <x v="1"/>
    <x v="35"/>
    <s v="Y"/>
    <d v="2013-10-28T00:00:00"/>
    <m/>
    <b v="0"/>
    <x v="0"/>
  </r>
  <r>
    <x v="23"/>
    <x v="1"/>
    <x v="35"/>
    <s v="Y"/>
    <d v="2014-11-26T00:00:00"/>
    <d v="1899-12-30T00:00:00"/>
    <b v="0"/>
    <x v="0"/>
  </r>
  <r>
    <x v="13"/>
    <x v="1"/>
    <x v="35"/>
    <s v="Y"/>
    <d v="2014-11-17T13:58:00"/>
    <d v="1899-12-30T00:00:00"/>
    <b v="0"/>
    <x v="0"/>
  </r>
  <r>
    <x v="17"/>
    <x v="1"/>
    <x v="36"/>
    <s v="M"/>
    <d v="2014-04-30T00:00:00"/>
    <d v="1899-12-30T00:00:00"/>
    <b v="0"/>
    <x v="0"/>
  </r>
  <r>
    <x v="14"/>
    <x v="1"/>
    <x v="36"/>
    <s v="M"/>
    <d v="2015-03-11T00:00:00"/>
    <d v="1899-12-30T00:00:00"/>
    <b v="0"/>
    <x v="0"/>
  </r>
  <r>
    <x v="16"/>
    <x v="1"/>
    <x v="36"/>
    <s v="M"/>
    <d v="2014-04-30T00:00:00"/>
    <d v="1899-12-30T00:00:00"/>
    <b v="0"/>
    <x v="0"/>
  </r>
  <r>
    <x v="7"/>
    <x v="1"/>
    <x v="36"/>
    <s v="M"/>
    <d v="2014-10-24T00:00:00"/>
    <d v="1899-12-30T00:00:00"/>
    <b v="0"/>
    <x v="0"/>
  </r>
  <r>
    <x v="10"/>
    <x v="1"/>
    <x v="36"/>
    <s v="M"/>
    <d v="2014-10-28T00:00:00"/>
    <d v="1899-12-30T00:00:00"/>
    <b v="0"/>
    <x v="0"/>
  </r>
  <r>
    <x v="23"/>
    <x v="1"/>
    <x v="36"/>
    <s v="M"/>
    <d v="2014-11-26T00:00:00"/>
    <d v="1899-12-30T00:00:00"/>
    <b v="0"/>
    <x v="0"/>
  </r>
  <r>
    <x v="13"/>
    <x v="1"/>
    <x v="36"/>
    <s v="M"/>
    <d v="2015-04-28T00:00:00"/>
    <d v="1899-12-30T00:00:00"/>
    <b v="0"/>
    <x v="0"/>
  </r>
  <r>
    <x v="17"/>
    <x v="1"/>
    <x v="37"/>
    <s v="D"/>
    <d v="2015-01-25T00:00:00"/>
    <d v="1899-12-30T00:00:00"/>
    <b v="0"/>
    <x v="0"/>
  </r>
  <r>
    <x v="14"/>
    <x v="1"/>
    <x v="37"/>
    <s v="D"/>
    <d v="2015-01-04T00:00:00"/>
    <d v="1899-12-30T00:00:00"/>
    <b v="0"/>
    <x v="0"/>
  </r>
  <r>
    <x v="1"/>
    <x v="1"/>
    <x v="37"/>
    <s v="D"/>
    <d v="2014-11-18T15:33:00"/>
    <d v="1899-12-30T00:00:00"/>
    <b v="0"/>
    <x v="0"/>
  </r>
  <r>
    <x v="15"/>
    <x v="1"/>
    <x v="37"/>
    <s v="D"/>
    <d v="2015-02-16T00:00:00"/>
    <d v="1899-12-30T00:00:00"/>
    <b v="0"/>
    <x v="0"/>
  </r>
  <r>
    <x v="16"/>
    <x v="1"/>
    <x v="37"/>
    <s v="D"/>
    <d v="2015-01-25T00:00:00"/>
    <d v="1899-12-30T00:00:00"/>
    <b v="0"/>
    <x v="0"/>
  </r>
  <r>
    <x v="19"/>
    <x v="1"/>
    <x v="37"/>
    <s v="D"/>
    <d v="2015-02-11T10:30:00"/>
    <d v="1899-12-30T00:00:00"/>
    <b v="0"/>
    <x v="0"/>
  </r>
  <r>
    <x v="3"/>
    <x v="1"/>
    <x v="37"/>
    <s v="D"/>
    <d v="2015-02-23T00:00:00"/>
    <d v="1899-12-30T00:00:00"/>
    <b v="0"/>
    <x v="0"/>
  </r>
  <r>
    <x v="20"/>
    <x v="1"/>
    <x v="37"/>
    <s v="D"/>
    <d v="2015-03-07T00:00:00"/>
    <d v="1899-12-30T00:00:00"/>
    <b v="0"/>
    <x v="0"/>
  </r>
  <r>
    <x v="6"/>
    <x v="1"/>
    <x v="37"/>
    <s v="D"/>
    <d v="2015-03-03T16:33:00"/>
    <d v="1899-12-30T00:00:00"/>
    <b v="0"/>
    <x v="0"/>
  </r>
  <r>
    <x v="7"/>
    <x v="1"/>
    <x v="37"/>
    <s v="D"/>
    <d v="2015-01-05T17:02:00"/>
    <d v="1899-12-30T00:00:00"/>
    <b v="0"/>
    <x v="0"/>
  </r>
  <r>
    <x v="10"/>
    <x v="1"/>
    <x v="37"/>
    <s v="D"/>
    <d v="2014-12-17T10:23:00"/>
    <d v="1899-12-30T00:00:00"/>
    <b v="0"/>
    <x v="0"/>
  </r>
  <r>
    <x v="23"/>
    <x v="1"/>
    <x v="37"/>
    <s v="D"/>
    <d v="2015-02-24T00:00:00"/>
    <d v="1899-12-30T00:00:00"/>
    <b v="0"/>
    <x v="0"/>
  </r>
  <r>
    <x v="11"/>
    <x v="1"/>
    <x v="37"/>
    <s v="D"/>
    <d v="2015-03-05T09:42:00"/>
    <d v="1899-12-30T00:00:00"/>
    <b v="0"/>
    <x v="0"/>
  </r>
  <r>
    <x v="13"/>
    <x v="1"/>
    <x v="37"/>
    <s v="D"/>
    <d v="2015-02-15T08:55:00"/>
    <d v="1899-12-30T00:00:00"/>
    <b v="0"/>
    <x v="0"/>
  </r>
  <r>
    <x v="14"/>
    <x v="1"/>
    <x v="127"/>
    <s v="D"/>
    <d v="2014-12-31T18:09:00"/>
    <d v="1899-12-30T00:00:00"/>
    <b v="0"/>
    <x v="0"/>
  </r>
  <r>
    <x v="1"/>
    <x v="1"/>
    <x v="128"/>
    <s v="D"/>
    <d v="2015-04-17T14:12:00"/>
    <d v="1899-12-30T00:00:00"/>
    <b v="0"/>
    <x v="0"/>
  </r>
  <r>
    <x v="14"/>
    <x v="1"/>
    <x v="129"/>
    <s v="D"/>
    <d v="2015-01-13T17:12:00"/>
    <d v="1899-12-30T00:00:00"/>
    <b v="0"/>
    <x v="0"/>
  </r>
  <r>
    <x v="18"/>
    <x v="1"/>
    <x v="130"/>
    <s v="M"/>
    <d v="2014-10-23T16:03:00"/>
    <d v="1899-12-30T00:00:00"/>
    <b v="0"/>
    <x v="0"/>
  </r>
  <r>
    <x v="19"/>
    <x v="1"/>
    <x v="130"/>
    <s v="M"/>
    <d v="2015-04-14T10:00:00"/>
    <d v="1899-12-30T00:00:00"/>
    <b v="0"/>
    <x v="0"/>
  </r>
  <r>
    <x v="2"/>
    <x v="1"/>
    <x v="130"/>
    <s v="M"/>
    <d v="2014-11-22T14:21:00"/>
    <d v="1899-12-30T00:00:00"/>
    <b v="0"/>
    <x v="0"/>
  </r>
  <r>
    <x v="3"/>
    <x v="1"/>
    <x v="130"/>
    <s v="M"/>
    <d v="2014-11-06T10:31:00"/>
    <d v="1899-12-30T00:00:00"/>
    <b v="0"/>
    <x v="0"/>
  </r>
  <r>
    <x v="4"/>
    <x v="1"/>
    <x v="130"/>
    <s v="M"/>
    <d v="2014-11-22T21:23:00"/>
    <d v="1899-12-30T00:00:00"/>
    <b v="0"/>
    <x v="0"/>
  </r>
  <r>
    <x v="5"/>
    <x v="1"/>
    <x v="130"/>
    <s v="M"/>
    <d v="2014-12-03T16:32:00"/>
    <d v="1899-12-30T00:00:00"/>
    <b v="0"/>
    <x v="0"/>
  </r>
  <r>
    <x v="0"/>
    <x v="1"/>
    <x v="130"/>
    <s v="M"/>
    <d v="2014-12-11T12:44:00"/>
    <d v="1899-12-30T00:00:00"/>
    <b v="0"/>
    <x v="0"/>
  </r>
  <r>
    <x v="20"/>
    <x v="1"/>
    <x v="130"/>
    <s v="M"/>
    <d v="2014-12-04T22:44:00"/>
    <d v="1899-12-30T00:00:00"/>
    <b v="0"/>
    <x v="0"/>
  </r>
  <r>
    <x v="6"/>
    <x v="1"/>
    <x v="130"/>
    <s v="M"/>
    <d v="2014-11-13T20:39:00"/>
    <d v="1899-12-30T00:00:00"/>
    <b v="0"/>
    <x v="0"/>
  </r>
  <r>
    <x v="21"/>
    <x v="1"/>
    <x v="130"/>
    <s v="M"/>
    <d v="2015-03-25T00:00:00"/>
    <d v="1899-12-30T00:00:00"/>
    <b v="0"/>
    <x v="0"/>
  </r>
  <r>
    <x v="8"/>
    <x v="1"/>
    <x v="130"/>
    <s v="M"/>
    <d v="2014-12-02T14:51:00"/>
    <d v="1899-12-30T00:00:00"/>
    <b v="0"/>
    <x v="0"/>
  </r>
  <r>
    <x v="9"/>
    <x v="1"/>
    <x v="130"/>
    <s v="M"/>
    <d v="2015-04-29T08:05:00"/>
    <d v="1899-12-30T00:00:00"/>
    <b v="0"/>
    <x v="0"/>
  </r>
  <r>
    <x v="22"/>
    <x v="1"/>
    <x v="130"/>
    <s v="M"/>
    <d v="2014-11-22T16:28:00"/>
    <d v="1899-12-30T00:00:00"/>
    <b v="0"/>
    <x v="0"/>
  </r>
  <r>
    <x v="11"/>
    <x v="1"/>
    <x v="130"/>
    <s v="M"/>
    <d v="2014-11-22T13:53:00"/>
    <d v="1899-12-30T00:00:00"/>
    <b v="0"/>
    <x v="0"/>
  </r>
  <r>
    <x v="12"/>
    <x v="1"/>
    <x v="130"/>
    <s v="M"/>
    <d v="2015-01-24T16:51:00"/>
    <d v="1899-12-30T00:00:00"/>
    <b v="0"/>
    <x v="0"/>
  </r>
  <r>
    <x v="14"/>
    <x v="1"/>
    <x v="131"/>
    <s v="D"/>
    <d v="2014-12-22T00:00:00"/>
    <d v="1899-12-30T00:00:00"/>
    <b v="0"/>
    <x v="0"/>
  </r>
  <r>
    <x v="1"/>
    <x v="1"/>
    <x v="131"/>
    <s v="M"/>
    <d v="2015-04-15T15:27:00"/>
    <d v="1899-12-30T00:00:00"/>
    <b v="0"/>
    <x v="0"/>
  </r>
  <r>
    <x v="15"/>
    <x v="1"/>
    <x v="131"/>
    <s v="M"/>
    <d v="2014-12-18T00:00:00"/>
    <d v="1899-12-30T00:00:00"/>
    <b v="0"/>
    <x v="0"/>
  </r>
  <r>
    <x v="16"/>
    <x v="1"/>
    <x v="131"/>
    <s v="M"/>
    <d v="2015-03-20T10:25:00"/>
    <d v="1899-12-30T00:00:00"/>
    <b v="0"/>
    <x v="0"/>
  </r>
  <r>
    <x v="7"/>
    <x v="1"/>
    <x v="131"/>
    <s v="M"/>
    <d v="2014-11-01T21:18:00"/>
    <d v="1899-12-30T00:00:00"/>
    <b v="0"/>
    <x v="0"/>
  </r>
  <r>
    <x v="10"/>
    <x v="1"/>
    <x v="131"/>
    <s v="M"/>
    <d v="2014-11-06T12:07:00"/>
    <d v="1899-12-30T00:00:00"/>
    <b v="0"/>
    <x v="0"/>
  </r>
  <r>
    <x v="13"/>
    <x v="1"/>
    <x v="131"/>
    <s v="M"/>
    <d v="2014-11-18T14:15:00"/>
    <d v="1899-12-30T00:00:00"/>
    <b v="0"/>
    <x v="0"/>
  </r>
  <r>
    <x v="14"/>
    <x v="1"/>
    <x v="132"/>
    <s v="M"/>
    <d v="2015-01-05T00:00:00"/>
    <d v="1899-12-30T00:00:00"/>
    <b v="0"/>
    <x v="0"/>
  </r>
  <r>
    <x v="18"/>
    <x v="1"/>
    <x v="132"/>
    <s v="M"/>
    <d v="2014-11-26T00:00:00"/>
    <d v="1899-12-30T00:00:00"/>
    <b v="0"/>
    <x v="0"/>
  </r>
  <r>
    <x v="1"/>
    <x v="1"/>
    <x v="132"/>
    <s v="M"/>
    <d v="2014-02-09T00:00:00"/>
    <m/>
    <b v="0"/>
    <x v="0"/>
  </r>
  <r>
    <x v="2"/>
    <x v="1"/>
    <x v="132"/>
    <s v="M"/>
    <d v="2014-09-08T00:00:00"/>
    <d v="1899-12-30T00:00:00"/>
    <b v="0"/>
    <x v="0"/>
  </r>
  <r>
    <x v="3"/>
    <x v="1"/>
    <x v="132"/>
    <s v="M"/>
    <d v="2014-11-25T00:00:00"/>
    <d v="1899-12-30T00:00:00"/>
    <b v="0"/>
    <x v="0"/>
  </r>
  <r>
    <x v="4"/>
    <x v="1"/>
    <x v="132"/>
    <s v="M"/>
    <d v="2014-09-19T00:00:00"/>
    <d v="1899-12-30T00:00:00"/>
    <b v="0"/>
    <x v="0"/>
  </r>
  <r>
    <x v="0"/>
    <x v="1"/>
    <x v="132"/>
    <s v="M"/>
    <d v="2014-11-26T00:00:00"/>
    <d v="1899-12-30T00:00:00"/>
    <b v="0"/>
    <x v="0"/>
  </r>
  <r>
    <x v="20"/>
    <x v="1"/>
    <x v="132"/>
    <s v="M"/>
    <d v="2014-09-19T00:00:00"/>
    <d v="1899-12-30T00:00:00"/>
    <b v="0"/>
    <x v="0"/>
  </r>
  <r>
    <x v="6"/>
    <x v="1"/>
    <x v="132"/>
    <s v="M"/>
    <d v="2014-09-03T00:00:00"/>
    <d v="1899-12-30T00:00:00"/>
    <b v="0"/>
    <x v="0"/>
  </r>
  <r>
    <x v="7"/>
    <x v="1"/>
    <x v="132"/>
    <s v="M"/>
    <d v="2014-04-30T00:00:00"/>
    <d v="1899-12-30T00:00:00"/>
    <b v="0"/>
    <x v="0"/>
  </r>
  <r>
    <x v="21"/>
    <x v="1"/>
    <x v="132"/>
    <s v="M"/>
    <d v="2014-09-19T00:00:00"/>
    <d v="1899-12-30T00:00:00"/>
    <b v="0"/>
    <x v="0"/>
  </r>
  <r>
    <x v="8"/>
    <x v="1"/>
    <x v="132"/>
    <s v="M"/>
    <d v="2014-09-11T00:00:00"/>
    <d v="1899-12-30T00:00:00"/>
    <b v="0"/>
    <x v="0"/>
  </r>
  <r>
    <x v="10"/>
    <x v="1"/>
    <x v="132"/>
    <s v="M"/>
    <d v="2014-04-29T00:00:00"/>
    <d v="1899-12-30T00:00:00"/>
    <b v="0"/>
    <x v="0"/>
  </r>
  <r>
    <x v="11"/>
    <x v="1"/>
    <x v="132"/>
    <s v="M"/>
    <d v="2014-09-04T00:00:00"/>
    <d v="1899-12-30T00:00:00"/>
    <b v="0"/>
    <x v="0"/>
  </r>
  <r>
    <x v="12"/>
    <x v="1"/>
    <x v="132"/>
    <s v="M"/>
    <d v="2014-09-08T00:00:00"/>
    <d v="1899-12-30T00:00:00"/>
    <b v="0"/>
    <x v="0"/>
  </r>
  <r>
    <x v="13"/>
    <x v="1"/>
    <x v="132"/>
    <s v="M"/>
    <d v="2014-09-19T00:00:00"/>
    <d v="1899-12-30T00:00:00"/>
    <b v="0"/>
    <x v="0"/>
  </r>
  <r>
    <x v="17"/>
    <x v="2"/>
    <x v="6"/>
    <s v="H"/>
    <m/>
    <d v="1914-08-09T21:35:52"/>
    <b v="0"/>
    <x v="0"/>
  </r>
  <r>
    <x v="14"/>
    <x v="2"/>
    <x v="6"/>
    <s v="H"/>
    <m/>
    <d v="1919-07-05T00:00:00"/>
    <b v="0"/>
    <x v="0"/>
  </r>
  <r>
    <x v="18"/>
    <x v="2"/>
    <x v="6"/>
    <s v="H"/>
    <m/>
    <d v="1921-02-01T16:48:17"/>
    <b v="0"/>
    <x v="0"/>
  </r>
  <r>
    <x v="1"/>
    <x v="2"/>
    <x v="6"/>
    <s v="H"/>
    <m/>
    <d v="1918-05-08T09:35:52"/>
    <b v="0"/>
    <x v="0"/>
  </r>
  <r>
    <x v="15"/>
    <x v="2"/>
    <x v="6"/>
    <s v="H"/>
    <m/>
    <d v="1920-03-18T02:24:08"/>
    <b v="0"/>
    <x v="0"/>
  </r>
  <r>
    <x v="16"/>
    <x v="2"/>
    <x v="6"/>
    <s v="H"/>
    <m/>
    <d v="1913-03-04T04:48:17"/>
    <b v="0"/>
    <x v="0"/>
  </r>
  <r>
    <x v="19"/>
    <x v="2"/>
    <x v="6"/>
    <s v="H"/>
    <m/>
    <d v="1909-06-26T04:47:56"/>
    <b v="0"/>
    <x v="0"/>
  </r>
  <r>
    <x v="2"/>
    <x v="2"/>
    <x v="6"/>
    <s v="H"/>
    <m/>
    <d v="1913-11-25T16:48:17"/>
    <b v="0"/>
    <x v="0"/>
  </r>
  <r>
    <x v="3"/>
    <x v="2"/>
    <x v="6"/>
    <s v="H"/>
    <m/>
    <d v="1910-11-28T00:00:00"/>
    <b v="0"/>
    <x v="0"/>
  </r>
  <r>
    <x v="4"/>
    <x v="2"/>
    <x v="6"/>
    <s v="H"/>
    <m/>
    <d v="1905-03-20T19:12:04"/>
    <b v="0"/>
    <x v="0"/>
  </r>
  <r>
    <x v="5"/>
    <x v="2"/>
    <x v="6"/>
    <s v="H"/>
    <m/>
    <d v="1904-11-04T07:12:04"/>
    <b v="0"/>
    <x v="0"/>
  </r>
  <r>
    <x v="0"/>
    <x v="2"/>
    <x v="6"/>
    <s v="H"/>
    <m/>
    <d v="1904-08-30T16:47:56"/>
    <b v="0"/>
    <x v="0"/>
  </r>
  <r>
    <x v="20"/>
    <x v="2"/>
    <x v="6"/>
    <s v="H"/>
    <m/>
    <d v="1905-02-05T09:36:02"/>
    <b v="0"/>
    <x v="0"/>
  </r>
  <r>
    <x v="6"/>
    <x v="2"/>
    <x v="6"/>
    <s v="H"/>
    <m/>
    <d v="1904-04-08T00:00:00"/>
    <b v="0"/>
    <x v="0"/>
  </r>
  <r>
    <x v="7"/>
    <x v="2"/>
    <x v="6"/>
    <s v="H"/>
    <m/>
    <d v="1907-08-26T19:12:04"/>
    <b v="0"/>
    <x v="0"/>
  </r>
  <r>
    <x v="21"/>
    <x v="2"/>
    <x v="6"/>
    <s v="H"/>
    <m/>
    <d v="1914-03-26T09:35:52"/>
    <b v="0"/>
    <x v="0"/>
  </r>
  <r>
    <x v="8"/>
    <x v="2"/>
    <x v="6"/>
    <s v="H"/>
    <m/>
    <d v="1911-12-17T19:11:43"/>
    <b v="0"/>
    <x v="0"/>
  </r>
  <r>
    <x v="9"/>
    <x v="2"/>
    <x v="6"/>
    <s v="H"/>
    <m/>
    <d v="1913-01-07T12:00:00"/>
    <b v="0"/>
    <x v="0"/>
  </r>
  <r>
    <x v="10"/>
    <x v="2"/>
    <x v="6"/>
    <s v="H"/>
    <m/>
    <d v="1914-04-02T00:00:00"/>
    <b v="0"/>
    <x v="0"/>
  </r>
  <r>
    <x v="22"/>
    <x v="2"/>
    <x v="6"/>
    <s v="H"/>
    <m/>
    <d v="1904-01-31T16:47:56"/>
    <b v="0"/>
    <x v="0"/>
  </r>
  <r>
    <x v="23"/>
    <x v="2"/>
    <x v="6"/>
    <s v="H"/>
    <m/>
    <d v="1903-12-20T02:23:58"/>
    <b v="0"/>
    <x v="0"/>
  </r>
  <r>
    <x v="11"/>
    <x v="2"/>
    <x v="6"/>
    <s v="H"/>
    <m/>
    <d v="1914-09-03T02:24:08"/>
    <b v="0"/>
    <x v="0"/>
  </r>
  <r>
    <x v="12"/>
    <x v="2"/>
    <x v="6"/>
    <s v="H"/>
    <m/>
    <d v="1908-08-20T00:00:00"/>
    <b v="0"/>
    <x v="0"/>
  </r>
  <r>
    <x v="13"/>
    <x v="2"/>
    <x v="6"/>
    <s v="H"/>
    <m/>
    <d v="1908-02-16T02:24:08"/>
    <b v="0"/>
    <x v="0"/>
  </r>
  <r>
    <x v="17"/>
    <x v="2"/>
    <x v="133"/>
    <s v="H"/>
    <m/>
    <d v="1914-08-09T21:35:52"/>
    <b v="0"/>
    <x v="0"/>
  </r>
  <r>
    <x v="14"/>
    <x v="2"/>
    <x v="133"/>
    <s v="H"/>
    <m/>
    <d v="1919-07-05T00:00:00"/>
    <b v="0"/>
    <x v="0"/>
  </r>
  <r>
    <x v="18"/>
    <x v="2"/>
    <x v="133"/>
    <s v="H"/>
    <m/>
    <d v="1921-02-01T16:48:17"/>
    <b v="0"/>
    <x v="0"/>
  </r>
  <r>
    <x v="1"/>
    <x v="2"/>
    <x v="133"/>
    <s v="H"/>
    <m/>
    <d v="1918-05-08T09:35:52"/>
    <b v="0"/>
    <x v="0"/>
  </r>
  <r>
    <x v="15"/>
    <x v="2"/>
    <x v="133"/>
    <s v="H"/>
    <m/>
    <d v="1920-03-18T02:24:08"/>
    <b v="0"/>
    <x v="0"/>
  </r>
  <r>
    <x v="16"/>
    <x v="2"/>
    <x v="133"/>
    <s v="H"/>
    <m/>
    <d v="1913-03-04T04:48:17"/>
    <b v="0"/>
    <x v="0"/>
  </r>
  <r>
    <x v="19"/>
    <x v="2"/>
    <x v="133"/>
    <s v="H"/>
    <m/>
    <d v="1909-06-26T04:47:56"/>
    <b v="0"/>
    <x v="0"/>
  </r>
  <r>
    <x v="2"/>
    <x v="2"/>
    <x v="133"/>
    <s v="H"/>
    <m/>
    <d v="1913-11-25T16:48:17"/>
    <b v="0"/>
    <x v="0"/>
  </r>
  <r>
    <x v="3"/>
    <x v="2"/>
    <x v="133"/>
    <s v="H"/>
    <m/>
    <d v="1910-11-28T00:00:00"/>
    <b v="0"/>
    <x v="0"/>
  </r>
  <r>
    <x v="4"/>
    <x v="2"/>
    <x v="133"/>
    <s v="H"/>
    <m/>
    <d v="1905-03-12T02:23:58"/>
    <b v="0"/>
    <x v="0"/>
  </r>
  <r>
    <x v="5"/>
    <x v="2"/>
    <x v="133"/>
    <s v="H"/>
    <m/>
    <d v="1904-11-04T07:12:04"/>
    <b v="0"/>
    <x v="0"/>
  </r>
  <r>
    <x v="0"/>
    <x v="2"/>
    <x v="133"/>
    <s v="H"/>
    <m/>
    <d v="1904-08-30T16:47:56"/>
    <b v="0"/>
    <x v="0"/>
  </r>
  <r>
    <x v="20"/>
    <x v="2"/>
    <x v="133"/>
    <s v="H"/>
    <m/>
    <d v="1905-02-05T09:36:02"/>
    <b v="0"/>
    <x v="0"/>
  </r>
  <r>
    <x v="6"/>
    <x v="2"/>
    <x v="133"/>
    <s v="H"/>
    <m/>
    <d v="1904-04-08T00:00:00"/>
    <b v="0"/>
    <x v="0"/>
  </r>
  <r>
    <x v="7"/>
    <x v="2"/>
    <x v="133"/>
    <s v="H"/>
    <m/>
    <d v="1907-08-26T19:12:04"/>
    <b v="0"/>
    <x v="0"/>
  </r>
  <r>
    <x v="21"/>
    <x v="2"/>
    <x v="133"/>
    <s v="H"/>
    <m/>
    <d v="1914-03-26T09:35:52"/>
    <b v="0"/>
    <x v="0"/>
  </r>
  <r>
    <x v="8"/>
    <x v="2"/>
    <x v="133"/>
    <s v="H"/>
    <m/>
    <d v="1911-12-17T19:11:43"/>
    <b v="0"/>
    <x v="0"/>
  </r>
  <r>
    <x v="9"/>
    <x v="2"/>
    <x v="133"/>
    <s v="H"/>
    <m/>
    <d v="1913-01-07T12:00:00"/>
    <b v="0"/>
    <x v="0"/>
  </r>
  <r>
    <x v="10"/>
    <x v="2"/>
    <x v="133"/>
    <s v="H"/>
    <m/>
    <d v="1914-04-02T00:00:00"/>
    <b v="0"/>
    <x v="0"/>
  </r>
  <r>
    <x v="22"/>
    <x v="2"/>
    <x v="133"/>
    <s v="H"/>
    <m/>
    <d v="1904-01-31T16:47:56"/>
    <b v="0"/>
    <x v="0"/>
  </r>
  <r>
    <x v="23"/>
    <x v="2"/>
    <x v="133"/>
    <s v="H"/>
    <m/>
    <d v="1903-12-20T02:23:58"/>
    <b v="0"/>
    <x v="0"/>
  </r>
  <r>
    <x v="11"/>
    <x v="2"/>
    <x v="133"/>
    <s v="H"/>
    <m/>
    <d v="1914-09-03T02:24:08"/>
    <b v="0"/>
    <x v="0"/>
  </r>
  <r>
    <x v="12"/>
    <x v="2"/>
    <x v="133"/>
    <s v="H"/>
    <m/>
    <d v="1908-08-20T00:00:00"/>
    <b v="0"/>
    <x v="0"/>
  </r>
  <r>
    <x v="13"/>
    <x v="2"/>
    <x v="133"/>
    <s v="H"/>
    <m/>
    <d v="1908-02-16T02:24:08"/>
    <b v="0"/>
    <x v="0"/>
  </r>
  <r>
    <x v="14"/>
    <x v="2"/>
    <x v="134"/>
    <s v="D"/>
    <d v="2015-03-11T08:51:00"/>
    <d v="1899-12-30T00:00:00"/>
    <b v="0"/>
    <x v="0"/>
  </r>
  <r>
    <x v="18"/>
    <x v="2"/>
    <x v="134"/>
    <s v="D"/>
    <d v="2015-03-31T13:32:00"/>
    <d v="1899-12-30T00:00:00"/>
    <b v="0"/>
    <x v="0"/>
  </r>
  <r>
    <x v="1"/>
    <x v="2"/>
    <x v="134"/>
    <s v="D"/>
    <d v="2015-03-18T19:53:00"/>
    <d v="1899-12-30T00:00:00"/>
    <b v="0"/>
    <x v="0"/>
  </r>
  <r>
    <x v="15"/>
    <x v="2"/>
    <x v="134"/>
    <s v="D"/>
    <d v="2015-04-08T14:04:00"/>
    <d v="1899-12-30T00:00:00"/>
    <b v="0"/>
    <x v="0"/>
  </r>
  <r>
    <x v="16"/>
    <x v="2"/>
    <x v="134"/>
    <s v="D"/>
    <d v="2015-03-24T11:56:00"/>
    <d v="1899-12-30T00:00:00"/>
    <b v="0"/>
    <x v="0"/>
  </r>
  <r>
    <x v="2"/>
    <x v="2"/>
    <x v="134"/>
    <s v="D"/>
    <d v="2015-04-03T14:10:00"/>
    <d v="1899-12-30T00:00:00"/>
    <b v="0"/>
    <x v="0"/>
  </r>
  <r>
    <x v="3"/>
    <x v="2"/>
    <x v="134"/>
    <s v="D"/>
    <d v="2015-04-15T11:55:00"/>
    <d v="1899-12-30T00:00:00"/>
    <b v="0"/>
    <x v="0"/>
  </r>
  <r>
    <x v="4"/>
    <x v="2"/>
    <x v="134"/>
    <s v="D"/>
    <d v="2015-02-24T11:14:00"/>
    <d v="1899-12-30T00:00:00"/>
    <b v="0"/>
    <x v="0"/>
  </r>
  <r>
    <x v="5"/>
    <x v="2"/>
    <x v="134"/>
    <s v="D"/>
    <d v="2015-03-31T00:00:00"/>
    <d v="1899-12-30T00:00:00"/>
    <b v="0"/>
    <x v="0"/>
  </r>
  <r>
    <x v="0"/>
    <x v="2"/>
    <x v="134"/>
    <s v="D"/>
    <d v="2015-04-08T15:36:00"/>
    <d v="1899-12-30T00:00:00"/>
    <b v="0"/>
    <x v="0"/>
  </r>
  <r>
    <x v="20"/>
    <x v="2"/>
    <x v="134"/>
    <s v="D"/>
    <d v="2015-03-25T17:59:00"/>
    <d v="1899-12-30T00:00:00"/>
    <b v="0"/>
    <x v="0"/>
  </r>
  <r>
    <x v="6"/>
    <x v="2"/>
    <x v="134"/>
    <s v="D"/>
    <d v="2015-02-24T11:26:00"/>
    <d v="1899-12-30T00:00:00"/>
    <b v="0"/>
    <x v="0"/>
  </r>
  <r>
    <x v="7"/>
    <x v="2"/>
    <x v="134"/>
    <s v="D"/>
    <d v="2015-04-11T11:06:00"/>
    <d v="1899-12-30T00:00:00"/>
    <b v="0"/>
    <x v="0"/>
  </r>
  <r>
    <x v="21"/>
    <x v="2"/>
    <x v="134"/>
    <s v="D"/>
    <d v="2015-03-31T15:50:00"/>
    <d v="1899-12-30T00:00:00"/>
    <b v="0"/>
    <x v="0"/>
  </r>
  <r>
    <x v="8"/>
    <x v="2"/>
    <x v="134"/>
    <s v="D"/>
    <d v="2015-04-02T12:17:00"/>
    <d v="1899-12-30T00:00:00"/>
    <b v="0"/>
    <x v="0"/>
  </r>
  <r>
    <x v="9"/>
    <x v="2"/>
    <x v="134"/>
    <s v="D"/>
    <d v="2015-03-26T11:03:00"/>
    <d v="1899-12-30T00:00:00"/>
    <b v="0"/>
    <x v="0"/>
  </r>
  <r>
    <x v="10"/>
    <x v="2"/>
    <x v="134"/>
    <s v="D"/>
    <d v="2015-03-31T22:22:00"/>
    <d v="1899-12-30T00:00:00"/>
    <b v="0"/>
    <x v="0"/>
  </r>
  <r>
    <x v="22"/>
    <x v="2"/>
    <x v="134"/>
    <s v="D"/>
    <d v="2015-04-02T09:31:00"/>
    <d v="1899-12-30T00:00:00"/>
    <b v="0"/>
    <x v="0"/>
  </r>
  <r>
    <x v="11"/>
    <x v="2"/>
    <x v="134"/>
    <s v="D"/>
    <d v="2015-04-11T07:30:00"/>
    <d v="1899-12-30T00:00:00"/>
    <b v="0"/>
    <x v="0"/>
  </r>
  <r>
    <x v="12"/>
    <x v="2"/>
    <x v="134"/>
    <s v="D"/>
    <d v="2015-04-13T10:15:00"/>
    <d v="1899-12-30T00:00:00"/>
    <b v="0"/>
    <x v="0"/>
  </r>
  <r>
    <x v="13"/>
    <x v="2"/>
    <x v="134"/>
    <s v="D"/>
    <d v="2015-04-08T09:44:00"/>
    <d v="1899-12-30T00:00:00"/>
    <b v="0"/>
    <x v="0"/>
  </r>
  <r>
    <x v="17"/>
    <x v="2"/>
    <x v="129"/>
    <s v="D"/>
    <d v="2015-04-14T13:18:00"/>
    <d v="1899-12-30T00:00:00"/>
    <b v="0"/>
    <x v="0"/>
  </r>
  <r>
    <x v="14"/>
    <x v="2"/>
    <x v="129"/>
    <s v="D"/>
    <d v="2015-03-12T13:47:00"/>
    <d v="1899-12-30T00:00:00"/>
    <b v="0"/>
    <x v="0"/>
  </r>
  <r>
    <x v="18"/>
    <x v="2"/>
    <x v="129"/>
    <s v="D"/>
    <d v="2015-04-10T23:08:00"/>
    <d v="1899-12-30T00:00:00"/>
    <b v="0"/>
    <x v="0"/>
  </r>
  <r>
    <x v="1"/>
    <x v="2"/>
    <x v="129"/>
    <s v="D"/>
    <d v="2015-04-13T11:30:00"/>
    <d v="1899-12-30T00:00:00"/>
    <b v="0"/>
    <x v="0"/>
  </r>
  <r>
    <x v="15"/>
    <x v="2"/>
    <x v="129"/>
    <s v="D"/>
    <d v="2015-04-13T15:05:00"/>
    <d v="1899-12-30T00:00:00"/>
    <b v="0"/>
    <x v="0"/>
  </r>
  <r>
    <x v="16"/>
    <x v="2"/>
    <x v="129"/>
    <s v="D"/>
    <d v="2015-04-16T11:00:00"/>
    <d v="1899-12-30T00:00:00"/>
    <b v="0"/>
    <x v="0"/>
  </r>
  <r>
    <x v="19"/>
    <x v="2"/>
    <x v="129"/>
    <s v="D"/>
    <d v="2015-04-01T17:32:00"/>
    <d v="1899-12-30T00:00:00"/>
    <b v="0"/>
    <x v="0"/>
  </r>
  <r>
    <x v="2"/>
    <x v="2"/>
    <x v="129"/>
    <s v="D"/>
    <d v="2015-04-03T14:54:00"/>
    <d v="1899-12-30T00:00:00"/>
    <b v="0"/>
    <x v="0"/>
  </r>
  <r>
    <x v="3"/>
    <x v="2"/>
    <x v="129"/>
    <s v="D"/>
    <d v="2015-04-07T14:47:00"/>
    <d v="1899-12-30T00:00:00"/>
    <b v="0"/>
    <x v="0"/>
  </r>
  <r>
    <x v="4"/>
    <x v="2"/>
    <x v="129"/>
    <s v="D"/>
    <d v="2015-02-06T20:18:00"/>
    <d v="1899-12-30T00:00:00"/>
    <b v="0"/>
    <x v="0"/>
  </r>
  <r>
    <x v="5"/>
    <x v="2"/>
    <x v="129"/>
    <s v="D"/>
    <d v="2015-04-01T17:07:00"/>
    <d v="1899-12-30T00:00:00"/>
    <b v="0"/>
    <x v="0"/>
  </r>
  <r>
    <x v="0"/>
    <x v="2"/>
    <x v="129"/>
    <s v="D"/>
    <d v="2015-04-15T11:42:00"/>
    <d v="1899-12-30T00:00:00"/>
    <b v="0"/>
    <x v="0"/>
  </r>
  <r>
    <x v="20"/>
    <x v="2"/>
    <x v="129"/>
    <s v="D"/>
    <d v="2015-03-29T15:03:00"/>
    <d v="1899-12-30T00:00:00"/>
    <b v="0"/>
    <x v="0"/>
  </r>
  <r>
    <x v="6"/>
    <x v="2"/>
    <x v="129"/>
    <s v="D"/>
    <d v="2015-03-17T19:01:00"/>
    <d v="1899-12-30T00:00:00"/>
    <b v="0"/>
    <x v="0"/>
  </r>
  <r>
    <x v="7"/>
    <x v="2"/>
    <x v="129"/>
    <s v="D"/>
    <d v="2015-04-18T10:35:00"/>
    <d v="1899-12-30T00:00:00"/>
    <b v="0"/>
    <x v="0"/>
  </r>
  <r>
    <x v="21"/>
    <x v="2"/>
    <x v="129"/>
    <s v="D"/>
    <d v="2015-04-09T09:04:00"/>
    <d v="1899-12-30T00:00:00"/>
    <b v="0"/>
    <x v="0"/>
  </r>
  <r>
    <x v="8"/>
    <x v="2"/>
    <x v="129"/>
    <s v="D"/>
    <d v="2015-04-13T12:43:00"/>
    <d v="1899-12-30T00:00:00"/>
    <b v="0"/>
    <x v="0"/>
  </r>
  <r>
    <x v="9"/>
    <x v="2"/>
    <x v="129"/>
    <s v="D"/>
    <d v="2015-04-01T16:32:00"/>
    <d v="1899-12-30T00:00:00"/>
    <b v="0"/>
    <x v="0"/>
  </r>
  <r>
    <x v="10"/>
    <x v="2"/>
    <x v="129"/>
    <s v="D"/>
    <d v="2015-04-02T08:25:00"/>
    <d v="1899-12-30T00:00:00"/>
    <b v="0"/>
    <x v="0"/>
  </r>
  <r>
    <x v="22"/>
    <x v="2"/>
    <x v="129"/>
    <s v="D"/>
    <d v="2015-04-02T09:29:00"/>
    <d v="1899-12-30T00:00:00"/>
    <b v="0"/>
    <x v="0"/>
  </r>
  <r>
    <x v="23"/>
    <x v="2"/>
    <x v="129"/>
    <s v="D"/>
    <d v="2015-04-01T10:41:00"/>
    <d v="1899-12-30T00:00:00"/>
    <b v="0"/>
    <x v="0"/>
  </r>
  <r>
    <x v="11"/>
    <x v="2"/>
    <x v="129"/>
    <s v="D"/>
    <d v="2015-04-11T09:20:00"/>
    <d v="1899-12-30T00:00:00"/>
    <b v="0"/>
    <x v="0"/>
  </r>
  <r>
    <x v="12"/>
    <x v="2"/>
    <x v="129"/>
    <s v="D"/>
    <d v="2015-04-16T09:45:00"/>
    <d v="1899-12-30T00:00:00"/>
    <b v="0"/>
    <x v="0"/>
  </r>
  <r>
    <x v="13"/>
    <x v="2"/>
    <x v="129"/>
    <s v="D"/>
    <d v="2015-04-03T12:49:00"/>
    <d v="1899-12-30T00:00:00"/>
    <b v="0"/>
    <x v="0"/>
  </r>
  <r>
    <x v="17"/>
    <x v="2"/>
    <x v="135"/>
    <s v="D"/>
    <d v="2015-04-14T13:24:00"/>
    <d v="1899-12-30T00:00:00"/>
    <b v="0"/>
    <x v="0"/>
  </r>
  <r>
    <x v="14"/>
    <x v="2"/>
    <x v="135"/>
    <s v="D"/>
    <d v="2015-03-26T15:17:00"/>
    <d v="1899-12-30T00:00:00"/>
    <b v="0"/>
    <x v="0"/>
  </r>
  <r>
    <x v="18"/>
    <x v="2"/>
    <x v="135"/>
    <s v="D"/>
    <d v="2015-04-13T13:19:00"/>
    <d v="1899-12-30T00:00:00"/>
    <b v="0"/>
    <x v="0"/>
  </r>
  <r>
    <x v="1"/>
    <x v="2"/>
    <x v="135"/>
    <s v="D"/>
    <d v="2015-04-13T14:13:00"/>
    <d v="1899-12-30T00:00:00"/>
    <b v="0"/>
    <x v="0"/>
  </r>
  <r>
    <x v="15"/>
    <x v="2"/>
    <x v="135"/>
    <s v="D"/>
    <d v="2015-04-10T23:13:00"/>
    <d v="1899-12-30T00:00:00"/>
    <b v="0"/>
    <x v="0"/>
  </r>
  <r>
    <x v="16"/>
    <x v="2"/>
    <x v="135"/>
    <s v="D"/>
    <d v="2015-04-14T02:29:00"/>
    <d v="1899-12-30T00:00:00"/>
    <b v="0"/>
    <x v="0"/>
  </r>
  <r>
    <x v="19"/>
    <x v="2"/>
    <x v="135"/>
    <s v="D"/>
    <d v="2015-04-08T17:29:00"/>
    <d v="1899-12-30T00:00:00"/>
    <b v="0"/>
    <x v="0"/>
  </r>
  <r>
    <x v="2"/>
    <x v="2"/>
    <x v="135"/>
    <s v="D"/>
    <d v="2015-04-15T14:57:00"/>
    <d v="1899-12-30T00:00:00"/>
    <b v="0"/>
    <x v="0"/>
  </r>
  <r>
    <x v="3"/>
    <x v="2"/>
    <x v="135"/>
    <s v="D"/>
    <d v="2015-04-07T15:31:00"/>
    <d v="1899-12-30T00:00:00"/>
    <b v="0"/>
    <x v="0"/>
  </r>
  <r>
    <x v="4"/>
    <x v="2"/>
    <x v="135"/>
    <s v="D"/>
    <d v="2015-02-27T13:01:00"/>
    <d v="1899-12-30T00:00:00"/>
    <b v="0"/>
    <x v="0"/>
  </r>
  <r>
    <x v="5"/>
    <x v="2"/>
    <x v="135"/>
    <s v="D"/>
    <d v="2015-04-10T10:47:00"/>
    <d v="1899-12-30T00:00:00"/>
    <b v="0"/>
    <x v="0"/>
  </r>
  <r>
    <x v="0"/>
    <x v="2"/>
    <x v="135"/>
    <s v="D"/>
    <d v="2015-04-16T13:31:00"/>
    <d v="1899-12-30T00:00:00"/>
    <b v="0"/>
    <x v="0"/>
  </r>
  <r>
    <x v="20"/>
    <x v="2"/>
    <x v="135"/>
    <s v="D"/>
    <d v="2015-04-13T21:31:00"/>
    <d v="1899-12-30T00:00:00"/>
    <b v="0"/>
    <x v="0"/>
  </r>
  <r>
    <x v="6"/>
    <x v="2"/>
    <x v="135"/>
    <s v="D"/>
    <d v="2015-03-16T13:13:00"/>
    <d v="1899-12-30T00:00:00"/>
    <b v="0"/>
    <x v="0"/>
  </r>
  <r>
    <x v="7"/>
    <x v="2"/>
    <x v="135"/>
    <s v="D"/>
    <d v="2015-04-08T15:39:00"/>
    <d v="1899-12-30T00:00:00"/>
    <b v="0"/>
    <x v="0"/>
  </r>
  <r>
    <x v="21"/>
    <x v="2"/>
    <x v="135"/>
    <s v="D"/>
    <d v="2015-04-07T14:46:00"/>
    <d v="1899-12-30T00:00:00"/>
    <b v="0"/>
    <x v="0"/>
  </r>
  <r>
    <x v="8"/>
    <x v="2"/>
    <x v="135"/>
    <s v="D"/>
    <d v="2015-04-13T15:50:00"/>
    <d v="1899-12-30T00:00:00"/>
    <b v="0"/>
    <x v="0"/>
  </r>
  <r>
    <x v="9"/>
    <x v="2"/>
    <x v="135"/>
    <s v="D"/>
    <d v="2015-04-08T19:22:00"/>
    <d v="1899-12-30T00:00:00"/>
    <b v="0"/>
    <x v="0"/>
  </r>
  <r>
    <x v="10"/>
    <x v="2"/>
    <x v="135"/>
    <s v="D"/>
    <d v="2015-04-11T11:05:00"/>
    <d v="1899-12-30T00:00:00"/>
    <b v="0"/>
    <x v="0"/>
  </r>
  <r>
    <x v="22"/>
    <x v="2"/>
    <x v="135"/>
    <s v="D"/>
    <d v="2015-04-09T21:26:00"/>
    <d v="1899-12-30T00:00:00"/>
    <b v="0"/>
    <x v="0"/>
  </r>
  <r>
    <x v="23"/>
    <x v="2"/>
    <x v="135"/>
    <s v="D"/>
    <d v="2015-04-14T15:02:00"/>
    <d v="1899-12-30T00:00:00"/>
    <b v="0"/>
    <x v="0"/>
  </r>
  <r>
    <x v="11"/>
    <x v="2"/>
    <x v="135"/>
    <s v="D"/>
    <d v="2015-04-09T10:19:00"/>
    <d v="1899-12-30T00:00:00"/>
    <b v="0"/>
    <x v="0"/>
  </r>
  <r>
    <x v="12"/>
    <x v="2"/>
    <x v="135"/>
    <s v="D"/>
    <d v="2015-04-15T11:47:00"/>
    <d v="1899-12-30T00:00:00"/>
    <b v="0"/>
    <x v="0"/>
  </r>
  <r>
    <x v="13"/>
    <x v="2"/>
    <x v="135"/>
    <s v="D"/>
    <d v="2015-04-08T08:39:00"/>
    <d v="1899-12-30T00:00:00"/>
    <b v="0"/>
    <x v="0"/>
  </r>
  <r>
    <x v="17"/>
    <x v="2"/>
    <x v="136"/>
    <s v="D"/>
    <d v="2015-02-27T00:00:00"/>
    <d v="1899-12-30T00:00:00"/>
    <b v="0"/>
    <x v="0"/>
  </r>
  <r>
    <x v="14"/>
    <x v="2"/>
    <x v="136"/>
    <s v="D"/>
    <d v="2014-10-25T00:00:00"/>
    <d v="1899-12-30T00:00:00"/>
    <b v="0"/>
    <x v="0"/>
  </r>
  <r>
    <x v="18"/>
    <x v="2"/>
    <x v="136"/>
    <s v="D"/>
    <d v="2014-11-26T00:00:00"/>
    <d v="1899-12-30T00:00:00"/>
    <b v="0"/>
    <x v="0"/>
  </r>
  <r>
    <x v="1"/>
    <x v="2"/>
    <x v="136"/>
    <s v="D"/>
    <d v="2015-01-06T07:06:00"/>
    <d v="1899-12-30T00:00:00"/>
    <b v="0"/>
    <x v="0"/>
  </r>
  <r>
    <x v="15"/>
    <x v="2"/>
    <x v="136"/>
    <s v="D"/>
    <d v="2015-04-10T00:00:00"/>
    <d v="1899-12-30T00:00:00"/>
    <b v="0"/>
    <x v="0"/>
  </r>
  <r>
    <x v="16"/>
    <x v="2"/>
    <x v="136"/>
    <s v="D"/>
    <d v="2015-04-03T18:01:00"/>
    <d v="1899-12-30T00:00:00"/>
    <b v="0"/>
    <x v="0"/>
  </r>
  <r>
    <x v="19"/>
    <x v="2"/>
    <x v="136"/>
    <s v="D"/>
    <d v="2014-11-30T00:00:00"/>
    <d v="1899-12-30T00:00:00"/>
    <b v="0"/>
    <x v="0"/>
  </r>
  <r>
    <x v="2"/>
    <x v="2"/>
    <x v="136"/>
    <s v="D"/>
    <d v="2015-03-16T11:26:00"/>
    <d v="1899-12-30T00:00:00"/>
    <b v="0"/>
    <x v="0"/>
  </r>
  <r>
    <x v="3"/>
    <x v="2"/>
    <x v="136"/>
    <s v="D"/>
    <d v="2014-11-25T00:00:00"/>
    <d v="1899-12-30T00:00:00"/>
    <b v="0"/>
    <x v="0"/>
  </r>
  <r>
    <x v="4"/>
    <x v="2"/>
    <x v="136"/>
    <s v="D"/>
    <d v="2014-09-21T00:00:00"/>
    <d v="1899-12-30T00:00:00"/>
    <b v="0"/>
    <x v="0"/>
  </r>
  <r>
    <x v="5"/>
    <x v="2"/>
    <x v="136"/>
    <s v="D"/>
    <d v="2015-02-05T13:11:00"/>
    <d v="1899-12-30T00:00:00"/>
    <b v="0"/>
    <x v="0"/>
  </r>
  <r>
    <x v="0"/>
    <x v="2"/>
    <x v="136"/>
    <s v="D"/>
    <d v="2014-11-26T00:00:00"/>
    <d v="1899-12-30T00:00:00"/>
    <b v="0"/>
    <x v="0"/>
  </r>
  <r>
    <x v="20"/>
    <x v="2"/>
    <x v="136"/>
    <s v="D"/>
    <d v="2015-03-25T13:06:00"/>
    <d v="1899-12-30T00:00:00"/>
    <b v="0"/>
    <x v="0"/>
  </r>
  <r>
    <x v="6"/>
    <x v="2"/>
    <x v="136"/>
    <s v="D"/>
    <d v="2014-08-26T18:52:00"/>
    <d v="1899-12-30T00:00:00"/>
    <b v="0"/>
    <x v="0"/>
  </r>
  <r>
    <x v="7"/>
    <x v="2"/>
    <x v="136"/>
    <s v="D"/>
    <d v="2014-10-07T00:00:00"/>
    <d v="1899-12-30T00:00:00"/>
    <b v="0"/>
    <x v="0"/>
  </r>
  <r>
    <x v="21"/>
    <x v="2"/>
    <x v="136"/>
    <s v="D"/>
    <d v="2015-04-08T09:16:00"/>
    <d v="1899-12-30T00:00:00"/>
    <b v="0"/>
    <x v="0"/>
  </r>
  <r>
    <x v="8"/>
    <x v="2"/>
    <x v="136"/>
    <s v="D"/>
    <d v="2015-03-16T08:32:00"/>
    <d v="1899-12-30T00:00:00"/>
    <b v="0"/>
    <x v="0"/>
  </r>
  <r>
    <x v="9"/>
    <x v="2"/>
    <x v="136"/>
    <s v="D"/>
    <d v="2015-01-22T00:00:00"/>
    <d v="1899-12-30T00:00:00"/>
    <b v="0"/>
    <x v="0"/>
  </r>
  <r>
    <x v="10"/>
    <x v="2"/>
    <x v="136"/>
    <s v="D"/>
    <d v="2015-03-05T16:20:00"/>
    <d v="1899-12-30T00:00:00"/>
    <b v="0"/>
    <x v="0"/>
  </r>
  <r>
    <x v="22"/>
    <x v="2"/>
    <x v="136"/>
    <s v="D"/>
    <d v="2015-04-09T21:32:00"/>
    <d v="1899-12-30T00:00:00"/>
    <b v="0"/>
    <x v="0"/>
  </r>
  <r>
    <x v="23"/>
    <x v="2"/>
    <x v="136"/>
    <s v="D"/>
    <d v="2014-11-26T00:00:00"/>
    <d v="1899-12-30T00:00:00"/>
    <b v="0"/>
    <x v="0"/>
  </r>
  <r>
    <x v="11"/>
    <x v="2"/>
    <x v="136"/>
    <s v="D"/>
    <d v="2014-11-10T01:10:00"/>
    <d v="1899-12-30T00:00:00"/>
    <b v="0"/>
    <x v="0"/>
  </r>
  <r>
    <x v="12"/>
    <x v="2"/>
    <x v="136"/>
    <s v="D"/>
    <d v="2015-03-31T15:15:00"/>
    <d v="1899-12-30T00:00:00"/>
    <b v="0"/>
    <x v="0"/>
  </r>
  <r>
    <x v="13"/>
    <x v="2"/>
    <x v="136"/>
    <s v="D"/>
    <d v="2014-11-18T13:08:00"/>
    <d v="1899-12-30T00:00:00"/>
    <b v="0"/>
    <x v="0"/>
  </r>
  <r>
    <x v="14"/>
    <x v="2"/>
    <x v="137"/>
    <s v="D"/>
    <d v="2015-03-18T00:00:00"/>
    <d v="1899-12-30T00:00:00"/>
    <b v="0"/>
    <x v="0"/>
  </r>
  <r>
    <x v="18"/>
    <x v="2"/>
    <x v="137"/>
    <s v="D"/>
    <d v="2015-01-21T11:35:00"/>
    <d v="1899-12-30T00:00:00"/>
    <b v="0"/>
    <x v="0"/>
  </r>
  <r>
    <x v="15"/>
    <x v="2"/>
    <x v="137"/>
    <s v="D"/>
    <d v="2015-01-22T00:00:00"/>
    <d v="1899-12-30T00:00:00"/>
    <b v="0"/>
    <x v="0"/>
  </r>
  <r>
    <x v="16"/>
    <x v="2"/>
    <x v="137"/>
    <s v="D"/>
    <d v="2015-03-13T09:47:00"/>
    <d v="1899-12-30T00:00:00"/>
    <b v="0"/>
    <x v="0"/>
  </r>
  <r>
    <x v="19"/>
    <x v="2"/>
    <x v="137"/>
    <s v="D"/>
    <d v="2015-02-11T09:53:00"/>
    <d v="1899-12-30T00:00:00"/>
    <b v="0"/>
    <x v="0"/>
  </r>
  <r>
    <x v="2"/>
    <x v="2"/>
    <x v="137"/>
    <s v="D"/>
    <d v="2015-03-18T11:48:00"/>
    <d v="1899-12-30T00:00:00"/>
    <b v="0"/>
    <x v="0"/>
  </r>
  <r>
    <x v="3"/>
    <x v="2"/>
    <x v="137"/>
    <s v="D"/>
    <d v="2015-03-08T14:54:00"/>
    <d v="1899-12-30T00:00:00"/>
    <b v="0"/>
    <x v="0"/>
  </r>
  <r>
    <x v="4"/>
    <x v="2"/>
    <x v="137"/>
    <s v="D"/>
    <d v="2015-02-21T11:31:00"/>
    <d v="1899-12-30T00:00:00"/>
    <b v="0"/>
    <x v="0"/>
  </r>
  <r>
    <x v="5"/>
    <x v="2"/>
    <x v="137"/>
    <s v="D"/>
    <d v="2015-02-10T09:09:00"/>
    <d v="1899-12-30T00:00:00"/>
    <b v="0"/>
    <x v="0"/>
  </r>
  <r>
    <x v="0"/>
    <x v="2"/>
    <x v="137"/>
    <s v="D"/>
    <d v="2015-03-01T13:02:00"/>
    <d v="1899-12-30T00:00:00"/>
    <b v="0"/>
    <x v="0"/>
  </r>
  <r>
    <x v="20"/>
    <x v="2"/>
    <x v="137"/>
    <s v="D"/>
    <d v="2015-03-23T00:00:00"/>
    <d v="1899-12-30T00:00:00"/>
    <b v="0"/>
    <x v="0"/>
  </r>
  <r>
    <x v="6"/>
    <x v="2"/>
    <x v="137"/>
    <s v="D"/>
    <d v="2015-03-12T13:12:00"/>
    <d v="1899-12-30T00:00:00"/>
    <b v="0"/>
    <x v="0"/>
  </r>
  <r>
    <x v="21"/>
    <x v="2"/>
    <x v="137"/>
    <s v="D"/>
    <d v="2015-03-24T10:53:00"/>
    <d v="1899-12-30T00:00:00"/>
    <b v="0"/>
    <x v="0"/>
  </r>
  <r>
    <x v="8"/>
    <x v="2"/>
    <x v="137"/>
    <s v="D"/>
    <d v="2015-03-13T13:59:00"/>
    <d v="1899-12-30T00:00:00"/>
    <b v="0"/>
    <x v="0"/>
  </r>
  <r>
    <x v="9"/>
    <x v="2"/>
    <x v="137"/>
    <s v="D"/>
    <d v="2015-01-22T00:00:00"/>
    <d v="1899-12-30T00:00:00"/>
    <b v="0"/>
    <x v="0"/>
  </r>
  <r>
    <x v="10"/>
    <x v="2"/>
    <x v="137"/>
    <s v="D"/>
    <d v="2015-04-11T11:07:00"/>
    <d v="1899-12-30T00:00:00"/>
    <b v="0"/>
    <x v="0"/>
  </r>
  <r>
    <x v="22"/>
    <x v="2"/>
    <x v="137"/>
    <s v="D"/>
    <d v="2015-03-18T11:08:00"/>
    <d v="1899-12-30T00:00:00"/>
    <b v="0"/>
    <x v="0"/>
  </r>
  <r>
    <x v="11"/>
    <x v="2"/>
    <x v="137"/>
    <s v="D"/>
    <d v="2015-02-07T10:28:00"/>
    <d v="1899-12-30T00:00:00"/>
    <b v="0"/>
    <x v="0"/>
  </r>
  <r>
    <x v="13"/>
    <x v="2"/>
    <x v="137"/>
    <s v="D"/>
    <d v="2015-02-15T13:09:00"/>
    <d v="1899-12-30T00:00:00"/>
    <b v="0"/>
    <x v="0"/>
  </r>
  <r>
    <x v="17"/>
    <x v="2"/>
    <x v="138"/>
    <s v="D"/>
    <d v="2015-02-07T11:04:00"/>
    <d v="1899-12-30T00:00:00"/>
    <b v="0"/>
    <x v="0"/>
  </r>
  <r>
    <x v="14"/>
    <x v="2"/>
    <x v="138"/>
    <s v="D"/>
    <d v="2014-12-21T00:00:00"/>
    <d v="1899-12-30T00:00:00"/>
    <b v="0"/>
    <x v="0"/>
  </r>
  <r>
    <x v="18"/>
    <x v="2"/>
    <x v="138"/>
    <s v="D"/>
    <d v="2015-01-21T11:36:00"/>
    <d v="1899-12-30T00:00:00"/>
    <b v="0"/>
    <x v="0"/>
  </r>
  <r>
    <x v="15"/>
    <x v="2"/>
    <x v="138"/>
    <s v="D"/>
    <d v="2015-01-22T00:00:00"/>
    <d v="1899-12-30T00:00:00"/>
    <b v="0"/>
    <x v="0"/>
  </r>
  <r>
    <x v="16"/>
    <x v="2"/>
    <x v="138"/>
    <s v="D"/>
    <d v="2015-03-14T10:15:00"/>
    <d v="1899-12-30T00:00:00"/>
    <b v="0"/>
    <x v="0"/>
  </r>
  <r>
    <x v="19"/>
    <x v="2"/>
    <x v="138"/>
    <s v="D"/>
    <d v="2015-02-11T09:54:00"/>
    <d v="1899-12-30T00:00:00"/>
    <b v="0"/>
    <x v="0"/>
  </r>
  <r>
    <x v="2"/>
    <x v="2"/>
    <x v="138"/>
    <s v="D"/>
    <d v="2015-03-18T11:53:00"/>
    <d v="1899-12-30T00:00:00"/>
    <b v="0"/>
    <x v="0"/>
  </r>
  <r>
    <x v="3"/>
    <x v="2"/>
    <x v="138"/>
    <s v="D"/>
    <d v="2015-03-08T14:55:00"/>
    <d v="1899-12-30T00:00:00"/>
    <b v="0"/>
    <x v="0"/>
  </r>
  <r>
    <x v="4"/>
    <x v="2"/>
    <x v="138"/>
    <s v="D"/>
    <d v="2015-02-21T11:31:00"/>
    <d v="1899-12-30T00:00:00"/>
    <b v="0"/>
    <x v="0"/>
  </r>
  <r>
    <x v="5"/>
    <x v="2"/>
    <x v="138"/>
    <s v="D"/>
    <d v="2015-02-10T09:10:00"/>
    <d v="1899-12-30T00:00:00"/>
    <b v="0"/>
    <x v="0"/>
  </r>
  <r>
    <x v="0"/>
    <x v="2"/>
    <x v="138"/>
    <s v="D"/>
    <d v="2015-03-10T00:00:00"/>
    <d v="1899-12-30T00:00:00"/>
    <b v="0"/>
    <x v="0"/>
  </r>
  <r>
    <x v="6"/>
    <x v="2"/>
    <x v="138"/>
    <s v="D"/>
    <d v="2015-03-12T13:14:00"/>
    <d v="1899-12-30T00:00:00"/>
    <b v="0"/>
    <x v="0"/>
  </r>
  <r>
    <x v="7"/>
    <x v="2"/>
    <x v="138"/>
    <s v="D"/>
    <d v="2015-01-05T05:00:00"/>
    <d v="1899-12-30T00:00:00"/>
    <b v="0"/>
    <x v="0"/>
  </r>
  <r>
    <x v="21"/>
    <x v="2"/>
    <x v="138"/>
    <s v="D"/>
    <d v="2014-12-24T13:55:00"/>
    <d v="1899-12-30T00:00:00"/>
    <b v="0"/>
    <x v="0"/>
  </r>
  <r>
    <x v="8"/>
    <x v="2"/>
    <x v="138"/>
    <s v="D"/>
    <d v="2015-03-13T14:01:00"/>
    <d v="1899-12-30T00:00:00"/>
    <b v="0"/>
    <x v="0"/>
  </r>
  <r>
    <x v="9"/>
    <x v="2"/>
    <x v="138"/>
    <s v="D"/>
    <d v="2015-01-22T00:00:00"/>
    <d v="1899-12-30T00:00:00"/>
    <b v="0"/>
    <x v="0"/>
  </r>
  <r>
    <x v="10"/>
    <x v="2"/>
    <x v="138"/>
    <s v="D"/>
    <d v="2015-04-11T11:08:00"/>
    <d v="1899-12-30T00:00:00"/>
    <b v="0"/>
    <x v="0"/>
  </r>
  <r>
    <x v="22"/>
    <x v="2"/>
    <x v="138"/>
    <s v="D"/>
    <d v="2015-03-17T10:32:00"/>
    <d v="1899-12-30T00:00:00"/>
    <b v="0"/>
    <x v="0"/>
  </r>
  <r>
    <x v="11"/>
    <x v="2"/>
    <x v="138"/>
    <s v="D"/>
    <d v="2015-02-07T10:30:00"/>
    <d v="1899-12-30T00:00:00"/>
    <b v="0"/>
    <x v="0"/>
  </r>
  <r>
    <x v="13"/>
    <x v="2"/>
    <x v="138"/>
    <s v="D"/>
    <d v="2015-03-04T11:41:00"/>
    <d v="1899-12-30T00:00:00"/>
    <b v="0"/>
    <x v="0"/>
  </r>
  <r>
    <x v="17"/>
    <x v="2"/>
    <x v="139"/>
    <s v="M"/>
    <d v="2014-05-13T15:52:00"/>
    <d v="1899-12-30T00:00:00"/>
    <b v="0"/>
    <x v="0"/>
  </r>
  <r>
    <x v="14"/>
    <x v="2"/>
    <x v="139"/>
    <s v="M"/>
    <d v="2014-03-27T00:00:00"/>
    <d v="1899-12-30T00:00:00"/>
    <b v="0"/>
    <x v="0"/>
  </r>
  <r>
    <x v="18"/>
    <x v="2"/>
    <x v="139"/>
    <s v="M"/>
    <d v="2015-01-24T11:20:00"/>
    <d v="1899-12-30T00:00:00"/>
    <b v="0"/>
    <x v="0"/>
  </r>
  <r>
    <x v="1"/>
    <x v="2"/>
    <x v="139"/>
    <s v="M"/>
    <d v="2014-09-22T00:00:00"/>
    <d v="1899-12-30T00:00:00"/>
    <b v="0"/>
    <x v="0"/>
  </r>
  <r>
    <x v="15"/>
    <x v="2"/>
    <x v="139"/>
    <s v="M"/>
    <d v="2015-04-15T00:00:00"/>
    <d v="1899-12-30T00:00:00"/>
    <b v="0"/>
    <x v="0"/>
  </r>
  <r>
    <x v="16"/>
    <x v="2"/>
    <x v="139"/>
    <s v="M"/>
    <d v="2015-04-08T17:50:00"/>
    <d v="1899-12-30T00:00:00"/>
    <b v="0"/>
    <x v="0"/>
  </r>
  <r>
    <x v="19"/>
    <x v="2"/>
    <x v="139"/>
    <s v="M"/>
    <d v="2014-09-26T09:56:00"/>
    <d v="1899-12-30T00:00:00"/>
    <b v="0"/>
    <x v="0"/>
  </r>
  <r>
    <x v="2"/>
    <x v="2"/>
    <x v="139"/>
    <s v="M"/>
    <d v="2014-03-19T09:33:00"/>
    <d v="1899-12-30T00:00:00"/>
    <b v="0"/>
    <x v="0"/>
  </r>
  <r>
    <x v="3"/>
    <x v="2"/>
    <x v="139"/>
    <s v="M"/>
    <d v="2015-02-07T13:20:00"/>
    <d v="1899-12-30T00:00:00"/>
    <b v="0"/>
    <x v="0"/>
  </r>
  <r>
    <x v="4"/>
    <x v="2"/>
    <x v="139"/>
    <s v="M"/>
    <d v="2014-03-25T00:00:00"/>
    <d v="1899-12-30T00:00:00"/>
    <b v="0"/>
    <x v="0"/>
  </r>
  <r>
    <x v="5"/>
    <x v="2"/>
    <x v="139"/>
    <s v="M"/>
    <d v="2015-01-08T13:50:00"/>
    <d v="1899-12-30T00:00:00"/>
    <b v="0"/>
    <x v="0"/>
  </r>
  <r>
    <x v="0"/>
    <x v="2"/>
    <x v="139"/>
    <s v="M"/>
    <d v="2014-06-11T00:00:00"/>
    <d v="1899-12-30T00:00:00"/>
    <b v="0"/>
    <x v="0"/>
  </r>
  <r>
    <x v="20"/>
    <x v="2"/>
    <x v="139"/>
    <s v="M"/>
    <d v="2014-10-20T10:14:00"/>
    <d v="1899-12-30T00:00:00"/>
    <b v="0"/>
    <x v="0"/>
  </r>
  <r>
    <x v="6"/>
    <x v="2"/>
    <x v="139"/>
    <s v="M"/>
    <d v="2014-04-02T18:47:00"/>
    <d v="1899-12-30T00:00:00"/>
    <b v="0"/>
    <x v="0"/>
  </r>
  <r>
    <x v="7"/>
    <x v="2"/>
    <x v="139"/>
    <s v="M"/>
    <d v="2014-04-10T00:00:00"/>
    <d v="1899-12-30T00:00:00"/>
    <b v="0"/>
    <x v="0"/>
  </r>
  <r>
    <x v="21"/>
    <x v="2"/>
    <x v="139"/>
    <s v="M"/>
    <d v="2015-04-08T09:56:00"/>
    <d v="1899-12-30T00:00:00"/>
    <b v="0"/>
    <x v="0"/>
  </r>
  <r>
    <x v="8"/>
    <x v="2"/>
    <x v="139"/>
    <s v="M"/>
    <d v="2014-03-27T16:26:00"/>
    <d v="1899-12-30T00:00:00"/>
    <b v="0"/>
    <x v="0"/>
  </r>
  <r>
    <x v="9"/>
    <x v="2"/>
    <x v="139"/>
    <s v="M"/>
    <d v="2015-01-22T00:00:00"/>
    <d v="1899-12-30T00:00:00"/>
    <b v="0"/>
    <x v="0"/>
  </r>
  <r>
    <x v="10"/>
    <x v="2"/>
    <x v="139"/>
    <s v="M"/>
    <d v="2015-03-31T00:00:00"/>
    <d v="1899-12-30T00:00:00"/>
    <b v="0"/>
    <x v="0"/>
  </r>
  <r>
    <x v="22"/>
    <x v="2"/>
    <x v="139"/>
    <s v="M"/>
    <d v="2015-04-10T10:47:00"/>
    <d v="1899-12-30T00:00:00"/>
    <b v="0"/>
    <x v="0"/>
  </r>
  <r>
    <x v="23"/>
    <x v="2"/>
    <x v="139"/>
    <s v="M"/>
    <d v="2015-04-16T10:13:00"/>
    <d v="1899-12-30T00:00:00"/>
    <b v="0"/>
    <x v="0"/>
  </r>
  <r>
    <x v="11"/>
    <x v="2"/>
    <x v="139"/>
    <s v="M"/>
    <d v="2014-05-14T01:48:00"/>
    <d v="1899-12-30T00:00:00"/>
    <b v="0"/>
    <x v="0"/>
  </r>
  <r>
    <x v="12"/>
    <x v="2"/>
    <x v="139"/>
    <s v="M"/>
    <d v="2015-03-31T00:00:00"/>
    <d v="1899-12-30T00:00:00"/>
    <b v="0"/>
    <x v="0"/>
  </r>
  <r>
    <x v="13"/>
    <x v="2"/>
    <x v="139"/>
    <s v="M"/>
    <d v="2014-11-18T12:00:00"/>
    <d v="1899-12-30T00:00:00"/>
    <b v="0"/>
    <x v="0"/>
  </r>
  <r>
    <x v="3"/>
    <x v="2"/>
    <x v="140"/>
    <s v="D"/>
    <d v="2014-09-29T00:00:00"/>
    <d v="1899-12-30T00:00:00"/>
    <b v="0"/>
    <x v="0"/>
  </r>
  <r>
    <x v="5"/>
    <x v="2"/>
    <x v="140"/>
    <s v="D"/>
    <d v="2015-02-24T13:03:00"/>
    <d v="1899-12-30T00:00:00"/>
    <b v="0"/>
    <x v="0"/>
  </r>
  <r>
    <x v="9"/>
    <x v="2"/>
    <x v="140"/>
    <s v="D"/>
    <d v="2015-01-22T00:00:00"/>
    <d v="1899-12-30T00:00:00"/>
    <b v="0"/>
    <x v="0"/>
  </r>
  <r>
    <x v="23"/>
    <x v="2"/>
    <x v="140"/>
    <s v="D"/>
    <d v="2014-10-06T00:00:00"/>
    <d v="1899-12-30T00:00:00"/>
    <b v="0"/>
    <x v="0"/>
  </r>
  <r>
    <x v="9"/>
    <x v="2"/>
    <x v="141"/>
    <s v="H"/>
    <m/>
    <d v="1913-01-07T12:00:00"/>
    <b v="0"/>
    <x v="0"/>
  </r>
  <r>
    <x v="13"/>
    <x v="2"/>
    <x v="141"/>
    <s v="H"/>
    <m/>
    <d v="1908-02-16T02:24:08"/>
    <b v="0"/>
    <x v="0"/>
  </r>
  <r>
    <x v="17"/>
    <x v="2"/>
    <x v="142"/>
    <s v="H"/>
    <m/>
    <d v="1914-04-12T14:24:08"/>
    <b v="0"/>
    <x v="0"/>
  </r>
  <r>
    <x v="14"/>
    <x v="2"/>
    <x v="142"/>
    <s v="H"/>
    <m/>
    <d v="1919-03-02T00:00:00"/>
    <b v="0"/>
    <x v="0"/>
  </r>
  <r>
    <x v="18"/>
    <x v="2"/>
    <x v="142"/>
    <s v="H"/>
    <m/>
    <d v="1921-02-01T16:48:17"/>
    <b v="0"/>
    <x v="0"/>
  </r>
  <r>
    <x v="1"/>
    <x v="2"/>
    <x v="142"/>
    <s v="H"/>
    <m/>
    <d v="1918-05-08T09:35:52"/>
    <b v="0"/>
    <x v="0"/>
  </r>
  <r>
    <x v="15"/>
    <x v="2"/>
    <x v="142"/>
    <s v="H"/>
    <m/>
    <d v="1920-03-18T02:24:08"/>
    <b v="0"/>
    <x v="0"/>
  </r>
  <r>
    <x v="16"/>
    <x v="2"/>
    <x v="142"/>
    <s v="H"/>
    <m/>
    <d v="1913-03-04T04:48:17"/>
    <b v="0"/>
    <x v="0"/>
  </r>
  <r>
    <x v="19"/>
    <x v="2"/>
    <x v="142"/>
    <s v="H"/>
    <m/>
    <d v="1909-02-21T04:47:56"/>
    <b v="0"/>
    <x v="0"/>
  </r>
  <r>
    <x v="2"/>
    <x v="2"/>
    <x v="142"/>
    <s v="H"/>
    <m/>
    <d v="1913-07-23T16:48:17"/>
    <b v="0"/>
    <x v="0"/>
  </r>
  <r>
    <x v="3"/>
    <x v="2"/>
    <x v="142"/>
    <s v="H"/>
    <m/>
    <d v="1910-11-28T00:00:00"/>
    <b v="0"/>
    <x v="0"/>
  </r>
  <r>
    <x v="4"/>
    <x v="2"/>
    <x v="142"/>
    <s v="H"/>
    <m/>
    <d v="1904-11-15T19:12:04"/>
    <b v="0"/>
    <x v="0"/>
  </r>
  <r>
    <x v="5"/>
    <x v="2"/>
    <x v="142"/>
    <s v="H"/>
    <m/>
    <d v="1904-11-04T07:12:04"/>
    <b v="0"/>
    <x v="0"/>
  </r>
  <r>
    <x v="0"/>
    <x v="2"/>
    <x v="142"/>
    <s v="H"/>
    <m/>
    <d v="1904-08-30T16:47:56"/>
    <b v="0"/>
    <x v="0"/>
  </r>
  <r>
    <x v="20"/>
    <x v="2"/>
    <x v="142"/>
    <s v="H"/>
    <m/>
    <d v="1904-10-16T12:00:00"/>
    <b v="0"/>
    <x v="0"/>
  </r>
  <r>
    <x v="6"/>
    <x v="2"/>
    <x v="142"/>
    <s v="H"/>
    <m/>
    <d v="1903-12-05T00:00:00"/>
    <b v="0"/>
    <x v="0"/>
  </r>
  <r>
    <x v="7"/>
    <x v="2"/>
    <x v="142"/>
    <s v="H"/>
    <m/>
    <d v="1907-04-23T19:12:04"/>
    <b v="0"/>
    <x v="0"/>
  </r>
  <r>
    <x v="21"/>
    <x v="2"/>
    <x v="142"/>
    <s v="H"/>
    <m/>
    <d v="1914-03-26T09:35:52"/>
    <b v="0"/>
    <x v="0"/>
  </r>
  <r>
    <x v="8"/>
    <x v="2"/>
    <x v="142"/>
    <s v="H"/>
    <m/>
    <d v="1911-08-14T19:11:43"/>
    <b v="0"/>
    <x v="0"/>
  </r>
  <r>
    <x v="9"/>
    <x v="2"/>
    <x v="142"/>
    <s v="H"/>
    <m/>
    <d v="1913-01-07T12:00:00"/>
    <b v="0"/>
    <x v="0"/>
  </r>
  <r>
    <x v="10"/>
    <x v="2"/>
    <x v="142"/>
    <s v="H"/>
    <m/>
    <d v="1913-11-28T00:00:00"/>
    <b v="0"/>
    <x v="0"/>
  </r>
  <r>
    <x v="22"/>
    <x v="2"/>
    <x v="142"/>
    <s v="H"/>
    <m/>
    <d v="1904-01-31T16:47:56"/>
    <b v="0"/>
    <x v="0"/>
  </r>
  <r>
    <x v="23"/>
    <x v="2"/>
    <x v="142"/>
    <s v="H"/>
    <m/>
    <d v="1903-08-17T09:36:02"/>
    <b v="0"/>
    <x v="0"/>
  </r>
  <r>
    <x v="11"/>
    <x v="2"/>
    <x v="142"/>
    <s v="H"/>
    <m/>
    <d v="1914-05-01T02:24:08"/>
    <b v="0"/>
    <x v="0"/>
  </r>
  <r>
    <x v="12"/>
    <x v="2"/>
    <x v="142"/>
    <s v="H"/>
    <m/>
    <d v="1908-08-23T04:47:56"/>
    <b v="0"/>
    <x v="0"/>
  </r>
  <r>
    <x v="13"/>
    <x v="2"/>
    <x v="142"/>
    <s v="H"/>
    <m/>
    <d v="1908-02-16T02:24:08"/>
    <b v="0"/>
    <x v="0"/>
  </r>
  <r>
    <x v="15"/>
    <x v="2"/>
    <x v="143"/>
    <s v="H"/>
    <m/>
    <d v="1920-06-12T04:48:17"/>
    <b v="0"/>
    <x v="0"/>
  </r>
  <r>
    <x v="16"/>
    <x v="2"/>
    <x v="143"/>
    <s v="H"/>
    <m/>
    <d v="1913-03-15T21:35:52"/>
    <b v="0"/>
    <x v="0"/>
  </r>
  <r>
    <x v="3"/>
    <x v="2"/>
    <x v="143"/>
    <s v="H"/>
    <m/>
    <d v="1911-02-25T14:24:08"/>
    <b v="0"/>
    <x v="0"/>
  </r>
  <r>
    <x v="22"/>
    <x v="2"/>
    <x v="143"/>
    <s v="H"/>
    <m/>
    <d v="1903-05-31T21:36:02"/>
    <b v="0"/>
    <x v="0"/>
  </r>
  <r>
    <x v="13"/>
    <x v="2"/>
    <x v="143"/>
    <s v="H"/>
    <m/>
    <d v="1908-04-20T14:24:08"/>
    <b v="0"/>
    <x v="0"/>
  </r>
  <r>
    <x v="17"/>
    <x v="2"/>
    <x v="144"/>
    <s v="H"/>
    <m/>
    <d v="1914-04-12T14:24:08"/>
    <b v="0"/>
    <x v="0"/>
  </r>
  <r>
    <x v="14"/>
    <x v="2"/>
    <x v="144"/>
    <s v="H"/>
    <m/>
    <d v="1918-07-03T12:00:00"/>
    <b v="0"/>
    <x v="0"/>
  </r>
  <r>
    <x v="18"/>
    <x v="2"/>
    <x v="144"/>
    <s v="H"/>
    <m/>
    <d v="1920-06-01T16:48:17"/>
    <b v="0"/>
    <x v="0"/>
  </r>
  <r>
    <x v="1"/>
    <x v="2"/>
    <x v="144"/>
    <s v="H"/>
    <m/>
    <d v="1917-09-08T09:35:52"/>
    <b v="0"/>
    <x v="0"/>
  </r>
  <r>
    <x v="15"/>
    <x v="2"/>
    <x v="144"/>
    <s v="H"/>
    <m/>
    <d v="1920-03-18T02:24:08"/>
    <b v="0"/>
    <x v="0"/>
  </r>
  <r>
    <x v="16"/>
    <x v="2"/>
    <x v="144"/>
    <s v="H"/>
    <m/>
    <d v="1912-07-18T16:48:17"/>
    <b v="0"/>
    <x v="0"/>
  </r>
  <r>
    <x v="19"/>
    <x v="2"/>
    <x v="144"/>
    <s v="H"/>
    <m/>
    <d v="1908-07-09T07:12:04"/>
    <b v="0"/>
    <x v="0"/>
  </r>
  <r>
    <x v="2"/>
    <x v="2"/>
    <x v="144"/>
    <s v="H"/>
    <m/>
    <d v="1912-11-18T09:35:52"/>
    <b v="0"/>
    <x v="0"/>
  </r>
  <r>
    <x v="3"/>
    <x v="2"/>
    <x v="144"/>
    <s v="H"/>
    <m/>
    <d v="1910-03-31T09:35:52"/>
    <b v="0"/>
    <x v="0"/>
  </r>
  <r>
    <x v="4"/>
    <x v="2"/>
    <x v="144"/>
    <s v="H"/>
    <m/>
    <d v="1904-03-05T21:36:02"/>
    <b v="0"/>
    <x v="0"/>
  </r>
  <r>
    <x v="5"/>
    <x v="2"/>
    <x v="144"/>
    <s v="H"/>
    <m/>
    <d v="1904-11-04T07:12:04"/>
    <b v="0"/>
    <x v="0"/>
  </r>
  <r>
    <x v="0"/>
    <x v="2"/>
    <x v="144"/>
    <s v="H"/>
    <m/>
    <d v="1904-08-30T16:47:56"/>
    <b v="0"/>
    <x v="0"/>
  </r>
  <r>
    <x v="20"/>
    <x v="2"/>
    <x v="144"/>
    <s v="H"/>
    <m/>
    <d v="1904-02-26T19:12:04"/>
    <b v="0"/>
    <x v="0"/>
  </r>
  <r>
    <x v="6"/>
    <x v="2"/>
    <x v="144"/>
    <s v="H"/>
    <m/>
    <d v="1903-04-05T04:47:56"/>
    <b v="0"/>
    <x v="0"/>
  </r>
  <r>
    <x v="7"/>
    <x v="2"/>
    <x v="144"/>
    <s v="H"/>
    <m/>
    <d v="1907-04-23T19:12:04"/>
    <b v="0"/>
    <x v="0"/>
  </r>
  <r>
    <x v="21"/>
    <x v="2"/>
    <x v="144"/>
    <s v="H"/>
    <m/>
    <d v="1914-03-26T09:35:52"/>
    <b v="0"/>
    <x v="0"/>
  </r>
  <r>
    <x v="8"/>
    <x v="2"/>
    <x v="144"/>
    <s v="H"/>
    <m/>
    <d v="1910-12-11T14:24:08"/>
    <b v="0"/>
    <x v="0"/>
  </r>
  <r>
    <x v="9"/>
    <x v="2"/>
    <x v="144"/>
    <s v="H"/>
    <m/>
    <d v="1913-01-07T12:00:00"/>
    <b v="0"/>
    <x v="0"/>
  </r>
  <r>
    <x v="10"/>
    <x v="2"/>
    <x v="144"/>
    <s v="H"/>
    <m/>
    <d v="1913-11-28T00:00:00"/>
    <b v="0"/>
    <x v="0"/>
  </r>
  <r>
    <x v="22"/>
    <x v="2"/>
    <x v="144"/>
    <s v="H"/>
    <m/>
    <d v="1903-05-31T21:36:02"/>
    <b v="0"/>
    <x v="0"/>
  </r>
  <r>
    <x v="23"/>
    <x v="2"/>
    <x v="144"/>
    <s v="H"/>
    <m/>
    <d v="1903-08-17T09:36:02"/>
    <b v="0"/>
    <x v="0"/>
  </r>
  <r>
    <x v="11"/>
    <x v="2"/>
    <x v="144"/>
    <s v="H"/>
    <m/>
    <d v="1913-08-29T02:24:08"/>
    <b v="0"/>
    <x v="0"/>
  </r>
  <r>
    <x v="12"/>
    <x v="2"/>
    <x v="144"/>
    <s v="H"/>
    <m/>
    <d v="1907-12-27T04:47:56"/>
    <b v="0"/>
    <x v="0"/>
  </r>
  <r>
    <x v="13"/>
    <x v="2"/>
    <x v="144"/>
    <s v="H"/>
    <m/>
    <d v="1908-02-16T02:24:08"/>
    <b v="0"/>
    <x v="0"/>
  </r>
  <r>
    <x v="17"/>
    <x v="2"/>
    <x v="61"/>
    <s v="H"/>
    <m/>
    <d v="1914-08-10T21:35:52"/>
    <b v="0"/>
    <x v="0"/>
  </r>
  <r>
    <x v="14"/>
    <x v="2"/>
    <x v="61"/>
    <s v="H"/>
    <m/>
    <d v="1919-07-05T00:00:00"/>
    <b v="0"/>
    <x v="0"/>
  </r>
  <r>
    <x v="18"/>
    <x v="2"/>
    <x v="61"/>
    <s v="H"/>
    <m/>
    <d v="1921-02-01T16:48:17"/>
    <b v="0"/>
    <x v="0"/>
  </r>
  <r>
    <x v="1"/>
    <x v="2"/>
    <x v="61"/>
    <s v="H"/>
    <m/>
    <d v="1918-05-08T09:35:52"/>
    <b v="0"/>
    <x v="0"/>
  </r>
  <r>
    <x v="15"/>
    <x v="2"/>
    <x v="61"/>
    <s v="H"/>
    <m/>
    <d v="1920-03-18T02:24:08"/>
    <b v="0"/>
    <x v="0"/>
  </r>
  <r>
    <x v="16"/>
    <x v="2"/>
    <x v="61"/>
    <s v="H"/>
    <m/>
    <d v="1913-03-04T04:48:17"/>
    <b v="0"/>
    <x v="0"/>
  </r>
  <r>
    <x v="19"/>
    <x v="2"/>
    <x v="61"/>
    <s v="H"/>
    <m/>
    <d v="1909-06-26T04:47:56"/>
    <b v="0"/>
    <x v="0"/>
  </r>
  <r>
    <x v="2"/>
    <x v="2"/>
    <x v="61"/>
    <s v="H"/>
    <m/>
    <d v="1913-11-25T16:48:17"/>
    <b v="0"/>
    <x v="0"/>
  </r>
  <r>
    <x v="3"/>
    <x v="2"/>
    <x v="61"/>
    <s v="H"/>
    <m/>
    <d v="1910-11-28T00:00:00"/>
    <b v="0"/>
    <x v="0"/>
  </r>
  <r>
    <x v="4"/>
    <x v="2"/>
    <x v="61"/>
    <s v="H"/>
    <m/>
    <d v="1905-03-20T19:12:04"/>
    <b v="0"/>
    <x v="0"/>
  </r>
  <r>
    <x v="5"/>
    <x v="2"/>
    <x v="61"/>
    <s v="H"/>
    <m/>
    <d v="1904-11-04T07:12:04"/>
    <b v="0"/>
    <x v="0"/>
  </r>
  <r>
    <x v="0"/>
    <x v="2"/>
    <x v="61"/>
    <s v="H"/>
    <m/>
    <d v="1904-08-30T16:47:56"/>
    <b v="0"/>
    <x v="0"/>
  </r>
  <r>
    <x v="20"/>
    <x v="2"/>
    <x v="61"/>
    <s v="H"/>
    <m/>
    <d v="1905-02-05T09:36:02"/>
    <b v="0"/>
    <x v="0"/>
  </r>
  <r>
    <x v="6"/>
    <x v="2"/>
    <x v="61"/>
    <s v="H"/>
    <m/>
    <d v="1904-04-08T00:00:00"/>
    <b v="0"/>
    <x v="0"/>
  </r>
  <r>
    <x v="7"/>
    <x v="2"/>
    <x v="61"/>
    <s v="H"/>
    <m/>
    <d v="1907-08-26T19:12:04"/>
    <b v="0"/>
    <x v="0"/>
  </r>
  <r>
    <x v="21"/>
    <x v="2"/>
    <x v="61"/>
    <s v="H"/>
    <m/>
    <d v="1914-03-26T09:35:52"/>
    <b v="0"/>
    <x v="0"/>
  </r>
  <r>
    <x v="8"/>
    <x v="2"/>
    <x v="61"/>
    <s v="H"/>
    <m/>
    <d v="1911-12-17T19:11:43"/>
    <b v="0"/>
    <x v="0"/>
  </r>
  <r>
    <x v="9"/>
    <x v="2"/>
    <x v="61"/>
    <s v="H"/>
    <m/>
    <d v="1913-01-07T12:00:00"/>
    <b v="0"/>
    <x v="0"/>
  </r>
  <r>
    <x v="10"/>
    <x v="2"/>
    <x v="61"/>
    <s v="H"/>
    <m/>
    <d v="1914-04-02T00:00:00"/>
    <b v="0"/>
    <x v="0"/>
  </r>
  <r>
    <x v="22"/>
    <x v="2"/>
    <x v="61"/>
    <s v="H"/>
    <m/>
    <d v="1904-01-31T16:47:56"/>
    <b v="0"/>
    <x v="0"/>
  </r>
  <r>
    <x v="23"/>
    <x v="2"/>
    <x v="61"/>
    <s v="H"/>
    <m/>
    <d v="1903-12-20T02:23:58"/>
    <b v="0"/>
    <x v="0"/>
  </r>
  <r>
    <x v="11"/>
    <x v="2"/>
    <x v="61"/>
    <s v="H"/>
    <m/>
    <d v="1914-09-03T02:24:08"/>
    <b v="0"/>
    <x v="0"/>
  </r>
  <r>
    <x v="12"/>
    <x v="2"/>
    <x v="61"/>
    <s v="H"/>
    <m/>
    <d v="1908-08-20T00:00:00"/>
    <b v="0"/>
    <x v="0"/>
  </r>
  <r>
    <x v="13"/>
    <x v="2"/>
    <x v="61"/>
    <s v="H"/>
    <m/>
    <d v="1908-02-16T02:24:08"/>
    <b v="0"/>
    <x v="0"/>
  </r>
  <r>
    <x v="17"/>
    <x v="2"/>
    <x v="145"/>
    <s v="M"/>
    <d v="2014-04-30T00:00:00"/>
    <d v="1899-12-30T00:00:00"/>
    <b v="0"/>
    <x v="0"/>
  </r>
  <r>
    <x v="14"/>
    <x v="2"/>
    <x v="145"/>
    <s v="M"/>
    <d v="2015-03-11T00:00:00"/>
    <d v="1899-12-30T00:00:00"/>
    <b v="0"/>
    <x v="0"/>
  </r>
  <r>
    <x v="1"/>
    <x v="2"/>
    <x v="145"/>
    <s v="M"/>
    <d v="2015-03-18T00:00:00"/>
    <d v="1899-12-30T00:00:00"/>
    <b v="0"/>
    <x v="0"/>
  </r>
  <r>
    <x v="15"/>
    <x v="2"/>
    <x v="145"/>
    <s v="M"/>
    <d v="2014-05-22T00:00:00"/>
    <d v="1899-12-30T00:00:00"/>
    <b v="0"/>
    <x v="0"/>
  </r>
  <r>
    <x v="16"/>
    <x v="2"/>
    <x v="145"/>
    <s v="M"/>
    <d v="2014-04-30T00:00:00"/>
    <d v="1899-12-30T00:00:00"/>
    <b v="0"/>
    <x v="0"/>
  </r>
  <r>
    <x v="2"/>
    <x v="2"/>
    <x v="145"/>
    <s v="M"/>
    <d v="2013-06-01T00:00:00"/>
    <d v="1899-12-30T00:00:00"/>
    <b v="0"/>
    <x v="0"/>
  </r>
  <r>
    <x v="3"/>
    <x v="2"/>
    <x v="145"/>
    <s v="M"/>
    <d v="2014-11-25T00:00:00"/>
    <d v="1899-12-30T00:00:00"/>
    <b v="0"/>
    <x v="0"/>
  </r>
  <r>
    <x v="4"/>
    <x v="2"/>
    <x v="145"/>
    <s v="M"/>
    <d v="2013-03-01T00:00:00"/>
    <d v="1899-12-30T00:00:00"/>
    <b v="0"/>
    <x v="0"/>
  </r>
  <r>
    <x v="20"/>
    <x v="2"/>
    <x v="145"/>
    <s v="M"/>
    <d v="2013-10-10T00:00:00"/>
    <d v="1899-12-30T00:00:00"/>
    <b v="0"/>
    <x v="0"/>
  </r>
  <r>
    <x v="6"/>
    <x v="2"/>
    <x v="145"/>
    <s v="M"/>
    <d v="2013-07-01T00:00:00"/>
    <d v="1899-12-30T00:00:00"/>
    <b v="0"/>
    <x v="0"/>
  </r>
  <r>
    <x v="8"/>
    <x v="2"/>
    <x v="145"/>
    <s v="M"/>
    <d v="2013-09-01T00:00:00"/>
    <d v="1899-12-30T00:00:00"/>
    <b v="0"/>
    <x v="0"/>
  </r>
  <r>
    <x v="23"/>
    <x v="2"/>
    <x v="145"/>
    <s v="M"/>
    <d v="2014-11-26T00:00:00"/>
    <d v="1899-12-30T00:00:00"/>
    <b v="0"/>
    <x v="0"/>
  </r>
  <r>
    <x v="11"/>
    <x v="2"/>
    <x v="145"/>
    <s v="M"/>
    <d v="2013-07-01T00:00:00"/>
    <d v="1899-12-30T00:00:00"/>
    <b v="0"/>
    <x v="0"/>
  </r>
  <r>
    <x v="13"/>
    <x v="2"/>
    <x v="145"/>
    <s v="M"/>
    <d v="2014-04-28T00:00:00"/>
    <d v="1899-12-30T00:00:00"/>
    <b v="0"/>
    <x v="0"/>
  </r>
  <r>
    <x v="17"/>
    <x v="2"/>
    <x v="146"/>
    <s v="M"/>
    <d v="2014-04-30T00:00:00"/>
    <d v="1899-12-30T00:00:00"/>
    <b v="0"/>
    <x v="0"/>
  </r>
  <r>
    <x v="14"/>
    <x v="2"/>
    <x v="146"/>
    <s v="M"/>
    <d v="2012-06-01T00:00:00"/>
    <m/>
    <b v="0"/>
    <x v="0"/>
  </r>
  <r>
    <x v="1"/>
    <x v="2"/>
    <x v="146"/>
    <s v="M"/>
    <d v="2012-05-01T00:00:00"/>
    <m/>
    <b v="0"/>
    <x v="0"/>
  </r>
  <r>
    <x v="15"/>
    <x v="2"/>
    <x v="146"/>
    <s v="M"/>
    <d v="2014-05-22T00:00:00"/>
    <d v="1899-12-30T00:00:00"/>
    <b v="0"/>
    <x v="0"/>
  </r>
  <r>
    <x v="16"/>
    <x v="2"/>
    <x v="146"/>
    <s v="M"/>
    <d v="2014-04-30T00:00:00"/>
    <d v="1899-12-30T00:00:00"/>
    <b v="0"/>
    <x v="0"/>
  </r>
  <r>
    <x v="2"/>
    <x v="2"/>
    <x v="146"/>
    <s v="M"/>
    <d v="2013-06-01T00:00:00"/>
    <m/>
    <b v="0"/>
    <x v="0"/>
  </r>
  <r>
    <x v="3"/>
    <x v="2"/>
    <x v="146"/>
    <s v="M"/>
    <d v="2013-04-01T00:00:00"/>
    <m/>
    <b v="0"/>
    <x v="0"/>
  </r>
  <r>
    <x v="4"/>
    <x v="2"/>
    <x v="146"/>
    <s v="M"/>
    <d v="2013-03-01T00:00:00"/>
    <m/>
    <b v="0"/>
    <x v="0"/>
  </r>
  <r>
    <x v="5"/>
    <x v="2"/>
    <x v="146"/>
    <s v="M"/>
    <d v="2013-06-01T00:00:00"/>
    <m/>
    <b v="0"/>
    <x v="0"/>
  </r>
  <r>
    <x v="20"/>
    <x v="2"/>
    <x v="146"/>
    <s v="M"/>
    <d v="2013-10-10T00:00:00"/>
    <d v="1899-12-30T00:00:00"/>
    <b v="0"/>
    <x v="0"/>
  </r>
  <r>
    <x v="6"/>
    <x v="2"/>
    <x v="146"/>
    <s v="M"/>
    <d v="2013-07-01T00:00:00"/>
    <m/>
    <b v="0"/>
    <x v="0"/>
  </r>
  <r>
    <x v="8"/>
    <x v="2"/>
    <x v="146"/>
    <s v="M"/>
    <d v="2013-09-01T00:00:00"/>
    <m/>
    <b v="0"/>
    <x v="0"/>
  </r>
  <r>
    <x v="9"/>
    <x v="2"/>
    <x v="146"/>
    <s v="M"/>
    <d v="2013-06-01T00:00:00"/>
    <m/>
    <b v="0"/>
    <x v="0"/>
  </r>
  <r>
    <x v="22"/>
    <x v="2"/>
    <x v="146"/>
    <s v="M"/>
    <d v="2013-07-01T00:00:00"/>
    <m/>
    <b v="0"/>
    <x v="0"/>
  </r>
  <r>
    <x v="23"/>
    <x v="2"/>
    <x v="146"/>
    <s v="M"/>
    <d v="2013-07-01T00:00:00"/>
    <m/>
    <b v="0"/>
    <x v="0"/>
  </r>
  <r>
    <x v="11"/>
    <x v="2"/>
    <x v="146"/>
    <s v="M"/>
    <d v="2013-07-01T00:00:00"/>
    <m/>
    <b v="0"/>
    <x v="0"/>
  </r>
  <r>
    <x v="12"/>
    <x v="2"/>
    <x v="146"/>
    <s v="M"/>
    <d v="2013-07-01T00:00:00"/>
    <m/>
    <b v="0"/>
    <x v="0"/>
  </r>
  <r>
    <x v="13"/>
    <x v="2"/>
    <x v="146"/>
    <s v="M"/>
    <d v="2010-07-01T00:00:00"/>
    <m/>
    <b v="0"/>
    <x v="0"/>
  </r>
  <r>
    <x v="17"/>
    <x v="2"/>
    <x v="147"/>
    <s v="M"/>
    <d v="2014-04-30T00:00:00"/>
    <d v="1899-12-30T00:00:00"/>
    <b v="0"/>
    <x v="0"/>
  </r>
  <r>
    <x v="14"/>
    <x v="2"/>
    <x v="147"/>
    <s v="M"/>
    <d v="2012-06-01T00:00:00"/>
    <m/>
    <b v="0"/>
    <x v="0"/>
  </r>
  <r>
    <x v="15"/>
    <x v="2"/>
    <x v="147"/>
    <s v="M"/>
    <d v="2014-05-22T00:00:00"/>
    <d v="1899-12-30T00:00:00"/>
    <b v="0"/>
    <x v="0"/>
  </r>
  <r>
    <x v="16"/>
    <x v="2"/>
    <x v="147"/>
    <s v="M"/>
    <d v="2014-04-30T00:00:00"/>
    <d v="1899-12-30T00:00:00"/>
    <b v="0"/>
    <x v="0"/>
  </r>
  <r>
    <x v="2"/>
    <x v="2"/>
    <x v="147"/>
    <s v="M"/>
    <d v="2013-06-01T00:00:00"/>
    <m/>
    <b v="0"/>
    <x v="0"/>
  </r>
  <r>
    <x v="3"/>
    <x v="2"/>
    <x v="147"/>
    <s v="M"/>
    <d v="2013-04-01T00:00:00"/>
    <m/>
    <b v="0"/>
    <x v="0"/>
  </r>
  <r>
    <x v="4"/>
    <x v="2"/>
    <x v="147"/>
    <s v="M"/>
    <d v="2013-03-01T00:00:00"/>
    <m/>
    <b v="0"/>
    <x v="0"/>
  </r>
  <r>
    <x v="5"/>
    <x v="2"/>
    <x v="147"/>
    <s v="M"/>
    <d v="2013-06-01T00:00:00"/>
    <m/>
    <b v="0"/>
    <x v="0"/>
  </r>
  <r>
    <x v="20"/>
    <x v="2"/>
    <x v="147"/>
    <s v="M"/>
    <d v="2013-10-10T00:00:00"/>
    <d v="1899-12-30T00:00:00"/>
    <b v="0"/>
    <x v="0"/>
  </r>
  <r>
    <x v="6"/>
    <x v="2"/>
    <x v="147"/>
    <s v="M"/>
    <d v="2013-07-01T00:00:00"/>
    <m/>
    <b v="0"/>
    <x v="0"/>
  </r>
  <r>
    <x v="8"/>
    <x v="2"/>
    <x v="147"/>
    <s v="M"/>
    <d v="2013-09-01T00:00:00"/>
    <m/>
    <b v="0"/>
    <x v="0"/>
  </r>
  <r>
    <x v="9"/>
    <x v="2"/>
    <x v="147"/>
    <s v="M"/>
    <d v="2013-06-01T00:00:00"/>
    <m/>
    <b v="0"/>
    <x v="0"/>
  </r>
  <r>
    <x v="22"/>
    <x v="2"/>
    <x v="147"/>
    <s v="M"/>
    <d v="2013-07-01T00:00:00"/>
    <m/>
    <b v="0"/>
    <x v="0"/>
  </r>
  <r>
    <x v="23"/>
    <x v="2"/>
    <x v="147"/>
    <s v="M"/>
    <d v="2013-07-01T00:00:00"/>
    <m/>
    <b v="0"/>
    <x v="0"/>
  </r>
  <r>
    <x v="11"/>
    <x v="2"/>
    <x v="147"/>
    <s v="M"/>
    <d v="2013-07-01T00:00:00"/>
    <m/>
    <b v="0"/>
    <x v="0"/>
  </r>
  <r>
    <x v="12"/>
    <x v="2"/>
    <x v="147"/>
    <s v="M"/>
    <d v="2013-07-01T00:00:00"/>
    <m/>
    <b v="0"/>
    <x v="0"/>
  </r>
  <r>
    <x v="13"/>
    <x v="2"/>
    <x v="147"/>
    <s v="M"/>
    <d v="2010-07-01T00:00:00"/>
    <m/>
    <b v="0"/>
    <x v="0"/>
  </r>
  <r>
    <x v="17"/>
    <x v="2"/>
    <x v="148"/>
    <s v="M"/>
    <d v="2014-04-30T00:00:00"/>
    <d v="1899-12-30T00:00:00"/>
    <b v="0"/>
    <x v="0"/>
  </r>
  <r>
    <x v="14"/>
    <x v="2"/>
    <x v="148"/>
    <s v="M"/>
    <d v="2012-06-01T00:00:00"/>
    <m/>
    <b v="0"/>
    <x v="0"/>
  </r>
  <r>
    <x v="1"/>
    <x v="2"/>
    <x v="148"/>
    <s v="M"/>
    <d v="2012-05-01T00:00:00"/>
    <m/>
    <b v="0"/>
    <x v="0"/>
  </r>
  <r>
    <x v="15"/>
    <x v="2"/>
    <x v="148"/>
    <s v="M"/>
    <d v="2014-05-22T00:00:00"/>
    <d v="1899-12-30T00:00:00"/>
    <b v="0"/>
    <x v="0"/>
  </r>
  <r>
    <x v="16"/>
    <x v="2"/>
    <x v="148"/>
    <s v="M"/>
    <d v="2014-04-30T00:00:00"/>
    <d v="1899-12-30T00:00:00"/>
    <b v="0"/>
    <x v="0"/>
  </r>
  <r>
    <x v="2"/>
    <x v="2"/>
    <x v="148"/>
    <s v="M"/>
    <d v="2013-06-01T00:00:00"/>
    <m/>
    <b v="0"/>
    <x v="0"/>
  </r>
  <r>
    <x v="3"/>
    <x v="2"/>
    <x v="148"/>
    <s v="M"/>
    <d v="2013-04-01T00:00:00"/>
    <m/>
    <b v="0"/>
    <x v="0"/>
  </r>
  <r>
    <x v="4"/>
    <x v="2"/>
    <x v="148"/>
    <s v="M"/>
    <d v="2013-03-01T00:00:00"/>
    <m/>
    <b v="0"/>
    <x v="0"/>
  </r>
  <r>
    <x v="5"/>
    <x v="2"/>
    <x v="148"/>
    <s v="M"/>
    <d v="2013-06-01T00:00:00"/>
    <m/>
    <b v="0"/>
    <x v="0"/>
  </r>
  <r>
    <x v="20"/>
    <x v="2"/>
    <x v="148"/>
    <s v="M"/>
    <d v="2013-10-10T00:00:00"/>
    <d v="1899-12-30T00:00:00"/>
    <b v="0"/>
    <x v="0"/>
  </r>
  <r>
    <x v="6"/>
    <x v="2"/>
    <x v="148"/>
    <s v="M"/>
    <d v="2013-07-01T00:00:00"/>
    <m/>
    <b v="0"/>
    <x v="0"/>
  </r>
  <r>
    <x v="8"/>
    <x v="2"/>
    <x v="148"/>
    <s v="M"/>
    <d v="2013-09-01T00:00:00"/>
    <m/>
    <b v="0"/>
    <x v="0"/>
  </r>
  <r>
    <x v="9"/>
    <x v="2"/>
    <x v="148"/>
    <s v="M"/>
    <d v="2013-06-01T00:00:00"/>
    <m/>
    <b v="0"/>
    <x v="0"/>
  </r>
  <r>
    <x v="22"/>
    <x v="2"/>
    <x v="148"/>
    <s v="M"/>
    <d v="2013-07-01T00:00:00"/>
    <m/>
    <b v="0"/>
    <x v="0"/>
  </r>
  <r>
    <x v="23"/>
    <x v="2"/>
    <x v="148"/>
    <s v="M"/>
    <d v="2013-07-01T00:00:00"/>
    <m/>
    <b v="0"/>
    <x v="0"/>
  </r>
  <r>
    <x v="11"/>
    <x v="2"/>
    <x v="148"/>
    <s v="M"/>
    <d v="2013-07-01T00:00:00"/>
    <m/>
    <b v="0"/>
    <x v="0"/>
  </r>
  <r>
    <x v="12"/>
    <x v="2"/>
    <x v="148"/>
    <s v="M"/>
    <d v="2013-07-01T00:00:00"/>
    <m/>
    <b v="0"/>
    <x v="0"/>
  </r>
  <r>
    <x v="13"/>
    <x v="2"/>
    <x v="148"/>
    <s v="M"/>
    <d v="2010-07-01T00:00:00"/>
    <m/>
    <b v="0"/>
    <x v="0"/>
  </r>
  <r>
    <x v="17"/>
    <x v="2"/>
    <x v="149"/>
    <s v="M"/>
    <d v="2014-04-30T00:00:00"/>
    <d v="1899-12-30T00:00:00"/>
    <b v="0"/>
    <x v="0"/>
  </r>
  <r>
    <x v="14"/>
    <x v="2"/>
    <x v="149"/>
    <s v="M"/>
    <d v="2012-06-01T00:00:00"/>
    <m/>
    <b v="0"/>
    <x v="0"/>
  </r>
  <r>
    <x v="15"/>
    <x v="2"/>
    <x v="149"/>
    <s v="M"/>
    <d v="2014-05-22T00:00:00"/>
    <d v="1899-12-30T00:00:00"/>
    <b v="0"/>
    <x v="0"/>
  </r>
  <r>
    <x v="16"/>
    <x v="2"/>
    <x v="149"/>
    <s v="M"/>
    <d v="2014-04-30T00:00:00"/>
    <d v="1899-12-30T00:00:00"/>
    <b v="0"/>
    <x v="0"/>
  </r>
  <r>
    <x v="2"/>
    <x v="2"/>
    <x v="149"/>
    <s v="M"/>
    <d v="2013-06-01T00:00:00"/>
    <m/>
    <b v="0"/>
    <x v="0"/>
  </r>
  <r>
    <x v="3"/>
    <x v="2"/>
    <x v="149"/>
    <s v="M"/>
    <d v="2013-04-01T00:00:00"/>
    <m/>
    <b v="0"/>
    <x v="0"/>
  </r>
  <r>
    <x v="4"/>
    <x v="2"/>
    <x v="149"/>
    <s v="M"/>
    <d v="2013-03-01T00:00:00"/>
    <m/>
    <b v="0"/>
    <x v="0"/>
  </r>
  <r>
    <x v="5"/>
    <x v="2"/>
    <x v="149"/>
    <s v="M"/>
    <d v="2013-06-01T00:00:00"/>
    <m/>
    <b v="0"/>
    <x v="0"/>
  </r>
  <r>
    <x v="20"/>
    <x v="2"/>
    <x v="149"/>
    <s v="M"/>
    <d v="2013-10-10T00:00:00"/>
    <d v="1899-12-30T00:00:00"/>
    <b v="0"/>
    <x v="0"/>
  </r>
  <r>
    <x v="6"/>
    <x v="2"/>
    <x v="149"/>
    <s v="M"/>
    <d v="2013-07-01T00:00:00"/>
    <m/>
    <b v="0"/>
    <x v="0"/>
  </r>
  <r>
    <x v="8"/>
    <x v="2"/>
    <x v="149"/>
    <s v="M"/>
    <d v="2013-09-01T00:00:00"/>
    <m/>
    <b v="0"/>
    <x v="0"/>
  </r>
  <r>
    <x v="9"/>
    <x v="2"/>
    <x v="149"/>
    <s v="M"/>
    <d v="2013-06-01T00:00:00"/>
    <m/>
    <b v="0"/>
    <x v="0"/>
  </r>
  <r>
    <x v="22"/>
    <x v="2"/>
    <x v="149"/>
    <s v="M"/>
    <d v="2013-07-01T00:00:00"/>
    <m/>
    <b v="0"/>
    <x v="0"/>
  </r>
  <r>
    <x v="23"/>
    <x v="2"/>
    <x v="149"/>
    <s v="M"/>
    <d v="2013-07-01T00:00:00"/>
    <m/>
    <b v="0"/>
    <x v="0"/>
  </r>
  <r>
    <x v="11"/>
    <x v="2"/>
    <x v="149"/>
    <s v="M"/>
    <d v="2013-07-01T00:00:00"/>
    <m/>
    <b v="0"/>
    <x v="0"/>
  </r>
  <r>
    <x v="12"/>
    <x v="2"/>
    <x v="149"/>
    <s v="M"/>
    <d v="2013-07-01T00:00:00"/>
    <m/>
    <b v="0"/>
    <x v="0"/>
  </r>
  <r>
    <x v="13"/>
    <x v="2"/>
    <x v="149"/>
    <s v="M"/>
    <d v="2010-07-01T00:00:00"/>
    <m/>
    <b v="0"/>
    <x v="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AH H_Pivot" cacheId="6" applyNumberFormats="0" applyBorderFormats="0" applyFontFormats="0" applyPatternFormats="0" applyAlignmentFormats="0" applyWidthHeightFormats="1" dataCaption="Values" updatedVersion="3" minRefreshableVersion="3" showCalcMbrs="0" useAutoFormatting="1" itemPrintTitles="1" createdVersion="3" indent="0" outline="1" outlineData="1" multipleFieldFilters="0">
  <location ref="A1:EV100" firstHeaderRow="1" firstDataRow="2" firstDataCol="1"/>
  <pivotFields count="8">
    <pivotField axis="axisRow" numFmtId="173" showAll="0">
      <items count="25">
        <item x="17"/>
        <item x="14"/>
        <item x="18"/>
        <item x="1"/>
        <item x="15"/>
        <item x="16"/>
        <item x="19"/>
        <item x="2"/>
        <item x="3"/>
        <item x="4"/>
        <item x="5"/>
        <item x="0"/>
        <item x="20"/>
        <item x="6"/>
        <item x="7"/>
        <item x="21"/>
        <item x="8"/>
        <item x="9"/>
        <item x="10"/>
        <item x="22"/>
        <item x="23"/>
        <item x="11"/>
        <item x="12"/>
        <item x="13"/>
        <item t="default"/>
      </items>
    </pivotField>
    <pivotField axis="axisRow" numFmtId="173" showAll="0">
      <items count="4">
        <item x="0"/>
        <item x="1"/>
        <item x="2"/>
        <item t="default"/>
      </items>
    </pivotField>
    <pivotField axis="axisCol" numFmtId="173" showAll="0">
      <items count="151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17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1"/>
        <item x="52"/>
        <item x="53"/>
        <item x="54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8"/>
        <item x="119"/>
        <item x="120"/>
        <item x="121"/>
        <item x="122"/>
        <item x="123"/>
        <item x="124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4"/>
        <item x="145"/>
        <item x="146"/>
        <item x="147"/>
        <item x="148"/>
        <item x="149"/>
        <item x="50"/>
        <item x="55"/>
        <item x="125"/>
        <item x="143"/>
        <item x="25"/>
        <item t="default"/>
      </items>
    </pivotField>
    <pivotField numFmtId="173" showAll="0"/>
    <pivotField numFmtId="173" showAll="0"/>
    <pivotField dataField="1" numFmtId="173" showAll="0"/>
    <pivotField numFmtId="173" showAll="0"/>
    <pivotField axis="axisRow" numFmtId="173" showAll="0">
      <items count="2">
        <item x="0"/>
        <item t="default"/>
      </items>
    </pivotField>
  </pivotFields>
  <rowFields count="3">
    <field x="7"/>
    <field x="0"/>
    <field x="1"/>
  </rowFields>
  <rowItems count="98">
    <i>
      <x/>
    </i>
    <i r="1">
      <x/>
    </i>
    <i r="2">
      <x/>
    </i>
    <i r="2">
      <x v="1"/>
    </i>
    <i r="2">
      <x v="2"/>
    </i>
    <i r="1">
      <x v="1"/>
    </i>
    <i r="2">
      <x/>
    </i>
    <i r="2">
      <x v="1"/>
    </i>
    <i r="2">
      <x v="2"/>
    </i>
    <i r="1">
      <x v="2"/>
    </i>
    <i r="2">
      <x/>
    </i>
    <i r="2">
      <x v="1"/>
    </i>
    <i r="2">
      <x v="2"/>
    </i>
    <i r="1">
      <x v="3"/>
    </i>
    <i r="2">
      <x/>
    </i>
    <i r="2">
      <x v="1"/>
    </i>
    <i r="2">
      <x v="2"/>
    </i>
    <i r="1">
      <x v="4"/>
    </i>
    <i r="2">
      <x/>
    </i>
    <i r="2">
      <x v="1"/>
    </i>
    <i r="2">
      <x v="2"/>
    </i>
    <i r="1">
      <x v="5"/>
    </i>
    <i r="2">
      <x/>
    </i>
    <i r="2">
      <x v="1"/>
    </i>
    <i r="2">
      <x v="2"/>
    </i>
    <i r="1">
      <x v="6"/>
    </i>
    <i r="2">
      <x/>
    </i>
    <i r="2">
      <x v="1"/>
    </i>
    <i r="2">
      <x v="2"/>
    </i>
    <i r="1">
      <x v="7"/>
    </i>
    <i r="2">
      <x/>
    </i>
    <i r="2">
      <x v="1"/>
    </i>
    <i r="2">
      <x v="2"/>
    </i>
    <i r="1">
      <x v="8"/>
    </i>
    <i r="2">
      <x/>
    </i>
    <i r="2">
      <x v="1"/>
    </i>
    <i r="2">
      <x v="2"/>
    </i>
    <i r="1">
      <x v="9"/>
    </i>
    <i r="2">
      <x/>
    </i>
    <i r="2">
      <x v="1"/>
    </i>
    <i r="2">
      <x v="2"/>
    </i>
    <i r="1">
      <x v="10"/>
    </i>
    <i r="2">
      <x/>
    </i>
    <i r="2">
      <x v="1"/>
    </i>
    <i r="2">
      <x v="2"/>
    </i>
    <i r="1">
      <x v="11"/>
    </i>
    <i r="2">
      <x/>
    </i>
    <i r="2">
      <x v="1"/>
    </i>
    <i r="2">
      <x v="2"/>
    </i>
    <i r="1">
      <x v="12"/>
    </i>
    <i r="2">
      <x/>
    </i>
    <i r="2">
      <x v="1"/>
    </i>
    <i r="2">
      <x v="2"/>
    </i>
    <i r="1">
      <x v="13"/>
    </i>
    <i r="2">
      <x/>
    </i>
    <i r="2">
      <x v="1"/>
    </i>
    <i r="2">
      <x v="2"/>
    </i>
    <i r="1">
      <x v="14"/>
    </i>
    <i r="2">
      <x/>
    </i>
    <i r="2">
      <x v="1"/>
    </i>
    <i r="2">
      <x v="2"/>
    </i>
    <i r="1">
      <x v="15"/>
    </i>
    <i r="2">
      <x/>
    </i>
    <i r="2">
      <x v="1"/>
    </i>
    <i r="2">
      <x v="2"/>
    </i>
    <i r="1">
      <x v="16"/>
    </i>
    <i r="2">
      <x/>
    </i>
    <i r="2">
      <x v="1"/>
    </i>
    <i r="2">
      <x v="2"/>
    </i>
    <i r="1">
      <x v="17"/>
    </i>
    <i r="2">
      <x/>
    </i>
    <i r="2">
      <x v="1"/>
    </i>
    <i r="2">
      <x v="2"/>
    </i>
    <i r="1">
      <x v="18"/>
    </i>
    <i r="2">
      <x/>
    </i>
    <i r="2">
      <x v="1"/>
    </i>
    <i r="2">
      <x v="2"/>
    </i>
    <i r="1">
      <x v="19"/>
    </i>
    <i r="2">
      <x/>
    </i>
    <i r="2">
      <x v="1"/>
    </i>
    <i r="2">
      <x v="2"/>
    </i>
    <i r="1">
      <x v="20"/>
    </i>
    <i r="2">
      <x/>
    </i>
    <i r="2">
      <x v="1"/>
    </i>
    <i r="2">
      <x v="2"/>
    </i>
    <i r="1">
      <x v="21"/>
    </i>
    <i r="2">
      <x/>
    </i>
    <i r="2">
      <x v="1"/>
    </i>
    <i r="2">
      <x v="2"/>
    </i>
    <i r="1">
      <x v="22"/>
    </i>
    <i r="2">
      <x/>
    </i>
    <i r="2">
      <x v="1"/>
    </i>
    <i r="2">
      <x v="2"/>
    </i>
    <i r="1">
      <x v="23"/>
    </i>
    <i r="2">
      <x/>
    </i>
    <i r="2">
      <x v="1"/>
    </i>
    <i r="2">
      <x v="2"/>
    </i>
    <i t="grand">
      <x/>
    </i>
  </rowItems>
  <colFields count="1">
    <field x="2"/>
  </colFields>
  <colItems count="151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>
      <x v="50"/>
    </i>
    <i>
      <x v="51"/>
    </i>
    <i>
      <x v="52"/>
    </i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  <i>
      <x v="62"/>
    </i>
    <i>
      <x v="63"/>
    </i>
    <i>
      <x v="64"/>
    </i>
    <i>
      <x v="65"/>
    </i>
    <i>
      <x v="66"/>
    </i>
    <i>
      <x v="67"/>
    </i>
    <i>
      <x v="68"/>
    </i>
    <i>
      <x v="69"/>
    </i>
    <i>
      <x v="70"/>
    </i>
    <i>
      <x v="71"/>
    </i>
    <i>
      <x v="72"/>
    </i>
    <i>
      <x v="73"/>
    </i>
    <i>
      <x v="74"/>
    </i>
    <i>
      <x v="75"/>
    </i>
    <i>
      <x v="76"/>
    </i>
    <i>
      <x v="77"/>
    </i>
    <i>
      <x v="78"/>
    </i>
    <i>
      <x v="79"/>
    </i>
    <i>
      <x v="80"/>
    </i>
    <i>
      <x v="81"/>
    </i>
    <i>
      <x v="82"/>
    </i>
    <i>
      <x v="83"/>
    </i>
    <i>
      <x v="84"/>
    </i>
    <i>
      <x v="85"/>
    </i>
    <i>
      <x v="86"/>
    </i>
    <i>
      <x v="87"/>
    </i>
    <i>
      <x v="88"/>
    </i>
    <i>
      <x v="89"/>
    </i>
    <i>
      <x v="90"/>
    </i>
    <i>
      <x v="91"/>
    </i>
    <i>
      <x v="92"/>
    </i>
    <i>
      <x v="93"/>
    </i>
    <i>
      <x v="94"/>
    </i>
    <i>
      <x v="95"/>
    </i>
    <i>
      <x v="96"/>
    </i>
    <i>
      <x v="97"/>
    </i>
    <i>
      <x v="98"/>
    </i>
    <i>
      <x v="99"/>
    </i>
    <i>
      <x v="100"/>
    </i>
    <i>
      <x v="101"/>
    </i>
    <i>
      <x v="102"/>
    </i>
    <i>
      <x v="103"/>
    </i>
    <i>
      <x v="104"/>
    </i>
    <i>
      <x v="105"/>
    </i>
    <i>
      <x v="106"/>
    </i>
    <i>
      <x v="107"/>
    </i>
    <i>
      <x v="108"/>
    </i>
    <i>
      <x v="109"/>
    </i>
    <i>
      <x v="110"/>
    </i>
    <i>
      <x v="111"/>
    </i>
    <i>
      <x v="112"/>
    </i>
    <i>
      <x v="113"/>
    </i>
    <i>
      <x v="114"/>
    </i>
    <i>
      <x v="115"/>
    </i>
    <i>
      <x v="116"/>
    </i>
    <i>
      <x v="117"/>
    </i>
    <i>
      <x v="118"/>
    </i>
    <i>
      <x v="119"/>
    </i>
    <i>
      <x v="120"/>
    </i>
    <i>
      <x v="121"/>
    </i>
    <i>
      <x v="122"/>
    </i>
    <i>
      <x v="123"/>
    </i>
    <i>
      <x v="124"/>
    </i>
    <i>
      <x v="125"/>
    </i>
    <i>
      <x v="126"/>
    </i>
    <i>
      <x v="127"/>
    </i>
    <i>
      <x v="128"/>
    </i>
    <i>
      <x v="129"/>
    </i>
    <i>
      <x v="130"/>
    </i>
    <i>
      <x v="131"/>
    </i>
    <i>
      <x v="132"/>
    </i>
    <i>
      <x v="133"/>
    </i>
    <i>
      <x v="134"/>
    </i>
    <i>
      <x v="135"/>
    </i>
    <i>
      <x v="136"/>
    </i>
    <i>
      <x v="137"/>
    </i>
    <i>
      <x v="138"/>
    </i>
    <i>
      <x v="139"/>
    </i>
    <i>
      <x v="140"/>
    </i>
    <i>
      <x v="141"/>
    </i>
    <i>
      <x v="142"/>
    </i>
    <i>
      <x v="143"/>
    </i>
    <i>
      <x v="144"/>
    </i>
    <i>
      <x v="145"/>
    </i>
    <i>
      <x v="146"/>
    </i>
    <i>
      <x v="147"/>
    </i>
    <i>
      <x v="148"/>
    </i>
    <i>
      <x v="149"/>
    </i>
    <i t="grand">
      <x/>
    </i>
  </colItems>
  <dataFields count="1">
    <dataField name="Max of INSP_VAL" fld="5" subtotal="max" baseField="0" baseItem="0" numFmtId="165"/>
  </dataFields>
  <pivotTableStyleInfo name="PivotStyleLight16" showRowHeaders="1" showColHeaders="1" showRowStripes="0" showColStripes="0" showLastColumn="1"/>
</pivotTableDefinition>
</file>

<file path=xl/pivotTables/pivotTable2.xml><?xml version="1.0" encoding="utf-8"?>
<pivotTableDefinition xmlns="http://schemas.openxmlformats.org/spreadsheetml/2006/main" name="PivotTable2" cacheId="6" applyNumberFormats="0" applyBorderFormats="0" applyFontFormats="0" applyPatternFormats="0" applyAlignmentFormats="0" applyWidthHeightFormats="1" dataCaption="Values" updatedVersion="3" minRefreshableVersion="3" showCalcMbrs="0" useAutoFormatting="1" itemPrintTitles="1" createdVersion="3" indent="0" outline="1" outlineData="1" multipleFieldFilters="0">
  <location ref="A1:EV100" firstHeaderRow="1" firstDataRow="2" firstDataCol="1"/>
  <pivotFields count="8">
    <pivotField axis="axisRow" numFmtId="173" showAll="0">
      <items count="25">
        <item x="17"/>
        <item x="14"/>
        <item x="18"/>
        <item x="1"/>
        <item x="15"/>
        <item x="16"/>
        <item x="19"/>
        <item x="2"/>
        <item x="3"/>
        <item x="4"/>
        <item x="5"/>
        <item x="0"/>
        <item x="20"/>
        <item x="6"/>
        <item x="7"/>
        <item x="21"/>
        <item x="8"/>
        <item x="9"/>
        <item x="10"/>
        <item x="22"/>
        <item x="23"/>
        <item x="11"/>
        <item x="12"/>
        <item x="13"/>
        <item t="default"/>
      </items>
    </pivotField>
    <pivotField axis="axisRow" numFmtId="173" showAll="0">
      <items count="4">
        <item x="0"/>
        <item x="1"/>
        <item x="2"/>
        <item t="default"/>
      </items>
    </pivotField>
    <pivotField axis="axisCol" numFmtId="173" showAll="0">
      <items count="151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17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1"/>
        <item x="52"/>
        <item x="53"/>
        <item x="54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8"/>
        <item x="119"/>
        <item x="120"/>
        <item x="121"/>
        <item x="122"/>
        <item x="123"/>
        <item x="124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4"/>
        <item x="145"/>
        <item x="146"/>
        <item x="147"/>
        <item x="148"/>
        <item x="149"/>
        <item x="50"/>
        <item x="55"/>
        <item x="125"/>
        <item x="143"/>
        <item x="25"/>
        <item t="default"/>
      </items>
    </pivotField>
    <pivotField numFmtId="173" showAll="0"/>
    <pivotField dataField="1" numFmtId="173" showAll="0"/>
    <pivotField numFmtId="173" showAll="0"/>
    <pivotField numFmtId="173" showAll="0"/>
    <pivotField axis="axisRow" numFmtId="173" showAll="0">
      <items count="2">
        <item x="0"/>
        <item t="default"/>
      </items>
    </pivotField>
  </pivotFields>
  <rowFields count="3">
    <field x="7"/>
    <field x="0"/>
    <field x="1"/>
  </rowFields>
  <rowItems count="98">
    <i>
      <x/>
    </i>
    <i r="1">
      <x/>
    </i>
    <i r="2">
      <x/>
    </i>
    <i r="2">
      <x v="1"/>
    </i>
    <i r="2">
      <x v="2"/>
    </i>
    <i r="1">
      <x v="1"/>
    </i>
    <i r="2">
      <x/>
    </i>
    <i r="2">
      <x v="1"/>
    </i>
    <i r="2">
      <x v="2"/>
    </i>
    <i r="1">
      <x v="2"/>
    </i>
    <i r="2">
      <x/>
    </i>
    <i r="2">
      <x v="1"/>
    </i>
    <i r="2">
      <x v="2"/>
    </i>
    <i r="1">
      <x v="3"/>
    </i>
    <i r="2">
      <x/>
    </i>
    <i r="2">
      <x v="1"/>
    </i>
    <i r="2">
      <x v="2"/>
    </i>
    <i r="1">
      <x v="4"/>
    </i>
    <i r="2">
      <x/>
    </i>
    <i r="2">
      <x v="1"/>
    </i>
    <i r="2">
      <x v="2"/>
    </i>
    <i r="1">
      <x v="5"/>
    </i>
    <i r="2">
      <x/>
    </i>
    <i r="2">
      <x v="1"/>
    </i>
    <i r="2">
      <x v="2"/>
    </i>
    <i r="1">
      <x v="6"/>
    </i>
    <i r="2">
      <x/>
    </i>
    <i r="2">
      <x v="1"/>
    </i>
    <i r="2">
      <x v="2"/>
    </i>
    <i r="1">
      <x v="7"/>
    </i>
    <i r="2">
      <x/>
    </i>
    <i r="2">
      <x v="1"/>
    </i>
    <i r="2">
      <x v="2"/>
    </i>
    <i r="1">
      <x v="8"/>
    </i>
    <i r="2">
      <x/>
    </i>
    <i r="2">
      <x v="1"/>
    </i>
    <i r="2">
      <x v="2"/>
    </i>
    <i r="1">
      <x v="9"/>
    </i>
    <i r="2">
      <x/>
    </i>
    <i r="2">
      <x v="1"/>
    </i>
    <i r="2">
      <x v="2"/>
    </i>
    <i r="1">
      <x v="10"/>
    </i>
    <i r="2">
      <x/>
    </i>
    <i r="2">
      <x v="1"/>
    </i>
    <i r="2">
      <x v="2"/>
    </i>
    <i r="1">
      <x v="11"/>
    </i>
    <i r="2">
      <x/>
    </i>
    <i r="2">
      <x v="1"/>
    </i>
    <i r="2">
      <x v="2"/>
    </i>
    <i r="1">
      <x v="12"/>
    </i>
    <i r="2">
      <x/>
    </i>
    <i r="2">
      <x v="1"/>
    </i>
    <i r="2">
      <x v="2"/>
    </i>
    <i r="1">
      <x v="13"/>
    </i>
    <i r="2">
      <x/>
    </i>
    <i r="2">
      <x v="1"/>
    </i>
    <i r="2">
      <x v="2"/>
    </i>
    <i r="1">
      <x v="14"/>
    </i>
    <i r="2">
      <x/>
    </i>
    <i r="2">
      <x v="1"/>
    </i>
    <i r="2">
      <x v="2"/>
    </i>
    <i r="1">
      <x v="15"/>
    </i>
    <i r="2">
      <x/>
    </i>
    <i r="2">
      <x v="1"/>
    </i>
    <i r="2">
      <x v="2"/>
    </i>
    <i r="1">
      <x v="16"/>
    </i>
    <i r="2">
      <x/>
    </i>
    <i r="2">
      <x v="1"/>
    </i>
    <i r="2">
      <x v="2"/>
    </i>
    <i r="1">
      <x v="17"/>
    </i>
    <i r="2">
      <x/>
    </i>
    <i r="2">
      <x v="1"/>
    </i>
    <i r="2">
      <x v="2"/>
    </i>
    <i r="1">
      <x v="18"/>
    </i>
    <i r="2">
      <x/>
    </i>
    <i r="2">
      <x v="1"/>
    </i>
    <i r="2">
      <x v="2"/>
    </i>
    <i r="1">
      <x v="19"/>
    </i>
    <i r="2">
      <x/>
    </i>
    <i r="2">
      <x v="1"/>
    </i>
    <i r="2">
      <x v="2"/>
    </i>
    <i r="1">
      <x v="20"/>
    </i>
    <i r="2">
      <x/>
    </i>
    <i r="2">
      <x v="1"/>
    </i>
    <i r="2">
      <x v="2"/>
    </i>
    <i r="1">
      <x v="21"/>
    </i>
    <i r="2">
      <x/>
    </i>
    <i r="2">
      <x v="1"/>
    </i>
    <i r="2">
      <x v="2"/>
    </i>
    <i r="1">
      <x v="22"/>
    </i>
    <i r="2">
      <x/>
    </i>
    <i r="2">
      <x v="1"/>
    </i>
    <i r="2">
      <x v="2"/>
    </i>
    <i r="1">
      <x v="23"/>
    </i>
    <i r="2">
      <x/>
    </i>
    <i r="2">
      <x v="1"/>
    </i>
    <i r="2">
      <x v="2"/>
    </i>
    <i t="grand">
      <x/>
    </i>
  </rowItems>
  <colFields count="1">
    <field x="2"/>
  </colFields>
  <colItems count="151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>
      <x v="50"/>
    </i>
    <i>
      <x v="51"/>
    </i>
    <i>
      <x v="52"/>
    </i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  <i>
      <x v="62"/>
    </i>
    <i>
      <x v="63"/>
    </i>
    <i>
      <x v="64"/>
    </i>
    <i>
      <x v="65"/>
    </i>
    <i>
      <x v="66"/>
    </i>
    <i>
      <x v="67"/>
    </i>
    <i>
      <x v="68"/>
    </i>
    <i>
      <x v="69"/>
    </i>
    <i>
      <x v="70"/>
    </i>
    <i>
      <x v="71"/>
    </i>
    <i>
      <x v="72"/>
    </i>
    <i>
      <x v="73"/>
    </i>
    <i>
      <x v="74"/>
    </i>
    <i>
      <x v="75"/>
    </i>
    <i>
      <x v="76"/>
    </i>
    <i>
      <x v="77"/>
    </i>
    <i>
      <x v="78"/>
    </i>
    <i>
      <x v="79"/>
    </i>
    <i>
      <x v="80"/>
    </i>
    <i>
      <x v="81"/>
    </i>
    <i>
      <x v="82"/>
    </i>
    <i>
      <x v="83"/>
    </i>
    <i>
      <x v="84"/>
    </i>
    <i>
      <x v="85"/>
    </i>
    <i>
      <x v="86"/>
    </i>
    <i>
      <x v="87"/>
    </i>
    <i>
      <x v="88"/>
    </i>
    <i>
      <x v="89"/>
    </i>
    <i>
      <x v="90"/>
    </i>
    <i>
      <x v="91"/>
    </i>
    <i>
      <x v="92"/>
    </i>
    <i>
      <x v="93"/>
    </i>
    <i>
      <x v="94"/>
    </i>
    <i>
      <x v="95"/>
    </i>
    <i>
      <x v="96"/>
    </i>
    <i>
      <x v="97"/>
    </i>
    <i>
      <x v="98"/>
    </i>
    <i>
      <x v="99"/>
    </i>
    <i>
      <x v="100"/>
    </i>
    <i>
      <x v="101"/>
    </i>
    <i>
      <x v="102"/>
    </i>
    <i>
      <x v="103"/>
    </i>
    <i>
      <x v="104"/>
    </i>
    <i>
      <x v="105"/>
    </i>
    <i>
      <x v="106"/>
    </i>
    <i>
      <x v="107"/>
    </i>
    <i>
      <x v="108"/>
    </i>
    <i>
      <x v="109"/>
    </i>
    <i>
      <x v="110"/>
    </i>
    <i>
      <x v="111"/>
    </i>
    <i>
      <x v="112"/>
    </i>
    <i>
      <x v="113"/>
    </i>
    <i>
      <x v="114"/>
    </i>
    <i>
      <x v="115"/>
    </i>
    <i>
      <x v="116"/>
    </i>
    <i>
      <x v="117"/>
    </i>
    <i>
      <x v="118"/>
    </i>
    <i>
      <x v="119"/>
    </i>
    <i>
      <x v="120"/>
    </i>
    <i>
      <x v="121"/>
    </i>
    <i>
      <x v="122"/>
    </i>
    <i>
      <x v="123"/>
    </i>
    <i>
      <x v="124"/>
    </i>
    <i>
      <x v="125"/>
    </i>
    <i>
      <x v="126"/>
    </i>
    <i>
      <x v="127"/>
    </i>
    <i>
      <x v="128"/>
    </i>
    <i>
      <x v="129"/>
    </i>
    <i>
      <x v="130"/>
    </i>
    <i>
      <x v="131"/>
    </i>
    <i>
      <x v="132"/>
    </i>
    <i>
      <x v="133"/>
    </i>
    <i>
      <x v="134"/>
    </i>
    <i>
      <x v="135"/>
    </i>
    <i>
      <x v="136"/>
    </i>
    <i>
      <x v="137"/>
    </i>
    <i>
      <x v="138"/>
    </i>
    <i>
      <x v="139"/>
    </i>
    <i>
      <x v="140"/>
    </i>
    <i>
      <x v="141"/>
    </i>
    <i>
      <x v="142"/>
    </i>
    <i>
      <x v="143"/>
    </i>
    <i>
      <x v="144"/>
    </i>
    <i>
      <x v="145"/>
    </i>
    <i>
      <x v="146"/>
    </i>
    <i>
      <x v="147"/>
    </i>
    <i>
      <x v="148"/>
    </i>
    <i>
      <x v="149"/>
    </i>
    <i t="grand">
      <x/>
    </i>
  </colItems>
  <dataFields count="1">
    <dataField name="Max of INSP_DATE" fld="4" subtotal="max" baseField="0" baseItem="0" numFmtId="173"/>
  </dataFields>
  <formats count="2">
    <format dxfId="49">
      <pivotArea field="7" type="button" dataOnly="0" labelOnly="1" outline="0" axis="axisRow" fieldPosition="0"/>
    </format>
    <format dxfId="48">
      <pivotArea field="2" type="button" dataOnly="0" labelOnly="1" outline="0" axis="axisCol" fieldPosition="0"/>
    </format>
  </formats>
  <pivotTableStyleInfo name="PivotStyleLight16" showRowHeaders="1" showColHeaders="1" showRowStripes="0" showColStripes="0" showLastColumn="1"/>
</pivotTableDefinition>
</file>

<file path=xl/queryTables/queryTable1.xml><?xml version="1.0" encoding="utf-8"?>
<queryTable xmlns="http://schemas.openxmlformats.org/spreadsheetml/2006/main" name="1-4AHB SLR_SCH_INSP" connectionId="1" autoFormatId="16" applyNumberFormats="0" applyBorderFormats="0" applyFontFormats="0" applyPatternFormats="0" applyAlignmentFormats="0" applyWidthHeightFormats="0">
  <queryTableRefresh nextId="9">
    <queryTableFields count="8">
      <queryTableField id="1" name="EI_ID" tableColumnId="1"/>
      <queryTableField id="2" name="SYS_CODE" tableColumnId="2"/>
      <queryTableField id="3" name="INSP_NO" tableColumnId="3"/>
      <queryTableField id="4" name="FRQ_TYPE" tableColumnId="4"/>
      <queryTableField id="5" name="INSP_DATE" tableColumnId="5"/>
      <queryTableField id="6" name="INSP_VAL" tableColumnId="6"/>
      <queryTableField id="7" name="DEL_FLAG" tableColumnId="7"/>
      <queryTableField id="8" name="EI_MODEL" tableColumnId="8"/>
    </queryTableFields>
  </queryTableRefresh>
</queryTable>
</file>

<file path=xl/queryTables/queryTable2.xml><?xml version="1.0" encoding="utf-8"?>
<queryTable xmlns="http://schemas.openxmlformats.org/spreadsheetml/2006/main" name="1-4AHB v_gen_READINESS" connectionId="2" autoFormatId="16" applyNumberFormats="0" applyBorderFormats="0" applyFontFormats="0" applyPatternFormats="0" applyAlignmentFormats="0" applyWidthHeightFormats="0">
  <queryTableRefresh nextId="53">
    <queryTableFields count="48">
      <queryTableField id="5" name="EI_ID" tableColumnId="5"/>
      <queryTableField id="6" name="DAY" tableColumnId="6"/>
      <queryTableField id="7" name="FMC" tableColumnId="7"/>
      <queryTableField id="8" name="PMCS" tableColumnId="8"/>
      <queryTableField id="9" name="PMCM" tableColumnId="9"/>
      <queryTableField id="10" name="NMCS" tableColumnId="10"/>
      <queryTableField id="11" name="NMCM_DEP" tableColumnId="11"/>
      <queryTableField id="12" name="NMCM_INT" tableColumnId="12"/>
      <queryTableField id="13" name="NMCM_UNIT" tableColumnId="13"/>
      <queryTableField id="14" name="FLY_HOURS" tableColumnId="14"/>
      <queryTableField id="15" name="LANDINGS" tableColumnId="15"/>
      <queryTableField id="16" name="AUTO" tableColumnId="16"/>
      <queryTableField id="17" name="PMCS_CODE" tableColumnId="17"/>
      <queryTableField id="18" name="PMCM_CODE" tableColumnId="18"/>
      <queryTableField id="19" name="REASON_NMC" tableColumnId="19"/>
      <queryTableField id="20" name="MNT_LVL" tableColumnId="20"/>
      <queryTableField id="21" name="DATE_DOWN" tableColumnId="21"/>
      <queryTableField id="22" name="DATE_MC" tableColumnId="22"/>
      <queryTableField id="23" name="TDY_LOC" tableColumnId="23"/>
      <queryTableField id="24" name="LOCATION" tableColumnId="24"/>
      <queryTableField id="25" name="NMC_REMARKS" tableColumnId="25"/>
      <queryTableField id="26" name="PER_DATE" tableColumnId="26"/>
      <queryTableField id="27" name="DATE_TIME_STAMP" tableColumnId="27"/>
      <queryTableField id="28" name="PID_STAMP" tableColumnId="28"/>
      <queryTableField id="29" name="DEL_FLAG" tableColumnId="29"/>
      <queryTableField id="30" name="UPDATE_FLAG" tableColumnId="30"/>
      <queryTableField id="31" name="LEVEL" tableColumnId="31"/>
      <queryTableField id="32" name="FAULT_EI_ID" tableColumnId="32"/>
      <queryTableField id="33" name="FAULT_EVENT_DATE" tableColumnId="33"/>
      <queryTableField id="34" name="FAULT_EVENT_NO" tableColumnId="34"/>
      <queryTableField id="35" name="FAULT_SYS_CODE" tableColumnId="35"/>
      <queryTableField id="36" name="FAULT_CLOSED" tableColumnId="36"/>
      <queryTableField id="37" name="FAULT_STATUS" tableColumnId="37"/>
      <queryTableField id="38" name="EI_STATUS" tableColumnId="38"/>
      <queryTableField id="39" name="UIC_TEMP" tableColumnId="39"/>
      <queryTableField id="40" name="EI_HRS" tableColumnId="40"/>
      <queryTableField id="41" name="LAST_MIGRATION_DT" tableColumnId="41"/>
      <queryTableField id="42" name="EI_SN" tableColumnId="42"/>
      <queryTableField id="43" name="PHASE_DUE" tableColumnId="43"/>
      <queryTableField id="44" name="PHASE_ID" tableColumnId="44"/>
      <queryTableField id="45" name="Readiness_Events" tableColumnId="45"/>
      <queryTableField id="46" name="Parts" tableColumnId="46"/>
      <queryTableField id="47" name="WorkOrders" tableColumnId="47"/>
      <queryTableField id="48" name="MOC_EVENT_DATE" tableColumnId="48"/>
      <queryTableField id="49" name="MOC_EVENT_NO" tableColumnId="49"/>
      <queryTableField id="50" name="MOC_CLOSED" tableColumnId="50"/>
      <queryTableField id="51" name="TEMP_XFR" tableColumnId="51"/>
      <queryTableField id="52" name="UIC_TEMP_XFR" tableColumnId="52"/>
    </queryTableFields>
    <queryTableDeletedFields count="4">
      <deletedField name="Expr1"/>
      <deletedField name="END_PER_DATE"/>
      <deletedField name="UIC"/>
      <deletedField name="EI_MODEL"/>
    </queryTableDeletedFields>
  </queryTableRefresh>
</queryTable>
</file>

<file path=xl/queryTables/queryTable3.xml><?xml version="1.0" encoding="utf-8"?>
<queryTable xmlns="http://schemas.openxmlformats.org/spreadsheetml/2006/main" name="Query from A Readiness_1" connectionId="4" autoFormatId="16" applyNumberFormats="0" applyBorderFormats="0" applyFontFormats="0" applyPatternFormats="0" applyAlignmentFormats="0" applyWidthHeightFormats="0">
  <queryTableRefresh nextId="14" unboundColumnsRight="1">
    <queryTableFields count="13">
      <queryTableField id="1" name="END_PER_DATE" tableColumnId="1"/>
      <queryTableField id="2" name="UIC" tableColumnId="2"/>
      <queryTableField id="3" name="EI_ID" tableColumnId="3"/>
      <queryTableField id="4" name="DAY" tableColumnId="4"/>
      <queryTableField id="5" name="FMC" tableColumnId="5"/>
      <queryTableField id="6" name="PMCS" tableColumnId="6"/>
      <queryTableField id="7" name="PMCM" tableColumnId="7"/>
      <queryTableField id="8" name="NMCS" tableColumnId="8"/>
      <queryTableField id="9" name="NMCM_UNIT" tableColumnId="9"/>
      <queryTableField id="10" name="FLY_HOURS" tableColumnId="10"/>
      <queryTableField id="11" name="PER_DATE" tableColumnId="11"/>
      <queryTableField id="13" name="NMCM_DEP" tableColumnId="13"/>
      <queryTableField id="12" dataBound="0" tableColumnId="12"/>
    </queryTableFields>
  </queryTableRefresh>
</queryTable>
</file>

<file path=xl/queryTables/queryTable4.xml><?xml version="1.0" encoding="utf-8"?>
<queryTable xmlns="http://schemas.openxmlformats.org/spreadsheetml/2006/main" name="Query from A Readiness_1" connectionId="7" autoFormatId="16" applyNumberFormats="0" applyBorderFormats="0" applyFontFormats="0" applyPatternFormats="0" applyAlignmentFormats="0" applyWidthHeightFormats="0">
  <queryTableRefresh nextId="14" unboundColumnsRight="1">
    <queryTableFields count="13">
      <queryTableField id="1" name="END_PER_DATE" tableColumnId="1"/>
      <queryTableField id="2" name="UIC" tableColumnId="2"/>
      <queryTableField id="3" name="EI_ID" tableColumnId="3"/>
      <queryTableField id="4" name="DAY" tableColumnId="4"/>
      <queryTableField id="5" name="FMC" tableColumnId="5"/>
      <queryTableField id="6" name="PMCS" tableColumnId="6"/>
      <queryTableField id="7" name="PMCM" tableColumnId="7"/>
      <queryTableField id="8" name="NMCS" tableColumnId="8"/>
      <queryTableField id="9" name="NMCM_UNIT" tableColumnId="9"/>
      <queryTableField id="10" name="FLY_HOURS" tableColumnId="10"/>
      <queryTableField id="11" name="PER_DATE" tableColumnId="11"/>
      <queryTableField id="13" name="NMCM_DEP" tableColumnId="13"/>
      <queryTableField id="12" dataBound="0" tableColumnId="12"/>
    </queryTableFields>
  </queryTableRefresh>
</queryTable>
</file>

<file path=xl/queryTables/queryTable5.xml><?xml version="1.0" encoding="utf-8"?>
<queryTable xmlns="http://schemas.openxmlformats.org/spreadsheetml/2006/main" name="Query from A Readiness" connectionId="5" autoFormatId="16" applyNumberFormats="0" applyBorderFormats="0" applyFontFormats="0" applyPatternFormats="0" applyAlignmentFormats="0" applyWidthHeightFormats="0">
  <queryTableRefresh nextId="14" unboundColumnsRight="1">
    <queryTableFields count="13">
      <queryTableField id="1" name="END_PER_DATE" tableColumnId="1"/>
      <queryTableField id="2" name="UIC" tableColumnId="2"/>
      <queryTableField id="3" name="EI_ID" tableColumnId="3"/>
      <queryTableField id="4" name="DAY" tableColumnId="4"/>
      <queryTableField id="5" name="FMC" tableColumnId="5"/>
      <queryTableField id="6" name="PMCS" tableColumnId="6"/>
      <queryTableField id="7" name="PMCM" tableColumnId="7"/>
      <queryTableField id="8" name="NMCS" tableColumnId="8"/>
      <queryTableField id="9" name="NMCM_UNIT" tableColumnId="9"/>
      <queryTableField id="10" name="FLY_HOURS" tableColumnId="10"/>
      <queryTableField id="11" name="PER_DATE" tableColumnId="11"/>
      <queryTableField id="13" name="NMCM_DEP" tableColumnId="13"/>
      <queryTableField id="12" dataBound="0" tableColumnId="12"/>
    </queryTableFields>
  </queryTableRefresh>
</queryTable>
</file>

<file path=xl/queryTables/queryTable6.xml><?xml version="1.0" encoding="utf-8"?>
<queryTable xmlns="http://schemas.openxmlformats.org/spreadsheetml/2006/main" name="Query from A Readiness" connectionId="6" autoFormatId="16" applyNumberFormats="0" applyBorderFormats="0" applyFontFormats="0" applyPatternFormats="0" applyAlignmentFormats="0" applyWidthHeightFormats="0">
  <queryTableRefresh nextId="14" unboundColumnsRight="1">
    <queryTableFields count="13">
      <queryTableField id="1" name="END_PER_DATE" tableColumnId="1"/>
      <queryTableField id="2" name="UIC" tableColumnId="2"/>
      <queryTableField id="3" name="EI_ID" tableColumnId="3"/>
      <queryTableField id="4" name="DAY" tableColumnId="4"/>
      <queryTableField id="5" name="FMC" tableColumnId="5"/>
      <queryTableField id="6" name="PMCS" tableColumnId="6"/>
      <queryTableField id="7" name="PMCM" tableColumnId="7"/>
      <queryTableField id="8" name="NMCS" tableColumnId="8"/>
      <queryTableField id="9" name="NMCM_UNIT" tableColumnId="9"/>
      <queryTableField id="10" name="FLY_HOURS" tableColumnId="10"/>
      <queryTableField id="11" name="PER_DATE" tableColumnId="11"/>
      <queryTableField id="13" name="NMCM_DEP" tableColumnId="13"/>
      <queryTableField id="12" dataBound="0" tableColumnId="12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_rels/table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.xml"/></Relationships>
</file>

<file path=xl/tables/_rels/table4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4.xml"/></Relationships>
</file>

<file path=xl/tables/_rels/table5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5.xml"/></Relationships>
</file>

<file path=xl/tables/_rels/table6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6.xml"/></Relationships>
</file>

<file path=xl/tables/table1.xml><?xml version="1.0" encoding="utf-8"?>
<table xmlns="http://schemas.openxmlformats.org/spreadsheetml/2006/main" id="1" name="Table__1_4AHB_SLR_SCH_INSP" displayName="Table__1_4AHB_SLR_SCH_INSP" ref="A1:H3097" tableType="queryTable" totalsRowShown="0">
  <autoFilter ref="A1:H3097"/>
  <tableColumns count="8">
    <tableColumn id="1" uniqueName="1" name="EI_ID" queryTableFieldId="1"/>
    <tableColumn id="2" uniqueName="2" name="SYS_CODE" queryTableFieldId="2"/>
    <tableColumn id="3" uniqueName="3" name="INSP_NO" queryTableFieldId="3"/>
    <tableColumn id="4" uniqueName="4" name="FRQ_TYPE" queryTableFieldId="4"/>
    <tableColumn id="5" uniqueName="5" name="INSP_DATE" queryTableFieldId="5" dataDxfId="42"/>
    <tableColumn id="6" uniqueName="6" name="INSP_VAL" queryTableFieldId="6"/>
    <tableColumn id="7" uniqueName="7" name="DEL_FLAG" queryTableFieldId="7"/>
    <tableColumn id="8" uniqueName="8" name="EI_MODEL" queryTableFieldId="8"/>
  </tableColumns>
  <tableStyleInfo name="TableStyleMedium9" showFirstColumn="0" showLastColumn="0" showRowStripes="1" showColumnStripes="0"/>
</table>
</file>

<file path=xl/tables/table2.xml><?xml version="1.0" encoding="utf-8"?>
<table xmlns="http://schemas.openxmlformats.org/spreadsheetml/2006/main" id="2" name="Table__1_4AHB_v_gen_READINESS" displayName="Table__1_4AHB_v_gen_READINESS" ref="A1:AV25" tableType="queryTable" totalsRowShown="0">
  <autoFilter ref="A1:AV25"/>
  <tableColumns count="48">
    <tableColumn id="5" uniqueName="5" name="EI_ID" queryTableFieldId="5"/>
    <tableColumn id="6" uniqueName="6" name="DAY" queryTableFieldId="6"/>
    <tableColumn id="7" uniqueName="7" name="FMC" queryTableFieldId="7"/>
    <tableColumn id="8" uniqueName="8" name="PMCS" queryTableFieldId="8"/>
    <tableColumn id="9" uniqueName="9" name="PMCM" queryTableFieldId="9"/>
    <tableColumn id="10" uniqueName="10" name="NMCS" queryTableFieldId="10"/>
    <tableColumn id="11" uniqueName="11" name="NMCM_DEP" queryTableFieldId="11"/>
    <tableColumn id="12" uniqueName="12" name="NMCM_INT" queryTableFieldId="12"/>
    <tableColumn id="13" uniqueName="13" name="NMCM_UNIT" queryTableFieldId="13"/>
    <tableColumn id="14" uniqueName="14" name="FLY_HOURS" queryTableFieldId="14"/>
    <tableColumn id="15" uniqueName="15" name="LANDINGS" queryTableFieldId="15"/>
    <tableColumn id="16" uniqueName="16" name="AUTO" queryTableFieldId="16"/>
    <tableColumn id="17" uniqueName="17" name="PMCS_CODE" queryTableFieldId="17"/>
    <tableColumn id="18" uniqueName="18" name="PMCM_CODE" queryTableFieldId="18"/>
    <tableColumn id="19" uniqueName="19" name="REASON_NMC" queryTableFieldId="19"/>
    <tableColumn id="20" uniqueName="20" name="MNT_LVL" queryTableFieldId="20"/>
    <tableColumn id="21" uniqueName="21" name="DATE_DOWN" queryTableFieldId="21" dataDxfId="41"/>
    <tableColumn id="22" uniqueName="22" name="DATE_MC" queryTableFieldId="22" dataDxfId="40"/>
    <tableColumn id="23" uniqueName="23" name="TDY_LOC" queryTableFieldId="23"/>
    <tableColumn id="24" uniqueName="24" name="LOCATION" queryTableFieldId="24"/>
    <tableColumn id="25" uniqueName="25" name="NMC_REMARKS" queryTableFieldId="25"/>
    <tableColumn id="26" uniqueName="26" name="PER_DATE" queryTableFieldId="26" dataDxfId="39"/>
    <tableColumn id="27" uniqueName="27" name="DATE_TIME_STAMP" queryTableFieldId="27" dataDxfId="38"/>
    <tableColumn id="28" uniqueName="28" name="PID_STAMP" queryTableFieldId="28"/>
    <tableColumn id="29" uniqueName="29" name="DEL_FLAG" queryTableFieldId="29"/>
    <tableColumn id="30" uniqueName="30" name="UPDATE_FLAG" queryTableFieldId="30"/>
    <tableColumn id="31" uniqueName="31" name="LEVEL" queryTableFieldId="31"/>
    <tableColumn id="32" uniqueName="32" name="FAULT_EI_ID" queryTableFieldId="32"/>
    <tableColumn id="33" uniqueName="33" name="FAULT_EVENT_DATE" queryTableFieldId="33" dataDxfId="37"/>
    <tableColumn id="34" uniqueName="34" name="FAULT_EVENT_NO" queryTableFieldId="34"/>
    <tableColumn id="35" uniqueName="35" name="FAULT_SYS_CODE" queryTableFieldId="35"/>
    <tableColumn id="36" uniqueName="36" name="FAULT_CLOSED" queryTableFieldId="36"/>
    <tableColumn id="37" uniqueName="37" name="FAULT_STATUS" queryTableFieldId="37"/>
    <tableColumn id="38" uniqueName="38" name="EI_STATUS" queryTableFieldId="38"/>
    <tableColumn id="39" uniqueName="39" name="UIC_TEMP" queryTableFieldId="39"/>
    <tableColumn id="40" uniqueName="40" name="EI_HRS" queryTableFieldId="40"/>
    <tableColumn id="41" uniqueName="41" name="LAST_MIGRATION_DT" queryTableFieldId="41" dataDxfId="36"/>
    <tableColumn id="42" uniqueName="42" name="EI_SN" queryTableFieldId="42"/>
    <tableColumn id="43" uniqueName="43" name="PHASE_DUE" queryTableFieldId="43"/>
    <tableColumn id="44" uniqueName="44" name="PHASE_ID" queryTableFieldId="44"/>
    <tableColumn id="45" uniqueName="45" name="Readiness_Events" queryTableFieldId="45"/>
    <tableColumn id="46" uniqueName="46" name="Parts" queryTableFieldId="46"/>
    <tableColumn id="47" uniqueName="47" name="WorkOrders" queryTableFieldId="47"/>
    <tableColumn id="48" uniqueName="48" name="MOC_EVENT_DATE" queryTableFieldId="48" dataDxfId="35"/>
    <tableColumn id="49" uniqueName="49" name="MOC_EVENT_NO" queryTableFieldId="49"/>
    <tableColumn id="50" uniqueName="50" name="MOC_CLOSED" queryTableFieldId="50"/>
    <tableColumn id="51" uniqueName="51" name="TEMP_XFR" queryTableFieldId="51"/>
    <tableColumn id="52" uniqueName="52" name="UIC_TEMP_XFR" queryTableFieldId="52"/>
  </tableColumns>
  <tableStyleInfo name="TableStyleMedium9" showFirstColumn="0" showLastColumn="0" showRowStripes="1" showColumnStripes="0"/>
</table>
</file>

<file path=xl/tables/table3.xml><?xml version="1.0" encoding="utf-8"?>
<table xmlns="http://schemas.openxmlformats.org/spreadsheetml/2006/main" id="7" name="Table_Query_from_A_Readiness_1" displayName="Table_Query_from_A_Readiness_1" ref="A1:M241" tableType="queryTable" totalsRowShown="0" headerRowDxfId="47">
  <autoFilter ref="A1:M241"/>
  <tableColumns count="13">
    <tableColumn id="1" uniqueName="1" name="END_PER_DATE" queryTableFieldId="1"/>
    <tableColumn id="2" uniqueName="2" name="UIC" queryTableFieldId="2"/>
    <tableColumn id="3" uniqueName="3" name="EI_ID" queryTableFieldId="3"/>
    <tableColumn id="4" uniqueName="4" name="DAY" queryTableFieldId="4" dataDxfId="34"/>
    <tableColumn id="5" uniqueName="5" name="FMC" queryTableFieldId="5" dataDxfId="33"/>
    <tableColumn id="6" uniqueName="6" name="PMCS" queryTableFieldId="6" dataDxfId="32"/>
    <tableColumn id="7" uniqueName="7" name="PMCM" queryTableFieldId="7" dataDxfId="31"/>
    <tableColumn id="8" uniqueName="8" name="NMCS" queryTableFieldId="8" dataDxfId="30"/>
    <tableColumn id="9" uniqueName="9" name="NMCM_UNIT" queryTableFieldId="9" dataDxfId="29"/>
    <tableColumn id="10" uniqueName="10" name="FLY_HOURS" queryTableFieldId="10" dataDxfId="28"/>
    <tableColumn id="11" uniqueName="11" name="PER_DATE" queryTableFieldId="11"/>
    <tableColumn id="13" uniqueName="13" name="NMCM_DEP" queryTableFieldId="13" dataDxfId="27"/>
    <tableColumn id="12" uniqueName="12" name="Past" queryTableFieldId="12" dataDxfId="26">
      <calculatedColumnFormula>IF(TODAY()-Table_Query_from_A_Readiness_1[[#This Row],[PER_DATE]]&gt;=0,TRUE, FALSE)</calculatedColumnFormula>
    </tableColumn>
  </tableColumns>
  <tableStyleInfo name="TableStyleMedium9" showFirstColumn="0" showLastColumn="0" showRowStripes="1" showColumnStripes="0"/>
</table>
</file>

<file path=xl/tables/table4.xml><?xml version="1.0" encoding="utf-8"?>
<table xmlns="http://schemas.openxmlformats.org/spreadsheetml/2006/main" id="8" name="Table_Query_from_A_Readiness_19" displayName="Table_Query_from_A_Readiness_19" ref="A1:M721" tableType="queryTable" totalsRowShown="0" headerRowDxfId="46">
  <autoFilter ref="A1:M721"/>
  <tableColumns count="13">
    <tableColumn id="1" uniqueName="1" name="END_PER_DATE" queryTableFieldId="1"/>
    <tableColumn id="2" uniqueName="2" name="UIC" queryTableFieldId="2"/>
    <tableColumn id="3" uniqueName="3" name="EI_ID" queryTableFieldId="3"/>
    <tableColumn id="4" uniqueName="4" name="DAY" queryTableFieldId="4" dataDxfId="25"/>
    <tableColumn id="5" uniqueName="5" name="FMC" queryTableFieldId="5" dataDxfId="24"/>
    <tableColumn id="6" uniqueName="6" name="PMCS" queryTableFieldId="6" dataDxfId="23"/>
    <tableColumn id="7" uniqueName="7" name="PMCM" queryTableFieldId="7" dataDxfId="22"/>
    <tableColumn id="8" uniqueName="8" name="NMCS" queryTableFieldId="8" dataDxfId="21"/>
    <tableColumn id="9" uniqueName="9" name="NMCM_UNIT" queryTableFieldId="9" dataDxfId="20"/>
    <tableColumn id="10" uniqueName="10" name="FLY_HOURS" queryTableFieldId="10" dataDxfId="19"/>
    <tableColumn id="11" uniqueName="11" name="PER_DATE" queryTableFieldId="11"/>
    <tableColumn id="13" uniqueName="13" name="NMCM_DEP" queryTableFieldId="13" dataDxfId="18"/>
    <tableColumn id="12" uniqueName="12" name="Past" queryTableFieldId="12" dataDxfId="17">
      <calculatedColumnFormula>IF(TODAY()-Table_Query_from_A_Readiness_19[[#This Row],[PER_DATE]]&gt;=0,TRUE, FALSE)</calculatedColumnFormula>
    </tableColumn>
  </tableColumns>
  <tableStyleInfo name="TableStyleMedium9" showFirstColumn="0" showLastColumn="0" showRowStripes="1" showColumnStripes="0"/>
</table>
</file>

<file path=xl/tables/table5.xml><?xml version="1.0" encoding="utf-8"?>
<table xmlns="http://schemas.openxmlformats.org/spreadsheetml/2006/main" id="3" name="Table_Query_from_A_Readiness4" displayName="Table_Query_from_A_Readiness4" ref="A1:M241" tableType="queryTable" totalsRowShown="0">
  <autoFilter ref="A1:M241"/>
  <tableColumns count="13">
    <tableColumn id="1" uniqueName="1" name="END_PER_DATE" queryTableFieldId="1"/>
    <tableColumn id="2" uniqueName="2" name="UIC" queryTableFieldId="2"/>
    <tableColumn id="3" uniqueName="3" name="EI_ID" queryTableFieldId="3"/>
    <tableColumn id="4" uniqueName="4" name="DAY" queryTableFieldId="4" dataDxfId="16"/>
    <tableColumn id="5" uniqueName="5" name="FMC" queryTableFieldId="5" dataDxfId="15"/>
    <tableColumn id="6" uniqueName="6" name="PMCS" queryTableFieldId="6" dataDxfId="14"/>
    <tableColumn id="7" uniqueName="7" name="PMCM" queryTableFieldId="7" dataDxfId="13"/>
    <tableColumn id="8" uniqueName="8" name="NMCS" queryTableFieldId="8" dataDxfId="12"/>
    <tableColumn id="9" uniqueName="9" name="NMCM_UNIT" queryTableFieldId="9" dataDxfId="11"/>
    <tableColumn id="10" uniqueName="10" name="FLY_HOURS" queryTableFieldId="10" dataDxfId="10"/>
    <tableColumn id="11" uniqueName="11" name="PER_DATE" queryTableFieldId="11"/>
    <tableColumn id="13" uniqueName="13" name="NMCM_DEP" queryTableFieldId="13" dataDxfId="9"/>
    <tableColumn id="12" uniqueName="12" name="Past" queryTableFieldId="12" dataDxfId="8">
      <calculatedColumnFormula>IF(TODAY()-Table_Query_from_A_Readiness4[[#This Row],[PER_DATE]]&gt;=0,TRUE, FALSE)</calculatedColumnFormula>
    </tableColumn>
  </tableColumns>
  <tableStyleInfo name="TableStyleMedium9" showFirstColumn="0" showLastColumn="0" showRowStripes="1" showColumnStripes="0"/>
</table>
</file>

<file path=xl/tables/table6.xml><?xml version="1.0" encoding="utf-8"?>
<table xmlns="http://schemas.openxmlformats.org/spreadsheetml/2006/main" id="4" name="Table_Query_from_A_Readiness45" displayName="Table_Query_from_A_Readiness45" ref="A1:M241" tableType="queryTable" totalsRowShown="0">
  <autoFilter ref="A1:M241"/>
  <tableColumns count="13">
    <tableColumn id="1" uniqueName="1" name="END_PER_DATE" queryTableFieldId="1"/>
    <tableColumn id="2" uniqueName="2" name="UIC" queryTableFieldId="2"/>
    <tableColumn id="3" uniqueName="3" name="EI_ID" queryTableFieldId="3"/>
    <tableColumn id="4" uniqueName="4" name="DAY" queryTableFieldId="4" dataDxfId="7"/>
    <tableColumn id="5" uniqueName="5" name="FMC" queryTableFieldId="5" dataDxfId="6"/>
    <tableColumn id="6" uniqueName="6" name="PMCS" queryTableFieldId="6" dataDxfId="5"/>
    <tableColumn id="7" uniqueName="7" name="PMCM" queryTableFieldId="7" dataDxfId="4"/>
    <tableColumn id="8" uniqueName="8" name="NMCS" queryTableFieldId="8" dataDxfId="3"/>
    <tableColumn id="9" uniqueName="9" name="NMCM_UNIT" queryTableFieldId="9" dataDxfId="2"/>
    <tableColumn id="10" uniqueName="10" name="FLY_HOURS" queryTableFieldId="10" dataDxfId="1"/>
    <tableColumn id="11" uniqueName="11" name="PER_DATE" queryTableFieldId="11"/>
    <tableColumn id="13" uniqueName="13" name="NMCM_DEP" queryTableFieldId="13" dataDxfId="0"/>
    <tableColumn id="12" uniqueName="12" name="Past" queryTableFieldId="12" dataDxfId="45">
      <calculatedColumnFormula>IF(TODAY()-Table_Query_from_A_Readiness45[[#This Row],[PER_DATE]]&gt;=0,TRUE, FALSE)</calculatedColumnFormula>
    </tableColumn>
  </tableColumns>
  <tableStyleInfo name="TableStyleMedium9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omments" Target="../comments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2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5.xml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6.xm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>
    <pageSetUpPr fitToPage="1"/>
  </sheetPr>
  <dimension ref="A1:AV107"/>
  <sheetViews>
    <sheetView showGridLines="0" tabSelected="1" zoomScale="40" zoomScaleNormal="40" workbookViewId="0">
      <selection activeCell="G75" sqref="G75:G77"/>
    </sheetView>
  </sheetViews>
  <sheetFormatPr defaultRowHeight="15"/>
  <cols>
    <col min="1" max="1" width="21.7109375" customWidth="1"/>
    <col min="2" max="2" width="39" customWidth="1"/>
    <col min="3" max="3" width="29.42578125" bestFit="1" customWidth="1"/>
    <col min="4" max="5" width="19.5703125" customWidth="1"/>
    <col min="6" max="6" width="21.28515625" bestFit="1" customWidth="1"/>
    <col min="7" max="7" width="34.140625" bestFit="1" customWidth="1"/>
    <col min="8" max="8" width="16" customWidth="1"/>
    <col min="9" max="9" width="20.5703125" bestFit="1" customWidth="1"/>
    <col min="10" max="10" width="34.140625" bestFit="1" customWidth="1"/>
    <col min="11" max="11" width="21.5703125" bestFit="1" customWidth="1"/>
    <col min="12" max="12" width="37.42578125" bestFit="1" customWidth="1"/>
    <col min="13" max="13" width="31.5703125" customWidth="1"/>
    <col min="14" max="14" width="30.28515625" bestFit="1" customWidth="1"/>
    <col min="15" max="15" width="17.7109375" customWidth="1"/>
    <col min="16" max="16" width="15.85546875" customWidth="1"/>
    <col min="17" max="17" width="33" bestFit="1" customWidth="1"/>
    <col min="18" max="18" width="16.5703125" customWidth="1"/>
    <col min="19" max="19" width="37.42578125" bestFit="1" customWidth="1"/>
    <col min="20" max="20" width="23.7109375" customWidth="1"/>
    <col min="21" max="21" width="27.5703125" customWidth="1"/>
    <col min="22" max="22" width="36" customWidth="1"/>
    <col min="23" max="23" width="37.85546875" customWidth="1"/>
    <col min="24" max="24" width="18.7109375" bestFit="1" customWidth="1"/>
    <col min="25" max="25" width="22.42578125" bestFit="1" customWidth="1"/>
    <col min="26" max="26" width="21" bestFit="1" customWidth="1"/>
    <col min="27" max="27" width="17.42578125" customWidth="1"/>
    <col min="39" max="39" width="9.140625" customWidth="1"/>
    <col min="40" max="40" width="21" customWidth="1"/>
    <col min="41" max="47" width="9.140625" customWidth="1"/>
    <col min="48" max="48" width="13.85546875" customWidth="1"/>
    <col min="49" max="49" width="9.140625" customWidth="1"/>
  </cols>
  <sheetData>
    <row r="1" spans="1:48" ht="45" thickTop="1">
      <c r="A1" s="590" t="s">
        <v>131</v>
      </c>
      <c r="B1" s="591"/>
      <c r="C1" s="591"/>
      <c r="D1" s="591"/>
      <c r="E1" s="591"/>
      <c r="F1" s="591"/>
      <c r="G1" s="591"/>
      <c r="H1" s="591"/>
      <c r="I1" s="591"/>
      <c r="J1" s="591"/>
      <c r="K1" s="591"/>
      <c r="L1" s="591"/>
      <c r="M1" s="591"/>
      <c r="N1" s="591"/>
      <c r="O1" s="591"/>
      <c r="P1" s="591"/>
      <c r="Q1" s="591"/>
      <c r="R1" s="591"/>
      <c r="S1" s="591"/>
      <c r="T1" s="591"/>
      <c r="U1" s="591"/>
      <c r="V1" s="591"/>
      <c r="W1" s="591"/>
      <c r="X1" s="591"/>
      <c r="Y1" s="591"/>
      <c r="Z1" s="381"/>
      <c r="AA1" s="382"/>
      <c r="AN1" s="231" t="s">
        <v>66</v>
      </c>
      <c r="AO1" s="231" t="s">
        <v>66</v>
      </c>
      <c r="AQ1" s="133">
        <f ca="1">'BN Readiness'!E726</f>
        <v>2880</v>
      </c>
      <c r="AR1" s="133">
        <f>SUM(L7:L30,L32:L55,L57:L80)</f>
        <v>5132.1000000000004</v>
      </c>
      <c r="AS1">
        <v>24</v>
      </c>
      <c r="AT1" s="422" t="s">
        <v>412</v>
      </c>
      <c r="AV1" s="422" t="s">
        <v>66</v>
      </c>
    </row>
    <row r="2" spans="1:48" ht="34.5">
      <c r="A2" s="384"/>
      <c r="B2" s="202"/>
      <c r="C2" s="202"/>
      <c r="D2" s="202"/>
      <c r="E2" s="202"/>
      <c r="F2" s="202"/>
      <c r="G2" s="202"/>
      <c r="H2" s="202"/>
      <c r="I2" s="641"/>
      <c r="J2" s="641"/>
      <c r="K2" s="642"/>
      <c r="L2" s="642"/>
      <c r="M2" s="642"/>
      <c r="N2" s="643"/>
      <c r="O2" s="643"/>
      <c r="P2" s="643"/>
      <c r="Q2" s="643"/>
      <c r="R2" s="643"/>
      <c r="S2" s="643"/>
      <c r="T2" s="643"/>
      <c r="U2" s="643"/>
      <c r="V2" s="643"/>
      <c r="W2" s="307"/>
      <c r="X2" s="200"/>
      <c r="Y2" s="379"/>
      <c r="Z2" s="322"/>
      <c r="AA2" s="339"/>
      <c r="AN2" s="231" t="s">
        <v>16</v>
      </c>
      <c r="AO2" s="231" t="s">
        <v>17</v>
      </c>
      <c r="AR2" s="133">
        <f>24*500</f>
        <v>12000</v>
      </c>
      <c r="AT2" s="422" t="s">
        <v>413</v>
      </c>
      <c r="AV2" s="422" t="s">
        <v>419</v>
      </c>
    </row>
    <row r="3" spans="1:48" ht="26.25" thickBot="1">
      <c r="A3" s="385"/>
      <c r="B3" s="230" t="s">
        <v>0</v>
      </c>
      <c r="C3" s="203">
        <f ca="1">NOW()</f>
        <v>42114.740380439798</v>
      </c>
      <c r="D3" s="229" t="s">
        <v>1</v>
      </c>
      <c r="E3" s="229"/>
      <c r="F3" s="204">
        <f ca="1">INT(((NOW()/365.255)-(YEAR(NOW())-1900))*365.255)</f>
        <v>110</v>
      </c>
      <c r="G3" s="204"/>
      <c r="H3" s="204"/>
      <c r="I3" s="205"/>
      <c r="J3" s="205"/>
      <c r="K3" s="206"/>
      <c r="L3" s="206"/>
      <c r="M3" s="206"/>
      <c r="N3" s="206"/>
      <c r="O3" s="169"/>
      <c r="P3" s="207"/>
      <c r="Q3" s="207"/>
      <c r="R3" s="208"/>
      <c r="S3" s="208"/>
      <c r="T3" s="209"/>
      <c r="U3" s="210"/>
      <c r="V3" s="211"/>
      <c r="W3" s="211"/>
      <c r="X3" s="212"/>
      <c r="Y3" s="380"/>
      <c r="Z3" s="169"/>
      <c r="AA3" s="383"/>
      <c r="AN3" s="231" t="s">
        <v>77</v>
      </c>
      <c r="AO3" s="231" t="s">
        <v>25</v>
      </c>
      <c r="AT3" s="422" t="s">
        <v>414</v>
      </c>
      <c r="AV3" s="422" t="s">
        <v>420</v>
      </c>
    </row>
    <row r="4" spans="1:48" ht="26.25" thickBot="1">
      <c r="A4" s="537" t="s">
        <v>317</v>
      </c>
      <c r="B4" s="538"/>
      <c r="C4" s="538"/>
      <c r="D4" s="538"/>
      <c r="E4" s="538"/>
      <c r="F4" s="538"/>
      <c r="G4" s="538"/>
      <c r="H4" s="538"/>
      <c r="I4" s="538"/>
      <c r="J4" s="538"/>
      <c r="K4" s="538"/>
      <c r="L4" s="538"/>
      <c r="M4" s="538"/>
      <c r="N4" s="538"/>
      <c r="O4" s="538"/>
      <c r="P4" s="538"/>
      <c r="Q4" s="538"/>
      <c r="R4" s="538"/>
      <c r="S4" s="538"/>
      <c r="T4" s="538"/>
      <c r="U4" s="538"/>
      <c r="V4" s="538"/>
      <c r="W4" s="538"/>
      <c r="X4" s="538"/>
      <c r="Y4" s="538"/>
      <c r="Z4" s="538"/>
      <c r="AA4" s="539"/>
      <c r="AN4" s="231" t="s">
        <v>22</v>
      </c>
      <c r="AO4" s="231"/>
      <c r="AT4" s="422" t="s">
        <v>320</v>
      </c>
      <c r="AV4" s="422" t="s">
        <v>421</v>
      </c>
    </row>
    <row r="5" spans="1:48" ht="27" customHeight="1">
      <c r="A5" s="386" t="s">
        <v>2</v>
      </c>
      <c r="B5" s="271" t="s">
        <v>3</v>
      </c>
      <c r="C5" s="271" t="s">
        <v>4</v>
      </c>
      <c r="D5" s="596" t="s">
        <v>5</v>
      </c>
      <c r="E5" s="597"/>
      <c r="F5" s="606" t="s">
        <v>7</v>
      </c>
      <c r="G5" s="600" t="s">
        <v>6</v>
      </c>
      <c r="H5" s="602">
        <v>50</v>
      </c>
      <c r="I5" s="602">
        <v>125</v>
      </c>
      <c r="J5" s="602">
        <v>250</v>
      </c>
      <c r="K5" s="608" t="s">
        <v>26</v>
      </c>
      <c r="L5" s="602">
        <v>500</v>
      </c>
      <c r="M5" s="610" t="s">
        <v>8</v>
      </c>
      <c r="N5" s="610"/>
      <c r="O5" s="610"/>
      <c r="P5" s="610"/>
      <c r="Q5" s="610"/>
      <c r="R5" s="610"/>
      <c r="S5" s="611"/>
      <c r="T5" s="614" t="s">
        <v>9</v>
      </c>
      <c r="U5" s="615"/>
      <c r="V5" s="618" t="s">
        <v>10</v>
      </c>
      <c r="W5" s="618"/>
      <c r="X5" s="272" t="s">
        <v>11</v>
      </c>
      <c r="Y5" s="540" t="s">
        <v>402</v>
      </c>
      <c r="Z5" s="541"/>
      <c r="AA5" s="542"/>
      <c r="AN5" s="231" t="s">
        <v>23</v>
      </c>
      <c r="AV5" s="422" t="s">
        <v>422</v>
      </c>
    </row>
    <row r="6" spans="1:48" ht="26.25">
      <c r="A6" s="387" t="s">
        <v>12</v>
      </c>
      <c r="B6" s="604" t="s">
        <v>27</v>
      </c>
      <c r="C6" s="605"/>
      <c r="D6" s="598"/>
      <c r="E6" s="599"/>
      <c r="F6" s="607"/>
      <c r="G6" s="601"/>
      <c r="H6" s="603"/>
      <c r="I6" s="603"/>
      <c r="J6" s="603"/>
      <c r="K6" s="609"/>
      <c r="L6" s="603"/>
      <c r="M6" s="612"/>
      <c r="N6" s="612"/>
      <c r="O6" s="612"/>
      <c r="P6" s="612"/>
      <c r="Q6" s="612"/>
      <c r="R6" s="612"/>
      <c r="S6" s="613"/>
      <c r="T6" s="616"/>
      <c r="U6" s="617"/>
      <c r="V6" s="619" t="s">
        <v>13</v>
      </c>
      <c r="W6" s="619"/>
      <c r="X6" s="273" t="s">
        <v>14</v>
      </c>
      <c r="Y6" s="543"/>
      <c r="Z6" s="544"/>
      <c r="AA6" s="545"/>
      <c r="AN6" s="231" t="s">
        <v>24</v>
      </c>
      <c r="AV6" s="422" t="s">
        <v>423</v>
      </c>
    </row>
    <row r="7" spans="1:48" ht="26.25" customHeight="1">
      <c r="A7" s="581" t="s">
        <v>249</v>
      </c>
      <c r="B7" s="589" t="s">
        <v>23</v>
      </c>
      <c r="C7" s="589" t="s">
        <v>17</v>
      </c>
      <c r="D7" s="369"/>
      <c r="E7" s="516" t="s">
        <v>369</v>
      </c>
      <c r="F7" s="584" t="s">
        <v>426</v>
      </c>
      <c r="G7" s="585">
        <f>VLOOKUP(A9,Table__1_4AHB_v_gen_READINESS[],36,FALSE)</f>
        <v>6772.2</v>
      </c>
      <c r="H7" s="586">
        <f>SUM(MIN((GETPIVOTDATA("INSP_VAL",'AH H_Pivot'!$A$1,"EI_ID",A9,"SYS_CODE","A","INSP_NO",130,"EI_MODEL","AH-64D")),(GETPIVOTDATA("INSP_VAL",'AH H_Pivot'!$A$1,"EI_ID",A9,"SYS_CODE","A","INSP_NO",135,"EI_MODEL","AH-64D")),(GETPIVOTDATA("INSP_VAL",'AH H_Pivot'!$A$1,"EI_ID",A9,"SYS_CODE","A","INSP_NO",145,"EI_MODEL","AH-64D"))),50,-G7)</f>
        <v>25.1</v>
      </c>
      <c r="I7" s="586">
        <f>SUM(MIN((GETPIVOTDATA("INSP_VAL",'AH H_Pivot'!$A$1,"EI_ID",A9,"SYS_CODE","W","INSP_NO",45,"EI_MODEL","AH-64D")),(GETPIVOTDATA("INSP_VAL",'AH H_Pivot'!$A$1,"EI_ID",A9,"SYS_CODE","W","INSP_NO",46,"EI_MODEL","AH-64D")),(GETPIVOTDATA("INSP_VAL",'AH H_Pivot'!$A$1,"EI_ID",A9,"SYS_CODE","A","INSP_NO",150,"EI_MODEL","AH-64D")),(GETPIVOTDATA("INSP_VAL",'AH H_Pivot'!$A$1,"EI_ID",A9,"SYS_CODE","A","INSP_NO",152,"EI_MODEL","AH-64D")),(GETPIVOTDATA("INSP_VAL",'AH H_Pivot'!$A$1,"EI_ID",A9,"SYS_CODE","A","INSP_NO",195,"EI_MODEL","AH-64D")),(GETPIVOTDATA("INSP_VAL",'AH H_Pivot'!$A$1,"EI_ID",A9,"SYS_CODE","A","INSP_NO",224,"EI_MODEL","AH-64D")),(GETPIVOTDATA("INSP_VAL",'AH H_Pivot'!$A$1,"EI_ID",A9,"SYS_CODE","A","INSP_NO",260,"EI_MODEL","AH-64D")),(GETPIVOTDATA("INSP_VAL",'AH H_Pivot'!$A$1,"EI_ID",A9,"SYS_CODE","W","INSP_NO",533,"EI_MODEL","AH-64D"))),125,-G7)</f>
        <v>56.2</v>
      </c>
      <c r="J7" s="586">
        <f>SUM(MIN((GETPIVOTDATA("INSP_VAL",'AH H_Pivot'!$A$1,"EI_ID",A9,"SYS_CODE","A","INSP_NO",223,"EI_MODEL","AH-64D")),(GETPIVOTDATA("INSP_VAL",'AH H_Pivot'!$A$1,"EI_ID",A9,"SYS_CODE","A","INSP_NO",231,"EI_MODEL","AH-64D")),(GETPIVOTDATA("INSP_VAL",'AH H_Pivot'!$A$1,"EI_ID",A9,"SYS_CODE","A","INSP_NO",261,"EI_MODEL","AH-64D")),(GETPIVOTDATA("INSP_VAL",'AH H_Pivot'!$A$1,"EI_ID",A9,"SYS_CODE","A","INSP_NO",270,"EI_MODEL","AH-64D")),(GETPIVOTDATA("INSP_VAL",'AH H_Pivot'!$A$1,"EI_ID",A9,"SYS_CODE","A","INSP_NO",275,"EI_MODEL","AH-64D")),(GETPIVOTDATA("INSP_VAL",'AH H_Pivot'!$A$1,"EI_ID",A9,"SYS_CODE","A","INSP_NO",290,"EI_MODEL","AH-64D")),(GETPIVOTDATA("INSP_VAL",'AH H_Pivot'!$A$1,"EI_ID",A9,"SYS_CODE","A","INSP_NO",291,"EI_MODEL","AH-64D")),(GETPIVOTDATA("INSP_VAL",'AH H_Pivot'!$A$1,"EI_ID",A9,"SYS_CODE","A","INSP_NO",295,"EI_MODEL","AH-64D")),(GETPIVOTDATA("INSP_VAL",'AH H_Pivot'!$A$1,"EI_ID",A9,"SYS_CODE","A","INSP_NO",300,"EI_MODEL","AH-64D")),(GETPIVOTDATA("INSP_VAL",'AH H_Pivot'!$A$1,"EI_ID",A9,"SYS_CODE","A","INSP_NO",465,"EI_MODEL","AH-64D")),(GETPIVOTDATA("INSP_VAL",'AH H_Pivot'!$A$1,"EI_ID",A9,"SYS_CODE","W","INSP_NO",520,"EI_MODEL","AH-64D")),(GETPIVOTDATA("INSP_VAL",'AH H_Pivot'!$A$1,"EI_ID",A9,"SYS_CODE","A","INSP_NO",751,"EI_MODEL","AH-64D")),(GETPIVOTDATA("INSP_VAL",'AH H_Pivot'!$A$1,"EI_ID",A9,"SYS_CODE","A","INSP_NO",757,"EI_MODEL","AH-64D"))),250,-G7)</f>
        <v>181.2</v>
      </c>
      <c r="K7" s="587">
        <f>SUM(MIN((GETPIVOTDATA("INSP_DATE",'AH D_Pivot'!$A$1,"EI_ID",A9,"SYS_CODE","A","INSP_NO",260,"EI_MODEL","AH-64D")),(GETPIVOTDATA("INSP_DATE",'AH D_Pivot'!$A$1,"EI_ID",A9,"SYS_CODE","A","INSP_NO",261,"EI_MODEL","AH-64D")))+270)</f>
        <v>270</v>
      </c>
      <c r="L7" s="559">
        <f>SUM(MIN((GETPIVOTDATA("INSP_VAL",'AH H_Pivot'!$A$1,"EI_ID",A9,"SYS_CODE","A","INSP_NO",35,"EI_MODEL","AH-64D")),(GETPIVOTDATA("INSP_VAL",'AH H_Pivot'!$A$1,"EI_ID",A9,"SYS_CODE","A","INSP_NO",226,"EI_MODEL","AH-64D")),(GETPIVOTDATA("INSP_VAL",'AH H_Pivot'!$A$1,"EI_ID",A9,"SYS_CODE","A","INSP_NO",400,"EI_MODEL","AH-64D")),(GETPIVOTDATA("INSP_VAL",'AH H_Pivot'!$A$1,"EI_ID",A9,"SYS_CODE","W","INSP_NO",525,"EI_MODEL","AH-64D")),(GETPIVOTDATA("INSP_VAL",'AH H_Pivot'!$A$1,"EI_ID",A9,"SYS_CODE","A","INSP_NO",755,"EI_MODEL","AH-64D"))),500,-G7)</f>
        <v>189.2</v>
      </c>
      <c r="M7" s="562" t="str">
        <f>IF(ISBLANK(VLOOKUP(A9,Table__1_4AHB_v_gen_READINESS[],15,FALSE)),"",(VLOOKUP(A9,Table__1_4AHB_v_gen_READINESS[],15,FALSE)))</f>
        <v>A/C Reset - Ft. Campbell</v>
      </c>
      <c r="N7" s="563"/>
      <c r="O7" s="563"/>
      <c r="P7" s="563"/>
      <c r="Q7" s="563"/>
      <c r="R7" s="563"/>
      <c r="S7" s="563"/>
      <c r="T7" s="564" t="s">
        <v>401</v>
      </c>
      <c r="U7" s="565"/>
      <c r="V7" s="566"/>
      <c r="W7" s="566"/>
      <c r="X7" s="245">
        <f>IF(ISBLANK(VLOOKUP(A9,Table__1_4AHB_v_gen_READINESS[],17,FALSE)),"",(VLOOKUP(A9,Table__1_4AHB_v_gen_READINESS[],17,FALSE)))</f>
        <v>42080</v>
      </c>
      <c r="Y7" s="525" t="s">
        <v>16</v>
      </c>
      <c r="Z7" s="526">
        <f ca="1">'1-4 ARB'!S6</f>
        <v>0</v>
      </c>
      <c r="AA7" s="527">
        <f ca="1">'1-4 ARB'!T6</f>
        <v>0</v>
      </c>
      <c r="AB7" s="378"/>
      <c r="AN7" s="231" t="s">
        <v>65</v>
      </c>
      <c r="AV7" s="422"/>
    </row>
    <row r="8" spans="1:48" ht="25.5" customHeight="1">
      <c r="A8" s="581"/>
      <c r="B8" s="583"/>
      <c r="C8" s="583"/>
      <c r="D8" s="407" t="s">
        <v>370</v>
      </c>
      <c r="E8" s="369" t="s">
        <v>371</v>
      </c>
      <c r="F8" s="584"/>
      <c r="G8" s="585"/>
      <c r="H8" s="586"/>
      <c r="I8" s="586"/>
      <c r="J8" s="586"/>
      <c r="K8" s="587"/>
      <c r="L8" s="560"/>
      <c r="M8" s="567"/>
      <c r="N8" s="568"/>
      <c r="O8" s="568"/>
      <c r="P8" s="568"/>
      <c r="Q8" s="568"/>
      <c r="R8" s="568"/>
      <c r="S8" s="568"/>
      <c r="T8" s="568"/>
      <c r="U8" s="568"/>
      <c r="V8" s="569"/>
      <c r="W8" s="569"/>
      <c r="X8" s="1">
        <f ca="1">IF(X7="","",$C$3-X7)</f>
        <v>35</v>
      </c>
      <c r="Y8" s="525"/>
      <c r="Z8" s="526"/>
      <c r="AA8" s="527"/>
      <c r="AB8" s="378"/>
    </row>
    <row r="9" spans="1:48" ht="25.5" customHeight="1">
      <c r="A9" s="388" t="s">
        <v>148</v>
      </c>
      <c r="B9" s="588">
        <f>(VLOOKUP(A9,Table__1_4AHB_v_gen_READINESS[],37,FALSE)-TIME(7,0,0))</f>
        <v>42110.640856481499</v>
      </c>
      <c r="C9" s="588"/>
      <c r="D9" s="407" t="s">
        <v>19</v>
      </c>
      <c r="E9" s="369" t="s">
        <v>372</v>
      </c>
      <c r="F9" s="584"/>
      <c r="G9" s="585"/>
      <c r="H9" s="586"/>
      <c r="I9" s="586"/>
      <c r="J9" s="586"/>
      <c r="K9" s="587"/>
      <c r="L9" s="561"/>
      <c r="M9" s="570"/>
      <c r="N9" s="571"/>
      <c r="O9" s="571"/>
      <c r="P9" s="571"/>
      <c r="Q9" s="571"/>
      <c r="R9" s="571"/>
      <c r="S9" s="571"/>
      <c r="T9" s="572"/>
      <c r="U9" s="571"/>
      <c r="V9" s="558"/>
      <c r="W9" s="558"/>
      <c r="X9" s="246">
        <f>IF(ISBLANK(VLOOKUP(A9,Table__1_4AHB_v_gen_READINESS[],18,FALSE)),"",(VLOOKUP(A9,Table__1_4AHB_v_gen_READINESS[],18,FALSE)))</f>
        <v>42185</v>
      </c>
      <c r="Y9" s="525"/>
      <c r="Z9" s="526"/>
      <c r="AA9" s="527"/>
      <c r="AB9" s="378"/>
    </row>
    <row r="10" spans="1:48" ht="25.5" customHeight="1">
      <c r="A10" s="581" t="s">
        <v>250</v>
      </c>
      <c r="B10" s="589" t="s">
        <v>65</v>
      </c>
      <c r="C10" s="589" t="s">
        <v>25</v>
      </c>
      <c r="D10" s="369"/>
      <c r="E10" s="516" t="s">
        <v>369</v>
      </c>
      <c r="F10" s="584" t="s">
        <v>248</v>
      </c>
      <c r="G10" s="585">
        <f>VLOOKUP(A12,Table__1_4AHB_v_gen_READINESS[],36,FALSE)</f>
        <v>1990.3</v>
      </c>
      <c r="H10" s="586">
        <f>SUM(MIN((GETPIVOTDATA("INSP_VAL",'AH H_Pivot'!$A$1,"EI_ID",A12,"SYS_CODE","A","INSP_NO",130,"EI_MODEL","AH-64D")),(GETPIVOTDATA("INSP_VAL",'AH H_Pivot'!$A$1,"EI_ID",A12,"SYS_CODE","A","INSP_NO",135,"EI_MODEL","AH-64D")),(GETPIVOTDATA("INSP_VAL",'AH H_Pivot'!$A$1,"EI_ID",A12,"SYS_CODE","A","INSP_NO",145,"EI_MODEL","AH-64D"))),50,-G10)</f>
        <v>26.1</v>
      </c>
      <c r="I10" s="586">
        <f>SUM(MIN((GETPIVOTDATA("INSP_VAL",'AH H_Pivot'!$A$1,"EI_ID",A12,"SYS_CODE","W","INSP_NO",45,"EI_MODEL","AH-64D")),(GETPIVOTDATA("INSP_VAL",'AH H_Pivot'!$A$1,"EI_ID",A12,"SYS_CODE","W","INSP_NO",46,"EI_MODEL","AH-64D")),(GETPIVOTDATA("INSP_VAL",'AH H_Pivot'!$A$1,"EI_ID",A12,"SYS_CODE","A","INSP_NO",150,"EI_MODEL","AH-64D")),(GETPIVOTDATA("INSP_VAL",'AH H_Pivot'!$A$1,"EI_ID",A12,"SYS_CODE","A","INSP_NO",152,"EI_MODEL","AH-64D")),(GETPIVOTDATA("INSP_VAL",'AH H_Pivot'!$A$1,"EI_ID",A12,"SYS_CODE","A","INSP_NO",195,"EI_MODEL","AH-64D")),(GETPIVOTDATA("INSP_VAL",'AH H_Pivot'!$A$1,"EI_ID",A12,"SYS_CODE","A","INSP_NO",224,"EI_MODEL","AH-64D")),(GETPIVOTDATA("INSP_VAL",'AH H_Pivot'!$A$1,"EI_ID",A12,"SYS_CODE","A","INSP_NO",260,"EI_MODEL","AH-64D")),(GETPIVOTDATA("INSP_VAL",'AH H_Pivot'!$A$1,"EI_ID",A12,"SYS_CODE","W","INSP_NO",533,"EI_MODEL","AH-64D"))),125,-G10)</f>
        <v>32.799999999999997</v>
      </c>
      <c r="J10" s="586">
        <f>SUM(MIN((GETPIVOTDATA("INSP_VAL",'AH H_Pivot'!$A$1,"EI_ID",A12,"SYS_CODE","A","INSP_NO",223,"EI_MODEL","AH-64D")),(GETPIVOTDATA("INSP_VAL",'AH H_Pivot'!$A$1,"EI_ID",A12,"SYS_CODE","A","INSP_NO",231,"EI_MODEL","AH-64D")),(GETPIVOTDATA("INSP_VAL",'AH H_Pivot'!$A$1,"EI_ID",A12,"SYS_CODE","A","INSP_NO",261,"EI_MODEL","AH-64D")),(GETPIVOTDATA("INSP_VAL",'AH H_Pivot'!$A$1,"EI_ID",A12,"SYS_CODE","A","INSP_NO",270,"EI_MODEL","AH-64D")),(GETPIVOTDATA("INSP_VAL",'AH H_Pivot'!$A$1,"EI_ID",A12,"SYS_CODE","A","INSP_NO",275,"EI_MODEL","AH-64D")),(GETPIVOTDATA("INSP_VAL",'AH H_Pivot'!$A$1,"EI_ID",A12,"SYS_CODE","A","INSP_NO",290,"EI_MODEL","AH-64D")),(GETPIVOTDATA("INSP_VAL",'AH H_Pivot'!$A$1,"EI_ID",A12,"SYS_CODE","A","INSP_NO",291,"EI_MODEL","AH-64D")),(GETPIVOTDATA("INSP_VAL",'AH H_Pivot'!$A$1,"EI_ID",A12,"SYS_CODE","A","INSP_NO",295,"EI_MODEL","AH-64D")),(GETPIVOTDATA("INSP_VAL",'AH H_Pivot'!$A$1,"EI_ID",A12,"SYS_CODE","A","INSP_NO",300,"EI_MODEL","AH-64D")),(GETPIVOTDATA("INSP_VAL",'AH H_Pivot'!$A$1,"EI_ID",A12,"SYS_CODE","A","INSP_NO",465,"EI_MODEL","AH-64D")),(GETPIVOTDATA("INSP_VAL",'AH H_Pivot'!$A$1,"EI_ID",A12,"SYS_CODE","W","INSP_NO",520,"EI_MODEL","AH-64D")),(GETPIVOTDATA("INSP_VAL",'AH H_Pivot'!$A$1,"EI_ID",A12,"SYS_CODE","A","INSP_NO",751,"EI_MODEL","AH-64D")),(GETPIVOTDATA("INSP_VAL",'AH H_Pivot'!$A$1,"EI_ID",A12,"SYS_CODE","A","INSP_NO",757,"EI_MODEL","AH-64D"))),250,-G10)</f>
        <v>41.5</v>
      </c>
      <c r="K10" s="587">
        <f>SUM(MIN((GETPIVOTDATA("INSP_DATE",'AH D_Pivot'!$A$1,"EI_ID",A12,"SYS_CODE","A","INSP_NO",260,"EI_MODEL","AH-64D")),(GETPIVOTDATA("INSP_DATE",'AH D_Pivot'!$A$1,"EI_ID",A12,"SYS_CODE","A","INSP_NO",261,"EI_MODEL","AH-64D")))+270)</f>
        <v>42253</v>
      </c>
      <c r="L10" s="559">
        <f>SUM(MIN((GETPIVOTDATA("INSP_VAL",'AH H_Pivot'!$A$1,"EI_ID",A12,"SYS_CODE","A","INSP_NO",35,"EI_MODEL","AH-64D")),(GETPIVOTDATA("INSP_VAL",'AH H_Pivot'!$A$1,"EI_ID",A12,"SYS_CODE","A","INSP_NO",226,"EI_MODEL","AH-64D")),(GETPIVOTDATA("INSP_VAL",'AH H_Pivot'!$A$1,"EI_ID",A12,"SYS_CODE","A","INSP_NO",400,"EI_MODEL","AH-64D")),(GETPIVOTDATA("INSP_VAL",'AH H_Pivot'!$A$1,"EI_ID",A12,"SYS_CODE","W","INSP_NO",525,"EI_MODEL","AH-64D")),(GETPIVOTDATA("INSP_VAL",'AH H_Pivot'!$A$1,"EI_ID",A12,"SYS_CODE","A","INSP_NO",755,"EI_MODEL","AH-64D"))),500,-G10)</f>
        <v>36.6</v>
      </c>
      <c r="M10" s="562" t="str">
        <f>IF(ISBLANK(VLOOKUP(A12,Table__1_4AHB_v_gen_READINESS[],15,FALSE)),"",(VLOOKUP(A12,Table__1_4AHB_v_gen_READINESS[],15,FALSE)))</f>
        <v xml:space="preserve">500 Hour Phase </v>
      </c>
      <c r="N10" s="563"/>
      <c r="O10" s="563"/>
      <c r="P10" s="563"/>
      <c r="Q10" s="563"/>
      <c r="R10" s="563"/>
      <c r="S10" s="563"/>
      <c r="T10" s="564" t="s">
        <v>338</v>
      </c>
      <c r="U10" s="565"/>
      <c r="V10" s="566"/>
      <c r="W10" s="566"/>
      <c r="X10" s="245">
        <f>IF(ISBLANK(VLOOKUP(A12,Table__1_4AHB_v_gen_READINESS[],17,FALSE)),"",(VLOOKUP(A12,Table__1_4AHB_v_gen_READINESS[],17,FALSE)))</f>
        <v>42110</v>
      </c>
      <c r="Y10" s="525" t="s">
        <v>23</v>
      </c>
      <c r="Z10" s="526">
        <f ca="1">'1-4 ARB'!S10</f>
        <v>429</v>
      </c>
      <c r="AA10" s="527">
        <f ca="1">'1-4 ARB'!T10</f>
        <v>0.44700000000000001</v>
      </c>
      <c r="AB10" s="378"/>
    </row>
    <row r="11" spans="1:48" ht="25.5" customHeight="1">
      <c r="A11" s="581"/>
      <c r="B11" s="583"/>
      <c r="C11" s="583"/>
      <c r="D11" s="407" t="s">
        <v>370</v>
      </c>
      <c r="E11" s="369" t="s">
        <v>371</v>
      </c>
      <c r="F11" s="584"/>
      <c r="G11" s="585"/>
      <c r="H11" s="586"/>
      <c r="I11" s="586"/>
      <c r="J11" s="586"/>
      <c r="K11" s="587"/>
      <c r="L11" s="560"/>
      <c r="M11" s="567" t="s">
        <v>430</v>
      </c>
      <c r="N11" s="568"/>
      <c r="O11" s="568"/>
      <c r="P11" s="568"/>
      <c r="Q11" s="568"/>
      <c r="R11" s="568"/>
      <c r="S11" s="568"/>
      <c r="T11" s="568" t="s">
        <v>18</v>
      </c>
      <c r="U11" s="568"/>
      <c r="V11" s="569"/>
      <c r="W11" s="569"/>
      <c r="X11" s="1">
        <f ca="1">IF(X10="","",$C$3-X10)</f>
        <v>5</v>
      </c>
      <c r="Y11" s="525"/>
      <c r="Z11" s="526"/>
      <c r="AA11" s="527"/>
      <c r="AB11" s="378"/>
    </row>
    <row r="12" spans="1:48" ht="25.5" customHeight="1">
      <c r="A12" s="388" t="s">
        <v>151</v>
      </c>
      <c r="B12" s="588">
        <f>(VLOOKUP(A12,Table__1_4AHB_v_gen_READINESS[],37,FALSE)-TIME(7,0,0))</f>
        <v>42067.463865740698</v>
      </c>
      <c r="C12" s="588"/>
      <c r="D12" s="407" t="s">
        <v>19</v>
      </c>
      <c r="E12" s="369" t="s">
        <v>372</v>
      </c>
      <c r="F12" s="584"/>
      <c r="G12" s="585"/>
      <c r="H12" s="586"/>
      <c r="I12" s="586"/>
      <c r="J12" s="586"/>
      <c r="K12" s="587"/>
      <c r="L12" s="561"/>
      <c r="M12" s="570" t="s">
        <v>503</v>
      </c>
      <c r="N12" s="571"/>
      <c r="O12" s="571"/>
      <c r="P12" s="571"/>
      <c r="Q12" s="571"/>
      <c r="R12" s="571"/>
      <c r="S12" s="571"/>
      <c r="T12" s="572" t="s">
        <v>504</v>
      </c>
      <c r="U12" s="571"/>
      <c r="V12" s="558"/>
      <c r="W12" s="558"/>
      <c r="X12" s="246">
        <f>IF(ISBLANK(VLOOKUP(A12,Table__1_4AHB_v_gen_READINESS[],18,FALSE)),"",(VLOOKUP(A12,Table__1_4AHB_v_gen_READINESS[],18,FALSE)))</f>
        <v>42139</v>
      </c>
      <c r="Y12" s="525"/>
      <c r="Z12" s="526"/>
      <c r="AA12" s="527"/>
      <c r="AB12" s="378"/>
    </row>
    <row r="13" spans="1:48" ht="25.5" customHeight="1">
      <c r="A13" s="581" t="s">
        <v>20</v>
      </c>
      <c r="B13" s="589" t="s">
        <v>65</v>
      </c>
      <c r="C13" s="589" t="s">
        <v>25</v>
      </c>
      <c r="D13" s="369" t="s">
        <v>408</v>
      </c>
      <c r="E13" s="516" t="s">
        <v>369</v>
      </c>
      <c r="F13" s="584" t="s">
        <v>248</v>
      </c>
      <c r="G13" s="585">
        <f>VLOOKUP(A15,Table__1_4AHB_v_gen_READINESS[],36,FALSE)</f>
        <v>1645.6</v>
      </c>
      <c r="H13" s="586">
        <f>SUM(MIN((GETPIVOTDATA("INSP_VAL",'AH H_Pivot'!$A$1,"EI_ID",A15,"SYS_CODE","A","INSP_NO",130,"EI_MODEL","AH-64D")),(GETPIVOTDATA("INSP_VAL",'AH H_Pivot'!$A$1,"EI_ID",A15,"SYS_CODE","A","INSP_NO",135,"EI_MODEL","AH-64D")),(GETPIVOTDATA("INSP_VAL",'AH H_Pivot'!$A$1,"EI_ID",A15,"SYS_CODE","A","INSP_NO",145,"EI_MODEL","AH-64D"))),50,-G13)</f>
        <v>32.5</v>
      </c>
      <c r="I13" s="586">
        <f>SUM(MIN((GETPIVOTDATA("INSP_VAL",'AH H_Pivot'!$A$1,"EI_ID",A15,"SYS_CODE","W","INSP_NO",45,"EI_MODEL","AH-64D")),(GETPIVOTDATA("INSP_VAL",'AH H_Pivot'!$A$1,"EI_ID",A15,"SYS_CODE","W","INSP_NO",46,"EI_MODEL","AH-64D")),(GETPIVOTDATA("INSP_VAL",'AH H_Pivot'!$A$1,"EI_ID",A15,"SYS_CODE","A","INSP_NO",150,"EI_MODEL","AH-64D")),(GETPIVOTDATA("INSP_VAL",'AH H_Pivot'!$A$1,"EI_ID",A15,"SYS_CODE","A","INSP_NO",152,"EI_MODEL","AH-64D")),(GETPIVOTDATA("INSP_VAL",'AH H_Pivot'!$A$1,"EI_ID",A15,"SYS_CODE","A","INSP_NO",195,"EI_MODEL","AH-64D")),(GETPIVOTDATA("INSP_VAL",'AH H_Pivot'!$A$1,"EI_ID",A15,"SYS_CODE","A","INSP_NO",224,"EI_MODEL","AH-64D")),(GETPIVOTDATA("INSP_VAL",'AH H_Pivot'!$A$1,"EI_ID",A15,"SYS_CODE","A","INSP_NO",260,"EI_MODEL","AH-64D")),(GETPIVOTDATA("INSP_VAL",'AH H_Pivot'!$A$1,"EI_ID",A15,"SYS_CODE","W","INSP_NO",533,"EI_MODEL","AH-64D"))),125,-G13)</f>
        <v>39.4</v>
      </c>
      <c r="J13" s="586">
        <f>SUM(MIN((GETPIVOTDATA("INSP_VAL",'AH H_Pivot'!$A$1,"EI_ID",A15,"SYS_CODE","A","INSP_NO",223,"EI_MODEL","AH-64D")),(GETPIVOTDATA("INSP_VAL",'AH H_Pivot'!$A$1,"EI_ID",A15,"SYS_CODE","A","INSP_NO",231,"EI_MODEL","AH-64D")),(GETPIVOTDATA("INSP_VAL",'AH H_Pivot'!$A$1,"EI_ID",A15,"SYS_CODE","A","INSP_NO",261,"EI_MODEL","AH-64D")),(GETPIVOTDATA("INSP_VAL",'AH H_Pivot'!$A$1,"EI_ID",A15,"SYS_CODE","A","INSP_NO",270,"EI_MODEL","AH-64D")),(GETPIVOTDATA("INSP_VAL",'AH H_Pivot'!$A$1,"EI_ID",A15,"SYS_CODE","A","INSP_NO",275,"EI_MODEL","AH-64D")),(GETPIVOTDATA("INSP_VAL",'AH H_Pivot'!$A$1,"EI_ID",A15,"SYS_CODE","A","INSP_NO",290,"EI_MODEL","AH-64D")),(GETPIVOTDATA("INSP_VAL",'AH H_Pivot'!$A$1,"EI_ID",A15,"SYS_CODE","A","INSP_NO",291,"EI_MODEL","AH-64D")),(GETPIVOTDATA("INSP_VAL",'AH H_Pivot'!$A$1,"EI_ID",A15,"SYS_CODE","A","INSP_NO",295,"EI_MODEL","AH-64D")),(GETPIVOTDATA("INSP_VAL",'AH H_Pivot'!$A$1,"EI_ID",A15,"SYS_CODE","A","INSP_NO",300,"EI_MODEL","AH-64D")),(GETPIVOTDATA("INSP_VAL",'AH H_Pivot'!$A$1,"EI_ID",A15,"SYS_CODE","A","INSP_NO",465,"EI_MODEL","AH-64D")),(GETPIVOTDATA("INSP_VAL",'AH H_Pivot'!$A$1,"EI_ID",A15,"SYS_CODE","W","INSP_NO",520,"EI_MODEL","AH-64D")),(GETPIVOTDATA("INSP_VAL",'AH H_Pivot'!$A$1,"EI_ID",A15,"SYS_CODE","A","INSP_NO",751,"EI_MODEL","AH-64D")),(GETPIVOTDATA("INSP_VAL",'AH H_Pivot'!$A$1,"EI_ID",A15,"SYS_CODE","A","INSP_NO",757,"EI_MODEL","AH-64D"))),250,-G13)</f>
        <v>39.4</v>
      </c>
      <c r="K13" s="587">
        <f>SUM(MIN((GETPIVOTDATA("INSP_DATE",'AH D_Pivot'!$A$1,"EI_ID",A15,"SYS_CODE","A","INSP_NO",260,"EI_MODEL","AH-64D")),(GETPIVOTDATA("INSP_DATE",'AH D_Pivot'!$A$1,"EI_ID",A15,"SYS_CODE","A","INSP_NO",261,"EI_MODEL","AH-64D")))+270)</f>
        <v>42221</v>
      </c>
      <c r="L13" s="559">
        <f>SUM(MIN((GETPIVOTDATA("INSP_VAL",'AH H_Pivot'!$A$1,"EI_ID",A15,"SYS_CODE","A","INSP_NO",35,"EI_MODEL","AH-64D")),(GETPIVOTDATA("INSP_VAL",'AH H_Pivot'!$A$1,"EI_ID",A15,"SYS_CODE","A","INSP_NO",226,"EI_MODEL","AH-64D")),(GETPIVOTDATA("INSP_VAL",'AH H_Pivot'!$A$1,"EI_ID",A15,"SYS_CODE","A","INSP_NO",400,"EI_MODEL","AH-64D")),(GETPIVOTDATA("INSP_VAL",'AH H_Pivot'!$A$1,"EI_ID",A15,"SYS_CODE","W","INSP_NO",525,"EI_MODEL","AH-64D")),(GETPIVOTDATA("INSP_VAL",'AH H_Pivot'!$A$1,"EI_ID",A15,"SYS_CODE","A","INSP_NO",755,"EI_MODEL","AH-64D"))),500,-G13)</f>
        <v>45.6</v>
      </c>
      <c r="M13" s="562" t="str">
        <f>IF(ISBLANK(VLOOKUP(A15,Table__1_4AHB_v_gen_READINESS[],15,FALSE)),"",(VLOOKUP(A15,Table__1_4AHB_v_gen_READINESS[],15,FALSE)))</f>
        <v>A/C 500 HR Phase Inspection</v>
      </c>
      <c r="N13" s="563"/>
      <c r="O13" s="563"/>
      <c r="P13" s="563"/>
      <c r="Q13" s="563"/>
      <c r="R13" s="563"/>
      <c r="S13" s="563"/>
      <c r="T13" s="564" t="s">
        <v>418</v>
      </c>
      <c r="U13" s="565"/>
      <c r="V13" s="566"/>
      <c r="W13" s="566"/>
      <c r="X13" s="245">
        <f>IF(ISBLANK(VLOOKUP(A15,Table__1_4AHB_v_gen_READINESS[],17,FALSE)),"",(VLOOKUP(A15,Table__1_4AHB_v_gen_READINESS[],17,FALSE)))</f>
        <v>42110</v>
      </c>
      <c r="Y13" s="525" t="s">
        <v>22</v>
      </c>
      <c r="Z13" s="526">
        <f ca="1">'1-4 ARB'!S9</f>
        <v>0</v>
      </c>
      <c r="AA13" s="527">
        <f ca="1">'1-4 ARB'!T9</f>
        <v>0</v>
      </c>
      <c r="AB13" s="378"/>
    </row>
    <row r="14" spans="1:48" ht="25.5" customHeight="1">
      <c r="A14" s="581"/>
      <c r="B14" s="583"/>
      <c r="C14" s="583"/>
      <c r="D14" s="407" t="s">
        <v>370</v>
      </c>
      <c r="E14" s="369" t="s">
        <v>371</v>
      </c>
      <c r="F14" s="584"/>
      <c r="G14" s="585"/>
      <c r="H14" s="586"/>
      <c r="I14" s="586"/>
      <c r="J14" s="586"/>
      <c r="K14" s="587"/>
      <c r="L14" s="560"/>
      <c r="M14" s="567" t="s">
        <v>430</v>
      </c>
      <c r="N14" s="568"/>
      <c r="O14" s="568"/>
      <c r="P14" s="568"/>
      <c r="Q14" s="568"/>
      <c r="R14" s="568"/>
      <c r="S14" s="568"/>
      <c r="T14" s="568"/>
      <c r="U14" s="568"/>
      <c r="V14" s="569"/>
      <c r="W14" s="569"/>
      <c r="X14" s="1">
        <f ca="1">IF(X13="","",$C$3-X13)</f>
        <v>5</v>
      </c>
      <c r="Y14" s="525"/>
      <c r="Z14" s="526"/>
      <c r="AA14" s="527"/>
      <c r="AB14" s="378"/>
    </row>
    <row r="15" spans="1:48" ht="25.5" customHeight="1">
      <c r="A15" s="388" t="s">
        <v>153</v>
      </c>
      <c r="B15" s="588">
        <f>(VLOOKUP(A15,Table__1_4AHB_v_gen_READINESS[],37,FALSE)-TIME(7,0,0))</f>
        <v>42088.563240740703</v>
      </c>
      <c r="C15" s="588"/>
      <c r="D15" s="407" t="s">
        <v>19</v>
      </c>
      <c r="E15" s="369" t="s">
        <v>372</v>
      </c>
      <c r="F15" s="584"/>
      <c r="G15" s="585"/>
      <c r="H15" s="586"/>
      <c r="I15" s="586"/>
      <c r="J15" s="586"/>
      <c r="K15" s="587"/>
      <c r="L15" s="561"/>
      <c r="M15" s="570"/>
      <c r="N15" s="571"/>
      <c r="O15" s="571"/>
      <c r="P15" s="571"/>
      <c r="Q15" s="571"/>
      <c r="R15" s="571"/>
      <c r="S15" s="571"/>
      <c r="T15" s="572"/>
      <c r="U15" s="571"/>
      <c r="V15" s="558"/>
      <c r="W15" s="558"/>
      <c r="X15" s="246">
        <f>IF(ISBLANK(VLOOKUP(A15,Table__1_4AHB_v_gen_READINESS[],18,FALSE)),"",(VLOOKUP(A15,Table__1_4AHB_v_gen_READINESS[],18,FALSE)))</f>
        <v>42124</v>
      </c>
      <c r="Y15" s="525"/>
      <c r="Z15" s="526"/>
      <c r="AA15" s="527"/>
      <c r="AB15" s="378"/>
    </row>
    <row r="16" spans="1:48" ht="25.5" customHeight="1">
      <c r="A16" s="581" t="s">
        <v>251</v>
      </c>
      <c r="B16" s="589" t="s">
        <v>24</v>
      </c>
      <c r="C16" s="589" t="s">
        <v>25</v>
      </c>
      <c r="D16" s="369"/>
      <c r="E16" s="516" t="s">
        <v>369</v>
      </c>
      <c r="F16" s="584" t="s">
        <v>248</v>
      </c>
      <c r="G16" s="585">
        <f>VLOOKUP(A18,Table__1_4AHB_v_gen_READINESS[],36,FALSE)</f>
        <v>1602.4</v>
      </c>
      <c r="H16" s="586">
        <f>SUM(MIN((GETPIVOTDATA("INSP_VAL",'AH H_Pivot'!$A$1,"EI_ID",A18,"SYS_CODE","A","INSP_NO",130,"EI_MODEL","AH-64D")),(GETPIVOTDATA("INSP_VAL",'AH H_Pivot'!$A$1,"EI_ID",A18,"SYS_CODE","A","INSP_NO",135,"EI_MODEL","AH-64D")),(GETPIVOTDATA("INSP_VAL",'AH H_Pivot'!$A$1,"EI_ID",A18,"SYS_CODE","A","INSP_NO",145,"EI_MODEL","AH-64D"))),50,-G16)</f>
        <v>34</v>
      </c>
      <c r="I16" s="586">
        <f>SUM(MIN((GETPIVOTDATA("INSP_VAL",'AH H_Pivot'!$A$1,"EI_ID",A18,"SYS_CODE","W","INSP_NO",45,"EI_MODEL","AH-64D")),(GETPIVOTDATA("INSP_VAL",'AH H_Pivot'!$A$1,"EI_ID",A18,"SYS_CODE","W","INSP_NO",46,"EI_MODEL","AH-64D")),(GETPIVOTDATA("INSP_VAL",'AH H_Pivot'!$A$1,"EI_ID",A18,"SYS_CODE","A","INSP_NO",150,"EI_MODEL","AH-64D")),(GETPIVOTDATA("INSP_VAL",'AH H_Pivot'!$A$1,"EI_ID",A18,"SYS_CODE","A","INSP_NO",152,"EI_MODEL","AH-64D")),(GETPIVOTDATA("INSP_VAL",'AH H_Pivot'!$A$1,"EI_ID",A18,"SYS_CODE","A","INSP_NO",195,"EI_MODEL","AH-64D")),(GETPIVOTDATA("INSP_VAL",'AH H_Pivot'!$A$1,"EI_ID",A18,"SYS_CODE","A","INSP_NO",224,"EI_MODEL","AH-64D")),(GETPIVOTDATA("INSP_VAL",'AH H_Pivot'!$A$1,"EI_ID",A18,"SYS_CODE","A","INSP_NO",260,"EI_MODEL","AH-64D")),(GETPIVOTDATA("INSP_VAL",'AH H_Pivot'!$A$1,"EI_ID",A18,"SYS_CODE","W","INSP_NO",533,"EI_MODEL","AH-64D"))),125,-G16)</f>
        <v>15.3</v>
      </c>
      <c r="J16" s="586">
        <f>SUM(MIN((GETPIVOTDATA("INSP_VAL",'AH H_Pivot'!$A$1,"EI_ID",A18,"SYS_CODE","A","INSP_NO",223,"EI_MODEL","AH-64D")),(GETPIVOTDATA("INSP_VAL",'AH H_Pivot'!$A$1,"EI_ID",A18,"SYS_CODE","A","INSP_NO",231,"EI_MODEL","AH-64D")),(GETPIVOTDATA("INSP_VAL",'AH H_Pivot'!$A$1,"EI_ID",A18,"SYS_CODE","A","INSP_NO",261,"EI_MODEL","AH-64D")),(GETPIVOTDATA("INSP_VAL",'AH H_Pivot'!$A$1,"EI_ID",A18,"SYS_CODE","A","INSP_NO",270,"EI_MODEL","AH-64D")),(GETPIVOTDATA("INSP_VAL",'AH H_Pivot'!$A$1,"EI_ID",A18,"SYS_CODE","A","INSP_NO",275,"EI_MODEL","AH-64D")),(GETPIVOTDATA("INSP_VAL",'AH H_Pivot'!$A$1,"EI_ID",A18,"SYS_CODE","A","INSP_NO",290,"EI_MODEL","AH-64D")),(GETPIVOTDATA("INSP_VAL",'AH H_Pivot'!$A$1,"EI_ID",A18,"SYS_CODE","A","INSP_NO",291,"EI_MODEL","AH-64D")),(GETPIVOTDATA("INSP_VAL",'AH H_Pivot'!$A$1,"EI_ID",A18,"SYS_CODE","A","INSP_NO",295,"EI_MODEL","AH-64D")),(GETPIVOTDATA("INSP_VAL",'AH H_Pivot'!$A$1,"EI_ID",A18,"SYS_CODE","A","INSP_NO",300,"EI_MODEL","AH-64D")),(GETPIVOTDATA("INSP_VAL",'AH H_Pivot'!$A$1,"EI_ID",A18,"SYS_CODE","A","INSP_NO",465,"EI_MODEL","AH-64D")),(GETPIVOTDATA("INSP_VAL",'AH H_Pivot'!$A$1,"EI_ID",A18,"SYS_CODE","W","INSP_NO",520,"EI_MODEL","AH-64D")),(GETPIVOTDATA("INSP_VAL",'AH H_Pivot'!$A$1,"EI_ID",A18,"SYS_CODE","A","INSP_NO",751,"EI_MODEL","AH-64D")),(GETPIVOTDATA("INSP_VAL",'AH H_Pivot'!$A$1,"EI_ID",A18,"SYS_CODE","A","INSP_NO",757,"EI_MODEL","AH-64D"))),250,-G16)</f>
        <v>140.30000000000001</v>
      </c>
      <c r="K16" s="587">
        <f>SUM(MIN((GETPIVOTDATA("INSP_DATE",'AH D_Pivot'!$A$1,"EI_ID",A18,"SYS_CODE","A","INSP_NO",260,"EI_MODEL","AH-64D")),(GETPIVOTDATA("INSP_DATE",'AH D_Pivot'!$A$1,"EI_ID",A18,"SYS_CODE","A","INSP_NO",261,"EI_MODEL","AH-64D")))+270)</f>
        <v>42164</v>
      </c>
      <c r="L16" s="559">
        <f>SUM(MIN((GETPIVOTDATA("INSP_VAL",'AH H_Pivot'!$A$1,"EI_ID",A18,"SYS_CODE","A","INSP_NO",35,"EI_MODEL","AH-64D")),(GETPIVOTDATA("INSP_VAL",'AH H_Pivot'!$A$1,"EI_ID",A18,"SYS_CODE","A","INSP_NO",226,"EI_MODEL","AH-64D")),(GETPIVOTDATA("INSP_VAL",'AH H_Pivot'!$A$1,"EI_ID",A18,"SYS_CODE","A","INSP_NO",400,"EI_MODEL","AH-64D")),(GETPIVOTDATA("INSP_VAL",'AH H_Pivot'!$A$1,"EI_ID",A18,"SYS_CODE","W","INSP_NO",525,"EI_MODEL","AH-64D")),(GETPIVOTDATA("INSP_VAL",'AH H_Pivot'!$A$1,"EI_ID",A18,"SYS_CODE","A","INSP_NO",755,"EI_MODEL","AH-64D"))),500,-G16)</f>
        <v>145.5</v>
      </c>
      <c r="M16" s="562" t="str">
        <f>IF(ISBLANK(VLOOKUP(A18,Table__1_4AHB_v_gen_READINESS[],15,FALSE)),"",(VLOOKUP(A18,Table__1_4AHB_v_gen_READINESS[],15,FALSE)))</f>
        <v>HYD LINES HAVE METAL-TO-METAL CONTACT</v>
      </c>
      <c r="N16" s="563"/>
      <c r="O16" s="563"/>
      <c r="P16" s="563"/>
      <c r="Q16" s="563"/>
      <c r="R16" s="563"/>
      <c r="S16" s="563"/>
      <c r="T16" s="568" t="s">
        <v>491</v>
      </c>
      <c r="U16" s="568"/>
      <c r="V16" s="566"/>
      <c r="W16" s="566"/>
      <c r="X16" s="245">
        <f>IF(ISBLANK(VLOOKUP(A18,Table__1_4AHB_v_gen_READINESS[],17,FALSE)),"",(VLOOKUP(A18,Table__1_4AHB_v_gen_READINESS[],17,FALSE)))</f>
        <v>42109</v>
      </c>
      <c r="Y16" s="525" t="s">
        <v>65</v>
      </c>
      <c r="Z16" s="526">
        <f ca="1">'1-4 ARB'!S7</f>
        <v>243</v>
      </c>
      <c r="AA16" s="527">
        <f ca="1">'1-4 ARB'!T7</f>
        <v>0.253</v>
      </c>
      <c r="AB16" s="378"/>
    </row>
    <row r="17" spans="1:28" ht="25.5" customHeight="1">
      <c r="A17" s="581"/>
      <c r="B17" s="583"/>
      <c r="C17" s="583"/>
      <c r="D17" s="407" t="s">
        <v>370</v>
      </c>
      <c r="E17" s="369" t="s">
        <v>371</v>
      </c>
      <c r="F17" s="584"/>
      <c r="G17" s="585"/>
      <c r="H17" s="586"/>
      <c r="I17" s="586"/>
      <c r="J17" s="586"/>
      <c r="K17" s="587"/>
      <c r="L17" s="560"/>
      <c r="M17" s="567" t="s">
        <v>18</v>
      </c>
      <c r="N17" s="568"/>
      <c r="O17" s="568"/>
      <c r="P17" s="568"/>
      <c r="Q17" s="568"/>
      <c r="R17" s="568"/>
      <c r="S17" s="568"/>
      <c r="T17" s="592" t="s">
        <v>505</v>
      </c>
      <c r="U17" s="593"/>
      <c r="V17" s="569"/>
      <c r="W17" s="569"/>
      <c r="X17" s="1">
        <f ca="1">IF(X16="","",$C$3-X16)</f>
        <v>6</v>
      </c>
      <c r="Y17" s="525"/>
      <c r="Z17" s="526"/>
      <c r="AA17" s="527"/>
      <c r="AB17" s="378"/>
    </row>
    <row r="18" spans="1:28" ht="25.5" customHeight="1">
      <c r="A18" s="388" t="s">
        <v>169</v>
      </c>
      <c r="B18" s="588">
        <f>(VLOOKUP(A18,Table__1_4AHB_v_gen_READINESS[],37,FALSE)-TIME(7,0,0))</f>
        <v>42111.989710648202</v>
      </c>
      <c r="C18" s="588"/>
      <c r="D18" s="369" t="s">
        <v>19</v>
      </c>
      <c r="E18" s="369" t="s">
        <v>372</v>
      </c>
      <c r="F18" s="584"/>
      <c r="G18" s="585"/>
      <c r="H18" s="586"/>
      <c r="I18" s="586"/>
      <c r="J18" s="586"/>
      <c r="K18" s="587"/>
      <c r="L18" s="561"/>
      <c r="M18" s="570"/>
      <c r="N18" s="571"/>
      <c r="O18" s="571"/>
      <c r="P18" s="571"/>
      <c r="Q18" s="571"/>
      <c r="R18" s="571"/>
      <c r="S18" s="571"/>
      <c r="T18" s="572"/>
      <c r="U18" s="571"/>
      <c r="V18" s="558"/>
      <c r="W18" s="558"/>
      <c r="X18" s="246">
        <f>IF(ISBLANK(VLOOKUP(A18,Table__1_4AHB_v_gen_READINESS[],18,FALSE)),"",(VLOOKUP(A18,Table__1_4AHB_v_gen_READINESS[],18,FALSE)))</f>
        <v>42139</v>
      </c>
      <c r="Y18" s="525"/>
      <c r="Z18" s="526"/>
      <c r="AA18" s="527"/>
      <c r="AB18" s="378"/>
    </row>
    <row r="19" spans="1:28" ht="25.5" customHeight="1">
      <c r="A19" s="581" t="s">
        <v>21</v>
      </c>
      <c r="B19" s="589" t="s">
        <v>24</v>
      </c>
      <c r="C19" s="589" t="s">
        <v>25</v>
      </c>
      <c r="D19" s="369"/>
      <c r="E19" s="516" t="s">
        <v>369</v>
      </c>
      <c r="F19" s="584" t="s">
        <v>248</v>
      </c>
      <c r="G19" s="585">
        <f>VLOOKUP(A21,Table__1_4AHB_v_gen_READINESS[],36,FALSE)</f>
        <v>4425.5</v>
      </c>
      <c r="H19" s="586">
        <f>SUM(MIN((GETPIVOTDATA("INSP_VAL",'AH H_Pivot'!$A$1,"EI_ID",A21,"SYS_CODE","A","INSP_NO",130,"EI_MODEL","AH-64D")),(GETPIVOTDATA("INSP_VAL",'AH H_Pivot'!$A$1,"EI_ID",A21,"SYS_CODE","A","INSP_NO",135,"EI_MODEL","AH-64D")),(GETPIVOTDATA("INSP_VAL",'AH H_Pivot'!$A$1,"EI_ID",A21,"SYS_CODE","A","INSP_NO",145,"EI_MODEL","AH-64D"))),50,-G19)</f>
        <v>44.5</v>
      </c>
      <c r="I19" s="586">
        <f>SUM(MIN((GETPIVOTDATA("INSP_VAL",'AH H_Pivot'!$A$1,"EI_ID",A21,"SYS_CODE","W","INSP_NO",45,"EI_MODEL","AH-64D")),(GETPIVOTDATA("INSP_VAL",'AH H_Pivot'!$A$1,"EI_ID",A21,"SYS_CODE","W","INSP_NO",46,"EI_MODEL","AH-64D")),(GETPIVOTDATA("INSP_VAL",'AH H_Pivot'!$A$1,"EI_ID",A21,"SYS_CODE","A","INSP_NO",150,"EI_MODEL","AH-64D")),(GETPIVOTDATA("INSP_VAL",'AH H_Pivot'!$A$1,"EI_ID",A21,"SYS_CODE","A","INSP_NO",152,"EI_MODEL","AH-64D")),(GETPIVOTDATA("INSP_VAL",'AH H_Pivot'!$A$1,"EI_ID",A21,"SYS_CODE","A","INSP_NO",195,"EI_MODEL","AH-64D")),(GETPIVOTDATA("INSP_VAL",'AH H_Pivot'!$A$1,"EI_ID",A21,"SYS_CODE","A","INSP_NO",224,"EI_MODEL","AH-64D")),(GETPIVOTDATA("INSP_VAL",'AH H_Pivot'!$A$1,"EI_ID",A21,"SYS_CODE","A","INSP_NO",260,"EI_MODEL","AH-64D")),(GETPIVOTDATA("INSP_VAL",'AH H_Pivot'!$A$1,"EI_ID",A21,"SYS_CODE","W","INSP_NO",533,"EI_MODEL","AH-64D"))),125,-G19)</f>
        <v>69.3</v>
      </c>
      <c r="J19" s="586">
        <f>SUM(MIN((GETPIVOTDATA("INSP_VAL",'AH H_Pivot'!$A$1,"EI_ID",A21,"SYS_CODE","A","INSP_NO",223,"EI_MODEL","AH-64D")),(GETPIVOTDATA("INSP_VAL",'AH H_Pivot'!$A$1,"EI_ID",A21,"SYS_CODE","A","INSP_NO",231,"EI_MODEL","AH-64D")),(GETPIVOTDATA("INSP_VAL",'AH H_Pivot'!$A$1,"EI_ID",A21,"SYS_CODE","A","INSP_NO",261,"EI_MODEL","AH-64D")),(GETPIVOTDATA("INSP_VAL",'AH H_Pivot'!$A$1,"EI_ID",A21,"SYS_CODE","A","INSP_NO",270,"EI_MODEL","AH-64D")),(GETPIVOTDATA("INSP_VAL",'AH H_Pivot'!$A$1,"EI_ID",A21,"SYS_CODE","A","INSP_NO",275,"EI_MODEL","AH-64D")),(GETPIVOTDATA("INSP_VAL",'AH H_Pivot'!$A$1,"EI_ID",A21,"SYS_CODE","A","INSP_NO",290,"EI_MODEL","AH-64D")),(GETPIVOTDATA("INSP_VAL",'AH H_Pivot'!$A$1,"EI_ID",A21,"SYS_CODE","A","INSP_NO",291,"EI_MODEL","AH-64D")),(GETPIVOTDATA("INSP_VAL",'AH H_Pivot'!$A$1,"EI_ID",A21,"SYS_CODE","A","INSP_NO",295,"EI_MODEL","AH-64D")),(GETPIVOTDATA("INSP_VAL",'AH H_Pivot'!$A$1,"EI_ID",A21,"SYS_CODE","A","INSP_NO",300,"EI_MODEL","AH-64D")),(GETPIVOTDATA("INSP_VAL",'AH H_Pivot'!$A$1,"EI_ID",A21,"SYS_CODE","A","INSP_NO",465,"EI_MODEL","AH-64D")),(GETPIVOTDATA("INSP_VAL",'AH H_Pivot'!$A$1,"EI_ID",A21,"SYS_CODE","W","INSP_NO",520,"EI_MODEL","AH-64D")),(GETPIVOTDATA("INSP_VAL",'AH H_Pivot'!$A$1,"EI_ID",A21,"SYS_CODE","A","INSP_NO",751,"EI_MODEL","AH-64D")),(GETPIVOTDATA("INSP_VAL",'AH H_Pivot'!$A$1,"EI_ID",A21,"SYS_CODE","A","INSP_NO",757,"EI_MODEL","AH-64D"))),250,-G19)</f>
        <v>69.3</v>
      </c>
      <c r="K19" s="587">
        <f>SUM(MIN((GETPIVOTDATA("INSP_DATE",'AH D_Pivot'!$A$1,"EI_ID",A21,"SYS_CODE","A","INSP_NO",260,"EI_MODEL","AH-64D")),(GETPIVOTDATA("INSP_DATE",'AH D_Pivot'!$A$1,"EI_ID",A21,"SYS_CODE","A","INSP_NO",261,"EI_MODEL","AH-64D")))+270)</f>
        <v>42107</v>
      </c>
      <c r="L19" s="559">
        <f>SUM(MIN((GETPIVOTDATA("INSP_VAL",'AH H_Pivot'!$A$1,"EI_ID",A21,"SYS_CODE","A","INSP_NO",35,"EI_MODEL","AH-64D")),(GETPIVOTDATA("INSP_VAL",'AH H_Pivot'!$A$1,"EI_ID",A21,"SYS_CODE","A","INSP_NO",226,"EI_MODEL","AH-64D")),(GETPIVOTDATA("INSP_VAL",'AH H_Pivot'!$A$1,"EI_ID",A21,"SYS_CODE","A","INSP_NO",400,"EI_MODEL","AH-64D")),(GETPIVOTDATA("INSP_VAL",'AH H_Pivot'!$A$1,"EI_ID",A21,"SYS_CODE","W","INSP_NO",525,"EI_MODEL","AH-64D")),(GETPIVOTDATA("INSP_VAL",'AH H_Pivot'!$A$1,"EI_ID",A21,"SYS_CODE","A","INSP_NO",755,"EI_MODEL","AH-64D"))),500,-G19)</f>
        <v>73.099999999999994</v>
      </c>
      <c r="M19" s="562" t="str">
        <f>IF(ISBLANK(VLOOKUP(A21,Table__1_4AHB_v_gen_READINESS[],15,FALSE)),"",(VLOOKUP(A21,Table__1_4AHB_v_gen_READINESS[],15,FALSE)))</f>
        <v>#2 ENG OIL LEAK @ SHUTDOWN</v>
      </c>
      <c r="N19" s="563"/>
      <c r="O19" s="563"/>
      <c r="P19" s="563"/>
      <c r="Q19" s="563"/>
      <c r="R19" s="563"/>
      <c r="S19" s="563"/>
      <c r="T19" s="568" t="s">
        <v>486</v>
      </c>
      <c r="U19" s="568"/>
      <c r="V19" s="566"/>
      <c r="W19" s="566"/>
      <c r="X19" s="245">
        <f>IF(ISBLANK(VLOOKUP(A21,Table__1_4AHB_v_gen_READINESS[],17,FALSE)),"",(VLOOKUP(A21,Table__1_4AHB_v_gen_READINESS[],17,FALSE)))</f>
        <v>42109</v>
      </c>
      <c r="Y19" s="525" t="s">
        <v>24</v>
      </c>
      <c r="Z19" s="526">
        <f ca="1">'1-4 ARB'!S8</f>
        <v>275</v>
      </c>
      <c r="AA19" s="527">
        <f ca="1">'1-4 ARB'!T8</f>
        <v>0.28599999999999998</v>
      </c>
      <c r="AB19" s="378"/>
    </row>
    <row r="20" spans="1:28" ht="25.5" customHeight="1">
      <c r="A20" s="581"/>
      <c r="B20" s="583"/>
      <c r="C20" s="583"/>
      <c r="D20" s="407" t="s">
        <v>370</v>
      </c>
      <c r="E20" s="369" t="s">
        <v>371</v>
      </c>
      <c r="F20" s="584"/>
      <c r="G20" s="585"/>
      <c r="H20" s="586"/>
      <c r="I20" s="586"/>
      <c r="J20" s="586"/>
      <c r="K20" s="587"/>
      <c r="L20" s="560"/>
      <c r="M20" s="567"/>
      <c r="N20" s="568"/>
      <c r="O20" s="568"/>
      <c r="P20" s="568"/>
      <c r="Q20" s="568"/>
      <c r="R20" s="568"/>
      <c r="S20" s="568"/>
      <c r="T20" s="568" t="s">
        <v>501</v>
      </c>
      <c r="U20" s="568"/>
      <c r="V20" s="569"/>
      <c r="W20" s="569"/>
      <c r="X20" s="1">
        <f ca="1">IF(X19="","",$C$3-X19)</f>
        <v>6</v>
      </c>
      <c r="Y20" s="525"/>
      <c r="Z20" s="526"/>
      <c r="AA20" s="527"/>
      <c r="AB20" s="378"/>
    </row>
    <row r="21" spans="1:28" ht="25.5" customHeight="1">
      <c r="A21" s="388" t="s">
        <v>155</v>
      </c>
      <c r="B21" s="588">
        <f>(VLOOKUP(A21,Table__1_4AHB_v_gen_READINESS[],37,FALSE)-TIME(7,0,0))</f>
        <v>42114.590104166702</v>
      </c>
      <c r="C21" s="588"/>
      <c r="D21" s="407" t="s">
        <v>19</v>
      </c>
      <c r="E21" s="369" t="s">
        <v>372</v>
      </c>
      <c r="F21" s="584"/>
      <c r="G21" s="585"/>
      <c r="H21" s="586"/>
      <c r="I21" s="586"/>
      <c r="J21" s="586"/>
      <c r="K21" s="587"/>
      <c r="L21" s="561"/>
      <c r="M21" s="570"/>
      <c r="N21" s="571"/>
      <c r="O21" s="571"/>
      <c r="P21" s="571"/>
      <c r="Q21" s="571"/>
      <c r="R21" s="571"/>
      <c r="S21" s="571"/>
      <c r="T21" s="572"/>
      <c r="U21" s="571"/>
      <c r="V21" s="558"/>
      <c r="W21" s="558"/>
      <c r="X21" s="246">
        <f>IF(ISBLANK(VLOOKUP(A21,Table__1_4AHB_v_gen_READINESS[],18,FALSE)),"",(VLOOKUP(A21,Table__1_4AHB_v_gen_READINESS[],18,FALSE)))</f>
        <v>42139</v>
      </c>
      <c r="Y21" s="525"/>
      <c r="Z21" s="526"/>
      <c r="AA21" s="527"/>
      <c r="AB21" s="378"/>
    </row>
    <row r="22" spans="1:28" ht="25.5" customHeight="1">
      <c r="A22" s="581" t="s">
        <v>252</v>
      </c>
      <c r="B22" s="589" t="s">
        <v>23</v>
      </c>
      <c r="C22" s="589" t="s">
        <v>17</v>
      </c>
      <c r="D22" s="369" t="s">
        <v>408</v>
      </c>
      <c r="E22" s="516" t="s">
        <v>369</v>
      </c>
      <c r="F22" s="584" t="s">
        <v>248</v>
      </c>
      <c r="G22" s="585">
        <f>VLOOKUP(A24,Table__1_4AHB_v_gen_READINESS[],36,FALSE)</f>
        <v>4836.8999999999996</v>
      </c>
      <c r="H22" s="586">
        <f>SUM(MIN((GETPIVOTDATA("INSP_VAL",'AH H_Pivot'!$A$1,"EI_ID",A24,"SYS_CODE","A","INSP_NO",130,"EI_MODEL","AH-64D")),(GETPIVOTDATA("INSP_VAL",'AH H_Pivot'!$A$1,"EI_ID",A24,"SYS_CODE","A","INSP_NO",135,"EI_MODEL","AH-64D")),(GETPIVOTDATA("INSP_VAL",'AH H_Pivot'!$A$1,"EI_ID",A24,"SYS_CODE","A","INSP_NO",145,"EI_MODEL","AH-64D"))),50,-G22)</f>
        <v>19.600000000000001</v>
      </c>
      <c r="I22" s="586">
        <f>SUM(MIN((GETPIVOTDATA("INSP_VAL",'AH H_Pivot'!$A$1,"EI_ID",A24,"SYS_CODE","W","INSP_NO",45,"EI_MODEL","AH-64D")),(GETPIVOTDATA("INSP_VAL",'AH H_Pivot'!$A$1,"EI_ID",A24,"SYS_CODE","W","INSP_NO",46,"EI_MODEL","AH-64D")),(GETPIVOTDATA("INSP_VAL",'AH H_Pivot'!$A$1,"EI_ID",A24,"SYS_CODE","A","INSP_NO",150,"EI_MODEL","AH-64D")),(GETPIVOTDATA("INSP_VAL",'AH H_Pivot'!$A$1,"EI_ID",A24,"SYS_CODE","A","INSP_NO",152,"EI_MODEL","AH-64D")),(GETPIVOTDATA("INSP_VAL",'AH H_Pivot'!$A$1,"EI_ID",A24,"SYS_CODE","A","INSP_NO",195,"EI_MODEL","AH-64D")),(GETPIVOTDATA("INSP_VAL",'AH H_Pivot'!$A$1,"EI_ID",A24,"SYS_CODE","A","INSP_NO",224,"EI_MODEL","AH-64D")),(GETPIVOTDATA("INSP_VAL",'AH H_Pivot'!$A$1,"EI_ID",A24,"SYS_CODE","A","INSP_NO",260,"EI_MODEL","AH-64D")),(GETPIVOTDATA("INSP_VAL",'AH H_Pivot'!$A$1,"EI_ID",A24,"SYS_CODE","W","INSP_NO",533,"EI_MODEL","AH-64D"))),125,-G22)</f>
        <v>44.6</v>
      </c>
      <c r="J22" s="586">
        <f>SUM(MIN((GETPIVOTDATA("INSP_VAL",'AH H_Pivot'!$A$1,"EI_ID",A24,"SYS_CODE","A","INSP_NO",223,"EI_MODEL","AH-64D")),(GETPIVOTDATA("INSP_VAL",'AH H_Pivot'!$A$1,"EI_ID",A24,"SYS_CODE","A","INSP_NO",231,"EI_MODEL","AH-64D")),(GETPIVOTDATA("INSP_VAL",'AH H_Pivot'!$A$1,"EI_ID",A24,"SYS_CODE","A","INSP_NO",261,"EI_MODEL","AH-64D")),(GETPIVOTDATA("INSP_VAL",'AH H_Pivot'!$A$1,"EI_ID",A24,"SYS_CODE","A","INSP_NO",270,"EI_MODEL","AH-64D")),(GETPIVOTDATA("INSP_VAL",'AH H_Pivot'!$A$1,"EI_ID",A24,"SYS_CODE","A","INSP_NO",275,"EI_MODEL","AH-64D")),(GETPIVOTDATA("INSP_VAL",'AH H_Pivot'!$A$1,"EI_ID",A24,"SYS_CODE","A","INSP_NO",290,"EI_MODEL","AH-64D")),(GETPIVOTDATA("INSP_VAL",'AH H_Pivot'!$A$1,"EI_ID",A24,"SYS_CODE","A","INSP_NO",291,"EI_MODEL","AH-64D")),(GETPIVOTDATA("INSP_VAL",'AH H_Pivot'!$A$1,"EI_ID",A24,"SYS_CODE","A","INSP_NO",295,"EI_MODEL","AH-64D")),(GETPIVOTDATA("INSP_VAL",'AH H_Pivot'!$A$1,"EI_ID",A24,"SYS_CODE","A","INSP_NO",300,"EI_MODEL","AH-64D")),(GETPIVOTDATA("INSP_VAL",'AH H_Pivot'!$A$1,"EI_ID",A24,"SYS_CODE","A","INSP_NO",465,"EI_MODEL","AH-64D")),(GETPIVOTDATA("INSP_VAL",'AH H_Pivot'!$A$1,"EI_ID",A24,"SYS_CODE","W","INSP_NO",520,"EI_MODEL","AH-64D")),(GETPIVOTDATA("INSP_VAL",'AH H_Pivot'!$A$1,"EI_ID",A24,"SYS_CODE","A","INSP_NO",751,"EI_MODEL","AH-64D")),(GETPIVOTDATA("INSP_VAL",'AH H_Pivot'!$A$1,"EI_ID",A24,"SYS_CODE","A","INSP_NO",757,"EI_MODEL","AH-64D"))),250,-G22)</f>
        <v>169.6</v>
      </c>
      <c r="K22" s="587">
        <f>SUM(MIN((GETPIVOTDATA("INSP_DATE",'AH D_Pivot'!$A$1,"EI_ID",A24,"SYS_CODE","A","INSP_NO",260,"EI_MODEL","AH-64D")),(GETPIVOTDATA("INSP_DATE",'AH D_Pivot'!$A$1,"EI_ID",A24,"SYS_CODE","A","INSP_NO",261,"EI_MODEL","AH-64D")))+270)</f>
        <v>42296</v>
      </c>
      <c r="L22" s="559">
        <f>SUM(MIN((GETPIVOTDATA("INSP_VAL",'AH H_Pivot'!$A$1,"EI_ID",A24,"SYS_CODE","A","INSP_NO",35,"EI_MODEL","AH-64D")),(GETPIVOTDATA("INSP_VAL",'AH H_Pivot'!$A$1,"EI_ID",A24,"SYS_CODE","A","INSP_NO",226,"EI_MODEL","AH-64D")),(GETPIVOTDATA("INSP_VAL",'AH H_Pivot'!$A$1,"EI_ID",A24,"SYS_CODE","A","INSP_NO",400,"EI_MODEL","AH-64D")),(GETPIVOTDATA("INSP_VAL",'AH H_Pivot'!$A$1,"EI_ID",A24,"SYS_CODE","W","INSP_NO",525,"EI_MODEL","AH-64D")),(GETPIVOTDATA("INSP_VAL",'AH H_Pivot'!$A$1,"EI_ID",A24,"SYS_CODE","A","INSP_NO",755,"EI_MODEL","AH-64D"))),500,-G22)</f>
        <v>419.6</v>
      </c>
      <c r="M22" s="562" t="str">
        <f>IF(ISBLANK(VLOOKUP(A24,Table__1_4AHB_v_gen_READINESS[],15,FALSE)),"",(VLOOKUP(A24,Table__1_4AHB_v_gen_READINESS[],15,FALSE)))</f>
        <v>FCR Fails IBIT - RF Receiver</v>
      </c>
      <c r="N22" s="563"/>
      <c r="O22" s="563"/>
      <c r="P22" s="563"/>
      <c r="Q22" s="563"/>
      <c r="R22" s="563"/>
      <c r="S22" s="563"/>
      <c r="T22" s="564" t="s">
        <v>489</v>
      </c>
      <c r="U22" s="565"/>
      <c r="V22" s="566"/>
      <c r="W22" s="566"/>
      <c r="X22" s="245">
        <f>IF(ISBLANK(VLOOKUP(A24,Table__1_4AHB_v_gen_READINESS[],17,FALSE)),"",(VLOOKUP(A24,Table__1_4AHB_v_gen_READINESS[],17,FALSE)))</f>
        <v>42079</v>
      </c>
      <c r="Y22" s="525" t="s">
        <v>403</v>
      </c>
      <c r="Z22" s="526">
        <f>'1-4 ARB'!T14</f>
        <v>252.1</v>
      </c>
      <c r="AA22" s="528"/>
      <c r="AB22" s="378"/>
    </row>
    <row r="23" spans="1:28" ht="25.5" customHeight="1">
      <c r="A23" s="581"/>
      <c r="B23" s="583"/>
      <c r="C23" s="583"/>
      <c r="D23" s="407" t="s">
        <v>370</v>
      </c>
      <c r="E23" s="369" t="s">
        <v>371</v>
      </c>
      <c r="F23" s="584"/>
      <c r="G23" s="585"/>
      <c r="H23" s="586"/>
      <c r="I23" s="586"/>
      <c r="J23" s="586"/>
      <c r="K23" s="587"/>
      <c r="L23" s="560"/>
      <c r="M23" s="567"/>
      <c r="N23" s="568"/>
      <c r="O23" s="568"/>
      <c r="P23" s="568"/>
      <c r="Q23" s="568"/>
      <c r="R23" s="568"/>
      <c r="S23" s="568"/>
      <c r="T23" s="568"/>
      <c r="U23" s="568"/>
      <c r="V23" s="569"/>
      <c r="W23" s="569"/>
      <c r="X23" s="1">
        <f ca="1">IF(X22="","",$C$3-X22)</f>
        <v>36</v>
      </c>
      <c r="Y23" s="525"/>
      <c r="Z23" s="526"/>
      <c r="AA23" s="528"/>
      <c r="AB23" s="378"/>
    </row>
    <row r="24" spans="1:28" ht="25.5" customHeight="1">
      <c r="A24" s="388" t="s">
        <v>156</v>
      </c>
      <c r="B24" s="588">
        <f>(VLOOKUP(A24,Table__1_4AHB_v_gen_READINESS[],37,FALSE)-TIME(7,0,0))</f>
        <v>42114.262650463003</v>
      </c>
      <c r="C24" s="588"/>
      <c r="D24" s="407" t="s">
        <v>19</v>
      </c>
      <c r="E24" s="369" t="s">
        <v>372</v>
      </c>
      <c r="F24" s="584"/>
      <c r="G24" s="585"/>
      <c r="H24" s="586"/>
      <c r="I24" s="586"/>
      <c r="J24" s="586"/>
      <c r="K24" s="587"/>
      <c r="L24" s="561"/>
      <c r="M24" s="570"/>
      <c r="N24" s="571"/>
      <c r="O24" s="571"/>
      <c r="P24" s="571"/>
      <c r="Q24" s="571"/>
      <c r="R24" s="571"/>
      <c r="S24" s="571"/>
      <c r="T24" s="572"/>
      <c r="U24" s="571"/>
      <c r="V24" s="558"/>
      <c r="W24" s="558"/>
      <c r="X24" s="246">
        <f>IF(ISBLANK(VLOOKUP(A24,Table__1_4AHB_v_gen_READINESS[],18,FALSE)),"",(VLOOKUP(A24,Table__1_4AHB_v_gen_READINESS[],18,FALSE)))</f>
        <v>42139</v>
      </c>
      <c r="Y24" s="525"/>
      <c r="Z24" s="526"/>
      <c r="AA24" s="528"/>
      <c r="AB24" s="378"/>
    </row>
    <row r="25" spans="1:28" ht="25.5" customHeight="1">
      <c r="A25" s="581" t="s">
        <v>253</v>
      </c>
      <c r="B25" s="589" t="s">
        <v>23</v>
      </c>
      <c r="C25" s="589" t="s">
        <v>17</v>
      </c>
      <c r="D25" s="369"/>
      <c r="E25" s="516" t="s">
        <v>369</v>
      </c>
      <c r="F25" s="584" t="s">
        <v>248</v>
      </c>
      <c r="G25" s="585">
        <f>VLOOKUP(A27,Table__1_4AHB_v_gen_READINESS[],36,FALSE)</f>
        <v>5179.8999999999996</v>
      </c>
      <c r="H25" s="586">
        <f>SUM(MIN((GETPIVOTDATA("INSP_VAL",'AH H_Pivot'!$A$1,"EI_ID",A27,"SYS_CODE","A","INSP_NO",130,"EI_MODEL","AH-64D")),(GETPIVOTDATA("INSP_VAL",'AH H_Pivot'!$A$1,"EI_ID",A27,"SYS_CODE","A","INSP_NO",135,"EI_MODEL","AH-64D")),(GETPIVOTDATA("INSP_VAL",'AH H_Pivot'!$A$1,"EI_ID",A27,"SYS_CODE","A","INSP_NO",145,"EI_MODEL","AH-64D"))),50,-G25)</f>
        <v>27.6</v>
      </c>
      <c r="I25" s="586">
        <f>SUM(MIN((GETPIVOTDATA("INSP_VAL",'AH H_Pivot'!$A$1,"EI_ID",A27,"SYS_CODE","W","INSP_NO",45,"EI_MODEL","AH-64D")),(GETPIVOTDATA("INSP_VAL",'AH H_Pivot'!$A$1,"EI_ID",A27,"SYS_CODE","W","INSP_NO",46,"EI_MODEL","AH-64D")),(GETPIVOTDATA("INSP_VAL",'AH H_Pivot'!$A$1,"EI_ID",A27,"SYS_CODE","A","INSP_NO",150,"EI_MODEL","AH-64D")),(GETPIVOTDATA("INSP_VAL",'AH H_Pivot'!$A$1,"EI_ID",A27,"SYS_CODE","A","INSP_NO",152,"EI_MODEL","AH-64D")),(GETPIVOTDATA("INSP_VAL",'AH H_Pivot'!$A$1,"EI_ID",A27,"SYS_CODE","A","INSP_NO",195,"EI_MODEL","AH-64D")),(GETPIVOTDATA("INSP_VAL",'AH H_Pivot'!$A$1,"EI_ID",A27,"SYS_CODE","A","INSP_NO",224,"EI_MODEL","AH-64D")),(GETPIVOTDATA("INSP_VAL",'AH H_Pivot'!$A$1,"EI_ID",A27,"SYS_CODE","A","INSP_NO",260,"EI_MODEL","AH-64D")),(GETPIVOTDATA("INSP_VAL",'AH H_Pivot'!$A$1,"EI_ID",A27,"SYS_CODE","W","INSP_NO",533,"EI_MODEL","AH-64D"))),125,-G25)</f>
        <v>23.8</v>
      </c>
      <c r="J25" s="586">
        <f>SUM(MIN((GETPIVOTDATA("INSP_VAL",'AH H_Pivot'!$A$1,"EI_ID",A27,"SYS_CODE","A","INSP_NO",223,"EI_MODEL","AH-64D")),(GETPIVOTDATA("INSP_VAL",'AH H_Pivot'!$A$1,"EI_ID",A27,"SYS_CODE","A","INSP_NO",231,"EI_MODEL","AH-64D")),(GETPIVOTDATA("INSP_VAL",'AH H_Pivot'!$A$1,"EI_ID",A27,"SYS_CODE","A","INSP_NO",261,"EI_MODEL","AH-64D")),(GETPIVOTDATA("INSP_VAL",'AH H_Pivot'!$A$1,"EI_ID",A27,"SYS_CODE","A","INSP_NO",270,"EI_MODEL","AH-64D")),(GETPIVOTDATA("INSP_VAL",'AH H_Pivot'!$A$1,"EI_ID",A27,"SYS_CODE","A","INSP_NO",275,"EI_MODEL","AH-64D")),(GETPIVOTDATA("INSP_VAL",'AH H_Pivot'!$A$1,"EI_ID",A27,"SYS_CODE","A","INSP_NO",290,"EI_MODEL","AH-64D")),(GETPIVOTDATA("INSP_VAL",'AH H_Pivot'!$A$1,"EI_ID",A27,"SYS_CODE","A","INSP_NO",291,"EI_MODEL","AH-64D")),(GETPIVOTDATA("INSP_VAL",'AH H_Pivot'!$A$1,"EI_ID",A27,"SYS_CODE","A","INSP_NO",295,"EI_MODEL","AH-64D")),(GETPIVOTDATA("INSP_VAL",'AH H_Pivot'!$A$1,"EI_ID",A27,"SYS_CODE","A","INSP_NO",300,"EI_MODEL","AH-64D")),(GETPIVOTDATA("INSP_VAL",'AH H_Pivot'!$A$1,"EI_ID",A27,"SYS_CODE","A","INSP_NO",465,"EI_MODEL","AH-64D")),(GETPIVOTDATA("INSP_VAL",'AH H_Pivot'!$A$1,"EI_ID",A27,"SYS_CODE","W","INSP_NO",520,"EI_MODEL","AH-64D")),(GETPIVOTDATA("INSP_VAL",'AH H_Pivot'!$A$1,"EI_ID",A27,"SYS_CODE","A","INSP_NO",751,"EI_MODEL","AH-64D")),(GETPIVOTDATA("INSP_VAL",'AH H_Pivot'!$A$1,"EI_ID",A27,"SYS_CODE","A","INSP_NO",757,"EI_MODEL","AH-64D"))),250,-G25)</f>
        <v>23.8</v>
      </c>
      <c r="K25" s="587">
        <f>SUM(MIN((GETPIVOTDATA("INSP_DATE",'AH D_Pivot'!$A$1,"EI_ID",A27,"SYS_CODE","A","INSP_NO",260,"EI_MODEL","AH-64D")),(GETPIVOTDATA("INSP_DATE",'AH D_Pivot'!$A$1,"EI_ID",A27,"SYS_CODE","A","INSP_NO",261,"EI_MODEL","AH-64D")))+270)</f>
        <v>42135</v>
      </c>
      <c r="L25" s="559">
        <f>SUM(MIN((GETPIVOTDATA("INSP_VAL",'AH H_Pivot'!$A$1,"EI_ID",A27,"SYS_CODE","A","INSP_NO",35,"EI_MODEL","AH-64D")),(GETPIVOTDATA("INSP_VAL",'AH H_Pivot'!$A$1,"EI_ID",A27,"SYS_CODE","A","INSP_NO",226,"EI_MODEL","AH-64D")),(GETPIVOTDATA("INSP_VAL",'AH H_Pivot'!$A$1,"EI_ID",A27,"SYS_CODE","A","INSP_NO",400,"EI_MODEL","AH-64D")),(GETPIVOTDATA("INSP_VAL",'AH H_Pivot'!$A$1,"EI_ID",A27,"SYS_CODE","W","INSP_NO",525,"EI_MODEL","AH-64D")),(GETPIVOTDATA("INSP_VAL",'AH H_Pivot'!$A$1,"EI_ID",A27,"SYS_CODE","A","INSP_NO",755,"EI_MODEL","AH-64D"))),500,-G25)</f>
        <v>26.5</v>
      </c>
      <c r="M25" s="562" t="str">
        <f>IF(ISBLANK(VLOOKUP(A27,Table__1_4AHB_v_gen_READINESS[],15,FALSE)),"",(VLOOKUP(A27,Table__1_4AHB_v_gen_READINESS[],15,FALSE)))</f>
        <v>ASE Not Installed</v>
      </c>
      <c r="N25" s="563"/>
      <c r="O25" s="563"/>
      <c r="P25" s="563"/>
      <c r="Q25" s="563"/>
      <c r="R25" s="563"/>
      <c r="S25" s="563"/>
      <c r="T25" s="564"/>
      <c r="U25" s="565"/>
      <c r="V25" s="566"/>
      <c r="W25" s="566"/>
      <c r="X25" s="245">
        <f>IF(ISBLANK(VLOOKUP(A27,Table__1_4AHB_v_gen_READINESS[],17,FALSE)),"",(VLOOKUP(A27,Table__1_4AHB_v_gen_READINESS[],17,FALSE)))</f>
        <v>42095</v>
      </c>
      <c r="Y25" s="525" t="s">
        <v>341</v>
      </c>
      <c r="Z25" s="530">
        <f>'1-4 ARB'!T13</f>
        <v>0.245</v>
      </c>
      <c r="AA25" s="531"/>
      <c r="AB25" s="378"/>
    </row>
    <row r="26" spans="1:28" ht="25.5" customHeight="1">
      <c r="A26" s="581"/>
      <c r="B26" s="583"/>
      <c r="C26" s="583"/>
      <c r="D26" s="407" t="s">
        <v>370</v>
      </c>
      <c r="E26" s="516" t="s">
        <v>371</v>
      </c>
      <c r="F26" s="584"/>
      <c r="G26" s="585"/>
      <c r="H26" s="586"/>
      <c r="I26" s="586"/>
      <c r="J26" s="586"/>
      <c r="K26" s="587"/>
      <c r="L26" s="560"/>
      <c r="M26" s="567"/>
      <c r="N26" s="568"/>
      <c r="O26" s="568"/>
      <c r="P26" s="568"/>
      <c r="Q26" s="568"/>
      <c r="R26" s="568"/>
      <c r="S26" s="568"/>
      <c r="T26" s="568" t="s">
        <v>18</v>
      </c>
      <c r="U26" s="568"/>
      <c r="V26" s="569"/>
      <c r="W26" s="569"/>
      <c r="X26" s="1">
        <f ca="1">IF(X25="","",$C$3-X25)</f>
        <v>20</v>
      </c>
      <c r="Y26" s="525"/>
      <c r="Z26" s="530"/>
      <c r="AA26" s="531"/>
      <c r="AB26" s="378"/>
    </row>
    <row r="27" spans="1:28" ht="25.5" customHeight="1" thickBot="1">
      <c r="A27" s="388" t="s">
        <v>149</v>
      </c>
      <c r="B27" s="588">
        <f>(VLOOKUP(A27,Table__1_4AHB_v_gen_READINESS[],37,FALSE)-TIME(7,0,0))</f>
        <v>42112.704351851899</v>
      </c>
      <c r="C27" s="588"/>
      <c r="D27" s="407" t="s">
        <v>19</v>
      </c>
      <c r="E27" s="369" t="s">
        <v>372</v>
      </c>
      <c r="F27" s="584"/>
      <c r="G27" s="585"/>
      <c r="H27" s="586"/>
      <c r="I27" s="586"/>
      <c r="J27" s="586"/>
      <c r="K27" s="587"/>
      <c r="L27" s="561"/>
      <c r="M27" s="570"/>
      <c r="N27" s="571"/>
      <c r="O27" s="571"/>
      <c r="P27" s="571"/>
      <c r="Q27" s="571"/>
      <c r="R27" s="571"/>
      <c r="S27" s="571"/>
      <c r="T27" s="572"/>
      <c r="U27" s="571"/>
      <c r="V27" s="558"/>
      <c r="W27" s="558"/>
      <c r="X27" s="246">
        <f>IF(ISBLANK(VLOOKUP(A27,Table__1_4AHB_v_gen_READINESS[],18,FALSE)),"",(VLOOKUP(A27,Table__1_4AHB_v_gen_READINESS[],18,FALSE)))</f>
        <v>42139</v>
      </c>
      <c r="Y27" s="529"/>
      <c r="Z27" s="532"/>
      <c r="AA27" s="533"/>
      <c r="AB27" s="378"/>
    </row>
    <row r="28" spans="1:28" ht="25.5" customHeight="1">
      <c r="A28" s="581" t="s">
        <v>254</v>
      </c>
      <c r="B28" s="589" t="s">
        <v>77</v>
      </c>
      <c r="C28" s="589" t="s">
        <v>25</v>
      </c>
      <c r="D28" s="369"/>
      <c r="E28" s="516" t="s">
        <v>369</v>
      </c>
      <c r="F28" s="584" t="s">
        <v>248</v>
      </c>
      <c r="G28" s="585">
        <f>VLOOKUP(A30,Table__1_4AHB_v_gen_READINESS[],36,FALSE)</f>
        <v>5448.2</v>
      </c>
      <c r="H28" s="586">
        <f>SUM(MIN((GETPIVOTDATA("INSP_VAL",'AH H_Pivot'!$A$1,"EI_ID",A30,"SYS_CODE","A","INSP_NO",130,"EI_MODEL","AH-64D")),(GETPIVOTDATA("INSP_VAL",'AH H_Pivot'!$A$1,"EI_ID",A30,"SYS_CODE","A","INSP_NO",135,"EI_MODEL","AH-64D")),(GETPIVOTDATA("INSP_VAL",'AH H_Pivot'!$A$1,"EI_ID",A30,"SYS_CODE","A","INSP_NO",145,"EI_MODEL","AH-64D"))),50,-G28)</f>
        <v>6.9</v>
      </c>
      <c r="I28" s="586">
        <f>SUM(MIN((GETPIVOTDATA("INSP_VAL",'AH H_Pivot'!$A$1,"EI_ID",A30,"SYS_CODE","W","INSP_NO",45,"EI_MODEL","AH-64D")),(GETPIVOTDATA("INSP_VAL",'AH H_Pivot'!$A$1,"EI_ID",A30,"SYS_CODE","W","INSP_NO",46,"EI_MODEL","AH-64D")),(GETPIVOTDATA("INSP_VAL",'AH H_Pivot'!$A$1,"EI_ID",A30,"SYS_CODE","A","INSP_NO",150,"EI_MODEL","AH-64D")),(GETPIVOTDATA("INSP_VAL",'AH H_Pivot'!$A$1,"EI_ID",A30,"SYS_CODE","A","INSP_NO",152,"EI_MODEL","AH-64D")),(GETPIVOTDATA("INSP_VAL",'AH H_Pivot'!$A$1,"EI_ID",A30,"SYS_CODE","A","INSP_NO",195,"EI_MODEL","AH-64D")),(GETPIVOTDATA("INSP_VAL",'AH H_Pivot'!$A$1,"EI_ID",A30,"SYS_CODE","A","INSP_NO",224,"EI_MODEL","AH-64D")),(GETPIVOTDATA("INSP_VAL",'AH H_Pivot'!$A$1,"EI_ID",A30,"SYS_CODE","A","INSP_NO",260,"EI_MODEL","AH-64D")),(GETPIVOTDATA("INSP_VAL",'AH H_Pivot'!$A$1,"EI_ID",A30,"SYS_CODE","W","INSP_NO",533,"EI_MODEL","AH-64D"))),125,-G28)</f>
        <v>36.9</v>
      </c>
      <c r="J28" s="586">
        <f>SUM(MIN((GETPIVOTDATA("INSP_VAL",'AH H_Pivot'!$A$1,"EI_ID",A30,"SYS_CODE","A","INSP_NO",223,"EI_MODEL","AH-64D")),(GETPIVOTDATA("INSP_VAL",'AH H_Pivot'!$A$1,"EI_ID",A30,"SYS_CODE","A","INSP_NO",231,"EI_MODEL","AH-64D")),(GETPIVOTDATA("INSP_VAL",'AH H_Pivot'!$A$1,"EI_ID",A30,"SYS_CODE","A","INSP_NO",261,"EI_MODEL","AH-64D")),(GETPIVOTDATA("INSP_VAL",'AH H_Pivot'!$A$1,"EI_ID",A30,"SYS_CODE","A","INSP_NO",270,"EI_MODEL","AH-64D")),(GETPIVOTDATA("INSP_VAL",'AH H_Pivot'!$A$1,"EI_ID",A30,"SYS_CODE","A","INSP_NO",275,"EI_MODEL","AH-64D")),(GETPIVOTDATA("INSP_VAL",'AH H_Pivot'!$A$1,"EI_ID",A30,"SYS_CODE","A","INSP_NO",290,"EI_MODEL","AH-64D")),(GETPIVOTDATA("INSP_VAL",'AH H_Pivot'!$A$1,"EI_ID",A30,"SYS_CODE","A","INSP_NO",291,"EI_MODEL","AH-64D")),(GETPIVOTDATA("INSP_VAL",'AH H_Pivot'!$A$1,"EI_ID",A30,"SYS_CODE","A","INSP_NO",295,"EI_MODEL","AH-64D")),(GETPIVOTDATA("INSP_VAL",'AH H_Pivot'!$A$1,"EI_ID",A30,"SYS_CODE","A","INSP_NO",300,"EI_MODEL","AH-64D")),(GETPIVOTDATA("INSP_VAL",'AH H_Pivot'!$A$1,"EI_ID",A30,"SYS_CODE","A","INSP_NO",465,"EI_MODEL","AH-64D")),(GETPIVOTDATA("INSP_VAL",'AH H_Pivot'!$A$1,"EI_ID",A30,"SYS_CODE","W","INSP_NO",520,"EI_MODEL","AH-64D")),(GETPIVOTDATA("INSP_VAL",'AH H_Pivot'!$A$1,"EI_ID",A30,"SYS_CODE","A","INSP_NO",751,"EI_MODEL","AH-64D")),(GETPIVOTDATA("INSP_VAL",'AH H_Pivot'!$A$1,"EI_ID",A30,"SYS_CODE","A","INSP_NO",757,"EI_MODEL","AH-64D"))),250,-G28)</f>
        <v>36.9</v>
      </c>
      <c r="K28" s="587">
        <f>SUM(MIN((GETPIVOTDATA("INSP_DATE",'AH D_Pivot'!$A$1,"EI_ID",A30,"SYS_CODE","A","INSP_NO",260,"EI_MODEL","AH-64D")),(GETPIVOTDATA("INSP_DATE",'AH D_Pivot'!$A$1,"EI_ID",A30,"SYS_CODE","A","INSP_NO",261,"EI_MODEL","AH-64D")))+270)</f>
        <v>42143</v>
      </c>
      <c r="L28" s="559">
        <f>SUM(MIN((GETPIVOTDATA("INSP_VAL",'AH H_Pivot'!$A$1,"EI_ID",A30,"SYS_CODE","A","INSP_NO",35,"EI_MODEL","AH-64D")),(GETPIVOTDATA("INSP_VAL",'AH H_Pivot'!$A$1,"EI_ID",A30,"SYS_CODE","A","INSP_NO",226,"EI_MODEL","AH-64D")),(GETPIVOTDATA("INSP_VAL",'AH H_Pivot'!$A$1,"EI_ID",A30,"SYS_CODE","A","INSP_NO",400,"EI_MODEL","AH-64D")),(GETPIVOTDATA("INSP_VAL",'AH H_Pivot'!$A$1,"EI_ID",A30,"SYS_CODE","W","INSP_NO",525,"EI_MODEL","AH-64D")),(GETPIVOTDATA("INSP_VAL",'AH H_Pivot'!$A$1,"EI_ID",A30,"SYS_CODE","A","INSP_NO",755,"EI_MODEL","AH-64D"))),500,-G28)</f>
        <v>41.9</v>
      </c>
      <c r="M28" s="562" t="str">
        <f>IF(ISBLANK(VLOOKUP(A30,Table__1_4AHB_v_gen_READINESS[],15,FALSE)),"",(VLOOKUP(A30,Table__1_4AHB_v_gen_READINESS[],15,FALSE)))</f>
        <v>ASE Not Installed</v>
      </c>
      <c r="N28" s="563"/>
      <c r="O28" s="563"/>
      <c r="P28" s="563"/>
      <c r="Q28" s="563"/>
      <c r="R28" s="563"/>
      <c r="S28" s="563"/>
      <c r="T28" s="564"/>
      <c r="U28" s="565"/>
      <c r="V28" s="566"/>
      <c r="W28" s="566"/>
      <c r="X28" s="245">
        <f>IF(ISBLANK(VLOOKUP(A30,Table__1_4AHB_v_gen_READINESS[],17,FALSE)),"",(VLOOKUP(A30,Table__1_4AHB_v_gen_READINESS[],17,FALSE)))</f>
        <v>42090</v>
      </c>
      <c r="Y28" s="390"/>
      <c r="Z28" s="391"/>
      <c r="AA28" s="392"/>
    </row>
    <row r="29" spans="1:28" ht="25.5" customHeight="1">
      <c r="A29" s="581"/>
      <c r="B29" s="583"/>
      <c r="C29" s="583"/>
      <c r="D29" s="407" t="s">
        <v>370</v>
      </c>
      <c r="E29" s="369" t="s">
        <v>371</v>
      </c>
      <c r="F29" s="584"/>
      <c r="G29" s="585"/>
      <c r="H29" s="586"/>
      <c r="I29" s="586"/>
      <c r="J29" s="586"/>
      <c r="K29" s="587"/>
      <c r="L29" s="560"/>
      <c r="M29" s="567" t="s">
        <v>485</v>
      </c>
      <c r="N29" s="568"/>
      <c r="O29" s="568"/>
      <c r="P29" s="568"/>
      <c r="Q29" s="568"/>
      <c r="R29" s="568"/>
      <c r="S29" s="568"/>
      <c r="T29" s="568" t="s">
        <v>486</v>
      </c>
      <c r="U29" s="568"/>
      <c r="V29" s="569"/>
      <c r="W29" s="569"/>
      <c r="X29" s="1">
        <f ca="1">IF(X28="","",$C$3-X28)</f>
        <v>25</v>
      </c>
      <c r="Y29" s="393"/>
      <c r="Z29" s="394"/>
      <c r="AA29" s="395"/>
    </row>
    <row r="30" spans="1:28" ht="25.5" customHeight="1">
      <c r="A30" s="388" t="s">
        <v>158</v>
      </c>
      <c r="B30" s="594">
        <f>(VLOOKUP(A30,Table__1_4AHB_v_gen_READINESS[],37,FALSE)-TIME(7,0,0))</f>
        <v>42112.072673611103</v>
      </c>
      <c r="C30" s="594"/>
      <c r="D30" s="407" t="s">
        <v>19</v>
      </c>
      <c r="E30" s="369" t="s">
        <v>372</v>
      </c>
      <c r="F30" s="584"/>
      <c r="G30" s="585"/>
      <c r="H30" s="586"/>
      <c r="I30" s="586"/>
      <c r="J30" s="586"/>
      <c r="K30" s="587"/>
      <c r="L30" s="561"/>
      <c r="M30" s="570"/>
      <c r="N30" s="571"/>
      <c r="O30" s="571"/>
      <c r="P30" s="571"/>
      <c r="Q30" s="571"/>
      <c r="R30" s="571"/>
      <c r="S30" s="571"/>
      <c r="T30" s="572"/>
      <c r="U30" s="571"/>
      <c r="V30" s="595"/>
      <c r="W30" s="595"/>
      <c r="X30" s="401">
        <f>IF(ISBLANK(VLOOKUP(A30,Table__1_4AHB_v_gen_READINESS[],18,FALSE)),"",(VLOOKUP(A30,Table__1_4AHB_v_gen_READINESS[],18,FALSE)))</f>
        <v>42122</v>
      </c>
      <c r="Y30" s="393"/>
      <c r="Z30" s="394"/>
      <c r="AA30" s="395"/>
    </row>
    <row r="31" spans="1:28" ht="24" thickBot="1">
      <c r="A31" s="522" t="s">
        <v>318</v>
      </c>
      <c r="B31" s="523"/>
      <c r="C31" s="523"/>
      <c r="D31" s="523"/>
      <c r="E31" s="523"/>
      <c r="F31" s="523"/>
      <c r="G31" s="523"/>
      <c r="H31" s="523"/>
      <c r="I31" s="523"/>
      <c r="J31" s="523"/>
      <c r="K31" s="523"/>
      <c r="L31" s="523"/>
      <c r="M31" s="523"/>
      <c r="N31" s="523"/>
      <c r="O31" s="523"/>
      <c r="P31" s="523"/>
      <c r="Q31" s="523"/>
      <c r="R31" s="523"/>
      <c r="S31" s="523"/>
      <c r="T31" s="523"/>
      <c r="U31" s="523"/>
      <c r="V31" s="523"/>
      <c r="W31" s="523"/>
      <c r="X31" s="523"/>
      <c r="Y31" s="523"/>
      <c r="Z31" s="523"/>
      <c r="AA31" s="524"/>
    </row>
    <row r="32" spans="1:28" ht="26.25" thickTop="1">
      <c r="A32" s="581" t="s">
        <v>301</v>
      </c>
      <c r="B32" s="582" t="s">
        <v>65</v>
      </c>
      <c r="C32" s="582" t="s">
        <v>25</v>
      </c>
      <c r="D32" s="369" t="s">
        <v>373</v>
      </c>
      <c r="E32" s="516" t="s">
        <v>369</v>
      </c>
      <c r="F32" s="584" t="s">
        <v>248</v>
      </c>
      <c r="G32" s="585">
        <f>VLOOKUP(A34,Table__1_4AHB_v_gen_READINESS[],36,FALSE)</f>
        <v>3563</v>
      </c>
      <c r="H32" s="586">
        <f>SUM(MIN((GETPIVOTDATA("INSP_VAL",'AH H_Pivot'!$A$1,"EI_ID",A34,"SYS_CODE","A","INSP_NO",130,"EI_MODEL","AH-64D")),(GETPIVOTDATA("INSP_VAL",'AH H_Pivot'!$A$1,"EI_ID",A34,"SYS_CODE","A","INSP_NO",135,"EI_MODEL","AH-64D")),(GETPIVOTDATA("INSP_VAL",'AH H_Pivot'!$A$1,"EI_ID",A34,"SYS_CODE","A","INSP_NO",145,"EI_MODEL","AH-64D"))),50,-G32)</f>
        <v>17</v>
      </c>
      <c r="I32" s="586">
        <f>SUM(MIN((GETPIVOTDATA("INSP_VAL",'AH H_Pivot'!$A$1,"EI_ID",A34,"SYS_CODE","W","INSP_NO",45,"EI_MODEL","AH-64D")),(GETPIVOTDATA("INSP_VAL",'AH H_Pivot'!$A$1,"EI_ID",A34,"SYS_CODE","W","INSP_NO",46,"EI_MODEL","AH-64D")),(GETPIVOTDATA("INSP_VAL",'AH H_Pivot'!$A$1,"EI_ID",A34,"SYS_CODE","A","INSP_NO",150,"EI_MODEL","AH-64D")),(GETPIVOTDATA("INSP_VAL",'AH H_Pivot'!$A$1,"EI_ID",A34,"SYS_CODE","A","INSP_NO",152,"EI_MODEL","AH-64D")),(GETPIVOTDATA("INSP_VAL",'AH H_Pivot'!$A$1,"EI_ID",A34,"SYS_CODE","A","INSP_NO",195,"EI_MODEL","AH-64D")),(GETPIVOTDATA("INSP_VAL",'AH H_Pivot'!$A$1,"EI_ID",A34,"SYS_CODE","A","INSP_NO",224,"EI_MODEL","AH-64D")),(GETPIVOTDATA("INSP_VAL",'AH H_Pivot'!$A$1,"EI_ID",A34,"SYS_CODE","A","INSP_NO",260,"EI_MODEL","AH-64D")),(GETPIVOTDATA("INSP_VAL",'AH H_Pivot'!$A$1,"EI_ID",A34,"SYS_CODE","W","INSP_NO",533,"EI_MODEL","AH-64D"))),125,-G32)</f>
        <v>27.2</v>
      </c>
      <c r="J32" s="586">
        <f>SUM(MIN((GETPIVOTDATA("INSP_VAL",'AH H_Pivot'!$A$1,"EI_ID",A34,"SYS_CODE","A","INSP_NO",223,"EI_MODEL","AH-64D")),(GETPIVOTDATA("INSP_VAL",'AH H_Pivot'!$A$1,"EI_ID",A34,"SYS_CODE","A","INSP_NO",231,"EI_MODEL","AH-64D")),(GETPIVOTDATA("INSP_VAL",'AH H_Pivot'!$A$1,"EI_ID",A34,"SYS_CODE","A","INSP_NO",261,"EI_MODEL","AH-64D")),(GETPIVOTDATA("INSP_VAL",'AH H_Pivot'!$A$1,"EI_ID",A34,"SYS_CODE","A","INSP_NO",270,"EI_MODEL","AH-64D")),(GETPIVOTDATA("INSP_VAL",'AH H_Pivot'!$A$1,"EI_ID",A34,"SYS_CODE","A","INSP_NO",275,"EI_MODEL","AH-64D")),(GETPIVOTDATA("INSP_VAL",'AH H_Pivot'!$A$1,"EI_ID",A34,"SYS_CODE","A","INSP_NO",290,"EI_MODEL","AH-64D")),(GETPIVOTDATA("INSP_VAL",'AH H_Pivot'!$A$1,"EI_ID",A34,"SYS_CODE","A","INSP_NO",291,"EI_MODEL","AH-64D")),(GETPIVOTDATA("INSP_VAL",'AH H_Pivot'!$A$1,"EI_ID",A34,"SYS_CODE","A","INSP_NO",295,"EI_MODEL","AH-64D")),(GETPIVOTDATA("INSP_VAL",'AH H_Pivot'!$A$1,"EI_ID",A34,"SYS_CODE","A","INSP_NO",300,"EI_MODEL","AH-64D")),(GETPIVOTDATA("INSP_VAL",'AH H_Pivot'!$A$1,"EI_ID",A34,"SYS_CODE","A","INSP_NO",465,"EI_MODEL","AH-64D")),(GETPIVOTDATA("INSP_VAL",'AH H_Pivot'!$A$1,"EI_ID",A34,"SYS_CODE","W","INSP_NO",520,"EI_MODEL","AH-64D")),(GETPIVOTDATA("INSP_VAL",'AH H_Pivot'!$A$1,"EI_ID",A34,"SYS_CODE","A","INSP_NO",751,"EI_MODEL","AH-64D")),(GETPIVOTDATA("INSP_VAL",'AH H_Pivot'!$A$1,"EI_ID",A34,"SYS_CODE","A","INSP_NO",757,"EI_MODEL","AH-64D"))),250,-G32)</f>
        <v>27.2</v>
      </c>
      <c r="K32" s="587">
        <f>SUM(MIN((GETPIVOTDATA("INSP_DATE",'AH D_Pivot'!$A$1,"EI_ID",A34,"SYS_CODE","A","INSP_NO",260,"EI_MODEL","AH-64D")),(GETPIVOTDATA("INSP_DATE",'AH D_Pivot'!$A$1,"EI_ID",A34,"SYS_CODE","A","INSP_NO",261,"EI_MODEL","AH-64D")))+270)</f>
        <v>42142</v>
      </c>
      <c r="L32" s="559">
        <f>SUM(MIN((GETPIVOTDATA("INSP_VAL",'AH H_Pivot'!$A$1,"EI_ID",A34,"SYS_CODE","A","INSP_NO",35,"EI_MODEL","AH-64D")),(GETPIVOTDATA("INSP_VAL",'AH H_Pivot'!$A$1,"EI_ID",A34,"SYS_CODE","A","INSP_NO",226,"EI_MODEL","AH-64D")),(GETPIVOTDATA("INSP_VAL",'AH H_Pivot'!$A$1,"EI_ID",A34,"SYS_CODE","A","INSP_NO",400,"EI_MODEL","AH-64D")),(GETPIVOTDATA("INSP_VAL",'AH H_Pivot'!$A$1,"EI_ID",A34,"SYS_CODE","W","INSP_NO",525,"EI_MODEL","AH-64D")),(GETPIVOTDATA("INSP_VAL",'AH H_Pivot'!$A$1,"EI_ID",A34,"SYS_CODE","A","INSP_NO",755,"EI_MODEL","AH-64D"))),500,-G32)</f>
        <v>50.3</v>
      </c>
      <c r="M32" s="562" t="str">
        <f>IF(ISBLANK(VLOOKUP(A34,Table__1_4AHB_v_gen_READINESS[],15,FALSE)),"",(VLOOKUP(A34,Table__1_4AHB_v_gen_READINESS[],15,FALSE)))</f>
        <v>#5 DRIVE SHAFT DAMPER HARDWARE FAILS TQ</v>
      </c>
      <c r="N32" s="563"/>
      <c r="O32" s="563"/>
      <c r="P32" s="563"/>
      <c r="Q32" s="563"/>
      <c r="R32" s="563"/>
      <c r="S32" s="563"/>
      <c r="T32" s="564" t="s">
        <v>475</v>
      </c>
      <c r="U32" s="565"/>
      <c r="V32" s="566"/>
      <c r="W32" s="566"/>
      <c r="X32" s="245">
        <f>IF(ISBLANK(VLOOKUP(A34,Table__1_4AHB_v_gen_READINESS[],17,FALSE)),"",(VLOOKUP(A34,Table__1_4AHB_v_gen_READINESS[],17,FALSE)))</f>
        <v>42101</v>
      </c>
      <c r="Y32" s="525" t="s">
        <v>16</v>
      </c>
      <c r="Z32" s="526">
        <f ca="1">'1-4 ARB'!S15</f>
        <v>0</v>
      </c>
      <c r="AA32" s="527">
        <f ca="1">'1-4 ARB'!T15</f>
        <v>0</v>
      </c>
    </row>
    <row r="33" spans="1:27" ht="25.5">
      <c r="A33" s="581"/>
      <c r="B33" s="583"/>
      <c r="C33" s="583"/>
      <c r="D33" s="407" t="s">
        <v>370</v>
      </c>
      <c r="E33" s="369" t="s">
        <v>371</v>
      </c>
      <c r="F33" s="584"/>
      <c r="G33" s="585"/>
      <c r="H33" s="586"/>
      <c r="I33" s="586"/>
      <c r="J33" s="586"/>
      <c r="K33" s="587"/>
      <c r="L33" s="560"/>
      <c r="M33" s="567"/>
      <c r="N33" s="568"/>
      <c r="O33" s="568"/>
      <c r="P33" s="568"/>
      <c r="Q33" s="568"/>
      <c r="R33" s="568"/>
      <c r="S33" s="568"/>
      <c r="T33" s="568"/>
      <c r="U33" s="568"/>
      <c r="V33" s="569"/>
      <c r="W33" s="569"/>
      <c r="X33" s="1">
        <f ca="1">IF(X32="","",$C$3-X32)</f>
        <v>14</v>
      </c>
      <c r="Y33" s="525"/>
      <c r="Z33" s="526"/>
      <c r="AA33" s="527"/>
    </row>
    <row r="34" spans="1:27" ht="25.5">
      <c r="A34" s="388" t="s">
        <v>166</v>
      </c>
      <c r="B34" s="588">
        <f>(VLOOKUP(A34,Table__1_4AHB_v_gen_READINESS[],37,FALSE)-TIME(7,0,0))</f>
        <v>42114.5307523148</v>
      </c>
      <c r="C34" s="588"/>
      <c r="D34" s="407" t="s">
        <v>19</v>
      </c>
      <c r="E34" s="369" t="s">
        <v>372</v>
      </c>
      <c r="F34" s="584"/>
      <c r="G34" s="585"/>
      <c r="H34" s="586"/>
      <c r="I34" s="586"/>
      <c r="J34" s="586"/>
      <c r="K34" s="587"/>
      <c r="L34" s="561"/>
      <c r="M34" s="570"/>
      <c r="N34" s="571"/>
      <c r="O34" s="571"/>
      <c r="P34" s="571"/>
      <c r="Q34" s="571"/>
      <c r="R34" s="571"/>
      <c r="S34" s="571"/>
      <c r="T34" s="572"/>
      <c r="U34" s="571"/>
      <c r="V34" s="558"/>
      <c r="W34" s="558"/>
      <c r="X34" s="246">
        <f>IF(ISBLANK(VLOOKUP(A34,Table__1_4AHB_v_gen_READINESS[],18,FALSE)),"",(VLOOKUP(A34,Table__1_4AHB_v_gen_READINESS[],18,FALSE)))</f>
        <v>42115</v>
      </c>
      <c r="Y34" s="525"/>
      <c r="Z34" s="526"/>
      <c r="AA34" s="527"/>
    </row>
    <row r="35" spans="1:27" ht="25.5">
      <c r="A35" s="581" t="s">
        <v>302</v>
      </c>
      <c r="B35" s="589" t="s">
        <v>65</v>
      </c>
      <c r="C35" s="589" t="s">
        <v>25</v>
      </c>
      <c r="D35" s="369" t="s">
        <v>373</v>
      </c>
      <c r="E35" s="516" t="s">
        <v>369</v>
      </c>
      <c r="F35" s="584" t="s">
        <v>248</v>
      </c>
      <c r="G35" s="585">
        <f>VLOOKUP(A37,Table__1_4AHB_v_gen_READINESS[],36,FALSE)</f>
        <v>1846.7</v>
      </c>
      <c r="H35" s="586">
        <f>SUM(MIN((GETPIVOTDATA("INSP_VAL",'AH H_Pivot'!$A$1,"EI_ID",A37,"SYS_CODE","A","INSP_NO",130,"EI_MODEL","AH-64D")),(GETPIVOTDATA("INSP_VAL",'AH H_Pivot'!$A$1,"EI_ID",A37,"SYS_CODE","A","INSP_NO",135,"EI_MODEL","AH-64D")),(GETPIVOTDATA("INSP_VAL",'AH H_Pivot'!$A$1,"EI_ID",A37,"SYS_CODE","A","INSP_NO",145,"EI_MODEL","AH-64D"))),50,-G35)</f>
        <v>21.2</v>
      </c>
      <c r="I35" s="586">
        <f>SUM(MIN((GETPIVOTDATA("INSP_VAL",'AH H_Pivot'!$A$1,"EI_ID",A37,"SYS_CODE","W","INSP_NO",45,"EI_MODEL","AH-64D")),(GETPIVOTDATA("INSP_VAL",'AH H_Pivot'!$A$1,"EI_ID",A37,"SYS_CODE","W","INSP_NO",46,"EI_MODEL","AH-64D")),(GETPIVOTDATA("INSP_VAL",'AH H_Pivot'!$A$1,"EI_ID",A37,"SYS_CODE","A","INSP_NO",150,"EI_MODEL","AH-64D")),(GETPIVOTDATA("INSP_VAL",'AH H_Pivot'!$A$1,"EI_ID",A37,"SYS_CODE","A","INSP_NO",152,"EI_MODEL","AH-64D")),(GETPIVOTDATA("INSP_VAL",'AH H_Pivot'!$A$1,"EI_ID",A37,"SYS_CODE","A","INSP_NO",195,"EI_MODEL","AH-64D")),(GETPIVOTDATA("INSP_VAL",'AH H_Pivot'!$A$1,"EI_ID",A37,"SYS_CODE","A","INSP_NO",224,"EI_MODEL","AH-64D")),(GETPIVOTDATA("INSP_VAL",'AH H_Pivot'!$A$1,"EI_ID",A37,"SYS_CODE","A","INSP_NO",260,"EI_MODEL","AH-64D")),(GETPIVOTDATA("INSP_VAL",'AH H_Pivot'!$A$1,"EI_ID",A37,"SYS_CODE","W","INSP_NO",533,"EI_MODEL","AH-64D"))),125,-G35)</f>
        <v>48.6</v>
      </c>
      <c r="J35" s="586">
        <f>SUM(MIN((GETPIVOTDATA("INSP_VAL",'AH H_Pivot'!$A$1,"EI_ID",A37,"SYS_CODE","A","INSP_NO",223,"EI_MODEL","AH-64D")),(GETPIVOTDATA("INSP_VAL",'AH H_Pivot'!$A$1,"EI_ID",A37,"SYS_CODE","A","INSP_NO",231,"EI_MODEL","AH-64D")),(GETPIVOTDATA("INSP_VAL",'AH H_Pivot'!$A$1,"EI_ID",A37,"SYS_CODE","A","INSP_NO",261,"EI_MODEL","AH-64D")),(GETPIVOTDATA("INSP_VAL",'AH H_Pivot'!$A$1,"EI_ID",A37,"SYS_CODE","A","INSP_NO",270,"EI_MODEL","AH-64D")),(GETPIVOTDATA("INSP_VAL",'AH H_Pivot'!$A$1,"EI_ID",A37,"SYS_CODE","A","INSP_NO",275,"EI_MODEL","AH-64D")),(GETPIVOTDATA("INSP_VAL",'AH H_Pivot'!$A$1,"EI_ID",A37,"SYS_CODE","A","INSP_NO",290,"EI_MODEL","AH-64D")),(GETPIVOTDATA("INSP_VAL",'AH H_Pivot'!$A$1,"EI_ID",A37,"SYS_CODE","A","INSP_NO",291,"EI_MODEL","AH-64D")),(GETPIVOTDATA("INSP_VAL",'AH H_Pivot'!$A$1,"EI_ID",A37,"SYS_CODE","A","INSP_NO",295,"EI_MODEL","AH-64D")),(GETPIVOTDATA("INSP_VAL",'AH H_Pivot'!$A$1,"EI_ID",A37,"SYS_CODE","A","INSP_NO",300,"EI_MODEL","AH-64D")),(GETPIVOTDATA("INSP_VAL",'AH H_Pivot'!$A$1,"EI_ID",A37,"SYS_CODE","A","INSP_NO",465,"EI_MODEL","AH-64D")),(GETPIVOTDATA("INSP_VAL",'AH H_Pivot'!$A$1,"EI_ID",A37,"SYS_CODE","W","INSP_NO",520,"EI_MODEL","AH-64D")),(GETPIVOTDATA("INSP_VAL",'AH H_Pivot'!$A$1,"EI_ID",A37,"SYS_CODE","A","INSP_NO",751,"EI_MODEL","AH-64D")),(GETPIVOTDATA("INSP_VAL",'AH H_Pivot'!$A$1,"EI_ID",A37,"SYS_CODE","A","INSP_NO",757,"EI_MODEL","AH-64D"))),250,-G35)</f>
        <v>173.6</v>
      </c>
      <c r="K35" s="587">
        <f>SUM(MIN((GETPIVOTDATA("INSP_DATE",'AH D_Pivot'!$A$1,"EI_ID",A37,"SYS_CODE","A","INSP_NO",260,"EI_MODEL","AH-64D")),(GETPIVOTDATA("INSP_DATE",'AH D_Pivot'!$A$1,"EI_ID",A37,"SYS_CODE","A","INSP_NO",261,"EI_MODEL","AH-64D")))+270)</f>
        <v>42234</v>
      </c>
      <c r="L35" s="559">
        <f>SUM(MIN((GETPIVOTDATA("INSP_VAL",'AH H_Pivot'!$A$1,"EI_ID",A37,"SYS_CODE","A","INSP_NO",35,"EI_MODEL","AH-64D")),(GETPIVOTDATA("INSP_VAL",'AH H_Pivot'!$A$1,"EI_ID",A37,"SYS_CODE","A","INSP_NO",226,"EI_MODEL","AH-64D")),(GETPIVOTDATA("INSP_VAL",'AH H_Pivot'!$A$1,"EI_ID",A37,"SYS_CODE","A","INSP_NO",400,"EI_MODEL","AH-64D")),(GETPIVOTDATA("INSP_VAL",'AH H_Pivot'!$A$1,"EI_ID",A37,"SYS_CODE","W","INSP_NO",525,"EI_MODEL","AH-64D")),(GETPIVOTDATA("INSP_VAL",'AH H_Pivot'!$A$1,"EI_ID",A37,"SYS_CODE","A","INSP_NO",755,"EI_MODEL","AH-64D"))),500,-G35)</f>
        <v>423.6</v>
      </c>
      <c r="M35" s="562" t="str">
        <f>IF(ISBLANK(VLOOKUP(A37,Table__1_4AHB_v_gen_READINESS[],15,FALSE)),"",(VLOOKUP(A37,Table__1_4AHB_v_gen_READINESS[],15,FALSE)))</f>
        <v>#2 ENG HORSESHOE MNT HARDWARE REPLACEMENT REQD</v>
      </c>
      <c r="N35" s="563"/>
      <c r="O35" s="563"/>
      <c r="P35" s="563"/>
      <c r="Q35" s="563"/>
      <c r="R35" s="563"/>
      <c r="S35" s="563"/>
      <c r="T35" s="564" t="s">
        <v>427</v>
      </c>
      <c r="U35" s="565"/>
      <c r="V35" s="566"/>
      <c r="W35" s="566"/>
      <c r="X35" s="245">
        <f>IF(ISBLANK(VLOOKUP(A37,Table__1_4AHB_v_gen_READINESS[],17,FALSE)),"",(VLOOKUP(A37,Table__1_4AHB_v_gen_READINESS[],17,FALSE)))</f>
        <v>42101</v>
      </c>
      <c r="Y35" s="525" t="s">
        <v>23</v>
      </c>
      <c r="Z35" s="526">
        <f ca="1">'1-4 ARB'!S19</f>
        <v>560</v>
      </c>
      <c r="AA35" s="527">
        <f ca="1">'1-4 ARB'!T19</f>
        <v>0.58299999999999996</v>
      </c>
    </row>
    <row r="36" spans="1:27" ht="25.5">
      <c r="A36" s="581"/>
      <c r="B36" s="583"/>
      <c r="C36" s="583"/>
      <c r="D36" s="407" t="s">
        <v>370</v>
      </c>
      <c r="E36" s="369" t="s">
        <v>371</v>
      </c>
      <c r="F36" s="584"/>
      <c r="G36" s="585"/>
      <c r="H36" s="586"/>
      <c r="I36" s="586"/>
      <c r="J36" s="586"/>
      <c r="K36" s="587"/>
      <c r="L36" s="560"/>
      <c r="M36" s="567" t="s">
        <v>478</v>
      </c>
      <c r="N36" s="568"/>
      <c r="O36" s="568"/>
      <c r="P36" s="568"/>
      <c r="Q36" s="568"/>
      <c r="R36" s="568"/>
      <c r="S36" s="568"/>
      <c r="T36" s="568" t="s">
        <v>479</v>
      </c>
      <c r="U36" s="568"/>
      <c r="V36" s="569"/>
      <c r="W36" s="569"/>
      <c r="X36" s="1">
        <f ca="1">IF(X35="","",$C$3-X35)</f>
        <v>14</v>
      </c>
      <c r="Y36" s="525"/>
      <c r="Z36" s="526"/>
      <c r="AA36" s="527"/>
    </row>
    <row r="37" spans="1:27" ht="25.5">
      <c r="A37" s="388" t="s">
        <v>152</v>
      </c>
      <c r="B37" s="588">
        <f>(VLOOKUP(A37,Table__1_4AHB_v_gen_READINESS[],37,FALSE)-TIME(7,0,0))</f>
        <v>42111.806921296302</v>
      </c>
      <c r="C37" s="588"/>
      <c r="D37" s="407" t="s">
        <v>19</v>
      </c>
      <c r="E37" s="369" t="s">
        <v>372</v>
      </c>
      <c r="F37" s="584"/>
      <c r="G37" s="585"/>
      <c r="H37" s="586"/>
      <c r="I37" s="586"/>
      <c r="J37" s="586"/>
      <c r="K37" s="587"/>
      <c r="L37" s="561"/>
      <c r="M37" s="570"/>
      <c r="N37" s="571"/>
      <c r="O37" s="571"/>
      <c r="P37" s="571"/>
      <c r="Q37" s="571"/>
      <c r="R37" s="571"/>
      <c r="S37" s="571"/>
      <c r="T37" s="572"/>
      <c r="U37" s="571"/>
      <c r="V37" s="558"/>
      <c r="W37" s="558"/>
      <c r="X37" s="246">
        <f>IF(ISBLANK(VLOOKUP(A37,Table__1_4AHB_v_gen_READINESS[],18,FALSE)),"",(VLOOKUP(A37,Table__1_4AHB_v_gen_READINESS[],18,FALSE)))</f>
        <v>42122</v>
      </c>
      <c r="Y37" s="525"/>
      <c r="Z37" s="526"/>
      <c r="AA37" s="527"/>
    </row>
    <row r="38" spans="1:27" ht="25.5">
      <c r="A38" s="581" t="s">
        <v>303</v>
      </c>
      <c r="B38" s="589" t="s">
        <v>24</v>
      </c>
      <c r="C38" s="589" t="s">
        <v>25</v>
      </c>
      <c r="D38" s="369"/>
      <c r="E38" s="516" t="s">
        <v>369</v>
      </c>
      <c r="F38" s="584" t="s">
        <v>248</v>
      </c>
      <c r="G38" s="585">
        <f>VLOOKUP(A40,Table__1_4AHB_v_gen_READINESS[],36,FALSE)</f>
        <v>1944.4</v>
      </c>
      <c r="H38" s="586">
        <f>SUM(MIN((GETPIVOTDATA("INSP_VAL",'AH H_Pivot'!$A$1,"EI_ID",A40,"SYS_CODE","A","INSP_NO",130,"EI_MODEL","AH-64D")),(GETPIVOTDATA("INSP_VAL",'AH H_Pivot'!$A$1,"EI_ID",A40,"SYS_CODE","A","INSP_NO",135,"EI_MODEL","AH-64D")),(GETPIVOTDATA("INSP_VAL",'AH H_Pivot'!$A$1,"EI_ID",A40,"SYS_CODE","A","INSP_NO",145,"EI_MODEL","AH-64D"))),50,-G38)</f>
        <v>40.299999999999997</v>
      </c>
      <c r="I38" s="586">
        <f>SUM(MIN((GETPIVOTDATA("INSP_VAL",'AH H_Pivot'!$A$1,"EI_ID",A40,"SYS_CODE","W","INSP_NO",45,"EI_MODEL","AH-64D")),(GETPIVOTDATA("INSP_VAL",'AH H_Pivot'!$A$1,"EI_ID",A40,"SYS_CODE","W","INSP_NO",46,"EI_MODEL","AH-64D")),(GETPIVOTDATA("INSP_VAL",'AH H_Pivot'!$A$1,"EI_ID",A40,"SYS_CODE","A","INSP_NO",150,"EI_MODEL","AH-64D")),(GETPIVOTDATA("INSP_VAL",'AH H_Pivot'!$A$1,"EI_ID",A40,"SYS_CODE","A","INSP_NO",152,"EI_MODEL","AH-64D")),(GETPIVOTDATA("INSP_VAL",'AH H_Pivot'!$A$1,"EI_ID",A40,"SYS_CODE","A","INSP_NO",195,"EI_MODEL","AH-64D")),(GETPIVOTDATA("INSP_VAL",'AH H_Pivot'!$A$1,"EI_ID",A40,"SYS_CODE","A","INSP_NO",224,"EI_MODEL","AH-64D")),(GETPIVOTDATA("INSP_VAL",'AH H_Pivot'!$A$1,"EI_ID",A40,"SYS_CODE","A","INSP_NO",260,"EI_MODEL","AH-64D")),(GETPIVOTDATA("INSP_VAL",'AH H_Pivot'!$A$1,"EI_ID",A40,"SYS_CODE","W","INSP_NO",533,"EI_MODEL","AH-64D"))),125,-G38)</f>
        <v>44</v>
      </c>
      <c r="J38" s="586">
        <f>SUM(MIN((GETPIVOTDATA("INSP_VAL",'AH H_Pivot'!$A$1,"EI_ID",A40,"SYS_CODE","A","INSP_NO",223,"EI_MODEL","AH-64D")),(GETPIVOTDATA("INSP_VAL",'AH H_Pivot'!$A$1,"EI_ID",A40,"SYS_CODE","A","INSP_NO",231,"EI_MODEL","AH-64D")),(GETPIVOTDATA("INSP_VAL",'AH H_Pivot'!$A$1,"EI_ID",A40,"SYS_CODE","A","INSP_NO",261,"EI_MODEL","AH-64D")),(GETPIVOTDATA("INSP_VAL",'AH H_Pivot'!$A$1,"EI_ID",A40,"SYS_CODE","A","INSP_NO",270,"EI_MODEL","AH-64D")),(GETPIVOTDATA("INSP_VAL",'AH H_Pivot'!$A$1,"EI_ID",A40,"SYS_CODE","A","INSP_NO",275,"EI_MODEL","AH-64D")),(GETPIVOTDATA("INSP_VAL",'AH H_Pivot'!$A$1,"EI_ID",A40,"SYS_CODE","A","INSP_NO",290,"EI_MODEL","AH-64D")),(GETPIVOTDATA("INSP_VAL",'AH H_Pivot'!$A$1,"EI_ID",A40,"SYS_CODE","A","INSP_NO",291,"EI_MODEL","AH-64D")),(GETPIVOTDATA("INSP_VAL",'AH H_Pivot'!$A$1,"EI_ID",A40,"SYS_CODE","A","INSP_NO",295,"EI_MODEL","AH-64D")),(GETPIVOTDATA("INSP_VAL",'AH H_Pivot'!$A$1,"EI_ID",A40,"SYS_CODE","A","INSP_NO",300,"EI_MODEL","AH-64D")),(GETPIVOTDATA("INSP_VAL",'AH H_Pivot'!$A$1,"EI_ID",A40,"SYS_CODE","A","INSP_NO",465,"EI_MODEL","AH-64D")),(GETPIVOTDATA("INSP_VAL",'AH H_Pivot'!$A$1,"EI_ID",A40,"SYS_CODE","W","INSP_NO",520,"EI_MODEL","AH-64D")),(GETPIVOTDATA("INSP_VAL",'AH H_Pivot'!$A$1,"EI_ID",A40,"SYS_CODE","A","INSP_NO",751,"EI_MODEL","AH-64D")),(GETPIVOTDATA("INSP_VAL",'AH H_Pivot'!$A$1,"EI_ID",A40,"SYS_CODE","A","INSP_NO",757,"EI_MODEL","AH-64D"))),250,-G38)</f>
        <v>57.1</v>
      </c>
      <c r="K38" s="587">
        <f>SUM(MIN((GETPIVOTDATA("INSP_DATE",'AH D_Pivot'!$A$1,"EI_ID",A40,"SYS_CODE","A","INSP_NO",260,"EI_MODEL","AH-64D")),(GETPIVOTDATA("INSP_DATE",'AH D_Pivot'!$A$1,"EI_ID",A40,"SYS_CODE","A","INSP_NO",261,"EI_MODEL","AH-64D")))+270)</f>
        <v>42338.452777777697</v>
      </c>
      <c r="L38" s="559">
        <f>SUM(MIN((GETPIVOTDATA("INSP_VAL",'AH H_Pivot'!$A$1,"EI_ID",A40,"SYS_CODE","A","INSP_NO",35,"EI_MODEL","AH-64D")),(GETPIVOTDATA("INSP_VAL",'AH H_Pivot'!$A$1,"EI_ID",A40,"SYS_CODE","A","INSP_NO",226,"EI_MODEL","AH-64D")),(GETPIVOTDATA("INSP_VAL",'AH H_Pivot'!$A$1,"EI_ID",A40,"SYS_CODE","A","INSP_NO",400,"EI_MODEL","AH-64D")),(GETPIVOTDATA("INSP_VAL",'AH H_Pivot'!$A$1,"EI_ID",A40,"SYS_CODE","W","INSP_NO",525,"EI_MODEL","AH-64D")),(GETPIVOTDATA("INSP_VAL",'AH H_Pivot'!$A$1,"EI_ID",A40,"SYS_CODE","A","INSP_NO",755,"EI_MODEL","AH-64D"))),500,-G38)</f>
        <v>74.400000000000006</v>
      </c>
      <c r="M38" s="562" t="str">
        <f>IF(ISBLANK(VLOOKUP(A40,Table__1_4AHB_v_gen_READINESS[],15,FALSE)),"",(VLOOKUP(A40,Table__1_4AHB_v_gen_READINESS[],15,FALSE)))</f>
        <v xml:space="preserve"> TAIL ROTOR PC LINK out of tolerance</v>
      </c>
      <c r="N38" s="563"/>
      <c r="O38" s="563"/>
      <c r="P38" s="563"/>
      <c r="Q38" s="563"/>
      <c r="R38" s="563"/>
      <c r="S38" s="563"/>
      <c r="T38" s="564" t="s">
        <v>494</v>
      </c>
      <c r="U38" s="565"/>
      <c r="V38" s="566"/>
      <c r="W38" s="566"/>
      <c r="X38" s="245">
        <f>IF(ISBLANK(VLOOKUP(A40,Table__1_4AHB_v_gen_READINESS[],17,FALSE)),"",(VLOOKUP(A40,Table__1_4AHB_v_gen_READINESS[],17,FALSE)))</f>
        <v>42107</v>
      </c>
      <c r="Y38" s="525" t="s">
        <v>22</v>
      </c>
      <c r="Z38" s="526">
        <f ca="1">'1-4 ARB'!S18</f>
        <v>0</v>
      </c>
      <c r="AA38" s="527">
        <f ca="1">'1-4 ARB'!T18</f>
        <v>0</v>
      </c>
    </row>
    <row r="39" spans="1:27" ht="25.5">
      <c r="A39" s="581"/>
      <c r="B39" s="583"/>
      <c r="C39" s="583"/>
      <c r="D39" s="407" t="s">
        <v>370</v>
      </c>
      <c r="E39" s="369" t="s">
        <v>371</v>
      </c>
      <c r="F39" s="584"/>
      <c r="G39" s="585"/>
      <c r="H39" s="586"/>
      <c r="I39" s="586"/>
      <c r="J39" s="586"/>
      <c r="K39" s="587"/>
      <c r="L39" s="560"/>
      <c r="M39" s="567" t="s">
        <v>493</v>
      </c>
      <c r="N39" s="568"/>
      <c r="O39" s="568"/>
      <c r="P39" s="568"/>
      <c r="Q39" s="568"/>
      <c r="R39" s="568"/>
      <c r="S39" s="568"/>
      <c r="T39" s="568" t="s">
        <v>495</v>
      </c>
      <c r="U39" s="568"/>
      <c r="V39" s="569"/>
      <c r="W39" s="569"/>
      <c r="X39" s="1">
        <f ca="1">IF(X38="","",$C$3-X38)</f>
        <v>8</v>
      </c>
      <c r="Y39" s="525"/>
      <c r="Z39" s="526"/>
      <c r="AA39" s="527"/>
    </row>
    <row r="40" spans="1:27" ht="25.5">
      <c r="A40" s="388" t="s">
        <v>167</v>
      </c>
      <c r="B40" s="588">
        <f>(VLOOKUP(A40,Table__1_4AHB_v_gen_READINESS[],37,FALSE)-TIME(7,0,0))</f>
        <v>42111.727291666597</v>
      </c>
      <c r="C40" s="588"/>
      <c r="D40" s="407" t="s">
        <v>19</v>
      </c>
      <c r="E40" s="369" t="s">
        <v>372</v>
      </c>
      <c r="F40" s="584"/>
      <c r="G40" s="585"/>
      <c r="H40" s="586"/>
      <c r="I40" s="586"/>
      <c r="J40" s="586"/>
      <c r="K40" s="587"/>
      <c r="L40" s="561"/>
      <c r="M40" s="570" t="s">
        <v>430</v>
      </c>
      <c r="N40" s="571"/>
      <c r="O40" s="571"/>
      <c r="P40" s="571"/>
      <c r="Q40" s="571"/>
      <c r="R40" s="571"/>
      <c r="S40" s="571"/>
      <c r="T40" s="572"/>
      <c r="U40" s="571"/>
      <c r="V40" s="558"/>
      <c r="W40" s="558"/>
      <c r="X40" s="246">
        <f>IF(ISBLANK(VLOOKUP(A40,Table__1_4AHB_v_gen_READINESS[],18,FALSE)),"",(VLOOKUP(A40,Table__1_4AHB_v_gen_READINESS[],18,FALSE)))</f>
        <v>42122</v>
      </c>
      <c r="Y40" s="525"/>
      <c r="Z40" s="526"/>
      <c r="AA40" s="527"/>
    </row>
    <row r="41" spans="1:27" ht="25.5">
      <c r="A41" s="581" t="s">
        <v>81</v>
      </c>
      <c r="B41" s="589" t="s">
        <v>23</v>
      </c>
      <c r="C41" s="589" t="s">
        <v>17</v>
      </c>
      <c r="D41" s="369" t="s">
        <v>373</v>
      </c>
      <c r="E41" s="516" t="s">
        <v>369</v>
      </c>
      <c r="F41" s="584" t="s">
        <v>248</v>
      </c>
      <c r="G41" s="585">
        <f>VLOOKUP(A43,Table__1_4AHB_v_gen_READINESS[],36,FALSE)</f>
        <v>2835.8</v>
      </c>
      <c r="H41" s="586">
        <f>SUM(MIN((GETPIVOTDATA("INSP_VAL",'AH H_Pivot'!$A$1,"EI_ID",A43,"SYS_CODE","A","INSP_NO",130,"EI_MODEL","AH-64D")),(GETPIVOTDATA("INSP_VAL",'AH H_Pivot'!$A$1,"EI_ID",A43,"SYS_CODE","A","INSP_NO",135,"EI_MODEL","AH-64D")),(GETPIVOTDATA("INSP_VAL",'AH H_Pivot'!$A$1,"EI_ID",A43,"SYS_CODE","A","INSP_NO",145,"EI_MODEL","AH-64D"))),50,-G41)</f>
        <v>27</v>
      </c>
      <c r="I41" s="586">
        <f>SUM(MIN((GETPIVOTDATA("INSP_VAL",'AH H_Pivot'!$A$1,"EI_ID",A43,"SYS_CODE","W","INSP_NO",45,"EI_MODEL","AH-64D")),(GETPIVOTDATA("INSP_VAL",'AH H_Pivot'!$A$1,"EI_ID",A43,"SYS_CODE","W","INSP_NO",46,"EI_MODEL","AH-64D")),(GETPIVOTDATA("INSP_VAL",'AH H_Pivot'!$A$1,"EI_ID",A43,"SYS_CODE","A","INSP_NO",150,"EI_MODEL","AH-64D")),(GETPIVOTDATA("INSP_VAL",'AH H_Pivot'!$A$1,"EI_ID",A43,"SYS_CODE","A","INSP_NO",152,"EI_MODEL","AH-64D")),(GETPIVOTDATA("INSP_VAL",'AH H_Pivot'!$A$1,"EI_ID",A43,"SYS_CODE","A","INSP_NO",195,"EI_MODEL","AH-64D")),(GETPIVOTDATA("INSP_VAL",'AH H_Pivot'!$A$1,"EI_ID",A43,"SYS_CODE","A","INSP_NO",224,"EI_MODEL","AH-64D")),(GETPIVOTDATA("INSP_VAL",'AH H_Pivot'!$A$1,"EI_ID",A43,"SYS_CODE","A","INSP_NO",260,"EI_MODEL","AH-64D")),(GETPIVOTDATA("INSP_VAL",'AH H_Pivot'!$A$1,"EI_ID",A43,"SYS_CODE","W","INSP_NO",533,"EI_MODEL","AH-64D"))),125,-G41)</f>
        <v>85</v>
      </c>
      <c r="J41" s="586">
        <f>SUM(MIN((GETPIVOTDATA("INSP_VAL",'AH H_Pivot'!$A$1,"EI_ID",A43,"SYS_CODE","A","INSP_NO",223,"EI_MODEL","AH-64D")),(GETPIVOTDATA("INSP_VAL",'AH H_Pivot'!$A$1,"EI_ID",A43,"SYS_CODE","A","INSP_NO",231,"EI_MODEL","AH-64D")),(GETPIVOTDATA("INSP_VAL",'AH H_Pivot'!$A$1,"EI_ID",A43,"SYS_CODE","A","INSP_NO",261,"EI_MODEL","AH-64D")),(GETPIVOTDATA("INSP_VAL",'AH H_Pivot'!$A$1,"EI_ID",A43,"SYS_CODE","A","INSP_NO",270,"EI_MODEL","AH-64D")),(GETPIVOTDATA("INSP_VAL",'AH H_Pivot'!$A$1,"EI_ID",A43,"SYS_CODE","A","INSP_NO",275,"EI_MODEL","AH-64D")),(GETPIVOTDATA("INSP_VAL",'AH H_Pivot'!$A$1,"EI_ID",A43,"SYS_CODE","A","INSP_NO",290,"EI_MODEL","AH-64D")),(GETPIVOTDATA("INSP_VAL",'AH H_Pivot'!$A$1,"EI_ID",A43,"SYS_CODE","A","INSP_NO",291,"EI_MODEL","AH-64D")),(GETPIVOTDATA("INSP_VAL",'AH H_Pivot'!$A$1,"EI_ID",A43,"SYS_CODE","A","INSP_NO",295,"EI_MODEL","AH-64D")),(GETPIVOTDATA("INSP_VAL",'AH H_Pivot'!$A$1,"EI_ID",A43,"SYS_CODE","A","INSP_NO",300,"EI_MODEL","AH-64D")),(GETPIVOTDATA("INSP_VAL",'AH H_Pivot'!$A$1,"EI_ID",A43,"SYS_CODE","A","INSP_NO",465,"EI_MODEL","AH-64D")),(GETPIVOTDATA("INSP_VAL",'AH H_Pivot'!$A$1,"EI_ID",A43,"SYS_CODE","W","INSP_NO",520,"EI_MODEL","AH-64D")),(GETPIVOTDATA("INSP_VAL",'AH H_Pivot'!$A$1,"EI_ID",A43,"SYS_CODE","A","INSP_NO",751,"EI_MODEL","AH-64D")),(GETPIVOTDATA("INSP_VAL",'AH H_Pivot'!$A$1,"EI_ID",A43,"SYS_CODE","A","INSP_NO",757,"EI_MODEL","AH-64D"))),250,-G41)</f>
        <v>85</v>
      </c>
      <c r="K41" s="587">
        <f>SUM(MIN((GETPIVOTDATA("INSP_DATE",'AH D_Pivot'!$A$1,"EI_ID",A43,"SYS_CODE","A","INSP_NO",260,"EI_MODEL","AH-64D")),(GETPIVOTDATA("INSP_DATE",'AH D_Pivot'!$A$1,"EI_ID",A43,"SYS_CODE","A","INSP_NO",261,"EI_MODEL","AH-64D")))+270)</f>
        <v>42248.463888888902</v>
      </c>
      <c r="L41" s="559">
        <f>SUM(MIN((GETPIVOTDATA("INSP_VAL",'AH H_Pivot'!$A$1,"EI_ID",A43,"SYS_CODE","A","INSP_NO",35,"EI_MODEL","AH-64D")),(GETPIVOTDATA("INSP_VAL",'AH H_Pivot'!$A$1,"EI_ID",A43,"SYS_CODE","A","INSP_NO",226,"EI_MODEL","AH-64D")),(GETPIVOTDATA("INSP_VAL",'AH H_Pivot'!$A$1,"EI_ID",A43,"SYS_CODE","A","INSP_NO",400,"EI_MODEL","AH-64D")),(GETPIVOTDATA("INSP_VAL",'AH H_Pivot'!$A$1,"EI_ID",A43,"SYS_CODE","W","INSP_NO",525,"EI_MODEL","AH-64D")),(GETPIVOTDATA("INSP_VAL",'AH H_Pivot'!$A$1,"EI_ID",A43,"SYS_CODE","A","INSP_NO",755,"EI_MODEL","AH-64D"))),500,-G41)</f>
        <v>335</v>
      </c>
      <c r="M41" s="562" t="str">
        <f>IF(ISBLANK(VLOOKUP(A43,Table__1_4AHB_v_gen_READINESS[],15,FALSE)),"",(VLOOKUP(A43,Table__1_4AHB_v_gen_READINESS[],15,FALSE)))</f>
        <v>FCR Fails IBIT</v>
      </c>
      <c r="N41" s="563"/>
      <c r="O41" s="563"/>
      <c r="P41" s="563"/>
      <c r="Q41" s="563"/>
      <c r="R41" s="563"/>
      <c r="S41" s="563"/>
      <c r="T41" s="564"/>
      <c r="U41" s="565"/>
      <c r="V41" s="566"/>
      <c r="W41" s="566"/>
      <c r="X41" s="245">
        <f>IF(ISBLANK(VLOOKUP(A43,Table__1_4AHB_v_gen_READINESS[],17,FALSE)),"",(VLOOKUP(A43,Table__1_4AHB_v_gen_READINESS[],17,FALSE)))</f>
        <v>42083</v>
      </c>
      <c r="Y41" s="525" t="s">
        <v>65</v>
      </c>
      <c r="Z41" s="526">
        <f ca="1">'1-4 ARB'!S16</f>
        <v>240</v>
      </c>
      <c r="AA41" s="527">
        <f ca="1">'1-4 ARB'!T16</f>
        <v>0.25</v>
      </c>
    </row>
    <row r="42" spans="1:27" ht="25.5">
      <c r="A42" s="581"/>
      <c r="B42" s="583"/>
      <c r="C42" s="583"/>
      <c r="D42" s="407" t="s">
        <v>370</v>
      </c>
      <c r="E42" s="369" t="s">
        <v>371</v>
      </c>
      <c r="F42" s="584"/>
      <c r="G42" s="585"/>
      <c r="H42" s="586"/>
      <c r="I42" s="586"/>
      <c r="J42" s="586"/>
      <c r="K42" s="587"/>
      <c r="L42" s="560"/>
      <c r="M42" s="567" t="s">
        <v>18</v>
      </c>
      <c r="N42" s="568"/>
      <c r="O42" s="568"/>
      <c r="P42" s="568"/>
      <c r="Q42" s="568"/>
      <c r="R42" s="568"/>
      <c r="S42" s="568"/>
      <c r="T42" s="568" t="s">
        <v>18</v>
      </c>
      <c r="U42" s="568"/>
      <c r="V42" s="569"/>
      <c r="W42" s="569"/>
      <c r="X42" s="1">
        <f ca="1">IF(X41="","",$C$3-X41)</f>
        <v>32</v>
      </c>
      <c r="Y42" s="525"/>
      <c r="Z42" s="526"/>
      <c r="AA42" s="527"/>
    </row>
    <row r="43" spans="1:27" ht="25.5">
      <c r="A43" s="388" t="s">
        <v>154</v>
      </c>
      <c r="B43" s="588">
        <f>(VLOOKUP(A43,Table__1_4AHB_v_gen_READINESS[],37,FALSE)-TIME(7,0,0))</f>
        <v>42111.566203703696</v>
      </c>
      <c r="C43" s="588"/>
      <c r="D43" s="407" t="s">
        <v>19</v>
      </c>
      <c r="E43" s="369" t="s">
        <v>372</v>
      </c>
      <c r="F43" s="584"/>
      <c r="G43" s="585"/>
      <c r="H43" s="586"/>
      <c r="I43" s="586"/>
      <c r="J43" s="586"/>
      <c r="K43" s="587"/>
      <c r="L43" s="561"/>
      <c r="M43" s="570"/>
      <c r="N43" s="571"/>
      <c r="O43" s="571"/>
      <c r="P43" s="571"/>
      <c r="Q43" s="571"/>
      <c r="R43" s="571"/>
      <c r="S43" s="571"/>
      <c r="T43" s="572"/>
      <c r="U43" s="571"/>
      <c r="V43" s="558"/>
      <c r="W43" s="558"/>
      <c r="X43" s="246">
        <f>IF(ISBLANK(VLOOKUP(A43,Table__1_4AHB_v_gen_READINESS[],18,FALSE)),"",(VLOOKUP(A43,Table__1_4AHB_v_gen_READINESS[],18,FALSE)))</f>
        <v>42115</v>
      </c>
      <c r="Y43" s="525"/>
      <c r="Z43" s="526"/>
      <c r="AA43" s="527"/>
    </row>
    <row r="44" spans="1:27" ht="25.5">
      <c r="A44" s="581" t="s">
        <v>304</v>
      </c>
      <c r="B44" s="589" t="s">
        <v>23</v>
      </c>
      <c r="C44" s="589" t="s">
        <v>17</v>
      </c>
      <c r="D44" s="369"/>
      <c r="E44" s="516" t="s">
        <v>369</v>
      </c>
      <c r="F44" s="584" t="s">
        <v>248</v>
      </c>
      <c r="G44" s="585">
        <f>VLOOKUP(A46,Table__1_4AHB_v_gen_READINESS[],36,FALSE)</f>
        <v>5291.3</v>
      </c>
      <c r="H44" s="586">
        <f>SUM(MIN((GETPIVOTDATA("INSP_VAL",'AH H_Pivot'!$A$1,"EI_ID",A46,"SYS_CODE","A","INSP_NO",130,"EI_MODEL","AH-64D")),(GETPIVOTDATA("INSP_VAL",'AH H_Pivot'!$A$1,"EI_ID",A46,"SYS_CODE","A","INSP_NO",135,"EI_MODEL","AH-64D")),(GETPIVOTDATA("INSP_VAL",'AH H_Pivot'!$A$1,"EI_ID",A46,"SYS_CODE","A","INSP_NO",145,"EI_MODEL","AH-64D"))),50,-G44)</f>
        <v>50</v>
      </c>
      <c r="I44" s="586">
        <f>SUM(MIN((GETPIVOTDATA("INSP_VAL",'AH H_Pivot'!$A$1,"EI_ID",A46,"SYS_CODE","W","INSP_NO",45,"EI_MODEL","AH-64D")),(GETPIVOTDATA("INSP_VAL",'AH H_Pivot'!$A$1,"EI_ID",A46,"SYS_CODE","W","INSP_NO",46,"EI_MODEL","AH-64D")),(GETPIVOTDATA("INSP_VAL",'AH H_Pivot'!$A$1,"EI_ID",A46,"SYS_CODE","A","INSP_NO",150,"EI_MODEL","AH-64D")),(GETPIVOTDATA("INSP_VAL",'AH H_Pivot'!$A$1,"EI_ID",A46,"SYS_CODE","A","INSP_NO",152,"EI_MODEL","AH-64D")),(GETPIVOTDATA("INSP_VAL",'AH H_Pivot'!$A$1,"EI_ID",A46,"SYS_CODE","A","INSP_NO",195,"EI_MODEL","AH-64D")),(GETPIVOTDATA("INSP_VAL",'AH H_Pivot'!$A$1,"EI_ID",A46,"SYS_CODE","A","INSP_NO",224,"EI_MODEL","AH-64D")),(GETPIVOTDATA("INSP_VAL",'AH H_Pivot'!$A$1,"EI_ID",A46,"SYS_CODE","A","INSP_NO",260,"EI_MODEL","AH-64D")),(GETPIVOTDATA("INSP_VAL",'AH H_Pivot'!$A$1,"EI_ID",A46,"SYS_CODE","W","INSP_NO",533,"EI_MODEL","AH-64D"))),125,-G44)</f>
        <v>33.1</v>
      </c>
      <c r="J44" s="586">
        <f>SUM(MIN((GETPIVOTDATA("INSP_VAL",'AH H_Pivot'!$A$1,"EI_ID",A46,"SYS_CODE","A","INSP_NO",223,"EI_MODEL","AH-64D")),(GETPIVOTDATA("INSP_VAL",'AH H_Pivot'!$A$1,"EI_ID",A46,"SYS_CODE","A","INSP_NO",231,"EI_MODEL","AH-64D")),(GETPIVOTDATA("INSP_VAL",'AH H_Pivot'!$A$1,"EI_ID",A46,"SYS_CODE","A","INSP_NO",261,"EI_MODEL","AH-64D")),(GETPIVOTDATA("INSP_VAL",'AH H_Pivot'!$A$1,"EI_ID",A46,"SYS_CODE","A","INSP_NO",270,"EI_MODEL","AH-64D")),(GETPIVOTDATA("INSP_VAL",'AH H_Pivot'!$A$1,"EI_ID",A46,"SYS_CODE","A","INSP_NO",275,"EI_MODEL","AH-64D")),(GETPIVOTDATA("INSP_VAL",'AH H_Pivot'!$A$1,"EI_ID",A46,"SYS_CODE","A","INSP_NO",290,"EI_MODEL","AH-64D")),(GETPIVOTDATA("INSP_VAL",'AH H_Pivot'!$A$1,"EI_ID",A46,"SYS_CODE","A","INSP_NO",291,"EI_MODEL","AH-64D")),(GETPIVOTDATA("INSP_VAL",'AH H_Pivot'!$A$1,"EI_ID",A46,"SYS_CODE","A","INSP_NO",295,"EI_MODEL","AH-64D")),(GETPIVOTDATA("INSP_VAL",'AH H_Pivot'!$A$1,"EI_ID",A46,"SYS_CODE","A","INSP_NO",300,"EI_MODEL","AH-64D")),(GETPIVOTDATA("INSP_VAL",'AH H_Pivot'!$A$1,"EI_ID",A46,"SYS_CODE","A","INSP_NO",465,"EI_MODEL","AH-64D")),(GETPIVOTDATA("INSP_VAL",'AH H_Pivot'!$A$1,"EI_ID",A46,"SYS_CODE","W","INSP_NO",520,"EI_MODEL","AH-64D")),(GETPIVOTDATA("INSP_VAL",'AH H_Pivot'!$A$1,"EI_ID",A46,"SYS_CODE","A","INSP_NO",751,"EI_MODEL","AH-64D")),(GETPIVOTDATA("INSP_VAL",'AH H_Pivot'!$A$1,"EI_ID",A46,"SYS_CODE","A","INSP_NO",757,"EI_MODEL","AH-64D"))),250,-G44)</f>
        <v>158.1</v>
      </c>
      <c r="K44" s="587">
        <f>SUM(MIN((GETPIVOTDATA("INSP_DATE",'AH D_Pivot'!$A$1,"EI_ID",A46,"SYS_CODE","A","INSP_NO",260,"EI_MODEL","AH-64D")),(GETPIVOTDATA("INSP_DATE",'AH D_Pivot'!$A$1,"EI_ID",A46,"SYS_CODE","A","INSP_NO",261,"EI_MODEL","AH-64D")))+270)</f>
        <v>42344.690277777801</v>
      </c>
      <c r="L44" s="559">
        <f>SUM(MIN((GETPIVOTDATA("INSP_VAL",'AH H_Pivot'!$A$1,"EI_ID",A46,"SYS_CODE","A","INSP_NO",35,"EI_MODEL","AH-64D")),(GETPIVOTDATA("INSP_VAL",'AH H_Pivot'!$A$1,"EI_ID",A46,"SYS_CODE","A","INSP_NO",226,"EI_MODEL","AH-64D")),(GETPIVOTDATA("INSP_VAL",'AH H_Pivot'!$A$1,"EI_ID",A46,"SYS_CODE","A","INSP_NO",400,"EI_MODEL","AH-64D")),(GETPIVOTDATA("INSP_VAL",'AH H_Pivot'!$A$1,"EI_ID",A46,"SYS_CODE","W","INSP_NO",525,"EI_MODEL","AH-64D")),(GETPIVOTDATA("INSP_VAL",'AH H_Pivot'!$A$1,"EI_ID",A46,"SYS_CODE","A","INSP_NO",755,"EI_MODEL","AH-64D"))),500,-G44)</f>
        <v>408.1</v>
      </c>
      <c r="M44" s="562" t="str">
        <f>IF(ISBLANK(VLOOKUP(A46,Table__1_4AHB_v_gen_READINESS[],15,FALSE)),"",(VLOOKUP(A46,Table__1_4AHB_v_gen_READINESS[],15,FALSE)))</f>
        <v>ASE Not Installed</v>
      </c>
      <c r="N44" s="563"/>
      <c r="O44" s="563"/>
      <c r="P44" s="563"/>
      <c r="Q44" s="563"/>
      <c r="R44" s="563"/>
      <c r="S44" s="563"/>
      <c r="T44" s="564" t="s">
        <v>425</v>
      </c>
      <c r="U44" s="565"/>
      <c r="V44" s="566"/>
      <c r="W44" s="566"/>
      <c r="X44" s="245">
        <f>IF(ISBLANK(VLOOKUP(A46,Table__1_4AHB_v_gen_READINESS[],17,FALSE)),"",(VLOOKUP(A46,Table__1_4AHB_v_gen_READINESS[],17,FALSE)))</f>
        <v>42093</v>
      </c>
      <c r="Y44" s="525" t="s">
        <v>24</v>
      </c>
      <c r="Z44" s="526">
        <f ca="1">'1-4 ARB'!S17</f>
        <v>160</v>
      </c>
      <c r="AA44" s="527">
        <f ca="1">'1-4 ARB'!T17</f>
        <v>0.16700000000000001</v>
      </c>
    </row>
    <row r="45" spans="1:27" ht="25.5">
      <c r="A45" s="581"/>
      <c r="B45" s="583"/>
      <c r="C45" s="583"/>
      <c r="D45" s="516" t="s">
        <v>370</v>
      </c>
      <c r="E45" s="369" t="s">
        <v>371</v>
      </c>
      <c r="F45" s="584"/>
      <c r="G45" s="585"/>
      <c r="H45" s="586"/>
      <c r="I45" s="586"/>
      <c r="J45" s="586"/>
      <c r="K45" s="587"/>
      <c r="L45" s="560"/>
      <c r="M45" s="567"/>
      <c r="N45" s="568"/>
      <c r="O45" s="568"/>
      <c r="P45" s="568"/>
      <c r="Q45" s="568"/>
      <c r="R45" s="568"/>
      <c r="S45" s="568"/>
      <c r="T45" s="568"/>
      <c r="U45" s="568"/>
      <c r="V45" s="569"/>
      <c r="W45" s="569"/>
      <c r="X45" s="1">
        <f ca="1">IF(X44="","",$C$3-X44)</f>
        <v>22</v>
      </c>
      <c r="Y45" s="525"/>
      <c r="Z45" s="526"/>
      <c r="AA45" s="527"/>
    </row>
    <row r="46" spans="1:27" ht="25.5">
      <c r="A46" s="388" t="s">
        <v>168</v>
      </c>
      <c r="B46" s="588">
        <f>(VLOOKUP(A46,Table__1_4AHB_v_gen_READINESS[],37,FALSE)-TIME(7,0,0))</f>
        <v>42111.339722222197</v>
      </c>
      <c r="C46" s="588"/>
      <c r="D46" s="407" t="s">
        <v>19</v>
      </c>
      <c r="E46" s="369" t="s">
        <v>372</v>
      </c>
      <c r="F46" s="584"/>
      <c r="G46" s="585"/>
      <c r="H46" s="586"/>
      <c r="I46" s="586"/>
      <c r="J46" s="586"/>
      <c r="K46" s="587"/>
      <c r="L46" s="561"/>
      <c r="M46" s="570"/>
      <c r="N46" s="571"/>
      <c r="O46" s="571"/>
      <c r="P46" s="571"/>
      <c r="Q46" s="571"/>
      <c r="R46" s="571"/>
      <c r="S46" s="571"/>
      <c r="T46" s="572"/>
      <c r="U46" s="571"/>
      <c r="V46" s="558"/>
      <c r="W46" s="558"/>
      <c r="X46" s="246">
        <f>IF(ISBLANK(VLOOKUP(A46,Table__1_4AHB_v_gen_READINESS[],18,FALSE)),"",(VLOOKUP(A46,Table__1_4AHB_v_gen_READINESS[],18,FALSE)))</f>
        <v>42115</v>
      </c>
      <c r="Y46" s="525"/>
      <c r="Z46" s="526"/>
      <c r="AA46" s="527"/>
    </row>
    <row r="47" spans="1:27" ht="25.5">
      <c r="A47" s="581" t="s">
        <v>305</v>
      </c>
      <c r="B47" s="589" t="s">
        <v>23</v>
      </c>
      <c r="C47" s="589" t="s">
        <v>17</v>
      </c>
      <c r="D47" s="369" t="s">
        <v>373</v>
      </c>
      <c r="E47" s="516" t="s">
        <v>369</v>
      </c>
      <c r="F47" s="584" t="s">
        <v>248</v>
      </c>
      <c r="G47" s="585">
        <f>VLOOKUP(A49,Table__1_4AHB_v_gen_READINESS[],36,FALSE)</f>
        <v>5291.6</v>
      </c>
      <c r="H47" s="586">
        <f>SUM(MIN((GETPIVOTDATA("INSP_VAL",'AH H_Pivot'!$A$1,"EI_ID",A49,"SYS_CODE","A","INSP_NO",130,"EI_MODEL","AH-64D")),(GETPIVOTDATA("INSP_VAL",'AH H_Pivot'!$A$1,"EI_ID",A49,"SYS_CODE","A","INSP_NO",135,"EI_MODEL","AH-64D")),(GETPIVOTDATA("INSP_VAL",'AH H_Pivot'!$A$1,"EI_ID",A49,"SYS_CODE","A","INSP_NO",145,"EI_MODEL","AH-64D"))),50,-G47)</f>
        <v>27.1</v>
      </c>
      <c r="I47" s="586">
        <f>SUM(MIN((GETPIVOTDATA("INSP_VAL",'AH H_Pivot'!$A$1,"EI_ID",A49,"SYS_CODE","W","INSP_NO",45,"EI_MODEL","AH-64D")),(GETPIVOTDATA("INSP_VAL",'AH H_Pivot'!$A$1,"EI_ID",A49,"SYS_CODE","W","INSP_NO",46,"EI_MODEL","AH-64D")),(GETPIVOTDATA("INSP_VAL",'AH H_Pivot'!$A$1,"EI_ID",A49,"SYS_CODE","A","INSP_NO",150,"EI_MODEL","AH-64D")),(GETPIVOTDATA("INSP_VAL",'AH H_Pivot'!$A$1,"EI_ID",A49,"SYS_CODE","A","INSP_NO",152,"EI_MODEL","AH-64D")),(GETPIVOTDATA("INSP_VAL",'AH H_Pivot'!$A$1,"EI_ID",A49,"SYS_CODE","A","INSP_NO",195,"EI_MODEL","AH-64D")),(GETPIVOTDATA("INSP_VAL",'AH H_Pivot'!$A$1,"EI_ID",A49,"SYS_CODE","A","INSP_NO",224,"EI_MODEL","AH-64D")),(GETPIVOTDATA("INSP_VAL",'AH H_Pivot'!$A$1,"EI_ID",A49,"SYS_CODE","A","INSP_NO",260,"EI_MODEL","AH-64D")),(GETPIVOTDATA("INSP_VAL",'AH H_Pivot'!$A$1,"EI_ID",A49,"SYS_CODE","W","INSP_NO",533,"EI_MODEL","AH-64D"))),125,-G47)</f>
        <v>39.4</v>
      </c>
      <c r="J47" s="586">
        <f>SUM(MIN((GETPIVOTDATA("INSP_VAL",'AH H_Pivot'!$A$1,"EI_ID",A49,"SYS_CODE","A","INSP_NO",223,"EI_MODEL","AH-64D")),(GETPIVOTDATA("INSP_VAL",'AH H_Pivot'!$A$1,"EI_ID",A49,"SYS_CODE","A","INSP_NO",231,"EI_MODEL","AH-64D")),(GETPIVOTDATA("INSP_VAL",'AH H_Pivot'!$A$1,"EI_ID",A49,"SYS_CODE","A","INSP_NO",261,"EI_MODEL","AH-64D")),(GETPIVOTDATA("INSP_VAL",'AH H_Pivot'!$A$1,"EI_ID",A49,"SYS_CODE","A","INSP_NO",270,"EI_MODEL","AH-64D")),(GETPIVOTDATA("INSP_VAL",'AH H_Pivot'!$A$1,"EI_ID",A49,"SYS_CODE","A","INSP_NO",275,"EI_MODEL","AH-64D")),(GETPIVOTDATA("INSP_VAL",'AH H_Pivot'!$A$1,"EI_ID",A49,"SYS_CODE","A","INSP_NO",290,"EI_MODEL","AH-64D")),(GETPIVOTDATA("INSP_VAL",'AH H_Pivot'!$A$1,"EI_ID",A49,"SYS_CODE","A","INSP_NO",291,"EI_MODEL","AH-64D")),(GETPIVOTDATA("INSP_VAL",'AH H_Pivot'!$A$1,"EI_ID",A49,"SYS_CODE","A","INSP_NO",295,"EI_MODEL","AH-64D")),(GETPIVOTDATA("INSP_VAL",'AH H_Pivot'!$A$1,"EI_ID",A49,"SYS_CODE","A","INSP_NO",300,"EI_MODEL","AH-64D")),(GETPIVOTDATA("INSP_VAL",'AH H_Pivot'!$A$1,"EI_ID",A49,"SYS_CODE","A","INSP_NO",465,"EI_MODEL","AH-64D")),(GETPIVOTDATA("INSP_VAL",'AH H_Pivot'!$A$1,"EI_ID",A49,"SYS_CODE","W","INSP_NO",520,"EI_MODEL","AH-64D")),(GETPIVOTDATA("INSP_VAL",'AH H_Pivot'!$A$1,"EI_ID",A49,"SYS_CODE","A","INSP_NO",751,"EI_MODEL","AH-64D")),(GETPIVOTDATA("INSP_VAL",'AH H_Pivot'!$A$1,"EI_ID",A49,"SYS_CODE","A","INSP_NO",757,"EI_MODEL","AH-64D"))),250,-G47)</f>
        <v>39.4</v>
      </c>
      <c r="K47" s="587">
        <f>SUM(MIN((GETPIVOTDATA("INSP_DATE",'AH D_Pivot'!$A$1,"EI_ID",A49,"SYS_CODE","A","INSP_NO",260,"EI_MODEL","AH-64D")),(GETPIVOTDATA("INSP_DATE",'AH D_Pivot'!$A$1,"EI_ID",A49,"SYS_CODE","A","INSP_NO",261,"EI_MODEL","AH-64D")))+270)</f>
        <v>42269</v>
      </c>
      <c r="L47" s="559">
        <f>SUM(MIN((GETPIVOTDATA("INSP_VAL",'AH H_Pivot'!$A$1,"EI_ID",A49,"SYS_CODE","A","INSP_NO",35,"EI_MODEL","AH-64D")),(GETPIVOTDATA("INSP_VAL",'AH H_Pivot'!$A$1,"EI_ID",A49,"SYS_CODE","A","INSP_NO",226,"EI_MODEL","AH-64D")),(GETPIVOTDATA("INSP_VAL",'AH H_Pivot'!$A$1,"EI_ID",A49,"SYS_CODE","A","INSP_NO",400,"EI_MODEL","AH-64D")),(GETPIVOTDATA("INSP_VAL",'AH H_Pivot'!$A$1,"EI_ID",A49,"SYS_CODE","W","INSP_NO",525,"EI_MODEL","AH-64D")),(GETPIVOTDATA("INSP_VAL",'AH H_Pivot'!$A$1,"EI_ID",A49,"SYS_CODE","A","INSP_NO",755,"EI_MODEL","AH-64D"))),500,-G47)</f>
        <v>289.39999999999998</v>
      </c>
      <c r="M47" s="562" t="str">
        <f>IF(ISBLANK(VLOOKUP(A49,Table__1_4AHB_v_gen_READINESS[],15,FALSE)),"",(VLOOKUP(A49,Table__1_4AHB_v_gen_READINESS[],15,FALSE)))</f>
        <v>ASE Not Installed</v>
      </c>
      <c r="N47" s="563"/>
      <c r="O47" s="563"/>
      <c r="P47" s="563"/>
      <c r="Q47" s="563"/>
      <c r="R47" s="563"/>
      <c r="S47" s="563"/>
      <c r="T47" s="564"/>
      <c r="U47" s="565"/>
      <c r="V47" s="566"/>
      <c r="W47" s="566"/>
      <c r="X47" s="245">
        <f>IF(ISBLANK(VLOOKUP(A49,Table__1_4AHB_v_gen_READINESS[],17,FALSE)),"",(VLOOKUP(A49,Table__1_4AHB_v_gen_READINESS[],17,FALSE)))</f>
        <v>42105</v>
      </c>
      <c r="Y47" s="525" t="s">
        <v>403</v>
      </c>
      <c r="Z47" s="526">
        <f>'1-4 ARB'!T23</f>
        <v>195.7</v>
      </c>
      <c r="AA47" s="528"/>
    </row>
    <row r="48" spans="1:27" ht="25.5">
      <c r="A48" s="581"/>
      <c r="B48" s="583"/>
      <c r="C48" s="583"/>
      <c r="D48" s="407" t="s">
        <v>370</v>
      </c>
      <c r="E48" s="369" t="s">
        <v>371</v>
      </c>
      <c r="F48" s="584"/>
      <c r="G48" s="585"/>
      <c r="H48" s="586"/>
      <c r="I48" s="586"/>
      <c r="J48" s="586"/>
      <c r="K48" s="587"/>
      <c r="L48" s="560"/>
      <c r="M48" s="567"/>
      <c r="N48" s="568"/>
      <c r="O48" s="568"/>
      <c r="P48" s="568"/>
      <c r="Q48" s="568"/>
      <c r="R48" s="568"/>
      <c r="S48" s="568"/>
      <c r="T48" s="568" t="s">
        <v>18</v>
      </c>
      <c r="U48" s="568"/>
      <c r="V48" s="569"/>
      <c r="W48" s="569"/>
      <c r="X48" s="1">
        <f ca="1">IF(X47="","",$C$3-X47)</f>
        <v>10</v>
      </c>
      <c r="Y48" s="525"/>
      <c r="Z48" s="526"/>
      <c r="AA48" s="528"/>
    </row>
    <row r="49" spans="1:27" ht="25.5">
      <c r="A49" s="388" t="s">
        <v>157</v>
      </c>
      <c r="B49" s="588">
        <f>(VLOOKUP(A49,Table__1_4AHB_v_gen_READINESS[],37,FALSE)-TIME(7,0,0))</f>
        <v>42111.601273148197</v>
      </c>
      <c r="C49" s="588"/>
      <c r="D49" s="407" t="s">
        <v>19</v>
      </c>
      <c r="E49" s="369" t="s">
        <v>372</v>
      </c>
      <c r="F49" s="584"/>
      <c r="G49" s="585"/>
      <c r="H49" s="586"/>
      <c r="I49" s="586"/>
      <c r="J49" s="586"/>
      <c r="K49" s="587"/>
      <c r="L49" s="561"/>
      <c r="M49" s="570"/>
      <c r="N49" s="571"/>
      <c r="O49" s="571"/>
      <c r="P49" s="571"/>
      <c r="Q49" s="571"/>
      <c r="R49" s="571"/>
      <c r="S49" s="571"/>
      <c r="T49" s="572"/>
      <c r="U49" s="571"/>
      <c r="V49" s="558"/>
      <c r="W49" s="558"/>
      <c r="X49" s="246">
        <f>IF(ISBLANK(VLOOKUP(A49,Table__1_4AHB_v_gen_READINESS[],18,FALSE)),"",(VLOOKUP(A49,Table__1_4AHB_v_gen_READINESS[],18,FALSE)))</f>
        <v>42124</v>
      </c>
      <c r="Y49" s="525"/>
      <c r="Z49" s="526"/>
      <c r="AA49" s="528"/>
    </row>
    <row r="50" spans="1:27" ht="25.5">
      <c r="A50" s="581" t="s">
        <v>306</v>
      </c>
      <c r="B50" s="589" t="s">
        <v>23</v>
      </c>
      <c r="C50" s="589" t="s">
        <v>17</v>
      </c>
      <c r="D50" s="369" t="s">
        <v>408</v>
      </c>
      <c r="E50" s="516" t="s">
        <v>369</v>
      </c>
      <c r="F50" s="584" t="s">
        <v>248</v>
      </c>
      <c r="G50" s="585">
        <f>VLOOKUP(A52,Table__1_4AHB_v_gen_READINESS[],36,FALSE)</f>
        <v>3248.7</v>
      </c>
      <c r="H50" s="586">
        <f>SUM(MIN((GETPIVOTDATA("INSP_VAL",'AH H_Pivot'!$A$1,"EI_ID",A52,"SYS_CODE","A","INSP_NO",130,"EI_MODEL","AH-64D")),(GETPIVOTDATA("INSP_VAL",'AH H_Pivot'!$A$1,"EI_ID",A52,"SYS_CODE","A","INSP_NO",135,"EI_MODEL","AH-64D")),(GETPIVOTDATA("INSP_VAL",'AH H_Pivot'!$A$1,"EI_ID",A52,"SYS_CODE","A","INSP_NO",145,"EI_MODEL","AH-64D"))),50,-G50)</f>
        <v>6.3</v>
      </c>
      <c r="I50" s="586">
        <f>SUM(MIN((GETPIVOTDATA("INSP_VAL",'AH H_Pivot'!$A$1,"EI_ID",A52,"SYS_CODE","W","INSP_NO",45,"EI_MODEL","AH-64D")),(GETPIVOTDATA("INSP_VAL",'AH H_Pivot'!$A$1,"EI_ID",A52,"SYS_CODE","W","INSP_NO",46,"EI_MODEL","AH-64D")),(GETPIVOTDATA("INSP_VAL",'AH H_Pivot'!$A$1,"EI_ID",A52,"SYS_CODE","A","INSP_NO",150,"EI_MODEL","AH-64D")),(GETPIVOTDATA("INSP_VAL",'AH H_Pivot'!$A$1,"EI_ID",A52,"SYS_CODE","A","INSP_NO",152,"EI_MODEL","AH-64D")),(GETPIVOTDATA("INSP_VAL",'AH H_Pivot'!$A$1,"EI_ID",A52,"SYS_CODE","A","INSP_NO",195,"EI_MODEL","AH-64D")),(GETPIVOTDATA("INSP_VAL",'AH H_Pivot'!$A$1,"EI_ID",A52,"SYS_CODE","A","INSP_NO",224,"EI_MODEL","AH-64D")),(GETPIVOTDATA("INSP_VAL",'AH H_Pivot'!$A$1,"EI_ID",A52,"SYS_CODE","A","INSP_NO",260,"EI_MODEL","AH-64D")),(GETPIVOTDATA("INSP_VAL",'AH H_Pivot'!$A$1,"EI_ID",A52,"SYS_CODE","W","INSP_NO",533,"EI_MODEL","AH-64D"))),125,-G50)</f>
        <v>31.3</v>
      </c>
      <c r="J50" s="586">
        <f>SUM(MIN((GETPIVOTDATA("INSP_VAL",'AH H_Pivot'!$A$1,"EI_ID",A52,"SYS_CODE","A","INSP_NO",223,"EI_MODEL","AH-64D")),(GETPIVOTDATA("INSP_VAL",'AH H_Pivot'!$A$1,"EI_ID",A52,"SYS_CODE","A","INSP_NO",231,"EI_MODEL","AH-64D")),(GETPIVOTDATA("INSP_VAL",'AH H_Pivot'!$A$1,"EI_ID",A52,"SYS_CODE","A","INSP_NO",261,"EI_MODEL","AH-64D")),(GETPIVOTDATA("INSP_VAL",'AH H_Pivot'!$A$1,"EI_ID",A52,"SYS_CODE","A","INSP_NO",270,"EI_MODEL","AH-64D")),(GETPIVOTDATA("INSP_VAL",'AH H_Pivot'!$A$1,"EI_ID",A52,"SYS_CODE","A","INSP_NO",275,"EI_MODEL","AH-64D")),(GETPIVOTDATA("INSP_VAL",'AH H_Pivot'!$A$1,"EI_ID",A52,"SYS_CODE","A","INSP_NO",290,"EI_MODEL","AH-64D")),(GETPIVOTDATA("INSP_VAL",'AH H_Pivot'!$A$1,"EI_ID",A52,"SYS_CODE","A","INSP_NO",291,"EI_MODEL","AH-64D")),(GETPIVOTDATA("INSP_VAL",'AH H_Pivot'!$A$1,"EI_ID",A52,"SYS_CODE","A","INSP_NO",295,"EI_MODEL","AH-64D")),(GETPIVOTDATA("INSP_VAL",'AH H_Pivot'!$A$1,"EI_ID",A52,"SYS_CODE","A","INSP_NO",300,"EI_MODEL","AH-64D")),(GETPIVOTDATA("INSP_VAL",'AH H_Pivot'!$A$1,"EI_ID",A52,"SYS_CODE","A","INSP_NO",465,"EI_MODEL","AH-64D")),(GETPIVOTDATA("INSP_VAL",'AH H_Pivot'!$A$1,"EI_ID",A52,"SYS_CODE","W","INSP_NO",520,"EI_MODEL","AH-64D")),(GETPIVOTDATA("INSP_VAL",'AH H_Pivot'!$A$1,"EI_ID",A52,"SYS_CODE","A","INSP_NO",751,"EI_MODEL","AH-64D")),(GETPIVOTDATA("INSP_VAL",'AH H_Pivot'!$A$1,"EI_ID",A52,"SYS_CODE","A","INSP_NO",757,"EI_MODEL","AH-64D"))),250,-G50)</f>
        <v>156.30000000000001</v>
      </c>
      <c r="K50" s="587">
        <f>SUM(MIN((GETPIVOTDATA("INSP_DATE",'AH D_Pivot'!$A$1,"EI_ID",A52,"SYS_CODE","A","INSP_NO",260,"EI_MODEL","AH-64D")),(GETPIVOTDATA("INSP_DATE",'AH D_Pivot'!$A$1,"EI_ID",A52,"SYS_CODE","A","INSP_NO",261,"EI_MODEL","AH-64D")))+270)</f>
        <v>42203</v>
      </c>
      <c r="L50" s="559">
        <f>SUM(MIN((GETPIVOTDATA("INSP_VAL",'AH H_Pivot'!$A$1,"EI_ID",A52,"SYS_CODE","A","INSP_NO",35,"EI_MODEL","AH-64D")),(GETPIVOTDATA("INSP_VAL",'AH H_Pivot'!$A$1,"EI_ID",A52,"SYS_CODE","A","INSP_NO",226,"EI_MODEL","AH-64D")),(GETPIVOTDATA("INSP_VAL",'AH H_Pivot'!$A$1,"EI_ID",A52,"SYS_CODE","A","INSP_NO",400,"EI_MODEL","AH-64D")),(GETPIVOTDATA("INSP_VAL",'AH H_Pivot'!$A$1,"EI_ID",A52,"SYS_CODE","W","INSP_NO",525,"EI_MODEL","AH-64D")),(GETPIVOTDATA("INSP_VAL",'AH H_Pivot'!$A$1,"EI_ID",A52,"SYS_CODE","A","INSP_NO",755,"EI_MODEL","AH-64D"))),500,-G50)</f>
        <v>169.5</v>
      </c>
      <c r="M50" s="562" t="str">
        <f>IF(ISBLANK(VLOOKUP(A52,Table__1_4AHB_v_gen_READINESS[],15,FALSE)),"",(VLOOKUP(A52,Table__1_4AHB_v_gen_READINESS[],15,FALSE)))</f>
        <v>ASE Not Installed</v>
      </c>
      <c r="N50" s="563"/>
      <c r="O50" s="563"/>
      <c r="P50" s="563"/>
      <c r="Q50" s="563"/>
      <c r="R50" s="563"/>
      <c r="S50" s="563"/>
      <c r="T50" s="564"/>
      <c r="U50" s="565"/>
      <c r="V50" s="566"/>
      <c r="W50" s="566"/>
      <c r="X50" s="245">
        <f>IF(ISBLANK(VLOOKUP(A52,Table__1_4AHB_v_gen_READINESS[],17,FALSE)),"",(VLOOKUP(A52,Table__1_4AHB_v_gen_READINESS[],17,FALSE)))</f>
        <v>42095</v>
      </c>
      <c r="Y50" s="525" t="s">
        <v>341</v>
      </c>
      <c r="Z50" s="530">
        <f>'1-4 ARB'!T22</f>
        <v>0.54600000000000004</v>
      </c>
      <c r="AA50" s="531"/>
    </row>
    <row r="51" spans="1:27" ht="25.5">
      <c r="A51" s="581"/>
      <c r="B51" s="583"/>
      <c r="C51" s="583"/>
      <c r="D51" s="407" t="s">
        <v>370</v>
      </c>
      <c r="E51" s="369" t="s">
        <v>371</v>
      </c>
      <c r="F51" s="584"/>
      <c r="G51" s="585"/>
      <c r="H51" s="586"/>
      <c r="I51" s="586"/>
      <c r="J51" s="586"/>
      <c r="K51" s="587"/>
      <c r="L51" s="560"/>
      <c r="M51" s="567" t="s">
        <v>337</v>
      </c>
      <c r="N51" s="568"/>
      <c r="O51" s="568"/>
      <c r="P51" s="568"/>
      <c r="Q51" s="568"/>
      <c r="R51" s="568"/>
      <c r="S51" s="568"/>
      <c r="T51" s="568" t="s">
        <v>336</v>
      </c>
      <c r="U51" s="568"/>
      <c r="V51" s="569"/>
      <c r="W51" s="569"/>
      <c r="X51" s="1">
        <f ca="1">IF(X50="","",$C$3-X50)</f>
        <v>20</v>
      </c>
      <c r="Y51" s="525"/>
      <c r="Z51" s="530"/>
      <c r="AA51" s="531"/>
    </row>
    <row r="52" spans="1:27" ht="26.25" thickBot="1">
      <c r="A52" s="388" t="s">
        <v>159</v>
      </c>
      <c r="B52" s="588">
        <f>(VLOOKUP(A52,Table__1_4AHB_v_gen_READINESS[],37,FALSE)-TIME(7,0,0))</f>
        <v>42111.568113425899</v>
      </c>
      <c r="C52" s="588"/>
      <c r="D52" s="407" t="s">
        <v>19</v>
      </c>
      <c r="E52" s="369" t="s">
        <v>372</v>
      </c>
      <c r="F52" s="584"/>
      <c r="G52" s="585"/>
      <c r="H52" s="586"/>
      <c r="I52" s="586"/>
      <c r="J52" s="586"/>
      <c r="K52" s="587"/>
      <c r="L52" s="561"/>
      <c r="M52" s="570"/>
      <c r="N52" s="571"/>
      <c r="O52" s="571"/>
      <c r="P52" s="571"/>
      <c r="Q52" s="571"/>
      <c r="R52" s="571"/>
      <c r="S52" s="571"/>
      <c r="T52" s="572"/>
      <c r="U52" s="571"/>
      <c r="V52" s="558"/>
      <c r="W52" s="558"/>
      <c r="X52" s="246">
        <f>IF(ISBLANK(VLOOKUP(A52,Table__1_4AHB_v_gen_READINESS[],18,FALSE)),"",(VLOOKUP(A52,Table__1_4AHB_v_gen_READINESS[],18,FALSE)))</f>
        <v>42122</v>
      </c>
      <c r="Y52" s="529"/>
      <c r="Z52" s="532"/>
      <c r="AA52" s="533"/>
    </row>
    <row r="53" spans="1:27" ht="25.5">
      <c r="A53" s="581" t="s">
        <v>307</v>
      </c>
      <c r="B53" s="589" t="s">
        <v>23</v>
      </c>
      <c r="C53" s="589" t="s">
        <v>17</v>
      </c>
      <c r="D53" s="369"/>
      <c r="E53" s="516" t="s">
        <v>369</v>
      </c>
      <c r="F53" s="584" t="s">
        <v>248</v>
      </c>
      <c r="G53" s="585">
        <f>VLOOKUP(A55,Table__1_4AHB_v_gen_READINESS[],36,FALSE)</f>
        <v>3033.6</v>
      </c>
      <c r="H53" s="586">
        <f>SUM(MIN((GETPIVOTDATA("INSP_VAL",'AH H_Pivot'!$A$1,"EI_ID",A55,"SYS_CODE","A","INSP_NO",130,"EI_MODEL","AH-64D")),(GETPIVOTDATA("INSP_VAL",'AH H_Pivot'!$A$1,"EI_ID",A55,"SYS_CODE","A","INSP_NO",135,"EI_MODEL","AH-64D")),(GETPIVOTDATA("INSP_VAL",'AH H_Pivot'!$A$1,"EI_ID",A55,"SYS_CODE","A","INSP_NO",145,"EI_MODEL","AH-64D"))),50,-G53)</f>
        <v>29.2</v>
      </c>
      <c r="I53" s="586">
        <f>SUM(MIN((GETPIVOTDATA("INSP_VAL",'AH H_Pivot'!$A$1,"EI_ID",A55,"SYS_CODE","W","INSP_NO",45,"EI_MODEL","AH-64D")),(GETPIVOTDATA("INSP_VAL",'AH H_Pivot'!$A$1,"EI_ID",A55,"SYS_CODE","W","INSP_NO",46,"EI_MODEL","AH-64D")),(GETPIVOTDATA("INSP_VAL",'AH H_Pivot'!$A$1,"EI_ID",A55,"SYS_CODE","A","INSP_NO",150,"EI_MODEL","AH-64D")),(GETPIVOTDATA("INSP_VAL",'AH H_Pivot'!$A$1,"EI_ID",A55,"SYS_CODE","A","INSP_NO",152,"EI_MODEL","AH-64D")),(GETPIVOTDATA("INSP_VAL",'AH H_Pivot'!$A$1,"EI_ID",A55,"SYS_CODE","A","INSP_NO",195,"EI_MODEL","AH-64D")),(GETPIVOTDATA("INSP_VAL",'AH H_Pivot'!$A$1,"EI_ID",A55,"SYS_CODE","A","INSP_NO",224,"EI_MODEL","AH-64D")),(GETPIVOTDATA("INSP_VAL",'AH H_Pivot'!$A$1,"EI_ID",A55,"SYS_CODE","A","INSP_NO",260,"EI_MODEL","AH-64D")),(GETPIVOTDATA("INSP_VAL",'AH H_Pivot'!$A$1,"EI_ID",A55,"SYS_CODE","W","INSP_NO",533,"EI_MODEL","AH-64D"))),125,-G53)</f>
        <v>60.5</v>
      </c>
      <c r="J53" s="586">
        <f>SUM(MIN((GETPIVOTDATA("INSP_VAL",'AH H_Pivot'!$A$1,"EI_ID",A55,"SYS_CODE","A","INSP_NO",223,"EI_MODEL","AH-64D")),(GETPIVOTDATA("INSP_VAL",'AH H_Pivot'!$A$1,"EI_ID",A55,"SYS_CODE","A","INSP_NO",231,"EI_MODEL","AH-64D")),(GETPIVOTDATA("INSP_VAL",'AH H_Pivot'!$A$1,"EI_ID",A55,"SYS_CODE","A","INSP_NO",261,"EI_MODEL","AH-64D")),(GETPIVOTDATA("INSP_VAL",'AH H_Pivot'!$A$1,"EI_ID",A55,"SYS_CODE","A","INSP_NO",270,"EI_MODEL","AH-64D")),(GETPIVOTDATA("INSP_VAL",'AH H_Pivot'!$A$1,"EI_ID",A55,"SYS_CODE","A","INSP_NO",275,"EI_MODEL","AH-64D")),(GETPIVOTDATA("INSP_VAL",'AH H_Pivot'!$A$1,"EI_ID",A55,"SYS_CODE","A","INSP_NO",290,"EI_MODEL","AH-64D")),(GETPIVOTDATA("INSP_VAL",'AH H_Pivot'!$A$1,"EI_ID",A55,"SYS_CODE","A","INSP_NO",291,"EI_MODEL","AH-64D")),(GETPIVOTDATA("INSP_VAL",'AH H_Pivot'!$A$1,"EI_ID",A55,"SYS_CODE","A","INSP_NO",295,"EI_MODEL","AH-64D")),(GETPIVOTDATA("INSP_VAL",'AH H_Pivot'!$A$1,"EI_ID",A55,"SYS_CODE","A","INSP_NO",300,"EI_MODEL","AH-64D")),(GETPIVOTDATA("INSP_VAL",'AH H_Pivot'!$A$1,"EI_ID",A55,"SYS_CODE","A","INSP_NO",465,"EI_MODEL","AH-64D")),(GETPIVOTDATA("INSP_VAL",'AH H_Pivot'!$A$1,"EI_ID",A55,"SYS_CODE","W","INSP_NO",520,"EI_MODEL","AH-64D")),(GETPIVOTDATA("INSP_VAL",'AH H_Pivot'!$A$1,"EI_ID",A55,"SYS_CODE","A","INSP_NO",751,"EI_MODEL","AH-64D")),(GETPIVOTDATA("INSP_VAL",'AH H_Pivot'!$A$1,"EI_ID",A55,"SYS_CODE","A","INSP_NO",757,"EI_MODEL","AH-64D"))),250,-G53)</f>
        <v>185.5</v>
      </c>
      <c r="K53" s="587">
        <f>SUM(MIN((GETPIVOTDATA("INSP_DATE",'AH D_Pivot'!$A$1,"EI_ID",A55,"SYS_CODE","A","INSP_NO",260,"EI_MODEL","AH-64D")),(GETPIVOTDATA("INSP_DATE",'AH D_Pivot'!$A$1,"EI_ID",A55,"SYS_CODE","A","INSP_NO",261,"EI_MODEL","AH-64D")))+270)</f>
        <v>42231</v>
      </c>
      <c r="L53" s="559">
        <f>SUM(MIN((GETPIVOTDATA("INSP_VAL",'AH H_Pivot'!$A$1,"EI_ID",A55,"SYS_CODE","A","INSP_NO",35,"EI_MODEL","AH-64D")),(GETPIVOTDATA("INSP_VAL",'AH H_Pivot'!$A$1,"EI_ID",A55,"SYS_CODE","A","INSP_NO",226,"EI_MODEL","AH-64D")),(GETPIVOTDATA("INSP_VAL",'AH H_Pivot'!$A$1,"EI_ID",A55,"SYS_CODE","A","INSP_NO",400,"EI_MODEL","AH-64D")),(GETPIVOTDATA("INSP_VAL",'AH H_Pivot'!$A$1,"EI_ID",A55,"SYS_CODE","W","INSP_NO",525,"EI_MODEL","AH-64D")),(GETPIVOTDATA("INSP_VAL",'AH H_Pivot'!$A$1,"EI_ID",A55,"SYS_CODE","A","INSP_NO",755,"EI_MODEL","AH-64D"))),500,-G53)</f>
        <v>435.5</v>
      </c>
      <c r="M53" s="562" t="str">
        <f>IF(ISBLANK(VLOOKUP(A55,Table__1_4AHB_v_gen_READINESS[],15,FALSE)),"",(VLOOKUP(A55,Table__1_4AHB_v_gen_READINESS[],15,FALSE)))</f>
        <v>ASE Not Installed</v>
      </c>
      <c r="N53" s="563"/>
      <c r="O53" s="563"/>
      <c r="P53" s="563"/>
      <c r="Q53" s="563"/>
      <c r="R53" s="563"/>
      <c r="S53" s="563"/>
      <c r="T53" s="564"/>
      <c r="U53" s="565"/>
      <c r="V53" s="566"/>
      <c r="W53" s="566"/>
      <c r="X53" s="245">
        <f>IF(ISBLANK(VLOOKUP(A55,Table__1_4AHB_v_gen_READINESS[],17,FALSE)),"",(VLOOKUP(A55,Table__1_4AHB_v_gen_READINESS[],17,FALSE)))</f>
        <v>42074</v>
      </c>
      <c r="Y53" s="391"/>
      <c r="Z53" s="391"/>
      <c r="AA53" s="392"/>
    </row>
    <row r="54" spans="1:27" ht="25.5">
      <c r="A54" s="581"/>
      <c r="B54" s="583"/>
      <c r="C54" s="583"/>
      <c r="D54" s="516" t="s">
        <v>370</v>
      </c>
      <c r="E54" s="369" t="s">
        <v>371</v>
      </c>
      <c r="F54" s="584"/>
      <c r="G54" s="585"/>
      <c r="H54" s="586"/>
      <c r="I54" s="586"/>
      <c r="J54" s="586"/>
      <c r="K54" s="587"/>
      <c r="L54" s="560"/>
      <c r="M54" s="567"/>
      <c r="N54" s="568"/>
      <c r="O54" s="568"/>
      <c r="P54" s="568"/>
      <c r="Q54" s="568"/>
      <c r="R54" s="568"/>
      <c r="S54" s="568"/>
      <c r="T54" s="568"/>
      <c r="U54" s="568"/>
      <c r="V54" s="569"/>
      <c r="W54" s="569"/>
      <c r="X54" s="1">
        <f ca="1">IF(X53="","",$C$3-X53)</f>
        <v>41</v>
      </c>
      <c r="Y54" s="394"/>
      <c r="Z54" s="394"/>
      <c r="AA54" s="395"/>
    </row>
    <row r="55" spans="1:27" ht="25.5">
      <c r="A55" s="388" t="s">
        <v>160</v>
      </c>
      <c r="B55" s="594">
        <f>(VLOOKUP(A55,Table__1_4AHB_v_gen_READINESS[],37,FALSE)-TIME(7,0,0))</f>
        <v>42111.655046296299</v>
      </c>
      <c r="C55" s="594"/>
      <c r="D55" s="407" t="s">
        <v>19</v>
      </c>
      <c r="E55" s="369" t="s">
        <v>372</v>
      </c>
      <c r="F55" s="584"/>
      <c r="G55" s="585"/>
      <c r="H55" s="586"/>
      <c r="I55" s="586"/>
      <c r="J55" s="586"/>
      <c r="K55" s="587"/>
      <c r="L55" s="561"/>
      <c r="M55" s="570"/>
      <c r="N55" s="571"/>
      <c r="O55" s="571"/>
      <c r="P55" s="571"/>
      <c r="Q55" s="571"/>
      <c r="R55" s="571"/>
      <c r="S55" s="571"/>
      <c r="T55" s="572"/>
      <c r="U55" s="571"/>
      <c r="V55" s="558"/>
      <c r="W55" s="558"/>
      <c r="X55" s="246">
        <f>IF(ISBLANK(VLOOKUP(A55,Table__1_4AHB_v_gen_READINESS[],18,FALSE)),"",(VLOOKUP(A55,Table__1_4AHB_v_gen_READINESS[],18,FALSE)))</f>
        <v>42122</v>
      </c>
      <c r="Y55" s="394"/>
      <c r="Z55" s="394"/>
      <c r="AA55" s="395"/>
    </row>
    <row r="56" spans="1:27" ht="24" thickBot="1">
      <c r="A56" s="522" t="s">
        <v>319</v>
      </c>
      <c r="B56" s="523"/>
      <c r="C56" s="523"/>
      <c r="D56" s="523"/>
      <c r="E56" s="523"/>
      <c r="F56" s="523"/>
      <c r="G56" s="523"/>
      <c r="H56" s="523"/>
      <c r="I56" s="523"/>
      <c r="J56" s="523"/>
      <c r="K56" s="523"/>
      <c r="L56" s="523"/>
      <c r="M56" s="523"/>
      <c r="N56" s="523"/>
      <c r="O56" s="523"/>
      <c r="P56" s="523"/>
      <c r="Q56" s="523"/>
      <c r="R56" s="523"/>
      <c r="S56" s="523"/>
      <c r="T56" s="523"/>
      <c r="U56" s="523"/>
      <c r="V56" s="523"/>
      <c r="W56" s="523"/>
      <c r="X56" s="523"/>
      <c r="Y56" s="523"/>
      <c r="Z56" s="523"/>
      <c r="AA56" s="524"/>
    </row>
    <row r="57" spans="1:27" ht="26.25" thickTop="1">
      <c r="A57" s="581" t="s">
        <v>308</v>
      </c>
      <c r="B57" s="582" t="s">
        <v>77</v>
      </c>
      <c r="C57" s="582" t="s">
        <v>17</v>
      </c>
      <c r="D57" s="369"/>
      <c r="E57" s="516" t="s">
        <v>369</v>
      </c>
      <c r="F57" s="584" t="s">
        <v>248</v>
      </c>
      <c r="G57" s="585">
        <f>VLOOKUP(A59,Table__1_4AHB_v_gen_READINESS[],36,FALSE)</f>
        <v>5417.5</v>
      </c>
      <c r="H57" s="586">
        <f>SUM(MIN((GETPIVOTDATA("INSP_VAL",'AH H_Pivot'!$A$1,"EI_ID",A59,"SYS_CODE","A","INSP_NO",130,"EI_MODEL","AH-64D")),(GETPIVOTDATA("INSP_VAL",'AH H_Pivot'!$A$1,"EI_ID",A59,"SYS_CODE","A","INSP_NO",135,"EI_MODEL","AH-64D")),(GETPIVOTDATA("INSP_VAL",'AH H_Pivot'!$A$1,"EI_ID",A59,"SYS_CODE","A","INSP_NO",145,"EI_MODEL","AH-64D"))),50,-G57)</f>
        <v>41.9</v>
      </c>
      <c r="I57" s="586">
        <f>SUM(MIN((GETPIVOTDATA("INSP_VAL",'AH H_Pivot'!$A$1,"EI_ID",A59,"SYS_CODE","W","INSP_NO",45,"EI_MODEL","AH-64D")),(GETPIVOTDATA("INSP_VAL",'AH H_Pivot'!$A$1,"EI_ID",A59,"SYS_CODE","W","INSP_NO",46,"EI_MODEL","AH-64D")),(GETPIVOTDATA("INSP_VAL",'AH H_Pivot'!$A$1,"EI_ID",A59,"SYS_CODE","A","INSP_NO",150,"EI_MODEL","AH-64D")),(GETPIVOTDATA("INSP_VAL",'AH H_Pivot'!$A$1,"EI_ID",A59,"SYS_CODE","A","INSP_NO",152,"EI_MODEL","AH-64D")),(GETPIVOTDATA("INSP_VAL",'AH H_Pivot'!$A$1,"EI_ID",A59,"SYS_CODE","A","INSP_NO",195,"EI_MODEL","AH-64D")),(GETPIVOTDATA("INSP_VAL",'AH H_Pivot'!$A$1,"EI_ID",A59,"SYS_CODE","A","INSP_NO",224,"EI_MODEL","AH-64D")),(GETPIVOTDATA("INSP_VAL",'AH H_Pivot'!$A$1,"EI_ID",A59,"SYS_CODE","A","INSP_NO",260,"EI_MODEL","AH-64D")),(GETPIVOTDATA("INSP_VAL",'AH H_Pivot'!$A$1,"EI_ID",A59,"SYS_CODE","W","INSP_NO",533,"EI_MODEL","AH-64D"))),125,-G57)</f>
        <v>43.4</v>
      </c>
      <c r="J57" s="586">
        <f>SUM(MIN((GETPIVOTDATA("INSP_VAL",'AH H_Pivot'!$A$1,"EI_ID",A59,"SYS_CODE","A","INSP_NO",223,"EI_MODEL","AH-64D")),(GETPIVOTDATA("INSP_VAL",'AH H_Pivot'!$A$1,"EI_ID",A59,"SYS_CODE","A","INSP_NO",231,"EI_MODEL","AH-64D")),(GETPIVOTDATA("INSP_VAL",'AH H_Pivot'!$A$1,"EI_ID",A59,"SYS_CODE","A","INSP_NO",261,"EI_MODEL","AH-64D")),(GETPIVOTDATA("INSP_VAL",'AH H_Pivot'!$A$1,"EI_ID",A59,"SYS_CODE","A","INSP_NO",270,"EI_MODEL","AH-64D")),(GETPIVOTDATA("INSP_VAL",'AH H_Pivot'!$A$1,"EI_ID",A59,"SYS_CODE","A","INSP_NO",275,"EI_MODEL","AH-64D")),(GETPIVOTDATA("INSP_VAL",'AH H_Pivot'!$A$1,"EI_ID",A59,"SYS_CODE","A","INSP_NO",290,"EI_MODEL","AH-64D")),(GETPIVOTDATA("INSP_VAL",'AH H_Pivot'!$A$1,"EI_ID",A59,"SYS_CODE","A","INSP_NO",291,"EI_MODEL","AH-64D")),(GETPIVOTDATA("INSP_VAL",'AH H_Pivot'!$A$1,"EI_ID",A59,"SYS_CODE","A","INSP_NO",295,"EI_MODEL","AH-64D")),(GETPIVOTDATA("INSP_VAL",'AH H_Pivot'!$A$1,"EI_ID",A59,"SYS_CODE","A","INSP_NO",300,"EI_MODEL","AH-64D")),(GETPIVOTDATA("INSP_VAL",'AH H_Pivot'!$A$1,"EI_ID",A59,"SYS_CODE","A","INSP_NO",465,"EI_MODEL","AH-64D")),(GETPIVOTDATA("INSP_VAL",'AH H_Pivot'!$A$1,"EI_ID",A59,"SYS_CODE","W","INSP_NO",520,"EI_MODEL","AH-64D")),(GETPIVOTDATA("INSP_VAL",'AH H_Pivot'!$A$1,"EI_ID",A59,"SYS_CODE","A","INSP_NO",751,"EI_MODEL","AH-64D")),(GETPIVOTDATA("INSP_VAL",'AH H_Pivot'!$A$1,"EI_ID",A59,"SYS_CODE","A","INSP_NO",757,"EI_MODEL","AH-64D"))),250,-G57)</f>
        <v>49.1</v>
      </c>
      <c r="K57" s="587">
        <f>SUM(MIN((GETPIVOTDATA("INSP_DATE",'AH D_Pivot'!$A$1,"EI_ID",A59,"SYS_CODE","A","INSP_NO",260,"EI_MODEL","AH-64D")),(GETPIVOTDATA("INSP_DATE",'AH D_Pivot'!$A$1,"EI_ID",A59,"SYS_CODE","A","INSP_NO",261,"EI_MODEL","AH-64D")))+270)</f>
        <v>42308.625694444403</v>
      </c>
      <c r="L57" s="559">
        <f>SUM(MIN((GETPIVOTDATA("INSP_VAL",'AH H_Pivot'!$A$1,"EI_ID",A59,"SYS_CODE","A","INSP_NO",35,"EI_MODEL","AH-64D")),(GETPIVOTDATA("INSP_VAL",'AH H_Pivot'!$A$1,"EI_ID",A59,"SYS_CODE","A","INSP_NO",226,"EI_MODEL","AH-64D")),(GETPIVOTDATA("INSP_VAL",'AH H_Pivot'!$A$1,"EI_ID",A59,"SYS_CODE","A","INSP_NO",400,"EI_MODEL","AH-64D")),(GETPIVOTDATA("INSP_VAL",'AH H_Pivot'!$A$1,"EI_ID",A59,"SYS_CODE","W","INSP_NO",525,"EI_MODEL","AH-64D")),(GETPIVOTDATA("INSP_VAL",'AH H_Pivot'!$A$1,"EI_ID",A59,"SYS_CODE","A","INSP_NO",755,"EI_MODEL","AH-64D"))),500,-G57)</f>
        <v>294.10000000000002</v>
      </c>
      <c r="M57" s="562" t="str">
        <f>IF(ISBLANK(VLOOKUP(A59,Table__1_4AHB_v_gen_READINESS[],15,FALSE)),"",(VLOOKUP(A59,Table__1_4AHB_v_gen_READINESS[],15,FALSE)))</f>
        <v>ASE Not Installed</v>
      </c>
      <c r="N57" s="563"/>
      <c r="O57" s="563"/>
      <c r="P57" s="563"/>
      <c r="Q57" s="563"/>
      <c r="R57" s="563"/>
      <c r="S57" s="563"/>
      <c r="T57" s="564" t="s">
        <v>425</v>
      </c>
      <c r="U57" s="565"/>
      <c r="V57" s="566"/>
      <c r="W57" s="566"/>
      <c r="X57" s="245">
        <f>IF(ISBLANK(VLOOKUP(A59,Table__1_4AHB_v_gen_READINESS[],17,FALSE)),"",(VLOOKUP(A59,Table__1_4AHB_v_gen_READINESS[],17,FALSE)))</f>
        <v>42103</v>
      </c>
      <c r="Y57" s="534" t="s">
        <v>16</v>
      </c>
      <c r="Z57" s="535">
        <f ca="1">'1-4 ARB'!S24</f>
        <v>0</v>
      </c>
      <c r="AA57" s="536">
        <f ca="1">'1-4 ARB'!T24</f>
        <v>0</v>
      </c>
    </row>
    <row r="58" spans="1:27" ht="25.5">
      <c r="A58" s="581"/>
      <c r="B58" s="583"/>
      <c r="C58" s="583"/>
      <c r="D58" s="516" t="s">
        <v>370</v>
      </c>
      <c r="E58" s="516" t="s">
        <v>371</v>
      </c>
      <c r="F58" s="584"/>
      <c r="G58" s="585"/>
      <c r="H58" s="586"/>
      <c r="I58" s="586"/>
      <c r="J58" s="586"/>
      <c r="K58" s="587"/>
      <c r="L58" s="560"/>
      <c r="M58" s="567"/>
      <c r="N58" s="568"/>
      <c r="O58" s="568"/>
      <c r="P58" s="568"/>
      <c r="Q58" s="568"/>
      <c r="R58" s="568"/>
      <c r="S58" s="568"/>
      <c r="T58" s="568" t="s">
        <v>496</v>
      </c>
      <c r="U58" s="568"/>
      <c r="V58" s="569"/>
      <c r="W58" s="569"/>
      <c r="X58" s="1">
        <f ca="1">IF(X57="","",$C$3-X57)</f>
        <v>12</v>
      </c>
      <c r="Y58" s="525"/>
      <c r="Z58" s="526"/>
      <c r="AA58" s="527"/>
    </row>
    <row r="59" spans="1:27" ht="25.5">
      <c r="A59" s="388" t="s">
        <v>164</v>
      </c>
      <c r="B59" s="588">
        <f>(VLOOKUP(A59,Table__1_4AHB_v_gen_READINESS[],37,FALSE)-TIME(7,0,0))</f>
        <v>42114.474594907399</v>
      </c>
      <c r="C59" s="588"/>
      <c r="D59" s="407" t="s">
        <v>19</v>
      </c>
      <c r="E59" s="516" t="s">
        <v>372</v>
      </c>
      <c r="F59" s="584"/>
      <c r="G59" s="585"/>
      <c r="H59" s="586"/>
      <c r="I59" s="586"/>
      <c r="J59" s="586"/>
      <c r="K59" s="587"/>
      <c r="L59" s="561"/>
      <c r="M59" s="570"/>
      <c r="N59" s="571"/>
      <c r="O59" s="571"/>
      <c r="P59" s="571"/>
      <c r="Q59" s="571"/>
      <c r="R59" s="571"/>
      <c r="S59" s="571"/>
      <c r="T59" s="572"/>
      <c r="U59" s="571"/>
      <c r="V59" s="558"/>
      <c r="W59" s="558"/>
      <c r="X59" s="246">
        <f>IF(ISBLANK(VLOOKUP(A59,Table__1_4AHB_v_gen_READINESS[],18,FALSE)),"",(VLOOKUP(A59,Table__1_4AHB_v_gen_READINESS[],18,FALSE)))</f>
        <v>42124</v>
      </c>
      <c r="Y59" s="525"/>
      <c r="Z59" s="526"/>
      <c r="AA59" s="527"/>
    </row>
    <row r="60" spans="1:27" ht="25.5">
      <c r="A60" s="581" t="s">
        <v>309</v>
      </c>
      <c r="B60" s="589" t="s">
        <v>24</v>
      </c>
      <c r="C60" s="589" t="s">
        <v>25</v>
      </c>
      <c r="D60" s="369"/>
      <c r="E60" s="516" t="s">
        <v>369</v>
      </c>
      <c r="F60" s="584" t="s">
        <v>426</v>
      </c>
      <c r="G60" s="585">
        <f>VLOOKUP(A62,Table__1_4AHB_v_gen_READINESS[],36,FALSE)</f>
        <v>7232.1</v>
      </c>
      <c r="H60" s="586">
        <f>SUM(MIN((GETPIVOTDATA("INSP_VAL",'AH H_Pivot'!$A$1,"EI_ID",A62,"SYS_CODE","A","INSP_NO",130,"EI_MODEL","AH-64D")),(GETPIVOTDATA("INSP_VAL",'AH H_Pivot'!$A$1,"EI_ID",A62,"SYS_CODE","A","INSP_NO",135,"EI_MODEL","AH-64D")),(GETPIVOTDATA("INSP_VAL",'AH H_Pivot'!$A$1,"EI_ID",A62,"SYS_CODE","A","INSP_NO",145,"EI_MODEL","AH-64D"))),50,-G60)</f>
        <v>12.8</v>
      </c>
      <c r="I60" s="586">
        <f>SUM(MIN((GETPIVOTDATA("INSP_VAL",'AH H_Pivot'!$A$1,"EI_ID",A62,"SYS_CODE","W","INSP_NO",45,"EI_MODEL","AH-64D")),(GETPIVOTDATA("INSP_VAL",'AH H_Pivot'!$A$1,"EI_ID",A62,"SYS_CODE","W","INSP_NO",46,"EI_MODEL","AH-64D")),(GETPIVOTDATA("INSP_VAL",'AH H_Pivot'!$A$1,"EI_ID",A62,"SYS_CODE","A","INSP_NO",150,"EI_MODEL","AH-64D")),(GETPIVOTDATA("INSP_VAL",'AH H_Pivot'!$A$1,"EI_ID",A62,"SYS_CODE","A","INSP_NO",152,"EI_MODEL","AH-64D")),(GETPIVOTDATA("INSP_VAL",'AH H_Pivot'!$A$1,"EI_ID",A62,"SYS_CODE","A","INSP_NO",195,"EI_MODEL","AH-64D")),(GETPIVOTDATA("INSP_VAL",'AH H_Pivot'!$A$1,"EI_ID",A62,"SYS_CODE","A","INSP_NO",224,"EI_MODEL","AH-64D")),(GETPIVOTDATA("INSP_VAL",'AH H_Pivot'!$A$1,"EI_ID",A62,"SYS_CODE","A","INSP_NO",260,"EI_MODEL","AH-64D")),(GETPIVOTDATA("INSP_VAL",'AH H_Pivot'!$A$1,"EI_ID",A62,"SYS_CODE","W","INSP_NO",533,"EI_MODEL","AH-64D"))),125,-G60)</f>
        <v>18.899999999999999</v>
      </c>
      <c r="J60" s="586">
        <f>SUM(MIN((GETPIVOTDATA("INSP_VAL",'AH H_Pivot'!$A$1,"EI_ID",A62,"SYS_CODE","A","INSP_NO",223,"EI_MODEL","AH-64D")),(GETPIVOTDATA("INSP_VAL",'AH H_Pivot'!$A$1,"EI_ID",A62,"SYS_CODE","A","INSP_NO",231,"EI_MODEL","AH-64D")),(GETPIVOTDATA("INSP_VAL",'AH H_Pivot'!$A$1,"EI_ID",A62,"SYS_CODE","A","INSP_NO",261,"EI_MODEL","AH-64D")),(GETPIVOTDATA("INSP_VAL",'AH H_Pivot'!$A$1,"EI_ID",A62,"SYS_CODE","A","INSP_NO",270,"EI_MODEL","AH-64D")),(GETPIVOTDATA("INSP_VAL",'AH H_Pivot'!$A$1,"EI_ID",A62,"SYS_CODE","A","INSP_NO",275,"EI_MODEL","AH-64D")),(GETPIVOTDATA("INSP_VAL",'AH H_Pivot'!$A$1,"EI_ID",A62,"SYS_CODE","A","INSP_NO",290,"EI_MODEL","AH-64D")),(GETPIVOTDATA("INSP_VAL",'AH H_Pivot'!$A$1,"EI_ID",A62,"SYS_CODE","A","INSP_NO",291,"EI_MODEL","AH-64D")),(GETPIVOTDATA("INSP_VAL",'AH H_Pivot'!$A$1,"EI_ID",A62,"SYS_CODE","A","INSP_NO",295,"EI_MODEL","AH-64D")),(GETPIVOTDATA("INSP_VAL",'AH H_Pivot'!$A$1,"EI_ID",A62,"SYS_CODE","A","INSP_NO",300,"EI_MODEL","AH-64D")),(GETPIVOTDATA("INSP_VAL",'AH H_Pivot'!$A$1,"EI_ID",A62,"SYS_CODE","A","INSP_NO",465,"EI_MODEL","AH-64D")),(GETPIVOTDATA("INSP_VAL",'AH H_Pivot'!$A$1,"EI_ID",A62,"SYS_CODE","W","INSP_NO",520,"EI_MODEL","AH-64D")),(GETPIVOTDATA("INSP_VAL",'AH H_Pivot'!$A$1,"EI_ID",A62,"SYS_CODE","A","INSP_NO",751,"EI_MODEL","AH-64D")),(GETPIVOTDATA("INSP_VAL",'AH H_Pivot'!$A$1,"EI_ID",A62,"SYS_CODE","A","INSP_NO",757,"EI_MODEL","AH-64D"))),250,-G60)</f>
        <v>18.899999999999999</v>
      </c>
      <c r="K60" s="587">
        <f>SUM(MIN((GETPIVOTDATA("INSP_DATE",'AH D_Pivot'!$A$1,"EI_ID",A62,"SYS_CODE","A","INSP_NO",260,"EI_MODEL","AH-64D")),(GETPIVOTDATA("INSP_DATE",'AH D_Pivot'!$A$1,"EI_ID",A62,"SYS_CODE","A","INSP_NO",261,"EI_MODEL","AH-64D")))+270)</f>
        <v>42205.375694444403</v>
      </c>
      <c r="L60" s="559">
        <f>SUM(MIN((GETPIVOTDATA("INSP_VAL",'AH H_Pivot'!$A$1,"EI_ID",A62,"SYS_CODE","A","INSP_NO",35,"EI_MODEL","AH-64D")),(GETPIVOTDATA("INSP_VAL",'AH H_Pivot'!$A$1,"EI_ID",A62,"SYS_CODE","A","INSP_NO",226,"EI_MODEL","AH-64D")),(GETPIVOTDATA("INSP_VAL",'AH H_Pivot'!$A$1,"EI_ID",A62,"SYS_CODE","A","INSP_NO",400,"EI_MODEL","AH-64D")),(GETPIVOTDATA("INSP_VAL",'AH H_Pivot'!$A$1,"EI_ID",A62,"SYS_CODE","W","INSP_NO",525,"EI_MODEL","AH-64D")),(GETPIVOTDATA("INSP_VAL",'AH H_Pivot'!$A$1,"EI_ID",A62,"SYS_CODE","A","INSP_NO",755,"EI_MODEL","AH-64D"))),500,-G60)</f>
        <v>27.4</v>
      </c>
      <c r="M60" s="562" t="str">
        <f>IF(ISBLANK(VLOOKUP(A62,Table__1_4AHB_v_gen_READINESS[],15,FALSE)),"",(VLOOKUP(A62,Table__1_4AHB_v_gen_READINESS[],15,FALSE)))</f>
        <v>A/C Reset - Ft. Campbell</v>
      </c>
      <c r="N60" s="563"/>
      <c r="O60" s="563"/>
      <c r="P60" s="563"/>
      <c r="Q60" s="563"/>
      <c r="R60" s="563"/>
      <c r="S60" s="563"/>
      <c r="T60" s="564" t="s">
        <v>401</v>
      </c>
      <c r="U60" s="565"/>
      <c r="V60" s="566"/>
      <c r="W60" s="566"/>
      <c r="X60" s="245">
        <f>IF(ISBLANK(VLOOKUP(A62,Table__1_4AHB_v_gen_READINESS[],17,FALSE)),"",(VLOOKUP(A62,Table__1_4AHB_v_gen_READINESS[],17,FALSE)))</f>
        <v>42110</v>
      </c>
      <c r="Y60" s="525" t="s">
        <v>23</v>
      </c>
      <c r="Z60" s="526">
        <f ca="1">'1-4 ARB'!S28</f>
        <v>566</v>
      </c>
      <c r="AA60" s="527">
        <f ca="1">'1-4 ARB'!T28</f>
        <v>0.59</v>
      </c>
    </row>
    <row r="61" spans="1:27" ht="25.5">
      <c r="A61" s="581"/>
      <c r="B61" s="583"/>
      <c r="C61" s="583"/>
      <c r="D61" s="407" t="s">
        <v>370</v>
      </c>
      <c r="E61" s="369" t="s">
        <v>371</v>
      </c>
      <c r="F61" s="584"/>
      <c r="G61" s="585"/>
      <c r="H61" s="586"/>
      <c r="I61" s="586"/>
      <c r="J61" s="586"/>
      <c r="K61" s="587"/>
      <c r="L61" s="560"/>
      <c r="M61" s="567"/>
      <c r="N61" s="568"/>
      <c r="O61" s="568"/>
      <c r="P61" s="568"/>
      <c r="Q61" s="568"/>
      <c r="R61" s="568"/>
      <c r="S61" s="568"/>
      <c r="T61" s="568"/>
      <c r="U61" s="568"/>
      <c r="V61" s="569"/>
      <c r="W61" s="569"/>
      <c r="X61" s="1">
        <f ca="1">IF(X60="","",$C$3-X60)</f>
        <v>5</v>
      </c>
      <c r="Y61" s="525"/>
      <c r="Z61" s="526"/>
      <c r="AA61" s="527"/>
    </row>
    <row r="62" spans="1:27" ht="25.5">
      <c r="A62" s="388" t="s">
        <v>161</v>
      </c>
      <c r="B62" s="588">
        <f>(VLOOKUP(A62,Table__1_4AHB_v_gen_READINESS[],37,FALSE)-TIME(7,0,0))</f>
        <v>42088.735775462999</v>
      </c>
      <c r="C62" s="588"/>
      <c r="D62" s="407" t="s">
        <v>19</v>
      </c>
      <c r="E62" s="369" t="s">
        <v>372</v>
      </c>
      <c r="F62" s="584"/>
      <c r="G62" s="585"/>
      <c r="H62" s="586"/>
      <c r="I62" s="586"/>
      <c r="J62" s="586"/>
      <c r="K62" s="587"/>
      <c r="L62" s="561"/>
      <c r="M62" s="570"/>
      <c r="N62" s="571"/>
      <c r="O62" s="571"/>
      <c r="P62" s="571"/>
      <c r="Q62" s="571"/>
      <c r="R62" s="571"/>
      <c r="S62" s="571"/>
      <c r="T62" s="572"/>
      <c r="U62" s="571"/>
      <c r="V62" s="558"/>
      <c r="W62" s="558"/>
      <c r="X62" s="246">
        <f>IF(ISBLANK(VLOOKUP(A62,Table__1_4AHB_v_gen_READINESS[],18,FALSE)),"",(VLOOKUP(A62,Table__1_4AHB_v_gen_READINESS[],18,FALSE)))</f>
        <v>42124</v>
      </c>
      <c r="Y62" s="525"/>
      <c r="Z62" s="526"/>
      <c r="AA62" s="527"/>
    </row>
    <row r="63" spans="1:27" ht="25.5">
      <c r="A63" s="581" t="s">
        <v>310</v>
      </c>
      <c r="B63" s="589" t="s">
        <v>23</v>
      </c>
      <c r="C63" s="589" t="s">
        <v>17</v>
      </c>
      <c r="D63" s="369"/>
      <c r="E63" s="516" t="s">
        <v>369</v>
      </c>
      <c r="F63" s="584" t="s">
        <v>248</v>
      </c>
      <c r="G63" s="585">
        <f>VLOOKUP(A65,Table__1_4AHB_v_gen_READINESS[],36,FALSE)</f>
        <v>7810.4</v>
      </c>
      <c r="H63" s="586">
        <f>SUM(MIN((GETPIVOTDATA("INSP_VAL",'AH H_Pivot'!$A$1,"EI_ID",A65,"SYS_CODE","A","INSP_NO",130,"EI_MODEL","AH-64D")),(GETPIVOTDATA("INSP_VAL",'AH H_Pivot'!$A$1,"EI_ID",A65,"SYS_CODE","A","INSP_NO",135,"EI_MODEL","AH-64D")),(GETPIVOTDATA("INSP_VAL",'AH H_Pivot'!$A$1,"EI_ID",A65,"SYS_CODE","A","INSP_NO",145,"EI_MODEL","AH-64D"))),50,-G63)</f>
        <v>26.8</v>
      </c>
      <c r="I63" s="586">
        <f>SUM(MIN((GETPIVOTDATA("INSP_VAL",'AH H_Pivot'!$A$1,"EI_ID",A65,"SYS_CODE","W","INSP_NO",45,"EI_MODEL","AH-64D")),(GETPIVOTDATA("INSP_VAL",'AH H_Pivot'!$A$1,"EI_ID",A65,"SYS_CODE","W","INSP_NO",46,"EI_MODEL","AH-64D")),(GETPIVOTDATA("INSP_VAL",'AH H_Pivot'!$A$1,"EI_ID",A65,"SYS_CODE","A","INSP_NO",150,"EI_MODEL","AH-64D")),(GETPIVOTDATA("INSP_VAL",'AH H_Pivot'!$A$1,"EI_ID",A65,"SYS_CODE","A","INSP_NO",152,"EI_MODEL","AH-64D")),(GETPIVOTDATA("INSP_VAL",'AH H_Pivot'!$A$1,"EI_ID",A65,"SYS_CODE","A","INSP_NO",195,"EI_MODEL","AH-64D")),(GETPIVOTDATA("INSP_VAL",'AH H_Pivot'!$A$1,"EI_ID",A65,"SYS_CODE","A","INSP_NO",224,"EI_MODEL","AH-64D")),(GETPIVOTDATA("INSP_VAL",'AH H_Pivot'!$A$1,"EI_ID",A65,"SYS_CODE","A","INSP_NO",260,"EI_MODEL","AH-64D")),(GETPIVOTDATA("INSP_VAL",'AH H_Pivot'!$A$1,"EI_ID",A65,"SYS_CODE","W","INSP_NO",533,"EI_MODEL","AH-64D"))),125,-G63)</f>
        <v>18.3</v>
      </c>
      <c r="J63" s="586">
        <f>SUM(MIN((GETPIVOTDATA("INSP_VAL",'AH H_Pivot'!$A$1,"EI_ID",A65,"SYS_CODE","A","INSP_NO",223,"EI_MODEL","AH-64D")),(GETPIVOTDATA("INSP_VAL",'AH H_Pivot'!$A$1,"EI_ID",A65,"SYS_CODE","A","INSP_NO",231,"EI_MODEL","AH-64D")),(GETPIVOTDATA("INSP_VAL",'AH H_Pivot'!$A$1,"EI_ID",A65,"SYS_CODE","A","INSP_NO",261,"EI_MODEL","AH-64D")),(GETPIVOTDATA("INSP_VAL",'AH H_Pivot'!$A$1,"EI_ID",A65,"SYS_CODE","A","INSP_NO",270,"EI_MODEL","AH-64D")),(GETPIVOTDATA("INSP_VAL",'AH H_Pivot'!$A$1,"EI_ID",A65,"SYS_CODE","A","INSP_NO",275,"EI_MODEL","AH-64D")),(GETPIVOTDATA("INSP_VAL",'AH H_Pivot'!$A$1,"EI_ID",A65,"SYS_CODE","A","INSP_NO",290,"EI_MODEL","AH-64D")),(GETPIVOTDATA("INSP_VAL",'AH H_Pivot'!$A$1,"EI_ID",A65,"SYS_CODE","A","INSP_NO",291,"EI_MODEL","AH-64D")),(GETPIVOTDATA("INSP_VAL",'AH H_Pivot'!$A$1,"EI_ID",A65,"SYS_CODE","A","INSP_NO",295,"EI_MODEL","AH-64D")),(GETPIVOTDATA("INSP_VAL",'AH H_Pivot'!$A$1,"EI_ID",A65,"SYS_CODE","A","INSP_NO",300,"EI_MODEL","AH-64D")),(GETPIVOTDATA("INSP_VAL",'AH H_Pivot'!$A$1,"EI_ID",A65,"SYS_CODE","A","INSP_NO",465,"EI_MODEL","AH-64D")),(GETPIVOTDATA("INSP_VAL",'AH H_Pivot'!$A$1,"EI_ID",A65,"SYS_CODE","W","INSP_NO",520,"EI_MODEL","AH-64D")),(GETPIVOTDATA("INSP_VAL",'AH H_Pivot'!$A$1,"EI_ID",A65,"SYS_CODE","A","INSP_NO",751,"EI_MODEL","AH-64D")),(GETPIVOTDATA("INSP_VAL",'AH H_Pivot'!$A$1,"EI_ID",A65,"SYS_CODE","A","INSP_NO",757,"EI_MODEL","AH-64D"))),250,-G63)</f>
        <v>143.30000000000001</v>
      </c>
      <c r="K63" s="587">
        <f>SUM(MIN((GETPIVOTDATA("INSP_DATE",'AH D_Pivot'!$A$1,"EI_ID",A65,"SYS_CODE","A","INSP_NO",260,"EI_MODEL","AH-64D")),(GETPIVOTDATA("INSP_DATE",'AH D_Pivot'!$A$1,"EI_ID",A65,"SYS_CODE","A","INSP_NO",261,"EI_MODEL","AH-64D")))+270)</f>
        <v>42239</v>
      </c>
      <c r="L63" s="559">
        <f>SUM(MIN((GETPIVOTDATA("INSP_VAL",'AH H_Pivot'!$A$1,"EI_ID",A65,"SYS_CODE","A","INSP_NO",35,"EI_MODEL","AH-64D")),(GETPIVOTDATA("INSP_VAL",'AH H_Pivot'!$A$1,"EI_ID",A65,"SYS_CODE","A","INSP_NO",226,"EI_MODEL","AH-64D")),(GETPIVOTDATA("INSP_VAL",'AH H_Pivot'!$A$1,"EI_ID",A65,"SYS_CODE","A","INSP_NO",400,"EI_MODEL","AH-64D")),(GETPIVOTDATA("INSP_VAL",'AH H_Pivot'!$A$1,"EI_ID",A65,"SYS_CODE","W","INSP_NO",525,"EI_MODEL","AH-64D")),(GETPIVOTDATA("INSP_VAL",'AH H_Pivot'!$A$1,"EI_ID",A65,"SYS_CODE","A","INSP_NO",755,"EI_MODEL","AH-64D"))),500,-G63)</f>
        <v>148.30000000000001</v>
      </c>
      <c r="M63" s="562" t="str">
        <f>IF(ISBLANK(VLOOKUP(A65,Table__1_4AHB_v_gen_READINESS[],15,FALSE)),"",(VLOOKUP(A65,Table__1_4AHB_v_gen_READINESS[],15,FALSE)))</f>
        <v>ASE Not Installed</v>
      </c>
      <c r="N63" s="563"/>
      <c r="O63" s="563"/>
      <c r="P63" s="563"/>
      <c r="Q63" s="563"/>
      <c r="R63" s="563"/>
      <c r="S63" s="563"/>
      <c r="T63" s="568"/>
      <c r="U63" s="568"/>
      <c r="V63" s="566"/>
      <c r="W63" s="566"/>
      <c r="X63" s="245">
        <f>IF(ISBLANK(VLOOKUP(A65,Table__1_4AHB_v_gen_READINESS[],17,FALSE)),"",(VLOOKUP(A65,Table__1_4AHB_v_gen_READINESS[],17,FALSE)))</f>
        <v>42095</v>
      </c>
      <c r="Y63" s="525" t="s">
        <v>22</v>
      </c>
      <c r="Z63" s="526">
        <f ca="1">'1-4 ARB'!S27</f>
        <v>0</v>
      </c>
      <c r="AA63" s="527">
        <f ca="1">'1-4 ARB'!T27</f>
        <v>0</v>
      </c>
    </row>
    <row r="64" spans="1:27" ht="25.5">
      <c r="A64" s="581"/>
      <c r="B64" s="583"/>
      <c r="C64" s="583"/>
      <c r="D64" s="407" t="s">
        <v>370</v>
      </c>
      <c r="E64" s="369" t="s">
        <v>371</v>
      </c>
      <c r="F64" s="584"/>
      <c r="G64" s="585"/>
      <c r="H64" s="586"/>
      <c r="I64" s="586"/>
      <c r="J64" s="586"/>
      <c r="K64" s="587"/>
      <c r="L64" s="560"/>
      <c r="M64" s="567"/>
      <c r="N64" s="568"/>
      <c r="O64" s="568"/>
      <c r="P64" s="568"/>
      <c r="Q64" s="568"/>
      <c r="R64" s="568"/>
      <c r="S64" s="568"/>
      <c r="T64" s="568"/>
      <c r="U64" s="568"/>
      <c r="V64" s="569"/>
      <c r="W64" s="569"/>
      <c r="X64" s="1">
        <f ca="1">IF(X63="","",$C$3-X63)</f>
        <v>20</v>
      </c>
      <c r="Y64" s="525"/>
      <c r="Z64" s="526"/>
      <c r="AA64" s="527"/>
    </row>
    <row r="65" spans="1:27" ht="25.5">
      <c r="A65" s="388" t="s">
        <v>165</v>
      </c>
      <c r="B65" s="588">
        <f>(VLOOKUP(A65,Table__1_4AHB_v_gen_READINESS[],37,FALSE)-TIME(7,0,0))</f>
        <v>42114.597638888903</v>
      </c>
      <c r="C65" s="588"/>
      <c r="D65" s="407" t="s">
        <v>19</v>
      </c>
      <c r="E65" s="369" t="s">
        <v>372</v>
      </c>
      <c r="F65" s="584"/>
      <c r="G65" s="585"/>
      <c r="H65" s="586"/>
      <c r="I65" s="586"/>
      <c r="J65" s="586"/>
      <c r="K65" s="587"/>
      <c r="L65" s="561"/>
      <c r="M65" s="570"/>
      <c r="N65" s="571"/>
      <c r="O65" s="571"/>
      <c r="P65" s="571"/>
      <c r="Q65" s="571"/>
      <c r="R65" s="571"/>
      <c r="S65" s="571"/>
      <c r="T65" s="572"/>
      <c r="U65" s="571"/>
      <c r="V65" s="558"/>
      <c r="W65" s="558"/>
      <c r="X65" s="246">
        <f>IF(ISBLANK(VLOOKUP(A65,Table__1_4AHB_v_gen_READINESS[],18,FALSE)),"",(VLOOKUP(A65,Table__1_4AHB_v_gen_READINESS[],18,FALSE)))</f>
        <v>42122</v>
      </c>
      <c r="Y65" s="525"/>
      <c r="Z65" s="526"/>
      <c r="AA65" s="527"/>
    </row>
    <row r="66" spans="1:27" ht="25.5">
      <c r="A66" s="581" t="s">
        <v>311</v>
      </c>
      <c r="B66" s="589" t="s">
        <v>65</v>
      </c>
      <c r="C66" s="589" t="s">
        <v>25</v>
      </c>
      <c r="D66" s="369"/>
      <c r="E66" s="516" t="s">
        <v>369</v>
      </c>
      <c r="F66" s="584" t="s">
        <v>248</v>
      </c>
      <c r="G66" s="585">
        <f>VLOOKUP(A68,Table__1_4AHB_v_gen_READINESS[],36,FALSE)</f>
        <v>1825.9</v>
      </c>
      <c r="H66" s="586">
        <f>SUM(MIN((GETPIVOTDATA("INSP_VAL",'AH H_Pivot'!$A$1,"EI_ID",A68,"SYS_CODE","A","INSP_NO",130,"EI_MODEL","AH-64D")),(GETPIVOTDATA("INSP_VAL",'AH H_Pivot'!$A$1,"EI_ID",A68,"SYS_CODE","A","INSP_NO",135,"EI_MODEL","AH-64D")),(GETPIVOTDATA("INSP_VAL",'AH H_Pivot'!$A$1,"EI_ID",A68,"SYS_CODE","A","INSP_NO",145,"EI_MODEL","AH-64D"))),50,-G66)</f>
        <v>14.7</v>
      </c>
      <c r="I66" s="586">
        <f>SUM(MIN((GETPIVOTDATA("INSP_VAL",'AH H_Pivot'!$A$1,"EI_ID",A68,"SYS_CODE","W","INSP_NO",45,"EI_MODEL","AH-64D")),(GETPIVOTDATA("INSP_VAL",'AH H_Pivot'!$A$1,"EI_ID",A68,"SYS_CODE","W","INSP_NO",46,"EI_MODEL","AH-64D")),(GETPIVOTDATA("INSP_VAL",'AH H_Pivot'!$A$1,"EI_ID",A68,"SYS_CODE","A","INSP_NO",150,"EI_MODEL","AH-64D")),(GETPIVOTDATA("INSP_VAL",'AH H_Pivot'!$A$1,"EI_ID",A68,"SYS_CODE","A","INSP_NO",152,"EI_MODEL","AH-64D")),(GETPIVOTDATA("INSP_VAL",'AH H_Pivot'!$A$1,"EI_ID",A68,"SYS_CODE","A","INSP_NO",195,"EI_MODEL","AH-64D")),(GETPIVOTDATA("INSP_VAL",'AH H_Pivot'!$A$1,"EI_ID",A68,"SYS_CODE","A","INSP_NO",224,"EI_MODEL","AH-64D")),(GETPIVOTDATA("INSP_VAL",'AH H_Pivot'!$A$1,"EI_ID",A68,"SYS_CODE","A","INSP_NO",260,"EI_MODEL","AH-64D")),(GETPIVOTDATA("INSP_VAL",'AH H_Pivot'!$A$1,"EI_ID",A68,"SYS_CODE","W","INSP_NO",533,"EI_MODEL","AH-64D"))),125,-G66)</f>
        <v>3.8</v>
      </c>
      <c r="J66" s="586">
        <f>SUM(MIN((GETPIVOTDATA("INSP_VAL",'AH H_Pivot'!$A$1,"EI_ID",A68,"SYS_CODE","A","INSP_NO",223,"EI_MODEL","AH-64D")),(GETPIVOTDATA("INSP_VAL",'AH H_Pivot'!$A$1,"EI_ID",A68,"SYS_CODE","A","INSP_NO",231,"EI_MODEL","AH-64D")),(GETPIVOTDATA("INSP_VAL",'AH H_Pivot'!$A$1,"EI_ID",A68,"SYS_CODE","A","INSP_NO",261,"EI_MODEL","AH-64D")),(GETPIVOTDATA("INSP_VAL",'AH H_Pivot'!$A$1,"EI_ID",A68,"SYS_CODE","A","INSP_NO",270,"EI_MODEL","AH-64D")),(GETPIVOTDATA("INSP_VAL",'AH H_Pivot'!$A$1,"EI_ID",A68,"SYS_CODE","A","INSP_NO",275,"EI_MODEL","AH-64D")),(GETPIVOTDATA("INSP_VAL",'AH H_Pivot'!$A$1,"EI_ID",A68,"SYS_CODE","A","INSP_NO",290,"EI_MODEL","AH-64D")),(GETPIVOTDATA("INSP_VAL",'AH H_Pivot'!$A$1,"EI_ID",A68,"SYS_CODE","A","INSP_NO",291,"EI_MODEL","AH-64D")),(GETPIVOTDATA("INSP_VAL",'AH H_Pivot'!$A$1,"EI_ID",A68,"SYS_CODE","A","INSP_NO",295,"EI_MODEL","AH-64D")),(GETPIVOTDATA("INSP_VAL",'AH H_Pivot'!$A$1,"EI_ID",A68,"SYS_CODE","A","INSP_NO",300,"EI_MODEL","AH-64D")),(GETPIVOTDATA("INSP_VAL",'AH H_Pivot'!$A$1,"EI_ID",A68,"SYS_CODE","A","INSP_NO",465,"EI_MODEL","AH-64D")),(GETPIVOTDATA("INSP_VAL",'AH H_Pivot'!$A$1,"EI_ID",A68,"SYS_CODE","W","INSP_NO",520,"EI_MODEL","AH-64D")),(GETPIVOTDATA("INSP_VAL",'AH H_Pivot'!$A$1,"EI_ID",A68,"SYS_CODE","A","INSP_NO",751,"EI_MODEL","AH-64D")),(GETPIVOTDATA("INSP_VAL",'AH H_Pivot'!$A$1,"EI_ID",A68,"SYS_CODE","A","INSP_NO",757,"EI_MODEL","AH-64D"))),250,-G66)</f>
        <v>128.80000000000001</v>
      </c>
      <c r="K66" s="587">
        <f>SUM(MIN((GETPIVOTDATA("INSP_DATE",'AH D_Pivot'!$A$1,"EI_ID",A68,"SYS_CODE","A","INSP_NO",260,"EI_MODEL","AH-64D")),(GETPIVOTDATA("INSP_DATE",'AH D_Pivot'!$A$1,"EI_ID",A68,"SYS_CODE","A","INSP_NO",261,"EI_MODEL","AH-64D")))+270)</f>
        <v>42239</v>
      </c>
      <c r="L66" s="559">
        <f>SUM(MIN((GETPIVOTDATA("INSP_VAL",'AH H_Pivot'!$A$1,"EI_ID",A68,"SYS_CODE","A","INSP_NO",35,"EI_MODEL","AH-64D")),(GETPIVOTDATA("INSP_VAL",'AH H_Pivot'!$A$1,"EI_ID",A68,"SYS_CODE","A","INSP_NO",226,"EI_MODEL","AH-64D")),(GETPIVOTDATA("INSP_VAL",'AH H_Pivot'!$A$1,"EI_ID",A68,"SYS_CODE","A","INSP_NO",400,"EI_MODEL","AH-64D")),(GETPIVOTDATA("INSP_VAL",'AH H_Pivot'!$A$1,"EI_ID",A68,"SYS_CODE","W","INSP_NO",525,"EI_MODEL","AH-64D")),(GETPIVOTDATA("INSP_VAL",'AH H_Pivot'!$A$1,"EI_ID",A68,"SYS_CODE","A","INSP_NO",755,"EI_MODEL","AH-64D"))),500,-G66)</f>
        <v>378.8</v>
      </c>
      <c r="M66" s="562" t="str">
        <f>IF(ISBLANK(VLOOKUP(A68,Table__1_4AHB_v_gen_READINESS[],15,FALSE)),"",(VLOOKUP(A68,Table__1_4AHB_v_gen_READINESS[],15,FALSE)))</f>
        <v>MSPU Red for M/R Smoothing</v>
      </c>
      <c r="N66" s="563"/>
      <c r="O66" s="563"/>
      <c r="P66" s="563"/>
      <c r="Q66" s="563"/>
      <c r="R66" s="563"/>
      <c r="S66" s="563"/>
      <c r="T66" s="564" t="s">
        <v>336</v>
      </c>
      <c r="U66" s="565"/>
      <c r="V66" s="566"/>
      <c r="W66" s="566"/>
      <c r="X66" s="245">
        <f>IF(ISBLANK(VLOOKUP(A68,Table__1_4AHB_v_gen_READINESS[],17,FALSE)),"",(VLOOKUP(A68,Table__1_4AHB_v_gen_READINESS[],17,FALSE)))</f>
        <v>42107</v>
      </c>
      <c r="Y66" s="525" t="s">
        <v>65</v>
      </c>
      <c r="Z66" s="526">
        <f ca="1">'1-4 ARB'!S25</f>
        <v>132</v>
      </c>
      <c r="AA66" s="527">
        <f ca="1">'1-4 ARB'!T25</f>
        <v>0.13800000000000001</v>
      </c>
    </row>
    <row r="67" spans="1:27" ht="25.5">
      <c r="A67" s="581"/>
      <c r="B67" s="583"/>
      <c r="C67" s="583"/>
      <c r="D67" s="407" t="s">
        <v>370</v>
      </c>
      <c r="E67" s="369" t="s">
        <v>371</v>
      </c>
      <c r="F67" s="584"/>
      <c r="G67" s="585"/>
      <c r="H67" s="586"/>
      <c r="I67" s="586"/>
      <c r="J67" s="586"/>
      <c r="K67" s="587"/>
      <c r="L67" s="560"/>
      <c r="M67" s="567" t="s">
        <v>424</v>
      </c>
      <c r="N67" s="568"/>
      <c r="O67" s="568"/>
      <c r="P67" s="568"/>
      <c r="Q67" s="568"/>
      <c r="R67" s="568"/>
      <c r="S67" s="568"/>
      <c r="T67" s="568" t="s">
        <v>499</v>
      </c>
      <c r="U67" s="568"/>
      <c r="V67" s="569"/>
      <c r="W67" s="569"/>
      <c r="X67" s="1">
        <f ca="1">IF(X66="","",$C$3-X66)</f>
        <v>8</v>
      </c>
      <c r="Y67" s="525"/>
      <c r="Z67" s="526"/>
      <c r="AA67" s="527"/>
    </row>
    <row r="68" spans="1:27" ht="25.5">
      <c r="A68" s="388" t="s">
        <v>145</v>
      </c>
      <c r="B68" s="588">
        <f>(VLOOKUP(A68,Table__1_4AHB_v_gen_READINESS[],37,FALSE)-TIME(7,0,0))</f>
        <v>42114.478576388901</v>
      </c>
      <c r="C68" s="588"/>
      <c r="D68" s="407" t="s">
        <v>19</v>
      </c>
      <c r="E68" s="369" t="s">
        <v>372</v>
      </c>
      <c r="F68" s="584"/>
      <c r="G68" s="585"/>
      <c r="H68" s="586"/>
      <c r="I68" s="586"/>
      <c r="J68" s="586"/>
      <c r="K68" s="587"/>
      <c r="L68" s="561"/>
      <c r="M68" s="570"/>
      <c r="N68" s="571"/>
      <c r="O68" s="571"/>
      <c r="P68" s="571"/>
      <c r="Q68" s="571"/>
      <c r="R68" s="571"/>
      <c r="S68" s="571"/>
      <c r="T68" s="572"/>
      <c r="U68" s="571"/>
      <c r="V68" s="558"/>
      <c r="W68" s="558"/>
      <c r="X68" s="246">
        <f>IF(ISBLANK(VLOOKUP(A68,Table__1_4AHB_v_gen_READINESS[],18,FALSE)),"",(VLOOKUP(A68,Table__1_4AHB_v_gen_READINESS[],18,FALSE)))</f>
        <v>42122</v>
      </c>
      <c r="Y68" s="525"/>
      <c r="Z68" s="526"/>
      <c r="AA68" s="527"/>
    </row>
    <row r="69" spans="1:27" ht="25.5">
      <c r="A69" s="581" t="s">
        <v>312</v>
      </c>
      <c r="B69" s="589" t="s">
        <v>24</v>
      </c>
      <c r="C69" s="589" t="s">
        <v>25</v>
      </c>
      <c r="D69" s="369" t="s">
        <v>409</v>
      </c>
      <c r="E69" s="516" t="s">
        <v>369</v>
      </c>
      <c r="F69" s="584" t="s">
        <v>248</v>
      </c>
      <c r="G69" s="585">
        <f>VLOOKUP(A71,Table__1_4AHB_v_gen_READINESS[],36,FALSE)</f>
        <v>1530.5</v>
      </c>
      <c r="H69" s="586">
        <f>SUM(MIN((GETPIVOTDATA("INSP_VAL",'AH H_Pivot'!$A$1,"EI_ID",A71,"SYS_CODE","A","INSP_NO",130,"EI_MODEL","AH-64D")),(GETPIVOTDATA("INSP_VAL",'AH H_Pivot'!$A$1,"EI_ID",A71,"SYS_CODE","A","INSP_NO",135,"EI_MODEL","AH-64D")),(GETPIVOTDATA("INSP_VAL",'AH H_Pivot'!$A$1,"EI_ID",A71,"SYS_CODE","A","INSP_NO",145,"EI_MODEL","AH-64D"))),50,-G69)</f>
        <v>19.600000000000001</v>
      </c>
      <c r="I69" s="586">
        <f>SUM(MIN((GETPIVOTDATA("INSP_VAL",'AH H_Pivot'!$A$1,"EI_ID",A71,"SYS_CODE","W","INSP_NO",45,"EI_MODEL","AH-64D")),(GETPIVOTDATA("INSP_VAL",'AH H_Pivot'!$A$1,"EI_ID",A71,"SYS_CODE","W","INSP_NO",46,"EI_MODEL","AH-64D")),(GETPIVOTDATA("INSP_VAL",'AH H_Pivot'!$A$1,"EI_ID",A71,"SYS_CODE","A","INSP_NO",150,"EI_MODEL","AH-64D")),(GETPIVOTDATA("INSP_VAL",'AH H_Pivot'!$A$1,"EI_ID",A71,"SYS_CODE","A","INSP_NO",152,"EI_MODEL","AH-64D")),(GETPIVOTDATA("INSP_VAL",'AH H_Pivot'!$A$1,"EI_ID",A71,"SYS_CODE","A","INSP_NO",195,"EI_MODEL","AH-64D")),(GETPIVOTDATA("INSP_VAL",'AH H_Pivot'!$A$1,"EI_ID",A71,"SYS_CODE","A","INSP_NO",224,"EI_MODEL","AH-64D")),(GETPIVOTDATA("INSP_VAL",'AH H_Pivot'!$A$1,"EI_ID",A71,"SYS_CODE","A","INSP_NO",260,"EI_MODEL","AH-64D")),(GETPIVOTDATA("INSP_VAL",'AH H_Pivot'!$A$1,"EI_ID",A71,"SYS_CODE","W","INSP_NO",533,"EI_MODEL","AH-64D"))),125,-G69)</f>
        <v>44.6</v>
      </c>
      <c r="J69" s="586">
        <f>SUM(MIN((GETPIVOTDATA("INSP_VAL",'AH H_Pivot'!$A$1,"EI_ID",A71,"SYS_CODE","A","INSP_NO",223,"EI_MODEL","AH-64D")),(GETPIVOTDATA("INSP_VAL",'AH H_Pivot'!$A$1,"EI_ID",A71,"SYS_CODE","A","INSP_NO",231,"EI_MODEL","AH-64D")),(GETPIVOTDATA("INSP_VAL",'AH H_Pivot'!$A$1,"EI_ID",A71,"SYS_CODE","A","INSP_NO",261,"EI_MODEL","AH-64D")),(GETPIVOTDATA("INSP_VAL",'AH H_Pivot'!$A$1,"EI_ID",A71,"SYS_CODE","A","INSP_NO",270,"EI_MODEL","AH-64D")),(GETPIVOTDATA("INSP_VAL",'AH H_Pivot'!$A$1,"EI_ID",A71,"SYS_CODE","A","INSP_NO",275,"EI_MODEL","AH-64D")),(GETPIVOTDATA("INSP_VAL",'AH H_Pivot'!$A$1,"EI_ID",A71,"SYS_CODE","A","INSP_NO",290,"EI_MODEL","AH-64D")),(GETPIVOTDATA("INSP_VAL",'AH H_Pivot'!$A$1,"EI_ID",A71,"SYS_CODE","A","INSP_NO",291,"EI_MODEL","AH-64D")),(GETPIVOTDATA("INSP_VAL",'AH H_Pivot'!$A$1,"EI_ID",A71,"SYS_CODE","A","INSP_NO",295,"EI_MODEL","AH-64D")),(GETPIVOTDATA("INSP_VAL",'AH H_Pivot'!$A$1,"EI_ID",A71,"SYS_CODE","A","INSP_NO",300,"EI_MODEL","AH-64D")),(GETPIVOTDATA("INSP_VAL",'AH H_Pivot'!$A$1,"EI_ID",A71,"SYS_CODE","A","INSP_NO",465,"EI_MODEL","AH-64D")),(GETPIVOTDATA("INSP_VAL",'AH H_Pivot'!$A$1,"EI_ID",A71,"SYS_CODE","W","INSP_NO",520,"EI_MODEL","AH-64D")),(GETPIVOTDATA("INSP_VAL",'AH H_Pivot'!$A$1,"EI_ID",A71,"SYS_CODE","A","INSP_NO",751,"EI_MODEL","AH-64D")),(GETPIVOTDATA("INSP_VAL",'AH H_Pivot'!$A$1,"EI_ID",A71,"SYS_CODE","A","INSP_NO",757,"EI_MODEL","AH-64D"))),250,-G69)</f>
        <v>44.9</v>
      </c>
      <c r="K69" s="587">
        <f>SUM(MIN((GETPIVOTDATA("INSP_DATE",'AH D_Pivot'!$A$1,"EI_ID",A71,"SYS_CODE","A","INSP_NO",260,"EI_MODEL","AH-64D")),(GETPIVOTDATA("INSP_DATE",'AH D_Pivot'!$A$1,"EI_ID",A71,"SYS_CODE","A","INSP_NO",261,"EI_MODEL","AH-64D")))+270)</f>
        <v>42239</v>
      </c>
      <c r="L69" s="559">
        <f>SUM(MIN((GETPIVOTDATA("INSP_VAL",'AH H_Pivot'!$A$1,"EI_ID",A71,"SYS_CODE","A","INSP_NO",35,"EI_MODEL","AH-64D")),(GETPIVOTDATA("INSP_VAL",'AH H_Pivot'!$A$1,"EI_ID",A71,"SYS_CODE","A","INSP_NO",226,"EI_MODEL","AH-64D")),(GETPIVOTDATA("INSP_VAL",'AH H_Pivot'!$A$1,"EI_ID",A71,"SYS_CODE","A","INSP_NO",400,"EI_MODEL","AH-64D")),(GETPIVOTDATA("INSP_VAL",'AH H_Pivot'!$A$1,"EI_ID",A71,"SYS_CODE","W","INSP_NO",525,"EI_MODEL","AH-64D")),(GETPIVOTDATA("INSP_VAL",'AH H_Pivot'!$A$1,"EI_ID",A71,"SYS_CODE","A","INSP_NO",755,"EI_MODEL","AH-64D"))),500,-G69)</f>
        <v>294.89999999999998</v>
      </c>
      <c r="M69" s="562" t="str">
        <f>IF(ISBLANK(VLOOKUP(A71,Table__1_4AHB_v_gen_READINESS[],15,FALSE)),"",(VLOOKUP(A71,Table__1_4AHB_v_gen_READINESS[],15,FALSE)))</f>
        <v>XMSN REPLACEMENT</v>
      </c>
      <c r="N69" s="563"/>
      <c r="O69" s="563"/>
      <c r="P69" s="563"/>
      <c r="Q69" s="563"/>
      <c r="R69" s="563"/>
      <c r="S69" s="563"/>
      <c r="T69" s="564" t="s">
        <v>477</v>
      </c>
      <c r="U69" s="565"/>
      <c r="V69" s="566"/>
      <c r="W69" s="566"/>
      <c r="X69" s="245">
        <f>IF(ISBLANK(VLOOKUP(A71,Table__1_4AHB_v_gen_READINESS[],17,FALSE)),"",(VLOOKUP(A71,Table__1_4AHB_v_gen_READINESS[],17,FALSE)))</f>
        <v>42079</v>
      </c>
      <c r="Y69" s="525" t="s">
        <v>24</v>
      </c>
      <c r="Z69" s="526">
        <f ca="1">'1-4 ARB'!S26</f>
        <v>143</v>
      </c>
      <c r="AA69" s="527">
        <f ca="1">'1-4 ARB'!T26</f>
        <v>0.14899999999999999</v>
      </c>
    </row>
    <row r="70" spans="1:27" ht="25.5">
      <c r="A70" s="581"/>
      <c r="B70" s="583"/>
      <c r="C70" s="583"/>
      <c r="D70" s="407" t="s">
        <v>370</v>
      </c>
      <c r="E70" s="369" t="s">
        <v>371</v>
      </c>
      <c r="F70" s="584"/>
      <c r="G70" s="585"/>
      <c r="H70" s="586"/>
      <c r="I70" s="586"/>
      <c r="J70" s="586"/>
      <c r="K70" s="587"/>
      <c r="L70" s="560"/>
      <c r="M70" s="567" t="s">
        <v>18</v>
      </c>
      <c r="N70" s="568"/>
      <c r="O70" s="568"/>
      <c r="P70" s="568"/>
      <c r="Q70" s="568"/>
      <c r="R70" s="568"/>
      <c r="S70" s="568"/>
      <c r="T70" s="568"/>
      <c r="U70" s="568"/>
      <c r="V70" s="569"/>
      <c r="W70" s="569"/>
      <c r="X70" s="1">
        <f ca="1">IF(X69="","",$C$3-X69)</f>
        <v>36</v>
      </c>
      <c r="Y70" s="525"/>
      <c r="Z70" s="526"/>
      <c r="AA70" s="527"/>
    </row>
    <row r="71" spans="1:27" ht="25.5">
      <c r="A71" s="388" t="s">
        <v>170</v>
      </c>
      <c r="B71" s="588">
        <f>(VLOOKUP(A71,Table__1_4AHB_v_gen_READINESS[],37,FALSE)-TIME(7,0,0))</f>
        <v>42114.676226851901</v>
      </c>
      <c r="C71" s="588"/>
      <c r="D71" s="407" t="s">
        <v>19</v>
      </c>
      <c r="E71" s="369" t="s">
        <v>372</v>
      </c>
      <c r="F71" s="584"/>
      <c r="G71" s="585"/>
      <c r="H71" s="586"/>
      <c r="I71" s="586"/>
      <c r="J71" s="586"/>
      <c r="K71" s="587"/>
      <c r="L71" s="561"/>
      <c r="M71" s="570" t="s">
        <v>430</v>
      </c>
      <c r="N71" s="571"/>
      <c r="O71" s="571"/>
      <c r="P71" s="571"/>
      <c r="Q71" s="571"/>
      <c r="R71" s="571"/>
      <c r="S71" s="571"/>
      <c r="T71" s="572"/>
      <c r="U71" s="571"/>
      <c r="V71" s="558"/>
      <c r="W71" s="558"/>
      <c r="X71" s="246">
        <f>IF(ISBLANK(VLOOKUP(A71,Table__1_4AHB_v_gen_READINESS[],18,FALSE)),"",(VLOOKUP(A71,Table__1_4AHB_v_gen_READINESS[],18,FALSE)))</f>
        <v>42122</v>
      </c>
      <c r="Y71" s="525"/>
      <c r="Z71" s="526"/>
      <c r="AA71" s="527"/>
    </row>
    <row r="72" spans="1:27" ht="25.5">
      <c r="A72" s="581" t="s">
        <v>313</v>
      </c>
      <c r="B72" s="589" t="s">
        <v>23</v>
      </c>
      <c r="C72" s="589" t="s">
        <v>17</v>
      </c>
      <c r="D72" s="369"/>
      <c r="E72" s="516" t="s">
        <v>369</v>
      </c>
      <c r="F72" s="584" t="s">
        <v>248</v>
      </c>
      <c r="G72" s="585">
        <f>VLOOKUP(A74,Table__1_4AHB_v_gen_READINESS[],36,FALSE)</f>
        <v>4074.6</v>
      </c>
      <c r="H72" s="586">
        <f>SUM(MIN((GETPIVOTDATA("INSP_VAL",'AH H_Pivot'!$A$1,"EI_ID",A74,"SYS_CODE","A","INSP_NO",130,"EI_MODEL","AH-64D")),(GETPIVOTDATA("INSP_VAL",'AH H_Pivot'!$A$1,"EI_ID",A74,"SYS_CODE","A","INSP_NO",135,"EI_MODEL","AH-64D")),(GETPIVOTDATA("INSP_VAL",'AH H_Pivot'!$A$1,"EI_ID",A74,"SYS_CODE","A","INSP_NO",145,"EI_MODEL","AH-64D"))),50,-G72)</f>
        <v>5.4</v>
      </c>
      <c r="I72" s="586">
        <f>SUM(MIN((GETPIVOTDATA("INSP_VAL",'AH H_Pivot'!$A$1,"EI_ID",A74,"SYS_CODE","W","INSP_NO",45,"EI_MODEL","AH-64D")),(GETPIVOTDATA("INSP_VAL",'AH H_Pivot'!$A$1,"EI_ID",A74,"SYS_CODE","W","INSP_NO",46,"EI_MODEL","AH-64D")),(GETPIVOTDATA("INSP_VAL",'AH H_Pivot'!$A$1,"EI_ID",A74,"SYS_CODE","A","INSP_NO",150,"EI_MODEL","AH-64D")),(GETPIVOTDATA("INSP_VAL",'AH H_Pivot'!$A$1,"EI_ID",A74,"SYS_CODE","A","INSP_NO",152,"EI_MODEL","AH-64D")),(GETPIVOTDATA("INSP_VAL",'AH H_Pivot'!$A$1,"EI_ID",A74,"SYS_CODE","A","INSP_NO",195,"EI_MODEL","AH-64D")),(GETPIVOTDATA("INSP_VAL",'AH H_Pivot'!$A$1,"EI_ID",A74,"SYS_CODE","A","INSP_NO",224,"EI_MODEL","AH-64D")),(GETPIVOTDATA("INSP_VAL",'AH H_Pivot'!$A$1,"EI_ID",A74,"SYS_CODE","A","INSP_NO",260,"EI_MODEL","AH-64D")),(GETPIVOTDATA("INSP_VAL",'AH H_Pivot'!$A$1,"EI_ID",A74,"SYS_CODE","W","INSP_NO",533,"EI_MODEL","AH-64D"))),125,-G72)</f>
        <v>35.4</v>
      </c>
      <c r="J72" s="586">
        <f>SUM(MIN((GETPIVOTDATA("INSP_VAL",'AH H_Pivot'!$A$1,"EI_ID",A74,"SYS_CODE","A","INSP_NO",223,"EI_MODEL","AH-64D")),(GETPIVOTDATA("INSP_VAL",'AH H_Pivot'!$A$1,"EI_ID",A74,"SYS_CODE","A","INSP_NO",231,"EI_MODEL","AH-64D")),(GETPIVOTDATA("INSP_VAL",'AH H_Pivot'!$A$1,"EI_ID",A74,"SYS_CODE","A","INSP_NO",261,"EI_MODEL","AH-64D")),(GETPIVOTDATA("INSP_VAL",'AH H_Pivot'!$A$1,"EI_ID",A74,"SYS_CODE","A","INSP_NO",270,"EI_MODEL","AH-64D")),(GETPIVOTDATA("INSP_VAL",'AH H_Pivot'!$A$1,"EI_ID",A74,"SYS_CODE","A","INSP_NO",275,"EI_MODEL","AH-64D")),(GETPIVOTDATA("INSP_VAL",'AH H_Pivot'!$A$1,"EI_ID",A74,"SYS_CODE","A","INSP_NO",290,"EI_MODEL","AH-64D")),(GETPIVOTDATA("INSP_VAL",'AH H_Pivot'!$A$1,"EI_ID",A74,"SYS_CODE","A","INSP_NO",291,"EI_MODEL","AH-64D")),(GETPIVOTDATA("INSP_VAL",'AH H_Pivot'!$A$1,"EI_ID",A74,"SYS_CODE","A","INSP_NO",295,"EI_MODEL","AH-64D")),(GETPIVOTDATA("INSP_VAL",'AH H_Pivot'!$A$1,"EI_ID",A74,"SYS_CODE","A","INSP_NO",300,"EI_MODEL","AH-64D")),(GETPIVOTDATA("INSP_VAL",'AH H_Pivot'!$A$1,"EI_ID",A74,"SYS_CODE","A","INSP_NO",465,"EI_MODEL","AH-64D")),(GETPIVOTDATA("INSP_VAL",'AH H_Pivot'!$A$1,"EI_ID",A74,"SYS_CODE","W","INSP_NO",520,"EI_MODEL","AH-64D")),(GETPIVOTDATA("INSP_VAL",'AH H_Pivot'!$A$1,"EI_ID",A74,"SYS_CODE","A","INSP_NO",751,"EI_MODEL","AH-64D")),(GETPIVOTDATA("INSP_VAL",'AH H_Pivot'!$A$1,"EI_ID",A74,"SYS_CODE","A","INSP_NO",757,"EI_MODEL","AH-64D"))),250,-G72)</f>
        <v>160.4</v>
      </c>
      <c r="K72" s="587">
        <f>SUM(MIN((GETPIVOTDATA("INSP_DATE",'AH D_Pivot'!$A$1,"EI_ID",A74,"SYS_CODE","A","INSP_NO",260,"EI_MODEL","AH-64D")),(GETPIVOTDATA("INSP_DATE",'AH D_Pivot'!$A$1,"EI_ID",A74,"SYS_CODE","A","INSP_NO",261,"EI_MODEL","AH-64D")))+270)</f>
        <v>42238</v>
      </c>
      <c r="L72" s="559">
        <f>SUM(MIN((GETPIVOTDATA("INSP_VAL",'AH H_Pivot'!$A$1,"EI_ID",A74,"SYS_CODE","A","INSP_NO",35,"EI_MODEL","AH-64D")),(GETPIVOTDATA("INSP_VAL",'AH H_Pivot'!$A$1,"EI_ID",A74,"SYS_CODE","A","INSP_NO",226,"EI_MODEL","AH-64D")),(GETPIVOTDATA("INSP_VAL",'AH H_Pivot'!$A$1,"EI_ID",A74,"SYS_CODE","A","INSP_NO",400,"EI_MODEL","AH-64D")),(GETPIVOTDATA("INSP_VAL",'AH H_Pivot'!$A$1,"EI_ID",A74,"SYS_CODE","W","INSP_NO",525,"EI_MODEL","AH-64D")),(GETPIVOTDATA("INSP_VAL",'AH H_Pivot'!$A$1,"EI_ID",A74,"SYS_CODE","A","INSP_NO",755,"EI_MODEL","AH-64D"))),500,-G72)</f>
        <v>168.8</v>
      </c>
      <c r="M72" s="562" t="str">
        <f>IF(ISBLANK(VLOOKUP(A74,Table__1_4AHB_v_gen_READINESS[],15,FALSE)),"",(VLOOKUP(A74,Table__1_4AHB_v_gen_READINESS[],15,FALSE)))</f>
        <v>DOPPLER FAIL</v>
      </c>
      <c r="N72" s="563"/>
      <c r="O72" s="563"/>
      <c r="P72" s="563"/>
      <c r="Q72" s="563"/>
      <c r="R72" s="563"/>
      <c r="S72" s="563"/>
      <c r="T72" s="564"/>
      <c r="U72" s="565"/>
      <c r="V72" s="566"/>
      <c r="W72" s="566"/>
      <c r="X72" s="245">
        <f>IF(ISBLANK(VLOOKUP(A74,Table__1_4AHB_v_gen_READINESS[],17,FALSE)),"",(VLOOKUP(A74,Table__1_4AHB_v_gen_READINESS[],17,FALSE)))</f>
        <v>42095</v>
      </c>
      <c r="Y72" s="525" t="s">
        <v>403</v>
      </c>
      <c r="Z72" s="526">
        <f>'1-4 ARB'!T32</f>
        <v>70.3</v>
      </c>
      <c r="AA72" s="528"/>
    </row>
    <row r="73" spans="1:27" ht="25.5">
      <c r="A73" s="581"/>
      <c r="B73" s="583"/>
      <c r="C73" s="583"/>
      <c r="D73" s="407" t="s">
        <v>370</v>
      </c>
      <c r="E73" s="369" t="s">
        <v>371</v>
      </c>
      <c r="F73" s="584"/>
      <c r="G73" s="585"/>
      <c r="H73" s="586"/>
      <c r="I73" s="586"/>
      <c r="J73" s="586"/>
      <c r="K73" s="587"/>
      <c r="L73" s="560"/>
      <c r="M73" s="567"/>
      <c r="N73" s="568"/>
      <c r="O73" s="568"/>
      <c r="P73" s="568"/>
      <c r="Q73" s="568"/>
      <c r="R73" s="568"/>
      <c r="S73" s="568"/>
      <c r="T73" s="568"/>
      <c r="U73" s="568"/>
      <c r="V73" s="569"/>
      <c r="W73" s="569"/>
      <c r="X73" s="1">
        <f ca="1">IF(X72="","",$C$3-X72)</f>
        <v>20</v>
      </c>
      <c r="Y73" s="525"/>
      <c r="Z73" s="526"/>
      <c r="AA73" s="528"/>
    </row>
    <row r="74" spans="1:27" ht="25.5">
      <c r="A74" s="388" t="s">
        <v>150</v>
      </c>
      <c r="B74" s="588">
        <f>(VLOOKUP(A74,Table__1_4AHB_v_gen_READINESS[],37,FALSE)-TIME(7,0,0))</f>
        <v>42111.765254629601</v>
      </c>
      <c r="C74" s="588"/>
      <c r="D74" s="407" t="s">
        <v>19</v>
      </c>
      <c r="E74" s="369" t="s">
        <v>372</v>
      </c>
      <c r="F74" s="584"/>
      <c r="G74" s="585"/>
      <c r="H74" s="586"/>
      <c r="I74" s="586"/>
      <c r="J74" s="586"/>
      <c r="K74" s="587"/>
      <c r="L74" s="561"/>
      <c r="M74" s="570"/>
      <c r="N74" s="571"/>
      <c r="O74" s="571"/>
      <c r="P74" s="571"/>
      <c r="Q74" s="571"/>
      <c r="R74" s="571"/>
      <c r="S74" s="571"/>
      <c r="T74" s="572"/>
      <c r="U74" s="571"/>
      <c r="V74" s="558"/>
      <c r="W74" s="558"/>
      <c r="X74" s="246">
        <f>IF(ISBLANK(VLOOKUP(A74,Table__1_4AHB_v_gen_READINESS[],18,FALSE)),"",(VLOOKUP(A74,Table__1_4AHB_v_gen_READINESS[],18,FALSE)))</f>
        <v>42115</v>
      </c>
      <c r="Y74" s="525"/>
      <c r="Z74" s="526"/>
      <c r="AA74" s="528"/>
    </row>
    <row r="75" spans="1:27" ht="25.5">
      <c r="A75" s="581" t="s">
        <v>314</v>
      </c>
      <c r="B75" s="589" t="s">
        <v>77</v>
      </c>
      <c r="C75" s="589" t="s">
        <v>17</v>
      </c>
      <c r="D75" s="369"/>
      <c r="E75" s="516" t="s">
        <v>369</v>
      </c>
      <c r="F75" s="584" t="s">
        <v>248</v>
      </c>
      <c r="G75" s="585">
        <f>VLOOKUP(A77,Table__1_4AHB_v_gen_READINESS[],36,FALSE)</f>
        <v>7481.9</v>
      </c>
      <c r="H75" s="586">
        <f>SUM(MIN((GETPIVOTDATA("INSP_VAL",'AH H_Pivot'!$A$1,"EI_ID",A77,"SYS_CODE","A","INSP_NO",130,"EI_MODEL","AH-64D")),(GETPIVOTDATA("INSP_VAL",'AH H_Pivot'!$A$1,"EI_ID",A77,"SYS_CODE","A","INSP_NO",135,"EI_MODEL","AH-64D")),(GETPIVOTDATA("INSP_VAL",'AH H_Pivot'!$A$1,"EI_ID",A77,"SYS_CODE","A","INSP_NO",145,"EI_MODEL","AH-64D"))),50,-G75)</f>
        <v>51.2</v>
      </c>
      <c r="I75" s="586">
        <f>SUM(MIN((GETPIVOTDATA("INSP_VAL",'AH H_Pivot'!$A$1,"EI_ID",A77,"SYS_CODE","W","INSP_NO",45,"EI_MODEL","AH-64D")),(GETPIVOTDATA("INSP_VAL",'AH H_Pivot'!$A$1,"EI_ID",A77,"SYS_CODE","W","INSP_NO",46,"EI_MODEL","AH-64D")),(GETPIVOTDATA("INSP_VAL",'AH H_Pivot'!$A$1,"EI_ID",A77,"SYS_CODE","A","INSP_NO",150,"EI_MODEL","AH-64D")),(GETPIVOTDATA("INSP_VAL",'AH H_Pivot'!$A$1,"EI_ID",A77,"SYS_CODE","A","INSP_NO",152,"EI_MODEL","AH-64D")),(GETPIVOTDATA("INSP_VAL",'AH H_Pivot'!$A$1,"EI_ID",A77,"SYS_CODE","A","INSP_NO",195,"EI_MODEL","AH-64D")),(GETPIVOTDATA("INSP_VAL",'AH H_Pivot'!$A$1,"EI_ID",A77,"SYS_CODE","A","INSP_NO",224,"EI_MODEL","AH-64D")),(GETPIVOTDATA("INSP_VAL",'AH H_Pivot'!$A$1,"EI_ID",A77,"SYS_CODE","A","INSP_NO",260,"EI_MODEL","AH-64D")),(GETPIVOTDATA("INSP_VAL",'AH H_Pivot'!$A$1,"EI_ID",A77,"SYS_CODE","W","INSP_NO",533,"EI_MODEL","AH-64D"))),125,-G75)</f>
        <v>26.2</v>
      </c>
      <c r="J75" s="586">
        <f>SUM(MIN((GETPIVOTDATA("INSP_VAL",'AH H_Pivot'!$A$1,"EI_ID",A77,"SYS_CODE","A","INSP_NO",223,"EI_MODEL","AH-64D")),(GETPIVOTDATA("INSP_VAL",'AH H_Pivot'!$A$1,"EI_ID",A77,"SYS_CODE","A","INSP_NO",231,"EI_MODEL","AH-64D")),(GETPIVOTDATA("INSP_VAL",'AH H_Pivot'!$A$1,"EI_ID",A77,"SYS_CODE","A","INSP_NO",261,"EI_MODEL","AH-64D")),(GETPIVOTDATA("INSP_VAL",'AH H_Pivot'!$A$1,"EI_ID",A77,"SYS_CODE","A","INSP_NO",270,"EI_MODEL","AH-64D")),(GETPIVOTDATA("INSP_VAL",'AH H_Pivot'!$A$1,"EI_ID",A77,"SYS_CODE","A","INSP_NO",275,"EI_MODEL","AH-64D")),(GETPIVOTDATA("INSP_VAL",'AH H_Pivot'!$A$1,"EI_ID",A77,"SYS_CODE","A","INSP_NO",290,"EI_MODEL","AH-64D")),(GETPIVOTDATA("INSP_VAL",'AH H_Pivot'!$A$1,"EI_ID",A77,"SYS_CODE","A","INSP_NO",291,"EI_MODEL","AH-64D")),(GETPIVOTDATA("INSP_VAL",'AH H_Pivot'!$A$1,"EI_ID",A77,"SYS_CODE","A","INSP_NO",295,"EI_MODEL","AH-64D")),(GETPIVOTDATA("INSP_VAL",'AH H_Pivot'!$A$1,"EI_ID",A77,"SYS_CODE","A","INSP_NO",300,"EI_MODEL","AH-64D")),(GETPIVOTDATA("INSP_VAL",'AH H_Pivot'!$A$1,"EI_ID",A77,"SYS_CODE","A","INSP_NO",465,"EI_MODEL","AH-64D")),(GETPIVOTDATA("INSP_VAL",'AH H_Pivot'!$A$1,"EI_ID",A77,"SYS_CODE","W","INSP_NO",520,"EI_MODEL","AH-64D")),(GETPIVOTDATA("INSP_VAL",'AH H_Pivot'!$A$1,"EI_ID",A77,"SYS_CODE","A","INSP_NO",751,"EI_MODEL","AH-64D")),(GETPIVOTDATA("INSP_VAL",'AH H_Pivot'!$A$1,"EI_ID",A77,"SYS_CODE","A","INSP_NO",757,"EI_MODEL","AH-64D"))),250,-G75)</f>
        <v>151.19999999999999</v>
      </c>
      <c r="K75" s="587">
        <f>SUM(MIN((GETPIVOTDATA("INSP_DATE",'AH D_Pivot'!$A$1,"EI_ID",A77,"SYS_CODE","A","INSP_NO",260,"EI_MODEL","AH-64D")),(GETPIVOTDATA("INSP_DATE",'AH D_Pivot'!$A$1,"EI_ID",A77,"SYS_CODE","A","INSP_NO",261,"EI_MODEL","AH-64D")))+270)</f>
        <v>42280</v>
      </c>
      <c r="L75" s="559">
        <f>SUM(MIN((GETPIVOTDATA("INSP_VAL",'AH H_Pivot'!$A$1,"EI_ID",A77,"SYS_CODE","A","INSP_NO",35,"EI_MODEL","AH-64D")),(GETPIVOTDATA("INSP_VAL",'AH H_Pivot'!$A$1,"EI_ID",A77,"SYS_CODE","A","INSP_NO",226,"EI_MODEL","AH-64D")),(GETPIVOTDATA("INSP_VAL",'AH H_Pivot'!$A$1,"EI_ID",A77,"SYS_CODE","A","INSP_NO",400,"EI_MODEL","AH-64D")),(GETPIVOTDATA("INSP_VAL",'AH H_Pivot'!$A$1,"EI_ID",A77,"SYS_CODE","W","INSP_NO",525,"EI_MODEL","AH-64D")),(GETPIVOTDATA("INSP_VAL",'AH H_Pivot'!$A$1,"EI_ID",A77,"SYS_CODE","A","INSP_NO",755,"EI_MODEL","AH-64D"))),500,-G75)</f>
        <v>401.2</v>
      </c>
      <c r="M75" s="562" t="str">
        <f>IF(ISBLANK(VLOOKUP(A77,Table__1_4AHB_v_gen_READINESS[],15,FALSE)),"",(VLOOKUP(A77,Table__1_4AHB_v_gen_READINESS[],15,FALSE)))</f>
        <v>ASE Not Installed</v>
      </c>
      <c r="N75" s="563"/>
      <c r="O75" s="563"/>
      <c r="P75" s="563"/>
      <c r="Q75" s="563"/>
      <c r="R75" s="563"/>
      <c r="S75" s="563"/>
      <c r="T75" s="564"/>
      <c r="U75" s="565"/>
      <c r="V75" s="566"/>
      <c r="W75" s="566"/>
      <c r="X75" s="245">
        <f>IF(ISBLANK(VLOOKUP(A77,Table__1_4AHB_v_gen_READINESS[],17,FALSE)),"",(VLOOKUP(A77,Table__1_4AHB_v_gen_READINESS[],17,FALSE)))</f>
        <v>42095</v>
      </c>
      <c r="Y75" s="525" t="s">
        <v>341</v>
      </c>
      <c r="Z75" s="530">
        <f>'1-4 ARB'!T31</f>
        <v>0.49199999999999999</v>
      </c>
      <c r="AA75" s="531"/>
    </row>
    <row r="76" spans="1:27" ht="25.5">
      <c r="A76" s="581"/>
      <c r="B76" s="583"/>
      <c r="C76" s="583"/>
      <c r="D76" s="516" t="s">
        <v>370</v>
      </c>
      <c r="E76" s="516" t="s">
        <v>371</v>
      </c>
      <c r="F76" s="584"/>
      <c r="G76" s="585"/>
      <c r="H76" s="586"/>
      <c r="I76" s="586"/>
      <c r="J76" s="586"/>
      <c r="K76" s="587"/>
      <c r="L76" s="560"/>
      <c r="M76" s="567" t="s">
        <v>500</v>
      </c>
      <c r="N76" s="568"/>
      <c r="O76" s="568"/>
      <c r="P76" s="568"/>
      <c r="Q76" s="568"/>
      <c r="R76" s="568"/>
      <c r="S76" s="568"/>
      <c r="T76" s="568" t="s">
        <v>18</v>
      </c>
      <c r="U76" s="568"/>
      <c r="V76" s="569"/>
      <c r="W76" s="569"/>
      <c r="X76" s="1">
        <f ca="1">IF(X75="","",$C$3-X75)</f>
        <v>20</v>
      </c>
      <c r="Y76" s="525"/>
      <c r="Z76" s="530"/>
      <c r="AA76" s="531"/>
    </row>
    <row r="77" spans="1:27" ht="26.25" thickBot="1">
      <c r="A77" s="388" t="s">
        <v>162</v>
      </c>
      <c r="B77" s="588">
        <f>(VLOOKUP(A77,Table__1_4AHB_v_gen_READINESS[],37,FALSE)-TIME(7,0,0))</f>
        <v>42114.477453703701</v>
      </c>
      <c r="C77" s="588"/>
      <c r="D77" s="407" t="s">
        <v>19</v>
      </c>
      <c r="E77" s="516" t="s">
        <v>372</v>
      </c>
      <c r="F77" s="584"/>
      <c r="G77" s="585"/>
      <c r="H77" s="586"/>
      <c r="I77" s="586"/>
      <c r="J77" s="586"/>
      <c r="K77" s="587"/>
      <c r="L77" s="561"/>
      <c r="M77" s="570"/>
      <c r="N77" s="571"/>
      <c r="O77" s="571"/>
      <c r="P77" s="571"/>
      <c r="Q77" s="571"/>
      <c r="R77" s="571"/>
      <c r="S77" s="571"/>
      <c r="T77" s="572"/>
      <c r="U77" s="571"/>
      <c r="V77" s="558"/>
      <c r="W77" s="558"/>
      <c r="X77" s="246">
        <f>IF(ISBLANK(VLOOKUP(A77,Table__1_4AHB_v_gen_READINESS[],18,FALSE)),"",(VLOOKUP(A77,Table__1_4AHB_v_gen_READINESS[],18,FALSE)))</f>
        <v>42124</v>
      </c>
      <c r="Y77" s="529"/>
      <c r="Z77" s="532"/>
      <c r="AA77" s="533"/>
    </row>
    <row r="78" spans="1:27" ht="25.5">
      <c r="A78" s="634" t="s">
        <v>315</v>
      </c>
      <c r="B78" s="589" t="s">
        <v>23</v>
      </c>
      <c r="C78" s="589" t="s">
        <v>17</v>
      </c>
      <c r="D78" s="369"/>
      <c r="E78" s="516" t="s">
        <v>369</v>
      </c>
      <c r="F78" s="584" t="s">
        <v>248</v>
      </c>
      <c r="G78" s="585">
        <f>VLOOKUP(A80,Table__1_4AHB_v_gen_READINESS[],36,FALSE)</f>
        <v>4823.8999999999996</v>
      </c>
      <c r="H78" s="586">
        <f>SUM(MIN((GETPIVOTDATA("INSP_VAL",'AH H_Pivot'!$A$1,"EI_ID",A80,"SYS_CODE","A","INSP_NO",130,"EI_MODEL","AH-64D")),(GETPIVOTDATA("INSP_VAL",'AH H_Pivot'!$A$1,"EI_ID",A80,"SYS_CODE","A","INSP_NO",135,"EI_MODEL","AH-64D")),(GETPIVOTDATA("INSP_VAL",'AH H_Pivot'!$A$1,"EI_ID",A80,"SYS_CODE","A","INSP_NO",145,"EI_MODEL","AH-64D"))),50,-G78)</f>
        <v>25.6</v>
      </c>
      <c r="I78" s="586">
        <f>SUM(MIN((GETPIVOTDATA("INSP_VAL",'AH H_Pivot'!$A$1,"EI_ID",A80,"SYS_CODE","W","INSP_NO",45,"EI_MODEL","AH-64D")),(GETPIVOTDATA("INSP_VAL",'AH H_Pivot'!$A$1,"EI_ID",A80,"SYS_CODE","W","INSP_NO",46,"EI_MODEL","AH-64D")),(GETPIVOTDATA("INSP_VAL",'AH H_Pivot'!$A$1,"EI_ID",A80,"SYS_CODE","A","INSP_NO",150,"EI_MODEL","AH-64D")),(GETPIVOTDATA("INSP_VAL",'AH H_Pivot'!$A$1,"EI_ID",A80,"SYS_CODE","A","INSP_NO",152,"EI_MODEL","AH-64D")),(GETPIVOTDATA("INSP_VAL",'AH H_Pivot'!$A$1,"EI_ID",A80,"SYS_CODE","A","INSP_NO",195,"EI_MODEL","AH-64D")),(GETPIVOTDATA("INSP_VAL",'AH H_Pivot'!$A$1,"EI_ID",A80,"SYS_CODE","A","INSP_NO",224,"EI_MODEL","AH-64D")),(GETPIVOTDATA("INSP_VAL",'AH H_Pivot'!$A$1,"EI_ID",A80,"SYS_CODE","A","INSP_NO",260,"EI_MODEL","AH-64D")),(GETPIVOTDATA("INSP_VAL",'AH H_Pivot'!$A$1,"EI_ID",A80,"SYS_CODE","W","INSP_NO",533,"EI_MODEL","AH-64D"))),125,-G78)</f>
        <v>113.3</v>
      </c>
      <c r="J78" s="586">
        <f>SUM(MIN((GETPIVOTDATA("INSP_VAL",'AH H_Pivot'!$A$1,"EI_ID",A80,"SYS_CODE","A","INSP_NO",223,"EI_MODEL","AH-64D")),(GETPIVOTDATA("INSP_VAL",'AH H_Pivot'!$A$1,"EI_ID",A80,"SYS_CODE","A","INSP_NO",231,"EI_MODEL","AH-64D")),(GETPIVOTDATA("INSP_VAL",'AH H_Pivot'!$A$1,"EI_ID",A80,"SYS_CODE","A","INSP_NO",261,"EI_MODEL","AH-64D")),(GETPIVOTDATA("INSP_VAL",'AH H_Pivot'!$A$1,"EI_ID",A80,"SYS_CODE","A","INSP_NO",270,"EI_MODEL","AH-64D")),(GETPIVOTDATA("INSP_VAL",'AH H_Pivot'!$A$1,"EI_ID",A80,"SYS_CODE","A","INSP_NO",275,"EI_MODEL","AH-64D")),(GETPIVOTDATA("INSP_VAL",'AH H_Pivot'!$A$1,"EI_ID",A80,"SYS_CODE","A","INSP_NO",290,"EI_MODEL","AH-64D")),(GETPIVOTDATA("INSP_VAL",'AH H_Pivot'!$A$1,"EI_ID",A80,"SYS_CODE","A","INSP_NO",291,"EI_MODEL","AH-64D")),(GETPIVOTDATA("INSP_VAL",'AH H_Pivot'!$A$1,"EI_ID",A80,"SYS_CODE","A","INSP_NO",295,"EI_MODEL","AH-64D")),(GETPIVOTDATA("INSP_VAL",'AH H_Pivot'!$A$1,"EI_ID",A80,"SYS_CODE","A","INSP_NO",300,"EI_MODEL","AH-64D")),(GETPIVOTDATA("INSP_VAL",'AH H_Pivot'!$A$1,"EI_ID",A80,"SYS_CODE","A","INSP_NO",465,"EI_MODEL","AH-64D")),(GETPIVOTDATA("INSP_VAL",'AH H_Pivot'!$A$1,"EI_ID",A80,"SYS_CODE","W","INSP_NO",520,"EI_MODEL","AH-64D")),(GETPIVOTDATA("INSP_VAL",'AH H_Pivot'!$A$1,"EI_ID",A80,"SYS_CODE","A","INSP_NO",751,"EI_MODEL","AH-64D")),(GETPIVOTDATA("INSP_VAL",'AH H_Pivot'!$A$1,"EI_ID",A80,"SYS_CODE","A","INSP_NO",757,"EI_MODEL","AH-64D"))),250,-G78)</f>
        <v>238.3</v>
      </c>
      <c r="K78" s="587">
        <f>SUM(MIN((GETPIVOTDATA("INSP_DATE",'AH D_Pivot'!$A$1,"EI_ID",A80,"SYS_CODE","A","INSP_NO",260,"EI_MODEL","AH-64D")),(GETPIVOTDATA("INSP_DATE",'AH D_Pivot'!$A$1,"EI_ID",A80,"SYS_CODE","A","INSP_NO",261,"EI_MODEL","AH-64D")))+270)</f>
        <v>42323.390972222202</v>
      </c>
      <c r="L78" s="559">
        <f>SUM(MIN((GETPIVOTDATA("INSP_VAL",'AH H_Pivot'!$A$1,"EI_ID",A80,"SYS_CODE","A","INSP_NO",35,"EI_MODEL","AH-64D")),(GETPIVOTDATA("INSP_VAL",'AH H_Pivot'!$A$1,"EI_ID",A80,"SYS_CODE","A","INSP_NO",226,"EI_MODEL","AH-64D")),(GETPIVOTDATA("INSP_VAL",'AH H_Pivot'!$A$1,"EI_ID",A80,"SYS_CODE","A","INSP_NO",400,"EI_MODEL","AH-64D")),(GETPIVOTDATA("INSP_VAL",'AH H_Pivot'!$A$1,"EI_ID",A80,"SYS_CODE","W","INSP_NO",525,"EI_MODEL","AH-64D")),(GETPIVOTDATA("INSP_VAL",'AH H_Pivot'!$A$1,"EI_ID",A80,"SYS_CODE","A","INSP_NO",755,"EI_MODEL","AH-64D"))),500,-G78)</f>
        <v>254.8</v>
      </c>
      <c r="M78" s="562" t="str">
        <f>IF(ISBLANK(VLOOKUP(A80,Table__1_4AHB_v_gen_READINESS[],15,FALSE)),"",(VLOOKUP(A80,Table__1_4AHB_v_gen_READINESS[],15,FALSE)))</f>
        <v>ASE Not Installed</v>
      </c>
      <c r="N78" s="563"/>
      <c r="O78" s="563"/>
      <c r="P78" s="563"/>
      <c r="Q78" s="563"/>
      <c r="R78" s="563"/>
      <c r="S78" s="563"/>
      <c r="T78" s="568"/>
      <c r="U78" s="568"/>
      <c r="V78" s="566"/>
      <c r="W78" s="566"/>
      <c r="X78" s="245">
        <f>IF(ISBLANK(VLOOKUP(A80,Table__1_4AHB_v_gen_READINESS[],17,FALSE)),"",(VLOOKUP(A80,Table__1_4AHB_v_gen_READINESS[],17,FALSE)))</f>
        <v>42095</v>
      </c>
      <c r="Y78" s="394"/>
      <c r="Z78" s="394"/>
      <c r="AA78" s="395"/>
    </row>
    <row r="79" spans="1:27" ht="25.5">
      <c r="A79" s="635"/>
      <c r="B79" s="583"/>
      <c r="C79" s="583"/>
      <c r="D79" s="516" t="s">
        <v>370</v>
      </c>
      <c r="E79" s="516" t="s">
        <v>371</v>
      </c>
      <c r="F79" s="584"/>
      <c r="G79" s="585"/>
      <c r="H79" s="586"/>
      <c r="I79" s="586"/>
      <c r="J79" s="586"/>
      <c r="K79" s="587"/>
      <c r="L79" s="560"/>
      <c r="M79" s="567"/>
      <c r="N79" s="568"/>
      <c r="O79" s="568"/>
      <c r="P79" s="568"/>
      <c r="Q79" s="568"/>
      <c r="R79" s="568"/>
      <c r="S79" s="568"/>
      <c r="T79" s="568"/>
      <c r="U79" s="568"/>
      <c r="V79" s="569"/>
      <c r="W79" s="569"/>
      <c r="X79" s="1">
        <f ca="1">IF(X78="","",$C$3-X78)</f>
        <v>20</v>
      </c>
      <c r="Y79" s="394"/>
      <c r="Z79" s="394"/>
      <c r="AA79" s="395"/>
    </row>
    <row r="80" spans="1:27" ht="26.25" thickBot="1">
      <c r="A80" s="389" t="s">
        <v>163</v>
      </c>
      <c r="B80" s="639">
        <f>(VLOOKUP(A80,Table__1_4AHB_v_gen_READINESS[],37,FALSE)-TIME(7,0,0))</f>
        <v>42114.607951388898</v>
      </c>
      <c r="C80" s="640"/>
      <c r="D80" s="407" t="s">
        <v>19</v>
      </c>
      <c r="E80" s="516" t="s">
        <v>372</v>
      </c>
      <c r="F80" s="636"/>
      <c r="G80" s="637"/>
      <c r="H80" s="638"/>
      <c r="I80" s="638"/>
      <c r="J80" s="638"/>
      <c r="K80" s="644"/>
      <c r="L80" s="645"/>
      <c r="M80" s="570"/>
      <c r="N80" s="571"/>
      <c r="O80" s="571"/>
      <c r="P80" s="571"/>
      <c r="Q80" s="571"/>
      <c r="R80" s="571"/>
      <c r="S80" s="571"/>
      <c r="T80" s="646"/>
      <c r="U80" s="647"/>
      <c r="V80" s="648"/>
      <c r="W80" s="648"/>
      <c r="X80" s="274">
        <f>IF(ISBLANK(VLOOKUP(A80,Table__1_4AHB_v_gen_READINESS[],18,FALSE)),"",(VLOOKUP(A80,Table__1_4AHB_v_gen_READINESS[],18,FALSE)))</f>
        <v>42115</v>
      </c>
      <c r="Y80" s="406"/>
      <c r="Z80" s="399"/>
      <c r="AA80" s="400"/>
    </row>
    <row r="81" spans="1:27" ht="24.75" customHeight="1" thickTop="1" thickBot="1">
      <c r="A81" s="623" t="s">
        <v>339</v>
      </c>
      <c r="B81" s="624"/>
      <c r="C81" s="624"/>
      <c r="D81" s="624"/>
      <c r="E81" s="624"/>
      <c r="F81" s="624"/>
      <c r="G81" s="624"/>
      <c r="H81" s="623" t="s">
        <v>340</v>
      </c>
      <c r="I81" s="624"/>
      <c r="J81" s="624"/>
      <c r="K81" s="624"/>
      <c r="L81" s="625"/>
      <c r="M81" s="351"/>
      <c r="N81" s="352"/>
      <c r="O81" s="352"/>
      <c r="P81" s="352"/>
      <c r="Q81" s="352"/>
      <c r="R81" s="352"/>
      <c r="S81" s="352"/>
      <c r="T81" s="352"/>
      <c r="U81" s="352"/>
      <c r="V81" s="352"/>
      <c r="X81" s="521" t="s">
        <v>341</v>
      </c>
      <c r="Y81" s="521"/>
      <c r="Z81" s="653">
        <f>AR1/AR2</f>
        <v>0.42770000000000002</v>
      </c>
      <c r="AA81" s="654"/>
    </row>
    <row r="82" spans="1:27" ht="27" thickTop="1" thickBot="1">
      <c r="A82" s="335" t="s">
        <v>16</v>
      </c>
      <c r="B82" s="336" t="s">
        <v>77</v>
      </c>
      <c r="C82" s="336" t="s">
        <v>23</v>
      </c>
      <c r="D82" s="336" t="s">
        <v>22</v>
      </c>
      <c r="E82" s="336" t="s">
        <v>65</v>
      </c>
      <c r="F82" s="336" t="s">
        <v>24</v>
      </c>
      <c r="G82" s="338" t="s">
        <v>4</v>
      </c>
      <c r="H82" s="335" t="s">
        <v>16</v>
      </c>
      <c r="I82" s="336" t="s">
        <v>23</v>
      </c>
      <c r="J82" s="336" t="s">
        <v>22</v>
      </c>
      <c r="K82" s="336" t="s">
        <v>65</v>
      </c>
      <c r="L82" s="337" t="s">
        <v>24</v>
      </c>
      <c r="M82" s="353"/>
      <c r="N82" s="322"/>
      <c r="O82" s="322"/>
      <c r="P82" s="322"/>
      <c r="Q82" s="322"/>
      <c r="R82" s="322"/>
      <c r="S82" s="322"/>
      <c r="T82" s="322"/>
      <c r="U82" s="322"/>
      <c r="V82" s="322"/>
      <c r="X82" s="521"/>
      <c r="Y82" s="521"/>
      <c r="Z82" s="655"/>
      <c r="AA82" s="656"/>
    </row>
    <row r="83" spans="1:27" ht="26.25" thickTop="1">
      <c r="A83" s="319">
        <f>COUNTIF(B7:B79,"FMC")</f>
        <v>0</v>
      </c>
      <c r="B83" s="320">
        <f>COUNTIF(B7:B79,"MTF/MOC")</f>
        <v>3</v>
      </c>
      <c r="C83" s="320">
        <f>COUNTIF(B7:B79,"PMCS")</f>
        <v>11</v>
      </c>
      <c r="D83" s="321">
        <f>COUNTIF(B7:B79,"PMCM")</f>
        <v>0</v>
      </c>
      <c r="E83" s="320">
        <f>COUNTIF(B7:B79,"NMCS")</f>
        <v>5</v>
      </c>
      <c r="F83" s="321">
        <f>COUNTIF(B7:B79,"NMCM")</f>
        <v>5</v>
      </c>
      <c r="G83" s="632">
        <f>SUM(IF(C10="Y",1,0),IF(C13="Y",1,0),IF(C16="Y",1,0),IF(C19="Y",1,0),IF(C22="Y",1,0),IF(C25="Y",1,0),IF(C28="Y",1,0),IF(C32="Y",1,0),IF(C35="Y",1,0),IF(C38="Y",1,0),IF(C41="Y",1,0),IF(C44="Y",1,0),IF(C7="Y",1,0),IF(C47="Y",1,0),IF(C50="Y",1,0),IF(C53="Y",1,0),IF(C57="Y",1,0),IF(C60="Y",1,0),IF(C63="Y",1,0),IF(C66="Y",1,0),IF(C69="Y",1,0),IF(C78="Y",1,0),IF(C72="Y",1,0),IF(C75="Y",1,0))</f>
        <v>13</v>
      </c>
      <c r="H83" s="330">
        <f ca="1">'BN Readiness'!E724</f>
        <v>0</v>
      </c>
      <c r="I83" s="332">
        <f ca="1">'BN Readiness'!F724</f>
        <v>1554</v>
      </c>
      <c r="J83" s="331">
        <f ca="1">'BN Readiness'!G724</f>
        <v>0</v>
      </c>
      <c r="K83" s="332">
        <f ca="1">'BN Readiness'!H724</f>
        <v>615</v>
      </c>
      <c r="L83" s="333">
        <f ca="1">'BN Readiness'!I724</f>
        <v>578</v>
      </c>
      <c r="M83" s="353"/>
      <c r="N83" s="322"/>
      <c r="O83" s="322"/>
      <c r="P83" s="322"/>
      <c r="Q83" s="322"/>
      <c r="R83" s="322"/>
      <c r="S83" s="322"/>
      <c r="T83" s="322"/>
      <c r="U83" s="322"/>
      <c r="V83" s="322"/>
      <c r="X83" s="521" t="s">
        <v>394</v>
      </c>
      <c r="Y83" s="521"/>
      <c r="Z83" s="546">
        <f>SUM('1-4 ARB'!H6:H13,'1-4 ARB'!H15:H22,'1-4 ARB'!H24:H31)</f>
        <v>518.1</v>
      </c>
      <c r="AA83" s="547"/>
    </row>
    <row r="84" spans="1:27" ht="26.25" thickBot="1">
      <c r="A84" s="317">
        <f t="shared" ref="A84:F84" si="0">A83/$AS$1</f>
        <v>0</v>
      </c>
      <c r="B84" s="318">
        <f t="shared" si="0"/>
        <v>0.125</v>
      </c>
      <c r="C84" s="318">
        <f t="shared" si="0"/>
        <v>0.45800000000000002</v>
      </c>
      <c r="D84" s="318">
        <f t="shared" si="0"/>
        <v>0</v>
      </c>
      <c r="E84" s="318">
        <f t="shared" si="0"/>
        <v>0.20799999999999999</v>
      </c>
      <c r="F84" s="318">
        <f t="shared" si="0"/>
        <v>0.20799999999999999</v>
      </c>
      <c r="G84" s="633"/>
      <c r="H84" s="317">
        <f ca="1">H83/AQ1</f>
        <v>0</v>
      </c>
      <c r="I84" s="318">
        <f ca="1">I83/AQ1</f>
        <v>0.54</v>
      </c>
      <c r="J84" s="318">
        <f ca="1">J83/AQ1</f>
        <v>0</v>
      </c>
      <c r="K84" s="318">
        <f ca="1">K83/AQ1</f>
        <v>0.214</v>
      </c>
      <c r="L84" s="334">
        <f ca="1">L83/AQ1</f>
        <v>0.20100000000000001</v>
      </c>
      <c r="M84" s="353"/>
      <c r="N84" s="322"/>
      <c r="O84" s="322"/>
      <c r="P84" s="322"/>
      <c r="Q84" s="322"/>
      <c r="R84" s="322"/>
      <c r="S84" s="322"/>
      <c r="T84" s="322"/>
      <c r="U84" s="322"/>
      <c r="V84" s="322"/>
      <c r="X84" s="521"/>
      <c r="Y84" s="521"/>
      <c r="Z84" s="546"/>
      <c r="AA84" s="547"/>
    </row>
    <row r="85" spans="1:27" ht="27" customHeight="1" thickTop="1" thickBot="1">
      <c r="A85" s="685" t="s">
        <v>342</v>
      </c>
      <c r="B85" s="686"/>
      <c r="C85" s="687"/>
      <c r="D85" s="626" t="s">
        <v>348</v>
      </c>
      <c r="E85" s="627"/>
      <c r="F85" s="628"/>
      <c r="G85" s="675" t="s">
        <v>357</v>
      </c>
      <c r="H85" s="676"/>
      <c r="I85" s="676"/>
      <c r="J85" s="676"/>
      <c r="K85" s="676"/>
      <c r="L85" s="677"/>
      <c r="M85" s="353"/>
      <c r="N85" s="322"/>
      <c r="O85" s="322"/>
      <c r="P85" s="322"/>
      <c r="Q85" s="322"/>
      <c r="R85" s="322"/>
      <c r="S85" s="322"/>
      <c r="T85" s="322"/>
      <c r="U85" s="322"/>
      <c r="V85" s="322"/>
      <c r="X85" s="365" t="s">
        <v>395</v>
      </c>
      <c r="Z85" s="322"/>
      <c r="AA85" s="339"/>
    </row>
    <row r="86" spans="1:27" ht="27" thickTop="1" thickBot="1">
      <c r="A86" s="620" t="s">
        <v>343</v>
      </c>
      <c r="B86" s="621"/>
      <c r="C86" s="622"/>
      <c r="D86" s="629" t="s">
        <v>349</v>
      </c>
      <c r="E86" s="630"/>
      <c r="F86" s="631"/>
      <c r="G86" s="678" t="s">
        <v>362</v>
      </c>
      <c r="H86" s="679"/>
      <c r="I86" s="679"/>
      <c r="J86" s="679"/>
      <c r="K86" s="679"/>
      <c r="L86" s="680"/>
      <c r="M86" s="353"/>
      <c r="N86" s="322"/>
      <c r="O86" s="322"/>
      <c r="P86" s="322"/>
      <c r="Q86" s="322"/>
      <c r="R86" s="322"/>
      <c r="S86" s="322"/>
      <c r="T86" s="322"/>
      <c r="U86" s="322"/>
      <c r="V86" s="322"/>
      <c r="W86" s="322"/>
      <c r="X86" s="322"/>
      <c r="Y86" s="322"/>
      <c r="Z86" s="322"/>
      <c r="AA86" s="339"/>
    </row>
    <row r="87" spans="1:27" ht="27" thickTop="1" thickBot="1">
      <c r="A87" s="325" t="s">
        <v>330</v>
      </c>
      <c r="B87" s="370">
        <v>340</v>
      </c>
      <c r="C87" s="326"/>
      <c r="D87" s="325" t="s">
        <v>350</v>
      </c>
      <c r="E87" s="328" t="s">
        <v>353</v>
      </c>
      <c r="F87" s="326" t="s">
        <v>16</v>
      </c>
      <c r="G87" s="344" t="s">
        <v>358</v>
      </c>
      <c r="H87" s="672">
        <f>SUM(H89,K89)</f>
        <v>7259</v>
      </c>
      <c r="I87" s="672"/>
      <c r="J87" s="343" t="s">
        <v>359</v>
      </c>
      <c r="K87" s="673">
        <f>SUM(H93,K93)</f>
        <v>19179643</v>
      </c>
      <c r="L87" s="674"/>
      <c r="M87" s="353"/>
      <c r="N87" s="322"/>
      <c r="O87" s="322"/>
      <c r="P87" s="322"/>
      <c r="Q87" s="322"/>
      <c r="R87" s="322"/>
      <c r="S87" s="322"/>
      <c r="T87" s="322"/>
      <c r="U87" s="322"/>
      <c r="V87" s="322"/>
      <c r="W87" s="322"/>
      <c r="X87" s="322"/>
      <c r="Y87" s="322"/>
      <c r="Z87" s="322"/>
      <c r="AA87" s="339"/>
    </row>
    <row r="88" spans="1:27" ht="52.5" thickTop="1" thickBot="1">
      <c r="A88" s="323" t="s">
        <v>344</v>
      </c>
      <c r="B88" s="371">
        <v>7</v>
      </c>
      <c r="C88" s="374">
        <f>B88/$B$87</f>
        <v>2.06E-2</v>
      </c>
      <c r="D88" s="323" t="s">
        <v>350</v>
      </c>
      <c r="E88" s="329" t="s">
        <v>354</v>
      </c>
      <c r="F88" s="327" t="s">
        <v>16</v>
      </c>
      <c r="G88" s="669" t="s">
        <v>367</v>
      </c>
      <c r="H88" s="669"/>
      <c r="I88" s="670"/>
      <c r="J88" s="671" t="s">
        <v>366</v>
      </c>
      <c r="K88" s="669"/>
      <c r="L88" s="669"/>
      <c r="M88" s="353"/>
      <c r="N88" s="322"/>
      <c r="O88" s="322"/>
      <c r="P88" s="322"/>
      <c r="Q88" s="322"/>
      <c r="R88" s="322"/>
      <c r="S88" s="322"/>
      <c r="T88" s="322"/>
      <c r="U88" s="322"/>
      <c r="V88" s="322"/>
      <c r="W88" s="322"/>
      <c r="X88" s="322"/>
      <c r="Y88" s="322"/>
      <c r="Z88" s="322"/>
      <c r="AA88" s="339"/>
    </row>
    <row r="89" spans="1:27" ht="26.25" thickTop="1">
      <c r="A89" s="323" t="s">
        <v>345</v>
      </c>
      <c r="B89" s="371">
        <v>0</v>
      </c>
      <c r="C89" s="374">
        <f t="shared" ref="C89:C93" si="1">B89/$B$87</f>
        <v>0</v>
      </c>
      <c r="D89" s="323" t="s">
        <v>350</v>
      </c>
      <c r="E89" s="329" t="s">
        <v>355</v>
      </c>
      <c r="F89" s="327" t="s">
        <v>16</v>
      </c>
      <c r="G89" s="345" t="s">
        <v>368</v>
      </c>
      <c r="H89" s="681">
        <v>452</v>
      </c>
      <c r="I89" s="682"/>
      <c r="J89" s="345" t="s">
        <v>368</v>
      </c>
      <c r="K89" s="681">
        <v>6807</v>
      </c>
      <c r="L89" s="682"/>
      <c r="M89" s="353"/>
      <c r="N89" s="322"/>
      <c r="O89" s="322"/>
      <c r="P89" s="322"/>
      <c r="Q89" s="322"/>
      <c r="R89" s="322"/>
      <c r="S89" s="322"/>
      <c r="T89" s="322"/>
      <c r="U89" s="322"/>
      <c r="V89" s="322"/>
      <c r="W89" s="322"/>
      <c r="X89" s="322"/>
      <c r="Y89" s="322"/>
      <c r="Z89" s="322"/>
      <c r="AA89" s="339"/>
    </row>
    <row r="90" spans="1:27" ht="25.5">
      <c r="A90" s="323" t="s">
        <v>360</v>
      </c>
      <c r="B90" s="371">
        <v>2</v>
      </c>
      <c r="C90" s="374">
        <f t="shared" si="1"/>
        <v>5.8999999999999999E-3</v>
      </c>
      <c r="D90" s="323" t="s">
        <v>351</v>
      </c>
      <c r="E90" s="329" t="s">
        <v>356</v>
      </c>
      <c r="F90" s="327" t="s">
        <v>16</v>
      </c>
      <c r="G90" s="341" t="s">
        <v>363</v>
      </c>
      <c r="H90" s="316">
        <v>341</v>
      </c>
      <c r="I90" s="347">
        <f>H90/H89</f>
        <v>0.75439999999999996</v>
      </c>
      <c r="J90" s="341" t="s">
        <v>363</v>
      </c>
      <c r="K90" s="316">
        <v>3691</v>
      </c>
      <c r="L90" s="348">
        <f>K90/K89</f>
        <v>0.54220000000000002</v>
      </c>
      <c r="M90" s="353"/>
      <c r="N90" s="322"/>
      <c r="O90" s="322"/>
      <c r="P90" s="322"/>
      <c r="Q90" s="322"/>
      <c r="R90" s="322"/>
      <c r="S90" s="322"/>
      <c r="T90" s="322"/>
      <c r="U90" s="322"/>
      <c r="V90" s="322"/>
      <c r="W90" s="322"/>
      <c r="X90" s="322"/>
      <c r="Y90" s="322"/>
      <c r="Z90" s="322"/>
      <c r="AA90" s="339"/>
    </row>
    <row r="91" spans="1:27" ht="51">
      <c r="A91" s="323" t="s">
        <v>361</v>
      </c>
      <c r="B91" s="371">
        <v>6</v>
      </c>
      <c r="C91" s="374">
        <f t="shared" si="1"/>
        <v>1.7600000000000001E-2</v>
      </c>
      <c r="D91" s="323" t="s">
        <v>352</v>
      </c>
      <c r="E91" s="329" t="s">
        <v>404</v>
      </c>
      <c r="F91" s="327" t="s">
        <v>24</v>
      </c>
      <c r="G91" s="341" t="s">
        <v>364</v>
      </c>
      <c r="H91" s="316">
        <v>103</v>
      </c>
      <c r="I91" s="347">
        <f>H91/H89</f>
        <v>0.22789999999999999</v>
      </c>
      <c r="J91" s="341" t="s">
        <v>364</v>
      </c>
      <c r="K91" s="316">
        <v>3040</v>
      </c>
      <c r="L91" s="348">
        <f>K91/K89</f>
        <v>0.4466</v>
      </c>
      <c r="M91" s="353"/>
      <c r="N91" s="322"/>
      <c r="O91" s="322"/>
      <c r="P91" s="322"/>
      <c r="Q91" s="322"/>
      <c r="R91" s="322"/>
      <c r="S91" s="322"/>
      <c r="T91" s="322"/>
      <c r="U91" s="322"/>
      <c r="V91" s="322"/>
      <c r="W91" s="322"/>
      <c r="X91" s="322"/>
      <c r="Y91" s="322"/>
      <c r="Z91" s="322"/>
      <c r="AA91" s="339"/>
    </row>
    <row r="92" spans="1:27" ht="51">
      <c r="A92" s="323" t="s">
        <v>346</v>
      </c>
      <c r="B92" s="372">
        <v>1</v>
      </c>
      <c r="C92" s="374">
        <f t="shared" si="1"/>
        <v>2.8999999999999998E-3</v>
      </c>
      <c r="D92" s="323" t="s">
        <v>352</v>
      </c>
      <c r="E92" s="329" t="s">
        <v>405</v>
      </c>
      <c r="F92" s="327" t="s">
        <v>16</v>
      </c>
      <c r="G92" s="341" t="s">
        <v>365</v>
      </c>
      <c r="H92" s="346">
        <v>28</v>
      </c>
      <c r="I92" s="347">
        <f>H92/H89</f>
        <v>6.1899999999999997E-2</v>
      </c>
      <c r="J92" s="341" t="s">
        <v>365</v>
      </c>
      <c r="K92" s="346">
        <v>414</v>
      </c>
      <c r="L92" s="348">
        <f>K92/K89</f>
        <v>6.08E-2</v>
      </c>
      <c r="M92" s="353"/>
      <c r="N92" s="322"/>
      <c r="O92" s="322"/>
      <c r="P92" s="322"/>
      <c r="Q92" s="322"/>
      <c r="R92" s="322"/>
      <c r="S92" s="322"/>
      <c r="T92" s="322"/>
      <c r="U92" s="322"/>
      <c r="V92" s="322"/>
      <c r="W92" s="322"/>
      <c r="X92" s="322"/>
      <c r="Y92" s="322"/>
      <c r="Z92" s="322"/>
      <c r="AA92" s="339"/>
    </row>
    <row r="93" spans="1:27" ht="26.25" thickBot="1">
      <c r="A93" s="324" t="s">
        <v>347</v>
      </c>
      <c r="B93" s="373">
        <f>B87-SUM(B88:B92)</f>
        <v>324</v>
      </c>
      <c r="C93" s="374">
        <f t="shared" si="1"/>
        <v>0.95289999999999997</v>
      </c>
      <c r="D93" s="324" t="s">
        <v>352</v>
      </c>
      <c r="E93" s="349" t="s">
        <v>406</v>
      </c>
      <c r="F93" s="350" t="s">
        <v>16</v>
      </c>
      <c r="G93" s="342" t="s">
        <v>359</v>
      </c>
      <c r="H93" s="683">
        <v>13955879.92</v>
      </c>
      <c r="I93" s="684"/>
      <c r="J93" s="342" t="s">
        <v>359</v>
      </c>
      <c r="K93" s="683">
        <v>5223762.6100000003</v>
      </c>
      <c r="L93" s="684"/>
      <c r="M93" s="354"/>
      <c r="N93" s="340"/>
      <c r="O93" s="340"/>
      <c r="P93" s="340"/>
      <c r="Q93" s="340"/>
      <c r="R93" s="340"/>
      <c r="S93" s="340"/>
      <c r="T93" s="340"/>
      <c r="U93" s="322"/>
      <c r="V93" s="322"/>
      <c r="W93" s="322"/>
      <c r="X93" s="322"/>
      <c r="Y93" s="322"/>
      <c r="Z93" s="322"/>
      <c r="AA93" s="339"/>
    </row>
    <row r="94" spans="1:27" ht="27.75" thickTop="1" thickBot="1">
      <c r="A94" s="657" t="s">
        <v>374</v>
      </c>
      <c r="B94" s="658"/>
      <c r="C94" s="658"/>
      <c r="D94" s="658"/>
      <c r="E94" s="658"/>
      <c r="F94" s="659"/>
      <c r="G94" s="666" t="s">
        <v>396</v>
      </c>
      <c r="H94" s="667"/>
      <c r="I94" s="667"/>
      <c r="J94" s="667"/>
      <c r="K94" s="667"/>
      <c r="L94" s="667"/>
      <c r="M94" s="668"/>
      <c r="N94" s="666" t="s">
        <v>383</v>
      </c>
      <c r="O94" s="667"/>
      <c r="P94" s="667"/>
      <c r="Q94" s="667"/>
      <c r="R94" s="667"/>
      <c r="S94" s="667"/>
      <c r="T94" s="668"/>
      <c r="U94" s="553" t="s">
        <v>384</v>
      </c>
      <c r="V94" s="554"/>
      <c r="W94" s="554"/>
      <c r="X94" s="554"/>
      <c r="Y94" s="554"/>
      <c r="Z94" s="554"/>
      <c r="AA94" s="555"/>
    </row>
    <row r="95" spans="1:27" ht="26.25" customHeight="1" thickTop="1" thickBot="1">
      <c r="A95" s="660" t="s">
        <v>379</v>
      </c>
      <c r="B95" s="661"/>
      <c r="C95" s="661"/>
      <c r="D95" s="661"/>
      <c r="E95" s="661"/>
      <c r="F95" s="662"/>
      <c r="G95" s="663" t="str">
        <f>G86</f>
        <v>POC: CW2 Christie, 526-4584</v>
      </c>
      <c r="H95" s="664"/>
      <c r="I95" s="664"/>
      <c r="J95" s="664"/>
      <c r="K95" s="664"/>
      <c r="L95" s="664"/>
      <c r="M95" s="665"/>
      <c r="N95" s="663" t="str">
        <f>G86</f>
        <v>POC: CW2 Christie, 526-4584</v>
      </c>
      <c r="O95" s="664"/>
      <c r="P95" s="664"/>
      <c r="Q95" s="664"/>
      <c r="R95" s="664"/>
      <c r="S95" s="664"/>
      <c r="T95" s="665"/>
      <c r="U95" s="550" t="s">
        <v>385</v>
      </c>
      <c r="V95" s="551"/>
      <c r="W95" s="551"/>
      <c r="X95" s="551"/>
      <c r="Y95" s="551"/>
      <c r="Z95" s="551"/>
      <c r="AA95" s="552"/>
    </row>
    <row r="96" spans="1:27" ht="51.75" customHeight="1" thickTop="1" thickBot="1">
      <c r="A96" s="416" t="s">
        <v>2</v>
      </c>
      <c r="B96" s="417" t="s">
        <v>375</v>
      </c>
      <c r="C96" s="417" t="s">
        <v>376</v>
      </c>
      <c r="D96" s="417" t="s">
        <v>377</v>
      </c>
      <c r="E96" s="418" t="s">
        <v>378</v>
      </c>
      <c r="F96" s="419" t="s">
        <v>411</v>
      </c>
      <c r="G96" s="408" t="s">
        <v>415</v>
      </c>
      <c r="H96" s="577">
        <f>[1]Summary!$F$4</f>
        <v>4</v>
      </c>
      <c r="I96" s="578"/>
      <c r="J96" s="409" t="s">
        <v>416</v>
      </c>
      <c r="K96" s="424">
        <f>[1]Summary!$F$2</f>
        <v>1</v>
      </c>
      <c r="L96" s="409" t="s">
        <v>417</v>
      </c>
      <c r="M96" s="425">
        <f>[1]Summary!$F$3</f>
        <v>3</v>
      </c>
      <c r="N96" s="408" t="s">
        <v>415</v>
      </c>
      <c r="O96" s="577">
        <f>[1]Summary!$D$4</f>
        <v>4</v>
      </c>
      <c r="P96" s="578"/>
      <c r="Q96" s="409" t="s">
        <v>416</v>
      </c>
      <c r="R96" s="424">
        <f>[1]Summary!$D$2</f>
        <v>2</v>
      </c>
      <c r="S96" s="409" t="s">
        <v>417</v>
      </c>
      <c r="T96" s="425">
        <f>[1]Summary!$D$3</f>
        <v>2</v>
      </c>
      <c r="U96" s="402" t="s">
        <v>388</v>
      </c>
      <c r="V96" s="403" t="s">
        <v>386</v>
      </c>
      <c r="W96" s="404" t="s">
        <v>387</v>
      </c>
      <c r="X96" s="404" t="s">
        <v>389</v>
      </c>
      <c r="Y96" s="405" t="s">
        <v>390</v>
      </c>
      <c r="Z96" s="556" t="s">
        <v>407</v>
      </c>
      <c r="AA96" s="557"/>
    </row>
    <row r="97" spans="1:27" s="378" customFormat="1" ht="52.5" customHeight="1" thickBot="1">
      <c r="A97" s="410" t="str">
        <f>RIGHT('[2]CADs Report'!$B$2,3)</f>
        <v>575</v>
      </c>
      <c r="B97" s="414" t="str">
        <f>'[2]CADs Report'!$L$2</f>
        <v>CPG WINDOW</v>
      </c>
      <c r="C97" s="412" t="str">
        <f>'[2]CADs Report'!$C$2</f>
        <v>MS94</v>
      </c>
      <c r="D97" s="426">
        <f>'[2]CADs Report'!$M$2</f>
        <v>700</v>
      </c>
      <c r="E97" s="420">
        <f>'[2]CADs Report'!$K$2</f>
        <v>42036</v>
      </c>
      <c r="F97" s="514" t="str">
        <f>'[2]CADs Report'!$N$2</f>
        <v>On Hand</v>
      </c>
      <c r="G97" s="362" t="s">
        <v>2</v>
      </c>
      <c r="H97" s="548" t="s">
        <v>375</v>
      </c>
      <c r="I97" s="549"/>
      <c r="J97" s="363" t="s">
        <v>380</v>
      </c>
      <c r="K97" s="363" t="s">
        <v>397</v>
      </c>
      <c r="L97" s="363" t="s">
        <v>381</v>
      </c>
      <c r="M97" s="364" t="s">
        <v>382</v>
      </c>
      <c r="N97" s="362" t="s">
        <v>2</v>
      </c>
      <c r="O97" s="548" t="s">
        <v>375</v>
      </c>
      <c r="P97" s="549"/>
      <c r="Q97" s="363" t="s">
        <v>380</v>
      </c>
      <c r="R97" s="363" t="s">
        <v>397</v>
      </c>
      <c r="S97" s="363" t="s">
        <v>381</v>
      </c>
      <c r="T97" s="364" t="s">
        <v>382</v>
      </c>
      <c r="U97" s="355">
        <v>42066</v>
      </c>
      <c r="V97" s="356" t="s">
        <v>454</v>
      </c>
      <c r="W97" s="356" t="s">
        <v>391</v>
      </c>
      <c r="X97" s="366" t="s">
        <v>393</v>
      </c>
      <c r="Y97" s="396">
        <f ca="1">IF(ISBLANK(U97),"",TODAY()-U97)</f>
        <v>48</v>
      </c>
      <c r="Z97" s="579" t="s">
        <v>410</v>
      </c>
      <c r="AA97" s="580"/>
    </row>
    <row r="98" spans="1:27" ht="25.5">
      <c r="A98" s="410" t="str">
        <f>RIGHT('[2]CADs Report'!$B$3,3)</f>
        <v>582</v>
      </c>
      <c r="B98" s="414" t="str">
        <f>'[2]CADs Report'!$L$3</f>
        <v>CUTTING ASSY GUNNERS WINDOW</v>
      </c>
      <c r="C98" s="412" t="str">
        <f>'[2]CADs Report'!$C$3</f>
        <v>MS94</v>
      </c>
      <c r="D98" s="427">
        <f>'[2]CADs Report'!$M$3</f>
        <v>700</v>
      </c>
      <c r="E98" s="420">
        <f>'[2]CADs Report'!$K$3</f>
        <v>42036</v>
      </c>
      <c r="F98" s="514" t="str">
        <f>'[2]CADs Report'!$N$3</f>
        <v>On Hand</v>
      </c>
      <c r="G98" s="429" t="str">
        <f>IF(ISBLANK([1]Summary!$A$7),"",[1]Summary!$A$7)</f>
        <v>07-07042</v>
      </c>
      <c r="H98" s="573" t="str">
        <f>IF(ISBLANK([1]Summary!$B$7),"",[1]Summary!$B$7)</f>
        <v>Lubricant</v>
      </c>
      <c r="I98" s="574" t="str">
        <f>IF(ISBLANK([1]Summary!C7),"",[1]Summary!C7)</f>
        <v>005068497</v>
      </c>
      <c r="J98" s="438" t="str">
        <f>IF(ISBLANK([1]Summary!$C$7),"",[1]Summary!$C$7)</f>
        <v>005068497</v>
      </c>
      <c r="K98" s="430">
        <f>IF(ISBLANK([1]Summary!$D$7),"",[1]Summary!$D$7)</f>
        <v>19</v>
      </c>
      <c r="L98" s="431" t="str">
        <f>IF(ISBLANK([1]Summary!$E$7),"",[1]Summary!$E$7)</f>
        <v>W580KD5091A001</v>
      </c>
      <c r="M98" s="511" t="str">
        <f>IF(ISBLANK([1]Summary!$F$7),"",[1]Summary!$F$7)</f>
        <v>SOS / En Route</v>
      </c>
      <c r="N98" s="429" t="str">
        <f>IF(ISBLANK([1]Summary!$A$29),"",[1]Summary!$A$29)</f>
        <v>00-05187</v>
      </c>
      <c r="O98" s="573" t="str">
        <f>IF(ISBLANK([1]Summary!$B$29),"",[1]Summary!$B$29)</f>
        <v>Duct evaporator</v>
      </c>
      <c r="P98" s="574" t="str">
        <f>IF(ISBLANK([1]Summary!C29),"",[1]Summary!C29)</f>
        <v>014815579</v>
      </c>
      <c r="Q98" s="438" t="str">
        <f>IF(ISBLANK([1]Summary!$C$29),"",[1]Summary!$C$29)</f>
        <v>014815579</v>
      </c>
      <c r="R98" s="430">
        <f>IF(ISBLANK([1]Summary!$D$29),"",[1]Summary!$D$29)</f>
        <v>19</v>
      </c>
      <c r="S98" s="431" t="str">
        <f>IF(ISBLANK([1]Summary!$E$29),"",[1]Summary!$E$29)</f>
        <v>W580KD5091A003</v>
      </c>
      <c r="T98" s="511" t="str">
        <f>IF(ISBLANK([1]Summary!$F$29),"",[1]Summary!$F$29)</f>
        <v>SOS / En Route</v>
      </c>
      <c r="U98" s="357">
        <v>42089</v>
      </c>
      <c r="V98" s="358" t="s">
        <v>455</v>
      </c>
      <c r="W98" s="358" t="s">
        <v>392</v>
      </c>
      <c r="X98" s="367">
        <v>404</v>
      </c>
      <c r="Y98" s="397">
        <f t="shared" ref="Y98:Y106" ca="1" si="2">IF(ISBLANK(U98),"",TODAY()-U98)</f>
        <v>25</v>
      </c>
      <c r="Z98" s="517" t="s">
        <v>410</v>
      </c>
      <c r="AA98" s="518"/>
    </row>
    <row r="99" spans="1:27" ht="25.5">
      <c r="A99" s="410" t="str">
        <f>RIGHT('[2]CADs Report'!$B$4,3)</f>
        <v>583</v>
      </c>
      <c r="B99" s="414" t="str">
        <f>'[2]CADs Report'!$L$4</f>
        <v>CORD DETONATING</v>
      </c>
      <c r="C99" s="412" t="str">
        <f>'[2]CADs Report'!$C$4</f>
        <v>MS94</v>
      </c>
      <c r="D99" s="427">
        <f>'[2]CADs Report'!$M$4</f>
        <v>700</v>
      </c>
      <c r="E99" s="420">
        <f>'[2]CADs Report'!$K$4</f>
        <v>42036</v>
      </c>
      <c r="F99" s="514" t="str">
        <f>'[2]CADs Report'!$N$4</f>
        <v>On Hand</v>
      </c>
      <c r="G99" s="432" t="str">
        <f>IF(ISBLANK([1]Summary!$A$8),"",[1]Summary!$A$8)</f>
        <v>09-05575</v>
      </c>
      <c r="H99" s="575" t="str">
        <f>IF(ISBLANK([1]Summary!$B$8),"",[1]Summary!$B$8)</f>
        <v>Navigation set</v>
      </c>
      <c r="I99" s="576" t="str">
        <f>IF(ISBLANK([1]Summary!C8),"",[1]Summary!C8)</f>
        <v>013239061</v>
      </c>
      <c r="J99" s="439" t="str">
        <f>IF(ISBLANK([1]Summary!$C$8),"",[1]Summary!$C$8)</f>
        <v>013239061</v>
      </c>
      <c r="K99" s="430">
        <f>IF(ISBLANK([1]Summary!$D$8),"",[1]Summary!$D$8)</f>
        <v>18</v>
      </c>
      <c r="L99" s="431" t="str">
        <f>IF(ISBLANK([1]Summary!$E$8),"",[1]Summary!$E$8)</f>
        <v>W580KD5092A001</v>
      </c>
      <c r="M99" s="511" t="str">
        <f>IF(ISBLANK([1]Summary!$F$8),"",[1]Summary!$F$8)</f>
        <v>SOS / En Route</v>
      </c>
      <c r="N99" s="432" t="str">
        <f>IF(ISBLANK([1]Summary!$A$30),"",[1]Summary!$A$30)</f>
        <v>07-07036</v>
      </c>
      <c r="O99" s="575" t="str">
        <f>IF(ISBLANK([1]Summary!$B$30),"",[1]Summary!$B$30)</f>
        <v>valve assy enviromental control</v>
      </c>
      <c r="P99" s="576" t="str">
        <f>IF(ISBLANK([1]Summary!C30),"",[1]Summary!C30)</f>
        <v>014263043</v>
      </c>
      <c r="Q99" s="439" t="str">
        <f>IF(ISBLANK([1]Summary!$C$30),"",[1]Summary!$C$30)</f>
        <v>014263043</v>
      </c>
      <c r="R99" s="430">
        <f>IF(ISBLANK([1]Summary!$D$30),"",[1]Summary!$D$30)</f>
        <v>3</v>
      </c>
      <c r="S99" s="431" t="str">
        <f>IF(ISBLANK([1]Summary!$E$30),"",[1]Summary!$E$30)</f>
        <v>W580KD5107A001</v>
      </c>
      <c r="T99" s="511" t="str">
        <f>IF(ISBLANK([1]Summary!$F$30),"",[1]Summary!$F$30)</f>
        <v>G8</v>
      </c>
      <c r="U99" s="357"/>
      <c r="V99" s="358"/>
      <c r="W99" s="358"/>
      <c r="X99" s="367"/>
      <c r="Y99" s="397" t="str">
        <f t="shared" ca="1" si="2"/>
        <v/>
      </c>
      <c r="Z99" s="517"/>
      <c r="AA99" s="518"/>
    </row>
    <row r="100" spans="1:27" ht="25.5">
      <c r="A100" s="410" t="str">
        <f>RIGHT('[2]CADs Report'!$B$5,3)</f>
        <v>383</v>
      </c>
      <c r="B100" s="414" t="str">
        <f>'[2]CADs Report'!$L$5</f>
        <v>CPG DOOR</v>
      </c>
      <c r="C100" s="412" t="str">
        <f>'[2]CADs Report'!$C$5</f>
        <v>MS97</v>
      </c>
      <c r="D100" s="427">
        <f>'[2]CADs Report'!$M$5</f>
        <v>705</v>
      </c>
      <c r="E100" s="420">
        <f>'[2]CADs Report'!$K$5</f>
        <v>42036</v>
      </c>
      <c r="F100" s="514" t="str">
        <f>'[2]CADs Report'!$N$5</f>
        <v>On Hand</v>
      </c>
      <c r="G100" s="432" t="str">
        <f>IF(ISBLANK([1]Summary!$A$9),"",[1]Summary!$A$9)</f>
        <v>00-05187</v>
      </c>
      <c r="H100" s="575" t="str">
        <f>IF(ISBLANK([1]Summary!$B$9),"",[1]Summary!$B$9)</f>
        <v>Hose, Assembly</v>
      </c>
      <c r="I100" s="576" t="str">
        <f>IF(ISBLANK([1]Summary!C9),"",[1]Summary!C9)</f>
        <v>011656987</v>
      </c>
      <c r="J100" s="439" t="str">
        <f>IF(ISBLANK([1]Summary!$C$9),"",[1]Summary!$C$9)</f>
        <v>011656987</v>
      </c>
      <c r="K100" s="430">
        <f>IF(ISBLANK([1]Summary!$D$9),"",[1]Summary!$D$9)</f>
        <v>18</v>
      </c>
      <c r="L100" s="433" t="str">
        <f>IF(ISBLANK([1]Summary!$E$9),"",[1]Summary!$E$9)</f>
        <v>W580KD5092A004</v>
      </c>
      <c r="M100" s="511" t="str">
        <f>IF(ISBLANK([1]Summary!$F$9),"",[1]Summary!$F$9)</f>
        <v>SOS / En Route</v>
      </c>
      <c r="N100" s="432" t="str">
        <f>IF(ISBLANK([1]Summary!$A$31),"",[1]Summary!$A$31)</f>
        <v>09-05582</v>
      </c>
      <c r="O100" s="575" t="str">
        <f>IF(ISBLANK([1]Summary!$B$31),"",[1]Summary!$B$31)</f>
        <v>valve, modulating</v>
      </c>
      <c r="P100" s="576" t="str">
        <f>IF(ISBLANK([1]Summary!C31),"",[1]Summary!C31)</f>
        <v>014260429</v>
      </c>
      <c r="Q100" s="439" t="str">
        <f>IF(ISBLANK([1]Summary!$C$31),"",[1]Summary!$C$31)</f>
        <v>014260429</v>
      </c>
      <c r="R100" s="430">
        <f>IF(ISBLANK([1]Summary!$D$31),"",[1]Summary!$D$31)</f>
        <v>3</v>
      </c>
      <c r="S100" s="433" t="str">
        <f>IF(ISBLANK([1]Summary!$E$31),"",[1]Summary!$E$31)</f>
        <v>W580KD5107A002</v>
      </c>
      <c r="T100" s="511" t="str">
        <f>IF(ISBLANK([1]Summary!$F$31),"",[1]Summary!$F$31)</f>
        <v>G8</v>
      </c>
      <c r="U100" s="357">
        <v>42108</v>
      </c>
      <c r="V100" s="358" t="s">
        <v>480</v>
      </c>
      <c r="W100" s="358" t="s">
        <v>484</v>
      </c>
      <c r="X100" s="367" t="s">
        <v>483</v>
      </c>
      <c r="Y100" s="397">
        <f t="shared" ca="1" si="2"/>
        <v>6</v>
      </c>
      <c r="Z100" s="517" t="s">
        <v>410</v>
      </c>
      <c r="AA100" s="518"/>
    </row>
    <row r="101" spans="1:27" ht="25.5">
      <c r="A101" s="410" t="str">
        <f>RIGHT('[2]CADs Report'!$B$6,3)</f>
        <v>141</v>
      </c>
      <c r="B101" s="414" t="str">
        <f>'[2]CADs Report'!$L$6</f>
        <v>CUTTER ASSY, CPG DOOR</v>
      </c>
      <c r="C101" s="412" t="str">
        <f>'[2]CADs Report'!$C$6</f>
        <v>MS97</v>
      </c>
      <c r="D101" s="427">
        <f>'[2]CADs Report'!$M$6</f>
        <v>705</v>
      </c>
      <c r="E101" s="420">
        <f>'[2]CADs Report'!$K$6</f>
        <v>42036</v>
      </c>
      <c r="F101" s="514" t="str">
        <f>'[2]CADs Report'!$N$6</f>
        <v>On Hand</v>
      </c>
      <c r="G101" s="432" t="str">
        <f>IF(ISBLANK([1]Summary!$A$10),"",[1]Summary!$A$10)</f>
        <v>01-05298</v>
      </c>
      <c r="H101" s="575" t="str">
        <f>IF(ISBLANK([1]Summary!$B$10),"",[1]Summary!$B$10)</f>
        <v>screw, machine</v>
      </c>
      <c r="I101" s="576" t="str">
        <f>IF(ISBLANK([1]Summary!C10),"",[1]Summary!C10)</f>
        <v>002071788</v>
      </c>
      <c r="J101" s="439" t="str">
        <f>IF(ISBLANK([1]Summary!$C$10),"",[1]Summary!$C$10)</f>
        <v>002071788</v>
      </c>
      <c r="K101" s="430">
        <f>IF(ISBLANK([1]Summary!$D$10),"",[1]Summary!$D$10)</f>
        <v>7</v>
      </c>
      <c r="L101" s="433" t="str">
        <f>IF(ISBLANK([1]Summary!$E$10),"",[1]Summary!$E$10)</f>
        <v>W580KD5103A003</v>
      </c>
      <c r="M101" s="511" t="str">
        <f>IF(ISBLANK([1]Summary!$F$10),"",[1]Summary!$F$10)</f>
        <v>SOS / En Route</v>
      </c>
      <c r="N101" s="432" t="str">
        <f>IF(ISBLANK([1]Summary!$A$32),"",[1]Summary!$A$32)</f>
        <v>09-05583</v>
      </c>
      <c r="O101" s="575" t="str">
        <f>IF(ISBLANK([1]Summary!$B$32),"",[1]Summary!$B$32)</f>
        <v>valve, modulating</v>
      </c>
      <c r="P101" s="576" t="str">
        <f>IF(ISBLANK([1]Summary!C32),"",[1]Summary!C32)</f>
        <v>014260429</v>
      </c>
      <c r="Q101" s="439" t="str">
        <f>IF(ISBLANK([1]Summary!$C$32),"",[1]Summary!$C$32)</f>
        <v>014260429</v>
      </c>
      <c r="R101" s="430">
        <f>IF(ISBLANK([1]Summary!$D$32),"",[1]Summary!$D$32)</f>
        <v>3</v>
      </c>
      <c r="S101" s="433" t="str">
        <f>IF(ISBLANK([1]Summary!$E$32),"",[1]Summary!$E$32)</f>
        <v>W580KD5107A003</v>
      </c>
      <c r="T101" s="511" t="str">
        <f>IF(ISBLANK([1]Summary!$F$32),"",[1]Summary!$F$32)</f>
        <v>G8</v>
      </c>
      <c r="U101" s="357">
        <v>42108</v>
      </c>
      <c r="V101" s="358" t="s">
        <v>481</v>
      </c>
      <c r="W101" s="358" t="s">
        <v>482</v>
      </c>
      <c r="X101" s="367" t="s">
        <v>483</v>
      </c>
      <c r="Y101" s="397">
        <f t="shared" ca="1" si="2"/>
        <v>6</v>
      </c>
      <c r="Z101" s="517" t="s">
        <v>410</v>
      </c>
      <c r="AA101" s="518"/>
    </row>
    <row r="102" spans="1:27" ht="25.5">
      <c r="A102" s="410" t="str">
        <f>RIGHT('[2]CADs Report'!$B$7,3)</f>
        <v>298</v>
      </c>
      <c r="B102" s="414" t="str">
        <f>'[2]CADs Report'!$L$7</f>
        <v>DETONATING CORD</v>
      </c>
      <c r="C102" s="412" t="str">
        <f>'[2]CADs Report'!$C$7</f>
        <v>MS81</v>
      </c>
      <c r="D102" s="427">
        <f>'[2]CADs Report'!$M$7</f>
        <v>730</v>
      </c>
      <c r="E102" s="420">
        <f>'[2]CADs Report'!$K$7</f>
        <v>42036</v>
      </c>
      <c r="F102" s="514" t="str">
        <f>'[2]CADs Report'!$N$7</f>
        <v>Waiver</v>
      </c>
      <c r="G102" s="432" t="str">
        <f>IF(ISBLANK([1]Summary!$A$11),"",[1]Summary!$A$11)</f>
        <v>08-07052</v>
      </c>
      <c r="H102" s="575" t="str">
        <f>IF(ISBLANK([1]Summary!$B$11),"",[1]Summary!$B$11)</f>
        <v>connecting link, rigid</v>
      </c>
      <c r="I102" s="576" t="str">
        <f>IF(ISBLANK([1]Summary!C11),"",[1]Summary!C11)</f>
        <v>012413460</v>
      </c>
      <c r="J102" s="439" t="str">
        <f>IF(ISBLANK([1]Summary!$C$11),"",[1]Summary!$C$11)</f>
        <v>012413460</v>
      </c>
      <c r="K102" s="430">
        <f>IF(ISBLANK([1]Summary!$D$11),"",[1]Summary!$D$11)</f>
        <v>6</v>
      </c>
      <c r="L102" s="431" t="str">
        <f>IF(ISBLANK([1]Summary!$E$11),"",[1]Summary!$E$11)</f>
        <v>W580KD5104A001</v>
      </c>
      <c r="M102" s="511" t="str">
        <f>IF(ISBLANK([1]Summary!$F$11),"",[1]Summary!$F$11)</f>
        <v>G8</v>
      </c>
      <c r="N102" s="432" t="str">
        <f>IF(ISBLANK([1]Summary!$A$33),"",[1]Summary!$A$33)</f>
        <v>10-05613</v>
      </c>
      <c r="O102" s="575" t="str">
        <f>IF(ISBLANK([1]Summary!$B$33),"",[1]Summary!$B$33)</f>
        <v>valve, modulating</v>
      </c>
      <c r="P102" s="576" t="str">
        <f>IF(ISBLANK([1]Summary!C33),"",[1]Summary!C33)</f>
        <v>014260429</v>
      </c>
      <c r="Q102" s="439" t="str">
        <f>IF(ISBLANK([1]Summary!$C$33),"",[1]Summary!$C$33)</f>
        <v>014260429</v>
      </c>
      <c r="R102" s="430">
        <f>IF(ISBLANK([1]Summary!$D$33),"",[1]Summary!$D$33)</f>
        <v>3</v>
      </c>
      <c r="S102" s="431" t="str">
        <f>IF(ISBLANK([1]Summary!$E$33),"",[1]Summary!$E$33)</f>
        <v>W580KD5107A004</v>
      </c>
      <c r="T102" s="511" t="str">
        <f>IF(ISBLANK([1]Summary!$F$33),"",[1]Summary!$F$33)</f>
        <v>G8</v>
      </c>
      <c r="U102" s="357"/>
      <c r="V102" s="358"/>
      <c r="W102" s="358"/>
      <c r="X102" s="367"/>
      <c r="Y102" s="397" t="str">
        <f t="shared" ca="1" si="2"/>
        <v/>
      </c>
      <c r="Z102" s="517"/>
      <c r="AA102" s="518"/>
    </row>
    <row r="103" spans="1:27" ht="25.5">
      <c r="A103" s="410" t="str">
        <f>RIGHT('[2]CADs Report'!$B$8,3)</f>
        <v>585</v>
      </c>
      <c r="B103" s="414" t="str">
        <f>'[2]CADs Report'!$L$8</f>
        <v>SEVERANCE DEVICE</v>
      </c>
      <c r="C103" s="412" t="str">
        <f>'[2]CADs Report'!$C$8</f>
        <v>MS94</v>
      </c>
      <c r="D103" s="427">
        <f>'[2]CADs Report'!$M$8</f>
        <v>700</v>
      </c>
      <c r="E103" s="420">
        <f>'[2]CADs Report'!$K$8</f>
        <v>42063</v>
      </c>
      <c r="F103" s="514" t="str">
        <f>'[2]CADs Report'!$N$8</f>
        <v>On Hand</v>
      </c>
      <c r="G103" s="432" t="str">
        <f>IF(ISBLANK([1]Summary!$A$12),"",[1]Summary!$A$12)</f>
        <v>07-05524</v>
      </c>
      <c r="H103" s="575" t="str">
        <f>IF(ISBLANK([1]Summary!$B$12),"",[1]Summary!$B$12)</f>
        <v>flange assy drive</v>
      </c>
      <c r="I103" s="576" t="str">
        <f>IF(ISBLANK([1]Summary!C12),"",[1]Summary!C12)</f>
        <v>011650999</v>
      </c>
      <c r="J103" s="439" t="str">
        <f>IF(ISBLANK([1]Summary!$C$12),"",[1]Summary!$C$12)</f>
        <v>011650999</v>
      </c>
      <c r="K103" s="430">
        <f>IF(ISBLANK([1]Summary!$D$12),"",[1]Summary!$D$12)</f>
        <v>6</v>
      </c>
      <c r="L103" s="433" t="str">
        <f>IF(ISBLANK([1]Summary!$E$12),"",[1]Summary!$E$12)</f>
        <v>W580KD5104A004</v>
      </c>
      <c r="M103" s="511" t="str">
        <f>IF(ISBLANK([1]Summary!$F$12),"",[1]Summary!$F$12)</f>
        <v>SOS / En Route</v>
      </c>
      <c r="N103" s="432" t="str">
        <f>IF(ISBLANK([1]Summary!$A$34),"",[1]Summary!$A$34)</f>
        <v/>
      </c>
      <c r="O103" s="575" t="str">
        <f>IF(ISBLANK([1]Summary!$B$34),"",[1]Summary!$B$34)</f>
        <v/>
      </c>
      <c r="P103" s="576" t="str">
        <f>IF(ISBLANK([1]Summary!C34),"",[1]Summary!C34)</f>
        <v/>
      </c>
      <c r="Q103" s="439" t="str">
        <f>IF(ISBLANK([1]Summary!$C$34),"",[1]Summary!$C$34)</f>
        <v/>
      </c>
      <c r="R103" s="430" t="str">
        <f>IF(ISBLANK([1]Summary!$D$34),"",[1]Summary!$D$34)</f>
        <v/>
      </c>
      <c r="S103" s="433" t="str">
        <f>IF(ISBLANK([1]Summary!$E$34),"",[1]Summary!$E$34)</f>
        <v/>
      </c>
      <c r="T103" s="511" t="str">
        <f>IF(ISBLANK([1]Summary!$F$34),"",[1]Summary!$F$34)</f>
        <v/>
      </c>
      <c r="U103" s="357"/>
      <c r="V103" s="358"/>
      <c r="W103" s="358"/>
      <c r="X103" s="367"/>
      <c r="Y103" s="397" t="str">
        <f t="shared" ca="1" si="2"/>
        <v/>
      </c>
      <c r="Z103" s="517"/>
      <c r="AA103" s="518"/>
    </row>
    <row r="104" spans="1:27" ht="25.5">
      <c r="A104" s="410" t="str">
        <f>RIGHT('[2]CADs Report'!$B$9,3)</f>
        <v>187</v>
      </c>
      <c r="B104" s="414" t="str">
        <f>'[2]CADs Report'!$L$9</f>
        <v>CANOPY DET CORD</v>
      </c>
      <c r="C104" s="412" t="str">
        <f>'[2]CADs Report'!$C$9</f>
        <v>MS81</v>
      </c>
      <c r="D104" s="427">
        <f>'[2]CADs Report'!$M$9</f>
        <v>730</v>
      </c>
      <c r="E104" s="420">
        <f>'[2]CADs Report'!$K$9</f>
        <v>42095</v>
      </c>
      <c r="F104" s="514" t="str">
        <f>'[2]CADs Report'!$N$9</f>
        <v>On Hand</v>
      </c>
      <c r="G104" s="432" t="str">
        <f>IF(ISBLANK([1]Summary!$A$13),"",[1]Summary!$A$13)</f>
        <v>07-05524</v>
      </c>
      <c r="H104" s="575" t="str">
        <f>IF(ISBLANK([1]Summary!$B$13),"",[1]Summary!$B$13)</f>
        <v>Fan, Centrifugal</v>
      </c>
      <c r="I104" s="576" t="str">
        <f>IF(ISBLANK([1]Summary!C13),"",[1]Summary!C13)</f>
        <v>011605627</v>
      </c>
      <c r="J104" s="439" t="str">
        <f>IF(ISBLANK([1]Summary!$C$13),"",[1]Summary!$C$13)</f>
        <v>011605627</v>
      </c>
      <c r="K104" s="430">
        <f>IF(ISBLANK([1]Summary!$D$13),"",[1]Summary!$D$13)</f>
        <v>6</v>
      </c>
      <c r="L104" s="431" t="str">
        <f>IF(ISBLANK([1]Summary!$E$13),"",[1]Summary!$E$13)</f>
        <v>W580KD5104A005</v>
      </c>
      <c r="M104" s="511" t="str">
        <f>IF(ISBLANK([1]Summary!$F$13),"",[1]Summary!$F$13)</f>
        <v>SOS / En Route</v>
      </c>
      <c r="N104" s="432" t="str">
        <f>IF(ISBLANK([1]Summary!$A$35),"",[1]Summary!$A$35)</f>
        <v/>
      </c>
      <c r="O104" s="575" t="str">
        <f>IF(ISBLANK([1]Summary!$B$35),"",[1]Summary!$B$35)</f>
        <v/>
      </c>
      <c r="P104" s="576" t="str">
        <f>IF(ISBLANK([1]Summary!C35),"",[1]Summary!C35)</f>
        <v/>
      </c>
      <c r="Q104" s="439" t="str">
        <f>IF(ISBLANK([1]Summary!$C$35),"",[1]Summary!$C$35)</f>
        <v/>
      </c>
      <c r="R104" s="430" t="str">
        <f>IF(ISBLANK([1]Summary!$D$35),"",[1]Summary!$D$35)</f>
        <v/>
      </c>
      <c r="S104" s="431" t="str">
        <f>IF(ISBLANK([1]Summary!$E$35),"",[1]Summary!$E$35)</f>
        <v/>
      </c>
      <c r="T104" s="511" t="str">
        <f>IF(ISBLANK([1]Summary!$F$35),"",[1]Summary!$F$35)</f>
        <v/>
      </c>
      <c r="U104" s="357"/>
      <c r="V104" s="358"/>
      <c r="W104" s="358"/>
      <c r="X104" s="367"/>
      <c r="Y104" s="397" t="str">
        <f t="shared" ca="1" si="2"/>
        <v/>
      </c>
      <c r="Z104" s="517"/>
      <c r="AA104" s="518"/>
    </row>
    <row r="105" spans="1:27" ht="25.5">
      <c r="A105" s="410" t="str">
        <f>RIGHT('[2]CADs Report'!$B$10,3)</f>
        <v>383</v>
      </c>
      <c r="B105" s="414" t="str">
        <f>'[2]CADs Report'!$L$10</f>
        <v>CANOPY DET CORD</v>
      </c>
      <c r="C105" s="412" t="str">
        <f>'[2]CADs Report'!$C$10</f>
        <v>MS81</v>
      </c>
      <c r="D105" s="427">
        <f>'[2]CADs Report'!$M$10</f>
        <v>730</v>
      </c>
      <c r="E105" s="420">
        <f>'[2]CADs Report'!$K$10</f>
        <v>42095</v>
      </c>
      <c r="F105" s="514" t="str">
        <f>'[2]CADs Report'!$N$10</f>
        <v>30D Ext</v>
      </c>
      <c r="G105" s="432" t="str">
        <f>IF(ISBLANK([1]Summary!$A$19),"",[1]Summary!$A$19)</f>
        <v/>
      </c>
      <c r="H105" s="575" t="str">
        <f>IF(ISBLANK([1]Summary!$B$19),"",[1]Summary!$B$19)</f>
        <v/>
      </c>
      <c r="I105" s="576" t="str">
        <f>IF(ISBLANK([1]Summary!C19),"",[1]Summary!C19)</f>
        <v/>
      </c>
      <c r="J105" s="439" t="str">
        <f>IF(ISBLANK([1]Summary!$C$19),"",[1]Summary!$C$19)</f>
        <v/>
      </c>
      <c r="K105" s="434" t="str">
        <f>IF(ISBLANK([1]Summary!$D$19),"",[1]Summary!$D$19)</f>
        <v/>
      </c>
      <c r="L105" s="433" t="str">
        <f>IF(ISBLANK([1]Summary!$E$19),"",[1]Summary!$E$19)</f>
        <v/>
      </c>
      <c r="M105" s="511" t="str">
        <f>IF(ISBLANK([1]Summary!$F$19),"",[1]Summary!$F$19)</f>
        <v/>
      </c>
      <c r="N105" s="432" t="str">
        <f>IF(ISBLANK([1]Summary!$A$36),"",[1]Summary!$A$36)</f>
        <v/>
      </c>
      <c r="O105" s="575" t="str">
        <f>IF(ISBLANK([1]Summary!$B$36),"",[1]Summary!$B$36)</f>
        <v/>
      </c>
      <c r="P105" s="576" t="str">
        <f>IF(ISBLANK([1]Summary!C36),"",[1]Summary!C36)</f>
        <v/>
      </c>
      <c r="Q105" s="439" t="str">
        <f>IF(ISBLANK([1]Summary!$C$36),"",[1]Summary!$C$36)</f>
        <v/>
      </c>
      <c r="R105" s="434" t="str">
        <f>IF(ISBLANK([1]Summary!$D$36),"",[1]Summary!$D$36)</f>
        <v/>
      </c>
      <c r="S105" s="433" t="str">
        <f>IF(ISBLANK([1]Summary!$E$36),"",[1]Summary!$E$36)</f>
        <v/>
      </c>
      <c r="T105" s="513" t="str">
        <f>IF(ISBLANK([1]Summary!$F$36),"",[1]Summary!$F$36)</f>
        <v/>
      </c>
      <c r="U105" s="357"/>
      <c r="V105" s="358"/>
      <c r="W105" s="358"/>
      <c r="X105" s="367"/>
      <c r="Y105" s="397" t="str">
        <f t="shared" ca="1" si="2"/>
        <v/>
      </c>
      <c r="Z105" s="517"/>
      <c r="AA105" s="518"/>
    </row>
    <row r="106" spans="1:27" ht="26.25" thickBot="1">
      <c r="A106" s="411" t="str">
        <f>RIGHT('[2]CADs Report'!$B$11,3)</f>
        <v>187</v>
      </c>
      <c r="B106" s="415" t="str">
        <f>'[2]CADs Report'!$L$11</f>
        <v>CANOPY DET CORD</v>
      </c>
      <c r="C106" s="413" t="str">
        <f>'[2]CADs Report'!$C$11</f>
        <v>MS82</v>
      </c>
      <c r="D106" s="428">
        <f>'[2]CADs Report'!$M$11</f>
        <v>735</v>
      </c>
      <c r="E106" s="421">
        <f>'[2]CADs Report'!$K$11</f>
        <v>42095</v>
      </c>
      <c r="F106" s="515" t="str">
        <f>'[2]CADs Report'!$N$11</f>
        <v>On Hand</v>
      </c>
      <c r="G106" s="435" t="str">
        <f>IF(ISBLANK([1]Summary!$A$20),"",[1]Summary!$A$20)</f>
        <v/>
      </c>
      <c r="H106" s="651" t="str">
        <f>IF(ISBLANK([1]Summary!$B$20),"",[1]Summary!$B$20)</f>
        <v/>
      </c>
      <c r="I106" s="652" t="str">
        <f>IF(ISBLANK([1]Summary!C20),"",[1]Summary!C20)</f>
        <v/>
      </c>
      <c r="J106" s="441" t="str">
        <f>IF(ISBLANK([1]Summary!$C$20),"",[1]Summary!$C$20)</f>
        <v/>
      </c>
      <c r="K106" s="436" t="str">
        <f>IF(ISBLANK([1]Summary!$D$20),"",[1]Summary!$D$20)</f>
        <v/>
      </c>
      <c r="L106" s="437" t="str">
        <f>IF(ISBLANK([1]Summary!$E$20),"",[1]Summary!$E$20)</f>
        <v/>
      </c>
      <c r="M106" s="512" t="str">
        <f>IF(ISBLANK([1]Summary!$F$20),"",[1]Summary!$F$20)</f>
        <v/>
      </c>
      <c r="N106" s="435" t="str">
        <f>IF(ISBLANK([1]Summary!$A$37),"",[1]Summary!$A$37)</f>
        <v/>
      </c>
      <c r="O106" s="649" t="str">
        <f>IF(ISBLANK([1]Summary!$B$37),"",[1]Summary!$B$37)</f>
        <v/>
      </c>
      <c r="P106" s="650" t="str">
        <f>IF(ISBLANK([1]Summary!C37),"",[1]Summary!C37)</f>
        <v/>
      </c>
      <c r="Q106" s="440" t="str">
        <f>IF(ISBLANK([1]Summary!$C$37),"",[1]Summary!$C$37)</f>
        <v/>
      </c>
      <c r="R106" s="436" t="str">
        <f>IF(ISBLANK([1]Summary!$D$37),"",[1]Summary!$D$37)</f>
        <v/>
      </c>
      <c r="S106" s="437" t="str">
        <f>IF(ISBLANK([1]Summary!$E$37),"",[1]Summary!$E$37)</f>
        <v/>
      </c>
      <c r="T106" s="512" t="str">
        <f>IF(ISBLANK([1]Summary!$F$37),"",[1]Summary!$F$37)</f>
        <v/>
      </c>
      <c r="U106" s="359"/>
      <c r="V106" s="360"/>
      <c r="W106" s="360"/>
      <c r="X106" s="368"/>
      <c r="Y106" s="398" t="str">
        <f t="shared" ca="1" si="2"/>
        <v/>
      </c>
      <c r="Z106" s="519"/>
      <c r="AA106" s="520"/>
    </row>
    <row r="107" spans="1:27" ht="15.75" thickTop="1"/>
  </sheetData>
  <sheetProtection selectLockedCells="1"/>
  <mergeCells count="620">
    <mergeCell ref="O104:P104"/>
    <mergeCell ref="O105:P105"/>
    <mergeCell ref="O106:P106"/>
    <mergeCell ref="H104:I104"/>
    <mergeCell ref="H105:I105"/>
    <mergeCell ref="H106:I106"/>
    <mergeCell ref="Z81:AA82"/>
    <mergeCell ref="A94:F94"/>
    <mergeCell ref="A95:F95"/>
    <mergeCell ref="G95:M95"/>
    <mergeCell ref="G94:M94"/>
    <mergeCell ref="N94:T94"/>
    <mergeCell ref="N95:T95"/>
    <mergeCell ref="G88:I88"/>
    <mergeCell ref="J88:L88"/>
    <mergeCell ref="H87:I87"/>
    <mergeCell ref="K87:L87"/>
    <mergeCell ref="G85:L85"/>
    <mergeCell ref="G86:L86"/>
    <mergeCell ref="H89:I89"/>
    <mergeCell ref="K89:L89"/>
    <mergeCell ref="H93:I93"/>
    <mergeCell ref="K93:L93"/>
    <mergeCell ref="A85:C85"/>
    <mergeCell ref="I2:J2"/>
    <mergeCell ref="K2:M2"/>
    <mergeCell ref="N2:V2"/>
    <mergeCell ref="K78:K80"/>
    <mergeCell ref="L78:L80"/>
    <mergeCell ref="M78:S78"/>
    <mergeCell ref="T78:U78"/>
    <mergeCell ref="V78:W78"/>
    <mergeCell ref="M79:S79"/>
    <mergeCell ref="T79:U79"/>
    <mergeCell ref="V79:W79"/>
    <mergeCell ref="M80:S80"/>
    <mergeCell ref="T80:U80"/>
    <mergeCell ref="V80:W80"/>
    <mergeCell ref="K75:K77"/>
    <mergeCell ref="L75:L77"/>
    <mergeCell ref="M75:S75"/>
    <mergeCell ref="T75:U75"/>
    <mergeCell ref="K72:K74"/>
    <mergeCell ref="L72:L74"/>
    <mergeCell ref="M72:S72"/>
    <mergeCell ref="T72:U72"/>
    <mergeCell ref="V72:W72"/>
    <mergeCell ref="M73:S73"/>
    <mergeCell ref="F75:F77"/>
    <mergeCell ref="G75:G77"/>
    <mergeCell ref="H75:H77"/>
    <mergeCell ref="I75:I77"/>
    <mergeCell ref="J75:J77"/>
    <mergeCell ref="A86:C86"/>
    <mergeCell ref="H81:L81"/>
    <mergeCell ref="D85:F85"/>
    <mergeCell ref="D86:F86"/>
    <mergeCell ref="A81:G81"/>
    <mergeCell ref="G83:G84"/>
    <mergeCell ref="A78:A79"/>
    <mergeCell ref="B78:B79"/>
    <mergeCell ref="C78:C79"/>
    <mergeCell ref="F78:F80"/>
    <mergeCell ref="G78:G80"/>
    <mergeCell ref="H78:H80"/>
    <mergeCell ref="I78:I80"/>
    <mergeCell ref="J78:J80"/>
    <mergeCell ref="B80:C80"/>
    <mergeCell ref="B77:C77"/>
    <mergeCell ref="M77:S77"/>
    <mergeCell ref="T77:U77"/>
    <mergeCell ref="V77:W77"/>
    <mergeCell ref="A72:A73"/>
    <mergeCell ref="B72:B73"/>
    <mergeCell ref="C72:C73"/>
    <mergeCell ref="F72:F74"/>
    <mergeCell ref="G72:G74"/>
    <mergeCell ref="H72:H74"/>
    <mergeCell ref="I72:I74"/>
    <mergeCell ref="J72:J74"/>
    <mergeCell ref="B74:C74"/>
    <mergeCell ref="T73:U73"/>
    <mergeCell ref="V73:W73"/>
    <mergeCell ref="M74:S74"/>
    <mergeCell ref="T74:U74"/>
    <mergeCell ref="V74:W74"/>
    <mergeCell ref="V75:W75"/>
    <mergeCell ref="M76:S76"/>
    <mergeCell ref="T76:U76"/>
    <mergeCell ref="V76:W76"/>
    <mergeCell ref="A75:A76"/>
    <mergeCell ref="B75:B76"/>
    <mergeCell ref="C75:C76"/>
    <mergeCell ref="K69:K71"/>
    <mergeCell ref="L69:L71"/>
    <mergeCell ref="M69:S69"/>
    <mergeCell ref="T69:U69"/>
    <mergeCell ref="V69:W69"/>
    <mergeCell ref="M70:S70"/>
    <mergeCell ref="T70:U70"/>
    <mergeCell ref="V70:W70"/>
    <mergeCell ref="M71:S71"/>
    <mergeCell ref="T71:U71"/>
    <mergeCell ref="V71:W71"/>
    <mergeCell ref="A69:A70"/>
    <mergeCell ref="B69:B70"/>
    <mergeCell ref="C69:C70"/>
    <mergeCell ref="F69:F71"/>
    <mergeCell ref="G69:G71"/>
    <mergeCell ref="H69:H71"/>
    <mergeCell ref="I69:I71"/>
    <mergeCell ref="J69:J71"/>
    <mergeCell ref="B71:C71"/>
    <mergeCell ref="K66:K68"/>
    <mergeCell ref="L66:L68"/>
    <mergeCell ref="M66:S66"/>
    <mergeCell ref="T66:U66"/>
    <mergeCell ref="V66:W66"/>
    <mergeCell ref="M67:S67"/>
    <mergeCell ref="T67:U67"/>
    <mergeCell ref="V67:W67"/>
    <mergeCell ref="M68:S68"/>
    <mergeCell ref="T68:U68"/>
    <mergeCell ref="V68:W68"/>
    <mergeCell ref="A66:A67"/>
    <mergeCell ref="B66:B67"/>
    <mergeCell ref="C66:C67"/>
    <mergeCell ref="F66:F68"/>
    <mergeCell ref="G66:G68"/>
    <mergeCell ref="H66:H68"/>
    <mergeCell ref="I66:I68"/>
    <mergeCell ref="J66:J68"/>
    <mergeCell ref="B68:C68"/>
    <mergeCell ref="K63:K65"/>
    <mergeCell ref="L63:L65"/>
    <mergeCell ref="M63:S63"/>
    <mergeCell ref="T63:U63"/>
    <mergeCell ref="V63:W63"/>
    <mergeCell ref="M64:S64"/>
    <mergeCell ref="T64:U64"/>
    <mergeCell ref="V64:W64"/>
    <mergeCell ref="M65:S65"/>
    <mergeCell ref="T65:U65"/>
    <mergeCell ref="V65:W65"/>
    <mergeCell ref="A63:A64"/>
    <mergeCell ref="B63:B64"/>
    <mergeCell ref="C63:C64"/>
    <mergeCell ref="F63:F65"/>
    <mergeCell ref="G63:G65"/>
    <mergeCell ref="H63:H65"/>
    <mergeCell ref="I63:I65"/>
    <mergeCell ref="J63:J65"/>
    <mergeCell ref="B65:C65"/>
    <mergeCell ref="L60:L62"/>
    <mergeCell ref="M60:S60"/>
    <mergeCell ref="T60:U60"/>
    <mergeCell ref="V60:W60"/>
    <mergeCell ref="M61:S61"/>
    <mergeCell ref="T61:U61"/>
    <mergeCell ref="V61:W61"/>
    <mergeCell ref="M62:S62"/>
    <mergeCell ref="T62:U62"/>
    <mergeCell ref="V62:W62"/>
    <mergeCell ref="B60:B61"/>
    <mergeCell ref="C60:C61"/>
    <mergeCell ref="F60:F62"/>
    <mergeCell ref="G60:G62"/>
    <mergeCell ref="H60:H62"/>
    <mergeCell ref="I60:I62"/>
    <mergeCell ref="J60:J62"/>
    <mergeCell ref="B62:C62"/>
    <mergeCell ref="K60:K62"/>
    <mergeCell ref="K53:K55"/>
    <mergeCell ref="L53:L55"/>
    <mergeCell ref="M53:S53"/>
    <mergeCell ref="T53:U53"/>
    <mergeCell ref="V53:W53"/>
    <mergeCell ref="M54:S54"/>
    <mergeCell ref="T54:U54"/>
    <mergeCell ref="V54:W54"/>
    <mergeCell ref="M55:S55"/>
    <mergeCell ref="T55:U55"/>
    <mergeCell ref="V55:W55"/>
    <mergeCell ref="A53:A54"/>
    <mergeCell ref="B53:B54"/>
    <mergeCell ref="C53:C54"/>
    <mergeCell ref="F53:F55"/>
    <mergeCell ref="G53:G55"/>
    <mergeCell ref="H53:H55"/>
    <mergeCell ref="I53:I55"/>
    <mergeCell ref="J53:J55"/>
    <mergeCell ref="B55:C55"/>
    <mergeCell ref="J50:J52"/>
    <mergeCell ref="B52:C52"/>
    <mergeCell ref="K50:K52"/>
    <mergeCell ref="L50:L52"/>
    <mergeCell ref="M50:S50"/>
    <mergeCell ref="T50:U50"/>
    <mergeCell ref="V50:W50"/>
    <mergeCell ref="M51:S51"/>
    <mergeCell ref="T51:U51"/>
    <mergeCell ref="V51:W51"/>
    <mergeCell ref="M52:S52"/>
    <mergeCell ref="T52:U52"/>
    <mergeCell ref="V52:W52"/>
    <mergeCell ref="F50:F52"/>
    <mergeCell ref="G50:G52"/>
    <mergeCell ref="K47:K49"/>
    <mergeCell ref="L47:L49"/>
    <mergeCell ref="M47:S47"/>
    <mergeCell ref="T47:U47"/>
    <mergeCell ref="V47:W47"/>
    <mergeCell ref="M48:S48"/>
    <mergeCell ref="T48:U48"/>
    <mergeCell ref="V48:W48"/>
    <mergeCell ref="M49:S49"/>
    <mergeCell ref="T49:U49"/>
    <mergeCell ref="V49:W49"/>
    <mergeCell ref="V25:W25"/>
    <mergeCell ref="V26:W26"/>
    <mergeCell ref="V27:W27"/>
    <mergeCell ref="L22:L24"/>
    <mergeCell ref="L25:L27"/>
    <mergeCell ref="K44:K46"/>
    <mergeCell ref="L44:L46"/>
    <mergeCell ref="M44:S44"/>
    <mergeCell ref="T44:U44"/>
    <mergeCell ref="V44:W44"/>
    <mergeCell ref="M45:S45"/>
    <mergeCell ref="T45:U45"/>
    <mergeCell ref="V45:W45"/>
    <mergeCell ref="M46:S46"/>
    <mergeCell ref="T46:U46"/>
    <mergeCell ref="V46:W46"/>
    <mergeCell ref="K22:K24"/>
    <mergeCell ref="K25:K27"/>
    <mergeCell ref="K32:K34"/>
    <mergeCell ref="L32:L34"/>
    <mergeCell ref="M32:S32"/>
    <mergeCell ref="T32:U32"/>
    <mergeCell ref="V32:W32"/>
    <mergeCell ref="M33:S33"/>
    <mergeCell ref="V18:W18"/>
    <mergeCell ref="V19:W19"/>
    <mergeCell ref="V20:W20"/>
    <mergeCell ref="V21:W21"/>
    <mergeCell ref="M5:S6"/>
    <mergeCell ref="T5:U6"/>
    <mergeCell ref="V5:W5"/>
    <mergeCell ref="V6:W6"/>
    <mergeCell ref="M7:S7"/>
    <mergeCell ref="T7:U7"/>
    <mergeCell ref="M8:S8"/>
    <mergeCell ref="T8:U8"/>
    <mergeCell ref="M9:S9"/>
    <mergeCell ref="T9:U9"/>
    <mergeCell ref="V7:W7"/>
    <mergeCell ref="V8:W8"/>
    <mergeCell ref="V13:W13"/>
    <mergeCell ref="V14:W14"/>
    <mergeCell ref="V15:W15"/>
    <mergeCell ref="V16:W16"/>
    <mergeCell ref="V17:W17"/>
    <mergeCell ref="V10:W10"/>
    <mergeCell ref="V11:W11"/>
    <mergeCell ref="V12:W12"/>
    <mergeCell ref="K16:K18"/>
    <mergeCell ref="K19:K21"/>
    <mergeCell ref="M15:S15"/>
    <mergeCell ref="T15:U15"/>
    <mergeCell ref="M16:S16"/>
    <mergeCell ref="T16:U16"/>
    <mergeCell ref="L7:L9"/>
    <mergeCell ref="L10:L12"/>
    <mergeCell ref="L13:L15"/>
    <mergeCell ref="L16:L18"/>
    <mergeCell ref="L19:L21"/>
    <mergeCell ref="M10:S10"/>
    <mergeCell ref="T10:U10"/>
    <mergeCell ref="M11:S11"/>
    <mergeCell ref="T11:U11"/>
    <mergeCell ref="M12:S12"/>
    <mergeCell ref="T12:U12"/>
    <mergeCell ref="K13:K15"/>
    <mergeCell ref="K7:K9"/>
    <mergeCell ref="K10:K12"/>
    <mergeCell ref="M19:S19"/>
    <mergeCell ref="T19:U19"/>
    <mergeCell ref="M20:S20"/>
    <mergeCell ref="T20:U20"/>
    <mergeCell ref="I5:I6"/>
    <mergeCell ref="J5:J6"/>
    <mergeCell ref="F5:F6"/>
    <mergeCell ref="I7:I9"/>
    <mergeCell ref="J7:J9"/>
    <mergeCell ref="I10:I12"/>
    <mergeCell ref="J10:J12"/>
    <mergeCell ref="V9:W9"/>
    <mergeCell ref="A10:A11"/>
    <mergeCell ref="B10:B11"/>
    <mergeCell ref="C10:C11"/>
    <mergeCell ref="G10:G12"/>
    <mergeCell ref="H10:H12"/>
    <mergeCell ref="B12:C12"/>
    <mergeCell ref="B9:C9"/>
    <mergeCell ref="A7:A8"/>
    <mergeCell ref="B7:B8"/>
    <mergeCell ref="C7:C8"/>
    <mergeCell ref="G7:G9"/>
    <mergeCell ref="H7:H9"/>
    <mergeCell ref="F7:F9"/>
    <mergeCell ref="F10:F12"/>
    <mergeCell ref="K5:K6"/>
    <mergeCell ref="L5:L6"/>
    <mergeCell ref="D5:E6"/>
    <mergeCell ref="A13:A14"/>
    <mergeCell ref="B13:B14"/>
    <mergeCell ref="C13:C14"/>
    <mergeCell ref="G13:G15"/>
    <mergeCell ref="H13:H15"/>
    <mergeCell ref="B15:C15"/>
    <mergeCell ref="A16:A17"/>
    <mergeCell ref="B16:B17"/>
    <mergeCell ref="C16:C17"/>
    <mergeCell ref="G16:G18"/>
    <mergeCell ref="H16:H18"/>
    <mergeCell ref="B18:C18"/>
    <mergeCell ref="F13:F15"/>
    <mergeCell ref="F16:F18"/>
    <mergeCell ref="G5:G6"/>
    <mergeCell ref="H5:H6"/>
    <mergeCell ref="B6:C6"/>
    <mergeCell ref="M21:S21"/>
    <mergeCell ref="T21:U21"/>
    <mergeCell ref="A19:A20"/>
    <mergeCell ref="B19:B20"/>
    <mergeCell ref="C19:C20"/>
    <mergeCell ref="G19:G21"/>
    <mergeCell ref="H19:H21"/>
    <mergeCell ref="B21:C21"/>
    <mergeCell ref="M25:S25"/>
    <mergeCell ref="T25:U25"/>
    <mergeCell ref="M22:S22"/>
    <mergeCell ref="T22:U22"/>
    <mergeCell ref="M23:S23"/>
    <mergeCell ref="T23:U23"/>
    <mergeCell ref="M24:S24"/>
    <mergeCell ref="T24:U24"/>
    <mergeCell ref="M26:S26"/>
    <mergeCell ref="T26:U26"/>
    <mergeCell ref="M27:S27"/>
    <mergeCell ref="T27:U27"/>
    <mergeCell ref="A25:A26"/>
    <mergeCell ref="B25:B26"/>
    <mergeCell ref="C25:C26"/>
    <mergeCell ref="G25:G27"/>
    <mergeCell ref="H25:H27"/>
    <mergeCell ref="B27:C27"/>
    <mergeCell ref="I25:I27"/>
    <mergeCell ref="J25:J27"/>
    <mergeCell ref="V30:W30"/>
    <mergeCell ref="H28:H30"/>
    <mergeCell ref="I28:I30"/>
    <mergeCell ref="J28:J30"/>
    <mergeCell ref="F28:F30"/>
    <mergeCell ref="M28:S28"/>
    <mergeCell ref="T28:U28"/>
    <mergeCell ref="V28:W28"/>
    <mergeCell ref="M29:S29"/>
    <mergeCell ref="T29:U29"/>
    <mergeCell ref="V29:W29"/>
    <mergeCell ref="M30:S30"/>
    <mergeCell ref="A32:A33"/>
    <mergeCell ref="B32:B33"/>
    <mergeCell ref="C32:C33"/>
    <mergeCell ref="F32:F34"/>
    <mergeCell ref="G32:G34"/>
    <mergeCell ref="H32:H34"/>
    <mergeCell ref="I32:I34"/>
    <mergeCell ref="J32:J34"/>
    <mergeCell ref="F19:F21"/>
    <mergeCell ref="A28:A29"/>
    <mergeCell ref="B28:B29"/>
    <mergeCell ref="C28:C29"/>
    <mergeCell ref="G28:G30"/>
    <mergeCell ref="B30:C30"/>
    <mergeCell ref="F25:F27"/>
    <mergeCell ref="A22:A23"/>
    <mergeCell ref="B22:B23"/>
    <mergeCell ref="C22:C23"/>
    <mergeCell ref="G22:G24"/>
    <mergeCell ref="H22:H24"/>
    <mergeCell ref="B24:C24"/>
    <mergeCell ref="T33:U33"/>
    <mergeCell ref="V33:W33"/>
    <mergeCell ref="I13:I15"/>
    <mergeCell ref="J13:J15"/>
    <mergeCell ref="I16:I18"/>
    <mergeCell ref="J16:J18"/>
    <mergeCell ref="I19:I21"/>
    <mergeCell ref="J19:J21"/>
    <mergeCell ref="I22:I24"/>
    <mergeCell ref="J22:J24"/>
    <mergeCell ref="M17:S17"/>
    <mergeCell ref="T17:U17"/>
    <mergeCell ref="M18:S18"/>
    <mergeCell ref="T18:U18"/>
    <mergeCell ref="M13:S13"/>
    <mergeCell ref="T13:U13"/>
    <mergeCell ref="M14:S14"/>
    <mergeCell ref="T14:U14"/>
    <mergeCell ref="V22:W22"/>
    <mergeCell ref="V23:W23"/>
    <mergeCell ref="V24:W24"/>
    <mergeCell ref="K28:K30"/>
    <mergeCell ref="L28:L30"/>
    <mergeCell ref="T30:U30"/>
    <mergeCell ref="V40:W40"/>
    <mergeCell ref="A1:Y1"/>
    <mergeCell ref="B34:C34"/>
    <mergeCell ref="M34:S34"/>
    <mergeCell ref="T34:U34"/>
    <mergeCell ref="V34:W34"/>
    <mergeCell ref="A35:A36"/>
    <mergeCell ref="B35:B36"/>
    <mergeCell ref="C35:C36"/>
    <mergeCell ref="F35:F37"/>
    <mergeCell ref="G35:G37"/>
    <mergeCell ref="H35:H37"/>
    <mergeCell ref="I35:I37"/>
    <mergeCell ref="J35:J37"/>
    <mergeCell ref="K35:K37"/>
    <mergeCell ref="L35:L37"/>
    <mergeCell ref="M35:S35"/>
    <mergeCell ref="T35:U35"/>
    <mergeCell ref="V35:W35"/>
    <mergeCell ref="M36:S36"/>
    <mergeCell ref="T36:U36"/>
    <mergeCell ref="V36:W36"/>
    <mergeCell ref="B37:C37"/>
    <mergeCell ref="F22:F24"/>
    <mergeCell ref="J41:J43"/>
    <mergeCell ref="K41:K43"/>
    <mergeCell ref="B43:C43"/>
    <mergeCell ref="T37:U37"/>
    <mergeCell ref="V37:W37"/>
    <mergeCell ref="A38:A39"/>
    <mergeCell ref="B38:B39"/>
    <mergeCell ref="C38:C39"/>
    <mergeCell ref="F38:F40"/>
    <mergeCell ref="G38:G40"/>
    <mergeCell ref="H38:H40"/>
    <mergeCell ref="I38:I40"/>
    <mergeCell ref="J38:J40"/>
    <mergeCell ref="K38:K40"/>
    <mergeCell ref="L38:L40"/>
    <mergeCell ref="M38:S38"/>
    <mergeCell ref="T38:U38"/>
    <mergeCell ref="V38:W38"/>
    <mergeCell ref="M39:S39"/>
    <mergeCell ref="T39:U39"/>
    <mergeCell ref="V39:W39"/>
    <mergeCell ref="B40:C40"/>
    <mergeCell ref="M40:S40"/>
    <mergeCell ref="T40:U40"/>
    <mergeCell ref="A41:A42"/>
    <mergeCell ref="B41:B42"/>
    <mergeCell ref="C41:C42"/>
    <mergeCell ref="F41:F43"/>
    <mergeCell ref="G41:G43"/>
    <mergeCell ref="H41:H43"/>
    <mergeCell ref="I41:I43"/>
    <mergeCell ref="H50:H52"/>
    <mergeCell ref="I50:I52"/>
    <mergeCell ref="M59:S59"/>
    <mergeCell ref="T59:U59"/>
    <mergeCell ref="A60:A61"/>
    <mergeCell ref="A44:A45"/>
    <mergeCell ref="B44:B45"/>
    <mergeCell ref="C44:C45"/>
    <mergeCell ref="F44:F46"/>
    <mergeCell ref="G44:G46"/>
    <mergeCell ref="H44:H46"/>
    <mergeCell ref="I44:I46"/>
    <mergeCell ref="J44:J46"/>
    <mergeCell ref="B46:C46"/>
    <mergeCell ref="A47:A48"/>
    <mergeCell ref="B47:B48"/>
    <mergeCell ref="C47:C48"/>
    <mergeCell ref="F47:F49"/>
    <mergeCell ref="G47:G49"/>
    <mergeCell ref="H47:H49"/>
    <mergeCell ref="I47:I49"/>
    <mergeCell ref="J47:J49"/>
    <mergeCell ref="B49:C49"/>
    <mergeCell ref="A50:A51"/>
    <mergeCell ref="B50:B51"/>
    <mergeCell ref="C50:C51"/>
    <mergeCell ref="H96:I96"/>
    <mergeCell ref="O96:P96"/>
    <mergeCell ref="Z97:AA97"/>
    <mergeCell ref="Z98:AA98"/>
    <mergeCell ref="Z99:AA99"/>
    <mergeCell ref="Z100:AA100"/>
    <mergeCell ref="Z101:AA101"/>
    <mergeCell ref="A57:A58"/>
    <mergeCell ref="B57:B58"/>
    <mergeCell ref="C57:C58"/>
    <mergeCell ref="F57:F59"/>
    <mergeCell ref="G57:G59"/>
    <mergeCell ref="H57:H59"/>
    <mergeCell ref="I57:I59"/>
    <mergeCell ref="J57:J59"/>
    <mergeCell ref="K57:K59"/>
    <mergeCell ref="L57:L59"/>
    <mergeCell ref="M57:S57"/>
    <mergeCell ref="T57:U57"/>
    <mergeCell ref="V57:W57"/>
    <mergeCell ref="M58:S58"/>
    <mergeCell ref="T58:U58"/>
    <mergeCell ref="V58:W58"/>
    <mergeCell ref="B59:C59"/>
    <mergeCell ref="H98:I98"/>
    <mergeCell ref="H99:I99"/>
    <mergeCell ref="H100:I100"/>
    <mergeCell ref="H101:I101"/>
    <mergeCell ref="H102:I102"/>
    <mergeCell ref="H103:I103"/>
    <mergeCell ref="O97:P97"/>
    <mergeCell ref="O98:P98"/>
    <mergeCell ref="O99:P99"/>
    <mergeCell ref="O100:P100"/>
    <mergeCell ref="O101:P101"/>
    <mergeCell ref="O102:P102"/>
    <mergeCell ref="O103:P103"/>
    <mergeCell ref="Y7:Y9"/>
    <mergeCell ref="Y10:Y12"/>
    <mergeCell ref="Y13:Y15"/>
    <mergeCell ref="Y16:Y18"/>
    <mergeCell ref="Y19:Y21"/>
    <mergeCell ref="Y22:Y24"/>
    <mergeCell ref="Z22:AA24"/>
    <mergeCell ref="Z83:AA84"/>
    <mergeCell ref="H97:I97"/>
    <mergeCell ref="U95:AA95"/>
    <mergeCell ref="U94:AA94"/>
    <mergeCell ref="Z96:AA96"/>
    <mergeCell ref="V59:W59"/>
    <mergeCell ref="L41:L43"/>
    <mergeCell ref="M41:S41"/>
    <mergeCell ref="T41:U41"/>
    <mergeCell ref="V41:W41"/>
    <mergeCell ref="M42:S42"/>
    <mergeCell ref="T42:U42"/>
    <mergeCell ref="V42:W42"/>
    <mergeCell ref="M43:S43"/>
    <mergeCell ref="T43:U43"/>
    <mergeCell ref="V43:W43"/>
    <mergeCell ref="M37:S37"/>
    <mergeCell ref="A4:AA4"/>
    <mergeCell ref="Y32:Y34"/>
    <mergeCell ref="Z32:Z34"/>
    <mergeCell ref="AA32:AA34"/>
    <mergeCell ref="Y35:Y37"/>
    <mergeCell ref="Z35:Z37"/>
    <mergeCell ref="AA35:AA37"/>
    <mergeCell ref="Y38:Y40"/>
    <mergeCell ref="Z38:Z40"/>
    <mergeCell ref="AA38:AA40"/>
    <mergeCell ref="A31:AA31"/>
    <mergeCell ref="Y25:Y27"/>
    <mergeCell ref="Z25:AA27"/>
    <mergeCell ref="Z7:Z9"/>
    <mergeCell ref="AA7:AA9"/>
    <mergeCell ref="Z10:Z12"/>
    <mergeCell ref="Z13:Z15"/>
    <mergeCell ref="Z16:Z18"/>
    <mergeCell ref="Z19:Z21"/>
    <mergeCell ref="AA10:AA12"/>
    <mergeCell ref="AA13:AA15"/>
    <mergeCell ref="AA16:AA18"/>
    <mergeCell ref="AA19:AA21"/>
    <mergeCell ref="Y5:AA6"/>
    <mergeCell ref="Y63:Y65"/>
    <mergeCell ref="Z63:Z65"/>
    <mergeCell ref="AA63:AA65"/>
    <mergeCell ref="Y41:Y43"/>
    <mergeCell ref="Z41:Z43"/>
    <mergeCell ref="AA41:AA43"/>
    <mergeCell ref="Y44:Y46"/>
    <mergeCell ref="Z44:Z46"/>
    <mergeCell ref="AA44:AA46"/>
    <mergeCell ref="Y47:Y49"/>
    <mergeCell ref="Z47:AA49"/>
    <mergeCell ref="Y50:Y52"/>
    <mergeCell ref="Z50:AA52"/>
    <mergeCell ref="Z102:AA102"/>
    <mergeCell ref="Z103:AA103"/>
    <mergeCell ref="Z104:AA104"/>
    <mergeCell ref="Z105:AA105"/>
    <mergeCell ref="Z106:AA106"/>
    <mergeCell ref="X81:Y82"/>
    <mergeCell ref="X83:Y84"/>
    <mergeCell ref="A56:AA56"/>
    <mergeCell ref="Y66:Y68"/>
    <mergeCell ref="Z66:Z68"/>
    <mergeCell ref="AA66:AA68"/>
    <mergeCell ref="Y69:Y71"/>
    <mergeCell ref="Z69:Z71"/>
    <mergeCell ref="AA69:AA71"/>
    <mergeCell ref="Y72:Y74"/>
    <mergeCell ref="Z72:AA74"/>
    <mergeCell ref="Y75:Y77"/>
    <mergeCell ref="Z75:AA77"/>
    <mergeCell ref="Y57:Y59"/>
    <mergeCell ref="Z57:Z59"/>
    <mergeCell ref="AA57:AA59"/>
    <mergeCell ref="Y60:Y62"/>
    <mergeCell ref="Z60:Z62"/>
    <mergeCell ref="AA60:AA62"/>
  </mergeCells>
  <conditionalFormatting sqref="X57 X59:X60 X62:X63 X65:X66 X68:X69 X71:X72 X74:X75 X77:X78 X80 X32 X34:X35 X37:X38 X40:X41 X43:X44 X46:X47 X49:X50 X52:X53 X55 X7 X9:X10 X12:X13 X15:X16 X18:X19 X21:X22 X24:X25 X27:X28 X30">
    <cfRule type="cellIs" dxfId="122" priority="52" operator="equal">
      <formula>"0-Jan-1900"</formula>
    </cfRule>
  </conditionalFormatting>
  <conditionalFormatting sqref="B7:B8 B10:B11 B13:B14 B16:B17 B19:B20 B22:B23 B25:B26 B28:B29 B32:B33 B35:B36 B38:B39 B41:B42 B44:B45 B47:B48 B50:B51 B53:B54 B57:B58 B60:B61 B63:B64 B66:B67 B69:B70 B72:B73 B75:B76 B78:B79">
    <cfRule type="containsText" dxfId="121" priority="28" stopIfTrue="1" operator="containsText" text="MTF">
      <formula>NOT(ISERROR(SEARCH("MTF",B7)))</formula>
    </cfRule>
  </conditionalFormatting>
  <conditionalFormatting sqref="B7:B8 B10:B11 B13:B14 B16:B17 B19:B20 B22:B23 B25:B26 B28:B29 B32:B33 B35:B36 B38:B39 B41:B42 B44:B45 B47:B48 B50:B51 B53:B54 B57:B58 B60:B61 B63:B64 B66:B67 B69:B70 B72:B73 B75:B76 B78:B79">
    <cfRule type="containsText" dxfId="120" priority="24" stopIfTrue="1" operator="containsText" text="Blank">
      <formula>NOT(ISERROR(SEARCH("Blank",B7)))</formula>
    </cfRule>
    <cfRule type="beginsWith" dxfId="119" priority="25" stopIfTrue="1" operator="beginsWith" text="NMC">
      <formula>LEFT(B7,3)="NMC"</formula>
    </cfRule>
    <cfRule type="beginsWith" dxfId="118" priority="26" stopIfTrue="1" operator="beginsWith" text="PMC">
      <formula>LEFT(B7,3)="PMC"</formula>
    </cfRule>
    <cfRule type="containsText" dxfId="117" priority="27" stopIfTrue="1" operator="containsText" text="FMC">
      <formula>NOT(ISERROR(SEARCH("FMC",B7)))</formula>
    </cfRule>
  </conditionalFormatting>
  <conditionalFormatting sqref="C7:C8 C10:C11 C13:C14 C16:C17 C19:C20 C22:C23 C25:C26 C28:C29 C32:C33 C35:C36 C38:C39 C41:C42 C44:C45 C47:C48 C50:C51 C53:C54 C57:C58 C60:C61 C63:C64 C66:C67 C69:C70 C72:C73 C75:C76 C78:C79">
    <cfRule type="cellIs" dxfId="116" priority="20" operator="equal">
      <formula>"N"</formula>
    </cfRule>
    <cfRule type="cellIs" dxfId="115" priority="21" operator="equal">
      <formula>"Y"</formula>
    </cfRule>
    <cfRule type="cellIs" dxfId="114" priority="22" operator="equal">
      <formula>"N"</formula>
    </cfRule>
    <cfRule type="cellIs" dxfId="113" priority="23" operator="equal">
      <formula>"Y"</formula>
    </cfRule>
  </conditionalFormatting>
  <conditionalFormatting sqref="A94:A96 B96:E96">
    <cfRule type="cellIs" dxfId="112" priority="19" operator="equal">
      <formula>0</formula>
    </cfRule>
  </conditionalFormatting>
  <conditionalFormatting sqref="F57:F80 F7:F30 F32:F55">
    <cfRule type="cellIs" dxfId="111" priority="18" operator="notEqual">
      <formula>"KFCS"</formula>
    </cfRule>
  </conditionalFormatting>
  <conditionalFormatting sqref="F87:F93 F96">
    <cfRule type="beginsWith" dxfId="110" priority="16" operator="beginsWith" text="PM">
      <formula>LEFT(F87,2)="PM"</formula>
    </cfRule>
    <cfRule type="beginsWith" dxfId="109" priority="17" operator="beginsWith" text="NM">
      <formula>LEFT(F87,2)="NM"</formula>
    </cfRule>
  </conditionalFormatting>
  <conditionalFormatting sqref="H57:H80 H32:H55 H7:H30">
    <cfRule type="cellIs" dxfId="108" priority="15" operator="lessThanOrEqual">
      <formula>5</formula>
    </cfRule>
  </conditionalFormatting>
  <conditionalFormatting sqref="I57:J80 I32:J55 I7:J30">
    <cfRule type="cellIs" dxfId="107" priority="14" operator="lessThanOrEqual">
      <formula>10</formula>
    </cfRule>
  </conditionalFormatting>
  <conditionalFormatting sqref="L57:L80 L32:L55 L7:L30">
    <cfRule type="cellIs" dxfId="106" priority="12" operator="lessThanOrEqual">
      <formula>25</formula>
    </cfRule>
  </conditionalFormatting>
  <conditionalFormatting sqref="C93">
    <cfRule type="cellIs" dxfId="105" priority="11" operator="lessThanOrEqual">
      <formula>0.98</formula>
    </cfRule>
  </conditionalFormatting>
  <conditionalFormatting sqref="I91 L91">
    <cfRule type="cellIs" dxfId="104" priority="10" operator="greaterThanOrEqual">
      <formula>0.05</formula>
    </cfRule>
  </conditionalFormatting>
  <conditionalFormatting sqref="K84:L84">
    <cfRule type="cellIs" dxfId="103" priority="9" operator="greaterThanOrEqual">
      <formula>0.1</formula>
    </cfRule>
  </conditionalFormatting>
  <conditionalFormatting sqref="H84 AA7:AA9 AA32:AA34 AA57:AA59">
    <cfRule type="cellIs" dxfId="102" priority="8" operator="lessThan">
      <formula>0.75</formula>
    </cfRule>
  </conditionalFormatting>
  <conditionalFormatting sqref="Z75:AA77 Z50:AA52 Z25:AA27">
    <cfRule type="cellIs" dxfId="101" priority="7" operator="lessThan">
      <formula>0.5</formula>
    </cfRule>
  </conditionalFormatting>
  <conditionalFormatting sqref="AA41:AA46 AA66:AA71 AA16:AA21">
    <cfRule type="cellIs" dxfId="100" priority="5" operator="greaterThan">
      <formula>0.1</formula>
    </cfRule>
  </conditionalFormatting>
  <conditionalFormatting sqref="AA10:AA15">
    <cfRule type="expression" dxfId="99" priority="4">
      <formula>IF($AA$10+$AA$13&gt;0.05,TRUE, FALSE)</formula>
    </cfRule>
  </conditionalFormatting>
  <conditionalFormatting sqref="AA35:AA40">
    <cfRule type="expression" dxfId="98" priority="3">
      <formula>IF($AA$35+$AA$38&gt;0.05,TRUE,FALSE)</formula>
    </cfRule>
  </conditionalFormatting>
  <conditionalFormatting sqref="AA60:AA65">
    <cfRule type="expression" dxfId="97" priority="2">
      <formula>IF($AA$60+$AA$63&gt;0.05, TRUE, FALSE)</formula>
    </cfRule>
  </conditionalFormatting>
  <conditionalFormatting sqref="M98:M106 T98:T106">
    <cfRule type="cellIs" dxfId="96" priority="1" operator="equal">
      <formula>"Blank"</formula>
    </cfRule>
  </conditionalFormatting>
  <dataValidations count="2">
    <dataValidation type="list" showInputMessage="1" showErrorMessage="1" sqref="B7:B8 F87:F93 B78:B79 B10:B11 B13:B14 B16:B17 B19:B20 B22:B23 B25:B26 B28:B29 B32:B33 B35:B36 B38:B39 B41:B42 B44:B45 B47:B48 B50:B51 B53:B54 B57:B58 B60:B61 B63:B64 B66:B67 B69:B70 B72:B73 B75:B76">
      <formula1>$AN$1:$AN$7</formula1>
    </dataValidation>
    <dataValidation type="list" showInputMessage="1" showErrorMessage="1" sqref="C7:C8 C78:C79 C10:C11 C13:C14 C16:C17 C19:C20 C22:C23 C25:C26 C28:C29 C32:C33 C35:C36 C38:C39 C41:C42 C44:C45 C47:C48 C50:C51 C53:C54 C57:C58 C60:C61 C63:C64 C66:C67 C69:C70 C72:C73 C75:C76">
      <formula1>$AO$1:$AO$3</formula1>
    </dataValidation>
  </dataValidations>
  <pageMargins left="0" right="0" top="0" bottom="0" header="0" footer="0"/>
  <pageSetup scale="18" orientation="landscape" r:id="rId1"/>
  <ignoredErrors>
    <ignoredError sqref="E87:E90" numberStoredAsText="1"/>
  </ignoredErrors>
  <drawing r:id="rId2"/>
  <legacyDrawing r:id="rId3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2">
    <pageSetUpPr fitToPage="1"/>
  </sheetPr>
  <dimension ref="A1:AN111"/>
  <sheetViews>
    <sheetView zoomScale="40" zoomScaleNormal="40" workbookViewId="0">
      <selection sqref="A1:Q110"/>
    </sheetView>
  </sheetViews>
  <sheetFormatPr defaultRowHeight="14.25"/>
  <cols>
    <col min="1" max="1" width="48.7109375" style="170" bestFit="1" customWidth="1"/>
    <col min="2" max="2" width="28.42578125" style="170" bestFit="1" customWidth="1"/>
    <col min="3" max="3" width="31.7109375" style="170" bestFit="1" customWidth="1"/>
    <col min="4" max="4" width="8.28515625" style="170" customWidth="1"/>
    <col min="5" max="5" width="21.28515625" style="170" bestFit="1" customWidth="1"/>
    <col min="6" max="6" width="10.28515625" style="170" bestFit="1" customWidth="1"/>
    <col min="7" max="7" width="20.7109375" style="170" bestFit="1" customWidth="1"/>
    <col min="8" max="9" width="24.42578125" style="170" bestFit="1" customWidth="1"/>
    <col min="10" max="11" width="27.28515625" style="170" bestFit="1" customWidth="1"/>
    <col min="12" max="12" width="36.85546875" style="170" customWidth="1"/>
    <col min="13" max="13" width="36.7109375" style="170" customWidth="1"/>
    <col min="14" max="15" width="26" style="170" customWidth="1"/>
    <col min="16" max="16" width="19.42578125" style="170" bestFit="1" customWidth="1"/>
    <col min="17" max="17" width="25.42578125" style="170" bestFit="1" customWidth="1"/>
    <col min="18" max="37" width="9.140625" style="170"/>
    <col min="38" max="38" width="11.5703125" style="170" bestFit="1" customWidth="1"/>
    <col min="39" max="39" width="20.7109375" style="170" bestFit="1" customWidth="1"/>
    <col min="40" max="40" width="11.5703125" style="170" bestFit="1" customWidth="1"/>
    <col min="41" max="16384" width="9.140625" style="170"/>
  </cols>
  <sheetData>
    <row r="1" spans="1:40" ht="44.25">
      <c r="A1" s="738" t="s">
        <v>132</v>
      </c>
      <c r="B1" s="739"/>
      <c r="C1" s="739"/>
      <c r="D1" s="739"/>
      <c r="E1" s="739"/>
      <c r="F1" s="739"/>
      <c r="G1" s="739"/>
      <c r="H1" s="739"/>
      <c r="I1" s="739"/>
      <c r="J1" s="739"/>
      <c r="K1" s="739"/>
      <c r="L1" s="739"/>
      <c r="M1" s="739"/>
      <c r="N1" s="739"/>
      <c r="O1" s="739"/>
      <c r="P1" s="739"/>
      <c r="Q1" s="739"/>
      <c r="R1" s="217"/>
      <c r="S1" s="217"/>
      <c r="T1" s="217"/>
      <c r="U1" s="217"/>
      <c r="V1" s="217"/>
      <c r="W1" s="217"/>
      <c r="X1" s="217"/>
      <c r="Y1" s="217"/>
      <c r="AL1" s="231" t="s">
        <v>66</v>
      </c>
      <c r="AM1" s="231" t="s">
        <v>66</v>
      </c>
      <c r="AN1" s="231" t="s">
        <v>66</v>
      </c>
    </row>
    <row r="2" spans="1:40" ht="34.5">
      <c r="A2" s="201"/>
      <c r="B2" s="202"/>
      <c r="C2" s="202"/>
      <c r="D2" s="202"/>
      <c r="E2" s="202"/>
      <c r="F2" s="202"/>
      <c r="G2" s="202"/>
      <c r="H2" s="641"/>
      <c r="I2" s="641"/>
      <c r="J2" s="642"/>
      <c r="K2" s="642"/>
      <c r="L2" s="642"/>
      <c r="M2" s="215"/>
      <c r="N2" s="215"/>
      <c r="O2" s="215"/>
      <c r="P2" s="215"/>
      <c r="Q2" s="215"/>
      <c r="R2" s="218"/>
      <c r="S2" s="218"/>
      <c r="T2" s="218"/>
      <c r="U2" s="218"/>
      <c r="V2" s="219"/>
      <c r="W2" s="220"/>
      <c r="X2" s="221"/>
      <c r="Y2" s="222"/>
      <c r="AL2" s="231" t="s">
        <v>16</v>
      </c>
      <c r="AM2" s="231" t="s">
        <v>16</v>
      </c>
      <c r="AN2" s="231" t="s">
        <v>17</v>
      </c>
    </row>
    <row r="3" spans="1:40" ht="26.25" thickBot="1">
      <c r="B3" s="228" t="s">
        <v>0</v>
      </c>
      <c r="C3" s="213">
        <f ca="1">NOW()</f>
        <v>42114.740380439798</v>
      </c>
      <c r="D3" s="740" t="s">
        <v>1</v>
      </c>
      <c r="E3" s="740"/>
      <c r="F3" s="214">
        <f ca="1">INT(((NOW()/365.255)-(YEAR(NOW())-1900))*365.255)</f>
        <v>110</v>
      </c>
      <c r="G3" s="205"/>
      <c r="H3" s="205"/>
      <c r="I3" s="205"/>
      <c r="J3" s="206"/>
      <c r="K3" s="206"/>
      <c r="L3" s="206"/>
      <c r="M3" s="206"/>
      <c r="N3" s="169"/>
      <c r="O3" s="207"/>
      <c r="P3" s="207"/>
      <c r="Q3" s="208"/>
      <c r="R3" s="223"/>
      <c r="S3" s="224"/>
      <c r="T3" s="225"/>
      <c r="U3" s="220"/>
      <c r="V3" s="220"/>
      <c r="W3" s="216"/>
      <c r="X3" s="222"/>
      <c r="Y3" s="226"/>
      <c r="AL3" s="231" t="s">
        <v>135</v>
      </c>
      <c r="AM3" s="231" t="s">
        <v>134</v>
      </c>
      <c r="AN3" s="231" t="s">
        <v>25</v>
      </c>
    </row>
    <row r="4" spans="1:40" ht="26.25" thickTop="1">
      <c r="A4" s="174" t="s">
        <v>102</v>
      </c>
      <c r="B4" s="227" t="s">
        <v>103</v>
      </c>
      <c r="C4" s="693" t="s">
        <v>3</v>
      </c>
      <c r="D4" s="693" t="s">
        <v>4</v>
      </c>
      <c r="E4" s="693" t="s">
        <v>7</v>
      </c>
      <c r="F4" s="693" t="s">
        <v>12</v>
      </c>
      <c r="G4" s="693" t="s">
        <v>6</v>
      </c>
      <c r="H4" s="705" t="s">
        <v>127</v>
      </c>
      <c r="I4" s="706"/>
      <c r="J4" s="706"/>
      <c r="K4" s="709"/>
      <c r="L4" s="705" t="s">
        <v>8</v>
      </c>
      <c r="M4" s="706"/>
      <c r="N4" s="706" t="s">
        <v>9</v>
      </c>
      <c r="O4" s="709"/>
      <c r="P4" s="175" t="s">
        <v>106</v>
      </c>
      <c r="Q4" s="178" t="s">
        <v>126</v>
      </c>
      <c r="AL4" s="231" t="s">
        <v>136</v>
      </c>
      <c r="AM4" s="231" t="s">
        <v>22</v>
      </c>
      <c r="AN4" s="231"/>
    </row>
    <row r="5" spans="1:40" ht="26.25" thickBot="1">
      <c r="A5" s="176" t="s">
        <v>3</v>
      </c>
      <c r="B5" s="171" t="s">
        <v>104</v>
      </c>
      <c r="C5" s="694"/>
      <c r="D5" s="694"/>
      <c r="E5" s="694"/>
      <c r="F5" s="694"/>
      <c r="G5" s="694"/>
      <c r="H5" s="707"/>
      <c r="I5" s="708"/>
      <c r="J5" s="708"/>
      <c r="K5" s="710"/>
      <c r="L5" s="707"/>
      <c r="M5" s="708"/>
      <c r="N5" s="708"/>
      <c r="O5" s="710"/>
      <c r="P5" s="171" t="s">
        <v>3</v>
      </c>
      <c r="Q5" s="177" t="s">
        <v>14</v>
      </c>
      <c r="AM5" s="231" t="s">
        <v>23</v>
      </c>
      <c r="AN5" s="231"/>
    </row>
    <row r="6" spans="1:40" ht="36" thickTop="1" thickBot="1">
      <c r="A6" s="724" t="s">
        <v>128</v>
      </c>
      <c r="B6" s="725"/>
      <c r="C6" s="725"/>
      <c r="D6" s="725"/>
      <c r="E6" s="725"/>
      <c r="F6" s="725"/>
      <c r="G6" s="726"/>
      <c r="H6" s="171" t="s">
        <v>115</v>
      </c>
      <c r="I6" s="171" t="s">
        <v>116</v>
      </c>
      <c r="J6" s="171" t="s">
        <v>117</v>
      </c>
      <c r="K6" s="171" t="s">
        <v>118</v>
      </c>
      <c r="L6" s="727"/>
      <c r="M6" s="728"/>
      <c r="N6" s="728"/>
      <c r="O6" s="728"/>
      <c r="P6" s="728"/>
      <c r="Q6" s="729"/>
      <c r="AM6" s="231" t="s">
        <v>24</v>
      </c>
      <c r="AN6" s="231"/>
    </row>
    <row r="7" spans="1:40" ht="26.25" thickTop="1">
      <c r="A7" s="734">
        <v>123</v>
      </c>
      <c r="B7" s="195" t="s">
        <v>105</v>
      </c>
      <c r="C7" s="697"/>
      <c r="D7" s="697"/>
      <c r="E7" s="697"/>
      <c r="F7" s="697"/>
      <c r="G7" s="697"/>
      <c r="H7" s="697"/>
      <c r="I7" s="697"/>
      <c r="J7" s="697"/>
      <c r="K7" s="697"/>
      <c r="L7" s="699"/>
      <c r="M7" s="699"/>
      <c r="N7" s="699"/>
      <c r="O7" s="699"/>
      <c r="P7" s="179" t="s">
        <v>107</v>
      </c>
      <c r="Q7" s="180"/>
      <c r="AM7" s="231" t="s">
        <v>65</v>
      </c>
      <c r="AN7" s="231"/>
    </row>
    <row r="8" spans="1:40" ht="25.5">
      <c r="A8" s="735"/>
      <c r="B8" s="275">
        <v>1</v>
      </c>
      <c r="C8" s="695"/>
      <c r="D8" s="695"/>
      <c r="E8" s="695"/>
      <c r="F8" s="695"/>
      <c r="G8" s="695"/>
      <c r="H8" s="695"/>
      <c r="I8" s="695"/>
      <c r="J8" s="695"/>
      <c r="K8" s="695"/>
      <c r="L8" s="700"/>
      <c r="M8" s="700"/>
      <c r="N8" s="700"/>
      <c r="O8" s="700"/>
      <c r="P8" s="181"/>
      <c r="Q8" s="182"/>
    </row>
    <row r="9" spans="1:40" ht="25.5">
      <c r="A9" s="735"/>
      <c r="B9" s="196" t="s">
        <v>105</v>
      </c>
      <c r="C9" s="695"/>
      <c r="D9" s="695"/>
      <c r="E9" s="695"/>
      <c r="F9" s="695"/>
      <c r="G9" s="695"/>
      <c r="H9" s="695"/>
      <c r="I9" s="695"/>
      <c r="J9" s="695"/>
      <c r="K9" s="695"/>
      <c r="L9" s="701"/>
      <c r="M9" s="701"/>
      <c r="N9" s="701"/>
      <c r="O9" s="701"/>
      <c r="P9" s="181" t="s">
        <v>107</v>
      </c>
      <c r="Q9" s="183"/>
    </row>
    <row r="10" spans="1:40" ht="25.5">
      <c r="A10" s="735"/>
      <c r="B10" s="275">
        <v>2</v>
      </c>
      <c r="C10" s="695"/>
      <c r="D10" s="695"/>
      <c r="E10" s="695"/>
      <c r="F10" s="695"/>
      <c r="G10" s="695"/>
      <c r="H10" s="695"/>
      <c r="I10" s="695"/>
      <c r="J10" s="695"/>
      <c r="K10" s="695"/>
      <c r="L10" s="700"/>
      <c r="M10" s="700"/>
      <c r="N10" s="700"/>
      <c r="O10" s="700"/>
      <c r="P10" s="181"/>
      <c r="Q10" s="182"/>
    </row>
    <row r="11" spans="1:40" ht="25.5">
      <c r="A11" s="735"/>
      <c r="B11" s="196" t="s">
        <v>105</v>
      </c>
      <c r="C11" s="695"/>
      <c r="D11" s="695"/>
      <c r="E11" s="695"/>
      <c r="F11" s="695"/>
      <c r="G11" s="695"/>
      <c r="H11" s="695"/>
      <c r="I11" s="695"/>
      <c r="J11" s="695"/>
      <c r="K11" s="695"/>
      <c r="L11" s="711"/>
      <c r="M11" s="701"/>
      <c r="N11" s="701"/>
      <c r="O11" s="701"/>
      <c r="P11" s="181" t="s">
        <v>108</v>
      </c>
      <c r="Q11" s="183"/>
    </row>
    <row r="12" spans="1:40" ht="25.5">
      <c r="A12" s="735"/>
      <c r="B12" s="275">
        <v>3</v>
      </c>
      <c r="C12" s="695"/>
      <c r="D12" s="695"/>
      <c r="E12" s="695"/>
      <c r="F12" s="695"/>
      <c r="G12" s="695"/>
      <c r="H12" s="695"/>
      <c r="I12" s="695"/>
      <c r="J12" s="695"/>
      <c r="K12" s="695"/>
      <c r="L12" s="712"/>
      <c r="M12" s="700"/>
      <c r="N12" s="700"/>
      <c r="O12" s="700"/>
      <c r="P12" s="181"/>
      <c r="Q12" s="182"/>
    </row>
    <row r="13" spans="1:40" ht="25.5">
      <c r="A13" s="735"/>
      <c r="B13" s="196" t="s">
        <v>105</v>
      </c>
      <c r="C13" s="695"/>
      <c r="D13" s="695"/>
      <c r="E13" s="695"/>
      <c r="F13" s="695"/>
      <c r="G13" s="695"/>
      <c r="H13" s="695"/>
      <c r="I13" s="695"/>
      <c r="J13" s="695"/>
      <c r="K13" s="695"/>
      <c r="L13" s="698"/>
      <c r="M13" s="698"/>
      <c r="N13" s="698"/>
      <c r="O13" s="698"/>
      <c r="P13" s="184" t="s">
        <v>107</v>
      </c>
      <c r="Q13" s="185"/>
    </row>
    <row r="14" spans="1:40" ht="26.25" thickBot="1">
      <c r="A14" s="735"/>
      <c r="B14" s="276">
        <v>4</v>
      </c>
      <c r="C14" s="696"/>
      <c r="D14" s="696"/>
      <c r="E14" s="696"/>
      <c r="F14" s="696"/>
      <c r="G14" s="696"/>
      <c r="H14" s="696"/>
      <c r="I14" s="696"/>
      <c r="J14" s="696"/>
      <c r="K14" s="696"/>
      <c r="L14" s="698"/>
      <c r="M14" s="698"/>
      <c r="N14" s="698"/>
      <c r="O14" s="698"/>
      <c r="P14" s="186"/>
      <c r="Q14" s="187"/>
    </row>
    <row r="15" spans="1:40" ht="27" thickBot="1">
      <c r="A15" s="735"/>
      <c r="B15" s="198"/>
      <c r="C15" s="199"/>
      <c r="D15" s="199"/>
      <c r="E15" s="199"/>
      <c r="F15" s="199"/>
      <c r="G15" s="235" t="s">
        <v>133</v>
      </c>
      <c r="H15" s="234" t="s">
        <v>121</v>
      </c>
      <c r="I15" s="172" t="s">
        <v>122</v>
      </c>
      <c r="J15" s="172" t="s">
        <v>123</v>
      </c>
      <c r="K15" s="173" t="s">
        <v>124</v>
      </c>
      <c r="L15" s="702"/>
      <c r="M15" s="703"/>
      <c r="N15" s="703"/>
      <c r="O15" s="703"/>
      <c r="P15" s="703"/>
      <c r="Q15" s="704"/>
    </row>
    <row r="16" spans="1:40" ht="25.5">
      <c r="A16" s="735"/>
      <c r="B16" s="197" t="s">
        <v>112</v>
      </c>
      <c r="C16" s="690"/>
      <c r="D16" s="690"/>
      <c r="E16" s="690"/>
      <c r="F16" s="690"/>
      <c r="G16" s="690"/>
      <c r="H16" s="690"/>
      <c r="I16" s="690"/>
      <c r="J16" s="690"/>
      <c r="K16" s="690"/>
      <c r="L16" s="698"/>
      <c r="M16" s="698"/>
      <c r="N16" s="698"/>
      <c r="O16" s="698"/>
      <c r="P16" s="698"/>
      <c r="Q16" s="188"/>
    </row>
    <row r="17" spans="1:17" ht="25.5">
      <c r="A17" s="735"/>
      <c r="B17" s="275">
        <v>1</v>
      </c>
      <c r="C17" s="691"/>
      <c r="D17" s="691"/>
      <c r="E17" s="691"/>
      <c r="F17" s="691"/>
      <c r="G17" s="691"/>
      <c r="H17" s="691"/>
      <c r="I17" s="691"/>
      <c r="J17" s="691"/>
      <c r="K17" s="691"/>
      <c r="L17" s="698"/>
      <c r="M17" s="698"/>
      <c r="N17" s="698"/>
      <c r="O17" s="698"/>
      <c r="P17" s="698"/>
      <c r="Q17" s="189"/>
    </row>
    <row r="18" spans="1:17" ht="25.5">
      <c r="A18" s="735"/>
      <c r="B18" s="196" t="s">
        <v>112</v>
      </c>
      <c r="C18" s="688"/>
      <c r="D18" s="688"/>
      <c r="E18" s="688"/>
      <c r="F18" s="688"/>
      <c r="G18" s="688"/>
      <c r="H18" s="688"/>
      <c r="I18" s="688"/>
      <c r="J18" s="688"/>
      <c r="K18" s="688"/>
      <c r="L18" s="698"/>
      <c r="M18" s="698"/>
      <c r="N18" s="698"/>
      <c r="O18" s="698"/>
      <c r="P18" s="698"/>
      <c r="Q18" s="190"/>
    </row>
    <row r="19" spans="1:17" ht="26.25" thickBot="1">
      <c r="A19" s="735"/>
      <c r="B19" s="276">
        <v>2</v>
      </c>
      <c r="C19" s="692"/>
      <c r="D19" s="692"/>
      <c r="E19" s="692"/>
      <c r="F19" s="692"/>
      <c r="G19" s="692"/>
      <c r="H19" s="692"/>
      <c r="I19" s="692"/>
      <c r="J19" s="692"/>
      <c r="K19" s="692"/>
      <c r="L19" s="698"/>
      <c r="M19" s="698"/>
      <c r="N19" s="698"/>
      <c r="O19" s="698"/>
      <c r="P19" s="698"/>
      <c r="Q19" s="191"/>
    </row>
    <row r="20" spans="1:17" ht="24" thickBot="1">
      <c r="A20" s="735"/>
      <c r="B20" s="232"/>
      <c r="C20" s="233"/>
      <c r="D20" s="233"/>
      <c r="E20" s="233"/>
      <c r="F20" s="233"/>
      <c r="G20" s="241"/>
      <c r="H20" s="234" t="s">
        <v>119</v>
      </c>
      <c r="I20" s="172" t="s">
        <v>120</v>
      </c>
      <c r="J20" s="713" t="s">
        <v>125</v>
      </c>
      <c r="K20" s="714"/>
      <c r="L20" s="702"/>
      <c r="M20" s="703"/>
      <c r="N20" s="703"/>
      <c r="O20" s="703"/>
      <c r="P20" s="703"/>
      <c r="Q20" s="704"/>
    </row>
    <row r="21" spans="1:17" ht="25.5">
      <c r="A21" s="735"/>
      <c r="B21" s="197" t="s">
        <v>113</v>
      </c>
      <c r="C21" s="690"/>
      <c r="D21" s="690"/>
      <c r="E21" s="690"/>
      <c r="F21" s="690"/>
      <c r="G21" s="236"/>
      <c r="H21" s="690"/>
      <c r="I21" s="690"/>
      <c r="J21" s="579"/>
      <c r="K21" s="715"/>
      <c r="L21" s="698"/>
      <c r="M21" s="698"/>
      <c r="N21" s="722"/>
      <c r="O21" s="722"/>
      <c r="P21" s="722"/>
      <c r="Q21" s="188"/>
    </row>
    <row r="22" spans="1:17" ht="26.25" thickBot="1">
      <c r="A22" s="735"/>
      <c r="B22" s="276">
        <v>1</v>
      </c>
      <c r="C22" s="692"/>
      <c r="D22" s="692"/>
      <c r="E22" s="692"/>
      <c r="F22" s="692"/>
      <c r="G22" s="237"/>
      <c r="H22" s="692"/>
      <c r="I22" s="692"/>
      <c r="J22" s="720"/>
      <c r="K22" s="721"/>
      <c r="L22" s="698"/>
      <c r="M22" s="698"/>
      <c r="N22" s="723"/>
      <c r="O22" s="723"/>
      <c r="P22" s="723"/>
      <c r="Q22" s="191"/>
    </row>
    <row r="23" spans="1:17" ht="24" thickBot="1">
      <c r="A23" s="735"/>
      <c r="B23" s="232"/>
      <c r="C23" s="233"/>
      <c r="D23" s="233"/>
      <c r="E23" s="233"/>
      <c r="F23" s="233"/>
      <c r="G23" s="241"/>
      <c r="H23" s="234" t="s">
        <v>119</v>
      </c>
      <c r="I23" s="172" t="s">
        <v>120</v>
      </c>
      <c r="J23" s="713" t="s">
        <v>125</v>
      </c>
      <c r="K23" s="714"/>
      <c r="L23" s="702"/>
      <c r="M23" s="703"/>
      <c r="N23" s="703"/>
      <c r="O23" s="703"/>
      <c r="P23" s="703"/>
      <c r="Q23" s="704"/>
    </row>
    <row r="24" spans="1:17" ht="25.5">
      <c r="A24" s="736" t="s">
        <v>66</v>
      </c>
      <c r="B24" s="197" t="s">
        <v>114</v>
      </c>
      <c r="C24" s="690"/>
      <c r="D24" s="690"/>
      <c r="E24" s="690"/>
      <c r="F24" s="690"/>
      <c r="G24" s="236"/>
      <c r="H24" s="690"/>
      <c r="I24" s="690"/>
      <c r="J24" s="579"/>
      <c r="K24" s="715"/>
      <c r="L24" s="698"/>
      <c r="M24" s="698"/>
      <c r="N24" s="722"/>
      <c r="O24" s="722"/>
      <c r="P24" s="722"/>
      <c r="Q24" s="188"/>
    </row>
    <row r="25" spans="1:17" ht="26.25" thickBot="1">
      <c r="A25" s="736"/>
      <c r="B25" s="276">
        <v>1</v>
      </c>
      <c r="C25" s="692"/>
      <c r="D25" s="692"/>
      <c r="E25" s="692"/>
      <c r="F25" s="692"/>
      <c r="G25" s="237"/>
      <c r="H25" s="692"/>
      <c r="I25" s="692"/>
      <c r="J25" s="720"/>
      <c r="K25" s="721"/>
      <c r="L25" s="698"/>
      <c r="M25" s="698"/>
      <c r="N25" s="723"/>
      <c r="O25" s="723"/>
      <c r="P25" s="723"/>
      <c r="Q25" s="191"/>
    </row>
    <row r="26" spans="1:17" ht="24" thickBot="1">
      <c r="A26" s="736"/>
      <c r="B26" s="232"/>
      <c r="C26" s="233"/>
      <c r="D26" s="233"/>
      <c r="E26" s="233"/>
      <c r="F26" s="233"/>
      <c r="G26" s="241"/>
      <c r="H26" s="234" t="s">
        <v>119</v>
      </c>
      <c r="I26" s="172" t="s">
        <v>120</v>
      </c>
      <c r="J26" s="713" t="s">
        <v>125</v>
      </c>
      <c r="K26" s="714"/>
      <c r="L26" s="702"/>
      <c r="M26" s="703"/>
      <c r="N26" s="703"/>
      <c r="O26" s="703"/>
      <c r="P26" s="703"/>
      <c r="Q26" s="704"/>
    </row>
    <row r="27" spans="1:17" ht="25.5">
      <c r="A27" s="736"/>
      <c r="B27" s="197" t="s">
        <v>109</v>
      </c>
      <c r="C27" s="690"/>
      <c r="D27" s="690"/>
      <c r="E27" s="690"/>
      <c r="F27" s="690"/>
      <c r="G27" s="236"/>
      <c r="H27" s="690"/>
      <c r="I27" s="690"/>
      <c r="J27" s="579"/>
      <c r="K27" s="715"/>
      <c r="L27" s="192"/>
      <c r="M27" s="192"/>
      <c r="N27" s="722"/>
      <c r="O27" s="722"/>
      <c r="P27" s="722"/>
      <c r="Q27" s="188"/>
    </row>
    <row r="28" spans="1:17" ht="25.5">
      <c r="A28" s="736"/>
      <c r="B28" s="275">
        <v>1</v>
      </c>
      <c r="C28" s="691"/>
      <c r="D28" s="691"/>
      <c r="E28" s="691"/>
      <c r="F28" s="691"/>
      <c r="G28" s="238"/>
      <c r="H28" s="691"/>
      <c r="I28" s="691"/>
      <c r="J28" s="716"/>
      <c r="K28" s="717"/>
      <c r="L28" s="192"/>
      <c r="M28" s="192"/>
      <c r="N28" s="698"/>
      <c r="O28" s="698"/>
      <c r="P28" s="698"/>
      <c r="Q28" s="189"/>
    </row>
    <row r="29" spans="1:17" ht="25.5">
      <c r="A29" s="736"/>
      <c r="B29" s="196" t="s">
        <v>109</v>
      </c>
      <c r="C29" s="688"/>
      <c r="D29" s="688"/>
      <c r="E29" s="688"/>
      <c r="F29" s="688"/>
      <c r="G29" s="239"/>
      <c r="H29" s="688"/>
      <c r="I29" s="688"/>
      <c r="J29" s="718"/>
      <c r="K29" s="719"/>
      <c r="L29" s="192"/>
      <c r="M29" s="192"/>
      <c r="N29" s="698"/>
      <c r="O29" s="698"/>
      <c r="P29" s="698"/>
      <c r="Q29" s="190"/>
    </row>
    <row r="30" spans="1:17" ht="26.25" thickBot="1">
      <c r="A30" s="736"/>
      <c r="B30" s="276">
        <v>2</v>
      </c>
      <c r="C30" s="692"/>
      <c r="D30" s="692"/>
      <c r="E30" s="692"/>
      <c r="F30" s="692"/>
      <c r="G30" s="237"/>
      <c r="H30" s="692"/>
      <c r="I30" s="692"/>
      <c r="J30" s="720"/>
      <c r="K30" s="721"/>
      <c r="L30" s="192"/>
      <c r="M30" s="192"/>
      <c r="N30" s="723"/>
      <c r="O30" s="723"/>
      <c r="P30" s="723"/>
      <c r="Q30" s="191"/>
    </row>
    <row r="31" spans="1:17" ht="24" thickBot="1">
      <c r="A31" s="736"/>
      <c r="B31" s="232"/>
      <c r="C31" s="233"/>
      <c r="D31" s="233"/>
      <c r="E31" s="233"/>
      <c r="F31" s="233"/>
      <c r="G31" s="241"/>
      <c r="H31" s="234" t="s">
        <v>119</v>
      </c>
      <c r="I31" s="172" t="s">
        <v>120</v>
      </c>
      <c r="J31" s="713" t="s">
        <v>125</v>
      </c>
      <c r="K31" s="714"/>
      <c r="L31" s="702"/>
      <c r="M31" s="703"/>
      <c r="N31" s="703"/>
      <c r="O31" s="703"/>
      <c r="P31" s="703"/>
      <c r="Q31" s="704"/>
    </row>
    <row r="32" spans="1:17" ht="25.5">
      <c r="A32" s="736"/>
      <c r="B32" s="197" t="s">
        <v>110</v>
      </c>
      <c r="C32" s="690"/>
      <c r="D32" s="690"/>
      <c r="E32" s="690"/>
      <c r="F32" s="690"/>
      <c r="G32" s="236"/>
      <c r="H32" s="690"/>
      <c r="I32" s="690"/>
      <c r="J32" s="579"/>
      <c r="K32" s="715"/>
      <c r="L32" s="192"/>
      <c r="M32" s="192"/>
      <c r="N32" s="722"/>
      <c r="O32" s="722"/>
      <c r="P32" s="722"/>
      <c r="Q32" s="188"/>
    </row>
    <row r="33" spans="1:17" ht="25.5">
      <c r="A33" s="736"/>
      <c r="B33" s="275">
        <v>1</v>
      </c>
      <c r="C33" s="691"/>
      <c r="D33" s="691"/>
      <c r="E33" s="691"/>
      <c r="F33" s="691"/>
      <c r="G33" s="238"/>
      <c r="H33" s="691"/>
      <c r="I33" s="691"/>
      <c r="J33" s="716"/>
      <c r="K33" s="717"/>
      <c r="L33" s="192"/>
      <c r="M33" s="192"/>
      <c r="N33" s="698"/>
      <c r="O33" s="698"/>
      <c r="P33" s="698"/>
      <c r="Q33" s="189"/>
    </row>
    <row r="34" spans="1:17" ht="25.5">
      <c r="A34" s="736"/>
      <c r="B34" s="196" t="s">
        <v>110</v>
      </c>
      <c r="C34" s="688"/>
      <c r="D34" s="688"/>
      <c r="E34" s="688"/>
      <c r="F34" s="688"/>
      <c r="G34" s="239"/>
      <c r="H34" s="688"/>
      <c r="I34" s="688"/>
      <c r="J34" s="718"/>
      <c r="K34" s="719"/>
      <c r="L34" s="192"/>
      <c r="M34" s="192"/>
      <c r="N34" s="698"/>
      <c r="O34" s="698"/>
      <c r="P34" s="698"/>
      <c r="Q34" s="190"/>
    </row>
    <row r="35" spans="1:17" ht="26.25" thickBot="1">
      <c r="A35" s="736"/>
      <c r="B35" s="276">
        <v>2</v>
      </c>
      <c r="C35" s="692"/>
      <c r="D35" s="692"/>
      <c r="E35" s="692"/>
      <c r="F35" s="692"/>
      <c r="G35" s="237"/>
      <c r="H35" s="692"/>
      <c r="I35" s="692"/>
      <c r="J35" s="720"/>
      <c r="K35" s="721"/>
      <c r="L35" s="192"/>
      <c r="M35" s="192"/>
      <c r="N35" s="723"/>
      <c r="O35" s="723"/>
      <c r="P35" s="723"/>
      <c r="Q35" s="191"/>
    </row>
    <row r="36" spans="1:17" ht="24" thickBot="1">
      <c r="A36" s="736"/>
      <c r="B36" s="232"/>
      <c r="C36" s="233"/>
      <c r="D36" s="233"/>
      <c r="E36" s="233"/>
      <c r="F36" s="233"/>
      <c r="G36" s="241"/>
      <c r="H36" s="234" t="s">
        <v>119</v>
      </c>
      <c r="I36" s="172" t="s">
        <v>120</v>
      </c>
      <c r="J36" s="713" t="s">
        <v>125</v>
      </c>
      <c r="K36" s="714"/>
      <c r="L36" s="702"/>
      <c r="M36" s="703"/>
      <c r="N36" s="703"/>
      <c r="O36" s="703"/>
      <c r="P36" s="703"/>
      <c r="Q36" s="704"/>
    </row>
    <row r="37" spans="1:17" ht="25.5">
      <c r="A37" s="736"/>
      <c r="B37" s="197" t="s">
        <v>111</v>
      </c>
      <c r="C37" s="690"/>
      <c r="D37" s="690"/>
      <c r="E37" s="690"/>
      <c r="F37" s="690"/>
      <c r="G37" s="236"/>
      <c r="H37" s="690"/>
      <c r="I37" s="690"/>
      <c r="J37" s="579"/>
      <c r="K37" s="715"/>
      <c r="L37" s="192"/>
      <c r="M37" s="192"/>
      <c r="N37" s="722"/>
      <c r="O37" s="722"/>
      <c r="P37" s="722"/>
      <c r="Q37" s="188"/>
    </row>
    <row r="38" spans="1:17" ht="25.5">
      <c r="A38" s="736"/>
      <c r="B38" s="275">
        <v>1</v>
      </c>
      <c r="C38" s="691"/>
      <c r="D38" s="691"/>
      <c r="E38" s="691"/>
      <c r="F38" s="691"/>
      <c r="G38" s="238"/>
      <c r="H38" s="691"/>
      <c r="I38" s="691"/>
      <c r="J38" s="716"/>
      <c r="K38" s="717"/>
      <c r="L38" s="192"/>
      <c r="M38" s="192"/>
      <c r="N38" s="698"/>
      <c r="O38" s="698"/>
      <c r="P38" s="698"/>
      <c r="Q38" s="189"/>
    </row>
    <row r="39" spans="1:17" ht="25.5">
      <c r="A39" s="736"/>
      <c r="B39" s="196" t="s">
        <v>111</v>
      </c>
      <c r="C39" s="688"/>
      <c r="D39" s="688"/>
      <c r="E39" s="688"/>
      <c r="F39" s="688"/>
      <c r="G39" s="239"/>
      <c r="H39" s="688"/>
      <c r="I39" s="688"/>
      <c r="J39" s="718"/>
      <c r="K39" s="719"/>
      <c r="L39" s="192"/>
      <c r="M39" s="192"/>
      <c r="N39" s="698"/>
      <c r="O39" s="698"/>
      <c r="P39" s="698"/>
      <c r="Q39" s="190"/>
    </row>
    <row r="40" spans="1:17" ht="26.25" thickBot="1">
      <c r="A40" s="737"/>
      <c r="B40" s="277">
        <v>2</v>
      </c>
      <c r="C40" s="689"/>
      <c r="D40" s="689"/>
      <c r="E40" s="689"/>
      <c r="F40" s="689"/>
      <c r="G40" s="240"/>
      <c r="H40" s="689"/>
      <c r="I40" s="689"/>
      <c r="J40" s="732"/>
      <c r="K40" s="733"/>
      <c r="L40" s="193"/>
      <c r="M40" s="193"/>
      <c r="N40" s="731"/>
      <c r="O40" s="731"/>
      <c r="P40" s="731"/>
      <c r="Q40" s="194"/>
    </row>
    <row r="41" spans="1:17" ht="36" thickTop="1" thickBot="1">
      <c r="A41" s="724" t="s">
        <v>130</v>
      </c>
      <c r="B41" s="725"/>
      <c r="C41" s="725"/>
      <c r="D41" s="725"/>
      <c r="E41" s="725"/>
      <c r="F41" s="725"/>
      <c r="G41" s="726"/>
      <c r="H41" s="171" t="s">
        <v>115</v>
      </c>
      <c r="I41" s="171" t="s">
        <v>116</v>
      </c>
      <c r="J41" s="171" t="s">
        <v>117</v>
      </c>
      <c r="K41" s="171" t="s">
        <v>118</v>
      </c>
      <c r="L41" s="727"/>
      <c r="M41" s="728"/>
      <c r="N41" s="728"/>
      <c r="O41" s="728"/>
      <c r="P41" s="728"/>
      <c r="Q41" s="729"/>
    </row>
    <row r="42" spans="1:17" ht="26.25" customHeight="1" thickTop="1">
      <c r="A42" s="734">
        <v>124</v>
      </c>
      <c r="B42" s="195" t="s">
        <v>105</v>
      </c>
      <c r="C42" s="730"/>
      <c r="D42" s="730"/>
      <c r="E42" s="730"/>
      <c r="F42" s="730"/>
      <c r="G42" s="730"/>
      <c r="H42" s="730"/>
      <c r="I42" s="730"/>
      <c r="J42" s="730"/>
      <c r="K42" s="730"/>
      <c r="L42" s="699"/>
      <c r="M42" s="699"/>
      <c r="N42" s="699"/>
      <c r="O42" s="699"/>
      <c r="P42" s="179" t="s">
        <v>107</v>
      </c>
      <c r="Q42" s="180"/>
    </row>
    <row r="43" spans="1:17" ht="25.5">
      <c r="A43" s="735"/>
      <c r="B43" s="275">
        <v>1</v>
      </c>
      <c r="C43" s="691"/>
      <c r="D43" s="691"/>
      <c r="E43" s="691"/>
      <c r="F43" s="691"/>
      <c r="G43" s="691"/>
      <c r="H43" s="691"/>
      <c r="I43" s="691"/>
      <c r="J43" s="691"/>
      <c r="K43" s="691"/>
      <c r="L43" s="700"/>
      <c r="M43" s="700"/>
      <c r="N43" s="700"/>
      <c r="O43" s="700"/>
      <c r="P43" s="181"/>
      <c r="Q43" s="182"/>
    </row>
    <row r="44" spans="1:17" ht="25.5">
      <c r="A44" s="735"/>
      <c r="B44" s="196" t="s">
        <v>105</v>
      </c>
      <c r="C44" s="688"/>
      <c r="D44" s="688"/>
      <c r="E44" s="688"/>
      <c r="F44" s="688"/>
      <c r="G44" s="688"/>
      <c r="H44" s="688"/>
      <c r="I44" s="688"/>
      <c r="J44" s="688"/>
      <c r="K44" s="688"/>
      <c r="L44" s="701"/>
      <c r="M44" s="701"/>
      <c r="N44" s="701"/>
      <c r="O44" s="701"/>
      <c r="P44" s="181" t="s">
        <v>107</v>
      </c>
      <c r="Q44" s="183"/>
    </row>
    <row r="45" spans="1:17" ht="25.5">
      <c r="A45" s="735"/>
      <c r="B45" s="275">
        <v>2</v>
      </c>
      <c r="C45" s="691"/>
      <c r="D45" s="691"/>
      <c r="E45" s="691"/>
      <c r="F45" s="691"/>
      <c r="G45" s="691"/>
      <c r="H45" s="691"/>
      <c r="I45" s="691"/>
      <c r="J45" s="691"/>
      <c r="K45" s="691"/>
      <c r="L45" s="700"/>
      <c r="M45" s="700"/>
      <c r="N45" s="700"/>
      <c r="O45" s="700"/>
      <c r="P45" s="181"/>
      <c r="Q45" s="182"/>
    </row>
    <row r="46" spans="1:17" ht="25.5">
      <c r="A46" s="735"/>
      <c r="B46" s="196" t="s">
        <v>105</v>
      </c>
      <c r="C46" s="688"/>
      <c r="D46" s="688"/>
      <c r="E46" s="688"/>
      <c r="F46" s="688"/>
      <c r="G46" s="688"/>
      <c r="H46" s="688"/>
      <c r="I46" s="688"/>
      <c r="J46" s="688"/>
      <c r="K46" s="688"/>
      <c r="L46" s="711"/>
      <c r="M46" s="701"/>
      <c r="N46" s="701"/>
      <c r="O46" s="701"/>
      <c r="P46" s="181" t="s">
        <v>108</v>
      </c>
      <c r="Q46" s="183"/>
    </row>
    <row r="47" spans="1:17" ht="25.5">
      <c r="A47" s="735"/>
      <c r="B47" s="275">
        <v>3</v>
      </c>
      <c r="C47" s="691"/>
      <c r="D47" s="691"/>
      <c r="E47" s="691"/>
      <c r="F47" s="691"/>
      <c r="G47" s="691"/>
      <c r="H47" s="691"/>
      <c r="I47" s="691"/>
      <c r="J47" s="691"/>
      <c r="K47" s="691"/>
      <c r="L47" s="712"/>
      <c r="M47" s="700"/>
      <c r="N47" s="700"/>
      <c r="O47" s="700"/>
      <c r="P47" s="181"/>
      <c r="Q47" s="182"/>
    </row>
    <row r="48" spans="1:17" ht="25.5">
      <c r="A48" s="735"/>
      <c r="B48" s="196" t="s">
        <v>105</v>
      </c>
      <c r="C48" s="688"/>
      <c r="D48" s="688"/>
      <c r="E48" s="688"/>
      <c r="F48" s="688"/>
      <c r="G48" s="688"/>
      <c r="H48" s="688"/>
      <c r="I48" s="688"/>
      <c r="J48" s="688"/>
      <c r="K48" s="688"/>
      <c r="L48" s="698"/>
      <c r="M48" s="698"/>
      <c r="N48" s="698"/>
      <c r="O48" s="698"/>
      <c r="P48" s="184" t="s">
        <v>107</v>
      </c>
      <c r="Q48" s="185"/>
    </row>
    <row r="49" spans="1:17" ht="26.25" thickBot="1">
      <c r="A49" s="735"/>
      <c r="B49" s="276">
        <v>4</v>
      </c>
      <c r="C49" s="692"/>
      <c r="D49" s="692"/>
      <c r="E49" s="692"/>
      <c r="F49" s="692"/>
      <c r="G49" s="692"/>
      <c r="H49" s="692"/>
      <c r="I49" s="692"/>
      <c r="J49" s="692"/>
      <c r="K49" s="692"/>
      <c r="L49" s="698"/>
      <c r="M49" s="698"/>
      <c r="N49" s="698"/>
      <c r="O49" s="698"/>
      <c r="P49" s="186"/>
      <c r="Q49" s="187"/>
    </row>
    <row r="50" spans="1:17" ht="27" thickBot="1">
      <c r="A50" s="735"/>
      <c r="B50" s="198"/>
      <c r="C50" s="199"/>
      <c r="D50" s="199"/>
      <c r="E50" s="199"/>
      <c r="F50" s="199"/>
      <c r="G50" s="235" t="s">
        <v>133</v>
      </c>
      <c r="H50" s="234" t="s">
        <v>121</v>
      </c>
      <c r="I50" s="172" t="s">
        <v>122</v>
      </c>
      <c r="J50" s="172" t="s">
        <v>123</v>
      </c>
      <c r="K50" s="173" t="s">
        <v>124</v>
      </c>
      <c r="L50" s="702"/>
      <c r="M50" s="703"/>
      <c r="N50" s="703"/>
      <c r="O50" s="703"/>
      <c r="P50" s="703"/>
      <c r="Q50" s="704"/>
    </row>
    <row r="51" spans="1:17" ht="25.5">
      <c r="A51" s="735"/>
      <c r="B51" s="197" t="s">
        <v>112</v>
      </c>
      <c r="C51" s="690"/>
      <c r="D51" s="690"/>
      <c r="E51" s="690"/>
      <c r="F51" s="690"/>
      <c r="G51" s="690"/>
      <c r="H51" s="690"/>
      <c r="I51" s="690"/>
      <c r="J51" s="690"/>
      <c r="K51" s="690"/>
      <c r="L51" s="698"/>
      <c r="M51" s="698"/>
      <c r="N51" s="698"/>
      <c r="O51" s="698"/>
      <c r="P51" s="698"/>
      <c r="Q51" s="188"/>
    </row>
    <row r="52" spans="1:17" ht="25.5">
      <c r="A52" s="735"/>
      <c r="B52" s="275">
        <v>1</v>
      </c>
      <c r="C52" s="691"/>
      <c r="D52" s="691"/>
      <c r="E52" s="691"/>
      <c r="F52" s="691"/>
      <c r="G52" s="691"/>
      <c r="H52" s="691"/>
      <c r="I52" s="691"/>
      <c r="J52" s="691"/>
      <c r="K52" s="691"/>
      <c r="L52" s="698"/>
      <c r="M52" s="698"/>
      <c r="N52" s="698"/>
      <c r="O52" s="698"/>
      <c r="P52" s="698"/>
      <c r="Q52" s="189"/>
    </row>
    <row r="53" spans="1:17" ht="25.5">
      <c r="A53" s="735"/>
      <c r="B53" s="196" t="s">
        <v>112</v>
      </c>
      <c r="C53" s="688"/>
      <c r="D53" s="688"/>
      <c r="E53" s="688"/>
      <c r="F53" s="688"/>
      <c r="G53" s="688"/>
      <c r="H53" s="688"/>
      <c r="I53" s="688"/>
      <c r="J53" s="688"/>
      <c r="K53" s="688"/>
      <c r="L53" s="698"/>
      <c r="M53" s="698"/>
      <c r="N53" s="698"/>
      <c r="O53" s="698"/>
      <c r="P53" s="698"/>
      <c r="Q53" s="190"/>
    </row>
    <row r="54" spans="1:17" ht="26.25" thickBot="1">
      <c r="A54" s="735"/>
      <c r="B54" s="276">
        <v>2</v>
      </c>
      <c r="C54" s="692"/>
      <c r="D54" s="692"/>
      <c r="E54" s="692"/>
      <c r="F54" s="692"/>
      <c r="G54" s="692"/>
      <c r="H54" s="692"/>
      <c r="I54" s="692"/>
      <c r="J54" s="692"/>
      <c r="K54" s="692"/>
      <c r="L54" s="698"/>
      <c r="M54" s="698"/>
      <c r="N54" s="698"/>
      <c r="O54" s="698"/>
      <c r="P54" s="698"/>
      <c r="Q54" s="191"/>
    </row>
    <row r="55" spans="1:17" ht="24" thickBot="1">
      <c r="A55" s="735"/>
      <c r="B55" s="232"/>
      <c r="C55" s="233"/>
      <c r="D55" s="233"/>
      <c r="E55" s="233"/>
      <c r="F55" s="233"/>
      <c r="G55" s="241"/>
      <c r="H55" s="234" t="s">
        <v>119</v>
      </c>
      <c r="I55" s="172" t="s">
        <v>120</v>
      </c>
      <c r="J55" s="713" t="s">
        <v>125</v>
      </c>
      <c r="K55" s="714"/>
      <c r="L55" s="702"/>
      <c r="M55" s="703"/>
      <c r="N55" s="703"/>
      <c r="O55" s="703"/>
      <c r="P55" s="703"/>
      <c r="Q55" s="704"/>
    </row>
    <row r="56" spans="1:17" ht="25.5">
      <c r="A56" s="735"/>
      <c r="B56" s="197" t="s">
        <v>113</v>
      </c>
      <c r="C56" s="690"/>
      <c r="D56" s="690"/>
      <c r="E56" s="690"/>
      <c r="F56" s="690"/>
      <c r="G56" s="236"/>
      <c r="H56" s="690"/>
      <c r="I56" s="690"/>
      <c r="J56" s="579"/>
      <c r="K56" s="715"/>
      <c r="L56" s="698"/>
      <c r="M56" s="698"/>
      <c r="N56" s="722"/>
      <c r="O56" s="722"/>
      <c r="P56" s="722"/>
      <c r="Q56" s="188"/>
    </row>
    <row r="57" spans="1:17" ht="26.25" thickBot="1">
      <c r="A57" s="735"/>
      <c r="B57" s="276">
        <v>1</v>
      </c>
      <c r="C57" s="692"/>
      <c r="D57" s="692"/>
      <c r="E57" s="692"/>
      <c r="F57" s="692"/>
      <c r="G57" s="237"/>
      <c r="H57" s="692"/>
      <c r="I57" s="692"/>
      <c r="J57" s="720"/>
      <c r="K57" s="721"/>
      <c r="L57" s="698"/>
      <c r="M57" s="698"/>
      <c r="N57" s="723"/>
      <c r="O57" s="723"/>
      <c r="P57" s="723"/>
      <c r="Q57" s="191"/>
    </row>
    <row r="58" spans="1:17" ht="24" thickBot="1">
      <c r="A58" s="735"/>
      <c r="B58" s="232"/>
      <c r="C58" s="233"/>
      <c r="D58" s="233"/>
      <c r="E58" s="233"/>
      <c r="F58" s="233"/>
      <c r="G58" s="241"/>
      <c r="H58" s="234" t="s">
        <v>119</v>
      </c>
      <c r="I58" s="172" t="s">
        <v>120</v>
      </c>
      <c r="J58" s="713" t="s">
        <v>125</v>
      </c>
      <c r="K58" s="714"/>
      <c r="L58" s="702"/>
      <c r="M58" s="703"/>
      <c r="N58" s="703"/>
      <c r="O58" s="703"/>
      <c r="P58" s="703"/>
      <c r="Q58" s="704"/>
    </row>
    <row r="59" spans="1:17" ht="25.5" customHeight="1">
      <c r="A59" s="736" t="s">
        <v>16</v>
      </c>
      <c r="B59" s="197" t="s">
        <v>114</v>
      </c>
      <c r="C59" s="690"/>
      <c r="D59" s="690"/>
      <c r="E59" s="690"/>
      <c r="F59" s="690"/>
      <c r="G59" s="236"/>
      <c r="H59" s="690"/>
      <c r="I59" s="690"/>
      <c r="J59" s="579"/>
      <c r="K59" s="715"/>
      <c r="L59" s="698"/>
      <c r="M59" s="698"/>
      <c r="N59" s="722"/>
      <c r="O59" s="722"/>
      <c r="P59" s="722"/>
      <c r="Q59" s="188"/>
    </row>
    <row r="60" spans="1:17" ht="26.25" customHeight="1" thickBot="1">
      <c r="A60" s="736"/>
      <c r="B60" s="276">
        <v>1</v>
      </c>
      <c r="C60" s="692"/>
      <c r="D60" s="692"/>
      <c r="E60" s="692"/>
      <c r="F60" s="692"/>
      <c r="G60" s="237"/>
      <c r="H60" s="692"/>
      <c r="I60" s="692"/>
      <c r="J60" s="720"/>
      <c r="K60" s="721"/>
      <c r="L60" s="698"/>
      <c r="M60" s="698"/>
      <c r="N60" s="723"/>
      <c r="O60" s="723"/>
      <c r="P60" s="723"/>
      <c r="Q60" s="191"/>
    </row>
    <row r="61" spans="1:17" ht="24" customHeight="1" thickBot="1">
      <c r="A61" s="736"/>
      <c r="B61" s="232"/>
      <c r="C61" s="233"/>
      <c r="D61" s="233"/>
      <c r="E61" s="233"/>
      <c r="F61" s="233"/>
      <c r="G61" s="241"/>
      <c r="H61" s="234" t="s">
        <v>119</v>
      </c>
      <c r="I61" s="172" t="s">
        <v>120</v>
      </c>
      <c r="J61" s="713" t="s">
        <v>125</v>
      </c>
      <c r="K61" s="714"/>
      <c r="L61" s="702"/>
      <c r="M61" s="703"/>
      <c r="N61" s="703"/>
      <c r="O61" s="703"/>
      <c r="P61" s="703"/>
      <c r="Q61" s="704"/>
    </row>
    <row r="62" spans="1:17" ht="25.5" customHeight="1">
      <c r="A62" s="736"/>
      <c r="B62" s="197" t="s">
        <v>109</v>
      </c>
      <c r="C62" s="690"/>
      <c r="D62" s="690"/>
      <c r="E62" s="690"/>
      <c r="F62" s="690"/>
      <c r="G62" s="236"/>
      <c r="H62" s="690"/>
      <c r="I62" s="690"/>
      <c r="J62" s="579"/>
      <c r="K62" s="715"/>
      <c r="L62" s="192"/>
      <c r="M62" s="192"/>
      <c r="N62" s="722"/>
      <c r="O62" s="722"/>
      <c r="P62" s="722"/>
      <c r="Q62" s="188"/>
    </row>
    <row r="63" spans="1:17" ht="25.5" customHeight="1">
      <c r="A63" s="736"/>
      <c r="B63" s="275">
        <v>1</v>
      </c>
      <c r="C63" s="691"/>
      <c r="D63" s="691"/>
      <c r="E63" s="691"/>
      <c r="F63" s="691"/>
      <c r="G63" s="238"/>
      <c r="H63" s="691"/>
      <c r="I63" s="691"/>
      <c r="J63" s="716"/>
      <c r="K63" s="717"/>
      <c r="L63" s="192"/>
      <c r="M63" s="192"/>
      <c r="N63" s="698"/>
      <c r="O63" s="698"/>
      <c r="P63" s="698"/>
      <c r="Q63" s="189"/>
    </row>
    <row r="64" spans="1:17" ht="25.5" customHeight="1">
      <c r="A64" s="736"/>
      <c r="B64" s="196" t="s">
        <v>109</v>
      </c>
      <c r="C64" s="688"/>
      <c r="D64" s="688"/>
      <c r="E64" s="688"/>
      <c r="F64" s="688"/>
      <c r="G64" s="239"/>
      <c r="H64" s="688"/>
      <c r="I64" s="688"/>
      <c r="J64" s="718"/>
      <c r="K64" s="719"/>
      <c r="L64" s="192"/>
      <c r="M64" s="192"/>
      <c r="N64" s="698"/>
      <c r="O64" s="698"/>
      <c r="P64" s="698"/>
      <c r="Q64" s="190"/>
    </row>
    <row r="65" spans="1:17" ht="26.25" customHeight="1" thickBot="1">
      <c r="A65" s="736"/>
      <c r="B65" s="276">
        <v>2</v>
      </c>
      <c r="C65" s="692"/>
      <c r="D65" s="692"/>
      <c r="E65" s="692"/>
      <c r="F65" s="692"/>
      <c r="G65" s="237"/>
      <c r="H65" s="692"/>
      <c r="I65" s="692"/>
      <c r="J65" s="720"/>
      <c r="K65" s="721"/>
      <c r="L65" s="192"/>
      <c r="M65" s="192"/>
      <c r="N65" s="723"/>
      <c r="O65" s="723"/>
      <c r="P65" s="723"/>
      <c r="Q65" s="191"/>
    </row>
    <row r="66" spans="1:17" ht="24" customHeight="1" thickBot="1">
      <c r="A66" s="736"/>
      <c r="B66" s="232"/>
      <c r="C66" s="233"/>
      <c r="D66" s="233"/>
      <c r="E66" s="233"/>
      <c r="F66" s="233"/>
      <c r="G66" s="241"/>
      <c r="H66" s="234" t="s">
        <v>119</v>
      </c>
      <c r="I66" s="172" t="s">
        <v>120</v>
      </c>
      <c r="J66" s="713" t="s">
        <v>125</v>
      </c>
      <c r="K66" s="714"/>
      <c r="L66" s="702"/>
      <c r="M66" s="703"/>
      <c r="N66" s="703"/>
      <c r="O66" s="703"/>
      <c r="P66" s="703"/>
      <c r="Q66" s="704"/>
    </row>
    <row r="67" spans="1:17" ht="25.5" customHeight="1">
      <c r="A67" s="736"/>
      <c r="B67" s="197" t="s">
        <v>110</v>
      </c>
      <c r="C67" s="690"/>
      <c r="D67" s="690"/>
      <c r="E67" s="690"/>
      <c r="F67" s="690"/>
      <c r="G67" s="236"/>
      <c r="H67" s="690"/>
      <c r="I67" s="690"/>
      <c r="J67" s="579"/>
      <c r="K67" s="715"/>
      <c r="L67" s="192"/>
      <c r="M67" s="192"/>
      <c r="N67" s="722"/>
      <c r="O67" s="722"/>
      <c r="P67" s="722"/>
      <c r="Q67" s="188"/>
    </row>
    <row r="68" spans="1:17" ht="25.5" customHeight="1">
      <c r="A68" s="736"/>
      <c r="B68" s="275">
        <v>1</v>
      </c>
      <c r="C68" s="691"/>
      <c r="D68" s="691"/>
      <c r="E68" s="691"/>
      <c r="F68" s="691"/>
      <c r="G68" s="238"/>
      <c r="H68" s="691"/>
      <c r="I68" s="691"/>
      <c r="J68" s="716"/>
      <c r="K68" s="717"/>
      <c r="L68" s="192"/>
      <c r="M68" s="192"/>
      <c r="N68" s="698"/>
      <c r="O68" s="698"/>
      <c r="P68" s="698"/>
      <c r="Q68" s="189"/>
    </row>
    <row r="69" spans="1:17" ht="25.5" customHeight="1">
      <c r="A69" s="736"/>
      <c r="B69" s="196" t="s">
        <v>110</v>
      </c>
      <c r="C69" s="688"/>
      <c r="D69" s="688"/>
      <c r="E69" s="688"/>
      <c r="F69" s="688"/>
      <c r="G69" s="239"/>
      <c r="H69" s="688"/>
      <c r="I69" s="688"/>
      <c r="J69" s="718"/>
      <c r="K69" s="719"/>
      <c r="L69" s="192"/>
      <c r="M69" s="192"/>
      <c r="N69" s="698"/>
      <c r="O69" s="698"/>
      <c r="P69" s="698"/>
      <c r="Q69" s="190"/>
    </row>
    <row r="70" spans="1:17" ht="26.25" customHeight="1" thickBot="1">
      <c r="A70" s="736"/>
      <c r="B70" s="276">
        <v>2</v>
      </c>
      <c r="C70" s="692"/>
      <c r="D70" s="692"/>
      <c r="E70" s="692"/>
      <c r="F70" s="692"/>
      <c r="G70" s="237"/>
      <c r="H70" s="692"/>
      <c r="I70" s="692"/>
      <c r="J70" s="720"/>
      <c r="K70" s="721"/>
      <c r="L70" s="192"/>
      <c r="M70" s="192"/>
      <c r="N70" s="723"/>
      <c r="O70" s="723"/>
      <c r="P70" s="723"/>
      <c r="Q70" s="191"/>
    </row>
    <row r="71" spans="1:17" ht="24" customHeight="1" thickBot="1">
      <c r="A71" s="736"/>
      <c r="B71" s="232"/>
      <c r="C71" s="233"/>
      <c r="D71" s="233"/>
      <c r="E71" s="233"/>
      <c r="F71" s="233"/>
      <c r="G71" s="241"/>
      <c r="H71" s="234" t="s">
        <v>119</v>
      </c>
      <c r="I71" s="172" t="s">
        <v>120</v>
      </c>
      <c r="J71" s="713" t="s">
        <v>125</v>
      </c>
      <c r="K71" s="714"/>
      <c r="L71" s="702"/>
      <c r="M71" s="703"/>
      <c r="N71" s="703"/>
      <c r="O71" s="703"/>
      <c r="P71" s="703"/>
      <c r="Q71" s="704"/>
    </row>
    <row r="72" spans="1:17" ht="25.5" customHeight="1">
      <c r="A72" s="736"/>
      <c r="B72" s="197" t="s">
        <v>111</v>
      </c>
      <c r="C72" s="690"/>
      <c r="D72" s="690"/>
      <c r="E72" s="690"/>
      <c r="F72" s="690"/>
      <c r="G72" s="236"/>
      <c r="H72" s="690"/>
      <c r="I72" s="690"/>
      <c r="J72" s="579"/>
      <c r="K72" s="715"/>
      <c r="L72" s="192"/>
      <c r="M72" s="192"/>
      <c r="N72" s="722"/>
      <c r="O72" s="722"/>
      <c r="P72" s="722"/>
      <c r="Q72" s="188"/>
    </row>
    <row r="73" spans="1:17" ht="25.5" customHeight="1">
      <c r="A73" s="736"/>
      <c r="B73" s="275">
        <v>1</v>
      </c>
      <c r="C73" s="691"/>
      <c r="D73" s="691"/>
      <c r="E73" s="691"/>
      <c r="F73" s="691"/>
      <c r="G73" s="238"/>
      <c r="H73" s="691"/>
      <c r="I73" s="691"/>
      <c r="J73" s="716"/>
      <c r="K73" s="717"/>
      <c r="L73" s="192"/>
      <c r="M73" s="192"/>
      <c r="N73" s="698"/>
      <c r="O73" s="698"/>
      <c r="P73" s="698"/>
      <c r="Q73" s="189"/>
    </row>
    <row r="74" spans="1:17" ht="25.5" customHeight="1">
      <c r="A74" s="736"/>
      <c r="B74" s="196" t="s">
        <v>111</v>
      </c>
      <c r="C74" s="688"/>
      <c r="D74" s="688"/>
      <c r="E74" s="688"/>
      <c r="F74" s="688"/>
      <c r="G74" s="239"/>
      <c r="H74" s="688"/>
      <c r="I74" s="688"/>
      <c r="J74" s="718"/>
      <c r="K74" s="719"/>
      <c r="L74" s="192"/>
      <c r="M74" s="192"/>
      <c r="N74" s="698"/>
      <c r="O74" s="698"/>
      <c r="P74" s="698"/>
      <c r="Q74" s="190"/>
    </row>
    <row r="75" spans="1:17" ht="26.25" customHeight="1" thickBot="1">
      <c r="A75" s="737"/>
      <c r="B75" s="277">
        <v>2</v>
      </c>
      <c r="C75" s="689"/>
      <c r="D75" s="689"/>
      <c r="E75" s="689"/>
      <c r="F75" s="689"/>
      <c r="G75" s="240"/>
      <c r="H75" s="689"/>
      <c r="I75" s="689"/>
      <c r="J75" s="732"/>
      <c r="K75" s="733"/>
      <c r="L75" s="193"/>
      <c r="M75" s="193"/>
      <c r="N75" s="731"/>
      <c r="O75" s="731"/>
      <c r="P75" s="731"/>
      <c r="Q75" s="194"/>
    </row>
    <row r="76" spans="1:17" ht="36" thickTop="1" thickBot="1">
      <c r="A76" s="724" t="s">
        <v>129</v>
      </c>
      <c r="B76" s="725"/>
      <c r="C76" s="725"/>
      <c r="D76" s="725"/>
      <c r="E76" s="725"/>
      <c r="F76" s="725"/>
      <c r="G76" s="726"/>
      <c r="H76" s="171" t="s">
        <v>115</v>
      </c>
      <c r="I76" s="171" t="s">
        <v>116</v>
      </c>
      <c r="J76" s="171" t="s">
        <v>117</v>
      </c>
      <c r="K76" s="171" t="s">
        <v>118</v>
      </c>
      <c r="L76" s="727"/>
      <c r="M76" s="728"/>
      <c r="N76" s="728"/>
      <c r="O76" s="728"/>
      <c r="P76" s="728"/>
      <c r="Q76" s="729"/>
    </row>
    <row r="77" spans="1:17" ht="26.25" customHeight="1" thickTop="1">
      <c r="A77" s="734">
        <v>125</v>
      </c>
      <c r="B77" s="195" t="s">
        <v>105</v>
      </c>
      <c r="C77" s="730"/>
      <c r="D77" s="730"/>
      <c r="E77" s="730"/>
      <c r="F77" s="730"/>
      <c r="G77" s="730"/>
      <c r="H77" s="730"/>
      <c r="I77" s="730"/>
      <c r="J77" s="730"/>
      <c r="K77" s="730"/>
      <c r="L77" s="699"/>
      <c r="M77" s="699"/>
      <c r="N77" s="699"/>
      <c r="O77" s="699"/>
      <c r="P77" s="179" t="s">
        <v>107</v>
      </c>
      <c r="Q77" s="180"/>
    </row>
    <row r="78" spans="1:17" ht="25.5">
      <c r="A78" s="735"/>
      <c r="B78" s="275"/>
      <c r="C78" s="691"/>
      <c r="D78" s="691"/>
      <c r="E78" s="691"/>
      <c r="F78" s="691"/>
      <c r="G78" s="691"/>
      <c r="H78" s="691"/>
      <c r="I78" s="691"/>
      <c r="J78" s="691"/>
      <c r="K78" s="691"/>
      <c r="L78" s="700"/>
      <c r="M78" s="700"/>
      <c r="N78" s="700"/>
      <c r="O78" s="700"/>
      <c r="P78" s="181"/>
      <c r="Q78" s="182"/>
    </row>
    <row r="79" spans="1:17" ht="25.5">
      <c r="A79" s="735"/>
      <c r="B79" s="196" t="s">
        <v>105</v>
      </c>
      <c r="C79" s="688"/>
      <c r="D79" s="688"/>
      <c r="E79" s="688"/>
      <c r="F79" s="688"/>
      <c r="G79" s="688"/>
      <c r="H79" s="688"/>
      <c r="I79" s="688"/>
      <c r="J79" s="688"/>
      <c r="K79" s="688"/>
      <c r="L79" s="701"/>
      <c r="M79" s="701"/>
      <c r="N79" s="701"/>
      <c r="O79" s="701"/>
      <c r="P79" s="181" t="s">
        <v>107</v>
      </c>
      <c r="Q79" s="183"/>
    </row>
    <row r="80" spans="1:17" ht="25.5">
      <c r="A80" s="735"/>
      <c r="B80" s="275"/>
      <c r="C80" s="691"/>
      <c r="D80" s="691"/>
      <c r="E80" s="691"/>
      <c r="F80" s="691"/>
      <c r="G80" s="691"/>
      <c r="H80" s="691"/>
      <c r="I80" s="691"/>
      <c r="J80" s="691"/>
      <c r="K80" s="691"/>
      <c r="L80" s="700"/>
      <c r="M80" s="700"/>
      <c r="N80" s="700"/>
      <c r="O80" s="700"/>
      <c r="P80" s="181"/>
      <c r="Q80" s="182"/>
    </row>
    <row r="81" spans="1:17" ht="25.5">
      <c r="A81" s="735"/>
      <c r="B81" s="196" t="s">
        <v>105</v>
      </c>
      <c r="C81" s="688"/>
      <c r="D81" s="688"/>
      <c r="E81" s="688"/>
      <c r="F81" s="688"/>
      <c r="G81" s="688"/>
      <c r="H81" s="688"/>
      <c r="I81" s="688"/>
      <c r="J81" s="688"/>
      <c r="K81" s="688"/>
      <c r="L81" s="711"/>
      <c r="M81" s="701"/>
      <c r="N81" s="701"/>
      <c r="O81" s="701"/>
      <c r="P81" s="181" t="s">
        <v>108</v>
      </c>
      <c r="Q81" s="183"/>
    </row>
    <row r="82" spans="1:17" ht="25.5">
      <c r="A82" s="735"/>
      <c r="B82" s="275"/>
      <c r="C82" s="691"/>
      <c r="D82" s="691"/>
      <c r="E82" s="691"/>
      <c r="F82" s="691"/>
      <c r="G82" s="691"/>
      <c r="H82" s="691"/>
      <c r="I82" s="691"/>
      <c r="J82" s="691"/>
      <c r="K82" s="691"/>
      <c r="L82" s="712"/>
      <c r="M82" s="700"/>
      <c r="N82" s="700"/>
      <c r="O82" s="700"/>
      <c r="P82" s="181"/>
      <c r="Q82" s="182"/>
    </row>
    <row r="83" spans="1:17" ht="25.5">
      <c r="A83" s="735"/>
      <c r="B83" s="196" t="s">
        <v>105</v>
      </c>
      <c r="C83" s="688"/>
      <c r="D83" s="688"/>
      <c r="E83" s="688"/>
      <c r="F83" s="688"/>
      <c r="G83" s="688"/>
      <c r="H83" s="688"/>
      <c r="I83" s="688"/>
      <c r="J83" s="688"/>
      <c r="K83" s="688"/>
      <c r="L83" s="698"/>
      <c r="M83" s="698"/>
      <c r="N83" s="698"/>
      <c r="O83" s="698"/>
      <c r="P83" s="184" t="s">
        <v>107</v>
      </c>
      <c r="Q83" s="185"/>
    </row>
    <row r="84" spans="1:17" ht="26.25" thickBot="1">
      <c r="A84" s="735"/>
      <c r="B84" s="276"/>
      <c r="C84" s="692"/>
      <c r="D84" s="692"/>
      <c r="E84" s="692"/>
      <c r="F84" s="692"/>
      <c r="G84" s="692"/>
      <c r="H84" s="692"/>
      <c r="I84" s="692"/>
      <c r="J84" s="692"/>
      <c r="K84" s="692"/>
      <c r="L84" s="698"/>
      <c r="M84" s="698"/>
      <c r="N84" s="698"/>
      <c r="O84" s="698"/>
      <c r="P84" s="186"/>
      <c r="Q84" s="187"/>
    </row>
    <row r="85" spans="1:17" ht="27" thickBot="1">
      <c r="A85" s="735"/>
      <c r="B85" s="198"/>
      <c r="C85" s="199"/>
      <c r="D85" s="199"/>
      <c r="E85" s="199"/>
      <c r="F85" s="199"/>
      <c r="G85" s="235" t="s">
        <v>133</v>
      </c>
      <c r="H85" s="234" t="s">
        <v>121</v>
      </c>
      <c r="I85" s="172" t="s">
        <v>122</v>
      </c>
      <c r="J85" s="172" t="s">
        <v>123</v>
      </c>
      <c r="K85" s="173" t="s">
        <v>124</v>
      </c>
      <c r="L85" s="702"/>
      <c r="M85" s="703"/>
      <c r="N85" s="703"/>
      <c r="O85" s="703"/>
      <c r="P85" s="703"/>
      <c r="Q85" s="704"/>
    </row>
    <row r="86" spans="1:17" ht="25.5">
      <c r="A86" s="735"/>
      <c r="B86" s="197" t="s">
        <v>112</v>
      </c>
      <c r="C86" s="690"/>
      <c r="D86" s="690"/>
      <c r="E86" s="690"/>
      <c r="F86" s="690"/>
      <c r="G86" s="690"/>
      <c r="H86" s="690"/>
      <c r="I86" s="690"/>
      <c r="J86" s="690"/>
      <c r="K86" s="690"/>
      <c r="L86" s="698"/>
      <c r="M86" s="698"/>
      <c r="N86" s="698"/>
      <c r="O86" s="698"/>
      <c r="P86" s="698"/>
      <c r="Q86" s="188"/>
    </row>
    <row r="87" spans="1:17" ht="25.5">
      <c r="A87" s="735"/>
      <c r="B87" s="275"/>
      <c r="C87" s="691"/>
      <c r="D87" s="691"/>
      <c r="E87" s="691"/>
      <c r="F87" s="691"/>
      <c r="G87" s="691"/>
      <c r="H87" s="691"/>
      <c r="I87" s="691"/>
      <c r="J87" s="691"/>
      <c r="K87" s="691"/>
      <c r="L87" s="698"/>
      <c r="M87" s="698"/>
      <c r="N87" s="698"/>
      <c r="O87" s="698"/>
      <c r="P87" s="698"/>
      <c r="Q87" s="189"/>
    </row>
    <row r="88" spans="1:17" ht="25.5">
      <c r="A88" s="735"/>
      <c r="B88" s="196" t="s">
        <v>112</v>
      </c>
      <c r="C88" s="688"/>
      <c r="D88" s="688"/>
      <c r="E88" s="688"/>
      <c r="F88" s="688"/>
      <c r="G88" s="688"/>
      <c r="H88" s="688"/>
      <c r="I88" s="688"/>
      <c r="J88" s="688"/>
      <c r="K88" s="688"/>
      <c r="L88" s="698"/>
      <c r="M88" s="698"/>
      <c r="N88" s="698"/>
      <c r="O88" s="698"/>
      <c r="P88" s="698"/>
      <c r="Q88" s="190"/>
    </row>
    <row r="89" spans="1:17" ht="26.25" thickBot="1">
      <c r="A89" s="735"/>
      <c r="B89" s="276"/>
      <c r="C89" s="692"/>
      <c r="D89" s="692"/>
      <c r="E89" s="692"/>
      <c r="F89" s="692"/>
      <c r="G89" s="692"/>
      <c r="H89" s="692"/>
      <c r="I89" s="692"/>
      <c r="J89" s="692"/>
      <c r="K89" s="692"/>
      <c r="L89" s="698"/>
      <c r="M89" s="698"/>
      <c r="N89" s="698"/>
      <c r="O89" s="698"/>
      <c r="P89" s="698"/>
      <c r="Q89" s="191"/>
    </row>
    <row r="90" spans="1:17" ht="24" thickBot="1">
      <c r="A90" s="735"/>
      <c r="B90" s="232"/>
      <c r="C90" s="233"/>
      <c r="D90" s="233"/>
      <c r="E90" s="233"/>
      <c r="F90" s="233"/>
      <c r="G90" s="241"/>
      <c r="H90" s="234" t="s">
        <v>119</v>
      </c>
      <c r="I90" s="172" t="s">
        <v>120</v>
      </c>
      <c r="J90" s="713" t="s">
        <v>125</v>
      </c>
      <c r="K90" s="714"/>
      <c r="L90" s="702"/>
      <c r="M90" s="703"/>
      <c r="N90" s="703"/>
      <c r="O90" s="703"/>
      <c r="P90" s="703"/>
      <c r="Q90" s="704"/>
    </row>
    <row r="91" spans="1:17" ht="25.5">
      <c r="A91" s="735"/>
      <c r="B91" s="197" t="s">
        <v>113</v>
      </c>
      <c r="C91" s="690"/>
      <c r="D91" s="690"/>
      <c r="E91" s="690"/>
      <c r="F91" s="690"/>
      <c r="G91" s="236"/>
      <c r="H91" s="690"/>
      <c r="I91" s="690"/>
      <c r="J91" s="579"/>
      <c r="K91" s="715"/>
      <c r="L91" s="698"/>
      <c r="M91" s="698"/>
      <c r="N91" s="722"/>
      <c r="O91" s="722"/>
      <c r="P91" s="722"/>
      <c r="Q91" s="188"/>
    </row>
    <row r="92" spans="1:17" ht="26.25" thickBot="1">
      <c r="A92" s="735"/>
      <c r="B92" s="276"/>
      <c r="C92" s="692"/>
      <c r="D92" s="692"/>
      <c r="E92" s="692"/>
      <c r="F92" s="692"/>
      <c r="G92" s="237"/>
      <c r="H92" s="692"/>
      <c r="I92" s="692"/>
      <c r="J92" s="720"/>
      <c r="K92" s="721"/>
      <c r="L92" s="698"/>
      <c r="M92" s="698"/>
      <c r="N92" s="723"/>
      <c r="O92" s="723"/>
      <c r="P92" s="723"/>
      <c r="Q92" s="191"/>
    </row>
    <row r="93" spans="1:17" ht="24" thickBot="1">
      <c r="A93" s="735"/>
      <c r="B93" s="232"/>
      <c r="C93" s="233"/>
      <c r="D93" s="233"/>
      <c r="E93" s="233"/>
      <c r="F93" s="233"/>
      <c r="G93" s="241"/>
      <c r="H93" s="234" t="s">
        <v>119</v>
      </c>
      <c r="I93" s="172" t="s">
        <v>120</v>
      </c>
      <c r="J93" s="713" t="s">
        <v>125</v>
      </c>
      <c r="K93" s="714"/>
      <c r="L93" s="702"/>
      <c r="M93" s="703"/>
      <c r="N93" s="703"/>
      <c r="O93" s="703"/>
      <c r="P93" s="703"/>
      <c r="Q93" s="704"/>
    </row>
    <row r="94" spans="1:17" ht="25.5" customHeight="1">
      <c r="A94" s="736" t="s">
        <v>16</v>
      </c>
      <c r="B94" s="197" t="s">
        <v>114</v>
      </c>
      <c r="C94" s="690"/>
      <c r="D94" s="690"/>
      <c r="E94" s="690"/>
      <c r="F94" s="690"/>
      <c r="G94" s="236"/>
      <c r="H94" s="690"/>
      <c r="I94" s="690"/>
      <c r="J94" s="579"/>
      <c r="K94" s="715"/>
      <c r="L94" s="698"/>
      <c r="M94" s="698"/>
      <c r="N94" s="722"/>
      <c r="O94" s="722"/>
      <c r="P94" s="722"/>
      <c r="Q94" s="188"/>
    </row>
    <row r="95" spans="1:17" ht="26.25" customHeight="1" thickBot="1">
      <c r="A95" s="736"/>
      <c r="B95" s="276"/>
      <c r="C95" s="692"/>
      <c r="D95" s="692"/>
      <c r="E95" s="692"/>
      <c r="F95" s="692"/>
      <c r="G95" s="237"/>
      <c r="H95" s="692"/>
      <c r="I95" s="692"/>
      <c r="J95" s="720"/>
      <c r="K95" s="721"/>
      <c r="L95" s="698"/>
      <c r="M95" s="698"/>
      <c r="N95" s="723"/>
      <c r="O95" s="723"/>
      <c r="P95" s="723"/>
      <c r="Q95" s="191"/>
    </row>
    <row r="96" spans="1:17" ht="24" customHeight="1" thickBot="1">
      <c r="A96" s="736"/>
      <c r="B96" s="232"/>
      <c r="C96" s="233"/>
      <c r="D96" s="233"/>
      <c r="E96" s="233"/>
      <c r="F96" s="233"/>
      <c r="G96" s="241"/>
      <c r="H96" s="234" t="s">
        <v>119</v>
      </c>
      <c r="I96" s="172" t="s">
        <v>120</v>
      </c>
      <c r="J96" s="713" t="s">
        <v>125</v>
      </c>
      <c r="K96" s="714"/>
      <c r="L96" s="702"/>
      <c r="M96" s="703"/>
      <c r="N96" s="703"/>
      <c r="O96" s="703"/>
      <c r="P96" s="703"/>
      <c r="Q96" s="704"/>
    </row>
    <row r="97" spans="1:17" ht="25.5" customHeight="1">
      <c r="A97" s="736"/>
      <c r="B97" s="197" t="s">
        <v>109</v>
      </c>
      <c r="C97" s="690"/>
      <c r="D97" s="690"/>
      <c r="E97" s="690"/>
      <c r="F97" s="690"/>
      <c r="G97" s="236"/>
      <c r="H97" s="690"/>
      <c r="I97" s="690"/>
      <c r="J97" s="579"/>
      <c r="K97" s="715"/>
      <c r="L97" s="192"/>
      <c r="M97" s="192"/>
      <c r="N97" s="722"/>
      <c r="O97" s="722"/>
      <c r="P97" s="722"/>
      <c r="Q97" s="188"/>
    </row>
    <row r="98" spans="1:17" ht="25.5" customHeight="1">
      <c r="A98" s="736"/>
      <c r="B98" s="275"/>
      <c r="C98" s="691"/>
      <c r="D98" s="691"/>
      <c r="E98" s="691"/>
      <c r="F98" s="691"/>
      <c r="G98" s="238"/>
      <c r="H98" s="691"/>
      <c r="I98" s="691"/>
      <c r="J98" s="716"/>
      <c r="K98" s="717"/>
      <c r="L98" s="192"/>
      <c r="M98" s="192"/>
      <c r="N98" s="698"/>
      <c r="O98" s="698"/>
      <c r="P98" s="698"/>
      <c r="Q98" s="189"/>
    </row>
    <row r="99" spans="1:17" ht="25.5" customHeight="1">
      <c r="A99" s="736"/>
      <c r="B99" s="196" t="s">
        <v>109</v>
      </c>
      <c r="C99" s="688"/>
      <c r="D99" s="688"/>
      <c r="E99" s="688"/>
      <c r="F99" s="688"/>
      <c r="G99" s="239"/>
      <c r="H99" s="688"/>
      <c r="I99" s="688"/>
      <c r="J99" s="718"/>
      <c r="K99" s="719"/>
      <c r="L99" s="192"/>
      <c r="M99" s="192"/>
      <c r="N99" s="698"/>
      <c r="O99" s="698"/>
      <c r="P99" s="698"/>
      <c r="Q99" s="190"/>
    </row>
    <row r="100" spans="1:17" ht="26.25" customHeight="1" thickBot="1">
      <c r="A100" s="736"/>
      <c r="B100" s="276"/>
      <c r="C100" s="692"/>
      <c r="D100" s="692"/>
      <c r="E100" s="692"/>
      <c r="F100" s="692"/>
      <c r="G100" s="237"/>
      <c r="H100" s="692"/>
      <c r="I100" s="692"/>
      <c r="J100" s="720"/>
      <c r="K100" s="721"/>
      <c r="L100" s="192"/>
      <c r="M100" s="192"/>
      <c r="N100" s="723"/>
      <c r="O100" s="723"/>
      <c r="P100" s="723"/>
      <c r="Q100" s="191"/>
    </row>
    <row r="101" spans="1:17" ht="24" customHeight="1" thickBot="1">
      <c r="A101" s="736"/>
      <c r="B101" s="232"/>
      <c r="C101" s="233"/>
      <c r="D101" s="233"/>
      <c r="E101" s="233"/>
      <c r="F101" s="233"/>
      <c r="G101" s="241"/>
      <c r="H101" s="234" t="s">
        <v>119</v>
      </c>
      <c r="I101" s="172" t="s">
        <v>120</v>
      </c>
      <c r="J101" s="713" t="s">
        <v>125</v>
      </c>
      <c r="K101" s="714"/>
      <c r="L101" s="702"/>
      <c r="M101" s="703"/>
      <c r="N101" s="703"/>
      <c r="O101" s="703"/>
      <c r="P101" s="703"/>
      <c r="Q101" s="704"/>
    </row>
    <row r="102" spans="1:17" ht="25.5" customHeight="1">
      <c r="A102" s="736"/>
      <c r="B102" s="197" t="s">
        <v>110</v>
      </c>
      <c r="C102" s="690"/>
      <c r="D102" s="690"/>
      <c r="E102" s="690"/>
      <c r="F102" s="690"/>
      <c r="G102" s="236"/>
      <c r="H102" s="690"/>
      <c r="I102" s="690"/>
      <c r="J102" s="579"/>
      <c r="K102" s="715"/>
      <c r="L102" s="192"/>
      <c r="M102" s="192"/>
      <c r="N102" s="722"/>
      <c r="O102" s="722"/>
      <c r="P102" s="722"/>
      <c r="Q102" s="188"/>
    </row>
    <row r="103" spans="1:17" ht="25.5" customHeight="1">
      <c r="A103" s="736"/>
      <c r="B103" s="275"/>
      <c r="C103" s="691"/>
      <c r="D103" s="691"/>
      <c r="E103" s="691"/>
      <c r="F103" s="691"/>
      <c r="G103" s="238"/>
      <c r="H103" s="691"/>
      <c r="I103" s="691"/>
      <c r="J103" s="716"/>
      <c r="K103" s="717"/>
      <c r="L103" s="192"/>
      <c r="M103" s="192"/>
      <c r="N103" s="698"/>
      <c r="O103" s="698"/>
      <c r="P103" s="698"/>
      <c r="Q103" s="189"/>
    </row>
    <row r="104" spans="1:17" ht="25.5" customHeight="1">
      <c r="A104" s="736"/>
      <c r="B104" s="196" t="s">
        <v>110</v>
      </c>
      <c r="C104" s="688"/>
      <c r="D104" s="688"/>
      <c r="E104" s="688"/>
      <c r="F104" s="688"/>
      <c r="G104" s="239"/>
      <c r="H104" s="688"/>
      <c r="I104" s="688"/>
      <c r="J104" s="718"/>
      <c r="K104" s="719"/>
      <c r="L104" s="192"/>
      <c r="M104" s="192"/>
      <c r="N104" s="698"/>
      <c r="O104" s="698"/>
      <c r="P104" s="698"/>
      <c r="Q104" s="190"/>
    </row>
    <row r="105" spans="1:17" ht="26.25" customHeight="1" thickBot="1">
      <c r="A105" s="736"/>
      <c r="B105" s="276"/>
      <c r="C105" s="692"/>
      <c r="D105" s="692"/>
      <c r="E105" s="692"/>
      <c r="F105" s="692"/>
      <c r="G105" s="237"/>
      <c r="H105" s="692"/>
      <c r="I105" s="692"/>
      <c r="J105" s="720"/>
      <c r="K105" s="721"/>
      <c r="L105" s="192"/>
      <c r="M105" s="192"/>
      <c r="N105" s="723"/>
      <c r="O105" s="723"/>
      <c r="P105" s="723"/>
      <c r="Q105" s="191"/>
    </row>
    <row r="106" spans="1:17" ht="24" customHeight="1" thickBot="1">
      <c r="A106" s="736"/>
      <c r="B106" s="232"/>
      <c r="C106" s="233"/>
      <c r="D106" s="233"/>
      <c r="E106" s="233"/>
      <c r="F106" s="233"/>
      <c r="G106" s="241"/>
      <c r="H106" s="234" t="s">
        <v>119</v>
      </c>
      <c r="I106" s="172" t="s">
        <v>120</v>
      </c>
      <c r="J106" s="713" t="s">
        <v>125</v>
      </c>
      <c r="K106" s="714"/>
      <c r="L106" s="702"/>
      <c r="M106" s="703"/>
      <c r="N106" s="703"/>
      <c r="O106" s="703"/>
      <c r="P106" s="703"/>
      <c r="Q106" s="704"/>
    </row>
    <row r="107" spans="1:17" ht="25.5" customHeight="1">
      <c r="A107" s="736"/>
      <c r="B107" s="197" t="s">
        <v>111</v>
      </c>
      <c r="C107" s="690"/>
      <c r="D107" s="690"/>
      <c r="E107" s="690"/>
      <c r="F107" s="690"/>
      <c r="G107" s="236"/>
      <c r="H107" s="690"/>
      <c r="I107" s="690"/>
      <c r="J107" s="579"/>
      <c r="K107" s="715"/>
      <c r="L107" s="192"/>
      <c r="M107" s="192"/>
      <c r="N107" s="722"/>
      <c r="O107" s="722"/>
      <c r="P107" s="722"/>
      <c r="Q107" s="188"/>
    </row>
    <row r="108" spans="1:17" ht="25.5" customHeight="1">
      <c r="A108" s="736"/>
      <c r="B108" s="275"/>
      <c r="C108" s="691"/>
      <c r="D108" s="691"/>
      <c r="E108" s="691"/>
      <c r="F108" s="691"/>
      <c r="G108" s="238"/>
      <c r="H108" s="691"/>
      <c r="I108" s="691"/>
      <c r="J108" s="716"/>
      <c r="K108" s="717"/>
      <c r="L108" s="192"/>
      <c r="M108" s="192"/>
      <c r="N108" s="698"/>
      <c r="O108" s="698"/>
      <c r="P108" s="698"/>
      <c r="Q108" s="189"/>
    </row>
    <row r="109" spans="1:17" ht="25.5" customHeight="1">
      <c r="A109" s="736"/>
      <c r="B109" s="196" t="s">
        <v>111</v>
      </c>
      <c r="C109" s="688"/>
      <c r="D109" s="688"/>
      <c r="E109" s="688"/>
      <c r="F109" s="688"/>
      <c r="G109" s="239"/>
      <c r="H109" s="688"/>
      <c r="I109" s="688"/>
      <c r="J109" s="718"/>
      <c r="K109" s="719"/>
      <c r="L109" s="192"/>
      <c r="M109" s="192"/>
      <c r="N109" s="698"/>
      <c r="O109" s="698"/>
      <c r="P109" s="698"/>
      <c r="Q109" s="190"/>
    </row>
    <row r="110" spans="1:17" ht="26.25" customHeight="1" thickBot="1">
      <c r="A110" s="737"/>
      <c r="B110" s="277"/>
      <c r="C110" s="689"/>
      <c r="D110" s="689"/>
      <c r="E110" s="689"/>
      <c r="F110" s="689"/>
      <c r="G110" s="240"/>
      <c r="H110" s="689"/>
      <c r="I110" s="689"/>
      <c r="J110" s="732"/>
      <c r="K110" s="733"/>
      <c r="L110" s="193"/>
      <c r="M110" s="193"/>
      <c r="N110" s="731"/>
      <c r="O110" s="731"/>
      <c r="P110" s="731"/>
      <c r="Q110" s="194"/>
    </row>
    <row r="111" spans="1:17" ht="15" thickTop="1"/>
  </sheetData>
  <mergeCells count="519">
    <mergeCell ref="A77:A93"/>
    <mergeCell ref="A94:A110"/>
    <mergeCell ref="H2:I2"/>
    <mergeCell ref="J2:L2"/>
    <mergeCell ref="A1:Q1"/>
    <mergeCell ref="D3:E3"/>
    <mergeCell ref="I109:I110"/>
    <mergeCell ref="J109:K110"/>
    <mergeCell ref="N109:P109"/>
    <mergeCell ref="N110:P110"/>
    <mergeCell ref="A6:G6"/>
    <mergeCell ref="L6:Q6"/>
    <mergeCell ref="A7:A23"/>
    <mergeCell ref="A24:A40"/>
    <mergeCell ref="A42:A58"/>
    <mergeCell ref="A59:A75"/>
    <mergeCell ref="I107:I108"/>
    <mergeCell ref="J107:K108"/>
    <mergeCell ref="N107:P107"/>
    <mergeCell ref="N108:P108"/>
    <mergeCell ref="C109:C110"/>
    <mergeCell ref="D109:D110"/>
    <mergeCell ref="E109:E110"/>
    <mergeCell ref="F109:F110"/>
    <mergeCell ref="H109:H110"/>
    <mergeCell ref="C107:C108"/>
    <mergeCell ref="D107:D108"/>
    <mergeCell ref="E107:E108"/>
    <mergeCell ref="F107:F108"/>
    <mergeCell ref="H107:H108"/>
    <mergeCell ref="I104:I105"/>
    <mergeCell ref="J104:K105"/>
    <mergeCell ref="N104:P104"/>
    <mergeCell ref="N105:P105"/>
    <mergeCell ref="J106:K106"/>
    <mergeCell ref="L106:Q106"/>
    <mergeCell ref="I102:I103"/>
    <mergeCell ref="J102:K103"/>
    <mergeCell ref="N102:P102"/>
    <mergeCell ref="N103:P103"/>
    <mergeCell ref="C104:C105"/>
    <mergeCell ref="D104:D105"/>
    <mergeCell ref="E104:E105"/>
    <mergeCell ref="F104:F105"/>
    <mergeCell ref="H104:H105"/>
    <mergeCell ref="C102:C103"/>
    <mergeCell ref="D102:D103"/>
    <mergeCell ref="E102:E103"/>
    <mergeCell ref="F102:F103"/>
    <mergeCell ref="H102:H103"/>
    <mergeCell ref="J99:K100"/>
    <mergeCell ref="N99:P99"/>
    <mergeCell ref="N100:P100"/>
    <mergeCell ref="J101:K101"/>
    <mergeCell ref="L101:Q101"/>
    <mergeCell ref="J97:K98"/>
    <mergeCell ref="N97:P97"/>
    <mergeCell ref="N98:P98"/>
    <mergeCell ref="C99:C100"/>
    <mergeCell ref="D99:D100"/>
    <mergeCell ref="E99:E100"/>
    <mergeCell ref="F99:F100"/>
    <mergeCell ref="H99:H100"/>
    <mergeCell ref="I99:I100"/>
    <mergeCell ref="C97:C98"/>
    <mergeCell ref="D97:D98"/>
    <mergeCell ref="E97:E98"/>
    <mergeCell ref="F97:F98"/>
    <mergeCell ref="H97:H98"/>
    <mergeCell ref="I97:I98"/>
    <mergeCell ref="I94:I95"/>
    <mergeCell ref="J94:K95"/>
    <mergeCell ref="L94:M94"/>
    <mergeCell ref="L95:M95"/>
    <mergeCell ref="C94:C95"/>
    <mergeCell ref="D94:D95"/>
    <mergeCell ref="E94:E95"/>
    <mergeCell ref="F94:F95"/>
    <mergeCell ref="H94:H95"/>
    <mergeCell ref="L91:M91"/>
    <mergeCell ref="N91:P91"/>
    <mergeCell ref="L92:M92"/>
    <mergeCell ref="N92:P92"/>
    <mergeCell ref="J93:K93"/>
    <mergeCell ref="L93:Q93"/>
    <mergeCell ref="J90:K90"/>
    <mergeCell ref="L90:Q90"/>
    <mergeCell ref="J96:K96"/>
    <mergeCell ref="L96:Q96"/>
    <mergeCell ref="N94:P94"/>
    <mergeCell ref="N95:P95"/>
    <mergeCell ref="C91:C92"/>
    <mergeCell ref="D91:D92"/>
    <mergeCell ref="E91:E92"/>
    <mergeCell ref="F91:F92"/>
    <mergeCell ref="H91:H92"/>
    <mergeCell ref="I91:I92"/>
    <mergeCell ref="H88:H89"/>
    <mergeCell ref="I88:I89"/>
    <mergeCell ref="J88:J89"/>
    <mergeCell ref="C88:C89"/>
    <mergeCell ref="D88:D89"/>
    <mergeCell ref="E88:E89"/>
    <mergeCell ref="F88:F89"/>
    <mergeCell ref="G88:G89"/>
    <mergeCell ref="J91:K92"/>
    <mergeCell ref="K88:K89"/>
    <mergeCell ref="L88:M88"/>
    <mergeCell ref="N88:P88"/>
    <mergeCell ref="L89:M89"/>
    <mergeCell ref="N89:P89"/>
    <mergeCell ref="K86:K87"/>
    <mergeCell ref="L86:M86"/>
    <mergeCell ref="N86:P86"/>
    <mergeCell ref="L87:M87"/>
    <mergeCell ref="N87:P87"/>
    <mergeCell ref="L85:Q85"/>
    <mergeCell ref="C86:C87"/>
    <mergeCell ref="D86:D87"/>
    <mergeCell ref="E86:E87"/>
    <mergeCell ref="F86:F87"/>
    <mergeCell ref="G86:G87"/>
    <mergeCell ref="H86:H87"/>
    <mergeCell ref="I86:I87"/>
    <mergeCell ref="J86:J87"/>
    <mergeCell ref="I83:I84"/>
    <mergeCell ref="J83:J84"/>
    <mergeCell ref="K83:K84"/>
    <mergeCell ref="L83:M83"/>
    <mergeCell ref="N83:O83"/>
    <mergeCell ref="L84:M84"/>
    <mergeCell ref="N84:O84"/>
    <mergeCell ref="C83:C84"/>
    <mergeCell ref="D83:D84"/>
    <mergeCell ref="E83:E84"/>
    <mergeCell ref="F83:F84"/>
    <mergeCell ref="G83:G84"/>
    <mergeCell ref="H83:H84"/>
    <mergeCell ref="I81:I82"/>
    <mergeCell ref="J81:J82"/>
    <mergeCell ref="K81:K82"/>
    <mergeCell ref="L81:M81"/>
    <mergeCell ref="N81:O81"/>
    <mergeCell ref="L82:M82"/>
    <mergeCell ref="N82:O82"/>
    <mergeCell ref="C81:C82"/>
    <mergeCell ref="D81:D82"/>
    <mergeCell ref="E81:E82"/>
    <mergeCell ref="F81:F82"/>
    <mergeCell ref="G81:G82"/>
    <mergeCell ref="H81:H82"/>
    <mergeCell ref="I79:I80"/>
    <mergeCell ref="J79:J80"/>
    <mergeCell ref="K79:K80"/>
    <mergeCell ref="L79:M79"/>
    <mergeCell ref="N79:O79"/>
    <mergeCell ref="L80:M80"/>
    <mergeCell ref="N80:O80"/>
    <mergeCell ref="C79:C80"/>
    <mergeCell ref="D79:D80"/>
    <mergeCell ref="E79:E80"/>
    <mergeCell ref="F79:F80"/>
    <mergeCell ref="G79:G80"/>
    <mergeCell ref="H79:H80"/>
    <mergeCell ref="I77:I78"/>
    <mergeCell ref="J77:J78"/>
    <mergeCell ref="K77:K78"/>
    <mergeCell ref="L77:M77"/>
    <mergeCell ref="N77:O77"/>
    <mergeCell ref="L78:M78"/>
    <mergeCell ref="N78:O78"/>
    <mergeCell ref="C77:C78"/>
    <mergeCell ref="D77:D78"/>
    <mergeCell ref="E77:E78"/>
    <mergeCell ref="F77:F78"/>
    <mergeCell ref="G77:G78"/>
    <mergeCell ref="H77:H78"/>
    <mergeCell ref="I74:I75"/>
    <mergeCell ref="J74:K75"/>
    <mergeCell ref="N74:P74"/>
    <mergeCell ref="N75:P75"/>
    <mergeCell ref="A76:G76"/>
    <mergeCell ref="L76:Q76"/>
    <mergeCell ref="I72:I73"/>
    <mergeCell ref="J72:K73"/>
    <mergeCell ref="N72:P72"/>
    <mergeCell ref="N73:P73"/>
    <mergeCell ref="C74:C75"/>
    <mergeCell ref="D74:D75"/>
    <mergeCell ref="E74:E75"/>
    <mergeCell ref="F74:F75"/>
    <mergeCell ref="H74:H75"/>
    <mergeCell ref="C72:C73"/>
    <mergeCell ref="D72:D73"/>
    <mergeCell ref="E72:E73"/>
    <mergeCell ref="F72:F73"/>
    <mergeCell ref="H72:H73"/>
    <mergeCell ref="I69:I70"/>
    <mergeCell ref="J69:K70"/>
    <mergeCell ref="N69:P69"/>
    <mergeCell ref="N70:P70"/>
    <mergeCell ref="J71:K71"/>
    <mergeCell ref="L71:Q71"/>
    <mergeCell ref="I67:I68"/>
    <mergeCell ref="J67:K68"/>
    <mergeCell ref="N67:P67"/>
    <mergeCell ref="N68:P68"/>
    <mergeCell ref="C69:C70"/>
    <mergeCell ref="D69:D70"/>
    <mergeCell ref="E69:E70"/>
    <mergeCell ref="F69:F70"/>
    <mergeCell ref="H69:H70"/>
    <mergeCell ref="C67:C68"/>
    <mergeCell ref="D67:D68"/>
    <mergeCell ref="E67:E68"/>
    <mergeCell ref="F67:F68"/>
    <mergeCell ref="H67:H68"/>
    <mergeCell ref="J64:K65"/>
    <mergeCell ref="N64:P64"/>
    <mergeCell ref="N65:P65"/>
    <mergeCell ref="J66:K66"/>
    <mergeCell ref="L66:Q66"/>
    <mergeCell ref="J62:K63"/>
    <mergeCell ref="N62:P62"/>
    <mergeCell ref="N63:P63"/>
    <mergeCell ref="C64:C65"/>
    <mergeCell ref="D64:D65"/>
    <mergeCell ref="E64:E65"/>
    <mergeCell ref="F64:F65"/>
    <mergeCell ref="H64:H65"/>
    <mergeCell ref="I64:I65"/>
    <mergeCell ref="C62:C63"/>
    <mergeCell ref="D62:D63"/>
    <mergeCell ref="E62:E63"/>
    <mergeCell ref="F62:F63"/>
    <mergeCell ref="H62:H63"/>
    <mergeCell ref="I62:I63"/>
    <mergeCell ref="I59:I60"/>
    <mergeCell ref="J59:K60"/>
    <mergeCell ref="L59:M59"/>
    <mergeCell ref="L60:M60"/>
    <mergeCell ref="C59:C60"/>
    <mergeCell ref="D59:D60"/>
    <mergeCell ref="E59:E60"/>
    <mergeCell ref="F59:F60"/>
    <mergeCell ref="H59:H60"/>
    <mergeCell ref="L56:M56"/>
    <mergeCell ref="N56:P56"/>
    <mergeCell ref="L57:M57"/>
    <mergeCell ref="N57:P57"/>
    <mergeCell ref="J58:K58"/>
    <mergeCell ref="L58:Q58"/>
    <mergeCell ref="J55:K55"/>
    <mergeCell ref="L55:Q55"/>
    <mergeCell ref="J61:K61"/>
    <mergeCell ref="L61:Q61"/>
    <mergeCell ref="N59:P59"/>
    <mergeCell ref="N60:P60"/>
    <mergeCell ref="C56:C57"/>
    <mergeCell ref="D56:D57"/>
    <mergeCell ref="E56:E57"/>
    <mergeCell ref="F56:F57"/>
    <mergeCell ref="H56:H57"/>
    <mergeCell ref="I56:I57"/>
    <mergeCell ref="H53:H54"/>
    <mergeCell ref="I53:I54"/>
    <mergeCell ref="J53:J54"/>
    <mergeCell ref="C53:C54"/>
    <mergeCell ref="D53:D54"/>
    <mergeCell ref="E53:E54"/>
    <mergeCell ref="F53:F54"/>
    <mergeCell ref="G53:G54"/>
    <mergeCell ref="J56:K57"/>
    <mergeCell ref="K53:K54"/>
    <mergeCell ref="L53:M53"/>
    <mergeCell ref="N53:P53"/>
    <mergeCell ref="L54:M54"/>
    <mergeCell ref="N54:P54"/>
    <mergeCell ref="K51:K52"/>
    <mergeCell ref="L51:M51"/>
    <mergeCell ref="N51:P51"/>
    <mergeCell ref="L52:M52"/>
    <mergeCell ref="N52:P52"/>
    <mergeCell ref="L50:Q50"/>
    <mergeCell ref="C51:C52"/>
    <mergeCell ref="D51:D52"/>
    <mergeCell ref="E51:E52"/>
    <mergeCell ref="F51:F52"/>
    <mergeCell ref="G51:G52"/>
    <mergeCell ref="H51:H52"/>
    <mergeCell ref="I51:I52"/>
    <mergeCell ref="J51:J52"/>
    <mergeCell ref="I48:I49"/>
    <mergeCell ref="J48:J49"/>
    <mergeCell ref="K48:K49"/>
    <mergeCell ref="L48:M48"/>
    <mergeCell ref="N48:O48"/>
    <mergeCell ref="L49:M49"/>
    <mergeCell ref="N49:O49"/>
    <mergeCell ref="C48:C49"/>
    <mergeCell ref="D48:D49"/>
    <mergeCell ref="E48:E49"/>
    <mergeCell ref="F48:F49"/>
    <mergeCell ref="G48:G49"/>
    <mergeCell ref="H48:H49"/>
    <mergeCell ref="I46:I47"/>
    <mergeCell ref="J46:J47"/>
    <mergeCell ref="K46:K47"/>
    <mergeCell ref="L46:M46"/>
    <mergeCell ref="N46:O46"/>
    <mergeCell ref="L47:M47"/>
    <mergeCell ref="N47:O47"/>
    <mergeCell ref="C46:C47"/>
    <mergeCell ref="D46:D47"/>
    <mergeCell ref="E46:E47"/>
    <mergeCell ref="F46:F47"/>
    <mergeCell ref="G46:G47"/>
    <mergeCell ref="H46:H47"/>
    <mergeCell ref="I44:I45"/>
    <mergeCell ref="J44:J45"/>
    <mergeCell ref="K44:K45"/>
    <mergeCell ref="L44:M44"/>
    <mergeCell ref="N44:O44"/>
    <mergeCell ref="L45:M45"/>
    <mergeCell ref="N45:O45"/>
    <mergeCell ref="C44:C45"/>
    <mergeCell ref="D44:D45"/>
    <mergeCell ref="E44:E45"/>
    <mergeCell ref="F44:F45"/>
    <mergeCell ref="G44:G45"/>
    <mergeCell ref="H44:H45"/>
    <mergeCell ref="H42:H43"/>
    <mergeCell ref="I42:I43"/>
    <mergeCell ref="J42:J43"/>
    <mergeCell ref="K42:K43"/>
    <mergeCell ref="L42:M42"/>
    <mergeCell ref="N42:O42"/>
    <mergeCell ref="L43:M43"/>
    <mergeCell ref="N43:O43"/>
    <mergeCell ref="N38:P38"/>
    <mergeCell ref="N39:P39"/>
    <mergeCell ref="N40:P40"/>
    <mergeCell ref="I39:I40"/>
    <mergeCell ref="J39:K40"/>
    <mergeCell ref="A41:G41"/>
    <mergeCell ref="L41:Q41"/>
    <mergeCell ref="C42:C43"/>
    <mergeCell ref="D42:D43"/>
    <mergeCell ref="E42:E43"/>
    <mergeCell ref="F42:F43"/>
    <mergeCell ref="G42:G43"/>
    <mergeCell ref="N30:P30"/>
    <mergeCell ref="N32:P32"/>
    <mergeCell ref="N33:P33"/>
    <mergeCell ref="N34:P34"/>
    <mergeCell ref="N35:P35"/>
    <mergeCell ref="N37:P37"/>
    <mergeCell ref="F39:F40"/>
    <mergeCell ref="F32:F33"/>
    <mergeCell ref="F34:F35"/>
    <mergeCell ref="F37:F38"/>
    <mergeCell ref="L31:Q31"/>
    <mergeCell ref="L36:Q36"/>
    <mergeCell ref="J36:K36"/>
    <mergeCell ref="H37:H38"/>
    <mergeCell ref="I37:I38"/>
    <mergeCell ref="J37:K38"/>
    <mergeCell ref="H39:H40"/>
    <mergeCell ref="N25:P25"/>
    <mergeCell ref="N27:P27"/>
    <mergeCell ref="N28:P28"/>
    <mergeCell ref="N29:P29"/>
    <mergeCell ref="F24:F25"/>
    <mergeCell ref="F27:F28"/>
    <mergeCell ref="F29:F30"/>
    <mergeCell ref="L26:Q26"/>
    <mergeCell ref="H21:H22"/>
    <mergeCell ref="I21:I22"/>
    <mergeCell ref="J23:K23"/>
    <mergeCell ref="H24:H25"/>
    <mergeCell ref="I24:I25"/>
    <mergeCell ref="J24:K25"/>
    <mergeCell ref="L24:M24"/>
    <mergeCell ref="L25:M25"/>
    <mergeCell ref="L23:Q23"/>
    <mergeCell ref="I18:I19"/>
    <mergeCell ref="J18:J19"/>
    <mergeCell ref="K18:K19"/>
    <mergeCell ref="I11:I12"/>
    <mergeCell ref="J11:J12"/>
    <mergeCell ref="K11:K12"/>
    <mergeCell ref="N21:P21"/>
    <mergeCell ref="N22:P22"/>
    <mergeCell ref="N24:P24"/>
    <mergeCell ref="J20:K20"/>
    <mergeCell ref="J21:K22"/>
    <mergeCell ref="N17:P17"/>
    <mergeCell ref="N18:P18"/>
    <mergeCell ref="N19:P19"/>
    <mergeCell ref="L20:Q20"/>
    <mergeCell ref="L17:M17"/>
    <mergeCell ref="L18:M18"/>
    <mergeCell ref="L19:M19"/>
    <mergeCell ref="L21:M21"/>
    <mergeCell ref="L22:M22"/>
    <mergeCell ref="J16:J17"/>
    <mergeCell ref="K16:K17"/>
    <mergeCell ref="L13:M13"/>
    <mergeCell ref="L14:M14"/>
    <mergeCell ref="J31:K31"/>
    <mergeCell ref="H32:H33"/>
    <mergeCell ref="I32:I33"/>
    <mergeCell ref="J32:K33"/>
    <mergeCell ref="H34:H35"/>
    <mergeCell ref="I34:I35"/>
    <mergeCell ref="J34:K35"/>
    <mergeCell ref="J26:K26"/>
    <mergeCell ref="J27:K28"/>
    <mergeCell ref="J29:K30"/>
    <mergeCell ref="H27:H28"/>
    <mergeCell ref="I27:I28"/>
    <mergeCell ref="H29:H30"/>
    <mergeCell ref="I29:I30"/>
    <mergeCell ref="E24:E25"/>
    <mergeCell ref="E21:E22"/>
    <mergeCell ref="H7:H8"/>
    <mergeCell ref="E39:E40"/>
    <mergeCell ref="E16:E17"/>
    <mergeCell ref="G16:G17"/>
    <mergeCell ref="E18:E19"/>
    <mergeCell ref="G18:G19"/>
    <mergeCell ref="F21:F22"/>
    <mergeCell ref="E27:E28"/>
    <mergeCell ref="E29:E30"/>
    <mergeCell ref="E37:E38"/>
    <mergeCell ref="E32:E33"/>
    <mergeCell ref="E34:E35"/>
    <mergeCell ref="H13:H14"/>
    <mergeCell ref="H9:H10"/>
    <mergeCell ref="F7:F8"/>
    <mergeCell ref="F9:F10"/>
    <mergeCell ref="F11:F12"/>
    <mergeCell ref="F13:F14"/>
    <mergeCell ref="F16:F17"/>
    <mergeCell ref="F18:F19"/>
    <mergeCell ref="H16:H17"/>
    <mergeCell ref="H18:H19"/>
    <mergeCell ref="L4:M5"/>
    <mergeCell ref="L7:M7"/>
    <mergeCell ref="L8:M8"/>
    <mergeCell ref="L9:M9"/>
    <mergeCell ref="L10:M10"/>
    <mergeCell ref="H4:K5"/>
    <mergeCell ref="N4:O5"/>
    <mergeCell ref="L11:M11"/>
    <mergeCell ref="L12:M12"/>
    <mergeCell ref="I7:I8"/>
    <mergeCell ref="J7:J8"/>
    <mergeCell ref="K7:K8"/>
    <mergeCell ref="I9:I10"/>
    <mergeCell ref="J9:J10"/>
    <mergeCell ref="K9:K10"/>
    <mergeCell ref="N11:O11"/>
    <mergeCell ref="N12:O12"/>
    <mergeCell ref="L16:M16"/>
    <mergeCell ref="N7:O7"/>
    <mergeCell ref="N8:O8"/>
    <mergeCell ref="N9:O9"/>
    <mergeCell ref="N10:O10"/>
    <mergeCell ref="E7:E8"/>
    <mergeCell ref="G7:G8"/>
    <mergeCell ref="E9:E10"/>
    <mergeCell ref="G9:G10"/>
    <mergeCell ref="E11:E12"/>
    <mergeCell ref="G11:G12"/>
    <mergeCell ref="H11:H12"/>
    <mergeCell ref="I13:I14"/>
    <mergeCell ref="J13:J14"/>
    <mergeCell ref="K13:K14"/>
    <mergeCell ref="N13:O13"/>
    <mergeCell ref="N14:O14"/>
    <mergeCell ref="L15:Q15"/>
    <mergeCell ref="N16:P16"/>
    <mergeCell ref="I16:I17"/>
    <mergeCell ref="E4:E5"/>
    <mergeCell ref="G4:G5"/>
    <mergeCell ref="C4:C5"/>
    <mergeCell ref="D4:D5"/>
    <mergeCell ref="E13:E14"/>
    <mergeCell ref="G13:G14"/>
    <mergeCell ref="C13:C14"/>
    <mergeCell ref="D13:D14"/>
    <mergeCell ref="C7:C8"/>
    <mergeCell ref="D7:D8"/>
    <mergeCell ref="C9:C10"/>
    <mergeCell ref="D9:D10"/>
    <mergeCell ref="C11:C12"/>
    <mergeCell ref="D11:D12"/>
    <mergeCell ref="F4:F5"/>
    <mergeCell ref="C39:C40"/>
    <mergeCell ref="D39:D40"/>
    <mergeCell ref="C16:C17"/>
    <mergeCell ref="D16:D17"/>
    <mergeCell ref="C18:C19"/>
    <mergeCell ref="D18:D19"/>
    <mergeCell ref="C32:C33"/>
    <mergeCell ref="D32:D33"/>
    <mergeCell ref="C34:C35"/>
    <mergeCell ref="D34:D35"/>
    <mergeCell ref="C37:C38"/>
    <mergeCell ref="D37:D38"/>
    <mergeCell ref="C27:C28"/>
    <mergeCell ref="D27:D28"/>
    <mergeCell ref="C29:C30"/>
    <mergeCell ref="D29:D30"/>
    <mergeCell ref="C21:C22"/>
    <mergeCell ref="D21:D22"/>
    <mergeCell ref="C24:C25"/>
    <mergeCell ref="D24:D25"/>
  </mergeCells>
  <dataValidations count="1">
    <dataValidation type="list" showInputMessage="1" showErrorMessage="1" sqref="A24:A40 A94 A59">
      <formula1>$AL$1:$AL$4</formula1>
    </dataValidation>
  </dataValidations>
  <pageMargins left="0" right="0" top="0" bottom="0" header="0" footer="0"/>
  <pageSetup scale="23" fitToHeight="0"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3">
    <pageSetUpPr fitToPage="1"/>
  </sheetPr>
  <dimension ref="A1:BP190"/>
  <sheetViews>
    <sheetView showGridLines="0" topLeftCell="B1" zoomScale="55" zoomScaleNormal="55" workbookViewId="0">
      <selection activeCell="S30" sqref="S30"/>
    </sheetView>
  </sheetViews>
  <sheetFormatPr defaultRowHeight="15"/>
  <cols>
    <col min="1" max="1" width="11.7109375" style="143" customWidth="1"/>
    <col min="2" max="2" width="6.42578125" style="8" customWidth="1"/>
    <col min="3" max="3" width="13.140625" style="138" customWidth="1"/>
    <col min="4" max="4" width="7.140625" style="138" bestFit="1" customWidth="1"/>
    <col min="5" max="5" width="14.5703125" style="138" customWidth="1"/>
    <col min="6" max="6" width="12.42578125" style="138" customWidth="1"/>
    <col min="7" max="7" width="22.28515625" style="138" bestFit="1" customWidth="1"/>
    <col min="8" max="8" width="11.140625" style="138" bestFit="1" customWidth="1"/>
    <col min="9" max="9" width="19" style="138" bestFit="1" customWidth="1"/>
    <col min="10" max="10" width="10.28515625" style="21" bestFit="1" customWidth="1"/>
    <col min="11" max="11" width="15.7109375" style="21" bestFit="1" customWidth="1"/>
    <col min="12" max="12" width="17" style="21" bestFit="1" customWidth="1"/>
    <col min="13" max="13" width="19.42578125" style="167" bestFit="1" customWidth="1"/>
    <col min="14" max="14" width="11.5703125" style="139" bestFit="1" customWidth="1"/>
    <col min="15" max="15" width="69" style="139" bestFit="1" customWidth="1"/>
    <col min="16" max="16" width="27.42578125" style="139" customWidth="1"/>
    <col min="17" max="17" width="25.7109375" style="140" customWidth="1"/>
    <col min="18" max="18" width="11.42578125" style="142" customWidth="1"/>
    <col min="19" max="19" width="14" style="7" customWidth="1"/>
    <col min="20" max="20" width="10.42578125" style="7" bestFit="1" customWidth="1"/>
    <col min="21" max="21" width="4" style="6" customWidth="1"/>
    <col min="22" max="22" width="8.28515625" style="7" customWidth="1"/>
    <col min="23" max="23" width="6.42578125" style="7" customWidth="1"/>
    <col min="24" max="24" width="10" style="7" bestFit="1" customWidth="1"/>
    <col min="25" max="25" width="7.28515625" style="7" customWidth="1"/>
    <col min="26" max="26" width="14.28515625" style="18" customWidth="1"/>
    <col min="27" max="28" width="14.28515625" style="8" customWidth="1"/>
    <col min="29" max="29" width="23.28515625" style="8" customWidth="1"/>
    <col min="30" max="30" width="9.140625" style="8" hidden="1" customWidth="1"/>
    <col min="31" max="31" width="11.28515625" style="8" hidden="1" customWidth="1"/>
    <col min="32" max="34" width="9.140625" style="8" hidden="1" customWidth="1"/>
    <col min="35" max="35" width="6.42578125" style="8" hidden="1" customWidth="1"/>
    <col min="36" max="36" width="9.140625" style="8" hidden="1" customWidth="1"/>
    <col min="37" max="37" width="12.5703125" style="8" hidden="1" customWidth="1"/>
    <col min="38" max="38" width="9.140625" style="8" hidden="1" customWidth="1"/>
    <col min="39" max="39" width="10.85546875" style="8" hidden="1" customWidth="1"/>
    <col min="40" max="40" width="9.28515625" style="8" hidden="1" customWidth="1"/>
    <col min="41" max="41" width="9.140625" style="8" hidden="1" customWidth="1"/>
    <col min="42" max="16384" width="9.140625" style="8"/>
  </cols>
  <sheetData>
    <row r="1" spans="1:68" ht="18" customHeight="1">
      <c r="A1" s="2"/>
      <c r="B1" s="3"/>
      <c r="C1" s="3"/>
      <c r="D1" s="3"/>
      <c r="E1" s="3"/>
      <c r="F1" s="3"/>
      <c r="G1" s="760" t="s">
        <v>28</v>
      </c>
      <c r="H1" s="760"/>
      <c r="I1" s="760"/>
      <c r="J1" s="760"/>
      <c r="K1" s="760"/>
      <c r="L1" s="760"/>
      <c r="M1" s="760"/>
      <c r="N1" s="760"/>
      <c r="O1" s="760"/>
      <c r="P1" s="760"/>
      <c r="Q1" s="4"/>
      <c r="R1" s="763" t="s">
        <v>29</v>
      </c>
      <c r="S1" s="763"/>
      <c r="T1" s="5">
        <f ca="1">TODAY()</f>
        <v>42114</v>
      </c>
      <c r="Z1" s="744" t="s">
        <v>30</v>
      </c>
      <c r="AA1" s="746">
        <v>500</v>
      </c>
      <c r="AD1" s="748" t="s">
        <v>31</v>
      </c>
      <c r="AE1" s="748"/>
      <c r="AF1" s="9"/>
      <c r="AG1" s="9"/>
      <c r="AH1" s="9"/>
      <c r="AI1" s="9"/>
      <c r="AJ1" s="748" t="s">
        <v>32</v>
      </c>
      <c r="AK1" s="748"/>
      <c r="AL1" s="9"/>
      <c r="AM1" s="9"/>
      <c r="AN1" s="9"/>
      <c r="AO1" s="9"/>
      <c r="AP1" s="9"/>
      <c r="AQ1" s="9"/>
      <c r="AR1" s="9"/>
      <c r="AS1" s="9"/>
      <c r="AT1" s="9"/>
      <c r="AU1" s="9"/>
      <c r="AV1" s="9"/>
      <c r="AW1" s="9"/>
      <c r="AX1" s="9"/>
      <c r="AY1" s="9"/>
      <c r="AZ1" s="9"/>
      <c r="BA1" s="9"/>
      <c r="BB1" s="9"/>
      <c r="BC1" s="9"/>
      <c r="BD1" s="9"/>
      <c r="BE1" s="9"/>
      <c r="BF1" s="9"/>
      <c r="BG1" s="9"/>
      <c r="BH1" s="9"/>
      <c r="BI1" s="9"/>
      <c r="BJ1" s="9"/>
      <c r="BK1" s="9"/>
      <c r="BL1" s="9"/>
      <c r="BM1" s="9"/>
      <c r="BN1" s="9"/>
      <c r="BO1" s="9"/>
      <c r="BP1" s="9"/>
    </row>
    <row r="2" spans="1:68" ht="18" customHeight="1" thickBot="1">
      <c r="A2" s="10"/>
      <c r="B2" s="11"/>
      <c r="C2" s="756" t="s">
        <v>33</v>
      </c>
      <c r="D2" s="756"/>
      <c r="E2" s="757">
        <f ca="1">NOW()</f>
        <v>42114.740380439798</v>
      </c>
      <c r="F2" s="757"/>
      <c r="G2" s="761"/>
      <c r="H2" s="761"/>
      <c r="I2" s="761"/>
      <c r="J2" s="761"/>
      <c r="K2" s="761"/>
      <c r="L2" s="761"/>
      <c r="M2" s="761"/>
      <c r="N2" s="761"/>
      <c r="O2" s="761"/>
      <c r="P2" s="761"/>
      <c r="Q2" s="12"/>
      <c r="R2" s="756" t="s">
        <v>34</v>
      </c>
      <c r="S2" s="756"/>
      <c r="T2" s="361">
        <f ca="1">NOW()</f>
        <v>42114.740380439798</v>
      </c>
      <c r="Z2" s="745"/>
      <c r="AA2" s="747"/>
      <c r="AD2" s="748"/>
      <c r="AE2" s="748"/>
      <c r="AF2" s="9"/>
      <c r="AG2" s="9"/>
      <c r="AH2" s="9"/>
      <c r="AI2" s="9"/>
      <c r="AJ2" s="748"/>
      <c r="AK2" s="748"/>
      <c r="AL2" s="9"/>
      <c r="AM2" s="9"/>
      <c r="AN2" s="9"/>
      <c r="AO2" s="9"/>
      <c r="AP2" s="9"/>
      <c r="AQ2" s="9"/>
      <c r="AR2" s="9"/>
      <c r="AS2" s="9"/>
      <c r="AT2" s="9"/>
      <c r="AU2" s="9"/>
      <c r="AV2" s="9"/>
      <c r="AW2" s="9"/>
      <c r="AX2" s="9"/>
      <c r="AY2" s="9"/>
      <c r="AZ2" s="9"/>
      <c r="BA2" s="9"/>
      <c r="BB2" s="9"/>
      <c r="BC2" s="9"/>
      <c r="BD2" s="9"/>
      <c r="BE2" s="9"/>
      <c r="BF2" s="9"/>
      <c r="BG2" s="9"/>
      <c r="BH2" s="9"/>
      <c r="BI2" s="9"/>
      <c r="BJ2" s="9"/>
      <c r="BK2" s="9"/>
      <c r="BL2" s="9"/>
      <c r="BM2" s="9"/>
      <c r="BN2" s="9"/>
      <c r="BO2" s="9"/>
      <c r="BP2" s="9"/>
    </row>
    <row r="3" spans="1:68" ht="18" customHeight="1">
      <c r="A3" s="14"/>
      <c r="B3" s="15"/>
      <c r="C3" s="758" t="s">
        <v>35</v>
      </c>
      <c r="D3" s="758"/>
      <c r="E3" s="759" t="s">
        <v>36</v>
      </c>
      <c r="F3" s="759"/>
      <c r="G3" s="762"/>
      <c r="H3" s="762"/>
      <c r="I3" s="762"/>
      <c r="J3" s="762"/>
      <c r="K3" s="762"/>
      <c r="L3" s="762"/>
      <c r="M3" s="762"/>
      <c r="N3" s="762"/>
      <c r="O3" s="762"/>
      <c r="P3" s="762"/>
      <c r="Q3" s="16"/>
      <c r="R3" s="758" t="s">
        <v>37</v>
      </c>
      <c r="S3" s="758"/>
      <c r="T3" s="13" t="str">
        <f ca="1">TEXT((TODAY() -DATEVALUE("1/1/"&amp;TEXT(TODAY(),"yy"))+1),"000")</f>
        <v>110</v>
      </c>
      <c r="U3" s="17"/>
      <c r="V3" s="17"/>
      <c r="W3" s="17"/>
      <c r="X3" s="17"/>
      <c r="Y3" s="17"/>
      <c r="AD3" s="749" t="s">
        <v>38</v>
      </c>
      <c r="AE3" s="749" t="s">
        <v>39</v>
      </c>
      <c r="AF3" s="9"/>
      <c r="AG3" s="9"/>
      <c r="AH3" s="9"/>
      <c r="AI3" s="9"/>
      <c r="AJ3" s="749" t="s">
        <v>38</v>
      </c>
      <c r="AK3" s="749" t="s">
        <v>39</v>
      </c>
      <c r="AL3" s="9"/>
      <c r="AM3" s="9"/>
      <c r="AN3" s="9"/>
      <c r="AO3" s="9"/>
      <c r="AP3" s="9"/>
      <c r="AQ3" s="9"/>
      <c r="AR3" s="9"/>
      <c r="AS3" s="9"/>
      <c r="AT3" s="9"/>
      <c r="AU3" s="9"/>
      <c r="AV3" s="9"/>
      <c r="AW3" s="9"/>
      <c r="AX3" s="9"/>
      <c r="AY3" s="9"/>
      <c r="AZ3" s="9"/>
      <c r="BA3" s="9"/>
      <c r="BB3" s="9"/>
      <c r="BC3" s="9"/>
      <c r="BD3" s="9"/>
      <c r="BE3" s="9"/>
      <c r="BF3" s="9"/>
      <c r="BG3" s="9"/>
      <c r="BH3" s="9"/>
      <c r="BI3" s="9"/>
      <c r="BJ3" s="9"/>
      <c r="BK3" s="9"/>
      <c r="BL3" s="9"/>
      <c r="BM3" s="9"/>
      <c r="BN3" s="9"/>
      <c r="BO3" s="9"/>
      <c r="BP3" s="9"/>
    </row>
    <row r="4" spans="1:68" s="17" customFormat="1" ht="19.5" customHeight="1">
      <c r="A4" s="19" t="s">
        <v>40</v>
      </c>
      <c r="B4" s="754" t="s">
        <v>41</v>
      </c>
      <c r="C4" s="754" t="s">
        <v>42</v>
      </c>
      <c r="D4" s="754" t="s">
        <v>4</v>
      </c>
      <c r="E4" s="754" t="s">
        <v>43</v>
      </c>
      <c r="F4" s="754" t="s">
        <v>44</v>
      </c>
      <c r="G4" s="754" t="s">
        <v>45</v>
      </c>
      <c r="H4" s="754" t="s">
        <v>46</v>
      </c>
      <c r="I4" s="772" t="s">
        <v>47</v>
      </c>
      <c r="J4" s="754" t="s">
        <v>48</v>
      </c>
      <c r="K4" s="754" t="s">
        <v>49</v>
      </c>
      <c r="L4" s="754" t="s">
        <v>50</v>
      </c>
      <c r="M4" s="774" t="s">
        <v>51</v>
      </c>
      <c r="N4" s="754" t="s">
        <v>52</v>
      </c>
      <c r="O4" s="764" t="s">
        <v>53</v>
      </c>
      <c r="P4" s="765"/>
      <c r="Q4" s="765"/>
      <c r="R4" s="768" t="s">
        <v>54</v>
      </c>
      <c r="S4" s="768"/>
      <c r="T4" s="769"/>
      <c r="U4" s="20"/>
      <c r="V4" s="21"/>
      <c r="Z4" s="750" t="s">
        <v>42</v>
      </c>
      <c r="AA4" s="752" t="s">
        <v>55</v>
      </c>
      <c r="AB4" s="752" t="s">
        <v>56</v>
      </c>
      <c r="AD4" s="749"/>
      <c r="AE4" s="749"/>
      <c r="AF4" s="22"/>
      <c r="AG4" s="22"/>
      <c r="AH4" s="22"/>
      <c r="AI4" s="22"/>
      <c r="AJ4" s="749"/>
      <c r="AK4" s="749"/>
      <c r="AL4" s="22"/>
      <c r="AM4" s="22"/>
      <c r="AN4" s="22"/>
      <c r="AO4" s="22"/>
      <c r="AP4" s="22"/>
      <c r="AQ4" s="22"/>
      <c r="AR4" s="22"/>
      <c r="AS4" s="22"/>
      <c r="AT4" s="22"/>
      <c r="AU4" s="22"/>
      <c r="AV4" s="22"/>
      <c r="AW4" s="22"/>
      <c r="AX4" s="22"/>
      <c r="AY4" s="22"/>
      <c r="AZ4" s="22"/>
      <c r="BA4" s="22"/>
      <c r="BB4" s="22"/>
      <c r="BC4" s="22"/>
      <c r="BD4" s="22"/>
      <c r="BE4" s="22"/>
      <c r="BF4" s="22"/>
      <c r="BG4" s="22"/>
      <c r="BH4" s="22"/>
      <c r="BI4" s="22"/>
      <c r="BJ4" s="22"/>
      <c r="BK4" s="22"/>
      <c r="BL4" s="22"/>
      <c r="BM4" s="22"/>
      <c r="BN4" s="22"/>
      <c r="BO4" s="22"/>
      <c r="BP4" s="22"/>
    </row>
    <row r="5" spans="1:68" s="17" customFormat="1" ht="16.5" thickBot="1">
      <c r="A5" s="23" t="s">
        <v>57</v>
      </c>
      <c r="B5" s="755"/>
      <c r="C5" s="755"/>
      <c r="D5" s="755"/>
      <c r="E5" s="755"/>
      <c r="F5" s="755"/>
      <c r="G5" s="755"/>
      <c r="H5" s="755"/>
      <c r="I5" s="773"/>
      <c r="J5" s="755"/>
      <c r="K5" s="755"/>
      <c r="L5" s="755"/>
      <c r="M5" s="775"/>
      <c r="N5" s="755"/>
      <c r="O5" s="766"/>
      <c r="P5" s="767"/>
      <c r="Q5" s="767"/>
      <c r="R5" s="770"/>
      <c r="S5" s="770"/>
      <c r="T5" s="771"/>
      <c r="U5" s="20"/>
      <c r="V5" s="21"/>
      <c r="Z5" s="751"/>
      <c r="AA5" s="753"/>
      <c r="AB5" s="753"/>
      <c r="AD5" s="24"/>
      <c r="AE5" s="24"/>
      <c r="AF5" s="22"/>
      <c r="AG5" s="25">
        <f ca="1">COUNTIF(AE6:AE13,"&gt;0")</f>
        <v>8</v>
      </c>
      <c r="AH5" s="25">
        <f ca="1">$AA$1/($AG$5-1)</f>
        <v>71.400000000000006</v>
      </c>
      <c r="AI5" s="22"/>
      <c r="AJ5" s="24"/>
      <c r="AK5" s="24"/>
      <c r="AL5" s="22"/>
      <c r="AM5" s="25">
        <f ca="1">COUNTIF(AK5:AK29,"&gt;0")</f>
        <v>24</v>
      </c>
      <c r="AN5" s="22">
        <f ca="1">$AA$1/($AM$5-1)</f>
        <v>21.74</v>
      </c>
      <c r="AO5" s="22"/>
      <c r="AP5" s="22"/>
      <c r="AQ5" s="22"/>
      <c r="AR5" s="22"/>
      <c r="AS5" s="22"/>
      <c r="AT5" s="22"/>
      <c r="AU5" s="22"/>
      <c r="AV5" s="22"/>
      <c r="AW5" s="22"/>
      <c r="AX5" s="22"/>
      <c r="AY5" s="22"/>
      <c r="AZ5" s="22"/>
      <c r="BA5" s="22"/>
      <c r="BB5" s="22"/>
      <c r="BC5" s="22"/>
      <c r="BD5" s="22"/>
      <c r="BE5" s="22"/>
      <c r="BF5" s="22"/>
      <c r="BG5" s="22"/>
      <c r="BH5" s="22"/>
      <c r="BI5" s="22"/>
      <c r="BJ5" s="22"/>
      <c r="BK5" s="22"/>
      <c r="BL5" s="22"/>
      <c r="BM5" s="22"/>
      <c r="BN5" s="22"/>
      <c r="BO5" s="22"/>
      <c r="BP5" s="22"/>
    </row>
    <row r="6" spans="1:68" s="17" customFormat="1" ht="22.5" customHeight="1">
      <c r="A6" s="781" t="s">
        <v>58</v>
      </c>
      <c r="B6" s="778" t="s">
        <v>15</v>
      </c>
      <c r="C6" s="288" t="str">
        <f>Status!$A$7</f>
        <v>02-05298</v>
      </c>
      <c r="D6" s="284" t="str">
        <f>Status!$C$7</f>
        <v>Y</v>
      </c>
      <c r="E6" s="28" t="s">
        <v>329</v>
      </c>
      <c r="F6" s="283">
        <f>Status!$G$7</f>
        <v>6772.2</v>
      </c>
      <c r="G6" s="284" t="str">
        <f>Status!B7</f>
        <v>PMCS</v>
      </c>
      <c r="H6" s="283">
        <f>F6-AB6</f>
        <v>6</v>
      </c>
      <c r="I6" s="283">
        <f>Status!$L$7</f>
        <v>189.2</v>
      </c>
      <c r="J6" s="284" t="str">
        <f>Status!$F$7</f>
        <v>Campbell</v>
      </c>
      <c r="K6" s="285">
        <f>Status!$X$7</f>
        <v>42080</v>
      </c>
      <c r="L6" s="72"/>
      <c r="M6" s="34">
        <f ca="1">Status!$X$8</f>
        <v>35</v>
      </c>
      <c r="N6" s="290">
        <f>Status!$X$9</f>
        <v>42185</v>
      </c>
      <c r="O6" s="292" t="str">
        <f>IF($G$6="MTF/MOC",Status!$M$8,Status!$M$7)</f>
        <v>A/C Reset - Ft. Campbell</v>
      </c>
      <c r="P6" s="797" t="str">
        <f>IF($G$6="MTF/MOC",Status!$T$8,(IF(ISBLANK(Status!$T$7),"",Status!$T$7)))</f>
        <v>Lockheed Martin Reset Team</v>
      </c>
      <c r="Q6" s="798"/>
      <c r="R6" s="36" t="s">
        <v>16</v>
      </c>
      <c r="S6" s="294">
        <f ca="1">'A Co Readiness'!$E$244</f>
        <v>0</v>
      </c>
      <c r="T6" s="38">
        <f ca="1">S6/S11</f>
        <v>0</v>
      </c>
      <c r="Z6" s="39" t="str">
        <f>$C$6</f>
        <v>02-05298</v>
      </c>
      <c r="AA6" s="283">
        <f>$F$6+$I$6</f>
        <v>6961.4</v>
      </c>
      <c r="AB6" s="29">
        <v>6766.2</v>
      </c>
      <c r="AD6" s="40" t="str">
        <f>IF(ISBLANK($C$8),"NA",RIGHT($C$8,3))</f>
        <v>042</v>
      </c>
      <c r="AE6" s="41">
        <f>IF($I$8&gt;0,$I$8,"NA")</f>
        <v>45.6</v>
      </c>
      <c r="AF6" s="22"/>
      <c r="AG6" s="25">
        <f>$AA$1</f>
        <v>500</v>
      </c>
      <c r="AH6" s="25"/>
      <c r="AI6" s="22"/>
      <c r="AJ6" s="40" t="str">
        <f>IF(ISBLANK($C$18),"NA",RIGHT($C$18,3))</f>
        <v>044</v>
      </c>
      <c r="AK6" s="42">
        <f>IF($I$18&gt;0,$I$18,"NA")</f>
        <v>335</v>
      </c>
      <c r="AL6" s="22"/>
      <c r="AM6" s="25">
        <f>$AA$1</f>
        <v>500</v>
      </c>
      <c r="AN6" s="22"/>
      <c r="AO6" s="22"/>
      <c r="AP6" s="22"/>
      <c r="AQ6" s="22"/>
      <c r="AR6" s="22"/>
      <c r="AS6" s="22"/>
      <c r="AT6" s="22"/>
      <c r="AU6" s="22"/>
      <c r="AV6" s="22"/>
      <c r="AW6" s="22"/>
      <c r="AX6" s="22"/>
      <c r="AY6" s="22"/>
      <c r="AZ6" s="22"/>
      <c r="BA6" s="22"/>
      <c r="BB6" s="22"/>
      <c r="BC6" s="22"/>
      <c r="BD6" s="22"/>
      <c r="BE6" s="22"/>
      <c r="BF6" s="22"/>
      <c r="BG6" s="22"/>
      <c r="BH6" s="22"/>
      <c r="BI6" s="22"/>
      <c r="BJ6" s="22"/>
      <c r="BK6" s="22"/>
      <c r="BL6" s="22"/>
      <c r="BM6" s="22"/>
      <c r="BN6" s="22"/>
      <c r="BO6" s="22"/>
      <c r="BP6" s="22"/>
    </row>
    <row r="7" spans="1:68" s="17" customFormat="1" ht="22.5" customHeight="1">
      <c r="A7" s="782"/>
      <c r="B7" s="779"/>
      <c r="C7" s="289" t="str">
        <f>Status!$A$10</f>
        <v>07-07036</v>
      </c>
      <c r="D7" s="286" t="str">
        <f>Status!$C$10</f>
        <v>N</v>
      </c>
      <c r="E7" s="44" t="s">
        <v>329</v>
      </c>
      <c r="F7" s="31">
        <f>Status!$G$10</f>
        <v>1990.3</v>
      </c>
      <c r="G7" s="286" t="str">
        <f>Status!B10</f>
        <v>NMCS</v>
      </c>
      <c r="H7" s="31">
        <f>$F$7-$AB$7</f>
        <v>0</v>
      </c>
      <c r="I7" s="31">
        <f>Status!$L$10</f>
        <v>36.6</v>
      </c>
      <c r="J7" s="286" t="str">
        <f>Status!$F$10</f>
        <v>KFCS</v>
      </c>
      <c r="K7" s="287">
        <f>Status!$X$10</f>
        <v>42110</v>
      </c>
      <c r="L7" s="33"/>
      <c r="M7" s="48">
        <f ca="1">Status!$X$11</f>
        <v>5</v>
      </c>
      <c r="N7" s="291">
        <f>Status!$X$12</f>
        <v>42139</v>
      </c>
      <c r="O7" s="293" t="str">
        <f>IF($G$7="MTF/MOC",Status!$M$11,Status!$M$10)</f>
        <v xml:space="preserve">500 Hour Phase </v>
      </c>
      <c r="P7" s="793" t="str">
        <f>IF($G$7="MTF/MOC",Status!$T$11,(IF(ISBLANK(Status!$T$10),"",Status!$T$10)))</f>
        <v>PAE, Ongoing</v>
      </c>
      <c r="Q7" s="794"/>
      <c r="R7" s="49" t="s">
        <v>65</v>
      </c>
      <c r="S7" s="295">
        <f ca="1">'A Co Readiness'!$H$244</f>
        <v>243</v>
      </c>
      <c r="T7" s="51">
        <f ca="1">S7/S11</f>
        <v>0.253</v>
      </c>
      <c r="Z7" s="39" t="str">
        <f>$C$7</f>
        <v>07-07036</v>
      </c>
      <c r="AA7" s="30">
        <f>$F$7+$I$7</f>
        <v>2026.9</v>
      </c>
      <c r="AB7" s="46">
        <v>1990.3</v>
      </c>
      <c r="AD7" s="52" t="str">
        <f>IF(ISBLANK($C$7),"NA",RIGHT($C$7,3))</f>
        <v>036</v>
      </c>
      <c r="AE7" s="42">
        <f>IF($I$7&gt;0,$I$7,"NA")</f>
        <v>36.6</v>
      </c>
      <c r="AF7" s="22"/>
      <c r="AG7" s="25">
        <f t="shared" ref="AG7:AG13" ca="1" si="0">IF(AG6-$AH$5&gt;=0,AG6-$AH$5,-1)</f>
        <v>428.6</v>
      </c>
      <c r="AH7" s="25"/>
      <c r="AI7" s="22"/>
      <c r="AJ7" s="40" t="str">
        <f>IF(ISBLANK($C$17),"NA",RIGHT($C$17,3))</f>
        <v>041</v>
      </c>
      <c r="AK7" s="42">
        <f>IF($I$17&gt;0,$I$17,"NA")</f>
        <v>74.400000000000006</v>
      </c>
      <c r="AL7" s="22"/>
      <c r="AM7" s="25">
        <f ca="1">IF(AM6-$AN$5&gt;=0,AM6-$AN$5,-1)</f>
        <v>478.3</v>
      </c>
      <c r="AN7" s="22"/>
      <c r="AO7" s="22"/>
      <c r="AP7" s="22"/>
      <c r="AQ7" s="22"/>
      <c r="AR7" s="22"/>
      <c r="AS7" s="22"/>
      <c r="AT7" s="22"/>
      <c r="AU7" s="22"/>
      <c r="AV7" s="22"/>
      <c r="AW7" s="22"/>
      <c r="AX7" s="22"/>
      <c r="AY7" s="22"/>
      <c r="AZ7" s="22"/>
      <c r="BA7" s="22"/>
      <c r="BB7" s="22"/>
      <c r="BC7" s="22"/>
      <c r="BD7" s="22"/>
      <c r="BE7" s="22"/>
      <c r="BF7" s="22"/>
      <c r="BG7" s="22"/>
      <c r="BH7" s="22"/>
      <c r="BI7" s="22"/>
      <c r="BJ7" s="22"/>
      <c r="BK7" s="22"/>
      <c r="BL7" s="22"/>
      <c r="BM7" s="22"/>
      <c r="BN7" s="22"/>
      <c r="BO7" s="22"/>
      <c r="BP7" s="22"/>
    </row>
    <row r="8" spans="1:68" s="17" customFormat="1" ht="22.5" customHeight="1">
      <c r="A8" s="782"/>
      <c r="B8" s="779"/>
      <c r="C8" s="289" t="str">
        <f>Status!$A$13</f>
        <v>07-07042</v>
      </c>
      <c r="D8" s="286" t="str">
        <f>Status!$C$13</f>
        <v>N</v>
      </c>
      <c r="E8" s="44" t="s">
        <v>329</v>
      </c>
      <c r="F8" s="31">
        <f>Status!$G$13</f>
        <v>1645.6</v>
      </c>
      <c r="G8" s="286" t="str">
        <f>Status!B13</f>
        <v>NMCS</v>
      </c>
      <c r="H8" s="31">
        <f>$F$8-$AB$8</f>
        <v>0</v>
      </c>
      <c r="I8" s="31">
        <f>Status!$L$13</f>
        <v>45.6</v>
      </c>
      <c r="J8" s="286" t="str">
        <f>Status!$F$13</f>
        <v>KFCS</v>
      </c>
      <c r="K8" s="287">
        <f>Status!$X$13</f>
        <v>42110</v>
      </c>
      <c r="L8" s="33"/>
      <c r="M8" s="48">
        <f ca="1">Status!$X$14</f>
        <v>5</v>
      </c>
      <c r="N8" s="291">
        <f>Status!$X$15</f>
        <v>42124</v>
      </c>
      <c r="O8" s="293" t="str">
        <f>IF($G$8="MTF/MOC",Status!$M$14,Status!$M$13)</f>
        <v>A/C 500 HR Phase Inspection</v>
      </c>
      <c r="P8" s="793" t="str">
        <f>IF($G$8="MTF/MOC",Status!$T$14,(IF(ISBLANK(Status!$T$13),"",Status!$T$13)))</f>
        <v>404, On-going</v>
      </c>
      <c r="Q8" s="794"/>
      <c r="R8" s="49" t="s">
        <v>24</v>
      </c>
      <c r="S8" s="295">
        <f ca="1">'A Co Readiness'!$I$244</f>
        <v>275</v>
      </c>
      <c r="T8" s="51">
        <f ca="1">S8/S11</f>
        <v>0.28599999999999998</v>
      </c>
      <c r="Z8" s="39" t="str">
        <f>$C$8</f>
        <v>07-07042</v>
      </c>
      <c r="AA8" s="30">
        <f>$F$8+$I$8</f>
        <v>1691.2</v>
      </c>
      <c r="AB8" s="46">
        <v>1645.6</v>
      </c>
      <c r="AD8" s="52" t="str">
        <f>IF(ISBLANK($C$6),"NA",RIGHT($C$6,3))</f>
        <v>298</v>
      </c>
      <c r="AE8" s="42">
        <f ca="1">RAND()*0+$I$6</f>
        <v>189.2</v>
      </c>
      <c r="AF8" s="22"/>
      <c r="AG8" s="25">
        <f t="shared" ca="1" si="0"/>
        <v>357.2</v>
      </c>
      <c r="AH8" s="25"/>
      <c r="AI8" s="22"/>
      <c r="AJ8" s="52" t="str">
        <f>IF(ISBLANK($C$15),"NA",RIGHT($C$15,3))</f>
        <v>524</v>
      </c>
      <c r="AK8" s="42">
        <f>IF($I$15&gt;0,$I$15,"NA")</f>
        <v>50.3</v>
      </c>
      <c r="AL8" s="22"/>
      <c r="AM8" s="25">
        <f t="shared" ref="AM8:AM29" ca="1" si="1">IF(AM7-$AN$5&gt;=0,AM7-$AN$5,-1)</f>
        <v>456.6</v>
      </c>
      <c r="AN8" s="22"/>
      <c r="AO8" s="22"/>
      <c r="AP8" s="22"/>
      <c r="AQ8" s="22"/>
      <c r="AR8" s="22"/>
      <c r="AS8" s="22"/>
      <c r="AT8" s="22"/>
      <c r="AU8" s="22"/>
      <c r="AV8" s="22"/>
      <c r="AW8" s="22"/>
      <c r="AX8" s="22"/>
      <c r="AY8" s="22"/>
      <c r="AZ8" s="22"/>
      <c r="BA8" s="22"/>
      <c r="BB8" s="22"/>
      <c r="BC8" s="22"/>
      <c r="BD8" s="22"/>
      <c r="BE8" s="22"/>
      <c r="BF8" s="22"/>
      <c r="BG8" s="22"/>
      <c r="BH8" s="22"/>
      <c r="BI8" s="22"/>
      <c r="BJ8" s="22"/>
      <c r="BK8" s="22"/>
      <c r="BL8" s="22"/>
      <c r="BM8" s="22"/>
      <c r="BN8" s="22"/>
      <c r="BO8" s="22"/>
      <c r="BP8" s="22"/>
    </row>
    <row r="9" spans="1:68" s="17" customFormat="1" ht="22.5" customHeight="1">
      <c r="A9" s="782"/>
      <c r="B9" s="779"/>
      <c r="C9" s="289" t="str">
        <f>Status!$A$16</f>
        <v>08-07051</v>
      </c>
      <c r="D9" s="286" t="str">
        <f>Status!$C$16</f>
        <v>N</v>
      </c>
      <c r="E9" s="44" t="s">
        <v>329</v>
      </c>
      <c r="F9" s="31">
        <f>Status!$G$16</f>
        <v>1602.4</v>
      </c>
      <c r="G9" s="286" t="str">
        <f>Status!B16</f>
        <v>NMCM</v>
      </c>
      <c r="H9" s="31">
        <f>$F$9-$AB$9</f>
        <v>73.900000000000006</v>
      </c>
      <c r="I9" s="31">
        <f>Status!$L$16</f>
        <v>145.5</v>
      </c>
      <c r="J9" s="286" t="str">
        <f>Status!$F$16</f>
        <v>KFCS</v>
      </c>
      <c r="K9" s="287">
        <f>Status!$X$16</f>
        <v>42109</v>
      </c>
      <c r="L9" s="33"/>
      <c r="M9" s="48">
        <f ca="1">Status!$X$17</f>
        <v>6</v>
      </c>
      <c r="N9" s="291">
        <f>Status!$X$18</f>
        <v>42139</v>
      </c>
      <c r="O9" s="293" t="str">
        <f>IF($G$9="MTF/MOC",Status!$M$17,Status!$M$16)</f>
        <v>HYD LINES HAVE METAL-TO-METAL CONTACT</v>
      </c>
      <c r="P9" s="793" t="str">
        <f>IF($G$9="MTF/MOC",Status!$T$17,(IF(ISBLANK(Status!$T$16),"",Status!$T$16)))</f>
        <v>SHOPS - A Co. ongoing</v>
      </c>
      <c r="Q9" s="794"/>
      <c r="R9" s="49" t="s">
        <v>22</v>
      </c>
      <c r="S9" s="295">
        <f ca="1">'A Co Readiness'!$G$244</f>
        <v>0</v>
      </c>
      <c r="T9" s="51">
        <f ca="1">S9/S11</f>
        <v>0</v>
      </c>
      <c r="Z9" s="39" t="str">
        <f>$C$9</f>
        <v>08-07051</v>
      </c>
      <c r="AA9" s="30">
        <f>$F$9+$I$9</f>
        <v>1747.9</v>
      </c>
      <c r="AB9" s="46">
        <v>1528.5</v>
      </c>
      <c r="AD9" s="40" t="str">
        <f>IF(ISBLANK($C$9),"NA",RIGHT($C$9,3))</f>
        <v>051</v>
      </c>
      <c r="AE9" s="41">
        <f>IF($I$9&gt;0,$I$9,"NA")</f>
        <v>145.5</v>
      </c>
      <c r="AF9" s="22"/>
      <c r="AG9" s="25">
        <f t="shared" ca="1" si="0"/>
        <v>285.8</v>
      </c>
      <c r="AH9" s="25"/>
      <c r="AI9" s="22"/>
      <c r="AJ9" s="40" t="str">
        <f>IF(ISBLANK($C$8),"NA",RIGHT($C$8,3))</f>
        <v>042</v>
      </c>
      <c r="AK9" s="41">
        <f>IF($I$8&gt;0,$I$8,"NA")</f>
        <v>45.6</v>
      </c>
      <c r="AL9" s="22"/>
      <c r="AM9" s="25">
        <f t="shared" ca="1" si="1"/>
        <v>434.9</v>
      </c>
      <c r="AN9" s="22"/>
      <c r="AO9" s="22"/>
      <c r="AP9" s="22"/>
      <c r="AQ9" s="22"/>
      <c r="AR9" s="22"/>
      <c r="AS9" s="22"/>
      <c r="AT9" s="22"/>
      <c r="AU9" s="22"/>
      <c r="AV9" s="22"/>
      <c r="AW9" s="22"/>
      <c r="AX9" s="22"/>
      <c r="AY9" s="22"/>
      <c r="AZ9" s="22"/>
      <c r="BA9" s="22"/>
      <c r="BB9" s="22"/>
      <c r="BC9" s="22"/>
      <c r="BD9" s="22"/>
      <c r="BE9" s="22"/>
      <c r="BF9" s="22"/>
      <c r="BG9" s="22"/>
      <c r="BH9" s="22"/>
      <c r="BI9" s="22"/>
      <c r="BJ9" s="22"/>
      <c r="BK9" s="22"/>
      <c r="BL9" s="22"/>
      <c r="BM9" s="22"/>
      <c r="BN9" s="22"/>
      <c r="BO9" s="22"/>
      <c r="BP9" s="22"/>
    </row>
    <row r="10" spans="1:68" s="17" customFormat="1" ht="22.5" customHeight="1">
      <c r="A10" s="53" t="s">
        <v>16</v>
      </c>
      <c r="B10" s="779"/>
      <c r="C10" s="289" t="str">
        <f>Status!$A$19</f>
        <v>09-05582</v>
      </c>
      <c r="D10" s="286" t="str">
        <f>Status!$C$19</f>
        <v>N</v>
      </c>
      <c r="E10" s="44" t="s">
        <v>329</v>
      </c>
      <c r="F10" s="31">
        <f>Status!$G$19</f>
        <v>4425.5</v>
      </c>
      <c r="G10" s="286" t="str">
        <f>Status!B19</f>
        <v>NMCM</v>
      </c>
      <c r="H10" s="31">
        <f>$F$10-$AB$10</f>
        <v>42.4</v>
      </c>
      <c r="I10" s="31">
        <f>Status!$L$19</f>
        <v>73.099999999999994</v>
      </c>
      <c r="J10" s="286" t="str">
        <f>Status!$F$19</f>
        <v>KFCS</v>
      </c>
      <c r="K10" s="287">
        <f>Status!$X$19</f>
        <v>42109</v>
      </c>
      <c r="L10" s="33"/>
      <c r="M10" s="48">
        <f ca="1">Status!$X$20</f>
        <v>6</v>
      </c>
      <c r="N10" s="291">
        <f>Status!$X$21</f>
        <v>42139</v>
      </c>
      <c r="O10" s="293" t="str">
        <f>IF($G$10="MTF/MOC",Status!$M$20,Status!$M$19)</f>
        <v>#2 ENG OIL LEAK @ SHUTDOWN</v>
      </c>
      <c r="P10" s="793" t="str">
        <f>IF($G$10="MTF/MOC",Status!$T$20,(IF(ISBLANK(Status!$T$19),"",Status!$T$19)))</f>
        <v>A Co. ongoing</v>
      </c>
      <c r="Q10" s="794"/>
      <c r="R10" s="49" t="s">
        <v>23</v>
      </c>
      <c r="S10" s="295">
        <f ca="1">'A Co Readiness'!$F$244</f>
        <v>429</v>
      </c>
      <c r="T10" s="51">
        <f ca="1">S10/S11</f>
        <v>0.44700000000000001</v>
      </c>
      <c r="U10" s="55"/>
      <c r="V10" s="55"/>
      <c r="Z10" s="39" t="str">
        <f>$C$10</f>
        <v>09-05582</v>
      </c>
      <c r="AA10" s="30">
        <f>$F$10+$I$10</f>
        <v>4498.6000000000004</v>
      </c>
      <c r="AB10" s="46">
        <v>4383.1000000000004</v>
      </c>
      <c r="AD10" s="40" t="str">
        <f>IF(ISBLANK($C$10),"NA",RIGHT($C$10,3))</f>
        <v>582</v>
      </c>
      <c r="AE10" s="41">
        <f>IF($I$10&gt;0,$I$10,"NA")</f>
        <v>73.099999999999994</v>
      </c>
      <c r="AF10" s="22"/>
      <c r="AG10" s="25">
        <f t="shared" ca="1" si="0"/>
        <v>214.4</v>
      </c>
      <c r="AH10" s="25"/>
      <c r="AI10" s="22"/>
      <c r="AJ10" s="52" t="str">
        <f>IF(ISBLANK($C$7),"NA",RIGHT($C$7,3))</f>
        <v>036</v>
      </c>
      <c r="AK10" s="42">
        <f>IF($I$7&gt;0,$I$7,"NA")</f>
        <v>36.6</v>
      </c>
      <c r="AL10" s="22"/>
      <c r="AM10" s="25">
        <f t="shared" ca="1" si="1"/>
        <v>413.2</v>
      </c>
      <c r="AN10" s="22"/>
      <c r="AO10" s="22"/>
      <c r="AP10" s="22"/>
      <c r="AQ10" s="22"/>
      <c r="AR10" s="22"/>
      <c r="AS10" s="22"/>
      <c r="AT10" s="22"/>
      <c r="AU10" s="22"/>
      <c r="AV10" s="22"/>
      <c r="AW10" s="22"/>
      <c r="AX10" s="22"/>
      <c r="AY10" s="22"/>
      <c r="AZ10" s="22"/>
      <c r="BA10" s="22"/>
      <c r="BB10" s="22"/>
      <c r="BC10" s="22"/>
      <c r="BD10" s="22"/>
      <c r="BE10" s="22"/>
      <c r="BF10" s="22"/>
      <c r="BG10" s="22"/>
      <c r="BH10" s="22"/>
      <c r="BI10" s="22"/>
      <c r="BJ10" s="22"/>
      <c r="BK10" s="22"/>
      <c r="BL10" s="22"/>
      <c r="BM10" s="22"/>
      <c r="BN10" s="22"/>
      <c r="BO10" s="22"/>
      <c r="BP10" s="22"/>
    </row>
    <row r="11" spans="1:68" s="17" customFormat="1" ht="22.5" customHeight="1">
      <c r="A11" s="56">
        <f>D63</f>
        <v>0</v>
      </c>
      <c r="B11" s="779"/>
      <c r="C11" s="289" t="str">
        <f>Status!$A$22</f>
        <v>09-05583</v>
      </c>
      <c r="D11" s="286" t="str">
        <f>Status!$C$22</f>
        <v>Y</v>
      </c>
      <c r="E11" s="44" t="s">
        <v>329</v>
      </c>
      <c r="F11" s="31">
        <f>Status!$G$22</f>
        <v>4836.8999999999996</v>
      </c>
      <c r="G11" s="286" t="str">
        <f>Status!B22</f>
        <v>PMCS</v>
      </c>
      <c r="H11" s="31">
        <f>$F$11-$AB$11</f>
        <v>53.3</v>
      </c>
      <c r="I11" s="31">
        <f>Status!$L$22</f>
        <v>419.6</v>
      </c>
      <c r="J11" s="286" t="str">
        <f>Status!$F$22</f>
        <v>KFCS</v>
      </c>
      <c r="K11" s="287">
        <f>Status!$X$22</f>
        <v>42079</v>
      </c>
      <c r="L11" s="33"/>
      <c r="M11" s="48">
        <f ca="1">Status!$X$23</f>
        <v>36</v>
      </c>
      <c r="N11" s="291">
        <f>Status!$X$24</f>
        <v>42139</v>
      </c>
      <c r="O11" s="293" t="str">
        <f>IF($G$11="MTF/MOC",Status!$M$23,Status!$M$22)</f>
        <v>FCR Fails IBIT - RF Receiver</v>
      </c>
      <c r="P11" s="793" t="str">
        <f>IF($G$11="MTF/MOC",Status!$T$23,(IF(ISBLANK(Status!$T$22),"",Status!$T$22)))</f>
        <v>Armt, Awaiting Parts</v>
      </c>
      <c r="Q11" s="794"/>
      <c r="R11" s="58" t="s">
        <v>67</v>
      </c>
      <c r="S11" s="59">
        <f ca="1">'A Co Readiness'!$E$246</f>
        <v>960</v>
      </c>
      <c r="T11" s="60"/>
      <c r="U11" s="61"/>
      <c r="Z11" s="39" t="str">
        <f>$C$11</f>
        <v>09-05583</v>
      </c>
      <c r="AA11" s="30">
        <f>$F$11+$I$11</f>
        <v>5256.5</v>
      </c>
      <c r="AB11" s="46">
        <v>4783.6000000000004</v>
      </c>
      <c r="AD11" s="40" t="str">
        <f>IF(ISBLANK($C$12),"NA",RIGHT($C$12,3))</f>
        <v>585</v>
      </c>
      <c r="AE11" s="41">
        <f>IF($I$12&gt;0,$I$12,"NA")</f>
        <v>26.5</v>
      </c>
      <c r="AF11" s="22"/>
      <c r="AG11" s="25">
        <f t="shared" ca="1" si="0"/>
        <v>143</v>
      </c>
      <c r="AH11" s="25"/>
      <c r="AI11" s="22"/>
      <c r="AJ11" s="52" t="str">
        <f>IF(ISBLANK($C$25),"NA",RIGHT($C$25,3))</f>
        <v>365</v>
      </c>
      <c r="AK11" s="42">
        <f>IF($I$25&gt;0,$I$25,"NA")</f>
        <v>27.4</v>
      </c>
      <c r="AL11" s="22"/>
      <c r="AM11" s="25">
        <f t="shared" ca="1" si="1"/>
        <v>391.5</v>
      </c>
      <c r="AN11" s="22"/>
      <c r="AO11" s="22"/>
      <c r="AP11" s="22"/>
      <c r="AQ11" s="22"/>
      <c r="AR11" s="22"/>
      <c r="AS11" s="22"/>
      <c r="AT11" s="22"/>
      <c r="AU11" s="22"/>
      <c r="AV11" s="22"/>
      <c r="AW11" s="22"/>
      <c r="AX11" s="22"/>
      <c r="AY11" s="22"/>
      <c r="AZ11" s="22"/>
      <c r="BA11" s="22"/>
      <c r="BB11" s="22"/>
      <c r="BC11" s="22"/>
      <c r="BD11" s="22"/>
      <c r="BE11" s="22"/>
      <c r="BF11" s="22"/>
      <c r="BG11" s="22"/>
      <c r="BH11" s="22"/>
      <c r="BI11" s="22"/>
      <c r="BJ11" s="22"/>
      <c r="BK11" s="22"/>
      <c r="BL11" s="22"/>
      <c r="BM11" s="22"/>
      <c r="BN11" s="22"/>
      <c r="BO11" s="22"/>
      <c r="BP11" s="22"/>
    </row>
    <row r="12" spans="1:68" s="17" customFormat="1" ht="22.5" customHeight="1">
      <c r="A12" s="53" t="s">
        <v>3</v>
      </c>
      <c r="B12" s="779"/>
      <c r="C12" s="289" t="str">
        <f>Status!$A$25</f>
        <v>09-05585</v>
      </c>
      <c r="D12" s="286" t="str">
        <f>Status!$C$25</f>
        <v>Y</v>
      </c>
      <c r="E12" s="44" t="s">
        <v>329</v>
      </c>
      <c r="F12" s="31">
        <f>Status!$G$25</f>
        <v>5179.8999999999996</v>
      </c>
      <c r="G12" s="286" t="str">
        <f>Status!B25</f>
        <v>PMCS</v>
      </c>
      <c r="H12" s="31">
        <f>$F$12-$AB$12</f>
        <v>75.5</v>
      </c>
      <c r="I12" s="31">
        <f>Status!$L$25</f>
        <v>26.5</v>
      </c>
      <c r="J12" s="286" t="str">
        <f>Status!$F$25</f>
        <v>KFCS</v>
      </c>
      <c r="K12" s="287">
        <f>Status!$X$25</f>
        <v>42095</v>
      </c>
      <c r="L12" s="33"/>
      <c r="M12" s="48">
        <f ca="1">Status!$X$26</f>
        <v>20</v>
      </c>
      <c r="N12" s="291">
        <f>Status!$X$27</f>
        <v>42139</v>
      </c>
      <c r="O12" s="293" t="str">
        <f>IF($G$12="MTF/MOC",Status!$M$26,Status!$M$25)</f>
        <v>ASE Not Installed</v>
      </c>
      <c r="P12" s="793" t="str">
        <f>IF($G$12="MTF/MOC",Status!$T$26,(IF(ISBLANK(Status!$T$25),"",Status!$T$25)))</f>
        <v/>
      </c>
      <c r="Q12" s="794"/>
      <c r="R12" s="788">
        <f>COUNTA(C6:C13)</f>
        <v>8</v>
      </c>
      <c r="S12" s="63" t="s">
        <v>68</v>
      </c>
      <c r="T12" s="64">
        <f>SUM(I6:I13)</f>
        <v>978</v>
      </c>
      <c r="U12" s="55"/>
      <c r="Z12" s="39" t="str">
        <f>$C$12</f>
        <v>09-05585</v>
      </c>
      <c r="AA12" s="30">
        <f>$F$12+$I$12</f>
        <v>5206.3999999999996</v>
      </c>
      <c r="AB12" s="46">
        <v>5104.3999999999996</v>
      </c>
      <c r="AD12" s="40" t="str">
        <f>IF(ISBLANK($C$11),"NA",RIGHT($C$11,3))</f>
        <v>583</v>
      </c>
      <c r="AE12" s="41">
        <f>IF($I$11&gt;0,$I$11,"NA")</f>
        <v>419.6</v>
      </c>
      <c r="AF12" s="22"/>
      <c r="AG12" s="25">
        <f t="shared" ca="1" si="0"/>
        <v>71.599999999999994</v>
      </c>
      <c r="AH12" s="25"/>
      <c r="AI12" s="22"/>
      <c r="AJ12" s="52" t="str">
        <f>IF(ISBLANK($C$6),"NA",RIGHT($C$6,3))</f>
        <v>298</v>
      </c>
      <c r="AK12" s="42">
        <f ca="1">RAND()*0+$I$6</f>
        <v>189.2</v>
      </c>
      <c r="AL12" s="22"/>
      <c r="AM12" s="25">
        <f t="shared" ca="1" si="1"/>
        <v>369.8</v>
      </c>
      <c r="AN12" s="22"/>
      <c r="AO12" s="22"/>
      <c r="AP12" s="22"/>
      <c r="AQ12" s="22"/>
      <c r="AR12" s="22"/>
      <c r="AS12" s="22"/>
      <c r="AT12" s="22"/>
      <c r="AU12" s="22"/>
      <c r="AV12" s="22"/>
      <c r="AW12" s="22"/>
      <c r="AX12" s="22"/>
      <c r="AY12" s="22"/>
      <c r="AZ12" s="22"/>
      <c r="BA12" s="22"/>
      <c r="BB12" s="22"/>
      <c r="BC12" s="22"/>
      <c r="BD12" s="22"/>
      <c r="BE12" s="22"/>
      <c r="BF12" s="22"/>
      <c r="BG12" s="22"/>
      <c r="BH12" s="22"/>
      <c r="BI12" s="22"/>
      <c r="BJ12" s="22"/>
      <c r="BK12" s="22"/>
      <c r="BL12" s="22"/>
      <c r="BM12" s="22"/>
      <c r="BN12" s="22"/>
      <c r="BO12" s="22"/>
      <c r="BP12" s="22"/>
    </row>
    <row r="13" spans="1:68" s="17" customFormat="1" ht="22.5" customHeight="1">
      <c r="A13" s="56">
        <f>D64</f>
        <v>0.38</v>
      </c>
      <c r="B13" s="780"/>
      <c r="C13" s="289" t="str">
        <f>Status!$A$28</f>
        <v>10-05613</v>
      </c>
      <c r="D13" s="286" t="str">
        <f>Status!$C$28</f>
        <v>N</v>
      </c>
      <c r="E13" s="44" t="s">
        <v>329</v>
      </c>
      <c r="F13" s="31">
        <f>Status!$G$28</f>
        <v>5448.2</v>
      </c>
      <c r="G13" s="286" t="str">
        <f>Status!B28</f>
        <v>MTF/MOC</v>
      </c>
      <c r="H13" s="31">
        <f>$F$13-$AB$13</f>
        <v>1</v>
      </c>
      <c r="I13" s="31">
        <f>Status!$L$28</f>
        <v>41.9</v>
      </c>
      <c r="J13" s="286" t="str">
        <f>Status!$F$28</f>
        <v>KFCS</v>
      </c>
      <c r="K13" s="287">
        <f>Status!$X$28</f>
        <v>42090</v>
      </c>
      <c r="L13" s="33"/>
      <c r="M13" s="48">
        <f ca="1">Status!$X$29</f>
        <v>25</v>
      </c>
      <c r="N13" s="291">
        <f>Status!$X$30</f>
        <v>42122</v>
      </c>
      <c r="O13" s="293" t="str">
        <f>IF($G$13="MTF/MOC",Status!$M$29,Status!$M$28)</f>
        <v>Eng flush and Acft wash reqd</v>
      </c>
      <c r="P13" s="793" t="str">
        <f>IF($G$13="MTF/MOC",Status!$T$29,(IF(ISBLANK(Status!$T$28),"",Status!$T$28)))</f>
        <v>A Co. ongoing</v>
      </c>
      <c r="Q13" s="794"/>
      <c r="R13" s="789"/>
      <c r="S13" s="67" t="s">
        <v>69</v>
      </c>
      <c r="T13" s="68">
        <f>T12/(500*R12)</f>
        <v>0.245</v>
      </c>
      <c r="Z13" s="39" t="str">
        <f>$C$13</f>
        <v>10-05613</v>
      </c>
      <c r="AA13" s="30">
        <f>$F$13+$I$13</f>
        <v>5490.1</v>
      </c>
      <c r="AB13" s="66">
        <v>5447.2</v>
      </c>
      <c r="AD13" s="40" t="str">
        <f>IF(ISBLANK($C$13),"NA",RIGHT($C$13,3))</f>
        <v>613</v>
      </c>
      <c r="AE13" s="41">
        <f>IF($I$13&gt;0,$I$13,"NA")</f>
        <v>41.9</v>
      </c>
      <c r="AF13" s="22"/>
      <c r="AG13" s="25">
        <f t="shared" ca="1" si="0"/>
        <v>0.2</v>
      </c>
      <c r="AH13" s="25"/>
      <c r="AI13" s="22"/>
      <c r="AJ13" s="52" t="str">
        <f>IF(ISBLANK($C$16),"NA",RIGHT($C$16,3))</f>
        <v>037</v>
      </c>
      <c r="AK13" s="42">
        <f>IF($I$16&gt;0,$I$16,"NA")</f>
        <v>423.6</v>
      </c>
      <c r="AL13" s="22"/>
      <c r="AM13" s="25">
        <f t="shared" ca="1" si="1"/>
        <v>348.1</v>
      </c>
      <c r="AN13" s="22"/>
      <c r="AO13" s="22"/>
      <c r="AP13" s="22"/>
      <c r="AQ13" s="22"/>
      <c r="AR13" s="22"/>
      <c r="AS13" s="22"/>
      <c r="AT13" s="22"/>
      <c r="AU13" s="22"/>
      <c r="AV13" s="22"/>
      <c r="AW13" s="22"/>
      <c r="AX13" s="22"/>
      <c r="AY13" s="22"/>
      <c r="AZ13" s="22"/>
      <c r="BA13" s="22"/>
      <c r="BB13" s="22"/>
      <c r="BC13" s="22"/>
      <c r="BD13" s="22"/>
      <c r="BE13" s="22"/>
      <c r="BF13" s="22"/>
      <c r="BG13" s="22"/>
      <c r="BH13" s="22"/>
      <c r="BI13" s="22"/>
      <c r="BJ13" s="22"/>
      <c r="BK13" s="22"/>
      <c r="BL13" s="22"/>
      <c r="BM13" s="22"/>
      <c r="BN13" s="22"/>
      <c r="BO13" s="22"/>
      <c r="BP13" s="22"/>
    </row>
    <row r="14" spans="1:68" s="17" customFormat="1" ht="22.5" customHeight="1" thickBot="1">
      <c r="A14" s="791"/>
      <c r="B14" s="792"/>
      <c r="C14" s="792"/>
      <c r="D14" s="792"/>
      <c r="E14" s="792"/>
      <c r="F14" s="792"/>
      <c r="G14" s="792"/>
      <c r="H14" s="792"/>
      <c r="I14" s="792"/>
      <c r="J14" s="792"/>
      <c r="K14" s="792"/>
      <c r="L14" s="792"/>
      <c r="M14" s="792"/>
      <c r="N14" s="792"/>
      <c r="O14" s="792"/>
      <c r="P14" s="792"/>
      <c r="Q14" s="792"/>
      <c r="R14" s="790"/>
      <c r="S14" s="69" t="s">
        <v>46</v>
      </c>
      <c r="T14" s="70">
        <f>SUM(H6:H13)</f>
        <v>252.1</v>
      </c>
      <c r="Y14" s="55"/>
      <c r="Z14" s="741"/>
      <c r="AA14" s="742"/>
      <c r="AB14" s="743"/>
      <c r="AD14" s="71"/>
      <c r="AE14" s="22"/>
      <c r="AF14" s="22"/>
      <c r="AG14" s="25">
        <f ca="1">COUNTIF(AE15:AE22,"&gt;0")</f>
        <v>8</v>
      </c>
      <c r="AH14" s="25">
        <f ca="1">$AA$1/($AG$14-1)</f>
        <v>71.400000000000006</v>
      </c>
      <c r="AI14" s="22"/>
      <c r="AJ14" s="52" t="str">
        <f>IF(ISBLANK($C$24),"NA",RIGHT($C$24,3))</f>
        <v>187</v>
      </c>
      <c r="AK14" s="42">
        <f>IF($I$24&gt;0,$I$24,"NA")</f>
        <v>294.10000000000002</v>
      </c>
      <c r="AL14" s="22"/>
      <c r="AM14" s="25">
        <f t="shared" ca="1" si="1"/>
        <v>326.39999999999998</v>
      </c>
      <c r="AN14" s="22"/>
      <c r="AO14" s="22"/>
      <c r="AP14" s="22"/>
      <c r="AQ14" s="22"/>
      <c r="AR14" s="22"/>
      <c r="AS14" s="22"/>
      <c r="AT14" s="22"/>
      <c r="AU14" s="22"/>
      <c r="AV14" s="22"/>
      <c r="AW14" s="22"/>
      <c r="AX14" s="22"/>
      <c r="AY14" s="22"/>
      <c r="AZ14" s="22"/>
      <c r="BA14" s="22"/>
      <c r="BB14" s="22"/>
      <c r="BC14" s="22"/>
      <c r="BD14" s="22"/>
      <c r="BE14" s="22"/>
      <c r="BF14" s="22"/>
      <c r="BG14" s="22"/>
      <c r="BH14" s="22"/>
      <c r="BI14" s="22"/>
      <c r="BJ14" s="22"/>
      <c r="BK14" s="22"/>
      <c r="BL14" s="22"/>
      <c r="BM14" s="22"/>
      <c r="BN14" s="22"/>
      <c r="BO14" s="22"/>
      <c r="BP14" s="22"/>
    </row>
    <row r="15" spans="1:68" s="17" customFormat="1" ht="22.5" customHeight="1">
      <c r="A15" s="776" t="s">
        <v>70</v>
      </c>
      <c r="B15" s="778" t="s">
        <v>15</v>
      </c>
      <c r="C15" s="297" t="str">
        <f>Status!$A$32</f>
        <v>07-05524</v>
      </c>
      <c r="D15" s="284" t="str">
        <f>Status!$C$32</f>
        <v>N</v>
      </c>
      <c r="E15" s="28" t="s">
        <v>329</v>
      </c>
      <c r="F15" s="283">
        <f>Status!$G$32</f>
        <v>3563</v>
      </c>
      <c r="G15" s="284" t="str">
        <f>Status!$B$32</f>
        <v>NMCS</v>
      </c>
      <c r="H15" s="283">
        <f>$F$15-$AB$15</f>
        <v>77.5</v>
      </c>
      <c r="I15" s="283">
        <f>Status!$L$32</f>
        <v>50.3</v>
      </c>
      <c r="J15" s="283" t="str">
        <f>Status!$F$32</f>
        <v>KFCS</v>
      </c>
      <c r="K15" s="285">
        <f>Status!$X$32</f>
        <v>42101</v>
      </c>
      <c r="L15" s="72"/>
      <c r="M15" s="34">
        <f ca="1">Status!$X$33</f>
        <v>14</v>
      </c>
      <c r="N15" s="290">
        <f>Status!$X$34</f>
        <v>42115</v>
      </c>
      <c r="O15" s="292" t="str">
        <f>IF($G$15="MTF/MOC",Status!$M$33,Status!$M$32)</f>
        <v>#5 DRIVE SHAFT DAMPER HARDWARE FAILS TQ</v>
      </c>
      <c r="P15" s="797" t="str">
        <f>IF($G$15="MTF/MOC",Status!$T$33,(IF(ISBLANK(Status!$T$32),"",Status!$T$32)))</f>
        <v>Flange AOG, P+1</v>
      </c>
      <c r="Q15" s="798"/>
      <c r="R15" s="73" t="s">
        <v>16</v>
      </c>
      <c r="S15" s="294">
        <f ca="1">'B Co Readiness'!$E$244</f>
        <v>0</v>
      </c>
      <c r="T15" s="74">
        <f ca="1">S15/S20</f>
        <v>0</v>
      </c>
      <c r="Y15" s="55"/>
      <c r="Z15" s="75" t="str">
        <f>$C$15</f>
        <v>07-05524</v>
      </c>
      <c r="AA15" s="30">
        <f>$F$15+$I$15</f>
        <v>3613.3</v>
      </c>
      <c r="AB15" s="46">
        <v>3485.5</v>
      </c>
      <c r="AD15" s="40" t="str">
        <f>IF(ISBLANK($C$18),"NA",RIGHT($C$18,3))</f>
        <v>044</v>
      </c>
      <c r="AE15" s="42">
        <f>IF($I$18&gt;0,$I$18,"NA")</f>
        <v>335</v>
      </c>
      <c r="AF15" s="22"/>
      <c r="AG15" s="25">
        <f>$AA$1</f>
        <v>500</v>
      </c>
      <c r="AH15" s="25"/>
      <c r="AI15" s="22"/>
      <c r="AJ15" s="40" t="str">
        <f>IF(ISBLANK($C$9),"NA",RIGHT($C$9,3))</f>
        <v>051</v>
      </c>
      <c r="AK15" s="41">
        <f>IF($I$9&gt;0,$I$9,"NA")</f>
        <v>145.5</v>
      </c>
      <c r="AL15" s="22"/>
      <c r="AM15" s="25">
        <f t="shared" ca="1" si="1"/>
        <v>304.7</v>
      </c>
      <c r="AN15" s="22"/>
      <c r="AO15" s="22"/>
      <c r="AP15" s="22"/>
      <c r="AQ15" s="22"/>
      <c r="AR15" s="22"/>
      <c r="AS15" s="22"/>
      <c r="AT15" s="22"/>
      <c r="AU15" s="22"/>
      <c r="AV15" s="22"/>
      <c r="AW15" s="22"/>
      <c r="AX15" s="22"/>
      <c r="AY15" s="22"/>
      <c r="AZ15" s="22"/>
      <c r="BA15" s="22"/>
      <c r="BB15" s="22"/>
      <c r="BC15" s="22"/>
      <c r="BD15" s="22"/>
      <c r="BE15" s="22"/>
      <c r="BF15" s="22"/>
      <c r="BG15" s="22"/>
      <c r="BH15" s="22"/>
      <c r="BI15" s="22"/>
      <c r="BJ15" s="22"/>
      <c r="BK15" s="22"/>
      <c r="BL15" s="22"/>
      <c r="BM15" s="22"/>
      <c r="BN15" s="22"/>
      <c r="BO15" s="22"/>
      <c r="BP15" s="22"/>
    </row>
    <row r="16" spans="1:68" s="17" customFormat="1" ht="22.5" customHeight="1">
      <c r="A16" s="777"/>
      <c r="B16" s="779"/>
      <c r="C16" s="296" t="str">
        <f>Status!$A$35</f>
        <v>07-07037</v>
      </c>
      <c r="D16" s="286" t="str">
        <f>Status!$C$35</f>
        <v>N</v>
      </c>
      <c r="E16" s="44" t="s">
        <v>329</v>
      </c>
      <c r="F16" s="31">
        <f>Status!$G$35</f>
        <v>1846.7</v>
      </c>
      <c r="G16" s="286" t="str">
        <f>Status!$B$35</f>
        <v>NMCS</v>
      </c>
      <c r="H16" s="31">
        <f>$F$16-$AB$16</f>
        <v>61.1</v>
      </c>
      <c r="I16" s="31">
        <f>Status!$L$35</f>
        <v>423.6</v>
      </c>
      <c r="J16" s="31" t="str">
        <f>Status!$F$35</f>
        <v>KFCS</v>
      </c>
      <c r="K16" s="287">
        <f>Status!$X$35</f>
        <v>42101</v>
      </c>
      <c r="L16" s="33"/>
      <c r="M16" s="48">
        <f ca="1">Status!$X$36</f>
        <v>14</v>
      </c>
      <c r="N16" s="291">
        <f>Status!$X$37</f>
        <v>42122</v>
      </c>
      <c r="O16" s="293" t="str">
        <f>IF($G$16="MTF/MOC",Status!$M$36,Status!$M$35)</f>
        <v>#2 ENG HORSESHOE MNT HARDWARE REPLACEMENT REQD</v>
      </c>
      <c r="P16" s="793" t="str">
        <f>IF($G$16="MTF/MOC",Status!$T$36,(IF(ISBLANK(Status!$T$35),"",Status!$T$35)))</f>
        <v>B Co, Maint, Ongoing</v>
      </c>
      <c r="Q16" s="794"/>
      <c r="R16" s="49" t="s">
        <v>65</v>
      </c>
      <c r="S16" s="295">
        <f ca="1">'B Co Readiness'!$H$244</f>
        <v>240</v>
      </c>
      <c r="T16" s="51">
        <f ca="1">S16/S20</f>
        <v>0.25</v>
      </c>
      <c r="U16" s="55"/>
      <c r="V16" s="55"/>
      <c r="W16" s="55"/>
      <c r="X16" s="55"/>
      <c r="Y16" s="55"/>
      <c r="Z16" s="75" t="str">
        <f>$C$16</f>
        <v>07-07037</v>
      </c>
      <c r="AA16" s="30">
        <f>$F$16+$I$16</f>
        <v>2270.3000000000002</v>
      </c>
      <c r="AB16" s="66">
        <v>1785.6</v>
      </c>
      <c r="AD16" s="40" t="str">
        <f>IF(ISBLANK($C$17),"NA",RIGHT($C$17,3))</f>
        <v>041</v>
      </c>
      <c r="AE16" s="42">
        <f>IF($I$17&gt;0,$I$17,"NA")</f>
        <v>74.400000000000006</v>
      </c>
      <c r="AF16" s="22"/>
      <c r="AG16" s="25">
        <f ca="1">IF(AG15-$AH$14&gt;=0,AG15-$AH$14,-1)</f>
        <v>428.6</v>
      </c>
      <c r="AH16" s="25"/>
      <c r="AI16" s="22"/>
      <c r="AJ16" s="40" t="str">
        <f>IF(ISBLANK($C$10),"NA",RIGHT($C$10,3))</f>
        <v>582</v>
      </c>
      <c r="AK16" s="41">
        <f>IF($I$10&gt;0,$I$10,"NA")</f>
        <v>73.099999999999994</v>
      </c>
      <c r="AL16" s="22"/>
      <c r="AM16" s="25">
        <f t="shared" ca="1" si="1"/>
        <v>283</v>
      </c>
      <c r="AN16" s="22"/>
      <c r="AO16" s="22"/>
      <c r="AP16" s="22"/>
      <c r="AQ16" s="22"/>
      <c r="AR16" s="22"/>
      <c r="AS16" s="22"/>
      <c r="AT16" s="22"/>
      <c r="AU16" s="22"/>
      <c r="AV16" s="22"/>
      <c r="AW16" s="22"/>
      <c r="AX16" s="22"/>
      <c r="AY16" s="22"/>
      <c r="AZ16" s="22"/>
      <c r="BA16" s="22"/>
      <c r="BB16" s="22"/>
      <c r="BC16" s="22"/>
      <c r="BD16" s="22"/>
      <c r="BE16" s="22"/>
      <c r="BF16" s="22"/>
      <c r="BG16" s="22"/>
      <c r="BH16" s="22"/>
      <c r="BI16" s="22"/>
      <c r="BJ16" s="22"/>
      <c r="BK16" s="22"/>
      <c r="BL16" s="22"/>
      <c r="BM16" s="22"/>
      <c r="BN16" s="22"/>
      <c r="BO16" s="22"/>
      <c r="BP16" s="22"/>
    </row>
    <row r="17" spans="1:68" s="17" customFormat="1" ht="22.5" customHeight="1">
      <c r="A17" s="777"/>
      <c r="B17" s="779"/>
      <c r="C17" s="296" t="str">
        <f>Status!$A$38</f>
        <v>07-07041</v>
      </c>
      <c r="D17" s="286" t="str">
        <f>Status!$C$38</f>
        <v>N</v>
      </c>
      <c r="E17" s="44" t="s">
        <v>329</v>
      </c>
      <c r="F17" s="31">
        <f>Status!$G$38</f>
        <v>1944.4</v>
      </c>
      <c r="G17" s="286" t="str">
        <f>Status!$B$38</f>
        <v>NMCM</v>
      </c>
      <c r="H17" s="31">
        <f>$F$17-$AB$17</f>
        <v>0</v>
      </c>
      <c r="I17" s="31">
        <f>Status!$L$38</f>
        <v>74.400000000000006</v>
      </c>
      <c r="J17" s="31" t="str">
        <f>Status!$F$38</f>
        <v>KFCS</v>
      </c>
      <c r="K17" s="287">
        <f>Status!$X$38</f>
        <v>42107</v>
      </c>
      <c r="L17" s="33"/>
      <c r="M17" s="48">
        <f ca="1">Status!$X$39</f>
        <v>8</v>
      </c>
      <c r="N17" s="291">
        <f>Status!$X$40</f>
        <v>42122</v>
      </c>
      <c r="O17" s="293" t="str">
        <f>IF($G$17="MTF/MOC",Status!$M$39,Status!$M$38)</f>
        <v xml:space="preserve"> TAIL ROTOR PC LINK out of tolerance</v>
      </c>
      <c r="P17" s="793" t="str">
        <f>IF($G$17="MTF/MOC",Status!$T$39,(IF(ISBLANK(Status!$T$38),"",Status!$T$38)))</f>
        <v>B Co, maint complete</v>
      </c>
      <c r="Q17" s="794"/>
      <c r="R17" s="49" t="s">
        <v>24</v>
      </c>
      <c r="S17" s="295">
        <f ca="1">'B Co Readiness'!$I$244</f>
        <v>160</v>
      </c>
      <c r="T17" s="51">
        <f ca="1">S17/S20</f>
        <v>0.16700000000000001</v>
      </c>
      <c r="Y17" s="55"/>
      <c r="Z17" s="75" t="str">
        <f>$C$17</f>
        <v>07-07041</v>
      </c>
      <c r="AA17" s="30">
        <f>$F$17+$I$17</f>
        <v>2018.8</v>
      </c>
      <c r="AB17" s="66">
        <v>1944.4</v>
      </c>
      <c r="AD17" s="52" t="str">
        <f>IF(ISBLANK($C$15),"NA",RIGHT($C$15,3))</f>
        <v>524</v>
      </c>
      <c r="AE17" s="42">
        <f ca="1">RAND()*0+$I$15</f>
        <v>50.3</v>
      </c>
      <c r="AF17" s="22"/>
      <c r="AG17" s="25">
        <f t="shared" ref="AG17:AG22" ca="1" si="2">IF(AG16-$AH$14&gt;=0,AG16-$AH$14,-1)</f>
        <v>357.2</v>
      </c>
      <c r="AH17" s="25"/>
      <c r="AI17" s="22"/>
      <c r="AJ17" s="40" t="str">
        <f>IF(ISBLANK($C$12),"NA",RIGHT($C$12,3))</f>
        <v>585</v>
      </c>
      <c r="AK17" s="41">
        <f>IF($I$12&gt;0,$I$12,"NA")</f>
        <v>26.5</v>
      </c>
      <c r="AL17" s="22"/>
      <c r="AM17" s="25">
        <f t="shared" ca="1" si="1"/>
        <v>261.3</v>
      </c>
      <c r="AN17" s="22"/>
      <c r="AO17" s="22"/>
      <c r="AP17" s="22"/>
      <c r="AQ17" s="22"/>
      <c r="AR17" s="22"/>
      <c r="AS17" s="22"/>
      <c r="AT17" s="22"/>
      <c r="AU17" s="22"/>
      <c r="AV17" s="22"/>
      <c r="AW17" s="22"/>
      <c r="AX17" s="22"/>
      <c r="AY17" s="22"/>
      <c r="AZ17" s="22"/>
      <c r="BA17" s="22"/>
      <c r="BB17" s="22"/>
      <c r="BC17" s="22"/>
      <c r="BD17" s="22"/>
      <c r="BE17" s="22"/>
      <c r="BF17" s="22"/>
      <c r="BG17" s="22"/>
      <c r="BH17" s="22"/>
      <c r="BI17" s="22"/>
      <c r="BJ17" s="22"/>
      <c r="BK17" s="22"/>
      <c r="BL17" s="22"/>
      <c r="BM17" s="22"/>
      <c r="BN17" s="22"/>
      <c r="BO17" s="22"/>
      <c r="BP17" s="22"/>
    </row>
    <row r="18" spans="1:68" s="17" customFormat="1" ht="22.5" customHeight="1">
      <c r="A18" s="777"/>
      <c r="B18" s="779"/>
      <c r="C18" s="296" t="str">
        <f>Status!$A$41</f>
        <v>07-07044</v>
      </c>
      <c r="D18" s="286" t="str">
        <f>Status!$C$41</f>
        <v>Y</v>
      </c>
      <c r="E18" s="44" t="s">
        <v>329</v>
      </c>
      <c r="F18" s="31">
        <f>Status!$G$41</f>
        <v>2835.8</v>
      </c>
      <c r="G18" s="286" t="str">
        <f>Status!$B$41</f>
        <v>PMCS</v>
      </c>
      <c r="H18" s="31">
        <f>$F$18-$AB$18</f>
        <v>17.8</v>
      </c>
      <c r="I18" s="31">
        <f>Status!$L$41</f>
        <v>335</v>
      </c>
      <c r="J18" s="31" t="str">
        <f>Status!$F$41</f>
        <v>KFCS</v>
      </c>
      <c r="K18" s="287">
        <f>Status!$X$41</f>
        <v>42083</v>
      </c>
      <c r="L18" s="33"/>
      <c r="M18" s="48">
        <f ca="1">Status!$X$42</f>
        <v>32</v>
      </c>
      <c r="N18" s="291">
        <f>Status!$X$43</f>
        <v>42115</v>
      </c>
      <c r="O18" s="293" t="str">
        <f>IF($G$18="MTF/MOC",Status!$M$42,Status!$M$41)</f>
        <v>FCR Fails IBIT</v>
      </c>
      <c r="P18" s="793" t="str">
        <f>IF($G$18="MTF/MOC",Status!$T$42,(IF(ISBLANK(Status!$T$41),"",Status!$T$41)))</f>
        <v/>
      </c>
      <c r="Q18" s="794"/>
      <c r="R18" s="49" t="s">
        <v>22</v>
      </c>
      <c r="S18" s="295">
        <f ca="1">'B Co Readiness'!$G$244</f>
        <v>0</v>
      </c>
      <c r="T18" s="51">
        <f ca="1">S18/S20</f>
        <v>0</v>
      </c>
      <c r="Y18" s="55"/>
      <c r="Z18" s="75" t="str">
        <f>$C$18</f>
        <v>07-07044</v>
      </c>
      <c r="AA18" s="30">
        <f>$F$18+$I$18</f>
        <v>3170.8</v>
      </c>
      <c r="AB18" s="66">
        <v>2818</v>
      </c>
      <c r="AD18" s="52" t="str">
        <f>IF(ISBLANK($C$16),"NA",RIGHT($C$16,3))</f>
        <v>037</v>
      </c>
      <c r="AE18" s="42">
        <f>IF($I$16&gt;0,$I$16,"NA")</f>
        <v>423.6</v>
      </c>
      <c r="AF18" s="22"/>
      <c r="AG18" s="25">
        <f t="shared" ca="1" si="2"/>
        <v>285.8</v>
      </c>
      <c r="AH18" s="25"/>
      <c r="AI18" s="22"/>
      <c r="AJ18" s="40" t="str">
        <f>IF(ISBLANK($C$11),"NA",RIGHT($C$11,3))</f>
        <v>583</v>
      </c>
      <c r="AK18" s="41">
        <f>IF($I$11&gt;0,$I$11,"NA")</f>
        <v>419.6</v>
      </c>
      <c r="AL18" s="22"/>
      <c r="AM18" s="25">
        <f t="shared" ca="1" si="1"/>
        <v>239.6</v>
      </c>
      <c r="AN18" s="22"/>
      <c r="AO18" s="22"/>
      <c r="AP18" s="22"/>
      <c r="AQ18" s="22"/>
      <c r="AR18" s="22"/>
      <c r="AS18" s="22"/>
      <c r="AT18" s="22"/>
      <c r="AU18" s="22"/>
      <c r="AV18" s="22"/>
      <c r="AW18" s="22"/>
      <c r="AX18" s="22"/>
      <c r="AY18" s="22"/>
      <c r="AZ18" s="22"/>
      <c r="BA18" s="22"/>
      <c r="BB18" s="22"/>
      <c r="BC18" s="22"/>
      <c r="BD18" s="22"/>
      <c r="BE18" s="22"/>
      <c r="BF18" s="22"/>
      <c r="BG18" s="22"/>
      <c r="BH18" s="22"/>
      <c r="BI18" s="22"/>
      <c r="BJ18" s="22"/>
      <c r="BK18" s="22"/>
      <c r="BL18" s="22"/>
      <c r="BM18" s="22"/>
      <c r="BN18" s="22"/>
      <c r="BO18" s="22"/>
      <c r="BP18" s="22"/>
    </row>
    <row r="19" spans="1:68" s="17" customFormat="1" ht="22.5" customHeight="1">
      <c r="A19" s="76" t="s">
        <v>16</v>
      </c>
      <c r="B19" s="779"/>
      <c r="C19" s="296" t="str">
        <f>Status!$A$44</f>
        <v>09-05595</v>
      </c>
      <c r="D19" s="286" t="str">
        <f>Status!$C$44</f>
        <v>Y</v>
      </c>
      <c r="E19" s="44" t="s">
        <v>329</v>
      </c>
      <c r="F19" s="31">
        <f>Status!$G$44</f>
        <v>5291.3</v>
      </c>
      <c r="G19" s="286" t="str">
        <f>Status!$B$44</f>
        <v>PMCS</v>
      </c>
      <c r="H19" s="31">
        <f>$F$19-$AB$19</f>
        <v>0</v>
      </c>
      <c r="I19" s="31">
        <f>Status!$L$44</f>
        <v>408.1</v>
      </c>
      <c r="J19" s="31" t="str">
        <f>Status!$F$44</f>
        <v>KFCS</v>
      </c>
      <c r="K19" s="287">
        <f>Status!$X$44</f>
        <v>42093</v>
      </c>
      <c r="L19" s="33"/>
      <c r="M19" s="48">
        <f ca="1">Status!$X$45</f>
        <v>22</v>
      </c>
      <c r="N19" s="291">
        <f>Status!$X$46</f>
        <v>42115</v>
      </c>
      <c r="O19" s="293" t="str">
        <f>IF($G$19="MTF/MOC",Status!$M$45,Status!$M$44)</f>
        <v>ASE Not Installed</v>
      </c>
      <c r="P19" s="793" t="str">
        <f>IF($G$19="MTF/MOC",Status!$T$45,(IF(ISBLANK(Status!$T$44),"",Status!$T$44)))</f>
        <v>Comp</v>
      </c>
      <c r="Q19" s="794"/>
      <c r="R19" s="49" t="s">
        <v>23</v>
      </c>
      <c r="S19" s="295">
        <f ca="1">'B Co Readiness'!$F$244</f>
        <v>560</v>
      </c>
      <c r="T19" s="51">
        <f ca="1">S19/S20</f>
        <v>0.58299999999999996</v>
      </c>
      <c r="Y19" s="55"/>
      <c r="Z19" s="75" t="str">
        <f>$C$19</f>
        <v>09-05595</v>
      </c>
      <c r="AA19" s="30">
        <f>$F$19+$I$19</f>
        <v>5699.4</v>
      </c>
      <c r="AB19" s="46">
        <v>5291.3</v>
      </c>
      <c r="AD19" s="40" t="str">
        <f>IF(ISBLANK($C$19),"NA",RIGHT($C$19,3))</f>
        <v>595</v>
      </c>
      <c r="AE19" s="42">
        <f>IF($I$19&gt;0,$I$19,"NA")</f>
        <v>408.1</v>
      </c>
      <c r="AF19" s="22"/>
      <c r="AG19" s="25">
        <f t="shared" ca="1" si="2"/>
        <v>214.4</v>
      </c>
      <c r="AH19" s="25"/>
      <c r="AI19" s="22"/>
      <c r="AJ19" s="40" t="str">
        <f>IF(ISBLANK($C$13),"NA",RIGHT($C$13,3))</f>
        <v>613</v>
      </c>
      <c r="AK19" s="41">
        <f>IF($I$13&gt;0,$I$13,"NA")</f>
        <v>41.9</v>
      </c>
      <c r="AL19" s="22"/>
      <c r="AM19" s="25">
        <f t="shared" ca="1" si="1"/>
        <v>217.9</v>
      </c>
      <c r="AN19" s="22"/>
      <c r="AO19" s="22"/>
      <c r="AP19" s="22"/>
      <c r="AQ19" s="22"/>
      <c r="AR19" s="22"/>
      <c r="AS19" s="22"/>
      <c r="AT19" s="22"/>
      <c r="AU19" s="22"/>
      <c r="AV19" s="22"/>
      <c r="AW19" s="22"/>
      <c r="AX19" s="22"/>
      <c r="AY19" s="22"/>
      <c r="AZ19" s="22"/>
      <c r="BA19" s="22"/>
      <c r="BB19" s="22"/>
      <c r="BC19" s="22"/>
      <c r="BD19" s="22"/>
      <c r="BE19" s="22"/>
      <c r="BF19" s="22"/>
      <c r="BG19" s="22"/>
      <c r="BH19" s="22"/>
      <c r="BI19" s="22"/>
      <c r="BJ19" s="22"/>
      <c r="BK19" s="22"/>
      <c r="BL19" s="22"/>
      <c r="BM19" s="22"/>
      <c r="BN19" s="22"/>
      <c r="BO19" s="22"/>
      <c r="BP19" s="22"/>
    </row>
    <row r="20" spans="1:68" s="17" customFormat="1" ht="22.5" customHeight="1">
      <c r="A20" s="77">
        <f>F63</f>
        <v>0</v>
      </c>
      <c r="B20" s="779"/>
      <c r="C20" s="296" t="str">
        <f>Status!$A$47</f>
        <v>09-05598</v>
      </c>
      <c r="D20" s="286" t="str">
        <f>Status!$C$47</f>
        <v>Y</v>
      </c>
      <c r="E20" s="44" t="s">
        <v>329</v>
      </c>
      <c r="F20" s="31">
        <f>Status!$G$47</f>
        <v>5291.6</v>
      </c>
      <c r="G20" s="286" t="str">
        <f>Status!$B$47</f>
        <v>PMCS</v>
      </c>
      <c r="H20" s="31">
        <f>$F$20-$AB$20</f>
        <v>30.3</v>
      </c>
      <c r="I20" s="31">
        <f>Status!$L$47</f>
        <v>289.39999999999998</v>
      </c>
      <c r="J20" s="31" t="str">
        <f>Status!$F$47</f>
        <v>KFCS</v>
      </c>
      <c r="K20" s="287">
        <f>Status!$X$47</f>
        <v>42105</v>
      </c>
      <c r="L20" s="33"/>
      <c r="M20" s="48">
        <f ca="1">Status!$X$48</f>
        <v>10</v>
      </c>
      <c r="N20" s="291">
        <f>Status!$X$49</f>
        <v>42124</v>
      </c>
      <c r="O20" s="293" t="str">
        <f>IF($G$20="MTF/MOC",Status!$M$48,Status!$M$47)</f>
        <v>ASE Not Installed</v>
      </c>
      <c r="P20" s="793" t="str">
        <f>IF($G$20="MTF/MOC",Status!$T$48,(IF(ISBLANK(Status!$T$47),"",Status!$T$47)))</f>
        <v/>
      </c>
      <c r="Q20" s="794"/>
      <c r="R20" s="58" t="s">
        <v>67</v>
      </c>
      <c r="S20" s="59">
        <f ca="1">'B Co Readiness'!$E$246</f>
        <v>960</v>
      </c>
      <c r="T20" s="60"/>
      <c r="Y20" s="55"/>
      <c r="Z20" s="75" t="str">
        <f>$C$20</f>
        <v>09-05598</v>
      </c>
      <c r="AA20" s="30">
        <f>$F$20+$I$20</f>
        <v>5581</v>
      </c>
      <c r="AB20" s="46">
        <v>5261.3</v>
      </c>
      <c r="AD20" s="40" t="str">
        <f>IF(ISBLANK($C$20),"NA",RIGHT($C$20,3))</f>
        <v>598</v>
      </c>
      <c r="AE20" s="42">
        <f>IF($I$20&gt;0,$I$20,"NA")</f>
        <v>289.39999999999998</v>
      </c>
      <c r="AF20" s="22"/>
      <c r="AG20" s="25">
        <f t="shared" ca="1" si="2"/>
        <v>143</v>
      </c>
      <c r="AH20" s="25"/>
      <c r="AI20" s="22"/>
      <c r="AJ20" s="40" t="str">
        <f>IF(ISBLANK($C$19),"NA",RIGHT($C$19,3))</f>
        <v>595</v>
      </c>
      <c r="AK20" s="42">
        <f>IF($I$19&gt;0,$I$19,"NA")</f>
        <v>408.1</v>
      </c>
      <c r="AL20" s="22"/>
      <c r="AM20" s="25">
        <f t="shared" ca="1" si="1"/>
        <v>196.2</v>
      </c>
      <c r="AN20" s="22"/>
      <c r="AO20" s="22"/>
      <c r="AP20" s="22"/>
      <c r="AQ20" s="22"/>
      <c r="AR20" s="22"/>
      <c r="AS20" s="22"/>
      <c r="AT20" s="22"/>
      <c r="AU20" s="22"/>
      <c r="AV20" s="22"/>
      <c r="AW20" s="22"/>
      <c r="AX20" s="22"/>
      <c r="AY20" s="22"/>
      <c r="AZ20" s="22"/>
      <c r="BA20" s="22"/>
      <c r="BB20" s="22"/>
      <c r="BC20" s="22"/>
      <c r="BD20" s="22"/>
      <c r="BE20" s="22"/>
      <c r="BF20" s="22"/>
      <c r="BG20" s="22"/>
      <c r="BH20" s="22"/>
      <c r="BI20" s="22"/>
      <c r="BJ20" s="22"/>
      <c r="BK20" s="22"/>
      <c r="BL20" s="22"/>
      <c r="BM20" s="22"/>
      <c r="BN20" s="22"/>
      <c r="BO20" s="22"/>
      <c r="BP20" s="22"/>
    </row>
    <row r="21" spans="1:68" s="17" customFormat="1" ht="22.5" customHeight="1">
      <c r="A21" s="76" t="s">
        <v>3</v>
      </c>
      <c r="B21" s="779"/>
      <c r="C21" s="296" t="str">
        <f>Status!$A$50</f>
        <v>10-05615</v>
      </c>
      <c r="D21" s="286" t="str">
        <f>Status!$C$50</f>
        <v>Y</v>
      </c>
      <c r="E21" s="44" t="s">
        <v>329</v>
      </c>
      <c r="F21" s="31">
        <f>Status!$G$50</f>
        <v>3248.7</v>
      </c>
      <c r="G21" s="286" t="str">
        <f>Status!$B$50</f>
        <v>PMCS</v>
      </c>
      <c r="H21" s="31">
        <f>$F$21-$AB$21</f>
        <v>4.5</v>
      </c>
      <c r="I21" s="31">
        <f>Status!$L$50</f>
        <v>169.5</v>
      </c>
      <c r="J21" s="31" t="str">
        <f>Status!$F$50</f>
        <v>KFCS</v>
      </c>
      <c r="K21" s="287">
        <f>Status!$X$50</f>
        <v>42095</v>
      </c>
      <c r="L21" s="33"/>
      <c r="M21" s="48">
        <f ca="1">Status!$X$51</f>
        <v>20</v>
      </c>
      <c r="N21" s="291">
        <f>Status!$X$52</f>
        <v>42122</v>
      </c>
      <c r="O21" s="293" t="str">
        <f>IF($G$21="MTF/MOC",Status!$M$51,Status!$M$50)</f>
        <v>ASE Not Installed</v>
      </c>
      <c r="P21" s="793" t="str">
        <f>IF($G$21="MTF/MOC",Status!$T$51,(IF(ISBLANK(Status!$T$50),"",Status!$T$50)))</f>
        <v/>
      </c>
      <c r="Q21" s="794"/>
      <c r="R21" s="783">
        <f>COUNTA(C15:C22)</f>
        <v>8</v>
      </c>
      <c r="S21" s="78" t="s">
        <v>68</v>
      </c>
      <c r="T21" s="79">
        <f>SUM(I15:I22)</f>
        <v>2185.8000000000002</v>
      </c>
      <c r="Y21" s="55"/>
      <c r="Z21" s="75" t="str">
        <f>$C$21</f>
        <v>10-05615</v>
      </c>
      <c r="AA21" s="30">
        <f>$F$21+$I$21</f>
        <v>3418.2</v>
      </c>
      <c r="AB21" s="46">
        <v>3244.2</v>
      </c>
      <c r="AD21" s="40" t="str">
        <f>IF(ISBLANK($C$21),"NA",RIGHT($C$21,3))</f>
        <v>615</v>
      </c>
      <c r="AE21" s="42">
        <f>IF($I$21&gt;0,$I$21,"NA")</f>
        <v>169.5</v>
      </c>
      <c r="AF21" s="22"/>
      <c r="AG21" s="25">
        <f t="shared" ca="1" si="2"/>
        <v>71.599999999999994</v>
      </c>
      <c r="AH21" s="25"/>
      <c r="AI21" s="22"/>
      <c r="AJ21" s="40" t="str">
        <f>IF(ISBLANK($C$20),"NA",RIGHT($C$20,3))</f>
        <v>598</v>
      </c>
      <c r="AK21" s="42">
        <f>IF($I$20&gt;0,$I$20,"NA")</f>
        <v>289.39999999999998</v>
      </c>
      <c r="AL21" s="22"/>
      <c r="AM21" s="25">
        <f t="shared" ca="1" si="1"/>
        <v>174.5</v>
      </c>
      <c r="AN21" s="22"/>
      <c r="AO21" s="22"/>
      <c r="AP21" s="22"/>
      <c r="AQ21" s="22"/>
      <c r="AR21" s="22"/>
      <c r="AS21" s="22"/>
      <c r="AT21" s="22"/>
      <c r="AU21" s="22"/>
      <c r="AV21" s="22"/>
      <c r="AW21" s="22"/>
      <c r="AX21" s="22"/>
      <c r="AY21" s="22"/>
      <c r="AZ21" s="22"/>
      <c r="BA21" s="22"/>
      <c r="BB21" s="22"/>
      <c r="BC21" s="22"/>
      <c r="BD21" s="22"/>
      <c r="BE21" s="22"/>
      <c r="BF21" s="22"/>
      <c r="BG21" s="22"/>
      <c r="BH21" s="22"/>
      <c r="BI21" s="22"/>
      <c r="BJ21" s="22"/>
      <c r="BK21" s="22"/>
      <c r="BL21" s="22"/>
      <c r="BM21" s="22"/>
      <c r="BN21" s="22"/>
      <c r="BO21" s="22"/>
      <c r="BP21" s="22"/>
    </row>
    <row r="22" spans="1:68" s="17" customFormat="1" ht="22.5" customHeight="1" thickBot="1">
      <c r="A22" s="77">
        <f>F64</f>
        <v>0.63</v>
      </c>
      <c r="B22" s="780"/>
      <c r="C22" s="298" t="str">
        <f>Status!$A$53</f>
        <v>10-05626</v>
      </c>
      <c r="D22" s="299" t="str">
        <f>Status!$C$53</f>
        <v>Y</v>
      </c>
      <c r="E22" s="300" t="s">
        <v>329</v>
      </c>
      <c r="F22" s="301">
        <f>Status!$G$53</f>
        <v>3033.6</v>
      </c>
      <c r="G22" s="299" t="str">
        <f>Status!$B$53</f>
        <v>PMCS</v>
      </c>
      <c r="H22" s="301">
        <f>$F$22-$AB$22</f>
        <v>4.5</v>
      </c>
      <c r="I22" s="301">
        <f>Status!$L$53</f>
        <v>435.5</v>
      </c>
      <c r="J22" s="301" t="str">
        <f>Status!$F$53</f>
        <v>KFCS</v>
      </c>
      <c r="K22" s="302">
        <f>Status!$X$53</f>
        <v>42074</v>
      </c>
      <c r="L22" s="303"/>
      <c r="M22" s="304">
        <f ca="1">Status!$X$54</f>
        <v>41</v>
      </c>
      <c r="N22" s="305">
        <f>Status!$X$55</f>
        <v>42122</v>
      </c>
      <c r="O22" s="306" t="str">
        <f>IF($G$22="MTF/MOC",Status!$M$54,Status!$M$53)</f>
        <v>ASE Not Installed</v>
      </c>
      <c r="P22" s="795" t="str">
        <f>IF($G$22="MTF/MOC",Status!$T$54,(IF(ISBLANK(Status!$T$53),"",Status!$T$53)))</f>
        <v/>
      </c>
      <c r="Q22" s="796"/>
      <c r="R22" s="784"/>
      <c r="S22" s="80" t="s">
        <v>69</v>
      </c>
      <c r="T22" s="81">
        <f>T21/(500*R21)</f>
        <v>0.54600000000000004</v>
      </c>
      <c r="Y22" s="55"/>
      <c r="Z22" s="75" t="str">
        <f>$C$22</f>
        <v>10-05626</v>
      </c>
      <c r="AA22" s="30">
        <f>$F$22+$I$22</f>
        <v>3469.1</v>
      </c>
      <c r="AB22" s="66">
        <v>3029.1</v>
      </c>
      <c r="AD22" s="40" t="str">
        <f>IF(ISBLANK($C$22),"NA",RIGHT($C$22,3))</f>
        <v>626</v>
      </c>
      <c r="AE22" s="42">
        <f>IF($I$22&gt;0,$I$22,"NA")</f>
        <v>435.5</v>
      </c>
      <c r="AF22" s="22"/>
      <c r="AG22" s="25">
        <f t="shared" ca="1" si="2"/>
        <v>0.2</v>
      </c>
      <c r="AH22" s="25"/>
      <c r="AI22" s="22"/>
      <c r="AJ22" s="40" t="str">
        <f>IF(ISBLANK($C$21),"NA",RIGHT($C$21,3))</f>
        <v>615</v>
      </c>
      <c r="AK22" s="42">
        <f>IF($I$21&gt;0,$I$21,"NA")</f>
        <v>169.5</v>
      </c>
      <c r="AL22" s="22"/>
      <c r="AM22" s="25">
        <f t="shared" ca="1" si="1"/>
        <v>152.80000000000001</v>
      </c>
      <c r="AN22" s="22"/>
      <c r="AO22" s="22"/>
      <c r="AP22" s="22"/>
      <c r="AQ22" s="22"/>
      <c r="AR22" s="22"/>
      <c r="AS22" s="22"/>
      <c r="AT22" s="22"/>
      <c r="AU22" s="22"/>
      <c r="AV22" s="22"/>
      <c r="AW22" s="22"/>
      <c r="AX22" s="22"/>
      <c r="AY22" s="22"/>
      <c r="AZ22" s="22"/>
      <c r="BA22" s="22"/>
      <c r="BB22" s="22"/>
      <c r="BC22" s="22"/>
      <c r="BD22" s="22"/>
      <c r="BE22" s="22"/>
      <c r="BF22" s="22"/>
      <c r="BG22" s="22"/>
      <c r="BH22" s="22"/>
      <c r="BI22" s="22"/>
      <c r="BJ22" s="22"/>
      <c r="BK22" s="22"/>
      <c r="BL22" s="22"/>
      <c r="BM22" s="22"/>
      <c r="BN22" s="22"/>
      <c r="BO22" s="22"/>
      <c r="BP22" s="22"/>
    </row>
    <row r="23" spans="1:68" s="17" customFormat="1" ht="22.5" customHeight="1" thickBot="1">
      <c r="A23" s="786"/>
      <c r="B23" s="787"/>
      <c r="C23" s="787"/>
      <c r="D23" s="787"/>
      <c r="E23" s="787"/>
      <c r="F23" s="787"/>
      <c r="G23" s="787"/>
      <c r="H23" s="787"/>
      <c r="I23" s="787"/>
      <c r="J23" s="787"/>
      <c r="K23" s="787"/>
      <c r="L23" s="787"/>
      <c r="M23" s="787"/>
      <c r="N23" s="787"/>
      <c r="O23" s="787"/>
      <c r="P23" s="787"/>
      <c r="Q23" s="787"/>
      <c r="R23" s="785"/>
      <c r="S23" s="82" t="s">
        <v>46</v>
      </c>
      <c r="T23" s="83">
        <f>SUM(H15:H22)</f>
        <v>195.7</v>
      </c>
      <c r="Z23" s="84"/>
      <c r="AA23" s="85"/>
      <c r="AB23" s="86"/>
      <c r="AD23" s="71"/>
      <c r="AE23" s="22"/>
      <c r="AF23" s="22"/>
      <c r="AG23" s="25">
        <f ca="1">COUNTIF(AE24:AE31,"&gt;0")</f>
        <v>8</v>
      </c>
      <c r="AH23" s="25">
        <f ca="1">$AA$1/($AG$23-1)</f>
        <v>71.400000000000006</v>
      </c>
      <c r="AI23" s="22"/>
      <c r="AJ23" s="40" t="str">
        <f>IF(ISBLANK($C$22),"NA",RIGHT($C$22,3))</f>
        <v>626</v>
      </c>
      <c r="AK23" s="42">
        <f>IF($I$22&gt;0,$I$22,"NA")</f>
        <v>435.5</v>
      </c>
      <c r="AL23" s="22"/>
      <c r="AM23" s="25">
        <f t="shared" ca="1" si="1"/>
        <v>131.1</v>
      </c>
      <c r="AN23" s="22"/>
      <c r="AO23" s="22"/>
      <c r="AP23" s="22"/>
      <c r="AQ23" s="22"/>
      <c r="AR23" s="22"/>
      <c r="AS23" s="22"/>
      <c r="AT23" s="22"/>
      <c r="AU23" s="22"/>
      <c r="AV23" s="22"/>
      <c r="AW23" s="22"/>
      <c r="AX23" s="22"/>
      <c r="AY23" s="22"/>
      <c r="AZ23" s="22"/>
      <c r="BA23" s="22"/>
      <c r="BB23" s="22"/>
      <c r="BC23" s="22"/>
      <c r="BD23" s="22"/>
      <c r="BE23" s="22"/>
      <c r="BF23" s="22"/>
      <c r="BG23" s="22"/>
      <c r="BH23" s="22"/>
      <c r="BI23" s="22"/>
      <c r="BJ23" s="22"/>
      <c r="BK23" s="22"/>
      <c r="BL23" s="22"/>
      <c r="BM23" s="22"/>
      <c r="BN23" s="22"/>
      <c r="BO23" s="22"/>
      <c r="BP23" s="22"/>
    </row>
    <row r="24" spans="1:68" s="17" customFormat="1" ht="22.5" customHeight="1">
      <c r="A24" s="813" t="s">
        <v>79</v>
      </c>
      <c r="B24" s="778" t="s">
        <v>15</v>
      </c>
      <c r="C24" s="297" t="str">
        <f>Status!$A$57</f>
        <v>00-05187</v>
      </c>
      <c r="D24" s="284" t="str">
        <f>Status!$C$57</f>
        <v>Y</v>
      </c>
      <c r="E24" s="28" t="s">
        <v>335</v>
      </c>
      <c r="F24" s="283">
        <f>Status!$G$57</f>
        <v>5417.5</v>
      </c>
      <c r="G24" s="284" t="str">
        <f>Status!$B$57</f>
        <v>MTF/MOC</v>
      </c>
      <c r="H24" s="283">
        <f>$F$24-$AB$24</f>
        <v>1.5</v>
      </c>
      <c r="I24" s="283">
        <f>Status!$L$57</f>
        <v>294.10000000000002</v>
      </c>
      <c r="J24" s="283" t="str">
        <f>Status!$F$57</f>
        <v>KFCS</v>
      </c>
      <c r="K24" s="285">
        <f>Status!$X$57</f>
        <v>42103</v>
      </c>
      <c r="L24" s="72"/>
      <c r="M24" s="34">
        <f ca="1">Status!$X$58</f>
        <v>12</v>
      </c>
      <c r="N24" s="290">
        <f>Status!$X$59</f>
        <v>42124</v>
      </c>
      <c r="O24" s="292">
        <f>IF($G$24="MTF/MOC",Status!$M$58,Status!$M$57)</f>
        <v>0</v>
      </c>
      <c r="P24" s="797" t="str">
        <f>IF($G$24="MTF/MOC",Status!$T$58,(IF(ISBLANK(Status!$T$57),"",Status!$T$57)))</f>
        <v>C Co, 17 APR 15</v>
      </c>
      <c r="Q24" s="798"/>
      <c r="R24" s="73" t="s">
        <v>16</v>
      </c>
      <c r="S24" s="294">
        <f ca="1">'C Co Readiness'!$E$244</f>
        <v>0</v>
      </c>
      <c r="T24" s="74">
        <f ca="1">S24/S29</f>
        <v>0</v>
      </c>
      <c r="X24" s="55"/>
      <c r="Y24" s="55"/>
      <c r="Z24" s="87" t="str">
        <f>$C$24</f>
        <v>00-05187</v>
      </c>
      <c r="AA24" s="30">
        <f>$F$24+$I$24</f>
        <v>5711.6</v>
      </c>
      <c r="AB24" s="46">
        <v>5416</v>
      </c>
      <c r="AD24" s="52" t="str">
        <f>IF(ISBLANK($C$25),"NA",RIGHT($C$25,3))</f>
        <v>365</v>
      </c>
      <c r="AE24" s="42">
        <f>IF($I$25&gt;0,$I$25,"NA")</f>
        <v>27.4</v>
      </c>
      <c r="AF24" s="22"/>
      <c r="AG24" s="25">
        <f>$AA$1</f>
        <v>500</v>
      </c>
      <c r="AH24" s="25"/>
      <c r="AI24" s="22"/>
      <c r="AJ24" s="52" t="str">
        <f>IF(ISBLANK($C$26),"NA",RIGHT($C$26,3))</f>
        <v>383</v>
      </c>
      <c r="AK24" s="42">
        <f>IF($I$26&gt;0,$I$26,"NA")</f>
        <v>148.30000000000001</v>
      </c>
      <c r="AL24" s="22"/>
      <c r="AM24" s="25">
        <f t="shared" ca="1" si="1"/>
        <v>109.4</v>
      </c>
      <c r="AN24" s="22"/>
      <c r="AO24" s="22"/>
      <c r="AP24" s="22"/>
      <c r="AQ24" s="22"/>
      <c r="AR24" s="22"/>
      <c r="AS24" s="22"/>
      <c r="AT24" s="22"/>
      <c r="AU24" s="22"/>
      <c r="AV24" s="22"/>
      <c r="AW24" s="22"/>
      <c r="AX24" s="22"/>
      <c r="AY24" s="22"/>
      <c r="AZ24" s="22"/>
      <c r="BA24" s="22"/>
      <c r="BB24" s="22"/>
      <c r="BC24" s="22"/>
      <c r="BD24" s="22"/>
      <c r="BE24" s="22"/>
      <c r="BF24" s="22"/>
      <c r="BG24" s="22"/>
      <c r="BH24" s="22"/>
      <c r="BI24" s="22"/>
      <c r="BJ24" s="22"/>
      <c r="BK24" s="22"/>
      <c r="BL24" s="22"/>
      <c r="BM24" s="22"/>
      <c r="BN24" s="22"/>
      <c r="BO24" s="22"/>
      <c r="BP24" s="22"/>
    </row>
    <row r="25" spans="1:68" s="17" customFormat="1" ht="22.5" customHeight="1">
      <c r="A25" s="814"/>
      <c r="B25" s="779"/>
      <c r="C25" s="296" t="str">
        <f>Status!$A$60</f>
        <v>03-05365</v>
      </c>
      <c r="D25" s="286" t="str">
        <f>Status!$C$60</f>
        <v>N</v>
      </c>
      <c r="E25" s="44" t="s">
        <v>333</v>
      </c>
      <c r="F25" s="31">
        <f>Status!$G$60</f>
        <v>7232.1</v>
      </c>
      <c r="G25" s="286" t="str">
        <f>Status!$B$60</f>
        <v>NMCM</v>
      </c>
      <c r="H25" s="31">
        <f>$F$25-$AB$25</f>
        <v>0</v>
      </c>
      <c r="I25" s="31">
        <f>Status!$L$60</f>
        <v>27.4</v>
      </c>
      <c r="J25" s="31" t="str">
        <f>Status!$F$60</f>
        <v>Campbell</v>
      </c>
      <c r="K25" s="287">
        <f>Status!$X$60</f>
        <v>42110</v>
      </c>
      <c r="L25" s="33"/>
      <c r="M25" s="48">
        <f ca="1">Status!$X$61</f>
        <v>5</v>
      </c>
      <c r="N25" s="291">
        <f>Status!$X$62</f>
        <v>42124</v>
      </c>
      <c r="O25" s="293" t="str">
        <f>IF($G$25="MTF/MOC",Status!$M$61,Status!$M$60)</f>
        <v>A/C Reset - Ft. Campbell</v>
      </c>
      <c r="P25" s="793" t="str">
        <f>IF($G$25="MTF/MOC",Status!$T$61,(IF(ISBLANK(Status!$T$60),"",Status!$T$60)))</f>
        <v>Lockheed Martin Reset Team</v>
      </c>
      <c r="Q25" s="794"/>
      <c r="R25" s="49" t="s">
        <v>65</v>
      </c>
      <c r="S25" s="295">
        <f ca="1">'C Co Readiness'!$H$244</f>
        <v>132</v>
      </c>
      <c r="T25" s="51">
        <f ca="1">S25/S29</f>
        <v>0.13800000000000001</v>
      </c>
      <c r="U25" s="89"/>
      <c r="V25" s="90"/>
      <c r="W25" s="90"/>
      <c r="X25" s="91"/>
      <c r="Y25" s="91"/>
      <c r="Z25" s="87" t="str">
        <f>$C$25</f>
        <v>03-05365</v>
      </c>
      <c r="AA25" s="30">
        <f>$F$25+$I$25</f>
        <v>7259.5</v>
      </c>
      <c r="AB25" s="66">
        <v>7232.1</v>
      </c>
      <c r="AD25" s="52" t="str">
        <f>IF(ISBLANK($C$24),"NA",RIGHT($C$24,3))</f>
        <v>187</v>
      </c>
      <c r="AE25" s="42">
        <f ca="1">RAND()*0+$I$24</f>
        <v>294.10000000000002</v>
      </c>
      <c r="AF25" s="22"/>
      <c r="AG25" s="25">
        <f ca="1">IF(AG24-$AH$23&gt;=0,AG24-$AH$23,-1)</f>
        <v>428.6</v>
      </c>
      <c r="AH25" s="25"/>
      <c r="AI25" s="22"/>
      <c r="AJ25" s="52" t="str">
        <f>IF(ISBLANK($C$27),"NA",RIGHT($C$27,3))</f>
        <v>039</v>
      </c>
      <c r="AK25" s="42">
        <f>IF($I$27&gt;0,$I$27,"NA")</f>
        <v>378.8</v>
      </c>
      <c r="AL25" s="22"/>
      <c r="AM25" s="25">
        <f t="shared" ca="1" si="1"/>
        <v>87.7</v>
      </c>
      <c r="AN25" s="22"/>
      <c r="AO25" s="22"/>
      <c r="AP25" s="22"/>
      <c r="AQ25" s="22"/>
      <c r="AR25" s="22"/>
      <c r="AS25" s="22"/>
      <c r="AT25" s="22"/>
      <c r="AU25" s="22"/>
      <c r="AV25" s="22"/>
      <c r="AW25" s="22"/>
      <c r="AX25" s="22"/>
      <c r="AY25" s="22"/>
      <c r="AZ25" s="22"/>
      <c r="BA25" s="22"/>
      <c r="BB25" s="22"/>
      <c r="BC25" s="22"/>
      <c r="BD25" s="22"/>
      <c r="BE25" s="22"/>
      <c r="BF25" s="22"/>
      <c r="BG25" s="22"/>
      <c r="BH25" s="22"/>
      <c r="BI25" s="22"/>
      <c r="BJ25" s="22"/>
      <c r="BK25" s="22"/>
      <c r="BL25" s="22"/>
      <c r="BM25" s="22"/>
      <c r="BN25" s="22"/>
      <c r="BO25" s="22"/>
      <c r="BP25" s="22"/>
    </row>
    <row r="26" spans="1:68" s="17" customFormat="1" ht="22.5" customHeight="1">
      <c r="A26" s="814"/>
      <c r="B26" s="779"/>
      <c r="C26" s="296" t="str">
        <f>Status!$A$63</f>
        <v>03-05383</v>
      </c>
      <c r="D26" s="286" t="str">
        <f>Status!$C$63</f>
        <v>Y</v>
      </c>
      <c r="E26" s="44" t="s">
        <v>333</v>
      </c>
      <c r="F26" s="31">
        <f>Status!$G$63</f>
        <v>7810.4</v>
      </c>
      <c r="G26" s="286" t="str">
        <f>Status!$B$63</f>
        <v>PMCS</v>
      </c>
      <c r="H26" s="31">
        <f>$F$26-$AB$26</f>
        <v>18.399999999999999</v>
      </c>
      <c r="I26" s="31">
        <f>Status!$L$63</f>
        <v>148.30000000000001</v>
      </c>
      <c r="J26" s="31" t="str">
        <f>Status!$F$63</f>
        <v>KFCS</v>
      </c>
      <c r="K26" s="287">
        <f>Status!$X$63</f>
        <v>42095</v>
      </c>
      <c r="L26" s="33"/>
      <c r="M26" s="48">
        <f ca="1">Status!$X$64</f>
        <v>20</v>
      </c>
      <c r="N26" s="291">
        <f>Status!$X$65</f>
        <v>42122</v>
      </c>
      <c r="O26" s="293" t="str">
        <f>IF($G$26="MTF/MOC",Status!$M$64,Status!$M$63)</f>
        <v>ASE Not Installed</v>
      </c>
      <c r="P26" s="793" t="str">
        <f>IF($G$26="MTF/MOC",Status!$T$64,(IF(ISBLANK(Status!$T$63),"",Status!$T$63)))</f>
        <v/>
      </c>
      <c r="Q26" s="794"/>
      <c r="R26" s="49" t="s">
        <v>24</v>
      </c>
      <c r="S26" s="295">
        <f ca="1">'C Co Readiness'!$I$244</f>
        <v>143</v>
      </c>
      <c r="T26" s="51">
        <f ca="1">S26/S29</f>
        <v>0.14899999999999999</v>
      </c>
      <c r="U26" s="89"/>
      <c r="V26" s="90"/>
      <c r="W26" s="90"/>
      <c r="X26" s="91"/>
      <c r="Y26" s="91"/>
      <c r="Z26" s="87" t="str">
        <f>$C$26</f>
        <v>03-05383</v>
      </c>
      <c r="AA26" s="30">
        <f>$F$26+$I$26</f>
        <v>7958.7</v>
      </c>
      <c r="AB26" s="66">
        <v>7792</v>
      </c>
      <c r="AD26" s="52" t="str">
        <f>IF(ISBLANK($C$26),"NA",RIGHT($C$26,3))</f>
        <v>383</v>
      </c>
      <c r="AE26" s="42">
        <f>IF($I$26&gt;0,$I$26,"NA")</f>
        <v>148.30000000000001</v>
      </c>
      <c r="AF26" s="22"/>
      <c r="AG26" s="25">
        <f t="shared" ref="AG26:AG31" ca="1" si="3">IF(AG25-$AH$23&gt;=0,AG25-$AH$23,-1)</f>
        <v>357.2</v>
      </c>
      <c r="AH26" s="25"/>
      <c r="AI26" s="22"/>
      <c r="AJ26" s="52" t="str">
        <f>IF(ISBLANK($C$28),"NA",RIGHT($C$28,3))</f>
        <v>052</v>
      </c>
      <c r="AK26" s="42">
        <f>IF($I$28&gt;0,$I$28,"NA")</f>
        <v>294.89999999999998</v>
      </c>
      <c r="AL26" s="22"/>
      <c r="AM26" s="25">
        <f t="shared" ca="1" si="1"/>
        <v>66</v>
      </c>
      <c r="AN26" s="22"/>
      <c r="AO26" s="22"/>
      <c r="AP26" s="22"/>
      <c r="AQ26" s="22"/>
      <c r="AR26" s="22"/>
      <c r="AS26" s="22"/>
      <c r="AT26" s="22"/>
      <c r="AU26" s="22"/>
      <c r="AV26" s="22"/>
      <c r="AW26" s="22"/>
      <c r="AX26" s="22"/>
      <c r="AY26" s="22"/>
      <c r="AZ26" s="22"/>
      <c r="BA26" s="22"/>
      <c r="BB26" s="22"/>
      <c r="BC26" s="22"/>
      <c r="BD26" s="22"/>
      <c r="BE26" s="22"/>
      <c r="BF26" s="22"/>
      <c r="BG26" s="22"/>
      <c r="BH26" s="22"/>
      <c r="BI26" s="22"/>
      <c r="BJ26" s="22"/>
      <c r="BK26" s="22"/>
      <c r="BL26" s="22"/>
      <c r="BM26" s="22"/>
      <c r="BN26" s="22"/>
      <c r="BO26" s="22"/>
      <c r="BP26" s="22"/>
    </row>
    <row r="27" spans="1:68" s="17" customFormat="1" ht="22.5" customHeight="1">
      <c r="A27" s="814"/>
      <c r="B27" s="779"/>
      <c r="C27" s="296" t="str">
        <f>Status!$A$66</f>
        <v>07-07039</v>
      </c>
      <c r="D27" s="286" t="str">
        <f>Status!$C$66</f>
        <v>N</v>
      </c>
      <c r="E27" s="44" t="s">
        <v>333</v>
      </c>
      <c r="F27" s="31">
        <f>Status!$G$66</f>
        <v>1825.9</v>
      </c>
      <c r="G27" s="286" t="str">
        <f>Status!$B$66</f>
        <v>NMCS</v>
      </c>
      <c r="H27" s="31">
        <f>$F$27-$AB$27</f>
        <v>15.6</v>
      </c>
      <c r="I27" s="31">
        <f>Status!$L$66</f>
        <v>378.8</v>
      </c>
      <c r="J27" s="31" t="str">
        <f>Status!$F$66</f>
        <v>KFCS</v>
      </c>
      <c r="K27" s="287">
        <f>Status!$X$66</f>
        <v>42107</v>
      </c>
      <c r="L27" s="33"/>
      <c r="M27" s="48">
        <f ca="1">Status!$X$67</f>
        <v>8</v>
      </c>
      <c r="N27" s="291">
        <f>Status!$X$68</f>
        <v>42122</v>
      </c>
      <c r="O27" s="293" t="str">
        <f>IF($G$27="MTF/MOC",Status!$M$67,Status!$M$66)</f>
        <v>MSPU Red for M/R Smoothing</v>
      </c>
      <c r="P27" s="793" t="str">
        <f>IF($G$27="MTF/MOC",Status!$T$67,(IF(ISBLANK(Status!$T$66),"",Status!$T$66)))</f>
        <v>MTP, TBD</v>
      </c>
      <c r="Q27" s="794"/>
      <c r="R27" s="49" t="s">
        <v>22</v>
      </c>
      <c r="S27" s="295">
        <f ca="1">'C Co Readiness'!$G$244</f>
        <v>0</v>
      </c>
      <c r="T27" s="51">
        <f ca="1">S27/S29</f>
        <v>0</v>
      </c>
      <c r="U27" s="89"/>
      <c r="V27" s="90"/>
      <c r="W27" s="90"/>
      <c r="X27" s="91"/>
      <c r="Y27" s="91"/>
      <c r="Z27" s="87" t="str">
        <f>$C$27</f>
        <v>07-07039</v>
      </c>
      <c r="AA27" s="30">
        <f>$F$27+$I$27</f>
        <v>2204.6999999999998</v>
      </c>
      <c r="AB27" s="66">
        <v>1810.3</v>
      </c>
      <c r="AD27" s="52" t="str">
        <f>IF(ISBLANK($C$27),"NA",RIGHT($C$27,3))</f>
        <v>039</v>
      </c>
      <c r="AE27" s="42">
        <f>IF($I$27&gt;0,$I$27,"NA")</f>
        <v>378.8</v>
      </c>
      <c r="AF27" s="22"/>
      <c r="AG27" s="25">
        <f t="shared" ca="1" si="3"/>
        <v>285.8</v>
      </c>
      <c r="AH27" s="25"/>
      <c r="AI27" s="22"/>
      <c r="AJ27" s="52" t="str">
        <f>IF(ISBLANK($C$29),"NA",RIGHT($C$29,3))</f>
        <v>575</v>
      </c>
      <c r="AK27" s="42">
        <f>IF($I$29&gt;0,$I$29,"NA")</f>
        <v>168.8</v>
      </c>
      <c r="AL27" s="22"/>
      <c r="AM27" s="25">
        <f t="shared" ca="1" si="1"/>
        <v>44.3</v>
      </c>
      <c r="AN27" s="22"/>
      <c r="AO27" s="22"/>
      <c r="AP27" s="22"/>
      <c r="AQ27" s="22"/>
      <c r="AR27" s="22"/>
      <c r="AS27" s="22"/>
      <c r="AT27" s="22"/>
      <c r="AU27" s="22"/>
      <c r="AV27" s="22"/>
      <c r="AW27" s="22"/>
      <c r="AX27" s="22"/>
      <c r="AY27" s="22"/>
      <c r="AZ27" s="22"/>
      <c r="BA27" s="22"/>
      <c r="BB27" s="22"/>
      <c r="BC27" s="22"/>
      <c r="BD27" s="22"/>
      <c r="BE27" s="22"/>
      <c r="BF27" s="22"/>
      <c r="BG27" s="22"/>
      <c r="BH27" s="22"/>
      <c r="BI27" s="22"/>
      <c r="BJ27" s="22"/>
      <c r="BK27" s="22"/>
      <c r="BL27" s="22"/>
      <c r="BM27" s="22"/>
      <c r="BN27" s="22"/>
      <c r="BO27" s="22"/>
      <c r="BP27" s="22"/>
    </row>
    <row r="28" spans="1:68" s="17" customFormat="1" ht="22.5" customHeight="1">
      <c r="A28" s="92" t="s">
        <v>16</v>
      </c>
      <c r="B28" s="779"/>
      <c r="C28" s="296" t="str">
        <f>Status!$A$69</f>
        <v>08-07052</v>
      </c>
      <c r="D28" s="286" t="str">
        <f>Status!$C$69</f>
        <v>N</v>
      </c>
      <c r="E28" s="44" t="s">
        <v>333</v>
      </c>
      <c r="F28" s="31">
        <f>Status!$G$69</f>
        <v>1530.5</v>
      </c>
      <c r="G28" s="286" t="str">
        <f>Status!$B$69</f>
        <v>NMCM</v>
      </c>
      <c r="H28" s="31">
        <f>$F$28-$AB$28</f>
        <v>0</v>
      </c>
      <c r="I28" s="31">
        <f>Status!$L$69</f>
        <v>294.89999999999998</v>
      </c>
      <c r="J28" s="31" t="str">
        <f>Status!$F$69</f>
        <v>KFCS</v>
      </c>
      <c r="K28" s="287">
        <f>Status!$X$69</f>
        <v>42079</v>
      </c>
      <c r="L28" s="33"/>
      <c r="M28" s="48">
        <f ca="1">Status!$X$70</f>
        <v>36</v>
      </c>
      <c r="N28" s="291">
        <f>Status!$X$71</f>
        <v>42122</v>
      </c>
      <c r="O28" s="293" t="str">
        <f>IF($G$28="MTF/MOC",Status!$M$70,Status!$M$69)</f>
        <v>XMSN REPLACEMENT</v>
      </c>
      <c r="P28" s="793" t="str">
        <f>IF($G$28="MTF/MOC",Status!$T$70,(IF(ISBLANK(Status!$T$69),"",Status!$T$69)))</f>
        <v>Maint, On-Going</v>
      </c>
      <c r="Q28" s="794"/>
      <c r="R28" s="49" t="s">
        <v>23</v>
      </c>
      <c r="S28" s="295">
        <f ca="1">'C Co Readiness'!$F$244</f>
        <v>566</v>
      </c>
      <c r="T28" s="51">
        <f ca="1">S28/S29</f>
        <v>0.59</v>
      </c>
      <c r="U28" s="89"/>
      <c r="V28" s="90"/>
      <c r="W28" s="90"/>
      <c r="X28" s="91"/>
      <c r="Y28" s="91"/>
      <c r="Z28" s="87" t="str">
        <f>$C$28</f>
        <v>08-07052</v>
      </c>
      <c r="AA28" s="30">
        <f>$F$28+$I$28</f>
        <v>1825.4</v>
      </c>
      <c r="AB28" s="66">
        <v>1530.5</v>
      </c>
      <c r="AD28" s="52" t="str">
        <f>IF(ISBLANK($C$28),"NA",RIGHT($C$28,3))</f>
        <v>052</v>
      </c>
      <c r="AE28" s="42">
        <f>IF($I$28&gt;0,$I$28,"NA")</f>
        <v>294.89999999999998</v>
      </c>
      <c r="AF28" s="22"/>
      <c r="AG28" s="25">
        <f t="shared" ca="1" si="3"/>
        <v>214.4</v>
      </c>
      <c r="AH28" s="25"/>
      <c r="AI28" s="22"/>
      <c r="AJ28" s="52" t="str">
        <f>IF(ISBLANK($C$30),"NA",RIGHT($C$30,3))</f>
        <v>008</v>
      </c>
      <c r="AK28" s="42">
        <f>IF($I$30&gt;0,$I$30,"NA")</f>
        <v>401.2</v>
      </c>
      <c r="AL28" s="22"/>
      <c r="AM28" s="25">
        <f t="shared" ca="1" si="1"/>
        <v>22.6</v>
      </c>
      <c r="AN28" s="22"/>
      <c r="AO28" s="22"/>
      <c r="AP28" s="22"/>
      <c r="AQ28" s="22"/>
      <c r="AR28" s="22"/>
      <c r="AS28" s="22"/>
      <c r="AT28" s="22"/>
      <c r="AU28" s="22"/>
      <c r="AV28" s="22"/>
      <c r="AW28" s="22"/>
      <c r="AX28" s="22"/>
      <c r="AY28" s="22"/>
      <c r="AZ28" s="22"/>
      <c r="BA28" s="22"/>
      <c r="BB28" s="22"/>
      <c r="BC28" s="22"/>
      <c r="BD28" s="22"/>
      <c r="BE28" s="22"/>
      <c r="BF28" s="22"/>
      <c r="BG28" s="22"/>
      <c r="BH28" s="22"/>
      <c r="BI28" s="22"/>
      <c r="BJ28" s="22"/>
      <c r="BK28" s="22"/>
      <c r="BL28" s="22"/>
      <c r="BM28" s="22"/>
      <c r="BN28" s="22"/>
      <c r="BO28" s="22"/>
      <c r="BP28" s="22"/>
    </row>
    <row r="29" spans="1:68" s="17" customFormat="1" ht="22.5" customHeight="1">
      <c r="A29" s="93">
        <f>G63</f>
        <v>0</v>
      </c>
      <c r="B29" s="779"/>
      <c r="C29" s="296" t="str">
        <f>Status!$A$72</f>
        <v>09-05575</v>
      </c>
      <c r="D29" s="286" t="str">
        <f>Status!$C$72</f>
        <v>Y</v>
      </c>
      <c r="E29" s="44" t="s">
        <v>333</v>
      </c>
      <c r="F29" s="31">
        <f>Status!$G$72</f>
        <v>4074.6</v>
      </c>
      <c r="G29" s="286" t="str">
        <f>Status!$B$72</f>
        <v>PMCS</v>
      </c>
      <c r="H29" s="31">
        <f>$F$29-$AB$29</f>
        <v>9.5</v>
      </c>
      <c r="I29" s="31">
        <f>Status!$L$72</f>
        <v>168.8</v>
      </c>
      <c r="J29" s="31" t="str">
        <f>Status!$F$72</f>
        <v>KFCS</v>
      </c>
      <c r="K29" s="287">
        <f>Status!$X$72</f>
        <v>42095</v>
      </c>
      <c r="L29" s="33"/>
      <c r="M29" s="48">
        <f ca="1">Status!$X$73</f>
        <v>20</v>
      </c>
      <c r="N29" s="291">
        <f>Status!$X$74</f>
        <v>42115</v>
      </c>
      <c r="O29" s="293" t="str">
        <f>IF($G$29="MTF/MOC",Status!$M$73,Status!$M$72)</f>
        <v>DOPPLER FAIL</v>
      </c>
      <c r="P29" s="793" t="str">
        <f>IF($G$29="MTF/MOC",Status!$T$73,(IF(ISBLANK(Status!$T$72),"",Status!$T$72)))</f>
        <v/>
      </c>
      <c r="Q29" s="794"/>
      <c r="R29" s="58" t="s">
        <v>67</v>
      </c>
      <c r="S29" s="59">
        <f ca="1">'C Co Readiness'!$E$246</f>
        <v>960</v>
      </c>
      <c r="T29" s="60"/>
      <c r="U29" s="89"/>
      <c r="V29" s="90"/>
      <c r="W29" s="90"/>
      <c r="X29" s="91"/>
      <c r="Y29" s="91"/>
      <c r="Z29" s="87" t="str">
        <f>$C$29</f>
        <v>09-05575</v>
      </c>
      <c r="AA29" s="30">
        <f>$F$29+$I$29</f>
        <v>4243.3999999999996</v>
      </c>
      <c r="AB29" s="66">
        <v>4065.1</v>
      </c>
      <c r="AD29" s="52" t="str">
        <f>IF(ISBLANK($C$29),"NA",RIGHT($C$29,3))</f>
        <v>575</v>
      </c>
      <c r="AE29" s="42">
        <f>IF($I$29&gt;0,$I$29,"NA")</f>
        <v>168.8</v>
      </c>
      <c r="AF29" s="22"/>
      <c r="AG29" s="25">
        <f t="shared" ca="1" si="3"/>
        <v>143</v>
      </c>
      <c r="AH29" s="25"/>
      <c r="AI29" s="22"/>
      <c r="AJ29" s="52" t="str">
        <f>IF(ISBLANK($C$31),"NA",RIGHT($C$31,3))</f>
        <v>141</v>
      </c>
      <c r="AK29" s="42">
        <f>IF($I$31&gt;0,$I$31,"NA")</f>
        <v>254.8</v>
      </c>
      <c r="AL29" s="22"/>
      <c r="AM29" s="25">
        <f t="shared" ca="1" si="1"/>
        <v>0.9</v>
      </c>
      <c r="AN29" s="22"/>
      <c r="AO29" s="22"/>
      <c r="AP29" s="22"/>
      <c r="AQ29" s="22"/>
      <c r="AR29" s="22"/>
      <c r="AS29" s="22"/>
      <c r="AT29" s="22"/>
      <c r="AU29" s="22"/>
      <c r="AV29" s="22"/>
      <c r="AW29" s="22"/>
      <c r="AX29" s="22"/>
      <c r="AY29" s="22"/>
      <c r="AZ29" s="22"/>
      <c r="BA29" s="22"/>
      <c r="BB29" s="22"/>
      <c r="BC29" s="22"/>
      <c r="BD29" s="22"/>
      <c r="BE29" s="22"/>
      <c r="BF29" s="22"/>
      <c r="BG29" s="22"/>
      <c r="BH29" s="22"/>
      <c r="BI29" s="22"/>
      <c r="BJ29" s="22"/>
      <c r="BK29" s="22"/>
      <c r="BL29" s="22"/>
      <c r="BM29" s="22"/>
      <c r="BN29" s="22"/>
      <c r="BO29" s="22"/>
      <c r="BP29" s="22"/>
    </row>
    <row r="30" spans="1:68" s="17" customFormat="1" ht="22.5" customHeight="1">
      <c r="A30" s="92" t="s">
        <v>3</v>
      </c>
      <c r="B30" s="779"/>
      <c r="C30" s="296" t="str">
        <f>Status!$A$75</f>
        <v>96-05008</v>
      </c>
      <c r="D30" s="286" t="str">
        <f>Status!$C$75</f>
        <v>Y</v>
      </c>
      <c r="E30" s="44" t="s">
        <v>334</v>
      </c>
      <c r="F30" s="31">
        <f>Status!$G$75</f>
        <v>7481.9</v>
      </c>
      <c r="G30" s="286" t="str">
        <f>Status!$B$75</f>
        <v>MTF/MOC</v>
      </c>
      <c r="H30" s="31">
        <f>$F$30-$AB$30</f>
        <v>20.2</v>
      </c>
      <c r="I30" s="31">
        <f>Status!$L$75</f>
        <v>401.2</v>
      </c>
      <c r="J30" s="31" t="str">
        <f>Status!$F$75</f>
        <v>KFCS</v>
      </c>
      <c r="K30" s="287">
        <f>Status!$X$75</f>
        <v>42095</v>
      </c>
      <c r="L30" s="33"/>
      <c r="M30" s="48">
        <f ca="1">Status!$X$76</f>
        <v>20</v>
      </c>
      <c r="N30" s="291">
        <f>Status!$X$77</f>
        <v>42124</v>
      </c>
      <c r="O30" s="293" t="str">
        <f>IF($G$30="MTF/MOC",Status!$M$76,Status!$M$75)</f>
        <v>TR Track and Balance</v>
      </c>
      <c r="P30" s="793" t="str">
        <f>IF($G$30="MTF/MOC",Status!$T$76,(IF(ISBLANK(Status!$T$75),"",Status!$T$75)))</f>
        <v xml:space="preserve"> </v>
      </c>
      <c r="Q30" s="794"/>
      <c r="R30" s="799">
        <f>COUNTA(C24:C31)</f>
        <v>8</v>
      </c>
      <c r="S30" s="98" t="s">
        <v>68</v>
      </c>
      <c r="T30" s="99">
        <f>SUM(I24:I31)</f>
        <v>1968.3</v>
      </c>
      <c r="U30" s="89"/>
      <c r="V30" s="90"/>
      <c r="W30" s="90"/>
      <c r="X30" s="91"/>
      <c r="Y30" s="91"/>
      <c r="Z30" s="87" t="str">
        <f>$C$30</f>
        <v>96-05008</v>
      </c>
      <c r="AA30" s="30">
        <f>$F$30+$I$30</f>
        <v>7883.1</v>
      </c>
      <c r="AB30" s="96">
        <v>7461.7</v>
      </c>
      <c r="AD30" s="52" t="str">
        <f>IF(ISBLANK($C$30),"NA",RIGHT($C$30,3))</f>
        <v>008</v>
      </c>
      <c r="AE30" s="42">
        <f>IF($I$30&gt;0,$I$30,"NA")</f>
        <v>401.2</v>
      </c>
      <c r="AF30" s="22"/>
      <c r="AG30" s="25">
        <f t="shared" ca="1" si="3"/>
        <v>71.599999999999994</v>
      </c>
      <c r="AH30" s="25"/>
      <c r="AI30" s="22"/>
      <c r="AJ30" s="100"/>
      <c r="AK30" s="100"/>
      <c r="AL30" s="22"/>
      <c r="AM30" s="22"/>
      <c r="AN30" s="22"/>
      <c r="AO30" s="22"/>
      <c r="AP30" s="22"/>
      <c r="AQ30" s="22"/>
      <c r="AR30" s="22"/>
      <c r="AS30" s="22"/>
      <c r="AT30" s="22"/>
      <c r="AU30" s="22"/>
      <c r="AV30" s="22"/>
      <c r="AW30" s="22"/>
      <c r="AX30" s="22"/>
      <c r="AY30" s="22"/>
      <c r="AZ30" s="22"/>
      <c r="BA30" s="22"/>
      <c r="BB30" s="22"/>
      <c r="BC30" s="22"/>
      <c r="BD30" s="22"/>
      <c r="BE30" s="22"/>
      <c r="BF30" s="22"/>
      <c r="BG30" s="22"/>
      <c r="BH30" s="22"/>
      <c r="BI30" s="22"/>
      <c r="BJ30" s="22"/>
      <c r="BK30" s="22"/>
      <c r="BL30" s="22"/>
      <c r="BM30" s="22"/>
      <c r="BN30" s="22"/>
      <c r="BO30" s="22"/>
      <c r="BP30" s="22"/>
    </row>
    <row r="31" spans="1:68" s="17" customFormat="1" ht="22.5" customHeight="1" thickBot="1">
      <c r="A31" s="93">
        <f>G64</f>
        <v>0.38</v>
      </c>
      <c r="B31" s="780"/>
      <c r="C31" s="298" t="str">
        <f>Status!$A$78</f>
        <v>99-05141</v>
      </c>
      <c r="D31" s="299" t="str">
        <f>Status!$C$78</f>
        <v>Y</v>
      </c>
      <c r="E31" s="300" t="s">
        <v>334</v>
      </c>
      <c r="F31" s="301">
        <f>Status!$G$78</f>
        <v>4823.8999999999996</v>
      </c>
      <c r="G31" s="299" t="str">
        <f>Status!$B$78</f>
        <v>PMCS</v>
      </c>
      <c r="H31" s="301">
        <f>$F$31-$AB$31</f>
        <v>5.0999999999999996</v>
      </c>
      <c r="I31" s="301">
        <f>Status!$L$78</f>
        <v>254.8</v>
      </c>
      <c r="J31" s="301" t="str">
        <f>Status!$F$78</f>
        <v>KFCS</v>
      </c>
      <c r="K31" s="302">
        <f>Status!$X$78</f>
        <v>42095</v>
      </c>
      <c r="L31" s="303"/>
      <c r="M31" s="304">
        <f ca="1">Status!$X$79</f>
        <v>20</v>
      </c>
      <c r="N31" s="305">
        <f>Status!$X$80</f>
        <v>42115</v>
      </c>
      <c r="O31" s="306" t="str">
        <f>IF($G$31="MTF/MOC",Status!$M$79,Status!$M$78)</f>
        <v>ASE Not Installed</v>
      </c>
      <c r="P31" s="795" t="str">
        <f>IF($G$31="MTF/MOC",Status!$T$79,(IF(ISBLANK(Status!$T$78),"",Status!$T$78)))</f>
        <v/>
      </c>
      <c r="Q31" s="796"/>
      <c r="R31" s="800"/>
      <c r="S31" s="101" t="s">
        <v>69</v>
      </c>
      <c r="T31" s="102">
        <f>T30/(500*R30)</f>
        <v>0.49199999999999999</v>
      </c>
      <c r="U31" s="89"/>
      <c r="V31" s="90"/>
      <c r="W31" s="90"/>
      <c r="X31" s="91"/>
      <c r="Y31" s="91"/>
      <c r="Z31" s="87" t="str">
        <f>$C$31</f>
        <v>99-05141</v>
      </c>
      <c r="AA31" s="30">
        <f>$F$31+$I$31</f>
        <v>5078.7</v>
      </c>
      <c r="AB31" s="66">
        <v>4818.8</v>
      </c>
      <c r="AD31" s="52" t="str">
        <f>IF(ISBLANK($C$31),"NA",RIGHT($C$31,3))</f>
        <v>141</v>
      </c>
      <c r="AE31" s="42">
        <f>IF($I$31&gt;0,$I$31,"NA")</f>
        <v>254.8</v>
      </c>
      <c r="AF31" s="22"/>
      <c r="AG31" s="25">
        <f t="shared" ca="1" si="3"/>
        <v>0.2</v>
      </c>
      <c r="AH31" s="25"/>
      <c r="AI31" s="22"/>
      <c r="AJ31" s="103"/>
      <c r="AK31" s="103"/>
      <c r="AL31" s="22"/>
      <c r="AM31" s="22"/>
      <c r="AN31" s="22"/>
      <c r="AO31" s="22"/>
      <c r="AP31" s="22"/>
      <c r="AQ31" s="22"/>
      <c r="AR31" s="22"/>
      <c r="AS31" s="22"/>
      <c r="AT31" s="22"/>
      <c r="AU31" s="22"/>
      <c r="AV31" s="22"/>
      <c r="AW31" s="22"/>
      <c r="AX31" s="22"/>
      <c r="AY31" s="22"/>
      <c r="AZ31" s="22"/>
      <c r="BA31" s="22"/>
      <c r="BB31" s="22"/>
      <c r="BC31" s="22"/>
      <c r="BD31" s="22"/>
      <c r="BE31" s="22"/>
      <c r="BF31" s="22"/>
      <c r="BG31" s="22"/>
      <c r="BH31" s="22"/>
      <c r="BI31" s="22"/>
      <c r="BJ31" s="22"/>
      <c r="BK31" s="22"/>
      <c r="BL31" s="22"/>
      <c r="BM31" s="22"/>
      <c r="BN31" s="22"/>
      <c r="BO31" s="22"/>
      <c r="BP31" s="22"/>
    </row>
    <row r="32" spans="1:68" s="17" customFormat="1" ht="22.5" customHeight="1" thickBot="1">
      <c r="A32" s="802"/>
      <c r="B32" s="803"/>
      <c r="C32" s="803"/>
      <c r="D32" s="803"/>
      <c r="E32" s="803"/>
      <c r="F32" s="803"/>
      <c r="G32" s="803"/>
      <c r="H32" s="803"/>
      <c r="I32" s="803"/>
      <c r="J32" s="803"/>
      <c r="K32" s="803"/>
      <c r="L32" s="803"/>
      <c r="M32" s="803"/>
      <c r="N32" s="803"/>
      <c r="O32" s="803"/>
      <c r="P32" s="803"/>
      <c r="Q32" s="803"/>
      <c r="R32" s="801"/>
      <c r="S32" s="104" t="s">
        <v>46</v>
      </c>
      <c r="T32" s="105">
        <f>SUM(H24:H31)</f>
        <v>70.3</v>
      </c>
      <c r="U32" s="89"/>
      <c r="V32" s="90"/>
      <c r="W32" s="90"/>
      <c r="X32" s="106"/>
      <c r="Y32" s="91"/>
      <c r="Z32" s="107"/>
      <c r="AA32" s="55"/>
      <c r="AD32" s="22"/>
      <c r="AE32" s="22"/>
      <c r="AF32" s="22"/>
      <c r="AG32" s="22"/>
      <c r="AH32" s="22"/>
      <c r="AI32" s="22"/>
      <c r="AJ32" s="22"/>
      <c r="AK32" s="108"/>
      <c r="AL32" s="22"/>
      <c r="AM32" s="22"/>
      <c r="AN32" s="22"/>
      <c r="AO32" s="22"/>
      <c r="AP32" s="22"/>
      <c r="AQ32" s="22"/>
      <c r="AR32" s="22"/>
      <c r="AS32" s="22"/>
      <c r="AT32" s="22"/>
      <c r="AU32" s="22"/>
      <c r="AV32" s="22"/>
      <c r="AW32" s="22"/>
      <c r="AX32" s="22"/>
      <c r="AY32" s="22"/>
      <c r="AZ32" s="22"/>
      <c r="BA32" s="22"/>
      <c r="BB32" s="22"/>
      <c r="BC32" s="22"/>
      <c r="BD32" s="22"/>
      <c r="BE32" s="22"/>
      <c r="BF32" s="22"/>
      <c r="BG32" s="22"/>
      <c r="BH32" s="22"/>
      <c r="BI32" s="22"/>
      <c r="BJ32" s="22"/>
      <c r="BK32" s="22"/>
      <c r="BL32" s="22"/>
      <c r="BM32" s="22"/>
      <c r="BN32" s="22"/>
      <c r="BO32" s="22"/>
      <c r="BP32" s="22"/>
    </row>
    <row r="33" spans="1:68" s="17" customFormat="1" ht="22.5" customHeight="1">
      <c r="A33" s="804" t="s">
        <v>83</v>
      </c>
      <c r="B33" s="805"/>
      <c r="C33" s="806"/>
      <c r="D33" s="807"/>
      <c r="E33" s="808"/>
      <c r="F33" s="808"/>
      <c r="G33" s="808"/>
      <c r="H33" s="808"/>
      <c r="I33" s="808"/>
      <c r="J33" s="808"/>
      <c r="K33" s="808"/>
      <c r="L33" s="808"/>
      <c r="M33" s="808"/>
      <c r="N33" s="808"/>
      <c r="O33" s="808"/>
      <c r="P33" s="808"/>
      <c r="Q33" s="808"/>
      <c r="R33" s="808"/>
      <c r="S33" s="808"/>
      <c r="T33" s="809"/>
      <c r="U33" s="89"/>
      <c r="V33" s="90"/>
      <c r="W33" s="90"/>
      <c r="X33" s="7"/>
      <c r="Y33" s="90"/>
      <c r="Z33" s="109"/>
      <c r="AD33" s="22"/>
      <c r="AE33" s="22"/>
      <c r="AF33" s="22"/>
      <c r="AG33" s="22"/>
      <c r="AH33" s="22"/>
      <c r="AI33" s="22"/>
      <c r="AJ33" s="22"/>
      <c r="AK33" s="22"/>
      <c r="AL33" s="22"/>
      <c r="AM33" s="22"/>
      <c r="AN33" s="22"/>
      <c r="AO33" s="22"/>
      <c r="AP33" s="22"/>
      <c r="AQ33" s="22"/>
      <c r="AR33" s="22"/>
      <c r="AS33" s="22"/>
      <c r="AT33" s="22"/>
      <c r="AU33" s="22"/>
      <c r="AV33" s="22"/>
      <c r="AW33" s="22"/>
      <c r="AX33" s="22"/>
      <c r="AY33" s="22"/>
      <c r="AZ33" s="22"/>
      <c r="BA33" s="22"/>
      <c r="BB33" s="22"/>
      <c r="BC33" s="22"/>
      <c r="BD33" s="22"/>
      <c r="BE33" s="22"/>
      <c r="BF33" s="22"/>
      <c r="BG33" s="22"/>
      <c r="BH33" s="22"/>
      <c r="BI33" s="22"/>
      <c r="BJ33" s="22"/>
      <c r="BK33" s="22"/>
      <c r="BL33" s="22"/>
      <c r="BM33" s="22"/>
      <c r="BN33" s="22"/>
      <c r="BO33" s="22"/>
      <c r="BP33" s="22"/>
    </row>
    <row r="34" spans="1:68" s="17" customFormat="1" ht="22.5" customHeight="1">
      <c r="A34" s="308" t="s">
        <v>4</v>
      </c>
      <c r="B34" s="309">
        <f>COUNTIF(D6:D32,"Y")</f>
        <v>13</v>
      </c>
      <c r="C34" s="112">
        <f>B34/B41</f>
        <v>0.62</v>
      </c>
      <c r="D34" s="810"/>
      <c r="E34" s="811"/>
      <c r="F34" s="811"/>
      <c r="G34" s="811"/>
      <c r="H34" s="811"/>
      <c r="I34" s="811"/>
      <c r="J34" s="811"/>
      <c r="K34" s="811"/>
      <c r="L34" s="811"/>
      <c r="M34" s="811"/>
      <c r="N34" s="811"/>
      <c r="O34" s="811"/>
      <c r="P34" s="811"/>
      <c r="Q34" s="811"/>
      <c r="R34" s="811"/>
      <c r="S34" s="811"/>
      <c r="T34" s="812"/>
      <c r="U34" s="89"/>
      <c r="V34" s="90"/>
      <c r="W34" s="90"/>
      <c r="X34" s="7"/>
      <c r="Y34" s="90"/>
      <c r="Z34" s="109"/>
      <c r="AD34" s="22"/>
      <c r="AE34" s="22"/>
      <c r="AF34" s="22"/>
      <c r="AG34" s="22"/>
      <c r="AH34" s="22"/>
      <c r="AI34" s="22"/>
      <c r="AJ34" s="22"/>
      <c r="AK34" s="22"/>
      <c r="AL34" s="22"/>
      <c r="AM34" s="22"/>
      <c r="AN34" s="22"/>
      <c r="AO34" s="22"/>
      <c r="AP34" s="22"/>
      <c r="AQ34" s="22"/>
      <c r="AR34" s="22"/>
      <c r="AS34" s="22"/>
      <c r="AT34" s="22"/>
      <c r="AU34" s="22"/>
      <c r="AV34" s="22"/>
      <c r="AW34" s="22"/>
      <c r="AX34" s="22"/>
      <c r="AY34" s="22"/>
      <c r="AZ34" s="22"/>
      <c r="BA34" s="22"/>
      <c r="BB34" s="22"/>
      <c r="BC34" s="22"/>
      <c r="BD34" s="22"/>
      <c r="BE34" s="22"/>
      <c r="BF34" s="22"/>
      <c r="BG34" s="22"/>
      <c r="BH34" s="22"/>
      <c r="BI34" s="22"/>
      <c r="BJ34" s="22"/>
      <c r="BK34" s="22"/>
      <c r="BL34" s="22"/>
      <c r="BM34" s="22"/>
      <c r="BN34" s="22"/>
      <c r="BO34" s="22"/>
      <c r="BP34" s="22"/>
    </row>
    <row r="35" spans="1:68" s="17" customFormat="1" ht="22.5" customHeight="1">
      <c r="A35" s="310" t="s">
        <v>16</v>
      </c>
      <c r="B35" s="311">
        <f>COUNTIF(G6:G32,"FMC")</f>
        <v>0</v>
      </c>
      <c r="C35" s="112">
        <f>B35/B41</f>
        <v>0</v>
      </c>
      <c r="D35" s="810"/>
      <c r="E35" s="811"/>
      <c r="F35" s="811"/>
      <c r="G35" s="811"/>
      <c r="H35" s="811"/>
      <c r="I35" s="811"/>
      <c r="J35" s="811"/>
      <c r="K35" s="811"/>
      <c r="L35" s="811"/>
      <c r="M35" s="811"/>
      <c r="N35" s="811"/>
      <c r="O35" s="811"/>
      <c r="P35" s="811"/>
      <c r="Q35" s="811"/>
      <c r="R35" s="811"/>
      <c r="S35" s="811"/>
      <c r="T35" s="812"/>
      <c r="U35" s="89"/>
      <c r="V35" s="90"/>
      <c r="W35" s="90"/>
      <c r="X35" s="7"/>
      <c r="Y35" s="90"/>
      <c r="Z35" s="109"/>
      <c r="AD35" s="22"/>
      <c r="AE35" s="22"/>
      <c r="AF35" s="22"/>
      <c r="AG35" s="22"/>
      <c r="AH35" s="22"/>
      <c r="AI35" s="22"/>
      <c r="AJ35" s="22"/>
      <c r="AK35" s="22"/>
      <c r="AL35" s="22"/>
      <c r="AM35" s="22"/>
      <c r="AN35" s="22"/>
      <c r="AO35" s="22"/>
      <c r="AP35" s="22"/>
      <c r="AQ35" s="22"/>
      <c r="AR35" s="22"/>
      <c r="AS35" s="22"/>
      <c r="AT35" s="22"/>
      <c r="AU35" s="22"/>
      <c r="AV35" s="22"/>
      <c r="AW35" s="22"/>
      <c r="AX35" s="22"/>
      <c r="AY35" s="22"/>
      <c r="AZ35" s="22"/>
      <c r="BA35" s="22"/>
      <c r="BB35" s="22"/>
      <c r="BC35" s="22"/>
      <c r="BD35" s="22"/>
      <c r="BE35" s="22"/>
      <c r="BF35" s="22"/>
      <c r="BG35" s="22"/>
      <c r="BH35" s="22"/>
      <c r="BI35" s="22"/>
      <c r="BJ35" s="22"/>
      <c r="BK35" s="22"/>
      <c r="BL35" s="22"/>
      <c r="BM35" s="22"/>
      <c r="BN35" s="22"/>
      <c r="BO35" s="22"/>
      <c r="BP35" s="22"/>
    </row>
    <row r="36" spans="1:68" s="17" customFormat="1" ht="22.5" customHeight="1">
      <c r="A36" s="310" t="s">
        <v>77</v>
      </c>
      <c r="B36" s="311">
        <f>COUNTIF(G6:G32,"MTF")+COUNTIF(G6:G32,"MOC")</f>
        <v>0</v>
      </c>
      <c r="C36" s="112">
        <f>B36/B41</f>
        <v>0</v>
      </c>
      <c r="D36" s="810"/>
      <c r="E36" s="811"/>
      <c r="F36" s="811"/>
      <c r="G36" s="811"/>
      <c r="H36" s="811"/>
      <c r="I36" s="811"/>
      <c r="J36" s="811"/>
      <c r="K36" s="811"/>
      <c r="L36" s="811"/>
      <c r="M36" s="811"/>
      <c r="N36" s="811"/>
      <c r="O36" s="811"/>
      <c r="P36" s="811"/>
      <c r="Q36" s="811"/>
      <c r="R36" s="811"/>
      <c r="S36" s="811"/>
      <c r="T36" s="812"/>
      <c r="U36" s="89"/>
      <c r="V36" s="90"/>
      <c r="W36" s="90"/>
      <c r="X36" s="7"/>
      <c r="Y36" s="90"/>
      <c r="Z36" s="109"/>
      <c r="AD36" s="22"/>
      <c r="AE36" s="22"/>
      <c r="AF36" s="22"/>
      <c r="AG36" s="22"/>
      <c r="AH36" s="22"/>
      <c r="AI36" s="22"/>
      <c r="AJ36" s="22"/>
      <c r="AK36" s="22"/>
      <c r="AL36" s="22"/>
      <c r="AM36" s="22"/>
      <c r="AN36" s="22"/>
      <c r="AO36" s="22"/>
      <c r="AP36" s="22"/>
      <c r="AQ36" s="22"/>
      <c r="AR36" s="22"/>
      <c r="AS36" s="22"/>
      <c r="AT36" s="22"/>
      <c r="AU36" s="22"/>
      <c r="AV36" s="22"/>
      <c r="AW36" s="22"/>
      <c r="AX36" s="22"/>
      <c r="AY36" s="22"/>
      <c r="AZ36" s="22"/>
      <c r="BA36" s="22"/>
      <c r="BB36" s="22"/>
      <c r="BC36" s="22"/>
      <c r="BD36" s="22"/>
      <c r="BE36" s="22"/>
      <c r="BF36" s="22"/>
      <c r="BG36" s="22"/>
      <c r="BH36" s="22"/>
      <c r="BI36" s="22"/>
      <c r="BJ36" s="22"/>
      <c r="BK36" s="22"/>
      <c r="BL36" s="22"/>
      <c r="BM36" s="22"/>
      <c r="BN36" s="22"/>
      <c r="BO36" s="22"/>
      <c r="BP36" s="22"/>
    </row>
    <row r="37" spans="1:68" s="55" customFormat="1" ht="22.5" customHeight="1">
      <c r="A37" s="310" t="s">
        <v>24</v>
      </c>
      <c r="B37" s="311">
        <f>COUNTIF(G6:G32,"NMCM")</f>
        <v>5</v>
      </c>
      <c r="C37" s="112">
        <f>B37/B41</f>
        <v>0.24</v>
      </c>
      <c r="D37" s="810"/>
      <c r="E37" s="811"/>
      <c r="F37" s="811"/>
      <c r="G37" s="811"/>
      <c r="H37" s="811"/>
      <c r="I37" s="811"/>
      <c r="J37" s="811"/>
      <c r="K37" s="811"/>
      <c r="L37" s="811"/>
      <c r="M37" s="811"/>
      <c r="N37" s="811"/>
      <c r="O37" s="811"/>
      <c r="P37" s="811"/>
      <c r="Q37" s="811"/>
      <c r="R37" s="811"/>
      <c r="S37" s="811"/>
      <c r="T37" s="812"/>
      <c r="U37" s="89"/>
      <c r="V37" s="90"/>
      <c r="W37" s="90"/>
      <c r="X37" s="7"/>
      <c r="Y37" s="90"/>
      <c r="Z37" s="107"/>
      <c r="AD37" s="108"/>
      <c r="AE37" s="108"/>
      <c r="AF37" s="108"/>
      <c r="AG37" s="108"/>
      <c r="AH37" s="108"/>
      <c r="AI37" s="108"/>
      <c r="AJ37" s="108"/>
      <c r="AK37" s="108"/>
      <c r="AL37" s="108"/>
      <c r="AM37" s="108"/>
      <c r="AN37" s="108"/>
      <c r="AO37" s="108"/>
      <c r="AP37" s="108"/>
      <c r="AQ37" s="108"/>
      <c r="AR37" s="108"/>
      <c r="AS37" s="108"/>
      <c r="AT37" s="108"/>
      <c r="AU37" s="108"/>
      <c r="AV37" s="108"/>
      <c r="AW37" s="108"/>
      <c r="AX37" s="108"/>
      <c r="AY37" s="108"/>
      <c r="AZ37" s="108"/>
      <c r="BA37" s="108"/>
      <c r="BB37" s="108"/>
      <c r="BC37" s="108"/>
      <c r="BD37" s="108"/>
      <c r="BE37" s="108"/>
      <c r="BF37" s="108"/>
      <c r="BG37" s="108"/>
      <c r="BH37" s="108"/>
      <c r="BI37" s="108"/>
      <c r="BJ37" s="108"/>
      <c r="BK37" s="108"/>
      <c r="BL37" s="108"/>
      <c r="BM37" s="108"/>
      <c r="BN37" s="108"/>
      <c r="BO37" s="108"/>
      <c r="BP37" s="108"/>
    </row>
    <row r="38" spans="1:68" s="17" customFormat="1" ht="22.5" customHeight="1">
      <c r="A38" s="310" t="s">
        <v>65</v>
      </c>
      <c r="B38" s="311">
        <f>COUNTIF(G6:G32,"NMCS")</f>
        <v>5</v>
      </c>
      <c r="C38" s="112">
        <f>B38/B41</f>
        <v>0.24</v>
      </c>
      <c r="D38" s="810"/>
      <c r="E38" s="811"/>
      <c r="F38" s="811"/>
      <c r="G38" s="811"/>
      <c r="H38" s="811"/>
      <c r="I38" s="811"/>
      <c r="J38" s="811"/>
      <c r="K38" s="811"/>
      <c r="L38" s="811"/>
      <c r="M38" s="811"/>
      <c r="N38" s="811"/>
      <c r="O38" s="811"/>
      <c r="P38" s="811"/>
      <c r="Q38" s="811"/>
      <c r="R38" s="811"/>
      <c r="S38" s="811"/>
      <c r="T38" s="812"/>
      <c r="U38" s="89"/>
      <c r="V38" s="90"/>
      <c r="W38" s="90"/>
      <c r="X38" s="7"/>
      <c r="Y38" s="90"/>
      <c r="Z38" s="109"/>
      <c r="AD38" s="22"/>
      <c r="AE38" s="22"/>
      <c r="AF38" s="22"/>
      <c r="AG38" s="22"/>
      <c r="AH38" s="22"/>
      <c r="AI38" s="22"/>
      <c r="AJ38" s="22"/>
      <c r="AK38" s="22"/>
      <c r="AL38" s="22"/>
      <c r="AM38" s="22"/>
      <c r="AN38" s="22"/>
      <c r="AO38" s="22"/>
      <c r="AP38" s="22"/>
      <c r="AQ38" s="22"/>
      <c r="AR38" s="22"/>
      <c r="AS38" s="22"/>
      <c r="AT38" s="22"/>
      <c r="AU38" s="22"/>
      <c r="AV38" s="22"/>
      <c r="AW38" s="22"/>
      <c r="AX38" s="22"/>
      <c r="AY38" s="22"/>
      <c r="AZ38" s="22"/>
      <c r="BA38" s="22"/>
      <c r="BB38" s="22"/>
      <c r="BC38" s="22"/>
      <c r="BD38" s="22"/>
      <c r="BE38" s="22"/>
      <c r="BF38" s="22"/>
      <c r="BG38" s="22"/>
      <c r="BH38" s="22"/>
      <c r="BI38" s="22"/>
      <c r="BJ38" s="22"/>
      <c r="BK38" s="22"/>
      <c r="BL38" s="22"/>
      <c r="BM38" s="22"/>
      <c r="BN38" s="22"/>
      <c r="BO38" s="22"/>
      <c r="BP38" s="22"/>
    </row>
    <row r="39" spans="1:68" s="17" customFormat="1" ht="22.5" customHeight="1">
      <c r="A39" s="310" t="s">
        <v>22</v>
      </c>
      <c r="B39" s="311">
        <f>COUNTIF(G6:G32,"PMCM")</f>
        <v>0</v>
      </c>
      <c r="C39" s="112">
        <f>B39/B41</f>
        <v>0</v>
      </c>
      <c r="D39" s="810"/>
      <c r="E39" s="811"/>
      <c r="F39" s="811"/>
      <c r="G39" s="811"/>
      <c r="H39" s="811"/>
      <c r="I39" s="811"/>
      <c r="J39" s="811"/>
      <c r="K39" s="811"/>
      <c r="L39" s="811"/>
      <c r="M39" s="811"/>
      <c r="N39" s="811"/>
      <c r="O39" s="811"/>
      <c r="P39" s="811"/>
      <c r="Q39" s="811"/>
      <c r="R39" s="811"/>
      <c r="S39" s="811"/>
      <c r="T39" s="812"/>
      <c r="U39" s="6"/>
      <c r="V39" s="7"/>
      <c r="W39" s="90"/>
      <c r="X39" s="7"/>
      <c r="Y39" s="90"/>
      <c r="Z39" s="109"/>
      <c r="AD39" s="22"/>
      <c r="AE39" s="22"/>
      <c r="AF39" s="22"/>
      <c r="AG39" s="22"/>
      <c r="AH39" s="22"/>
      <c r="AI39" s="22"/>
      <c r="AJ39" s="22"/>
      <c r="AK39" s="22"/>
      <c r="AL39" s="22"/>
      <c r="AM39" s="22"/>
      <c r="AN39" s="22"/>
      <c r="AO39" s="22"/>
      <c r="AP39" s="22"/>
      <c r="AQ39" s="22"/>
      <c r="AR39" s="22"/>
      <c r="AS39" s="22"/>
      <c r="AT39" s="22"/>
      <c r="AU39" s="22"/>
      <c r="AV39" s="22"/>
      <c r="AW39" s="22"/>
      <c r="AX39" s="22"/>
      <c r="AY39" s="22"/>
      <c r="AZ39" s="22"/>
      <c r="BA39" s="22"/>
      <c r="BB39" s="22"/>
      <c r="BC39" s="22"/>
      <c r="BD39" s="22"/>
      <c r="BE39" s="22"/>
      <c r="BF39" s="22"/>
      <c r="BG39" s="22"/>
      <c r="BH39" s="22"/>
      <c r="BI39" s="22"/>
      <c r="BJ39" s="22"/>
      <c r="BK39" s="22"/>
      <c r="BL39" s="22"/>
      <c r="BM39" s="22"/>
      <c r="BN39" s="22"/>
      <c r="BO39" s="22"/>
      <c r="BP39" s="22"/>
    </row>
    <row r="40" spans="1:68" s="17" customFormat="1" ht="22.5" customHeight="1">
      <c r="A40" s="310" t="s">
        <v>23</v>
      </c>
      <c r="B40" s="311">
        <f>COUNTIF(G6:G32,"PMCS")</f>
        <v>11</v>
      </c>
      <c r="C40" s="112">
        <f>B40/B41</f>
        <v>0.52</v>
      </c>
      <c r="D40" s="810"/>
      <c r="E40" s="811"/>
      <c r="F40" s="811"/>
      <c r="G40" s="811"/>
      <c r="H40" s="811"/>
      <c r="I40" s="811"/>
      <c r="J40" s="811"/>
      <c r="K40" s="811"/>
      <c r="L40" s="811"/>
      <c r="M40" s="811"/>
      <c r="N40" s="811"/>
      <c r="O40" s="811"/>
      <c r="P40" s="811"/>
      <c r="Q40" s="811"/>
      <c r="R40" s="811"/>
      <c r="S40" s="811"/>
      <c r="T40" s="812"/>
      <c r="U40" s="6"/>
      <c r="V40" s="7"/>
      <c r="W40" s="90"/>
      <c r="X40" s="7"/>
      <c r="Y40" s="90"/>
      <c r="Z40" s="109"/>
      <c r="AD40" s="22"/>
      <c r="AE40" s="22"/>
      <c r="AF40" s="22"/>
      <c r="AG40" s="22"/>
      <c r="AH40" s="22"/>
      <c r="AI40" s="22"/>
      <c r="AJ40" s="22"/>
      <c r="AK40" s="22"/>
      <c r="AL40" s="22"/>
      <c r="AM40" s="22"/>
      <c r="AN40" s="22"/>
      <c r="AO40" s="22"/>
      <c r="AP40" s="22"/>
      <c r="AQ40" s="22"/>
      <c r="AR40" s="22"/>
      <c r="AS40" s="22"/>
      <c r="AT40" s="22"/>
      <c r="AU40" s="22"/>
      <c r="AV40" s="22"/>
      <c r="AW40" s="22"/>
      <c r="AX40" s="22"/>
      <c r="AY40" s="22"/>
      <c r="AZ40" s="22"/>
      <c r="BA40" s="22"/>
      <c r="BB40" s="22"/>
      <c r="BC40" s="22"/>
      <c r="BD40" s="22"/>
      <c r="BE40" s="22"/>
      <c r="BF40" s="22"/>
      <c r="BG40" s="22"/>
      <c r="BH40" s="22"/>
      <c r="BI40" s="22"/>
      <c r="BJ40" s="22"/>
      <c r="BK40" s="22"/>
      <c r="BL40" s="22"/>
      <c r="BM40" s="22"/>
      <c r="BN40" s="22"/>
      <c r="BO40" s="22"/>
      <c r="BP40" s="22"/>
    </row>
    <row r="41" spans="1:68" s="17" customFormat="1" ht="22.5" customHeight="1">
      <c r="A41" s="312" t="s">
        <v>67</v>
      </c>
      <c r="B41" s="311">
        <f>SUM(B35:B40)</f>
        <v>21</v>
      </c>
      <c r="C41" s="112">
        <f>SUM(C35:C40)</f>
        <v>1</v>
      </c>
      <c r="D41" s="810"/>
      <c r="E41" s="811"/>
      <c r="F41" s="811"/>
      <c r="G41" s="811"/>
      <c r="H41" s="811"/>
      <c r="I41" s="811"/>
      <c r="J41" s="811"/>
      <c r="K41" s="811"/>
      <c r="L41" s="811"/>
      <c r="M41" s="811"/>
      <c r="N41" s="811"/>
      <c r="O41" s="811"/>
      <c r="P41" s="811"/>
      <c r="Q41" s="811"/>
      <c r="R41" s="811"/>
      <c r="S41" s="811"/>
      <c r="T41" s="812"/>
      <c r="U41" s="6"/>
      <c r="V41" s="7"/>
      <c r="W41" s="90"/>
      <c r="X41" s="7"/>
      <c r="Y41" s="90"/>
      <c r="Z41" s="109"/>
      <c r="AD41" s="22"/>
      <c r="AE41" s="22"/>
      <c r="AF41" s="22"/>
      <c r="AG41" s="22"/>
      <c r="AH41" s="22"/>
      <c r="AI41" s="22"/>
      <c r="AJ41" s="22"/>
      <c r="AK41" s="22"/>
      <c r="AL41" s="22"/>
      <c r="AM41" s="22"/>
      <c r="AN41" s="22"/>
      <c r="AO41" s="22"/>
      <c r="AP41" s="22"/>
      <c r="AQ41" s="22"/>
      <c r="AR41" s="22"/>
      <c r="AS41" s="22"/>
      <c r="AT41" s="22"/>
      <c r="AU41" s="22"/>
      <c r="AV41" s="22"/>
      <c r="AW41" s="22"/>
      <c r="AX41" s="22"/>
      <c r="AY41" s="22"/>
      <c r="AZ41" s="22"/>
      <c r="BA41" s="22"/>
      <c r="BB41" s="22"/>
      <c r="BC41" s="22"/>
      <c r="BD41" s="22"/>
      <c r="BE41" s="22"/>
      <c r="BF41" s="22"/>
      <c r="BG41" s="22"/>
      <c r="BH41" s="22"/>
      <c r="BI41" s="22"/>
      <c r="BJ41" s="22"/>
      <c r="BK41" s="22"/>
      <c r="BL41" s="22"/>
      <c r="BM41" s="22"/>
      <c r="BN41" s="22"/>
      <c r="BO41" s="22"/>
      <c r="BP41" s="22"/>
    </row>
    <row r="42" spans="1:68" s="17" customFormat="1" ht="22.5" customHeight="1">
      <c r="A42" s="815" t="s">
        <v>84</v>
      </c>
      <c r="B42" s="816"/>
      <c r="C42" s="313">
        <f>SUM(H6:H31)</f>
        <v>518.1</v>
      </c>
      <c r="D42" s="810"/>
      <c r="E42" s="811"/>
      <c r="F42" s="811"/>
      <c r="G42" s="811"/>
      <c r="H42" s="811"/>
      <c r="I42" s="811"/>
      <c r="J42" s="811"/>
      <c r="K42" s="811"/>
      <c r="L42" s="811"/>
      <c r="M42" s="811"/>
      <c r="N42" s="811"/>
      <c r="O42" s="811"/>
      <c r="P42" s="811"/>
      <c r="Q42" s="811"/>
      <c r="R42" s="811"/>
      <c r="S42" s="811"/>
      <c r="T42" s="812"/>
      <c r="U42" s="6"/>
      <c r="V42" s="7"/>
      <c r="W42" s="7"/>
      <c r="X42" s="7"/>
      <c r="Y42" s="7"/>
      <c r="Z42" s="109"/>
      <c r="AD42" s="22"/>
      <c r="AE42" s="22"/>
      <c r="AF42" s="22"/>
      <c r="AG42" s="22"/>
      <c r="AH42" s="22"/>
      <c r="AI42" s="22"/>
      <c r="AJ42" s="22"/>
      <c r="AK42" s="22"/>
      <c r="AL42" s="22"/>
      <c r="AM42" s="22"/>
      <c r="AN42" s="22"/>
      <c r="AO42" s="22"/>
      <c r="AP42" s="22"/>
      <c r="AQ42" s="22"/>
      <c r="AR42" s="22"/>
      <c r="AS42" s="22"/>
      <c r="AT42" s="22"/>
      <c r="AU42" s="22"/>
      <c r="AV42" s="22"/>
      <c r="AW42" s="22"/>
      <c r="AX42" s="22"/>
      <c r="AY42" s="22"/>
      <c r="AZ42" s="22"/>
      <c r="BA42" s="22"/>
      <c r="BB42" s="22"/>
      <c r="BC42" s="22"/>
      <c r="BD42" s="22"/>
      <c r="BE42" s="22"/>
      <c r="BF42" s="22"/>
      <c r="BG42" s="22"/>
      <c r="BH42" s="22"/>
      <c r="BI42" s="22"/>
      <c r="BJ42" s="22"/>
      <c r="BK42" s="22"/>
      <c r="BL42" s="22"/>
      <c r="BM42" s="22"/>
      <c r="BN42" s="22"/>
      <c r="BO42" s="22"/>
      <c r="BP42" s="22"/>
    </row>
    <row r="43" spans="1:68" s="17" customFormat="1" ht="22.5" customHeight="1">
      <c r="A43" s="817" t="s">
        <v>85</v>
      </c>
      <c r="B43" s="818"/>
      <c r="C43" s="314">
        <f>SUM(I6:I31)/(H54*500)</f>
        <v>0.42799999999999999</v>
      </c>
      <c r="D43" s="810"/>
      <c r="E43" s="811"/>
      <c r="F43" s="811"/>
      <c r="G43" s="811"/>
      <c r="H43" s="811"/>
      <c r="I43" s="811"/>
      <c r="J43" s="811"/>
      <c r="K43" s="811"/>
      <c r="L43" s="811"/>
      <c r="M43" s="811"/>
      <c r="N43" s="811"/>
      <c r="O43" s="811"/>
      <c r="P43" s="811"/>
      <c r="Q43" s="811"/>
      <c r="R43" s="811"/>
      <c r="S43" s="811"/>
      <c r="T43" s="812"/>
      <c r="U43" s="118"/>
      <c r="V43" s="118"/>
      <c r="W43" s="118"/>
      <c r="X43" s="118"/>
      <c r="Y43" s="118"/>
      <c r="Z43" s="109"/>
      <c r="AD43" s="22"/>
      <c r="AE43" s="22"/>
      <c r="AF43" s="22"/>
      <c r="AG43" s="22"/>
      <c r="AH43" s="22"/>
      <c r="AI43" s="22"/>
      <c r="AJ43" s="22"/>
      <c r="AK43" s="22"/>
      <c r="AL43" s="22"/>
      <c r="AM43" s="22"/>
      <c r="AN43" s="22"/>
      <c r="AO43" s="22"/>
      <c r="AP43" s="22"/>
      <c r="AQ43" s="22"/>
      <c r="AR43" s="22"/>
      <c r="AS43" s="22"/>
      <c r="AT43" s="22"/>
      <c r="AU43" s="22"/>
      <c r="AV43" s="22"/>
      <c r="AW43" s="22"/>
      <c r="AX43" s="22"/>
      <c r="AY43" s="22"/>
      <c r="AZ43" s="22"/>
      <c r="BA43" s="22"/>
      <c r="BB43" s="22"/>
      <c r="BC43" s="22"/>
      <c r="BD43" s="22"/>
      <c r="BE43" s="22"/>
      <c r="BF43" s="22"/>
      <c r="BG43" s="22"/>
      <c r="BH43" s="22"/>
      <c r="BI43" s="22"/>
      <c r="BJ43" s="22"/>
      <c r="BK43" s="22"/>
      <c r="BL43" s="22"/>
      <c r="BM43" s="22"/>
      <c r="BN43" s="22"/>
      <c r="BO43" s="22"/>
      <c r="BP43" s="22"/>
    </row>
    <row r="44" spans="1:68" s="17" customFormat="1" ht="22.5" customHeight="1" thickBot="1">
      <c r="A44" s="819" t="s">
        <v>86</v>
      </c>
      <c r="B44" s="820"/>
      <c r="C44" s="315">
        <f>C42/B41</f>
        <v>24.7</v>
      </c>
      <c r="D44" s="821"/>
      <c r="E44" s="822"/>
      <c r="F44" s="822"/>
      <c r="G44" s="822"/>
      <c r="H44" s="822"/>
      <c r="I44" s="822"/>
      <c r="J44" s="822"/>
      <c r="K44" s="822"/>
      <c r="L44" s="822"/>
      <c r="M44" s="822"/>
      <c r="N44" s="822"/>
      <c r="O44" s="822"/>
      <c r="P44" s="822"/>
      <c r="Q44" s="822"/>
      <c r="R44" s="822"/>
      <c r="S44" s="822"/>
      <c r="T44" s="823"/>
      <c r="U44" s="6"/>
      <c r="V44" s="7"/>
      <c r="W44" s="7"/>
      <c r="X44" s="7"/>
      <c r="Y44" s="7"/>
      <c r="Z44" s="109"/>
      <c r="AD44" s="22"/>
      <c r="AE44" s="22"/>
      <c r="AF44" s="22"/>
      <c r="AG44" s="22"/>
      <c r="AH44" s="22"/>
      <c r="AI44" s="22"/>
      <c r="AJ44" s="22"/>
      <c r="AK44" s="22"/>
      <c r="AL44" s="22"/>
      <c r="AM44" s="22"/>
      <c r="AN44" s="22"/>
      <c r="AO44" s="22"/>
      <c r="AP44" s="22"/>
      <c r="AQ44" s="22"/>
      <c r="AR44" s="22"/>
      <c r="AS44" s="22"/>
      <c r="AT44" s="22"/>
      <c r="AU44" s="22"/>
      <c r="AV44" s="22"/>
      <c r="AW44" s="22"/>
      <c r="AX44" s="22"/>
      <c r="AY44" s="22"/>
      <c r="AZ44" s="22"/>
      <c r="BA44" s="22"/>
      <c r="BB44" s="22"/>
      <c r="BC44" s="22"/>
      <c r="BD44" s="22"/>
      <c r="BE44" s="22"/>
      <c r="BF44" s="22"/>
      <c r="BG44" s="22"/>
      <c r="BH44" s="22"/>
      <c r="BI44" s="22"/>
      <c r="BJ44" s="22"/>
      <c r="BK44" s="22"/>
      <c r="BL44" s="22"/>
      <c r="BM44" s="22"/>
      <c r="BN44" s="22"/>
      <c r="BO44" s="22"/>
      <c r="BP44" s="22"/>
    </row>
    <row r="45" spans="1:68" s="17" customFormat="1" ht="15.75">
      <c r="C45" s="120"/>
      <c r="D45" s="120"/>
      <c r="E45" s="120"/>
      <c r="F45" s="120"/>
      <c r="G45" s="120"/>
      <c r="H45" s="120"/>
      <c r="I45" s="120"/>
      <c r="J45" s="120"/>
      <c r="K45" s="120"/>
      <c r="L45" s="120"/>
      <c r="M45" s="121"/>
      <c r="N45" s="120"/>
      <c r="O45" s="120"/>
      <c r="P45" s="120"/>
      <c r="Q45" s="122"/>
      <c r="S45" s="7"/>
      <c r="T45" s="7"/>
      <c r="U45" s="6"/>
      <c r="V45" s="7"/>
      <c r="W45" s="7"/>
      <c r="X45" s="7"/>
      <c r="Y45" s="7"/>
      <c r="Z45" s="109"/>
      <c r="AD45" s="22"/>
      <c r="AE45" s="22"/>
      <c r="AF45" s="22"/>
      <c r="AG45" s="22"/>
      <c r="AH45" s="22"/>
      <c r="AI45" s="22"/>
      <c r="AJ45" s="22"/>
      <c r="AK45" s="22"/>
      <c r="AL45" s="22"/>
      <c r="AM45" s="22"/>
      <c r="AN45" s="22"/>
      <c r="AO45" s="22"/>
      <c r="AP45" s="22"/>
      <c r="AQ45" s="22"/>
      <c r="AR45" s="22"/>
      <c r="AS45" s="22"/>
      <c r="AT45" s="22"/>
      <c r="AU45" s="22"/>
      <c r="AV45" s="22"/>
      <c r="AW45" s="22"/>
      <c r="AX45" s="22"/>
      <c r="AY45" s="22"/>
      <c r="AZ45" s="22"/>
      <c r="BA45" s="22"/>
      <c r="BB45" s="22"/>
      <c r="BC45" s="22"/>
      <c r="BD45" s="22"/>
      <c r="BE45" s="22"/>
      <c r="BF45" s="22"/>
      <c r="BG45" s="22"/>
      <c r="BH45" s="22"/>
      <c r="BI45" s="22"/>
      <c r="BJ45" s="22"/>
      <c r="BK45" s="22"/>
      <c r="BL45" s="22"/>
      <c r="BM45" s="22"/>
      <c r="BN45" s="22"/>
      <c r="BO45" s="22"/>
      <c r="BP45" s="22"/>
    </row>
    <row r="46" spans="1:68" s="17" customFormat="1" ht="15.75">
      <c r="C46" s="120"/>
      <c r="D46" s="120"/>
      <c r="E46" s="120"/>
      <c r="F46" s="120"/>
      <c r="G46" s="120"/>
      <c r="H46" s="120"/>
      <c r="I46" s="120"/>
      <c r="J46" s="120"/>
      <c r="K46" s="120"/>
      <c r="L46" s="120"/>
      <c r="M46" s="121"/>
      <c r="N46" s="120"/>
      <c r="O46" s="120"/>
      <c r="P46" s="120"/>
      <c r="Q46" s="122"/>
      <c r="S46" s="7"/>
      <c r="T46" s="7"/>
      <c r="U46" s="6"/>
      <c r="V46" s="7"/>
      <c r="W46" s="7"/>
      <c r="X46" s="7"/>
      <c r="Y46" s="7"/>
      <c r="Z46" s="109"/>
      <c r="AD46" s="22"/>
      <c r="AE46" s="22"/>
      <c r="AF46" s="22"/>
      <c r="AG46" s="22"/>
      <c r="AH46" s="22"/>
      <c r="AI46" s="22"/>
      <c r="AJ46" s="22"/>
      <c r="AK46" s="22"/>
      <c r="AL46" s="22"/>
      <c r="AM46" s="22"/>
      <c r="AN46" s="22"/>
      <c r="AO46" s="22"/>
      <c r="AP46" s="22"/>
      <c r="AQ46" s="22"/>
      <c r="AR46" s="22"/>
      <c r="AS46" s="22"/>
      <c r="AT46" s="22"/>
      <c r="AU46" s="22"/>
      <c r="AV46" s="22"/>
      <c r="AW46" s="22"/>
      <c r="AX46" s="22"/>
      <c r="AY46" s="22"/>
      <c r="AZ46" s="22"/>
      <c r="BA46" s="22"/>
      <c r="BB46" s="22"/>
      <c r="BC46" s="22"/>
      <c r="BD46" s="22"/>
      <c r="BE46" s="22"/>
      <c r="BF46" s="22"/>
      <c r="BG46" s="22"/>
      <c r="BH46" s="22"/>
      <c r="BI46" s="22"/>
      <c r="BJ46" s="22"/>
      <c r="BK46" s="22"/>
      <c r="BL46" s="22"/>
      <c r="BM46" s="22"/>
      <c r="BN46" s="22"/>
      <c r="BO46" s="22"/>
      <c r="BP46" s="22"/>
    </row>
    <row r="47" spans="1:68" s="17" customFormat="1" ht="15.75">
      <c r="C47" s="120"/>
      <c r="D47" s="120"/>
      <c r="E47" s="120"/>
      <c r="F47" s="120"/>
      <c r="G47" s="120"/>
      <c r="H47" s="120"/>
      <c r="I47" s="120"/>
      <c r="J47" s="120"/>
      <c r="K47" s="120"/>
      <c r="L47" s="120"/>
      <c r="M47" s="121"/>
      <c r="N47" s="120"/>
      <c r="O47" s="120"/>
      <c r="P47" s="120"/>
      <c r="Q47" s="122"/>
      <c r="S47" s="7"/>
      <c r="T47" s="7"/>
      <c r="U47" s="6"/>
      <c r="V47" s="7"/>
      <c r="W47" s="7"/>
      <c r="X47" s="7"/>
      <c r="Y47" s="7"/>
      <c r="Z47" s="109"/>
      <c r="AD47" s="22"/>
      <c r="AE47" s="22"/>
      <c r="AF47" s="22"/>
      <c r="AG47" s="22"/>
      <c r="AH47" s="22"/>
      <c r="AI47" s="22"/>
      <c r="AJ47" s="22"/>
      <c r="AK47" s="22"/>
      <c r="AL47" s="22"/>
      <c r="AM47" s="22"/>
      <c r="AN47" s="22"/>
      <c r="AO47" s="22"/>
      <c r="AP47" s="22"/>
      <c r="AQ47" s="22"/>
      <c r="AR47" s="22"/>
      <c r="AS47" s="22"/>
      <c r="AT47" s="22"/>
      <c r="AU47" s="22"/>
      <c r="AV47" s="22"/>
      <c r="AW47" s="22"/>
      <c r="AX47" s="22"/>
      <c r="AY47" s="22"/>
      <c r="AZ47" s="22"/>
      <c r="BA47" s="22"/>
      <c r="BB47" s="22"/>
      <c r="BC47" s="22"/>
      <c r="BD47" s="22"/>
      <c r="BE47" s="22"/>
      <c r="BF47" s="22"/>
      <c r="BG47" s="22"/>
      <c r="BH47" s="22"/>
      <c r="BI47" s="22"/>
      <c r="BJ47" s="22"/>
      <c r="BK47" s="22"/>
      <c r="BL47" s="22"/>
      <c r="BM47" s="22"/>
      <c r="BN47" s="22"/>
      <c r="BO47" s="22"/>
      <c r="BP47" s="22"/>
    </row>
    <row r="48" spans="1:68" s="17" customFormat="1" ht="15.75">
      <c r="C48" s="120"/>
      <c r="D48" s="120"/>
      <c r="E48" s="120"/>
      <c r="F48" s="120"/>
      <c r="G48" s="120"/>
      <c r="H48" s="120"/>
      <c r="I48" s="120"/>
      <c r="J48" s="120"/>
      <c r="K48" s="120"/>
      <c r="L48" s="120"/>
      <c r="M48" s="121"/>
      <c r="N48" s="120"/>
      <c r="O48" s="120"/>
      <c r="P48" s="120"/>
      <c r="Q48" s="122"/>
      <c r="S48" s="7"/>
      <c r="T48" s="7"/>
      <c r="U48" s="6"/>
      <c r="V48" s="7"/>
      <c r="W48" s="7"/>
      <c r="X48" s="7"/>
      <c r="Y48" s="7"/>
      <c r="Z48" s="109"/>
      <c r="AD48" s="22"/>
      <c r="AE48" s="22"/>
      <c r="AF48" s="22"/>
      <c r="AG48" s="22"/>
      <c r="AH48" s="22"/>
      <c r="AI48" s="22"/>
      <c r="AJ48" s="22"/>
      <c r="AK48" s="22"/>
      <c r="AL48" s="22"/>
      <c r="AM48" s="22"/>
      <c r="AN48" s="22"/>
      <c r="AO48" s="22"/>
      <c r="AP48" s="22"/>
      <c r="AQ48" s="22"/>
      <c r="AR48" s="22"/>
      <c r="AS48" s="22"/>
      <c r="AT48" s="22"/>
      <c r="AU48" s="22"/>
      <c r="AV48" s="22"/>
      <c r="AW48" s="22"/>
      <c r="AX48" s="22"/>
      <c r="AY48" s="22"/>
      <c r="AZ48" s="22"/>
      <c r="BA48" s="22"/>
      <c r="BB48" s="22"/>
      <c r="BC48" s="22"/>
      <c r="BD48" s="22"/>
      <c r="BE48" s="22"/>
      <c r="BF48" s="22"/>
      <c r="BG48" s="22"/>
      <c r="BH48" s="22"/>
      <c r="BI48" s="22"/>
      <c r="BJ48" s="22"/>
      <c r="BK48" s="22"/>
      <c r="BL48" s="22"/>
      <c r="BM48" s="22"/>
      <c r="BN48" s="22"/>
      <c r="BO48" s="22"/>
      <c r="BP48" s="22"/>
    </row>
    <row r="49" spans="1:68" s="17" customFormat="1" ht="15.75">
      <c r="C49" s="120"/>
      <c r="D49" s="120"/>
      <c r="E49" s="120"/>
      <c r="F49" s="120"/>
      <c r="G49" s="120"/>
      <c r="H49" s="120"/>
      <c r="I49" s="120"/>
      <c r="J49" s="120"/>
      <c r="K49" s="120"/>
      <c r="L49" s="120"/>
      <c r="M49" s="121"/>
      <c r="N49" s="120"/>
      <c r="O49" s="120"/>
      <c r="P49" s="120"/>
      <c r="Q49" s="122"/>
      <c r="S49" s="7"/>
      <c r="T49" s="7"/>
      <c r="U49" s="6"/>
      <c r="V49" s="7"/>
      <c r="W49" s="7"/>
      <c r="X49" s="7"/>
      <c r="Y49" s="7"/>
      <c r="Z49" s="109"/>
      <c r="AD49" s="22"/>
      <c r="AE49" s="22"/>
      <c r="AF49" s="22"/>
      <c r="AG49" s="22"/>
      <c r="AH49" s="22"/>
      <c r="AI49" s="22"/>
      <c r="AJ49" s="22"/>
      <c r="AK49" s="22"/>
      <c r="AL49" s="22"/>
      <c r="AM49" s="22"/>
      <c r="AN49" s="22"/>
      <c r="AO49" s="22"/>
      <c r="AP49" s="22"/>
      <c r="AQ49" s="22"/>
      <c r="AR49" s="22"/>
      <c r="AS49" s="22"/>
      <c r="AT49" s="22"/>
      <c r="AU49" s="22"/>
      <c r="AV49" s="22"/>
      <c r="AW49" s="22"/>
      <c r="AX49" s="22"/>
      <c r="AY49" s="22"/>
      <c r="AZ49" s="22"/>
      <c r="BA49" s="22"/>
      <c r="BB49" s="22"/>
      <c r="BC49" s="22"/>
      <c r="BD49" s="22"/>
      <c r="BE49" s="22"/>
      <c r="BF49" s="22"/>
      <c r="BG49" s="22"/>
      <c r="BH49" s="22"/>
      <c r="BI49" s="22"/>
      <c r="BJ49" s="22"/>
      <c r="BK49" s="22"/>
      <c r="BL49" s="22"/>
      <c r="BM49" s="22"/>
      <c r="BN49" s="22"/>
      <c r="BO49" s="22"/>
      <c r="BP49" s="22"/>
    </row>
    <row r="50" spans="1:68" s="17" customFormat="1" ht="15.75" hidden="1">
      <c r="C50" s="120"/>
      <c r="D50" s="120"/>
      <c r="E50" s="120"/>
      <c r="F50" s="120"/>
      <c r="G50" s="120"/>
      <c r="H50" s="120"/>
      <c r="I50" s="120"/>
      <c r="J50" s="120"/>
      <c r="K50" s="120"/>
      <c r="L50" s="120"/>
      <c r="M50" s="121"/>
      <c r="N50" s="120"/>
      <c r="O50" s="120"/>
      <c r="P50" s="120"/>
      <c r="Q50" s="122"/>
      <c r="S50" s="7"/>
      <c r="T50" s="7"/>
      <c r="U50" s="6"/>
      <c r="V50" s="7"/>
      <c r="W50" s="7"/>
      <c r="X50" s="7"/>
      <c r="Y50" s="7"/>
      <c r="Z50" s="109"/>
      <c r="AD50" s="22"/>
      <c r="AE50" s="22"/>
      <c r="AF50" s="22"/>
      <c r="AG50" s="22"/>
      <c r="AH50" s="22"/>
      <c r="AI50" s="22"/>
      <c r="AJ50" s="22"/>
      <c r="AK50" s="22"/>
      <c r="AL50" s="22"/>
      <c r="AM50" s="22"/>
      <c r="AN50" s="22"/>
      <c r="AO50" s="22"/>
      <c r="AP50" s="22"/>
      <c r="AQ50" s="22"/>
      <c r="AR50" s="22"/>
      <c r="AS50" s="22"/>
      <c r="AT50" s="22"/>
      <c r="AU50" s="22"/>
      <c r="AV50" s="22"/>
      <c r="AW50" s="22"/>
      <c r="AX50" s="22"/>
      <c r="AY50" s="22"/>
      <c r="AZ50" s="22"/>
      <c r="BA50" s="22"/>
      <c r="BB50" s="22"/>
      <c r="BC50" s="22"/>
      <c r="BD50" s="22"/>
      <c r="BE50" s="22"/>
      <c r="BF50" s="22"/>
      <c r="BG50" s="22"/>
      <c r="BH50" s="22"/>
      <c r="BI50" s="22"/>
      <c r="BJ50" s="22"/>
      <c r="BK50" s="22"/>
      <c r="BL50" s="22"/>
      <c r="BM50" s="22"/>
      <c r="BN50" s="22"/>
      <c r="BO50" s="22"/>
      <c r="BP50" s="22"/>
    </row>
    <row r="51" spans="1:68" s="17" customFormat="1" ht="15.75" hidden="1">
      <c r="C51" s="120"/>
      <c r="D51" s="120"/>
      <c r="E51" s="120"/>
      <c r="F51" s="120"/>
      <c r="G51" s="120"/>
      <c r="H51" s="120"/>
      <c r="I51" s="120"/>
      <c r="J51" s="120"/>
      <c r="K51" s="120"/>
      <c r="L51" s="120"/>
      <c r="M51" s="121"/>
      <c r="N51" s="120"/>
      <c r="O51" s="120"/>
      <c r="P51" s="120"/>
      <c r="Q51" s="122"/>
      <c r="S51" s="7"/>
      <c r="T51" s="7"/>
      <c r="U51" s="6"/>
      <c r="V51" s="7"/>
      <c r="W51" s="7"/>
      <c r="X51" s="7"/>
      <c r="Y51" s="7"/>
      <c r="Z51" s="109"/>
      <c r="AD51" s="22"/>
      <c r="AE51" s="22"/>
      <c r="AF51" s="22"/>
      <c r="AG51" s="22"/>
      <c r="AH51" s="22"/>
      <c r="AI51" s="22"/>
      <c r="AJ51" s="22"/>
      <c r="AK51" s="22"/>
      <c r="AL51" s="22"/>
      <c r="AM51" s="22"/>
      <c r="AN51" s="22"/>
      <c r="AO51" s="22"/>
      <c r="AP51" s="22"/>
      <c r="AQ51" s="22"/>
      <c r="AR51" s="22"/>
      <c r="AS51" s="22"/>
      <c r="AT51" s="22"/>
      <c r="AU51" s="22"/>
      <c r="AV51" s="22"/>
      <c r="AW51" s="22"/>
      <c r="AX51" s="22"/>
      <c r="AY51" s="22"/>
      <c r="AZ51" s="22"/>
      <c r="BA51" s="22"/>
      <c r="BB51" s="22"/>
      <c r="BC51" s="22"/>
      <c r="BD51" s="22"/>
      <c r="BE51" s="22"/>
      <c r="BF51" s="22"/>
      <c r="BG51" s="22"/>
      <c r="BH51" s="22"/>
      <c r="BI51" s="22"/>
      <c r="BJ51" s="22"/>
      <c r="BK51" s="22"/>
      <c r="BL51" s="22"/>
      <c r="BM51" s="22"/>
      <c r="BN51" s="22"/>
      <c r="BO51" s="22"/>
      <c r="BP51" s="22"/>
    </row>
    <row r="52" spans="1:68" s="17" customFormat="1" ht="15.75" hidden="1">
      <c r="C52" s="120"/>
      <c r="D52" s="120"/>
      <c r="E52" s="120"/>
      <c r="F52" s="120"/>
      <c r="G52" s="120"/>
      <c r="H52" s="120"/>
      <c r="I52" s="120"/>
      <c r="J52" s="120"/>
      <c r="K52" s="120"/>
      <c r="L52" s="120"/>
      <c r="M52" s="121"/>
      <c r="N52" s="120"/>
      <c r="O52" s="120"/>
      <c r="P52" s="120"/>
      <c r="Q52" s="122"/>
      <c r="S52" s="7"/>
      <c r="T52" s="7"/>
      <c r="U52" s="6"/>
      <c r="V52" s="7"/>
      <c r="W52" s="7"/>
      <c r="X52" s="7"/>
      <c r="Y52" s="7"/>
      <c r="Z52" s="109"/>
      <c r="AD52" s="22"/>
      <c r="AE52" s="22"/>
      <c r="AF52" s="22"/>
      <c r="AG52" s="22"/>
      <c r="AH52" s="22"/>
      <c r="AI52" s="22"/>
      <c r="AJ52" s="22"/>
      <c r="AK52" s="22"/>
      <c r="AL52" s="22"/>
      <c r="AM52" s="22"/>
      <c r="AN52" s="22"/>
      <c r="AO52" s="22"/>
      <c r="AP52" s="22"/>
      <c r="AQ52" s="22"/>
      <c r="AR52" s="22"/>
      <c r="AS52" s="22"/>
      <c r="AT52" s="22"/>
      <c r="AU52" s="22"/>
      <c r="AV52" s="22"/>
      <c r="AW52" s="22"/>
      <c r="AX52" s="22"/>
      <c r="AY52" s="22"/>
      <c r="AZ52" s="22"/>
      <c r="BA52" s="22"/>
      <c r="BB52" s="22"/>
      <c r="BC52" s="22"/>
      <c r="BD52" s="22"/>
      <c r="BE52" s="22"/>
      <c r="BF52" s="22"/>
      <c r="BG52" s="22"/>
      <c r="BH52" s="22"/>
      <c r="BI52" s="22"/>
      <c r="BJ52" s="22"/>
      <c r="BK52" s="22"/>
      <c r="BL52" s="22"/>
      <c r="BM52" s="22"/>
      <c r="BN52" s="22"/>
      <c r="BO52" s="22"/>
      <c r="BP52" s="22"/>
    </row>
    <row r="53" spans="1:68" s="17" customFormat="1" ht="15.75" hidden="1">
      <c r="C53" s="123"/>
      <c r="D53" s="123" t="s">
        <v>87</v>
      </c>
      <c r="E53" s="123"/>
      <c r="F53" s="123" t="s">
        <v>88</v>
      </c>
      <c r="G53" s="123" t="s">
        <v>89</v>
      </c>
      <c r="H53" s="124" t="s">
        <v>90</v>
      </c>
      <c r="I53" s="120"/>
      <c r="J53" s="120"/>
      <c r="K53" s="125"/>
      <c r="L53" s="125"/>
      <c r="M53" s="126"/>
      <c r="N53" s="126"/>
      <c r="O53" s="126"/>
      <c r="P53" s="120"/>
      <c r="Q53" s="122"/>
      <c r="S53" s="7"/>
      <c r="T53" s="7"/>
      <c r="U53" s="6"/>
      <c r="V53" s="7"/>
      <c r="W53" s="7"/>
      <c r="X53" s="7"/>
      <c r="Y53" s="7"/>
      <c r="Z53" s="109"/>
      <c r="AD53" s="22"/>
      <c r="AE53" s="22"/>
      <c r="AF53" s="22"/>
      <c r="AG53" s="22"/>
      <c r="AH53" s="22"/>
      <c r="AI53" s="22"/>
      <c r="AJ53" s="22"/>
      <c r="AK53" s="22"/>
      <c r="AL53" s="22"/>
      <c r="AM53" s="22"/>
      <c r="AN53" s="22"/>
      <c r="AO53" s="22"/>
      <c r="AP53" s="22"/>
      <c r="AQ53" s="22"/>
      <c r="AR53" s="22"/>
      <c r="AS53" s="22"/>
      <c r="AT53" s="22"/>
      <c r="AU53" s="22"/>
      <c r="AV53" s="22"/>
      <c r="AW53" s="22"/>
      <c r="AX53" s="22"/>
      <c r="AY53" s="22"/>
      <c r="AZ53" s="22"/>
      <c r="BA53" s="22"/>
      <c r="BB53" s="22"/>
      <c r="BC53" s="22"/>
      <c r="BD53" s="22"/>
      <c r="BE53" s="22"/>
      <c r="BF53" s="22"/>
      <c r="BG53" s="22"/>
      <c r="BH53" s="22"/>
      <c r="BI53" s="22"/>
      <c r="BJ53" s="22"/>
      <c r="BK53" s="22"/>
      <c r="BL53" s="22"/>
      <c r="BM53" s="22"/>
      <c r="BN53" s="22"/>
      <c r="BO53" s="22"/>
      <c r="BP53" s="22"/>
    </row>
    <row r="54" spans="1:68" s="17" customFormat="1" ht="15.75" hidden="1">
      <c r="C54" s="127" t="s">
        <v>91</v>
      </c>
      <c r="D54" s="128">
        <f>COUNTA(C6:C13)</f>
        <v>8</v>
      </c>
      <c r="E54" s="128"/>
      <c r="F54" s="128">
        <f>COUNTA(C15:C22)</f>
        <v>8</v>
      </c>
      <c r="G54" s="128">
        <f>COUNTA(C24:C31)</f>
        <v>8</v>
      </c>
      <c r="H54" s="129">
        <f t="shared" ref="H54:H62" si="4">SUM(D54:G54)</f>
        <v>24</v>
      </c>
      <c r="I54" s="21"/>
      <c r="J54" s="21"/>
      <c r="K54" s="125"/>
      <c r="L54" s="125"/>
      <c r="M54" s="126"/>
      <c r="N54" s="126"/>
      <c r="O54" s="825"/>
      <c r="P54" s="21"/>
      <c r="Q54" s="130"/>
      <c r="S54" s="7"/>
      <c r="T54" s="7"/>
      <c r="U54" s="6"/>
      <c r="V54" s="7"/>
      <c r="W54" s="7"/>
      <c r="X54" s="7"/>
      <c r="Y54" s="7"/>
      <c r="Z54" s="109"/>
      <c r="AD54" s="22"/>
      <c r="AE54" s="22"/>
      <c r="AF54" s="22"/>
      <c r="AG54" s="22"/>
      <c r="AH54" s="22"/>
      <c r="AI54" s="22"/>
      <c r="AJ54" s="22"/>
      <c r="AK54" s="22"/>
      <c r="AL54" s="22"/>
      <c r="AM54" s="22"/>
      <c r="AN54" s="22"/>
      <c r="AO54" s="22"/>
      <c r="AP54" s="22"/>
      <c r="AQ54" s="22"/>
      <c r="AR54" s="22"/>
      <c r="AS54" s="22"/>
      <c r="AT54" s="22"/>
      <c r="AU54" s="22"/>
      <c r="AV54" s="22"/>
      <c r="AW54" s="22"/>
      <c r="AX54" s="22"/>
      <c r="AY54" s="22"/>
      <c r="AZ54" s="22"/>
      <c r="BA54" s="22"/>
      <c r="BB54" s="22"/>
      <c r="BC54" s="22"/>
      <c r="BD54" s="22"/>
      <c r="BE54" s="22"/>
      <c r="BF54" s="22"/>
      <c r="BG54" s="22"/>
      <c r="BH54" s="22"/>
      <c r="BI54" s="22"/>
      <c r="BJ54" s="22"/>
      <c r="BK54" s="22"/>
      <c r="BL54" s="22"/>
      <c r="BM54" s="22"/>
      <c r="BN54" s="22"/>
      <c r="BO54" s="22"/>
      <c r="BP54" s="22"/>
    </row>
    <row r="55" spans="1:68" s="17" customFormat="1" ht="15.75" hidden="1">
      <c r="C55" s="131" t="s">
        <v>92</v>
      </c>
      <c r="D55" s="132">
        <f>COUNTIF(G6:G13,"FMC")</f>
        <v>0</v>
      </c>
      <c r="E55" s="132"/>
      <c r="F55" s="132">
        <f>COUNTIF(G15:G22,"FMC")</f>
        <v>0</v>
      </c>
      <c r="G55" s="132">
        <f>COUNTIF(G24:G31,"FMC")</f>
        <v>0</v>
      </c>
      <c r="H55" s="129">
        <f t="shared" si="4"/>
        <v>0</v>
      </c>
      <c r="I55" s="21"/>
      <c r="J55" s="21"/>
      <c r="K55" s="126"/>
      <c r="L55" s="126"/>
      <c r="M55" s="133"/>
      <c r="N55" s="126"/>
      <c r="O55" s="825"/>
      <c r="P55" s="21"/>
      <c r="Q55" s="130"/>
      <c r="S55" s="7"/>
      <c r="T55" s="7"/>
      <c r="U55" s="6"/>
      <c r="V55" s="7"/>
      <c r="W55" s="7"/>
      <c r="X55" s="7"/>
      <c r="Y55" s="7"/>
      <c r="Z55" s="109"/>
      <c r="AD55" s="22"/>
      <c r="AE55" s="22"/>
      <c r="AF55" s="22"/>
      <c r="AG55" s="22"/>
      <c r="AH55" s="22"/>
      <c r="AI55" s="22"/>
      <c r="AJ55" s="22"/>
      <c r="AK55" s="22"/>
      <c r="AL55" s="22"/>
      <c r="AM55" s="22"/>
      <c r="AN55" s="22"/>
      <c r="AO55" s="22"/>
      <c r="AP55" s="22"/>
      <c r="AQ55" s="22"/>
      <c r="AR55" s="22"/>
      <c r="AS55" s="22"/>
      <c r="AT55" s="22"/>
      <c r="AU55" s="22"/>
      <c r="AV55" s="22"/>
      <c r="AW55" s="22"/>
      <c r="AX55" s="22"/>
      <c r="AY55" s="22"/>
      <c r="AZ55" s="22"/>
      <c r="BA55" s="22"/>
      <c r="BB55" s="22"/>
      <c r="BC55" s="22"/>
      <c r="BD55" s="22"/>
      <c r="BE55" s="22"/>
      <c r="BF55" s="22"/>
      <c r="BG55" s="22"/>
      <c r="BH55" s="22"/>
      <c r="BI55" s="22"/>
      <c r="BJ55" s="22"/>
      <c r="BK55" s="22"/>
      <c r="BL55" s="22"/>
      <c r="BM55" s="22"/>
      <c r="BN55" s="22"/>
      <c r="BO55" s="22"/>
      <c r="BP55" s="22"/>
    </row>
    <row r="56" spans="1:68" s="17" customFormat="1" ht="15.75" hidden="1">
      <c r="C56" s="131" t="s">
        <v>93</v>
      </c>
      <c r="D56" s="132">
        <f>COUNTIF(G6:G13,"NMCM")</f>
        <v>2</v>
      </c>
      <c r="E56" s="132"/>
      <c r="F56" s="132">
        <f>COUNTIF(G15:G22,"NMCM")</f>
        <v>1</v>
      </c>
      <c r="G56" s="132">
        <f>COUNTIF(G24:G31,"NMCM")</f>
        <v>2</v>
      </c>
      <c r="H56" s="129">
        <f t="shared" si="4"/>
        <v>5</v>
      </c>
      <c r="I56" s="21"/>
      <c r="J56" s="21"/>
      <c r="K56" s="134"/>
      <c r="L56" s="135"/>
      <c r="M56" s="133"/>
      <c r="N56" s="133"/>
      <c r="O56" s="136"/>
      <c r="P56" s="21"/>
      <c r="Q56" s="130"/>
      <c r="S56" s="7"/>
      <c r="T56" s="7"/>
      <c r="U56" s="6"/>
      <c r="V56" s="7"/>
      <c r="W56" s="7"/>
      <c r="X56" s="7"/>
      <c r="Y56" s="7"/>
      <c r="Z56" s="109"/>
      <c r="AD56" s="22"/>
      <c r="AE56" s="22"/>
      <c r="AF56" s="22"/>
      <c r="AG56" s="22"/>
      <c r="AH56" s="22"/>
      <c r="AI56" s="22"/>
      <c r="AJ56" s="22"/>
      <c r="AK56" s="22"/>
      <c r="AL56" s="22"/>
      <c r="AM56" s="22"/>
      <c r="AN56" s="22"/>
      <c r="AO56" s="22"/>
      <c r="AP56" s="22"/>
      <c r="AQ56" s="22"/>
      <c r="AR56" s="22"/>
      <c r="AS56" s="22"/>
      <c r="AT56" s="22"/>
      <c r="AU56" s="22"/>
      <c r="AV56" s="22"/>
      <c r="AW56" s="22"/>
      <c r="AX56" s="22"/>
      <c r="AY56" s="22"/>
      <c r="AZ56" s="22"/>
      <c r="BA56" s="22"/>
      <c r="BB56" s="22"/>
      <c r="BC56" s="22"/>
      <c r="BD56" s="22"/>
      <c r="BE56" s="22"/>
      <c r="BF56" s="22"/>
      <c r="BG56" s="22"/>
      <c r="BH56" s="22"/>
      <c r="BI56" s="22"/>
      <c r="BJ56" s="22"/>
      <c r="BK56" s="22"/>
      <c r="BL56" s="22"/>
      <c r="BM56" s="22"/>
      <c r="BN56" s="22"/>
      <c r="BO56" s="22"/>
      <c r="BP56" s="22"/>
    </row>
    <row r="57" spans="1:68" s="17" customFormat="1" ht="15.75" hidden="1">
      <c r="C57" s="131" t="s">
        <v>94</v>
      </c>
      <c r="D57" s="132">
        <f>COUNTIF(G6:G13,"NMCS")</f>
        <v>2</v>
      </c>
      <c r="E57" s="132"/>
      <c r="F57" s="132">
        <f>COUNTIF(G15:G22,"NMCS")</f>
        <v>2</v>
      </c>
      <c r="G57" s="132">
        <f>COUNTIF(G24:G31,"NMCS")</f>
        <v>1</v>
      </c>
      <c r="H57" s="129">
        <f t="shared" si="4"/>
        <v>5</v>
      </c>
      <c r="I57" s="21"/>
      <c r="J57" s="21"/>
      <c r="K57" s="137"/>
      <c r="L57" s="135"/>
      <c r="M57" s="133"/>
      <c r="N57" s="133"/>
      <c r="O57" s="136"/>
      <c r="P57" s="21"/>
      <c r="Q57" s="130"/>
      <c r="S57" s="7"/>
      <c r="T57" s="7"/>
      <c r="U57" s="6"/>
      <c r="V57" s="7"/>
      <c r="W57" s="7"/>
      <c r="X57" s="7"/>
      <c r="Y57" s="7"/>
      <c r="Z57" s="109"/>
      <c r="AD57" s="22"/>
      <c r="AE57" s="22"/>
      <c r="AF57" s="22"/>
      <c r="AG57" s="22"/>
      <c r="AH57" s="22"/>
      <c r="AI57" s="22"/>
      <c r="AJ57" s="22"/>
      <c r="AK57" s="22"/>
      <c r="AL57" s="22"/>
      <c r="AM57" s="22"/>
      <c r="AN57" s="22"/>
      <c r="AO57" s="22"/>
      <c r="AP57" s="22"/>
      <c r="AQ57" s="22"/>
      <c r="AR57" s="22"/>
      <c r="AS57" s="22"/>
      <c r="AT57" s="22"/>
      <c r="AU57" s="22"/>
      <c r="AV57" s="22"/>
      <c r="AW57" s="22"/>
      <c r="AX57" s="22"/>
      <c r="AY57" s="22"/>
      <c r="AZ57" s="22"/>
      <c r="BA57" s="22"/>
      <c r="BB57" s="22"/>
      <c r="BC57" s="22"/>
      <c r="BD57" s="22"/>
      <c r="BE57" s="22"/>
      <c r="BF57" s="22"/>
      <c r="BG57" s="22"/>
      <c r="BH57" s="22"/>
      <c r="BI57" s="22"/>
      <c r="BJ57" s="22"/>
      <c r="BK57" s="22"/>
      <c r="BL57" s="22"/>
      <c r="BM57" s="22"/>
      <c r="BN57" s="22"/>
      <c r="BO57" s="22"/>
      <c r="BP57" s="22"/>
    </row>
    <row r="58" spans="1:68" s="17" customFormat="1" ht="15.75" hidden="1">
      <c r="C58" s="131" t="s">
        <v>95</v>
      </c>
      <c r="D58" s="132">
        <f>COUNTIF(G6:G13,"PMCM")</f>
        <v>0</v>
      </c>
      <c r="E58" s="132"/>
      <c r="F58" s="132">
        <f>COUNTIF(G15:G22,"PMCM")</f>
        <v>0</v>
      </c>
      <c r="G58" s="132">
        <f>COUNTIF(G24:G31,"PMCM")</f>
        <v>0</v>
      </c>
      <c r="H58" s="129">
        <f t="shared" si="4"/>
        <v>0</v>
      </c>
      <c r="I58" s="138"/>
      <c r="J58" s="21"/>
      <c r="K58" s="137"/>
      <c r="L58" s="135"/>
      <c r="M58" s="126"/>
      <c r="N58" s="133"/>
      <c r="O58" s="136"/>
      <c r="P58" s="139"/>
      <c r="Q58" s="140"/>
      <c r="S58" s="7"/>
      <c r="T58" s="7"/>
      <c r="U58" s="6"/>
      <c r="V58" s="7"/>
      <c r="W58" s="7"/>
      <c r="X58" s="7"/>
      <c r="Y58" s="7"/>
      <c r="Z58" s="109"/>
      <c r="AD58" s="22"/>
      <c r="AE58" s="22"/>
      <c r="AF58" s="22"/>
      <c r="AG58" s="22"/>
      <c r="AH58" s="22"/>
      <c r="AI58" s="22"/>
      <c r="AJ58" s="22"/>
      <c r="AK58" s="22"/>
      <c r="AL58" s="22"/>
      <c r="AM58" s="22"/>
      <c r="AN58" s="22"/>
      <c r="AO58" s="22"/>
      <c r="AP58" s="22"/>
      <c r="AQ58" s="22"/>
      <c r="AR58" s="22"/>
      <c r="AS58" s="22"/>
      <c r="AT58" s="22"/>
      <c r="AU58" s="22"/>
      <c r="AV58" s="22"/>
      <c r="AW58" s="22"/>
      <c r="AX58" s="22"/>
      <c r="AY58" s="22"/>
      <c r="AZ58" s="22"/>
      <c r="BA58" s="22"/>
      <c r="BB58" s="22"/>
      <c r="BC58" s="22"/>
      <c r="BD58" s="22"/>
      <c r="BE58" s="22"/>
      <c r="BF58" s="22"/>
      <c r="BG58" s="22"/>
      <c r="BH58" s="22"/>
      <c r="BI58" s="22"/>
      <c r="BJ58" s="22"/>
      <c r="BK58" s="22"/>
      <c r="BL58" s="22"/>
      <c r="BM58" s="22"/>
      <c r="BN58" s="22"/>
      <c r="BO58" s="22"/>
      <c r="BP58" s="22"/>
    </row>
    <row r="59" spans="1:68" s="17" customFormat="1" ht="15.75" hidden="1">
      <c r="C59" s="131" t="s">
        <v>96</v>
      </c>
      <c r="D59" s="132">
        <f>COUNTIF(G6:G13,"PMCS")</f>
        <v>3</v>
      </c>
      <c r="E59" s="132"/>
      <c r="F59" s="132">
        <f>COUNTIF(G15:G22,"PMCS")</f>
        <v>5</v>
      </c>
      <c r="G59" s="132">
        <f>COUNTIF(G24:G31,"PMCS")</f>
        <v>3</v>
      </c>
      <c r="H59" s="129">
        <f t="shared" si="4"/>
        <v>11</v>
      </c>
      <c r="I59" s="138"/>
      <c r="J59" s="21"/>
      <c r="K59" s="125"/>
      <c r="L59" s="135"/>
      <c r="M59" s="133"/>
      <c r="N59" s="133"/>
      <c r="O59" s="136"/>
      <c r="P59" s="139"/>
      <c r="Q59" s="140"/>
      <c r="S59" s="7"/>
      <c r="T59" s="7"/>
      <c r="U59" s="6"/>
      <c r="V59" s="7"/>
      <c r="W59" s="7"/>
      <c r="X59" s="7"/>
      <c r="Y59" s="7"/>
      <c r="Z59" s="109"/>
      <c r="AD59" s="22"/>
      <c r="AE59" s="22"/>
      <c r="AF59" s="22"/>
      <c r="AG59" s="22"/>
      <c r="AH59" s="22"/>
      <c r="AI59" s="22"/>
      <c r="AJ59" s="22"/>
      <c r="AK59" s="22"/>
      <c r="AL59" s="22"/>
      <c r="AM59" s="22"/>
      <c r="AN59" s="22"/>
      <c r="AO59" s="22"/>
      <c r="AP59" s="22"/>
      <c r="AQ59" s="22"/>
      <c r="AR59" s="22"/>
      <c r="AS59" s="22"/>
      <c r="AT59" s="22"/>
      <c r="AU59" s="22"/>
      <c r="AV59" s="22"/>
      <c r="AW59" s="22"/>
      <c r="AX59" s="22"/>
      <c r="AY59" s="22"/>
      <c r="AZ59" s="22"/>
      <c r="BA59" s="22"/>
      <c r="BB59" s="22"/>
      <c r="BC59" s="22"/>
      <c r="BD59" s="22"/>
      <c r="BE59" s="22"/>
      <c r="BF59" s="22"/>
      <c r="BG59" s="22"/>
      <c r="BH59" s="22"/>
      <c r="BI59" s="22"/>
      <c r="BJ59" s="22"/>
      <c r="BK59" s="22"/>
      <c r="BL59" s="22"/>
      <c r="BM59" s="22"/>
      <c r="BN59" s="22"/>
      <c r="BO59" s="22"/>
      <c r="BP59" s="22"/>
    </row>
    <row r="60" spans="1:68" s="17" customFormat="1" ht="15.75" hidden="1">
      <c r="C60" s="141" t="s">
        <v>97</v>
      </c>
      <c r="D60" s="132">
        <f>COUNTIF(G6:G13,"MTF/MOC")</f>
        <v>1</v>
      </c>
      <c r="E60" s="132"/>
      <c r="F60" s="132">
        <f>COUNTIF(G15:G22,"MTF/MOC")</f>
        <v>0</v>
      </c>
      <c r="G60" s="132">
        <f>COUNTIF(G24:G31,"MTF/MOC")</f>
        <v>2</v>
      </c>
      <c r="H60" s="129">
        <f t="shared" si="4"/>
        <v>3</v>
      </c>
      <c r="I60" s="138"/>
      <c r="J60" s="21"/>
      <c r="K60" s="137"/>
      <c r="L60" s="135"/>
      <c r="M60" s="126"/>
      <c r="N60" s="133"/>
      <c r="O60" s="136"/>
      <c r="P60" s="139"/>
      <c r="Q60" s="140"/>
      <c r="S60" s="7"/>
      <c r="T60" s="7"/>
      <c r="U60" s="6"/>
      <c r="V60" s="7"/>
      <c r="W60" s="7"/>
      <c r="X60" s="7"/>
      <c r="Y60" s="7"/>
      <c r="Z60" s="109"/>
      <c r="AD60" s="22"/>
      <c r="AE60" s="22"/>
      <c r="AF60" s="22"/>
      <c r="AG60" s="22"/>
      <c r="AH60" s="22"/>
      <c r="AI60" s="22"/>
      <c r="AJ60" s="22"/>
      <c r="AK60" s="22"/>
      <c r="AL60" s="22"/>
      <c r="AM60" s="22"/>
      <c r="AN60" s="22"/>
      <c r="AO60" s="22"/>
      <c r="AP60" s="22"/>
      <c r="AQ60" s="22"/>
      <c r="AR60" s="22"/>
      <c r="AS60" s="22"/>
      <c r="AT60" s="22"/>
      <c r="AU60" s="22"/>
      <c r="AV60" s="22"/>
      <c r="AW60" s="22"/>
      <c r="AX60" s="22"/>
      <c r="AY60" s="22"/>
      <c r="AZ60" s="22"/>
      <c r="BA60" s="22"/>
      <c r="BB60" s="22"/>
      <c r="BC60" s="22"/>
      <c r="BD60" s="22"/>
      <c r="BE60" s="22"/>
      <c r="BF60" s="22"/>
      <c r="BG60" s="22"/>
      <c r="BH60" s="22"/>
      <c r="BI60" s="22"/>
      <c r="BJ60" s="22"/>
      <c r="BK60" s="22"/>
      <c r="BL60" s="22"/>
      <c r="BM60" s="22"/>
      <c r="BN60" s="22"/>
      <c r="BO60" s="22"/>
      <c r="BP60" s="22"/>
    </row>
    <row r="61" spans="1:68" s="17" customFormat="1" ht="15.75" hidden="1">
      <c r="C61" s="141" t="s">
        <v>98</v>
      </c>
      <c r="D61" s="132">
        <f>D55+D58+D59</f>
        <v>3</v>
      </c>
      <c r="E61" s="132"/>
      <c r="F61" s="132">
        <f>F55+F58+F59</f>
        <v>5</v>
      </c>
      <c r="G61" s="132">
        <f>G55+G58+G59</f>
        <v>3</v>
      </c>
      <c r="H61" s="129">
        <f t="shared" si="4"/>
        <v>11</v>
      </c>
      <c r="I61" s="138"/>
      <c r="J61" s="21"/>
      <c r="K61" s="137"/>
      <c r="L61" s="135"/>
      <c r="M61" s="133"/>
      <c r="N61" s="133"/>
      <c r="O61" s="136"/>
      <c r="P61" s="139"/>
      <c r="Q61" s="140"/>
      <c r="S61" s="7"/>
      <c r="T61" s="7"/>
      <c r="U61" s="6"/>
      <c r="V61" s="7"/>
      <c r="W61" s="7"/>
      <c r="X61" s="7"/>
      <c r="Y61" s="7"/>
      <c r="Z61" s="109"/>
      <c r="AD61" s="22"/>
      <c r="AE61" s="22"/>
      <c r="AF61" s="22"/>
      <c r="AG61" s="22"/>
      <c r="AH61" s="22"/>
      <c r="AI61" s="22"/>
      <c r="AJ61" s="22"/>
      <c r="AK61" s="22"/>
      <c r="AL61" s="22"/>
      <c r="AM61" s="22"/>
      <c r="AN61" s="22"/>
      <c r="AO61" s="22"/>
      <c r="AP61" s="22"/>
      <c r="AQ61" s="22"/>
      <c r="AR61" s="22"/>
      <c r="AS61" s="22"/>
      <c r="AT61" s="22"/>
      <c r="AU61" s="22"/>
      <c r="AV61" s="22"/>
      <c r="AW61" s="22"/>
      <c r="AX61" s="22"/>
      <c r="AY61" s="22"/>
      <c r="AZ61" s="22"/>
      <c r="BA61" s="22"/>
      <c r="BB61" s="22"/>
      <c r="BC61" s="22"/>
      <c r="BD61" s="22"/>
      <c r="BE61" s="22"/>
      <c r="BF61" s="22"/>
      <c r="BG61" s="22"/>
      <c r="BH61" s="22"/>
      <c r="BI61" s="22"/>
      <c r="BJ61" s="22"/>
      <c r="BK61" s="22"/>
      <c r="BL61" s="22"/>
      <c r="BM61" s="22"/>
      <c r="BN61" s="22"/>
      <c r="BO61" s="22"/>
      <c r="BP61" s="22"/>
    </row>
    <row r="62" spans="1:68" s="17" customFormat="1" ht="15.75" hidden="1">
      <c r="C62" s="131" t="s">
        <v>99</v>
      </c>
      <c r="D62" s="132">
        <f>SUM(D55:D60)</f>
        <v>8</v>
      </c>
      <c r="E62" s="132"/>
      <c r="F62" s="132">
        <f>SUM(F55:F60)</f>
        <v>8</v>
      </c>
      <c r="G62" s="132">
        <f>SUM(G55:G60)</f>
        <v>8</v>
      </c>
      <c r="H62" s="129">
        <f t="shared" si="4"/>
        <v>24</v>
      </c>
      <c r="I62" s="138"/>
      <c r="J62" s="21"/>
      <c r="K62" s="137"/>
      <c r="L62" s="135"/>
      <c r="M62" s="133"/>
      <c r="N62" s="133"/>
      <c r="O62" s="136"/>
      <c r="P62" s="139"/>
      <c r="Q62" s="140"/>
      <c r="R62" s="142"/>
      <c r="S62" s="7"/>
      <c r="T62" s="7"/>
      <c r="U62" s="6"/>
      <c r="V62" s="7"/>
      <c r="W62" s="7"/>
      <c r="X62" s="7"/>
      <c r="Y62" s="7"/>
      <c r="Z62" s="109"/>
      <c r="AD62" s="22"/>
      <c r="AE62" s="22"/>
      <c r="AF62" s="22"/>
      <c r="AG62" s="22"/>
      <c r="AH62" s="22"/>
      <c r="AI62" s="22"/>
      <c r="AJ62" s="22"/>
      <c r="AK62" s="22"/>
      <c r="AL62" s="22"/>
      <c r="AM62" s="22"/>
      <c r="AN62" s="22"/>
      <c r="AO62" s="22"/>
      <c r="AP62" s="22"/>
      <c r="AQ62" s="22"/>
      <c r="AR62" s="22"/>
      <c r="AS62" s="22"/>
      <c r="AT62" s="22"/>
      <c r="AU62" s="22"/>
      <c r="AV62" s="22"/>
      <c r="AW62" s="22"/>
      <c r="AX62" s="22"/>
      <c r="AY62" s="22"/>
      <c r="AZ62" s="22"/>
      <c r="BA62" s="22"/>
      <c r="BB62" s="22"/>
      <c r="BC62" s="22"/>
      <c r="BD62" s="22"/>
      <c r="BE62" s="22"/>
      <c r="BF62" s="22"/>
      <c r="BG62" s="22"/>
      <c r="BH62" s="22"/>
      <c r="BI62" s="22"/>
      <c r="BJ62" s="22"/>
      <c r="BK62" s="22"/>
      <c r="BL62" s="22"/>
      <c r="BM62" s="22"/>
      <c r="BN62" s="22"/>
      <c r="BO62" s="22"/>
      <c r="BP62" s="22"/>
    </row>
    <row r="63" spans="1:68" hidden="1">
      <c r="C63" s="144" t="s">
        <v>100</v>
      </c>
      <c r="D63" s="145">
        <f>SUM(D55/D54)</f>
        <v>0</v>
      </c>
      <c r="E63" s="145"/>
      <c r="F63" s="145">
        <f>SUM(F55/F54)</f>
        <v>0</v>
      </c>
      <c r="G63" s="145">
        <f>SUM(G55/G54)</f>
        <v>0</v>
      </c>
      <c r="H63" s="145">
        <f>SUM(H55/H54)</f>
        <v>0</v>
      </c>
      <c r="K63" s="137"/>
      <c r="L63" s="135"/>
      <c r="M63" s="133"/>
      <c r="N63" s="133"/>
      <c r="O63" s="136"/>
      <c r="R63" s="146"/>
      <c r="AD63" s="9"/>
      <c r="AE63" s="9"/>
      <c r="AF63" s="9"/>
      <c r="AG63" s="9"/>
      <c r="AH63" s="9"/>
      <c r="AI63" s="9"/>
      <c r="AJ63" s="9"/>
      <c r="AK63" s="9"/>
      <c r="AL63" s="9"/>
      <c r="AM63" s="9"/>
      <c r="AN63" s="9"/>
      <c r="AO63" s="9"/>
      <c r="AP63" s="9"/>
      <c r="AQ63" s="9"/>
      <c r="AR63" s="9"/>
      <c r="AS63" s="9"/>
      <c r="AT63" s="9"/>
      <c r="AU63" s="9"/>
      <c r="AV63" s="9"/>
      <c r="AW63" s="9"/>
      <c r="AX63" s="9"/>
      <c r="AY63" s="9"/>
      <c r="AZ63" s="9"/>
      <c r="BA63" s="9"/>
      <c r="BB63" s="9"/>
      <c r="BC63" s="9"/>
      <c r="BD63" s="9"/>
      <c r="BE63" s="9"/>
      <c r="BF63" s="9"/>
      <c r="BG63" s="9"/>
      <c r="BH63" s="9"/>
      <c r="BI63" s="9"/>
      <c r="BJ63" s="9"/>
      <c r="BK63" s="9"/>
      <c r="BL63" s="9"/>
      <c r="BM63" s="9"/>
      <c r="BN63" s="9"/>
      <c r="BO63" s="9"/>
      <c r="BP63" s="9"/>
    </row>
    <row r="64" spans="1:68" s="148" customFormat="1" hidden="1">
      <c r="A64" s="147"/>
      <c r="C64" s="149" t="s">
        <v>101</v>
      </c>
      <c r="D64" s="150">
        <f>SUM(D61/D54)</f>
        <v>0.375</v>
      </c>
      <c r="E64" s="150"/>
      <c r="F64" s="150">
        <f>SUM(F61/F54)</f>
        <v>0.625</v>
      </c>
      <c r="G64" s="150">
        <f>SUM(G61/G54)</f>
        <v>0.375</v>
      </c>
      <c r="H64" s="150">
        <f>SUM(H61/H54)</f>
        <v>0.45800000000000002</v>
      </c>
      <c r="I64" s="151"/>
      <c r="J64" s="152"/>
      <c r="K64" s="137"/>
      <c r="L64" s="135"/>
      <c r="M64" s="133"/>
      <c r="N64" s="133"/>
      <c r="O64" s="136"/>
      <c r="P64" s="153"/>
      <c r="Q64" s="154"/>
      <c r="R64" s="142"/>
      <c r="S64" s="7"/>
      <c r="T64" s="7"/>
      <c r="U64" s="6"/>
      <c r="V64" s="7"/>
      <c r="W64" s="7"/>
      <c r="X64" s="7"/>
      <c r="Y64" s="7"/>
      <c r="Z64" s="18"/>
      <c r="AD64" s="9"/>
      <c r="AE64" s="9"/>
      <c r="AF64" s="9"/>
      <c r="AG64" s="9"/>
      <c r="AH64" s="9"/>
      <c r="AI64" s="9"/>
      <c r="AJ64" s="9"/>
      <c r="AK64" s="9"/>
      <c r="AL64" s="9"/>
      <c r="AM64" s="9"/>
      <c r="AN64" s="9"/>
      <c r="AO64" s="9"/>
      <c r="AP64" s="9"/>
      <c r="AQ64" s="9"/>
      <c r="AR64" s="9"/>
      <c r="AS64" s="9"/>
      <c r="AT64" s="9"/>
      <c r="AU64" s="9"/>
      <c r="AV64" s="9"/>
      <c r="AW64" s="9"/>
      <c r="AX64" s="9"/>
      <c r="AY64" s="9"/>
      <c r="AZ64" s="9"/>
      <c r="BA64" s="9"/>
      <c r="BB64" s="9"/>
      <c r="BC64" s="9"/>
      <c r="BD64" s="9"/>
      <c r="BE64" s="9"/>
      <c r="BF64" s="9"/>
      <c r="BG64" s="9"/>
      <c r="BH64" s="9"/>
      <c r="BI64" s="9"/>
      <c r="BJ64" s="9"/>
      <c r="BK64" s="9"/>
      <c r="BL64" s="9"/>
      <c r="BM64" s="9"/>
      <c r="BN64" s="9"/>
      <c r="BO64" s="9"/>
      <c r="BP64" s="9"/>
    </row>
    <row r="65" spans="1:68" hidden="1">
      <c r="K65" s="137"/>
      <c r="L65" s="135"/>
      <c r="M65" s="133"/>
      <c r="N65" s="133"/>
      <c r="O65" s="136"/>
      <c r="AD65" s="9"/>
      <c r="AE65" s="9"/>
      <c r="AF65" s="9"/>
      <c r="AG65" s="9"/>
      <c r="AH65" s="9"/>
      <c r="AI65" s="9"/>
      <c r="AJ65" s="9"/>
      <c r="AK65" s="9"/>
      <c r="AL65" s="9"/>
      <c r="AM65" s="9"/>
      <c r="AN65" s="9"/>
      <c r="AO65" s="9"/>
      <c r="AP65" s="9"/>
      <c r="AQ65" s="9"/>
      <c r="AR65" s="9"/>
      <c r="AS65" s="9"/>
      <c r="AT65" s="9"/>
      <c r="AU65" s="9"/>
      <c r="AV65" s="9"/>
      <c r="AW65" s="9"/>
      <c r="AX65" s="9"/>
      <c r="AY65" s="9"/>
      <c r="AZ65" s="9"/>
      <c r="BA65" s="9"/>
      <c r="BB65" s="9"/>
      <c r="BC65" s="9"/>
      <c r="BD65" s="9"/>
      <c r="BE65" s="9"/>
      <c r="BF65" s="9"/>
      <c r="BG65" s="9"/>
      <c r="BH65" s="9"/>
      <c r="BI65" s="9"/>
      <c r="BJ65" s="9"/>
      <c r="BK65" s="9"/>
      <c r="BL65" s="9"/>
      <c r="BM65" s="9"/>
      <c r="BN65" s="9"/>
      <c r="BO65" s="9"/>
      <c r="BP65" s="9"/>
    </row>
    <row r="66" spans="1:68" hidden="1">
      <c r="E66" s="138" t="s">
        <v>16</v>
      </c>
      <c r="K66" s="137"/>
      <c r="L66" s="135"/>
      <c r="M66" s="133"/>
      <c r="N66" s="133"/>
      <c r="O66" s="136"/>
      <c r="AD66" s="9"/>
      <c r="AE66" s="9"/>
      <c r="AF66" s="9"/>
      <c r="AG66" s="9"/>
      <c r="AH66" s="9"/>
      <c r="AI66" s="9"/>
      <c r="AJ66" s="9"/>
      <c r="AK66" s="9"/>
      <c r="AL66" s="9"/>
      <c r="AM66" s="9"/>
      <c r="AN66" s="9"/>
      <c r="AO66" s="9"/>
      <c r="AP66" s="9"/>
      <c r="AQ66" s="9"/>
      <c r="AR66" s="9"/>
      <c r="AS66" s="9"/>
      <c r="AT66" s="9"/>
      <c r="AU66" s="9"/>
      <c r="AV66" s="9"/>
      <c r="AW66" s="9"/>
      <c r="AX66" s="9"/>
      <c r="AY66" s="9"/>
      <c r="AZ66" s="9"/>
      <c r="BA66" s="9"/>
      <c r="BB66" s="9"/>
      <c r="BC66" s="9"/>
      <c r="BD66" s="9"/>
      <c r="BE66" s="9"/>
      <c r="BF66" s="9"/>
      <c r="BG66" s="9"/>
      <c r="BH66" s="9"/>
      <c r="BI66" s="9"/>
      <c r="BJ66" s="9"/>
      <c r="BK66" s="9"/>
      <c r="BL66" s="9"/>
      <c r="BM66" s="9"/>
      <c r="BN66" s="9"/>
      <c r="BO66" s="9"/>
      <c r="BP66" s="9"/>
    </row>
    <row r="67" spans="1:68" hidden="1">
      <c r="C67" s="138" t="s">
        <v>17</v>
      </c>
      <c r="E67" s="138" t="s">
        <v>22</v>
      </c>
      <c r="K67" s="137"/>
      <c r="L67" s="135"/>
      <c r="M67" s="133"/>
      <c r="N67" s="133"/>
      <c r="O67" s="136"/>
      <c r="AD67" s="9"/>
      <c r="AE67" s="9"/>
      <c r="AF67" s="9"/>
      <c r="AG67" s="9"/>
      <c r="AH67" s="9"/>
      <c r="AI67" s="9"/>
      <c r="AJ67" s="9"/>
      <c r="AK67" s="9"/>
      <c r="AL67" s="9"/>
      <c r="AM67" s="9"/>
      <c r="AN67" s="9"/>
      <c r="AO67" s="9"/>
      <c r="AP67" s="9"/>
      <c r="AQ67" s="9"/>
      <c r="AR67" s="9"/>
      <c r="AS67" s="9"/>
      <c r="AT67" s="9"/>
      <c r="AU67" s="9"/>
      <c r="AV67" s="9"/>
      <c r="AW67" s="9"/>
      <c r="AX67" s="9"/>
      <c r="AY67" s="9"/>
      <c r="AZ67" s="9"/>
      <c r="BA67" s="9"/>
      <c r="BB67" s="9"/>
      <c r="BC67" s="9"/>
      <c r="BD67" s="9"/>
      <c r="BE67" s="9"/>
      <c r="BF67" s="9"/>
      <c r="BG67" s="9"/>
      <c r="BH67" s="9"/>
      <c r="BI67" s="9"/>
      <c r="BJ67" s="9"/>
      <c r="BK67" s="9"/>
      <c r="BL67" s="9"/>
      <c r="BM67" s="9"/>
      <c r="BN67" s="9"/>
      <c r="BO67" s="9"/>
      <c r="BP67" s="9"/>
    </row>
    <row r="68" spans="1:68" hidden="1">
      <c r="C68" s="138" t="s">
        <v>25</v>
      </c>
      <c r="E68" s="138" t="s">
        <v>23</v>
      </c>
      <c r="K68" s="137"/>
      <c r="L68" s="135"/>
      <c r="M68" s="133"/>
      <c r="N68" s="133"/>
      <c r="O68" s="136"/>
      <c r="AD68" s="9"/>
      <c r="AE68" s="9"/>
      <c r="AF68" s="9"/>
      <c r="AG68" s="9"/>
      <c r="AH68" s="9"/>
      <c r="AI68" s="9"/>
      <c r="AJ68" s="9"/>
      <c r="AK68" s="9"/>
      <c r="AL68" s="9"/>
      <c r="AM68" s="9"/>
      <c r="AN68" s="9"/>
      <c r="AO68" s="9"/>
      <c r="AP68" s="9"/>
      <c r="AQ68" s="9"/>
      <c r="AR68" s="9"/>
      <c r="AS68" s="9"/>
      <c r="AT68" s="9"/>
      <c r="AU68" s="9"/>
      <c r="AV68" s="9"/>
      <c r="AW68" s="9"/>
      <c r="AX68" s="9"/>
      <c r="AY68" s="9"/>
      <c r="AZ68" s="9"/>
      <c r="BA68" s="9"/>
      <c r="BB68" s="9"/>
      <c r="BC68" s="9"/>
      <c r="BD68" s="9"/>
      <c r="BE68" s="9"/>
      <c r="BF68" s="9"/>
      <c r="BG68" s="9"/>
      <c r="BH68" s="9"/>
      <c r="BI68" s="9"/>
      <c r="BJ68" s="9"/>
      <c r="BK68" s="9"/>
      <c r="BL68" s="9"/>
      <c r="BM68" s="9"/>
      <c r="BN68" s="9"/>
      <c r="BO68" s="9"/>
      <c r="BP68" s="9"/>
    </row>
    <row r="69" spans="1:68" hidden="1">
      <c r="C69" s="155"/>
      <c r="D69" s="155"/>
      <c r="E69" s="156" t="s">
        <v>24</v>
      </c>
      <c r="F69" s="157"/>
      <c r="G69" s="157"/>
      <c r="K69" s="137"/>
      <c r="L69" s="158"/>
      <c r="M69" s="133"/>
      <c r="N69" s="133"/>
      <c r="O69" s="136"/>
      <c r="AD69" s="9"/>
      <c r="AE69" s="9"/>
      <c r="AF69" s="9"/>
      <c r="AG69" s="9"/>
      <c r="AH69" s="9"/>
      <c r="AI69" s="9"/>
      <c r="AJ69" s="9"/>
      <c r="AK69" s="9"/>
      <c r="AL69" s="9"/>
      <c r="AM69" s="9"/>
      <c r="AN69" s="9"/>
      <c r="AO69" s="9"/>
      <c r="AP69" s="9"/>
      <c r="AQ69" s="9"/>
      <c r="AR69" s="9"/>
      <c r="AS69" s="9"/>
      <c r="AT69" s="9"/>
      <c r="AU69" s="9"/>
      <c r="AV69" s="9"/>
      <c r="AW69" s="9"/>
      <c r="AX69" s="9"/>
      <c r="AY69" s="9"/>
      <c r="AZ69" s="9"/>
      <c r="BA69" s="9"/>
      <c r="BB69" s="9"/>
      <c r="BC69" s="9"/>
      <c r="BD69" s="9"/>
      <c r="BE69" s="9"/>
      <c r="BF69" s="9"/>
      <c r="BG69" s="9"/>
      <c r="BH69" s="9"/>
      <c r="BI69" s="9"/>
      <c r="BJ69" s="9"/>
      <c r="BK69" s="9"/>
      <c r="BL69" s="9"/>
      <c r="BM69" s="9"/>
      <c r="BN69" s="9"/>
      <c r="BO69" s="9"/>
      <c r="BP69" s="9"/>
    </row>
    <row r="70" spans="1:68" hidden="1">
      <c r="A70" s="155"/>
      <c r="B70" s="143"/>
      <c r="C70" s="155"/>
      <c r="D70" s="155"/>
      <c r="E70" s="156" t="s">
        <v>65</v>
      </c>
      <c r="F70" s="157"/>
      <c r="G70" s="826"/>
      <c r="K70" s="137"/>
      <c r="L70" s="135"/>
      <c r="M70" s="133"/>
      <c r="N70" s="133"/>
      <c r="O70" s="136"/>
      <c r="AD70" s="9"/>
      <c r="AE70" s="9"/>
      <c r="AF70" s="9"/>
      <c r="AG70" s="9"/>
      <c r="AH70" s="9"/>
      <c r="AI70" s="9"/>
      <c r="AJ70" s="9"/>
      <c r="AK70" s="9"/>
      <c r="AL70" s="9"/>
      <c r="AM70" s="9"/>
      <c r="AN70" s="9"/>
      <c r="AO70" s="9"/>
      <c r="AP70" s="9"/>
      <c r="AQ70" s="9"/>
      <c r="AR70" s="9"/>
      <c r="AS70" s="9"/>
      <c r="AT70" s="9"/>
      <c r="AU70" s="9"/>
      <c r="AV70" s="9"/>
      <c r="AW70" s="9"/>
      <c r="AX70" s="9"/>
      <c r="AY70" s="9"/>
      <c r="AZ70" s="9"/>
      <c r="BA70" s="9"/>
      <c r="BB70" s="9"/>
      <c r="BC70" s="9"/>
      <c r="BD70" s="9"/>
      <c r="BE70" s="9"/>
      <c r="BF70" s="9"/>
      <c r="BG70" s="9"/>
      <c r="BH70" s="9"/>
      <c r="BI70" s="9"/>
      <c r="BJ70" s="9"/>
      <c r="BK70" s="9"/>
      <c r="BL70" s="9"/>
      <c r="BM70" s="9"/>
      <c r="BN70" s="9"/>
      <c r="BO70" s="9"/>
      <c r="BP70" s="9"/>
    </row>
    <row r="71" spans="1:68" hidden="1">
      <c r="A71" s="155"/>
      <c r="B71" s="143"/>
      <c r="C71" s="157"/>
      <c r="D71" s="157"/>
      <c r="E71" s="159" t="s">
        <v>77</v>
      </c>
      <c r="F71" s="157"/>
      <c r="G71" s="826"/>
      <c r="K71" s="134"/>
      <c r="L71" s="135"/>
      <c r="M71" s="133"/>
      <c r="N71" s="133"/>
      <c r="O71" s="136"/>
      <c r="AD71" s="9"/>
      <c r="AE71" s="9"/>
      <c r="AF71" s="9"/>
      <c r="AG71" s="9"/>
      <c r="AH71" s="9"/>
      <c r="AI71" s="9"/>
      <c r="AJ71" s="9"/>
      <c r="AK71" s="9"/>
      <c r="AL71" s="9"/>
      <c r="AM71" s="9"/>
      <c r="AN71" s="9"/>
      <c r="AO71" s="9"/>
      <c r="AP71" s="9"/>
      <c r="AQ71" s="9"/>
      <c r="AR71" s="9"/>
      <c r="AS71" s="9"/>
      <c r="AT71" s="9"/>
      <c r="AU71" s="9"/>
      <c r="AV71" s="9"/>
      <c r="AW71" s="9"/>
      <c r="AX71" s="9"/>
      <c r="AY71" s="9"/>
      <c r="AZ71" s="9"/>
      <c r="BA71" s="9"/>
      <c r="BB71" s="9"/>
      <c r="BC71" s="9"/>
      <c r="BD71" s="9"/>
      <c r="BE71" s="9"/>
      <c r="BF71" s="9"/>
      <c r="BG71" s="9"/>
      <c r="BH71" s="9"/>
      <c r="BI71" s="9"/>
      <c r="BJ71" s="9"/>
      <c r="BK71" s="9"/>
      <c r="BL71" s="9"/>
      <c r="BM71" s="9"/>
      <c r="BN71" s="9"/>
      <c r="BO71" s="9"/>
      <c r="BP71" s="9"/>
    </row>
    <row r="72" spans="1:68" hidden="1">
      <c r="A72" s="824"/>
      <c r="B72" s="824"/>
      <c r="C72" s="160"/>
      <c r="D72" s="161"/>
      <c r="E72" s="162" t="s">
        <v>66</v>
      </c>
      <c r="F72" s="163"/>
      <c r="G72" s="164"/>
      <c r="K72" s="137"/>
      <c r="L72" s="135"/>
      <c r="M72" s="133"/>
      <c r="N72" s="133"/>
      <c r="O72" s="136"/>
      <c r="AD72" s="9"/>
      <c r="AE72" s="9"/>
      <c r="AF72" s="9"/>
      <c r="AG72" s="9"/>
      <c r="AH72" s="9"/>
      <c r="AI72" s="9"/>
      <c r="AJ72" s="9"/>
      <c r="AK72" s="9"/>
      <c r="AL72" s="9"/>
      <c r="AM72" s="9"/>
      <c r="AN72" s="9"/>
      <c r="AO72" s="9"/>
      <c r="AP72" s="9"/>
      <c r="AQ72" s="9"/>
      <c r="AR72" s="9"/>
      <c r="AS72" s="9"/>
      <c r="AT72" s="9"/>
      <c r="AU72" s="9"/>
      <c r="AV72" s="9"/>
      <c r="AW72" s="9"/>
      <c r="AX72" s="9"/>
      <c r="AY72" s="9"/>
      <c r="AZ72" s="9"/>
      <c r="BA72" s="9"/>
      <c r="BB72" s="9"/>
      <c r="BC72" s="9"/>
      <c r="BD72" s="9"/>
      <c r="BE72" s="9"/>
      <c r="BF72" s="9"/>
      <c r="BG72" s="9"/>
      <c r="BH72" s="9"/>
      <c r="BI72" s="9"/>
      <c r="BJ72" s="9"/>
      <c r="BK72" s="9"/>
      <c r="BL72" s="9"/>
      <c r="BM72" s="9"/>
      <c r="BN72" s="9"/>
      <c r="BO72" s="9"/>
      <c r="BP72" s="9"/>
    </row>
    <row r="73" spans="1:68" hidden="1">
      <c r="A73" s="165"/>
      <c r="B73" s="143"/>
      <c r="C73" s="166"/>
      <c r="D73" s="161"/>
      <c r="E73" s="163"/>
      <c r="F73" s="163"/>
      <c r="G73" s="164"/>
      <c r="K73" s="137"/>
      <c r="L73" s="135"/>
      <c r="M73" s="126"/>
      <c r="N73" s="133"/>
      <c r="O73" s="136"/>
      <c r="AD73" s="9"/>
      <c r="AE73" s="9"/>
      <c r="AF73" s="9"/>
      <c r="AG73" s="9"/>
      <c r="AH73" s="9"/>
      <c r="AI73" s="9"/>
      <c r="AJ73" s="9"/>
      <c r="AK73" s="9"/>
      <c r="AL73" s="9"/>
      <c r="AM73" s="9"/>
      <c r="AN73" s="9"/>
      <c r="AO73" s="9"/>
      <c r="AP73" s="9"/>
      <c r="AQ73" s="9"/>
      <c r="AR73" s="9"/>
      <c r="AS73" s="9"/>
      <c r="AT73" s="9"/>
      <c r="AU73" s="9"/>
      <c r="AV73" s="9"/>
      <c r="AW73" s="9"/>
      <c r="AX73" s="9"/>
      <c r="AY73" s="9"/>
      <c r="AZ73" s="9"/>
      <c r="BA73" s="9"/>
      <c r="BB73" s="9"/>
      <c r="BC73" s="9"/>
      <c r="BD73" s="9"/>
      <c r="BE73" s="9"/>
      <c r="BF73" s="9"/>
      <c r="BG73" s="9"/>
      <c r="BH73" s="9"/>
      <c r="BI73" s="9"/>
      <c r="BJ73" s="9"/>
      <c r="BK73" s="9"/>
      <c r="BL73" s="9"/>
      <c r="BM73" s="9"/>
      <c r="BN73" s="9"/>
      <c r="BO73" s="9"/>
      <c r="BP73" s="9"/>
    </row>
    <row r="74" spans="1:68">
      <c r="A74" s="165"/>
      <c r="B74" s="143"/>
      <c r="C74" s="166"/>
      <c r="D74" s="161"/>
      <c r="E74" s="157"/>
      <c r="F74" s="163"/>
      <c r="G74" s="164"/>
      <c r="K74" s="137"/>
      <c r="L74" s="158"/>
      <c r="M74" s="133"/>
      <c r="N74" s="133"/>
      <c r="O74" s="136"/>
      <c r="AD74" s="9"/>
      <c r="AE74" s="9"/>
      <c r="AF74" s="9"/>
      <c r="AG74" s="9"/>
      <c r="AH74" s="9"/>
      <c r="AI74" s="9"/>
      <c r="AJ74" s="9"/>
      <c r="AK74" s="9"/>
      <c r="AL74" s="9"/>
      <c r="AM74" s="9"/>
      <c r="AN74" s="9"/>
      <c r="AO74" s="9"/>
      <c r="AP74" s="9"/>
      <c r="AQ74" s="9"/>
      <c r="AR74" s="9"/>
      <c r="AS74" s="9"/>
      <c r="AT74" s="9"/>
      <c r="AU74" s="9"/>
      <c r="AV74" s="9"/>
      <c r="AW74" s="9"/>
      <c r="AX74" s="9"/>
      <c r="AY74" s="9"/>
      <c r="AZ74" s="9"/>
      <c r="BA74" s="9"/>
      <c r="BB74" s="9"/>
      <c r="BC74" s="9"/>
      <c r="BD74" s="9"/>
      <c r="BE74" s="9"/>
      <c r="BF74" s="9"/>
      <c r="BG74" s="9"/>
      <c r="BH74" s="9"/>
      <c r="BI74" s="9"/>
      <c r="BJ74" s="9"/>
      <c r="BK74" s="9"/>
      <c r="BL74" s="9"/>
      <c r="BM74" s="9"/>
      <c r="BN74" s="9"/>
      <c r="BO74" s="9"/>
      <c r="BP74" s="9"/>
    </row>
    <row r="75" spans="1:68">
      <c r="A75" s="165"/>
      <c r="B75" s="143"/>
      <c r="C75" s="155"/>
      <c r="D75" s="161"/>
      <c r="E75" s="163"/>
      <c r="F75" s="163"/>
      <c r="G75" s="164"/>
      <c r="K75" s="137"/>
      <c r="L75" s="135"/>
      <c r="M75" s="126"/>
      <c r="N75" s="133"/>
      <c r="O75" s="136"/>
      <c r="AD75" s="9"/>
      <c r="AE75" s="9"/>
      <c r="AF75" s="9"/>
      <c r="AG75" s="9"/>
      <c r="AH75" s="9"/>
      <c r="AI75" s="9"/>
      <c r="AJ75" s="9"/>
      <c r="AK75" s="9"/>
      <c r="AL75" s="9"/>
      <c r="AM75" s="9"/>
      <c r="AN75" s="9"/>
      <c r="AO75" s="9"/>
      <c r="AP75" s="9"/>
      <c r="AQ75" s="9"/>
      <c r="AR75" s="9"/>
      <c r="AS75" s="9"/>
      <c r="AT75" s="9"/>
      <c r="AU75" s="9"/>
      <c r="AV75" s="9"/>
      <c r="AW75" s="9"/>
      <c r="AX75" s="9"/>
      <c r="AY75" s="9"/>
      <c r="AZ75" s="9"/>
      <c r="BA75" s="9"/>
      <c r="BB75" s="9"/>
      <c r="BC75" s="9"/>
      <c r="BD75" s="9"/>
      <c r="BE75" s="9"/>
      <c r="BF75" s="9"/>
      <c r="BG75" s="9"/>
      <c r="BH75" s="9"/>
      <c r="BI75" s="9"/>
      <c r="BJ75" s="9"/>
      <c r="BK75" s="9"/>
      <c r="BL75" s="9"/>
      <c r="BM75" s="9"/>
      <c r="BN75" s="9"/>
      <c r="BO75" s="9"/>
      <c r="BP75" s="9"/>
    </row>
    <row r="76" spans="1:68">
      <c r="A76" s="165"/>
      <c r="B76" s="143"/>
      <c r="C76" s="166"/>
      <c r="D76" s="161"/>
      <c r="E76" s="157"/>
      <c r="F76" s="163"/>
      <c r="G76" s="164"/>
      <c r="AD76" s="9"/>
      <c r="AE76" s="9"/>
      <c r="AF76" s="9"/>
      <c r="AG76" s="9"/>
      <c r="AH76" s="9"/>
      <c r="AI76" s="9"/>
      <c r="AJ76" s="9"/>
      <c r="AK76" s="9"/>
      <c r="AL76" s="9"/>
      <c r="AM76" s="9"/>
      <c r="AN76" s="9"/>
      <c r="AO76" s="9"/>
      <c r="AP76" s="9"/>
      <c r="AQ76" s="9"/>
      <c r="AR76" s="9"/>
      <c r="AS76" s="9"/>
      <c r="AT76" s="9"/>
      <c r="AU76" s="9"/>
      <c r="AV76" s="9"/>
      <c r="AW76" s="9"/>
      <c r="AX76" s="9"/>
      <c r="AY76" s="9"/>
      <c r="AZ76" s="9"/>
      <c r="BA76" s="9"/>
      <c r="BB76" s="9"/>
      <c r="BC76" s="9"/>
      <c r="BD76" s="9"/>
      <c r="BE76" s="9"/>
      <c r="BF76" s="9"/>
      <c r="BG76" s="9"/>
      <c r="BH76" s="9"/>
      <c r="BI76" s="9"/>
      <c r="BJ76" s="9"/>
      <c r="BK76" s="9"/>
      <c r="BL76" s="9"/>
      <c r="BM76" s="9"/>
      <c r="BN76" s="9"/>
      <c r="BO76" s="9"/>
      <c r="BP76" s="9"/>
    </row>
    <row r="77" spans="1:68">
      <c r="A77" s="165"/>
      <c r="B77" s="143"/>
      <c r="C77" s="166"/>
      <c r="D77" s="161"/>
      <c r="E77" s="163"/>
      <c r="F77" s="163"/>
      <c r="G77" s="164"/>
      <c r="AD77" s="9"/>
      <c r="AE77" s="9"/>
      <c r="AF77" s="9"/>
      <c r="AG77" s="9"/>
      <c r="AH77" s="9"/>
      <c r="AI77" s="9"/>
      <c r="AJ77" s="9"/>
      <c r="AK77" s="9"/>
      <c r="AL77" s="9"/>
      <c r="AM77" s="9"/>
      <c r="AN77" s="9"/>
      <c r="AO77" s="9"/>
      <c r="AP77" s="9"/>
      <c r="AQ77" s="9"/>
      <c r="AR77" s="9"/>
      <c r="AS77" s="9"/>
      <c r="AT77" s="9"/>
      <c r="AU77" s="9"/>
      <c r="AV77" s="9"/>
      <c r="AW77" s="9"/>
      <c r="AX77" s="9"/>
      <c r="AY77" s="9"/>
      <c r="AZ77" s="9"/>
      <c r="BA77" s="9"/>
      <c r="BB77" s="9"/>
      <c r="BC77" s="9"/>
      <c r="BD77" s="9"/>
      <c r="BE77" s="9"/>
      <c r="BF77" s="9"/>
      <c r="BG77" s="9"/>
      <c r="BH77" s="9"/>
      <c r="BI77" s="9"/>
      <c r="BJ77" s="9"/>
      <c r="BK77" s="9"/>
      <c r="BL77" s="9"/>
      <c r="BM77" s="9"/>
      <c r="BN77" s="9"/>
      <c r="BO77" s="9"/>
      <c r="BP77" s="9"/>
    </row>
    <row r="78" spans="1:68">
      <c r="A78" s="165"/>
      <c r="B78" s="143"/>
      <c r="C78" s="166"/>
      <c r="D78" s="161"/>
      <c r="E78" s="163"/>
      <c r="F78" s="163"/>
      <c r="G78" s="164"/>
      <c r="AD78" s="9"/>
      <c r="AE78" s="9"/>
      <c r="AF78" s="9"/>
      <c r="AG78" s="9"/>
      <c r="AH78" s="9"/>
      <c r="AI78" s="9"/>
      <c r="AJ78" s="9"/>
      <c r="AK78" s="9"/>
      <c r="AL78" s="9"/>
      <c r="AM78" s="9"/>
      <c r="AN78" s="9"/>
      <c r="AO78" s="9"/>
      <c r="AP78" s="9"/>
      <c r="AQ78" s="9"/>
      <c r="AR78" s="9"/>
      <c r="AS78" s="9"/>
      <c r="AT78" s="9"/>
      <c r="AU78" s="9"/>
      <c r="AV78" s="9"/>
      <c r="AW78" s="9"/>
      <c r="AX78" s="9"/>
      <c r="AY78" s="9"/>
      <c r="AZ78" s="9"/>
      <c r="BA78" s="9"/>
      <c r="BB78" s="9"/>
      <c r="BC78" s="9"/>
      <c r="BD78" s="9"/>
      <c r="BE78" s="9"/>
      <c r="BF78" s="9"/>
      <c r="BG78" s="9"/>
      <c r="BH78" s="9"/>
      <c r="BI78" s="9"/>
      <c r="BJ78" s="9"/>
      <c r="BK78" s="9"/>
      <c r="BL78" s="9"/>
      <c r="BM78" s="9"/>
      <c r="BN78" s="9"/>
      <c r="BO78" s="9"/>
      <c r="BP78" s="9"/>
    </row>
    <row r="79" spans="1:68">
      <c r="A79" s="165"/>
      <c r="B79" s="143"/>
      <c r="C79" s="166"/>
      <c r="D79" s="161"/>
      <c r="E79" s="163"/>
      <c r="F79" s="163"/>
      <c r="G79" s="164"/>
      <c r="AD79" s="9"/>
      <c r="AE79" s="9"/>
      <c r="AF79" s="9"/>
      <c r="AG79" s="9"/>
      <c r="AH79" s="9"/>
      <c r="AI79" s="9"/>
      <c r="AJ79" s="9"/>
      <c r="AK79" s="9"/>
      <c r="AL79" s="9"/>
      <c r="AM79" s="9"/>
      <c r="AN79" s="9"/>
      <c r="AO79" s="9"/>
      <c r="AP79" s="9"/>
      <c r="AQ79" s="9"/>
      <c r="AR79" s="9"/>
      <c r="AS79" s="9"/>
      <c r="AT79" s="9"/>
      <c r="AU79" s="9"/>
      <c r="AV79" s="9"/>
      <c r="AW79" s="9"/>
      <c r="AX79" s="9"/>
      <c r="AY79" s="9"/>
      <c r="AZ79" s="9"/>
      <c r="BA79" s="9"/>
      <c r="BB79" s="9"/>
      <c r="BC79" s="9"/>
      <c r="BD79" s="9"/>
      <c r="BE79" s="9"/>
      <c r="BF79" s="9"/>
      <c r="BG79" s="9"/>
      <c r="BH79" s="9"/>
      <c r="BI79" s="9"/>
      <c r="BJ79" s="9"/>
      <c r="BK79" s="9"/>
      <c r="BL79" s="9"/>
      <c r="BM79" s="9"/>
      <c r="BN79" s="9"/>
      <c r="BO79" s="9"/>
      <c r="BP79" s="9"/>
    </row>
    <row r="80" spans="1:68">
      <c r="A80" s="165"/>
      <c r="B80" s="143"/>
      <c r="C80" s="166"/>
      <c r="D80" s="161"/>
      <c r="E80" s="163"/>
      <c r="F80" s="163"/>
      <c r="G80" s="164"/>
      <c r="AD80" s="9"/>
      <c r="AE80" s="9"/>
      <c r="AF80" s="9"/>
      <c r="AG80" s="9"/>
      <c r="AH80" s="9"/>
      <c r="AI80" s="9"/>
      <c r="AJ80" s="9"/>
      <c r="AK80" s="9"/>
      <c r="AL80" s="9"/>
      <c r="AM80" s="9"/>
      <c r="AN80" s="9"/>
      <c r="AO80" s="9"/>
      <c r="AP80" s="9"/>
      <c r="AQ80" s="9"/>
      <c r="AR80" s="9"/>
      <c r="AS80" s="9"/>
      <c r="AT80" s="9"/>
      <c r="AU80" s="9"/>
      <c r="AV80" s="9"/>
      <c r="AW80" s="9"/>
      <c r="AX80" s="9"/>
      <c r="AY80" s="9"/>
      <c r="AZ80" s="9"/>
      <c r="BA80" s="9"/>
      <c r="BB80" s="9"/>
      <c r="BC80" s="9"/>
      <c r="BD80" s="9"/>
      <c r="BE80" s="9"/>
      <c r="BF80" s="9"/>
      <c r="BG80" s="9"/>
      <c r="BH80" s="9"/>
      <c r="BI80" s="9"/>
      <c r="BJ80" s="9"/>
      <c r="BK80" s="9"/>
      <c r="BL80" s="9"/>
      <c r="BM80" s="9"/>
      <c r="BN80" s="9"/>
      <c r="BO80" s="9"/>
      <c r="BP80" s="9"/>
    </row>
    <row r="81" spans="1:68">
      <c r="A81" s="165"/>
      <c r="B81" s="143"/>
      <c r="C81" s="166"/>
      <c r="D81" s="161"/>
      <c r="E81" s="163"/>
      <c r="F81" s="163"/>
      <c r="G81" s="164"/>
      <c r="AD81" s="9"/>
      <c r="AE81" s="9"/>
      <c r="AF81" s="9"/>
      <c r="AG81" s="9"/>
      <c r="AH81" s="9"/>
      <c r="AI81" s="9"/>
      <c r="AJ81" s="9"/>
      <c r="AK81" s="9"/>
      <c r="AL81" s="9"/>
      <c r="AM81" s="9"/>
      <c r="AN81" s="9"/>
      <c r="AO81" s="9"/>
      <c r="AP81" s="9"/>
      <c r="AQ81" s="9"/>
      <c r="AR81" s="9"/>
      <c r="AS81" s="9"/>
      <c r="AT81" s="9"/>
      <c r="AU81" s="9"/>
      <c r="AV81" s="9"/>
      <c r="AW81" s="9"/>
      <c r="AX81" s="9"/>
      <c r="AY81" s="9"/>
      <c r="AZ81" s="9"/>
      <c r="BA81" s="9"/>
      <c r="BB81" s="9"/>
      <c r="BC81" s="9"/>
      <c r="BD81" s="9"/>
      <c r="BE81" s="9"/>
      <c r="BF81" s="9"/>
      <c r="BG81" s="9"/>
      <c r="BH81" s="9"/>
      <c r="BI81" s="9"/>
      <c r="BJ81" s="9"/>
      <c r="BK81" s="9"/>
      <c r="BL81" s="9"/>
      <c r="BM81" s="9"/>
      <c r="BN81" s="9"/>
      <c r="BO81" s="9"/>
      <c r="BP81" s="9"/>
    </row>
    <row r="82" spans="1:68">
      <c r="A82" s="165"/>
      <c r="B82" s="143"/>
      <c r="C82" s="166"/>
      <c r="D82" s="161"/>
      <c r="E82" s="163"/>
      <c r="F82" s="163"/>
      <c r="G82" s="164"/>
      <c r="AD82" s="9"/>
      <c r="AE82" s="9"/>
      <c r="AF82" s="9"/>
      <c r="AG82" s="9"/>
      <c r="AH82" s="9"/>
      <c r="AI82" s="9"/>
      <c r="AJ82" s="9"/>
      <c r="AK82" s="9"/>
      <c r="AL82" s="9"/>
      <c r="AM82" s="9"/>
      <c r="AN82" s="9"/>
      <c r="AO82" s="9"/>
      <c r="AP82" s="9"/>
      <c r="AQ82" s="9"/>
      <c r="AR82" s="9"/>
      <c r="AS82" s="9"/>
      <c r="AT82" s="9"/>
      <c r="AU82" s="9"/>
      <c r="AV82" s="9"/>
      <c r="AW82" s="9"/>
      <c r="AX82" s="9"/>
      <c r="AY82" s="9"/>
      <c r="AZ82" s="9"/>
      <c r="BA82" s="9"/>
      <c r="BB82" s="9"/>
      <c r="BC82" s="9"/>
      <c r="BD82" s="9"/>
      <c r="BE82" s="9"/>
      <c r="BF82" s="9"/>
      <c r="BG82" s="9"/>
      <c r="BH82" s="9"/>
      <c r="BI82" s="9"/>
      <c r="BJ82" s="9"/>
      <c r="BK82" s="9"/>
      <c r="BL82" s="9"/>
      <c r="BM82" s="9"/>
      <c r="BN82" s="9"/>
      <c r="BO82" s="9"/>
      <c r="BP82" s="9"/>
    </row>
    <row r="83" spans="1:68">
      <c r="A83" s="165"/>
      <c r="B83" s="143"/>
      <c r="C83" s="166"/>
      <c r="D83" s="161"/>
      <c r="E83" s="163"/>
      <c r="F83" s="163"/>
      <c r="G83" s="164"/>
      <c r="AD83" s="9"/>
      <c r="AE83" s="9"/>
      <c r="AF83" s="9"/>
      <c r="AG83" s="9"/>
      <c r="AH83" s="9"/>
      <c r="AI83" s="9"/>
      <c r="AJ83" s="9"/>
      <c r="AK83" s="9"/>
      <c r="AL83" s="9"/>
      <c r="AM83" s="9"/>
      <c r="AN83" s="9"/>
      <c r="AO83" s="9"/>
      <c r="AP83" s="9"/>
      <c r="AQ83" s="9"/>
      <c r="AR83" s="9"/>
      <c r="AS83" s="9"/>
      <c r="AT83" s="9"/>
      <c r="AU83" s="9"/>
      <c r="AV83" s="9"/>
      <c r="AW83" s="9"/>
      <c r="AX83" s="9"/>
      <c r="AY83" s="9"/>
      <c r="AZ83" s="9"/>
      <c r="BA83" s="9"/>
      <c r="BB83" s="9"/>
      <c r="BC83" s="9"/>
      <c r="BD83" s="9"/>
      <c r="BE83" s="9"/>
      <c r="BF83" s="9"/>
      <c r="BG83" s="9"/>
      <c r="BH83" s="9"/>
      <c r="BI83" s="9"/>
      <c r="BJ83" s="9"/>
      <c r="BK83" s="9"/>
      <c r="BL83" s="9"/>
      <c r="BM83" s="9"/>
      <c r="BN83" s="9"/>
      <c r="BO83" s="9"/>
      <c r="BP83" s="9"/>
    </row>
    <row r="84" spans="1:68">
      <c r="A84" s="165"/>
      <c r="B84" s="143"/>
      <c r="C84" s="166"/>
      <c r="D84" s="161"/>
      <c r="E84" s="163"/>
      <c r="F84" s="163"/>
      <c r="G84" s="164"/>
      <c r="AD84" s="9"/>
      <c r="AE84" s="9"/>
      <c r="AF84" s="9"/>
      <c r="AG84" s="9"/>
      <c r="AH84" s="9"/>
      <c r="AI84" s="9"/>
      <c r="AJ84" s="9"/>
      <c r="AK84" s="9"/>
      <c r="AL84" s="9"/>
      <c r="AM84" s="9"/>
      <c r="AN84" s="9"/>
      <c r="AO84" s="9"/>
      <c r="AP84" s="9"/>
      <c r="AQ84" s="9"/>
      <c r="AR84" s="9"/>
      <c r="AS84" s="9"/>
      <c r="AT84" s="9"/>
      <c r="AU84" s="9"/>
      <c r="AV84" s="9"/>
      <c r="AW84" s="9"/>
      <c r="AX84" s="9"/>
      <c r="AY84" s="9"/>
      <c r="AZ84" s="9"/>
      <c r="BA84" s="9"/>
      <c r="BB84" s="9"/>
      <c r="BC84" s="9"/>
      <c r="BD84" s="9"/>
      <c r="BE84" s="9"/>
      <c r="BF84" s="9"/>
      <c r="BG84" s="9"/>
      <c r="BH84" s="9"/>
      <c r="BI84" s="9"/>
      <c r="BJ84" s="9"/>
      <c r="BK84" s="9"/>
      <c r="BL84" s="9"/>
      <c r="BM84" s="9"/>
      <c r="BN84" s="9"/>
      <c r="BO84" s="9"/>
      <c r="BP84" s="9"/>
    </row>
    <row r="85" spans="1:68">
      <c r="A85" s="165"/>
      <c r="B85" s="143"/>
      <c r="C85" s="166"/>
      <c r="D85" s="161"/>
      <c r="E85" s="163"/>
      <c r="F85" s="163"/>
      <c r="G85" s="164"/>
      <c r="AD85" s="9"/>
      <c r="AE85" s="9"/>
      <c r="AF85" s="9"/>
      <c r="AG85" s="9"/>
      <c r="AH85" s="9"/>
      <c r="AI85" s="9"/>
      <c r="AJ85" s="9"/>
      <c r="AK85" s="9"/>
      <c r="AL85" s="9"/>
      <c r="AM85" s="9"/>
      <c r="AN85" s="9"/>
      <c r="AO85" s="9"/>
      <c r="AP85" s="9"/>
      <c r="AQ85" s="9"/>
      <c r="AR85" s="9"/>
      <c r="AS85" s="9"/>
      <c r="AT85" s="9"/>
      <c r="AU85" s="9"/>
      <c r="AV85" s="9"/>
      <c r="AW85" s="9"/>
      <c r="AX85" s="9"/>
      <c r="AY85" s="9"/>
      <c r="AZ85" s="9"/>
      <c r="BA85" s="9"/>
      <c r="BB85" s="9"/>
      <c r="BC85" s="9"/>
      <c r="BD85" s="9"/>
      <c r="BE85" s="9"/>
      <c r="BF85" s="9"/>
      <c r="BG85" s="9"/>
      <c r="BH85" s="9"/>
      <c r="BI85" s="9"/>
      <c r="BJ85" s="9"/>
      <c r="BK85" s="9"/>
      <c r="BL85" s="9"/>
      <c r="BM85" s="9"/>
      <c r="BN85" s="9"/>
      <c r="BO85" s="9"/>
      <c r="BP85" s="9"/>
    </row>
    <row r="86" spans="1:68">
      <c r="A86" s="165"/>
      <c r="B86" s="143"/>
      <c r="C86" s="160"/>
      <c r="D86" s="161"/>
      <c r="E86" s="163"/>
      <c r="F86" s="163"/>
      <c r="G86" s="164"/>
      <c r="AD86" s="9"/>
      <c r="AE86" s="9"/>
      <c r="AF86" s="9"/>
      <c r="AG86" s="9"/>
      <c r="AH86" s="9"/>
      <c r="AI86" s="9"/>
      <c r="AJ86" s="9"/>
      <c r="AK86" s="9"/>
      <c r="AL86" s="9"/>
      <c r="AM86" s="9"/>
      <c r="AN86" s="9"/>
      <c r="AO86" s="9"/>
      <c r="AP86" s="9"/>
      <c r="AQ86" s="9"/>
      <c r="AR86" s="9"/>
      <c r="AS86" s="9"/>
      <c r="AT86" s="9"/>
      <c r="AU86" s="9"/>
      <c r="AV86" s="9"/>
      <c r="AW86" s="9"/>
      <c r="AX86" s="9"/>
      <c r="AY86" s="9"/>
      <c r="AZ86" s="9"/>
      <c r="BA86" s="9"/>
      <c r="BB86" s="9"/>
      <c r="BC86" s="9"/>
      <c r="BD86" s="9"/>
      <c r="BE86" s="9"/>
      <c r="BF86" s="9"/>
      <c r="BG86" s="9"/>
      <c r="BH86" s="9"/>
      <c r="BI86" s="9"/>
      <c r="BJ86" s="9"/>
      <c r="BK86" s="9"/>
      <c r="BL86" s="9"/>
      <c r="BM86" s="9"/>
      <c r="BN86" s="9"/>
      <c r="BO86" s="9"/>
      <c r="BP86" s="9"/>
    </row>
    <row r="87" spans="1:68">
      <c r="A87" s="165"/>
      <c r="B87" s="143"/>
      <c r="C87" s="166"/>
      <c r="D87" s="161"/>
      <c r="E87" s="163"/>
      <c r="F87" s="163"/>
      <c r="G87" s="164"/>
      <c r="AD87" s="9"/>
      <c r="AE87" s="9"/>
      <c r="AF87" s="9"/>
      <c r="AG87" s="9"/>
      <c r="AH87" s="9"/>
      <c r="AI87" s="9"/>
      <c r="AJ87" s="9"/>
      <c r="AK87" s="9"/>
      <c r="AL87" s="9"/>
      <c r="AM87" s="9"/>
      <c r="AN87" s="9"/>
      <c r="AO87" s="9"/>
      <c r="AP87" s="9"/>
      <c r="AQ87" s="9"/>
      <c r="AR87" s="9"/>
      <c r="AS87" s="9"/>
      <c r="AT87" s="9"/>
      <c r="AU87" s="9"/>
      <c r="AV87" s="9"/>
      <c r="AW87" s="9"/>
      <c r="AX87" s="9"/>
      <c r="AY87" s="9"/>
      <c r="AZ87" s="9"/>
      <c r="BA87" s="9"/>
      <c r="BB87" s="9"/>
      <c r="BC87" s="9"/>
      <c r="BD87" s="9"/>
      <c r="BE87" s="9"/>
      <c r="BF87" s="9"/>
      <c r="BG87" s="9"/>
      <c r="BH87" s="9"/>
      <c r="BI87" s="9"/>
      <c r="BJ87" s="9"/>
      <c r="BK87" s="9"/>
      <c r="BL87" s="9"/>
      <c r="BM87" s="9"/>
      <c r="BN87" s="9"/>
      <c r="BO87" s="9"/>
      <c r="BP87" s="9"/>
    </row>
    <row r="88" spans="1:68">
      <c r="A88" s="165"/>
      <c r="B88" s="143"/>
      <c r="C88" s="166"/>
      <c r="D88" s="161"/>
      <c r="E88" s="163"/>
      <c r="F88" s="163"/>
      <c r="G88" s="164"/>
      <c r="AD88" s="9"/>
      <c r="AE88" s="9"/>
      <c r="AF88" s="9"/>
      <c r="AG88" s="9"/>
      <c r="AH88" s="9"/>
      <c r="AI88" s="9"/>
      <c r="AJ88" s="9"/>
      <c r="AK88" s="9"/>
      <c r="AL88" s="9"/>
      <c r="AM88" s="9"/>
      <c r="AN88" s="9"/>
      <c r="AO88" s="9"/>
      <c r="AP88" s="9"/>
      <c r="AQ88" s="9"/>
      <c r="AR88" s="9"/>
      <c r="AS88" s="9"/>
      <c r="AT88" s="9"/>
      <c r="AU88" s="9"/>
      <c r="AV88" s="9"/>
      <c r="AW88" s="9"/>
      <c r="AX88" s="9"/>
      <c r="AY88" s="9"/>
      <c r="AZ88" s="9"/>
      <c r="BA88" s="9"/>
      <c r="BB88" s="9"/>
      <c r="BC88" s="9"/>
      <c r="BD88" s="9"/>
      <c r="BE88" s="9"/>
      <c r="BF88" s="9"/>
      <c r="BG88" s="9"/>
      <c r="BH88" s="9"/>
      <c r="BI88" s="9"/>
      <c r="BJ88" s="9"/>
      <c r="BK88" s="9"/>
      <c r="BL88" s="9"/>
      <c r="BM88" s="9"/>
      <c r="BN88" s="9"/>
      <c r="BO88" s="9"/>
      <c r="BP88" s="9"/>
    </row>
    <row r="89" spans="1:68">
      <c r="A89" s="165"/>
      <c r="B89" s="143"/>
      <c r="C89" s="166"/>
      <c r="D89" s="161"/>
      <c r="E89" s="157"/>
      <c r="F89" s="163"/>
      <c r="G89" s="164"/>
      <c r="AD89" s="9"/>
      <c r="AE89" s="9"/>
      <c r="AF89" s="9"/>
      <c r="AG89" s="9"/>
      <c r="AH89" s="9"/>
      <c r="AI89" s="9"/>
      <c r="AJ89" s="9"/>
      <c r="AK89" s="9"/>
      <c r="AL89" s="9"/>
      <c r="AM89" s="9"/>
      <c r="AN89" s="9"/>
      <c r="AO89" s="9"/>
      <c r="AP89" s="9"/>
      <c r="AQ89" s="9"/>
      <c r="AR89" s="9"/>
      <c r="AS89" s="9"/>
      <c r="AT89" s="9"/>
      <c r="AU89" s="9"/>
      <c r="AV89" s="9"/>
      <c r="AW89" s="9"/>
      <c r="AX89" s="9"/>
      <c r="AY89" s="9"/>
      <c r="AZ89" s="9"/>
      <c r="BA89" s="9"/>
      <c r="BB89" s="9"/>
      <c r="BC89" s="9"/>
      <c r="BD89" s="9"/>
      <c r="BE89" s="9"/>
      <c r="BF89" s="9"/>
      <c r="BG89" s="9"/>
      <c r="BH89" s="9"/>
      <c r="BI89" s="9"/>
      <c r="BJ89" s="9"/>
      <c r="BK89" s="9"/>
      <c r="BL89" s="9"/>
      <c r="BM89" s="9"/>
      <c r="BN89" s="9"/>
      <c r="BO89" s="9"/>
      <c r="BP89" s="9"/>
    </row>
    <row r="90" spans="1:68">
      <c r="A90" s="165"/>
      <c r="B90" s="143"/>
      <c r="C90" s="166"/>
      <c r="D90" s="161"/>
      <c r="E90" s="163"/>
      <c r="F90" s="163"/>
      <c r="G90" s="164"/>
      <c r="AD90" s="9"/>
      <c r="AE90" s="9"/>
      <c r="AF90" s="9"/>
      <c r="AG90" s="9"/>
      <c r="AH90" s="9"/>
      <c r="AI90" s="9"/>
      <c r="AJ90" s="9"/>
      <c r="AK90" s="9"/>
      <c r="AL90" s="9"/>
      <c r="AM90" s="9"/>
      <c r="AN90" s="9"/>
      <c r="AO90" s="9"/>
      <c r="AP90" s="9"/>
      <c r="AQ90" s="9"/>
      <c r="AR90" s="9"/>
      <c r="AS90" s="9"/>
      <c r="AT90" s="9"/>
      <c r="AU90" s="9"/>
      <c r="AV90" s="9"/>
      <c r="AW90" s="9"/>
      <c r="AX90" s="9"/>
      <c r="AY90" s="9"/>
      <c r="AZ90" s="9"/>
      <c r="BA90" s="9"/>
      <c r="BB90" s="9"/>
      <c r="BC90" s="9"/>
      <c r="BD90" s="9"/>
      <c r="BE90" s="9"/>
      <c r="BF90" s="9"/>
      <c r="BG90" s="9"/>
      <c r="BH90" s="9"/>
      <c r="BI90" s="9"/>
      <c r="BJ90" s="9"/>
      <c r="BK90" s="9"/>
      <c r="BL90" s="9"/>
      <c r="BM90" s="9"/>
      <c r="BN90" s="9"/>
      <c r="BO90" s="9"/>
      <c r="BP90" s="9"/>
    </row>
    <row r="91" spans="1:68">
      <c r="A91" s="165"/>
      <c r="B91" s="143"/>
      <c r="AD91" s="9"/>
      <c r="AE91" s="9"/>
      <c r="AF91" s="9"/>
      <c r="AG91" s="9"/>
      <c r="AH91" s="9"/>
      <c r="AI91" s="9"/>
      <c r="AJ91" s="9"/>
      <c r="AK91" s="9"/>
      <c r="AL91" s="9"/>
      <c r="AM91" s="9"/>
      <c r="AN91" s="9"/>
      <c r="AO91" s="9"/>
      <c r="AP91" s="9"/>
      <c r="AQ91" s="9"/>
      <c r="AR91" s="9"/>
      <c r="AS91" s="9"/>
      <c r="AT91" s="9"/>
      <c r="AU91" s="9"/>
      <c r="AV91" s="9"/>
      <c r="AW91" s="9"/>
      <c r="AX91" s="9"/>
      <c r="AY91" s="9"/>
      <c r="AZ91" s="9"/>
      <c r="BA91" s="9"/>
      <c r="BB91" s="9"/>
      <c r="BC91" s="9"/>
      <c r="BD91" s="9"/>
      <c r="BE91" s="9"/>
      <c r="BF91" s="9"/>
      <c r="BG91" s="9"/>
      <c r="BH91" s="9"/>
      <c r="BI91" s="9"/>
      <c r="BJ91" s="9"/>
      <c r="BK91" s="9"/>
      <c r="BL91" s="9"/>
      <c r="BM91" s="9"/>
      <c r="BN91" s="9"/>
      <c r="BO91" s="9"/>
      <c r="BP91" s="9"/>
    </row>
    <row r="92" spans="1:68">
      <c r="AD92" s="9"/>
      <c r="AE92" s="9"/>
      <c r="AF92" s="9"/>
      <c r="AG92" s="9"/>
      <c r="AH92" s="9"/>
      <c r="AI92" s="9"/>
      <c r="AJ92" s="9"/>
      <c r="AK92" s="9"/>
      <c r="AL92" s="9"/>
      <c r="AM92" s="9"/>
      <c r="AN92" s="9"/>
      <c r="AO92" s="9"/>
      <c r="AP92" s="9"/>
      <c r="AQ92" s="9"/>
      <c r="AR92" s="9"/>
      <c r="AS92" s="9"/>
      <c r="AT92" s="9"/>
      <c r="AU92" s="9"/>
      <c r="AV92" s="9"/>
      <c r="AW92" s="9"/>
      <c r="AX92" s="9"/>
      <c r="AY92" s="9"/>
      <c r="AZ92" s="9"/>
      <c r="BA92" s="9"/>
      <c r="BB92" s="9"/>
      <c r="BC92" s="9"/>
      <c r="BD92" s="9"/>
      <c r="BE92" s="9"/>
      <c r="BF92" s="9"/>
      <c r="BG92" s="9"/>
      <c r="BH92" s="9"/>
      <c r="BI92" s="9"/>
      <c r="BJ92" s="9"/>
      <c r="BK92" s="9"/>
      <c r="BL92" s="9"/>
      <c r="BM92" s="9"/>
      <c r="BN92" s="9"/>
      <c r="BO92" s="9"/>
      <c r="BP92" s="9"/>
    </row>
    <row r="93" spans="1:68">
      <c r="A93" s="824"/>
      <c r="B93" s="824"/>
      <c r="C93" s="155"/>
      <c r="D93" s="155"/>
      <c r="E93" s="157"/>
      <c r="F93" s="157"/>
      <c r="G93" s="157"/>
      <c r="AD93" s="9"/>
      <c r="AE93" s="9"/>
      <c r="AF93" s="9"/>
      <c r="AG93" s="9"/>
      <c r="AH93" s="9"/>
      <c r="AI93" s="9"/>
      <c r="AJ93" s="9"/>
      <c r="AK93" s="9"/>
      <c r="AL93" s="9"/>
      <c r="AM93" s="9"/>
      <c r="AN93" s="9"/>
      <c r="AO93" s="9"/>
      <c r="AP93" s="9"/>
      <c r="AQ93" s="9"/>
      <c r="AR93" s="9"/>
      <c r="AS93" s="9"/>
      <c r="AT93" s="9"/>
      <c r="AU93" s="9"/>
      <c r="AV93" s="9"/>
      <c r="AW93" s="9"/>
      <c r="AX93" s="9"/>
      <c r="AY93" s="9"/>
      <c r="AZ93" s="9"/>
      <c r="BA93" s="9"/>
      <c r="BB93" s="9"/>
      <c r="BC93" s="9"/>
      <c r="BD93" s="9"/>
      <c r="BE93" s="9"/>
      <c r="BF93" s="9"/>
      <c r="BG93" s="9"/>
      <c r="BH93" s="9"/>
      <c r="BI93" s="9"/>
      <c r="BJ93" s="9"/>
      <c r="BK93" s="9"/>
      <c r="BL93" s="9"/>
      <c r="BM93" s="9"/>
      <c r="BN93" s="9"/>
      <c r="BO93" s="9"/>
      <c r="BP93" s="9"/>
    </row>
    <row r="94" spans="1:68">
      <c r="A94" s="824"/>
      <c r="B94" s="824"/>
      <c r="C94" s="155"/>
      <c r="D94" s="155"/>
      <c r="E94" s="157"/>
      <c r="F94" s="157"/>
      <c r="G94" s="826"/>
      <c r="AD94" s="9"/>
      <c r="AE94" s="9"/>
      <c r="AF94" s="9"/>
      <c r="AG94" s="9"/>
      <c r="AH94" s="9"/>
      <c r="AI94" s="9"/>
      <c r="AJ94" s="9"/>
      <c r="AK94" s="9"/>
      <c r="AL94" s="9"/>
      <c r="AM94" s="9"/>
      <c r="AN94" s="9"/>
      <c r="AO94" s="9"/>
      <c r="AP94" s="9"/>
      <c r="AQ94" s="9"/>
      <c r="AR94" s="9"/>
      <c r="AS94" s="9"/>
      <c r="AT94" s="9"/>
      <c r="AU94" s="9"/>
      <c r="AV94" s="9"/>
      <c r="AW94" s="9"/>
      <c r="AX94" s="9"/>
      <c r="AY94" s="9"/>
      <c r="AZ94" s="9"/>
      <c r="BA94" s="9"/>
      <c r="BB94" s="9"/>
      <c r="BC94" s="9"/>
      <c r="BD94" s="9"/>
      <c r="BE94" s="9"/>
      <c r="BF94" s="9"/>
      <c r="BG94" s="9"/>
      <c r="BH94" s="9"/>
      <c r="BI94" s="9"/>
      <c r="BJ94" s="9"/>
      <c r="BK94" s="9"/>
      <c r="BL94" s="9"/>
      <c r="BM94" s="9"/>
      <c r="BN94" s="9"/>
      <c r="BO94" s="9"/>
      <c r="BP94" s="9"/>
    </row>
    <row r="95" spans="1:68">
      <c r="A95" s="824"/>
      <c r="B95" s="824"/>
      <c r="C95" s="157"/>
      <c r="D95" s="157"/>
      <c r="E95" s="163"/>
      <c r="F95" s="157"/>
      <c r="G95" s="826"/>
      <c r="AD95" s="9"/>
      <c r="AE95" s="9"/>
      <c r="AF95" s="9"/>
      <c r="AG95" s="9"/>
      <c r="AH95" s="9"/>
      <c r="AI95" s="9"/>
      <c r="AJ95" s="9"/>
      <c r="AK95" s="9"/>
      <c r="AL95" s="9"/>
      <c r="AM95" s="9"/>
      <c r="AN95" s="9"/>
      <c r="AO95" s="9"/>
      <c r="AP95" s="9"/>
      <c r="AQ95" s="9"/>
      <c r="AR95" s="9"/>
      <c r="AS95" s="9"/>
      <c r="AT95" s="9"/>
      <c r="AU95" s="9"/>
      <c r="AV95" s="9"/>
      <c r="AW95" s="9"/>
      <c r="AX95" s="9"/>
      <c r="AY95" s="9"/>
      <c r="AZ95" s="9"/>
      <c r="BA95" s="9"/>
      <c r="BB95" s="9"/>
      <c r="BC95" s="9"/>
      <c r="BD95" s="9"/>
      <c r="BE95" s="9"/>
      <c r="BF95" s="9"/>
      <c r="BG95" s="9"/>
      <c r="BH95" s="9"/>
      <c r="BI95" s="9"/>
      <c r="BJ95" s="9"/>
      <c r="BK95" s="9"/>
      <c r="BL95" s="9"/>
      <c r="BM95" s="9"/>
      <c r="BN95" s="9"/>
      <c r="BO95" s="9"/>
      <c r="BP95" s="9"/>
    </row>
    <row r="96" spans="1:68">
      <c r="A96" s="824"/>
      <c r="B96" s="824"/>
      <c r="C96" s="160"/>
      <c r="D96" s="161"/>
      <c r="E96" s="163"/>
      <c r="F96" s="163"/>
      <c r="G96" s="164"/>
      <c r="AD96" s="9"/>
      <c r="AE96" s="9"/>
      <c r="AF96" s="9"/>
      <c r="AG96" s="9"/>
      <c r="AH96" s="9"/>
      <c r="AI96" s="9"/>
      <c r="AJ96" s="9"/>
      <c r="AK96" s="9"/>
      <c r="AL96" s="9"/>
      <c r="AM96" s="9"/>
      <c r="AN96" s="9"/>
      <c r="AO96" s="9"/>
      <c r="AP96" s="9"/>
      <c r="AQ96" s="9"/>
      <c r="AR96" s="9"/>
      <c r="AS96" s="9"/>
      <c r="AT96" s="9"/>
      <c r="AU96" s="9"/>
      <c r="AV96" s="9"/>
      <c r="AW96" s="9"/>
      <c r="AX96" s="9"/>
      <c r="AY96" s="9"/>
      <c r="AZ96" s="9"/>
      <c r="BA96" s="9"/>
      <c r="BB96" s="9"/>
      <c r="BC96" s="9"/>
      <c r="BD96" s="9"/>
      <c r="BE96" s="9"/>
      <c r="BF96" s="9"/>
      <c r="BG96" s="9"/>
      <c r="BH96" s="9"/>
      <c r="BI96" s="9"/>
      <c r="BJ96" s="9"/>
      <c r="BK96" s="9"/>
      <c r="BL96" s="9"/>
      <c r="BM96" s="9"/>
      <c r="BN96" s="9"/>
      <c r="BO96" s="9"/>
      <c r="BP96" s="9"/>
    </row>
    <row r="97" spans="1:68">
      <c r="A97" s="824"/>
      <c r="B97" s="824"/>
      <c r="C97" s="166"/>
      <c r="D97" s="161"/>
      <c r="E97" s="163"/>
      <c r="F97" s="163"/>
      <c r="G97" s="164"/>
      <c r="AD97" s="9"/>
      <c r="AE97" s="9"/>
      <c r="AF97" s="9"/>
      <c r="AG97" s="9"/>
      <c r="AH97" s="9"/>
      <c r="AI97" s="9"/>
      <c r="AJ97" s="9"/>
      <c r="AK97" s="9"/>
      <c r="AL97" s="9"/>
      <c r="AM97" s="9"/>
      <c r="AN97" s="9"/>
      <c r="AO97" s="9"/>
      <c r="AP97" s="9"/>
      <c r="AQ97" s="9"/>
      <c r="AR97" s="9"/>
      <c r="AS97" s="9"/>
      <c r="AT97" s="9"/>
      <c r="AU97" s="9"/>
      <c r="AV97" s="9"/>
      <c r="AW97" s="9"/>
      <c r="AX97" s="9"/>
      <c r="AY97" s="9"/>
      <c r="AZ97" s="9"/>
      <c r="BA97" s="9"/>
      <c r="BB97" s="9"/>
      <c r="BC97" s="9"/>
      <c r="BD97" s="9"/>
      <c r="BE97" s="9"/>
      <c r="BF97" s="9"/>
      <c r="BG97" s="9"/>
      <c r="BH97" s="9"/>
      <c r="BI97" s="9"/>
      <c r="BJ97" s="9"/>
      <c r="BK97" s="9"/>
      <c r="BL97" s="9"/>
      <c r="BM97" s="9"/>
      <c r="BN97" s="9"/>
      <c r="BO97" s="9"/>
      <c r="BP97" s="9"/>
    </row>
    <row r="98" spans="1:68">
      <c r="A98" s="824"/>
      <c r="B98" s="824"/>
      <c r="C98" s="166"/>
      <c r="D98" s="161"/>
      <c r="E98" s="157"/>
      <c r="F98" s="163"/>
      <c r="G98" s="164"/>
      <c r="AD98" s="9"/>
      <c r="AE98" s="9"/>
      <c r="AF98" s="9"/>
      <c r="AG98" s="9"/>
      <c r="AH98" s="9"/>
      <c r="AI98" s="9"/>
      <c r="AJ98" s="9"/>
      <c r="AK98" s="9"/>
      <c r="AL98" s="9"/>
      <c r="AM98" s="9"/>
      <c r="AN98" s="9"/>
      <c r="AO98" s="9"/>
      <c r="AP98" s="9"/>
      <c r="AQ98" s="9"/>
      <c r="AR98" s="9"/>
      <c r="AS98" s="9"/>
      <c r="AT98" s="9"/>
      <c r="AU98" s="9"/>
      <c r="AV98" s="9"/>
      <c r="AW98" s="9"/>
      <c r="AX98" s="9"/>
      <c r="AY98" s="9"/>
      <c r="AZ98" s="9"/>
      <c r="BA98" s="9"/>
      <c r="BB98" s="9"/>
      <c r="BC98" s="9"/>
      <c r="BD98" s="9"/>
      <c r="BE98" s="9"/>
      <c r="BF98" s="9"/>
      <c r="BG98" s="9"/>
      <c r="BH98" s="9"/>
      <c r="BI98" s="9"/>
      <c r="BJ98" s="9"/>
      <c r="BK98" s="9"/>
      <c r="BL98" s="9"/>
      <c r="BM98" s="9"/>
      <c r="BN98" s="9"/>
      <c r="BO98" s="9"/>
      <c r="BP98" s="9"/>
    </row>
    <row r="99" spans="1:68">
      <c r="A99" s="824"/>
      <c r="B99" s="824"/>
      <c r="C99" s="155"/>
      <c r="D99" s="161"/>
      <c r="E99" s="163"/>
      <c r="F99" s="163"/>
      <c r="G99" s="164"/>
      <c r="AD99" s="9"/>
      <c r="AE99" s="9"/>
      <c r="AF99" s="9"/>
      <c r="AG99" s="9"/>
      <c r="AH99" s="9"/>
      <c r="AI99" s="9"/>
      <c r="AJ99" s="9"/>
      <c r="AK99" s="9"/>
      <c r="AL99" s="9"/>
      <c r="AM99" s="9"/>
      <c r="AN99" s="9"/>
      <c r="AO99" s="9"/>
      <c r="AP99" s="9"/>
      <c r="AQ99" s="9"/>
      <c r="AR99" s="9"/>
      <c r="AS99" s="9"/>
      <c r="AT99" s="9"/>
      <c r="AU99" s="9"/>
      <c r="AV99" s="9"/>
      <c r="AW99" s="9"/>
      <c r="AX99" s="9"/>
      <c r="AY99" s="9"/>
      <c r="AZ99" s="9"/>
      <c r="BA99" s="9"/>
      <c r="BB99" s="9"/>
      <c r="BC99" s="9"/>
      <c r="BD99" s="9"/>
      <c r="BE99" s="9"/>
      <c r="BF99" s="9"/>
      <c r="BG99" s="9"/>
      <c r="BH99" s="9"/>
      <c r="BI99" s="9"/>
      <c r="BJ99" s="9"/>
      <c r="BK99" s="9"/>
      <c r="BL99" s="9"/>
      <c r="BM99" s="9"/>
      <c r="BN99" s="9"/>
      <c r="BO99" s="9"/>
      <c r="BP99" s="9"/>
    </row>
    <row r="100" spans="1:68">
      <c r="A100" s="824"/>
      <c r="B100" s="824"/>
      <c r="C100" s="166"/>
      <c r="D100" s="161"/>
      <c r="E100" s="157"/>
      <c r="F100" s="163"/>
      <c r="G100" s="164"/>
      <c r="AD100" s="9"/>
      <c r="AE100" s="9"/>
      <c r="AF100" s="9"/>
      <c r="AG100" s="9"/>
      <c r="AH100" s="9"/>
      <c r="AI100" s="9"/>
      <c r="AJ100" s="9"/>
      <c r="AK100" s="9"/>
      <c r="AL100" s="9"/>
      <c r="AM100" s="9"/>
      <c r="AN100" s="9"/>
      <c r="AO100" s="9"/>
      <c r="AP100" s="9"/>
      <c r="AQ100" s="9"/>
      <c r="AR100" s="9"/>
      <c r="AS100" s="9"/>
      <c r="AT100" s="9"/>
      <c r="AU100" s="9"/>
      <c r="AV100" s="9"/>
      <c r="AW100" s="9"/>
      <c r="AX100" s="9"/>
      <c r="AY100" s="9"/>
      <c r="AZ100" s="9"/>
      <c r="BA100" s="9"/>
      <c r="BB100" s="9"/>
      <c r="BC100" s="9"/>
      <c r="BD100" s="9"/>
      <c r="BE100" s="9"/>
      <c r="BF100" s="9"/>
      <c r="BG100" s="9"/>
      <c r="BH100" s="9"/>
      <c r="BI100" s="9"/>
      <c r="BJ100" s="9"/>
      <c r="BK100" s="9"/>
      <c r="BL100" s="9"/>
      <c r="BM100" s="9"/>
      <c r="BN100" s="9"/>
      <c r="BO100" s="9"/>
      <c r="BP100" s="9"/>
    </row>
    <row r="101" spans="1:68">
      <c r="A101" s="824"/>
      <c r="B101" s="824"/>
      <c r="C101" s="166"/>
      <c r="D101" s="161"/>
      <c r="E101" s="163"/>
      <c r="F101" s="163"/>
      <c r="G101" s="164"/>
      <c r="AD101" s="9"/>
      <c r="AE101" s="9"/>
      <c r="AF101" s="9"/>
      <c r="AG101" s="9"/>
      <c r="AH101" s="9"/>
      <c r="AI101" s="9"/>
      <c r="AJ101" s="9"/>
      <c r="AK101" s="9"/>
      <c r="AL101" s="9"/>
      <c r="AM101" s="9"/>
      <c r="AN101" s="9"/>
      <c r="AO101" s="9"/>
      <c r="AP101" s="9"/>
      <c r="AQ101" s="9"/>
      <c r="AR101" s="9"/>
      <c r="AS101" s="9"/>
      <c r="AT101" s="9"/>
      <c r="AU101" s="9"/>
      <c r="AV101" s="9"/>
      <c r="AW101" s="9"/>
      <c r="AX101" s="9"/>
      <c r="AY101" s="9"/>
      <c r="AZ101" s="9"/>
      <c r="BA101" s="9"/>
      <c r="BB101" s="9"/>
      <c r="BC101" s="9"/>
      <c r="BD101" s="9"/>
      <c r="BE101" s="9"/>
      <c r="BF101" s="9"/>
      <c r="BG101" s="9"/>
      <c r="BH101" s="9"/>
      <c r="BI101" s="9"/>
      <c r="BJ101" s="9"/>
      <c r="BK101" s="9"/>
      <c r="BL101" s="9"/>
      <c r="BM101" s="9"/>
      <c r="BN101" s="9"/>
      <c r="BO101" s="9"/>
      <c r="BP101" s="9"/>
    </row>
    <row r="102" spans="1:68">
      <c r="A102" s="824"/>
      <c r="B102" s="824"/>
      <c r="C102" s="166"/>
      <c r="D102" s="161"/>
      <c r="E102" s="163"/>
      <c r="F102" s="163"/>
      <c r="G102" s="164"/>
      <c r="AD102" s="9"/>
      <c r="AE102" s="9"/>
      <c r="AF102" s="9"/>
      <c r="AG102" s="9"/>
      <c r="AH102" s="9"/>
      <c r="AI102" s="9"/>
      <c r="AJ102" s="9"/>
      <c r="AK102" s="9"/>
      <c r="AL102" s="9"/>
      <c r="AM102" s="9"/>
      <c r="AN102" s="9"/>
      <c r="AO102" s="9"/>
      <c r="AP102" s="9"/>
      <c r="AQ102" s="9"/>
      <c r="AR102" s="9"/>
      <c r="AS102" s="9"/>
      <c r="AT102" s="9"/>
      <c r="AU102" s="9"/>
      <c r="AV102" s="9"/>
      <c r="AW102" s="9"/>
      <c r="AX102" s="9"/>
      <c r="AY102" s="9"/>
      <c r="AZ102" s="9"/>
      <c r="BA102" s="9"/>
      <c r="BB102" s="9"/>
      <c r="BC102" s="9"/>
      <c r="BD102" s="9"/>
      <c r="BE102" s="9"/>
      <c r="BF102" s="9"/>
      <c r="BG102" s="9"/>
      <c r="BH102" s="9"/>
      <c r="BI102" s="9"/>
      <c r="BJ102" s="9"/>
      <c r="BK102" s="9"/>
      <c r="BL102" s="9"/>
      <c r="BM102" s="9"/>
      <c r="BN102" s="9"/>
      <c r="BO102" s="9"/>
      <c r="BP102" s="9"/>
    </row>
    <row r="103" spans="1:68">
      <c r="A103" s="824"/>
      <c r="B103" s="824"/>
      <c r="C103" s="166"/>
      <c r="D103" s="161"/>
      <c r="E103" s="163"/>
      <c r="F103" s="163"/>
      <c r="G103" s="164"/>
      <c r="AD103" s="9"/>
      <c r="AE103" s="9"/>
      <c r="AF103" s="9"/>
      <c r="AG103" s="9"/>
      <c r="AH103" s="9"/>
      <c r="AI103" s="9"/>
      <c r="AJ103" s="9"/>
      <c r="AK103" s="9"/>
      <c r="AL103" s="9"/>
      <c r="AM103" s="9"/>
      <c r="AN103" s="9"/>
      <c r="AO103" s="9"/>
      <c r="AP103" s="9"/>
      <c r="AQ103" s="9"/>
      <c r="AR103" s="9"/>
      <c r="AS103" s="9"/>
      <c r="AT103" s="9"/>
      <c r="AU103" s="9"/>
      <c r="AV103" s="9"/>
      <c r="AW103" s="9"/>
      <c r="AX103" s="9"/>
      <c r="AY103" s="9"/>
      <c r="AZ103" s="9"/>
      <c r="BA103" s="9"/>
      <c r="BB103" s="9"/>
      <c r="BC103" s="9"/>
      <c r="BD103" s="9"/>
      <c r="BE103" s="9"/>
      <c r="BF103" s="9"/>
      <c r="BG103" s="9"/>
      <c r="BH103" s="9"/>
      <c r="BI103" s="9"/>
      <c r="BJ103" s="9"/>
      <c r="BK103" s="9"/>
      <c r="BL103" s="9"/>
      <c r="BM103" s="9"/>
      <c r="BN103" s="9"/>
      <c r="BO103" s="9"/>
      <c r="BP103" s="9"/>
    </row>
    <row r="104" spans="1:68">
      <c r="A104" s="824"/>
      <c r="B104" s="824"/>
      <c r="C104" s="166"/>
      <c r="D104" s="161"/>
      <c r="E104" s="163"/>
      <c r="F104" s="163"/>
      <c r="G104" s="164"/>
      <c r="AD104" s="9"/>
      <c r="AE104" s="9"/>
      <c r="AF104" s="9"/>
      <c r="AG104" s="9"/>
      <c r="AH104" s="9"/>
      <c r="AI104" s="9"/>
      <c r="AJ104" s="9"/>
      <c r="AK104" s="9"/>
      <c r="AL104" s="9"/>
      <c r="AM104" s="9"/>
      <c r="AN104" s="9"/>
      <c r="AO104" s="9"/>
      <c r="AP104" s="9"/>
      <c r="AQ104" s="9"/>
      <c r="AR104" s="9"/>
      <c r="AS104" s="9"/>
      <c r="AT104" s="9"/>
      <c r="AU104" s="9"/>
      <c r="AV104" s="9"/>
      <c r="AW104" s="9"/>
      <c r="AX104" s="9"/>
      <c r="AY104" s="9"/>
      <c r="AZ104" s="9"/>
      <c r="BA104" s="9"/>
      <c r="BB104" s="9"/>
      <c r="BC104" s="9"/>
      <c r="BD104" s="9"/>
      <c r="BE104" s="9"/>
      <c r="BF104" s="9"/>
      <c r="BG104" s="9"/>
      <c r="BH104" s="9"/>
      <c r="BI104" s="9"/>
      <c r="BJ104" s="9"/>
      <c r="BK104" s="9"/>
      <c r="BL104" s="9"/>
      <c r="BM104" s="9"/>
      <c r="BN104" s="9"/>
      <c r="BO104" s="9"/>
      <c r="BP104" s="9"/>
    </row>
    <row r="105" spans="1:68">
      <c r="A105" s="824"/>
      <c r="B105" s="824"/>
      <c r="C105" s="166"/>
      <c r="D105" s="161"/>
      <c r="E105" s="163"/>
      <c r="F105" s="163"/>
      <c r="G105" s="164"/>
      <c r="AD105" s="9"/>
      <c r="AE105" s="9"/>
      <c r="AF105" s="9"/>
      <c r="AG105" s="9"/>
      <c r="AH105" s="9"/>
      <c r="AI105" s="9"/>
      <c r="AJ105" s="9"/>
      <c r="AK105" s="9"/>
      <c r="AL105" s="9"/>
      <c r="AM105" s="9"/>
      <c r="AN105" s="9"/>
      <c r="AO105" s="9"/>
      <c r="AP105" s="9"/>
      <c r="AQ105" s="9"/>
      <c r="AR105" s="9"/>
      <c r="AS105" s="9"/>
      <c r="AT105" s="9"/>
      <c r="AU105" s="9"/>
      <c r="AV105" s="9"/>
      <c r="AW105" s="9"/>
      <c r="AX105" s="9"/>
      <c r="AY105" s="9"/>
      <c r="AZ105" s="9"/>
      <c r="BA105" s="9"/>
      <c r="BB105" s="9"/>
      <c r="BC105" s="9"/>
      <c r="BD105" s="9"/>
      <c r="BE105" s="9"/>
      <c r="BF105" s="9"/>
      <c r="BG105" s="9"/>
      <c r="BH105" s="9"/>
      <c r="BI105" s="9"/>
      <c r="BJ105" s="9"/>
      <c r="BK105" s="9"/>
      <c r="BL105" s="9"/>
      <c r="BM105" s="9"/>
      <c r="BN105" s="9"/>
      <c r="BO105" s="9"/>
      <c r="BP105" s="9"/>
    </row>
    <row r="106" spans="1:68">
      <c r="A106" s="824"/>
      <c r="B106" s="824"/>
      <c r="C106" s="166"/>
      <c r="D106" s="161"/>
      <c r="E106" s="163"/>
      <c r="F106" s="163"/>
      <c r="G106" s="164"/>
      <c r="AD106" s="9"/>
      <c r="AE106" s="9"/>
      <c r="AF106" s="9"/>
      <c r="AG106" s="9"/>
      <c r="AH106" s="9"/>
      <c r="AI106" s="9"/>
      <c r="AJ106" s="9"/>
      <c r="AK106" s="9"/>
      <c r="AL106" s="9"/>
      <c r="AM106" s="9"/>
      <c r="AN106" s="9"/>
      <c r="AO106" s="9"/>
      <c r="AP106" s="9"/>
      <c r="AQ106" s="9"/>
      <c r="AR106" s="9"/>
      <c r="AS106" s="9"/>
      <c r="AT106" s="9"/>
      <c r="AU106" s="9"/>
      <c r="AV106" s="9"/>
      <c r="AW106" s="9"/>
      <c r="AX106" s="9"/>
      <c r="AY106" s="9"/>
      <c r="AZ106" s="9"/>
      <c r="BA106" s="9"/>
      <c r="BB106" s="9"/>
      <c r="BC106" s="9"/>
      <c r="BD106" s="9"/>
      <c r="BE106" s="9"/>
      <c r="BF106" s="9"/>
      <c r="BG106" s="9"/>
      <c r="BH106" s="9"/>
      <c r="BI106" s="9"/>
      <c r="BJ106" s="9"/>
      <c r="BK106" s="9"/>
      <c r="BL106" s="9"/>
      <c r="BM106" s="9"/>
      <c r="BN106" s="9"/>
      <c r="BO106" s="9"/>
      <c r="BP106" s="9"/>
    </row>
    <row r="107" spans="1:68">
      <c r="A107" s="824"/>
      <c r="B107" s="824"/>
      <c r="C107" s="166"/>
      <c r="D107" s="161"/>
      <c r="E107" s="163"/>
      <c r="F107" s="163"/>
      <c r="G107" s="164"/>
      <c r="AD107" s="9"/>
      <c r="AE107" s="9"/>
      <c r="AF107" s="9"/>
      <c r="AG107" s="9"/>
      <c r="AH107" s="9"/>
      <c r="AI107" s="9"/>
      <c r="AJ107" s="9"/>
      <c r="AK107" s="9"/>
      <c r="AL107" s="9"/>
      <c r="AM107" s="9"/>
      <c r="AN107" s="9"/>
      <c r="AO107" s="9"/>
      <c r="AP107" s="9"/>
      <c r="AQ107" s="9"/>
      <c r="AR107" s="9"/>
      <c r="AS107" s="9"/>
      <c r="AT107" s="9"/>
      <c r="AU107" s="9"/>
      <c r="AV107" s="9"/>
      <c r="AW107" s="9"/>
      <c r="AX107" s="9"/>
      <c r="AY107" s="9"/>
      <c r="AZ107" s="9"/>
      <c r="BA107" s="9"/>
      <c r="BB107" s="9"/>
      <c r="BC107" s="9"/>
      <c r="BD107" s="9"/>
      <c r="BE107" s="9"/>
      <c r="BF107" s="9"/>
      <c r="BG107" s="9"/>
      <c r="BH107" s="9"/>
      <c r="BI107" s="9"/>
      <c r="BJ107" s="9"/>
      <c r="BK107" s="9"/>
      <c r="BL107" s="9"/>
      <c r="BM107" s="9"/>
      <c r="BN107" s="9"/>
      <c r="BO107" s="9"/>
      <c r="BP107" s="9"/>
    </row>
    <row r="108" spans="1:68">
      <c r="A108" s="824"/>
      <c r="B108" s="824"/>
      <c r="C108" s="166"/>
      <c r="D108" s="161"/>
      <c r="E108" s="163"/>
      <c r="F108" s="163"/>
      <c r="G108" s="164"/>
      <c r="AD108" s="9"/>
      <c r="AE108" s="9"/>
      <c r="AF108" s="9"/>
      <c r="AG108" s="9"/>
      <c r="AH108" s="9"/>
      <c r="AI108" s="9"/>
      <c r="AJ108" s="9"/>
      <c r="AK108" s="9"/>
      <c r="AL108" s="9"/>
      <c r="AM108" s="9"/>
      <c r="AN108" s="9"/>
      <c r="AO108" s="9"/>
      <c r="AP108" s="9"/>
      <c r="AQ108" s="9"/>
      <c r="AR108" s="9"/>
      <c r="AS108" s="9"/>
      <c r="AT108" s="9"/>
      <c r="AU108" s="9"/>
      <c r="AV108" s="9"/>
      <c r="AW108" s="9"/>
      <c r="AX108" s="9"/>
      <c r="AY108" s="9"/>
      <c r="AZ108" s="9"/>
      <c r="BA108" s="9"/>
      <c r="BB108" s="9"/>
      <c r="BC108" s="9"/>
      <c r="BD108" s="9"/>
      <c r="BE108" s="9"/>
      <c r="BF108" s="9"/>
      <c r="BG108" s="9"/>
      <c r="BH108" s="9"/>
      <c r="BI108" s="9"/>
      <c r="BJ108" s="9"/>
      <c r="BK108" s="9"/>
      <c r="BL108" s="9"/>
      <c r="BM108" s="9"/>
      <c r="BN108" s="9"/>
      <c r="BO108" s="9"/>
      <c r="BP108" s="9"/>
    </row>
    <row r="109" spans="1:68">
      <c r="A109" s="824"/>
      <c r="B109" s="824"/>
      <c r="C109" s="166"/>
      <c r="D109" s="168"/>
      <c r="E109" s="163"/>
      <c r="F109" s="163"/>
      <c r="G109" s="164"/>
      <c r="AD109" s="9"/>
      <c r="AE109" s="9"/>
      <c r="AF109" s="9"/>
      <c r="AG109" s="9"/>
      <c r="AH109" s="9"/>
      <c r="AI109" s="9"/>
      <c r="AJ109" s="9"/>
      <c r="AK109" s="9"/>
      <c r="AL109" s="9"/>
      <c r="AM109" s="9"/>
      <c r="AN109" s="9"/>
      <c r="AO109" s="9"/>
      <c r="AP109" s="9"/>
      <c r="AQ109" s="9"/>
      <c r="AR109" s="9"/>
      <c r="AS109" s="9"/>
      <c r="AT109" s="9"/>
      <c r="AU109" s="9"/>
      <c r="AV109" s="9"/>
      <c r="AW109" s="9"/>
      <c r="AX109" s="9"/>
      <c r="AY109" s="9"/>
      <c r="AZ109" s="9"/>
      <c r="BA109" s="9"/>
      <c r="BB109" s="9"/>
      <c r="BC109" s="9"/>
      <c r="BD109" s="9"/>
      <c r="BE109" s="9"/>
      <c r="BF109" s="9"/>
      <c r="BG109" s="9"/>
      <c r="BH109" s="9"/>
      <c r="BI109" s="9"/>
      <c r="BJ109" s="9"/>
      <c r="BK109" s="9"/>
      <c r="BL109" s="9"/>
      <c r="BM109" s="9"/>
      <c r="BN109" s="9"/>
      <c r="BO109" s="9"/>
      <c r="BP109" s="9"/>
    </row>
    <row r="110" spans="1:68">
      <c r="A110" s="824"/>
      <c r="B110" s="824"/>
      <c r="C110" s="166"/>
      <c r="D110" s="161"/>
      <c r="E110" s="163"/>
      <c r="F110" s="163"/>
      <c r="G110" s="164"/>
      <c r="AD110" s="9"/>
      <c r="AE110" s="9"/>
      <c r="AF110" s="9"/>
      <c r="AG110" s="9"/>
      <c r="AH110" s="9"/>
      <c r="AI110" s="9"/>
      <c r="AJ110" s="9"/>
      <c r="AK110" s="9"/>
      <c r="AL110" s="9"/>
      <c r="AM110" s="9"/>
      <c r="AN110" s="9"/>
      <c r="AO110" s="9"/>
      <c r="AP110" s="9"/>
      <c r="AQ110" s="9"/>
      <c r="AR110" s="9"/>
      <c r="AS110" s="9"/>
      <c r="AT110" s="9"/>
      <c r="AU110" s="9"/>
      <c r="AV110" s="9"/>
      <c r="AW110" s="9"/>
      <c r="AX110" s="9"/>
      <c r="AY110" s="9"/>
      <c r="AZ110" s="9"/>
      <c r="BA110" s="9"/>
      <c r="BB110" s="9"/>
      <c r="BC110" s="9"/>
      <c r="BD110" s="9"/>
      <c r="BE110" s="9"/>
      <c r="BF110" s="9"/>
      <c r="BG110" s="9"/>
      <c r="BH110" s="9"/>
      <c r="BI110" s="9"/>
      <c r="BJ110" s="9"/>
      <c r="BK110" s="9"/>
      <c r="BL110" s="9"/>
      <c r="BM110" s="9"/>
      <c r="BN110" s="9"/>
      <c r="BO110" s="9"/>
      <c r="BP110" s="9"/>
    </row>
    <row r="111" spans="1:68">
      <c r="A111" s="824"/>
      <c r="B111" s="824"/>
      <c r="C111" s="160"/>
      <c r="D111" s="161"/>
      <c r="E111" s="163"/>
      <c r="F111" s="163"/>
      <c r="G111" s="164"/>
      <c r="AD111" s="9"/>
      <c r="AE111" s="9"/>
      <c r="AF111" s="9"/>
      <c r="AG111" s="9"/>
      <c r="AH111" s="9"/>
      <c r="AI111" s="9"/>
      <c r="AJ111" s="9"/>
      <c r="AK111" s="9"/>
      <c r="AL111" s="9"/>
      <c r="AM111" s="9"/>
      <c r="AN111" s="9"/>
      <c r="AO111" s="9"/>
      <c r="AP111" s="9"/>
      <c r="AQ111" s="9"/>
      <c r="AR111" s="9"/>
      <c r="AS111" s="9"/>
      <c r="AT111" s="9"/>
      <c r="AU111" s="9"/>
      <c r="AV111" s="9"/>
      <c r="AW111" s="9"/>
      <c r="AX111" s="9"/>
      <c r="AY111" s="9"/>
      <c r="AZ111" s="9"/>
      <c r="BA111" s="9"/>
      <c r="BB111" s="9"/>
      <c r="BC111" s="9"/>
      <c r="BD111" s="9"/>
      <c r="BE111" s="9"/>
      <c r="BF111" s="9"/>
      <c r="BG111" s="9"/>
      <c r="BH111" s="9"/>
      <c r="BI111" s="9"/>
      <c r="BJ111" s="9"/>
      <c r="BK111" s="9"/>
      <c r="BL111" s="9"/>
      <c r="BM111" s="9"/>
      <c r="BN111" s="9"/>
      <c r="BO111" s="9"/>
      <c r="BP111" s="9"/>
    </row>
    <row r="112" spans="1:68">
      <c r="C112" s="166"/>
      <c r="D112" s="161"/>
      <c r="E112" s="163"/>
      <c r="F112" s="163"/>
      <c r="G112" s="164"/>
      <c r="AD112" s="9"/>
      <c r="AE112" s="9"/>
      <c r="AF112" s="9"/>
      <c r="AG112" s="9"/>
      <c r="AH112" s="9"/>
      <c r="AI112" s="9"/>
      <c r="AJ112" s="9"/>
      <c r="AK112" s="9"/>
      <c r="AL112" s="9"/>
      <c r="AM112" s="9"/>
      <c r="AN112" s="9"/>
      <c r="AO112" s="9"/>
      <c r="AP112" s="9"/>
      <c r="AQ112" s="9"/>
      <c r="AR112" s="9"/>
      <c r="AS112" s="9"/>
      <c r="AT112" s="9"/>
      <c r="AU112" s="9"/>
      <c r="AV112" s="9"/>
      <c r="AW112" s="9"/>
      <c r="AX112" s="9"/>
      <c r="AY112" s="9"/>
      <c r="AZ112" s="9"/>
      <c r="BA112" s="9"/>
      <c r="BB112" s="9"/>
      <c r="BC112" s="9"/>
      <c r="BD112" s="9"/>
      <c r="BE112" s="9"/>
      <c r="BF112" s="9"/>
      <c r="BG112" s="9"/>
      <c r="BH112" s="9"/>
      <c r="BI112" s="9"/>
      <c r="BJ112" s="9"/>
      <c r="BK112" s="9"/>
      <c r="BL112" s="9"/>
      <c r="BM112" s="9"/>
      <c r="BN112" s="9"/>
      <c r="BO112" s="9"/>
      <c r="BP112" s="9"/>
    </row>
    <row r="113" spans="1:68">
      <c r="C113" s="166"/>
      <c r="D113" s="161"/>
      <c r="E113" s="157"/>
      <c r="F113" s="163"/>
      <c r="G113" s="164"/>
      <c r="AD113" s="9"/>
      <c r="AE113" s="9"/>
      <c r="AF113" s="9"/>
      <c r="AG113" s="9"/>
      <c r="AH113" s="9"/>
      <c r="AI113" s="9"/>
      <c r="AJ113" s="9"/>
      <c r="AK113" s="9"/>
      <c r="AL113" s="9"/>
      <c r="AM113" s="9"/>
      <c r="AN113" s="9"/>
      <c r="AO113" s="9"/>
      <c r="AP113" s="9"/>
      <c r="AQ113" s="9"/>
      <c r="AR113" s="9"/>
      <c r="AS113" s="9"/>
      <c r="AT113" s="9"/>
      <c r="AU113" s="9"/>
      <c r="AV113" s="9"/>
      <c r="AW113" s="9"/>
      <c r="AX113" s="9"/>
      <c r="AY113" s="9"/>
      <c r="AZ113" s="9"/>
      <c r="BA113" s="9"/>
      <c r="BB113" s="9"/>
      <c r="BC113" s="9"/>
      <c r="BD113" s="9"/>
      <c r="BE113" s="9"/>
      <c r="BF113" s="9"/>
      <c r="BG113" s="9"/>
      <c r="BH113" s="9"/>
      <c r="BI113" s="9"/>
      <c r="BJ113" s="9"/>
      <c r="BK113" s="9"/>
      <c r="BL113" s="9"/>
      <c r="BM113" s="9"/>
      <c r="BN113" s="9"/>
      <c r="BO113" s="9"/>
      <c r="BP113" s="9"/>
    </row>
    <row r="114" spans="1:68">
      <c r="C114" s="166"/>
      <c r="D114" s="168"/>
      <c r="E114" s="163"/>
      <c r="F114" s="163"/>
      <c r="G114" s="164"/>
      <c r="AD114" s="9"/>
      <c r="AE114" s="9"/>
      <c r="AF114" s="9"/>
      <c r="AG114" s="9"/>
      <c r="AH114" s="9"/>
      <c r="AI114" s="9"/>
      <c r="AJ114" s="9"/>
      <c r="AK114" s="9"/>
      <c r="AL114" s="9"/>
      <c r="AM114" s="9"/>
      <c r="AN114" s="9"/>
      <c r="AO114" s="9"/>
      <c r="AP114" s="9"/>
      <c r="AQ114" s="9"/>
      <c r="AR114" s="9"/>
      <c r="AS114" s="9"/>
      <c r="AT114" s="9"/>
      <c r="AU114" s="9"/>
      <c r="AV114" s="9"/>
      <c r="AW114" s="9"/>
      <c r="AX114" s="9"/>
      <c r="AY114" s="9"/>
      <c r="AZ114" s="9"/>
      <c r="BA114" s="9"/>
      <c r="BB114" s="9"/>
      <c r="BC114" s="9"/>
      <c r="BD114" s="9"/>
      <c r="BE114" s="9"/>
      <c r="BF114" s="9"/>
      <c r="BG114" s="9"/>
      <c r="BH114" s="9"/>
      <c r="BI114" s="9"/>
      <c r="BJ114" s="9"/>
      <c r="BK114" s="9"/>
      <c r="BL114" s="9"/>
      <c r="BM114" s="9"/>
      <c r="BN114" s="9"/>
      <c r="BO114" s="9"/>
      <c r="BP114" s="9"/>
    </row>
    <row r="115" spans="1:68">
      <c r="C115" s="166"/>
      <c r="D115" s="161"/>
      <c r="E115" s="157"/>
      <c r="F115" s="163"/>
      <c r="G115" s="164"/>
      <c r="AD115" s="9"/>
      <c r="AE115" s="9"/>
      <c r="AF115" s="9"/>
      <c r="AG115" s="9"/>
      <c r="AH115" s="9"/>
      <c r="AI115" s="9"/>
      <c r="AJ115" s="9"/>
      <c r="AK115" s="9"/>
      <c r="AL115" s="9"/>
      <c r="AM115" s="9"/>
      <c r="AN115" s="9"/>
      <c r="AO115" s="9"/>
      <c r="AP115" s="9"/>
      <c r="AQ115" s="9"/>
      <c r="AR115" s="9"/>
      <c r="AS115" s="9"/>
      <c r="AT115" s="9"/>
      <c r="AU115" s="9"/>
      <c r="AV115" s="9"/>
      <c r="AW115" s="9"/>
      <c r="AX115" s="9"/>
      <c r="AY115" s="9"/>
      <c r="AZ115" s="9"/>
      <c r="BA115" s="9"/>
      <c r="BB115" s="9"/>
      <c r="BC115" s="9"/>
      <c r="BD115" s="9"/>
      <c r="BE115" s="9"/>
      <c r="BF115" s="9"/>
      <c r="BG115" s="9"/>
      <c r="BH115" s="9"/>
      <c r="BI115" s="9"/>
      <c r="BJ115" s="9"/>
      <c r="BK115" s="9"/>
      <c r="BL115" s="9"/>
      <c r="BM115" s="9"/>
      <c r="BN115" s="9"/>
      <c r="BO115" s="9"/>
      <c r="BP115" s="9"/>
    </row>
    <row r="116" spans="1:68">
      <c r="AD116" s="9"/>
      <c r="AE116" s="9"/>
      <c r="AF116" s="9"/>
      <c r="AG116" s="9"/>
      <c r="AH116" s="9"/>
      <c r="AI116" s="9"/>
      <c r="AJ116" s="9"/>
      <c r="AK116" s="9"/>
      <c r="AL116" s="9"/>
      <c r="AM116" s="9"/>
      <c r="AN116" s="9"/>
      <c r="AO116" s="9"/>
      <c r="AP116" s="9"/>
      <c r="AQ116" s="9"/>
      <c r="AR116" s="9"/>
      <c r="AS116" s="9"/>
      <c r="AT116" s="9"/>
      <c r="AU116" s="9"/>
      <c r="AV116" s="9"/>
      <c r="AW116" s="9"/>
      <c r="AX116" s="9"/>
      <c r="AY116" s="9"/>
      <c r="AZ116" s="9"/>
      <c r="BA116" s="9"/>
      <c r="BB116" s="9"/>
      <c r="BC116" s="9"/>
      <c r="BD116" s="9"/>
      <c r="BE116" s="9"/>
      <c r="BF116" s="9"/>
      <c r="BG116" s="9"/>
      <c r="BH116" s="9"/>
      <c r="BI116" s="9"/>
      <c r="BJ116" s="9"/>
      <c r="BK116" s="9"/>
      <c r="BL116" s="9"/>
      <c r="BM116" s="9"/>
      <c r="BN116" s="9"/>
      <c r="BO116" s="9"/>
      <c r="BP116" s="9"/>
    </row>
    <row r="117" spans="1:68">
      <c r="AD117" s="9"/>
      <c r="AE117" s="9"/>
      <c r="AF117" s="9"/>
      <c r="AG117" s="9"/>
      <c r="AH117" s="9"/>
      <c r="AI117" s="9"/>
      <c r="AJ117" s="9"/>
      <c r="AK117" s="9"/>
      <c r="AL117" s="9"/>
      <c r="AM117" s="9"/>
      <c r="AN117" s="9"/>
      <c r="AO117" s="9"/>
      <c r="AP117" s="9"/>
      <c r="AQ117" s="9"/>
      <c r="AR117" s="9"/>
      <c r="AS117" s="9"/>
      <c r="AT117" s="9"/>
      <c r="AU117" s="9"/>
      <c r="AV117" s="9"/>
      <c r="AW117" s="9"/>
      <c r="AX117" s="9"/>
      <c r="AY117" s="9"/>
      <c r="AZ117" s="9"/>
      <c r="BA117" s="9"/>
      <c r="BB117" s="9"/>
      <c r="BC117" s="9"/>
      <c r="BD117" s="9"/>
      <c r="BE117" s="9"/>
      <c r="BF117" s="9"/>
      <c r="BG117" s="9"/>
      <c r="BH117" s="9"/>
      <c r="BI117" s="9"/>
      <c r="BJ117" s="9"/>
      <c r="BK117" s="9"/>
      <c r="BL117" s="9"/>
      <c r="BM117" s="9"/>
      <c r="BN117" s="9"/>
      <c r="BO117" s="9"/>
      <c r="BP117" s="9"/>
    </row>
    <row r="118" spans="1:68">
      <c r="A118" s="824"/>
      <c r="B118" s="824"/>
      <c r="C118" s="155"/>
      <c r="D118" s="155"/>
      <c r="E118" s="157"/>
      <c r="F118" s="157"/>
      <c r="G118" s="157"/>
      <c r="AD118" s="9"/>
      <c r="AE118" s="9"/>
      <c r="AF118" s="9"/>
      <c r="AG118" s="9"/>
      <c r="AH118" s="9"/>
      <c r="AI118" s="9"/>
      <c r="AJ118" s="9"/>
      <c r="AK118" s="9"/>
      <c r="AL118" s="9"/>
      <c r="AM118" s="9"/>
      <c r="AN118" s="9"/>
      <c r="AO118" s="9"/>
      <c r="AP118" s="9"/>
      <c r="AQ118" s="9"/>
      <c r="AR118" s="9"/>
      <c r="AS118" s="9"/>
      <c r="AT118" s="9"/>
      <c r="AU118" s="9"/>
      <c r="AV118" s="9"/>
      <c r="AW118" s="9"/>
      <c r="AX118" s="9"/>
      <c r="AY118" s="9"/>
      <c r="AZ118" s="9"/>
      <c r="BA118" s="9"/>
      <c r="BB118" s="9"/>
      <c r="BC118" s="9"/>
      <c r="BD118" s="9"/>
      <c r="BE118" s="9"/>
      <c r="BF118" s="9"/>
      <c r="BG118" s="9"/>
      <c r="BH118" s="9"/>
      <c r="BI118" s="9"/>
      <c r="BJ118" s="9"/>
      <c r="BK118" s="9"/>
      <c r="BL118" s="9"/>
      <c r="BM118" s="9"/>
      <c r="BN118" s="9"/>
      <c r="BO118" s="9"/>
      <c r="BP118" s="9"/>
    </row>
    <row r="119" spans="1:68">
      <c r="A119" s="824"/>
      <c r="B119" s="824"/>
      <c r="C119" s="155"/>
      <c r="D119" s="155"/>
      <c r="E119" s="157"/>
      <c r="F119" s="157"/>
      <c r="G119" s="826"/>
      <c r="AD119" s="9"/>
      <c r="AE119" s="9"/>
      <c r="AF119" s="9"/>
      <c r="AG119" s="9"/>
      <c r="AH119" s="9"/>
      <c r="AI119" s="9"/>
      <c r="AJ119" s="9"/>
      <c r="AK119" s="9"/>
      <c r="AL119" s="9"/>
      <c r="AM119" s="9"/>
      <c r="AN119" s="9"/>
      <c r="AO119" s="9"/>
      <c r="AP119" s="9"/>
      <c r="AQ119" s="9"/>
      <c r="AR119" s="9"/>
      <c r="AS119" s="9"/>
      <c r="AT119" s="9"/>
      <c r="AU119" s="9"/>
      <c r="AV119" s="9"/>
      <c r="AW119" s="9"/>
      <c r="AX119" s="9"/>
      <c r="AY119" s="9"/>
      <c r="AZ119" s="9"/>
      <c r="BA119" s="9"/>
      <c r="BB119" s="9"/>
      <c r="BC119" s="9"/>
      <c r="BD119" s="9"/>
      <c r="BE119" s="9"/>
      <c r="BF119" s="9"/>
      <c r="BG119" s="9"/>
      <c r="BH119" s="9"/>
      <c r="BI119" s="9"/>
      <c r="BJ119" s="9"/>
      <c r="BK119" s="9"/>
      <c r="BL119" s="9"/>
      <c r="BM119" s="9"/>
      <c r="BN119" s="9"/>
      <c r="BO119" s="9"/>
      <c r="BP119" s="9"/>
    </row>
    <row r="120" spans="1:68">
      <c r="A120" s="824"/>
      <c r="B120" s="824"/>
      <c r="C120" s="157"/>
      <c r="D120" s="157"/>
      <c r="E120" s="163"/>
      <c r="F120" s="157"/>
      <c r="G120" s="826"/>
      <c r="AD120" s="9"/>
      <c r="AE120" s="9"/>
      <c r="AF120" s="9"/>
      <c r="AG120" s="9"/>
      <c r="AH120" s="9"/>
      <c r="AI120" s="9"/>
      <c r="AJ120" s="9"/>
      <c r="AK120" s="9"/>
      <c r="AL120" s="9"/>
      <c r="AM120" s="9"/>
      <c r="AN120" s="9"/>
      <c r="AO120" s="9"/>
      <c r="AP120" s="9"/>
      <c r="AQ120" s="9"/>
      <c r="AR120" s="9"/>
      <c r="AS120" s="9"/>
      <c r="AT120" s="9"/>
      <c r="AU120" s="9"/>
      <c r="AV120" s="9"/>
      <c r="AW120" s="9"/>
      <c r="AX120" s="9"/>
      <c r="AY120" s="9"/>
      <c r="AZ120" s="9"/>
      <c r="BA120" s="9"/>
      <c r="BB120" s="9"/>
      <c r="BC120" s="9"/>
      <c r="BD120" s="9"/>
      <c r="BE120" s="9"/>
      <c r="BF120" s="9"/>
      <c r="BG120" s="9"/>
      <c r="BH120" s="9"/>
      <c r="BI120" s="9"/>
      <c r="BJ120" s="9"/>
      <c r="BK120" s="9"/>
      <c r="BL120" s="9"/>
      <c r="BM120" s="9"/>
      <c r="BN120" s="9"/>
      <c r="BO120" s="9"/>
      <c r="BP120" s="9"/>
    </row>
    <row r="121" spans="1:68">
      <c r="A121" s="824"/>
      <c r="B121" s="824"/>
      <c r="C121" s="160"/>
      <c r="D121" s="161"/>
      <c r="E121" s="163"/>
      <c r="F121" s="163"/>
      <c r="G121" s="164"/>
      <c r="AD121" s="9"/>
      <c r="AE121" s="9"/>
      <c r="AF121" s="9"/>
      <c r="AG121" s="9"/>
      <c r="AH121" s="9"/>
      <c r="AI121" s="9"/>
      <c r="AJ121" s="9"/>
      <c r="AK121" s="9"/>
      <c r="AL121" s="9"/>
      <c r="AM121" s="9"/>
      <c r="AN121" s="9"/>
      <c r="AO121" s="9"/>
      <c r="AP121" s="9"/>
      <c r="AQ121" s="9"/>
      <c r="AR121" s="9"/>
      <c r="AS121" s="9"/>
      <c r="AT121" s="9"/>
      <c r="AU121" s="9"/>
      <c r="AV121" s="9"/>
      <c r="AW121" s="9"/>
      <c r="AX121" s="9"/>
      <c r="AY121" s="9"/>
      <c r="AZ121" s="9"/>
      <c r="BA121" s="9"/>
      <c r="BB121" s="9"/>
      <c r="BC121" s="9"/>
      <c r="BD121" s="9"/>
      <c r="BE121" s="9"/>
      <c r="BF121" s="9"/>
      <c r="BG121" s="9"/>
      <c r="BH121" s="9"/>
      <c r="BI121" s="9"/>
      <c r="BJ121" s="9"/>
      <c r="BK121" s="9"/>
      <c r="BL121" s="9"/>
      <c r="BM121" s="9"/>
      <c r="BN121" s="9"/>
      <c r="BO121" s="9"/>
      <c r="BP121" s="9"/>
    </row>
    <row r="122" spans="1:68">
      <c r="A122" s="824"/>
      <c r="B122" s="824"/>
      <c r="C122" s="166"/>
      <c r="D122" s="161"/>
      <c r="E122" s="163"/>
      <c r="F122" s="163"/>
      <c r="G122" s="164"/>
      <c r="AD122" s="9"/>
      <c r="AE122" s="9"/>
      <c r="AF122" s="9"/>
      <c r="AG122" s="9"/>
      <c r="AH122" s="9"/>
      <c r="AI122" s="9"/>
      <c r="AJ122" s="9"/>
      <c r="AK122" s="9"/>
      <c r="AL122" s="9"/>
      <c r="AM122" s="9"/>
      <c r="AN122" s="9"/>
      <c r="AO122" s="9"/>
      <c r="AP122" s="9"/>
      <c r="AQ122" s="9"/>
      <c r="AR122" s="9"/>
      <c r="AS122" s="9"/>
      <c r="AT122" s="9"/>
      <c r="AU122" s="9"/>
      <c r="AV122" s="9"/>
      <c r="AW122" s="9"/>
      <c r="AX122" s="9"/>
      <c r="AY122" s="9"/>
      <c r="AZ122" s="9"/>
      <c r="BA122" s="9"/>
      <c r="BB122" s="9"/>
      <c r="BC122" s="9"/>
      <c r="BD122" s="9"/>
      <c r="BE122" s="9"/>
      <c r="BF122" s="9"/>
      <c r="BG122" s="9"/>
      <c r="BH122" s="9"/>
      <c r="BI122" s="9"/>
      <c r="BJ122" s="9"/>
      <c r="BK122" s="9"/>
      <c r="BL122" s="9"/>
      <c r="BM122" s="9"/>
      <c r="BN122" s="9"/>
      <c r="BO122" s="9"/>
      <c r="BP122" s="9"/>
    </row>
    <row r="123" spans="1:68">
      <c r="A123" s="824"/>
      <c r="B123" s="824"/>
      <c r="C123" s="166"/>
      <c r="D123" s="161"/>
      <c r="E123" s="157"/>
      <c r="F123" s="163"/>
      <c r="G123" s="164"/>
      <c r="AD123" s="9"/>
      <c r="AE123" s="9"/>
      <c r="AF123" s="9"/>
      <c r="AG123" s="9"/>
      <c r="AH123" s="9"/>
      <c r="AI123" s="9"/>
      <c r="AJ123" s="9"/>
      <c r="AK123" s="9"/>
      <c r="AL123" s="9"/>
      <c r="AM123" s="9"/>
      <c r="AN123" s="9"/>
      <c r="AO123" s="9"/>
      <c r="AP123" s="9"/>
      <c r="AQ123" s="9"/>
      <c r="AR123" s="9"/>
      <c r="AS123" s="9"/>
      <c r="AT123" s="9"/>
      <c r="AU123" s="9"/>
      <c r="AV123" s="9"/>
      <c r="AW123" s="9"/>
      <c r="AX123" s="9"/>
      <c r="AY123" s="9"/>
      <c r="AZ123" s="9"/>
      <c r="BA123" s="9"/>
      <c r="BB123" s="9"/>
      <c r="BC123" s="9"/>
      <c r="BD123" s="9"/>
      <c r="BE123" s="9"/>
      <c r="BF123" s="9"/>
      <c r="BG123" s="9"/>
      <c r="BH123" s="9"/>
      <c r="BI123" s="9"/>
      <c r="BJ123" s="9"/>
      <c r="BK123" s="9"/>
      <c r="BL123" s="9"/>
      <c r="BM123" s="9"/>
      <c r="BN123" s="9"/>
      <c r="BO123" s="9"/>
      <c r="BP123" s="9"/>
    </row>
    <row r="124" spans="1:68">
      <c r="A124" s="824"/>
      <c r="B124" s="824"/>
      <c r="C124" s="155"/>
      <c r="D124" s="161"/>
      <c r="E124" s="163"/>
      <c r="F124" s="163"/>
      <c r="G124" s="164"/>
      <c r="AD124" s="9"/>
      <c r="AE124" s="9"/>
      <c r="AF124" s="9"/>
      <c r="AG124" s="9"/>
      <c r="AH124" s="9"/>
      <c r="AI124" s="9"/>
      <c r="AJ124" s="9"/>
      <c r="AK124" s="9"/>
      <c r="AL124" s="9"/>
      <c r="AM124" s="9"/>
      <c r="AN124" s="9"/>
      <c r="AO124" s="9"/>
      <c r="AP124" s="9"/>
      <c r="AQ124" s="9"/>
      <c r="AR124" s="9"/>
      <c r="AS124" s="9"/>
      <c r="AT124" s="9"/>
      <c r="AU124" s="9"/>
      <c r="AV124" s="9"/>
      <c r="AW124" s="9"/>
      <c r="AX124" s="9"/>
      <c r="AY124" s="9"/>
      <c r="AZ124" s="9"/>
      <c r="BA124" s="9"/>
      <c r="BB124" s="9"/>
      <c r="BC124" s="9"/>
      <c r="BD124" s="9"/>
      <c r="BE124" s="9"/>
      <c r="BF124" s="9"/>
      <c r="BG124" s="9"/>
      <c r="BH124" s="9"/>
      <c r="BI124" s="9"/>
      <c r="BJ124" s="9"/>
      <c r="BK124" s="9"/>
      <c r="BL124" s="9"/>
      <c r="BM124" s="9"/>
      <c r="BN124" s="9"/>
      <c r="BO124" s="9"/>
      <c r="BP124" s="9"/>
    </row>
    <row r="125" spans="1:68">
      <c r="A125" s="824"/>
      <c r="B125" s="824"/>
      <c r="C125" s="166"/>
      <c r="D125" s="161"/>
      <c r="E125" s="157"/>
      <c r="F125" s="163"/>
      <c r="G125" s="164"/>
      <c r="AD125" s="9"/>
      <c r="AE125" s="9"/>
      <c r="AF125" s="9"/>
      <c r="AG125" s="9"/>
      <c r="AH125" s="9"/>
      <c r="AI125" s="9"/>
      <c r="AJ125" s="9"/>
      <c r="AK125" s="9"/>
      <c r="AL125" s="9"/>
      <c r="AM125" s="9"/>
      <c r="AN125" s="9"/>
      <c r="AO125" s="9"/>
      <c r="AP125" s="9"/>
      <c r="AQ125" s="9"/>
      <c r="AR125" s="9"/>
      <c r="AS125" s="9"/>
      <c r="AT125" s="9"/>
      <c r="AU125" s="9"/>
      <c r="AV125" s="9"/>
      <c r="AW125" s="9"/>
      <c r="AX125" s="9"/>
      <c r="AY125" s="9"/>
      <c r="AZ125" s="9"/>
      <c r="BA125" s="9"/>
      <c r="BB125" s="9"/>
      <c r="BC125" s="9"/>
      <c r="BD125" s="9"/>
      <c r="BE125" s="9"/>
      <c r="BF125" s="9"/>
      <c r="BG125" s="9"/>
      <c r="BH125" s="9"/>
      <c r="BI125" s="9"/>
      <c r="BJ125" s="9"/>
      <c r="BK125" s="9"/>
      <c r="BL125" s="9"/>
      <c r="BM125" s="9"/>
      <c r="BN125" s="9"/>
      <c r="BO125" s="9"/>
      <c r="BP125" s="9"/>
    </row>
    <row r="126" spans="1:68">
      <c r="A126" s="824"/>
      <c r="B126" s="824"/>
      <c r="C126" s="166"/>
      <c r="D126" s="161"/>
      <c r="E126" s="163"/>
      <c r="F126" s="163"/>
      <c r="G126" s="164"/>
      <c r="AD126" s="9"/>
      <c r="AE126" s="9"/>
      <c r="AF126" s="9"/>
      <c r="AG126" s="9"/>
      <c r="AH126" s="9"/>
      <c r="AI126" s="9"/>
      <c r="AJ126" s="9"/>
      <c r="AK126" s="9"/>
      <c r="AL126" s="9"/>
      <c r="AM126" s="9"/>
      <c r="AN126" s="9"/>
      <c r="AO126" s="9"/>
      <c r="AP126" s="9"/>
      <c r="AQ126" s="9"/>
      <c r="AR126" s="9"/>
      <c r="AS126" s="9"/>
      <c r="AT126" s="9"/>
      <c r="AU126" s="9"/>
      <c r="AV126" s="9"/>
      <c r="AW126" s="9"/>
      <c r="AX126" s="9"/>
      <c r="AY126" s="9"/>
      <c r="AZ126" s="9"/>
      <c r="BA126" s="9"/>
      <c r="BB126" s="9"/>
      <c r="BC126" s="9"/>
      <c r="BD126" s="9"/>
      <c r="BE126" s="9"/>
      <c r="BF126" s="9"/>
      <c r="BG126" s="9"/>
      <c r="BH126" s="9"/>
      <c r="BI126" s="9"/>
      <c r="BJ126" s="9"/>
      <c r="BK126" s="9"/>
      <c r="BL126" s="9"/>
      <c r="BM126" s="9"/>
      <c r="BN126" s="9"/>
      <c r="BO126" s="9"/>
      <c r="BP126" s="9"/>
    </row>
    <row r="127" spans="1:68">
      <c r="A127" s="824"/>
      <c r="B127" s="824"/>
      <c r="C127" s="166"/>
      <c r="D127" s="161"/>
      <c r="E127" s="163"/>
      <c r="F127" s="163"/>
      <c r="G127" s="164"/>
      <c r="AD127" s="9"/>
      <c r="AE127" s="9"/>
      <c r="AF127" s="9"/>
      <c r="AG127" s="9"/>
      <c r="AH127" s="9"/>
      <c r="AI127" s="9"/>
      <c r="AJ127" s="9"/>
      <c r="AK127" s="9"/>
      <c r="AL127" s="9"/>
      <c r="AM127" s="9"/>
      <c r="AN127" s="9"/>
      <c r="AO127" s="9"/>
      <c r="AP127" s="9"/>
      <c r="AQ127" s="9"/>
      <c r="AR127" s="9"/>
      <c r="AS127" s="9"/>
      <c r="AT127" s="9"/>
      <c r="AU127" s="9"/>
      <c r="AV127" s="9"/>
      <c r="AW127" s="9"/>
      <c r="AX127" s="9"/>
      <c r="AY127" s="9"/>
      <c r="AZ127" s="9"/>
      <c r="BA127" s="9"/>
      <c r="BB127" s="9"/>
      <c r="BC127" s="9"/>
      <c r="BD127" s="9"/>
      <c r="BE127" s="9"/>
      <c r="BF127" s="9"/>
      <c r="BG127" s="9"/>
      <c r="BH127" s="9"/>
      <c r="BI127" s="9"/>
      <c r="BJ127" s="9"/>
      <c r="BK127" s="9"/>
      <c r="BL127" s="9"/>
      <c r="BM127" s="9"/>
      <c r="BN127" s="9"/>
      <c r="BO127" s="9"/>
      <c r="BP127" s="9"/>
    </row>
    <row r="128" spans="1:68">
      <c r="A128" s="824"/>
      <c r="B128" s="824"/>
      <c r="C128" s="166"/>
      <c r="D128" s="161"/>
      <c r="E128" s="163"/>
      <c r="F128" s="163"/>
      <c r="G128" s="164"/>
      <c r="AD128" s="9"/>
      <c r="AE128" s="9"/>
      <c r="AF128" s="9"/>
      <c r="AG128" s="9"/>
      <c r="AH128" s="9"/>
      <c r="AI128" s="9"/>
      <c r="AJ128" s="9"/>
      <c r="AK128" s="9"/>
      <c r="AL128" s="9"/>
      <c r="AM128" s="9"/>
      <c r="AN128" s="9"/>
      <c r="AO128" s="9"/>
      <c r="AP128" s="9"/>
      <c r="AQ128" s="9"/>
      <c r="AR128" s="9"/>
      <c r="AS128" s="9"/>
      <c r="AT128" s="9"/>
      <c r="AU128" s="9"/>
      <c r="AV128" s="9"/>
      <c r="AW128" s="9"/>
      <c r="AX128" s="9"/>
      <c r="AY128" s="9"/>
      <c r="AZ128" s="9"/>
      <c r="BA128" s="9"/>
      <c r="BB128" s="9"/>
      <c r="BC128" s="9"/>
      <c r="BD128" s="9"/>
      <c r="BE128" s="9"/>
      <c r="BF128" s="9"/>
      <c r="BG128" s="9"/>
      <c r="BH128" s="9"/>
      <c r="BI128" s="9"/>
      <c r="BJ128" s="9"/>
      <c r="BK128" s="9"/>
      <c r="BL128" s="9"/>
      <c r="BM128" s="9"/>
      <c r="BN128" s="9"/>
      <c r="BO128" s="9"/>
      <c r="BP128" s="9"/>
    </row>
    <row r="129" spans="1:68">
      <c r="A129" s="824"/>
      <c r="B129" s="824"/>
      <c r="C129" s="166"/>
      <c r="D129" s="161"/>
      <c r="E129" s="163"/>
      <c r="F129" s="163"/>
      <c r="G129" s="164"/>
      <c r="AD129" s="9"/>
      <c r="AE129" s="9"/>
      <c r="AF129" s="9"/>
      <c r="AG129" s="9"/>
      <c r="AH129" s="9"/>
      <c r="AI129" s="9"/>
      <c r="AJ129" s="9"/>
      <c r="AK129" s="9"/>
      <c r="AL129" s="9"/>
      <c r="AM129" s="9"/>
      <c r="AN129" s="9"/>
      <c r="AO129" s="9"/>
      <c r="AP129" s="9"/>
      <c r="AQ129" s="9"/>
      <c r="AR129" s="9"/>
      <c r="AS129" s="9"/>
      <c r="AT129" s="9"/>
      <c r="AU129" s="9"/>
      <c r="AV129" s="9"/>
      <c r="AW129" s="9"/>
      <c r="AX129" s="9"/>
      <c r="AY129" s="9"/>
      <c r="AZ129" s="9"/>
      <c r="BA129" s="9"/>
      <c r="BB129" s="9"/>
      <c r="BC129" s="9"/>
      <c r="BD129" s="9"/>
      <c r="BE129" s="9"/>
      <c r="BF129" s="9"/>
      <c r="BG129" s="9"/>
      <c r="BH129" s="9"/>
      <c r="BI129" s="9"/>
      <c r="BJ129" s="9"/>
      <c r="BK129" s="9"/>
      <c r="BL129" s="9"/>
      <c r="BM129" s="9"/>
      <c r="BN129" s="9"/>
      <c r="BO129" s="9"/>
      <c r="BP129" s="9"/>
    </row>
    <row r="130" spans="1:68">
      <c r="A130" s="824"/>
      <c r="B130" s="824"/>
      <c r="C130" s="166"/>
      <c r="D130" s="161"/>
      <c r="E130" s="163"/>
      <c r="F130" s="163"/>
      <c r="G130" s="164"/>
      <c r="AD130" s="9"/>
      <c r="AE130" s="9"/>
      <c r="AF130" s="9"/>
      <c r="AG130" s="9"/>
      <c r="AH130" s="9"/>
      <c r="AI130" s="9"/>
      <c r="AJ130" s="9"/>
      <c r="AK130" s="9"/>
      <c r="AL130" s="9"/>
      <c r="AM130" s="9"/>
      <c r="AN130" s="9"/>
      <c r="AO130" s="9"/>
      <c r="AP130" s="9"/>
      <c r="AQ130" s="9"/>
      <c r="AR130" s="9"/>
      <c r="AS130" s="9"/>
      <c r="AT130" s="9"/>
      <c r="AU130" s="9"/>
      <c r="AV130" s="9"/>
      <c r="AW130" s="9"/>
      <c r="AX130" s="9"/>
      <c r="AY130" s="9"/>
      <c r="AZ130" s="9"/>
      <c r="BA130" s="9"/>
      <c r="BB130" s="9"/>
      <c r="BC130" s="9"/>
      <c r="BD130" s="9"/>
      <c r="BE130" s="9"/>
      <c r="BF130" s="9"/>
      <c r="BG130" s="9"/>
      <c r="BH130" s="9"/>
      <c r="BI130" s="9"/>
      <c r="BJ130" s="9"/>
      <c r="BK130" s="9"/>
      <c r="BL130" s="9"/>
      <c r="BM130" s="9"/>
      <c r="BN130" s="9"/>
      <c r="BO130" s="9"/>
      <c r="BP130" s="9"/>
    </row>
    <row r="131" spans="1:68">
      <c r="A131" s="824"/>
      <c r="B131" s="824"/>
      <c r="C131" s="166"/>
      <c r="D131" s="161"/>
      <c r="E131" s="163"/>
      <c r="F131" s="163"/>
      <c r="G131" s="164"/>
      <c r="AD131" s="9"/>
      <c r="AE131" s="9"/>
      <c r="AF131" s="9"/>
      <c r="AG131" s="9"/>
      <c r="AH131" s="9"/>
      <c r="AI131" s="9"/>
      <c r="AJ131" s="9"/>
      <c r="AK131" s="9"/>
      <c r="AL131" s="9"/>
      <c r="AM131" s="9"/>
      <c r="AN131" s="9"/>
      <c r="AO131" s="9"/>
      <c r="AP131" s="9"/>
      <c r="AQ131" s="9"/>
      <c r="AR131" s="9"/>
      <c r="AS131" s="9"/>
      <c r="AT131" s="9"/>
      <c r="AU131" s="9"/>
      <c r="AV131" s="9"/>
      <c r="AW131" s="9"/>
      <c r="AX131" s="9"/>
      <c r="AY131" s="9"/>
      <c r="AZ131" s="9"/>
      <c r="BA131" s="9"/>
      <c r="BB131" s="9"/>
      <c r="BC131" s="9"/>
      <c r="BD131" s="9"/>
      <c r="BE131" s="9"/>
      <c r="BF131" s="9"/>
      <c r="BG131" s="9"/>
      <c r="BH131" s="9"/>
      <c r="BI131" s="9"/>
      <c r="BJ131" s="9"/>
      <c r="BK131" s="9"/>
      <c r="BL131" s="9"/>
      <c r="BM131" s="9"/>
      <c r="BN131" s="9"/>
      <c r="BO131" s="9"/>
      <c r="BP131" s="9"/>
    </row>
    <row r="132" spans="1:68">
      <c r="A132" s="824"/>
      <c r="B132" s="824"/>
      <c r="C132" s="166"/>
      <c r="D132" s="161"/>
      <c r="E132" s="163"/>
      <c r="F132" s="163"/>
      <c r="G132" s="164"/>
      <c r="AD132" s="9"/>
      <c r="AE132" s="9"/>
      <c r="AF132" s="9"/>
      <c r="AG132" s="9"/>
      <c r="AH132" s="9"/>
      <c r="AI132" s="9"/>
      <c r="AJ132" s="9"/>
      <c r="AK132" s="9"/>
      <c r="AL132" s="9"/>
      <c r="AM132" s="9"/>
      <c r="AN132" s="9"/>
      <c r="AO132" s="9"/>
      <c r="AP132" s="9"/>
      <c r="AQ132" s="9"/>
      <c r="AR132" s="9"/>
      <c r="AS132" s="9"/>
      <c r="AT132" s="9"/>
      <c r="AU132" s="9"/>
      <c r="AV132" s="9"/>
      <c r="AW132" s="9"/>
      <c r="AX132" s="9"/>
      <c r="AY132" s="9"/>
      <c r="AZ132" s="9"/>
      <c r="BA132" s="9"/>
      <c r="BB132" s="9"/>
      <c r="BC132" s="9"/>
      <c r="BD132" s="9"/>
      <c r="BE132" s="9"/>
      <c r="BF132" s="9"/>
      <c r="BG132" s="9"/>
      <c r="BH132" s="9"/>
      <c r="BI132" s="9"/>
      <c r="BJ132" s="9"/>
      <c r="BK132" s="9"/>
      <c r="BL132" s="9"/>
      <c r="BM132" s="9"/>
      <c r="BN132" s="9"/>
      <c r="BO132" s="9"/>
      <c r="BP132" s="9"/>
    </row>
    <row r="133" spans="1:68">
      <c r="A133" s="824"/>
      <c r="B133" s="824"/>
      <c r="C133" s="166"/>
      <c r="D133" s="161"/>
      <c r="E133" s="163"/>
      <c r="F133" s="163"/>
      <c r="G133" s="164"/>
      <c r="AD133" s="9"/>
      <c r="AE133" s="9"/>
      <c r="AF133" s="9"/>
      <c r="AG133" s="9"/>
      <c r="AH133" s="9"/>
      <c r="AI133" s="9"/>
      <c r="AJ133" s="9"/>
      <c r="AK133" s="9"/>
      <c r="AL133" s="9"/>
      <c r="AM133" s="9"/>
      <c r="AN133" s="9"/>
      <c r="AO133" s="9"/>
      <c r="AP133" s="9"/>
      <c r="AQ133" s="9"/>
      <c r="AR133" s="9"/>
      <c r="AS133" s="9"/>
      <c r="AT133" s="9"/>
      <c r="AU133" s="9"/>
      <c r="AV133" s="9"/>
      <c r="AW133" s="9"/>
      <c r="AX133" s="9"/>
      <c r="AY133" s="9"/>
      <c r="AZ133" s="9"/>
      <c r="BA133" s="9"/>
      <c r="BB133" s="9"/>
      <c r="BC133" s="9"/>
      <c r="BD133" s="9"/>
      <c r="BE133" s="9"/>
      <c r="BF133" s="9"/>
      <c r="BG133" s="9"/>
      <c r="BH133" s="9"/>
      <c r="BI133" s="9"/>
      <c r="BJ133" s="9"/>
      <c r="BK133" s="9"/>
      <c r="BL133" s="9"/>
      <c r="BM133" s="9"/>
      <c r="BN133" s="9"/>
      <c r="BO133" s="9"/>
      <c r="BP133" s="9"/>
    </row>
    <row r="134" spans="1:68">
      <c r="A134" s="824"/>
      <c r="B134" s="824"/>
      <c r="C134" s="166"/>
      <c r="D134" s="168"/>
      <c r="E134" s="163"/>
      <c r="F134" s="163"/>
      <c r="G134" s="164"/>
      <c r="AD134" s="9"/>
      <c r="AE134" s="9"/>
      <c r="AF134" s="9"/>
      <c r="AG134" s="9"/>
      <c r="AH134" s="9"/>
      <c r="AI134" s="9"/>
      <c r="AJ134" s="9"/>
      <c r="AK134" s="9"/>
      <c r="AL134" s="9"/>
      <c r="AM134" s="9"/>
      <c r="AN134" s="9"/>
      <c r="AO134" s="9"/>
      <c r="AP134" s="9"/>
      <c r="AQ134" s="9"/>
      <c r="AR134" s="9"/>
      <c r="AS134" s="9"/>
      <c r="AT134" s="9"/>
      <c r="AU134" s="9"/>
      <c r="AV134" s="9"/>
      <c r="AW134" s="9"/>
      <c r="AX134" s="9"/>
      <c r="AY134" s="9"/>
      <c r="AZ134" s="9"/>
      <c r="BA134" s="9"/>
      <c r="BB134" s="9"/>
      <c r="BC134" s="9"/>
      <c r="BD134" s="9"/>
      <c r="BE134" s="9"/>
      <c r="BF134" s="9"/>
      <c r="BG134" s="9"/>
      <c r="BH134" s="9"/>
      <c r="BI134" s="9"/>
      <c r="BJ134" s="9"/>
      <c r="BK134" s="9"/>
      <c r="BL134" s="9"/>
      <c r="BM134" s="9"/>
      <c r="BN134" s="9"/>
      <c r="BO134" s="9"/>
      <c r="BP134" s="9"/>
    </row>
    <row r="135" spans="1:68">
      <c r="A135" s="824"/>
      <c r="B135" s="824"/>
      <c r="C135" s="166"/>
      <c r="D135" s="161"/>
      <c r="E135" s="163"/>
      <c r="F135" s="163"/>
      <c r="G135" s="164"/>
      <c r="AD135" s="9"/>
      <c r="AE135" s="9"/>
      <c r="AF135" s="9"/>
      <c r="AG135" s="9"/>
      <c r="AH135" s="9"/>
      <c r="AI135" s="9"/>
      <c r="AJ135" s="9"/>
      <c r="AK135" s="9"/>
      <c r="AL135" s="9"/>
      <c r="AM135" s="9"/>
      <c r="AN135" s="9"/>
      <c r="AO135" s="9"/>
      <c r="AP135" s="9"/>
      <c r="AQ135" s="9"/>
      <c r="AR135" s="9"/>
      <c r="AS135" s="9"/>
      <c r="AT135" s="9"/>
      <c r="AU135" s="9"/>
      <c r="AV135" s="9"/>
      <c r="AW135" s="9"/>
      <c r="AX135" s="9"/>
      <c r="AY135" s="9"/>
      <c r="AZ135" s="9"/>
      <c r="BA135" s="9"/>
      <c r="BB135" s="9"/>
      <c r="BC135" s="9"/>
      <c r="BD135" s="9"/>
      <c r="BE135" s="9"/>
      <c r="BF135" s="9"/>
      <c r="BG135" s="9"/>
      <c r="BH135" s="9"/>
      <c r="BI135" s="9"/>
      <c r="BJ135" s="9"/>
      <c r="BK135" s="9"/>
      <c r="BL135" s="9"/>
      <c r="BM135" s="9"/>
      <c r="BN135" s="9"/>
      <c r="BO135" s="9"/>
      <c r="BP135" s="9"/>
    </row>
    <row r="136" spans="1:68">
      <c r="A136" s="824"/>
      <c r="B136" s="824"/>
      <c r="C136" s="160"/>
      <c r="D136" s="161"/>
      <c r="E136" s="163"/>
      <c r="F136" s="163"/>
      <c r="G136" s="164"/>
      <c r="AD136" s="9"/>
      <c r="AE136" s="9"/>
      <c r="AF136" s="9"/>
      <c r="AG136" s="9"/>
      <c r="AH136" s="9"/>
      <c r="AI136" s="9"/>
      <c r="AJ136" s="9"/>
      <c r="AK136" s="9"/>
      <c r="AL136" s="9"/>
      <c r="AM136" s="9"/>
      <c r="AN136" s="9"/>
      <c r="AO136" s="9"/>
      <c r="AP136" s="9"/>
      <c r="AQ136" s="9"/>
      <c r="AR136" s="9"/>
      <c r="AS136" s="9"/>
      <c r="AT136" s="9"/>
      <c r="AU136" s="9"/>
      <c r="AV136" s="9"/>
      <c r="AW136" s="9"/>
      <c r="AX136" s="9"/>
      <c r="AY136" s="9"/>
      <c r="AZ136" s="9"/>
      <c r="BA136" s="9"/>
      <c r="BB136" s="9"/>
      <c r="BC136" s="9"/>
      <c r="BD136" s="9"/>
      <c r="BE136" s="9"/>
      <c r="BF136" s="9"/>
      <c r="BG136" s="9"/>
      <c r="BH136" s="9"/>
      <c r="BI136" s="9"/>
      <c r="BJ136" s="9"/>
      <c r="BK136" s="9"/>
      <c r="BL136" s="9"/>
      <c r="BM136" s="9"/>
      <c r="BN136" s="9"/>
      <c r="BO136" s="9"/>
      <c r="BP136" s="9"/>
    </row>
    <row r="137" spans="1:68">
      <c r="A137" s="824"/>
      <c r="B137" s="824"/>
      <c r="C137" s="166"/>
      <c r="D137" s="161"/>
      <c r="E137" s="163"/>
      <c r="F137" s="163"/>
      <c r="G137" s="164"/>
      <c r="AD137" s="9"/>
      <c r="AE137" s="9"/>
      <c r="AF137" s="9"/>
      <c r="AG137" s="9"/>
      <c r="AH137" s="9"/>
      <c r="AI137" s="9"/>
      <c r="AJ137" s="9"/>
      <c r="AK137" s="9"/>
      <c r="AL137" s="9"/>
      <c r="AM137" s="9"/>
      <c r="AN137" s="9"/>
      <c r="AO137" s="9"/>
      <c r="AP137" s="9"/>
      <c r="AQ137" s="9"/>
      <c r="AR137" s="9"/>
      <c r="AS137" s="9"/>
      <c r="AT137" s="9"/>
      <c r="AU137" s="9"/>
      <c r="AV137" s="9"/>
      <c r="AW137" s="9"/>
      <c r="AX137" s="9"/>
      <c r="AY137" s="9"/>
      <c r="AZ137" s="9"/>
      <c r="BA137" s="9"/>
      <c r="BB137" s="9"/>
      <c r="BC137" s="9"/>
      <c r="BD137" s="9"/>
      <c r="BE137" s="9"/>
      <c r="BF137" s="9"/>
      <c r="BG137" s="9"/>
      <c r="BH137" s="9"/>
      <c r="BI137" s="9"/>
      <c r="BJ137" s="9"/>
      <c r="BK137" s="9"/>
      <c r="BL137" s="9"/>
      <c r="BM137" s="9"/>
      <c r="BN137" s="9"/>
      <c r="BO137" s="9"/>
      <c r="BP137" s="9"/>
    </row>
    <row r="138" spans="1:68">
      <c r="C138" s="166"/>
      <c r="D138" s="161"/>
      <c r="E138" s="157"/>
      <c r="F138" s="163"/>
      <c r="G138" s="164"/>
      <c r="AD138" s="9"/>
      <c r="AE138" s="9"/>
      <c r="AF138" s="9"/>
      <c r="AG138" s="9"/>
      <c r="AH138" s="9"/>
      <c r="AI138" s="9"/>
      <c r="AJ138" s="9"/>
      <c r="AK138" s="9"/>
      <c r="AL138" s="9"/>
      <c r="AM138" s="9"/>
      <c r="AN138" s="9"/>
      <c r="AO138" s="9"/>
      <c r="AP138" s="9"/>
      <c r="AQ138" s="9"/>
      <c r="AR138" s="9"/>
      <c r="AS138" s="9"/>
      <c r="AT138" s="9"/>
      <c r="AU138" s="9"/>
      <c r="AV138" s="9"/>
      <c r="AW138" s="9"/>
      <c r="AX138" s="9"/>
      <c r="AY138" s="9"/>
      <c r="AZ138" s="9"/>
      <c r="BA138" s="9"/>
      <c r="BB138" s="9"/>
      <c r="BC138" s="9"/>
      <c r="BD138" s="9"/>
      <c r="BE138" s="9"/>
      <c r="BF138" s="9"/>
      <c r="BG138" s="9"/>
      <c r="BH138" s="9"/>
      <c r="BI138" s="9"/>
      <c r="BJ138" s="9"/>
      <c r="BK138" s="9"/>
      <c r="BL138" s="9"/>
      <c r="BM138" s="9"/>
      <c r="BN138" s="9"/>
      <c r="BO138" s="9"/>
      <c r="BP138" s="9"/>
    </row>
    <row r="139" spans="1:68">
      <c r="C139" s="166"/>
      <c r="D139" s="168"/>
      <c r="E139" s="163"/>
      <c r="F139" s="163"/>
      <c r="G139" s="164"/>
      <c r="AD139" s="9"/>
      <c r="AE139" s="9"/>
      <c r="AF139" s="9"/>
      <c r="AG139" s="9"/>
      <c r="AH139" s="9"/>
      <c r="AI139" s="9"/>
      <c r="AJ139" s="9"/>
      <c r="AK139" s="9"/>
      <c r="AL139" s="9"/>
      <c r="AM139" s="9"/>
      <c r="AN139" s="9"/>
      <c r="AO139" s="9"/>
      <c r="AP139" s="9"/>
      <c r="AQ139" s="9"/>
      <c r="AR139" s="9"/>
      <c r="AS139" s="9"/>
      <c r="AT139" s="9"/>
      <c r="AU139" s="9"/>
      <c r="AV139" s="9"/>
      <c r="AW139" s="9"/>
      <c r="AX139" s="9"/>
      <c r="AY139" s="9"/>
      <c r="AZ139" s="9"/>
      <c r="BA139" s="9"/>
      <c r="BB139" s="9"/>
      <c r="BC139" s="9"/>
      <c r="BD139" s="9"/>
      <c r="BE139" s="9"/>
      <c r="BF139" s="9"/>
      <c r="BG139" s="9"/>
      <c r="BH139" s="9"/>
      <c r="BI139" s="9"/>
      <c r="BJ139" s="9"/>
      <c r="BK139" s="9"/>
      <c r="BL139" s="9"/>
      <c r="BM139" s="9"/>
      <c r="BN139" s="9"/>
      <c r="BO139" s="9"/>
      <c r="BP139" s="9"/>
    </row>
    <row r="140" spans="1:68">
      <c r="C140" s="166"/>
      <c r="D140" s="161"/>
      <c r="E140" s="157"/>
      <c r="F140" s="163"/>
      <c r="G140" s="164"/>
      <c r="AD140" s="9"/>
      <c r="AE140" s="9"/>
      <c r="AF140" s="9"/>
      <c r="AG140" s="9"/>
      <c r="AH140" s="9"/>
      <c r="AI140" s="9"/>
      <c r="AJ140" s="9"/>
      <c r="AK140" s="9"/>
      <c r="AL140" s="9"/>
      <c r="AM140" s="9"/>
      <c r="AN140" s="9"/>
      <c r="AO140" s="9"/>
      <c r="AP140" s="9"/>
      <c r="AQ140" s="9"/>
      <c r="AR140" s="9"/>
      <c r="AS140" s="9"/>
      <c r="AT140" s="9"/>
      <c r="AU140" s="9"/>
      <c r="AV140" s="9"/>
      <c r="AW140" s="9"/>
      <c r="AX140" s="9"/>
      <c r="AY140" s="9"/>
      <c r="AZ140" s="9"/>
      <c r="BA140" s="9"/>
      <c r="BB140" s="9"/>
      <c r="BC140" s="9"/>
      <c r="BD140" s="9"/>
      <c r="BE140" s="9"/>
      <c r="BF140" s="9"/>
      <c r="BG140" s="9"/>
      <c r="BH140" s="9"/>
      <c r="BI140" s="9"/>
      <c r="BJ140" s="9"/>
      <c r="BK140" s="9"/>
      <c r="BL140" s="9"/>
      <c r="BM140" s="9"/>
      <c r="BN140" s="9"/>
      <c r="BO140" s="9"/>
      <c r="BP140" s="9"/>
    </row>
    <row r="141" spans="1:68">
      <c r="AD141" s="9"/>
      <c r="AE141" s="9"/>
      <c r="AF141" s="9"/>
      <c r="AG141" s="9"/>
      <c r="AH141" s="9"/>
      <c r="AI141" s="9"/>
      <c r="AJ141" s="9"/>
      <c r="AK141" s="9"/>
      <c r="AL141" s="9"/>
      <c r="AM141" s="9"/>
      <c r="AN141" s="9"/>
      <c r="AO141" s="9"/>
      <c r="AP141" s="9"/>
      <c r="AQ141" s="9"/>
      <c r="AR141" s="9"/>
      <c r="AS141" s="9"/>
      <c r="AT141" s="9"/>
      <c r="AU141" s="9"/>
      <c r="AV141" s="9"/>
      <c r="AW141" s="9"/>
      <c r="AX141" s="9"/>
      <c r="AY141" s="9"/>
      <c r="AZ141" s="9"/>
      <c r="BA141" s="9"/>
      <c r="BB141" s="9"/>
      <c r="BC141" s="9"/>
      <c r="BD141" s="9"/>
      <c r="BE141" s="9"/>
      <c r="BF141" s="9"/>
      <c r="BG141" s="9"/>
      <c r="BH141" s="9"/>
      <c r="BI141" s="9"/>
      <c r="BJ141" s="9"/>
      <c r="BK141" s="9"/>
      <c r="BL141" s="9"/>
      <c r="BM141" s="9"/>
      <c r="BN141" s="9"/>
      <c r="BO141" s="9"/>
      <c r="BP141" s="9"/>
    </row>
    <row r="142" spans="1:68">
      <c r="AD142" s="9"/>
      <c r="AE142" s="9"/>
      <c r="AF142" s="9"/>
      <c r="AG142" s="9"/>
      <c r="AH142" s="9"/>
      <c r="AI142" s="9"/>
      <c r="AJ142" s="9"/>
      <c r="AK142" s="9"/>
      <c r="AL142" s="9"/>
      <c r="AM142" s="9"/>
      <c r="AN142" s="9"/>
      <c r="AO142" s="9"/>
      <c r="AP142" s="9"/>
      <c r="AQ142" s="9"/>
      <c r="AR142" s="9"/>
      <c r="AS142" s="9"/>
      <c r="AT142" s="9"/>
      <c r="AU142" s="9"/>
      <c r="AV142" s="9"/>
      <c r="AW142" s="9"/>
      <c r="AX142" s="9"/>
      <c r="AY142" s="9"/>
      <c r="AZ142" s="9"/>
      <c r="BA142" s="9"/>
      <c r="BB142" s="9"/>
      <c r="BC142" s="9"/>
      <c r="BD142" s="9"/>
      <c r="BE142" s="9"/>
      <c r="BF142" s="9"/>
      <c r="BG142" s="9"/>
      <c r="BH142" s="9"/>
      <c r="BI142" s="9"/>
      <c r="BJ142" s="9"/>
      <c r="BK142" s="9"/>
      <c r="BL142" s="9"/>
      <c r="BM142" s="9"/>
      <c r="BN142" s="9"/>
      <c r="BO142" s="9"/>
      <c r="BP142" s="9"/>
    </row>
    <row r="143" spans="1:68">
      <c r="A143" s="824"/>
      <c r="B143" s="824"/>
      <c r="C143" s="155"/>
      <c r="D143" s="155"/>
      <c r="E143" s="157"/>
      <c r="F143" s="157"/>
      <c r="G143" s="157"/>
      <c r="AD143" s="9"/>
      <c r="AE143" s="9"/>
      <c r="AF143" s="9"/>
      <c r="AG143" s="9"/>
      <c r="AH143" s="9"/>
      <c r="AI143" s="9"/>
      <c r="AJ143" s="9"/>
      <c r="AK143" s="9"/>
      <c r="AL143" s="9"/>
      <c r="AM143" s="9"/>
      <c r="AN143" s="9"/>
      <c r="AO143" s="9"/>
      <c r="AP143" s="9"/>
      <c r="AQ143" s="9"/>
      <c r="AR143" s="9"/>
      <c r="AS143" s="9"/>
      <c r="AT143" s="9"/>
      <c r="AU143" s="9"/>
      <c r="AV143" s="9"/>
      <c r="AW143" s="9"/>
      <c r="AX143" s="9"/>
      <c r="AY143" s="9"/>
      <c r="AZ143" s="9"/>
      <c r="BA143" s="9"/>
      <c r="BB143" s="9"/>
      <c r="BC143" s="9"/>
      <c r="BD143" s="9"/>
      <c r="BE143" s="9"/>
      <c r="BF143" s="9"/>
      <c r="BG143" s="9"/>
      <c r="BH143" s="9"/>
      <c r="BI143" s="9"/>
      <c r="BJ143" s="9"/>
      <c r="BK143" s="9"/>
      <c r="BL143" s="9"/>
      <c r="BM143" s="9"/>
      <c r="BN143" s="9"/>
      <c r="BO143" s="9"/>
      <c r="BP143" s="9"/>
    </row>
    <row r="144" spans="1:68">
      <c r="A144" s="824"/>
      <c r="B144" s="824"/>
      <c r="C144" s="155"/>
      <c r="D144" s="155"/>
      <c r="E144" s="157"/>
      <c r="F144" s="157"/>
      <c r="G144" s="826"/>
      <c r="AD144" s="9"/>
      <c r="AE144" s="9"/>
      <c r="AF144" s="9"/>
      <c r="AG144" s="9"/>
      <c r="AH144" s="9"/>
      <c r="AI144" s="9"/>
      <c r="AJ144" s="9"/>
      <c r="AK144" s="9"/>
      <c r="AL144" s="9"/>
      <c r="AM144" s="9"/>
      <c r="AN144" s="9"/>
      <c r="AO144" s="9"/>
      <c r="AP144" s="9"/>
      <c r="AQ144" s="9"/>
      <c r="AR144" s="9"/>
      <c r="AS144" s="9"/>
      <c r="AT144" s="9"/>
      <c r="AU144" s="9"/>
      <c r="AV144" s="9"/>
      <c r="AW144" s="9"/>
      <c r="AX144" s="9"/>
      <c r="AY144" s="9"/>
      <c r="AZ144" s="9"/>
      <c r="BA144" s="9"/>
      <c r="BB144" s="9"/>
      <c r="BC144" s="9"/>
      <c r="BD144" s="9"/>
      <c r="BE144" s="9"/>
      <c r="BF144" s="9"/>
      <c r="BG144" s="9"/>
      <c r="BH144" s="9"/>
      <c r="BI144" s="9"/>
      <c r="BJ144" s="9"/>
      <c r="BK144" s="9"/>
      <c r="BL144" s="9"/>
      <c r="BM144" s="9"/>
      <c r="BN144" s="9"/>
      <c r="BO144" s="9"/>
      <c r="BP144" s="9"/>
    </row>
    <row r="145" spans="1:68">
      <c r="A145" s="824"/>
      <c r="B145" s="824"/>
      <c r="C145" s="157"/>
      <c r="D145" s="157"/>
      <c r="E145" s="163"/>
      <c r="F145" s="157"/>
      <c r="G145" s="826"/>
      <c r="AD145" s="9"/>
      <c r="AE145" s="9"/>
      <c r="AF145" s="9"/>
      <c r="AG145" s="9"/>
      <c r="AH145" s="9"/>
      <c r="AI145" s="9"/>
      <c r="AJ145" s="9"/>
      <c r="AK145" s="9"/>
      <c r="AL145" s="9"/>
      <c r="AM145" s="9"/>
      <c r="AN145" s="9"/>
      <c r="AO145" s="9"/>
      <c r="AP145" s="9"/>
      <c r="AQ145" s="9"/>
      <c r="AR145" s="9"/>
      <c r="AS145" s="9"/>
      <c r="AT145" s="9"/>
      <c r="AU145" s="9"/>
      <c r="AV145" s="9"/>
      <c r="AW145" s="9"/>
      <c r="AX145" s="9"/>
      <c r="AY145" s="9"/>
      <c r="AZ145" s="9"/>
      <c r="BA145" s="9"/>
      <c r="BB145" s="9"/>
      <c r="BC145" s="9"/>
      <c r="BD145" s="9"/>
      <c r="BE145" s="9"/>
      <c r="BF145" s="9"/>
      <c r="BG145" s="9"/>
      <c r="BH145" s="9"/>
      <c r="BI145" s="9"/>
      <c r="BJ145" s="9"/>
      <c r="BK145" s="9"/>
      <c r="BL145" s="9"/>
      <c r="BM145" s="9"/>
      <c r="BN145" s="9"/>
      <c r="BO145" s="9"/>
      <c r="BP145" s="9"/>
    </row>
    <row r="146" spans="1:68">
      <c r="A146" s="824"/>
      <c r="B146" s="824"/>
      <c r="C146" s="160"/>
      <c r="D146" s="161"/>
      <c r="E146" s="163"/>
      <c r="F146" s="163"/>
      <c r="G146" s="164"/>
      <c r="AD146" s="9"/>
      <c r="AE146" s="9"/>
      <c r="AF146" s="9"/>
      <c r="AG146" s="9"/>
      <c r="AH146" s="9"/>
      <c r="AI146" s="9"/>
      <c r="AJ146" s="9"/>
      <c r="AK146" s="9"/>
      <c r="AL146" s="9"/>
      <c r="AM146" s="9"/>
      <c r="AN146" s="9"/>
      <c r="AO146" s="9"/>
      <c r="AP146" s="9"/>
      <c r="AQ146" s="9"/>
      <c r="AR146" s="9"/>
      <c r="AS146" s="9"/>
      <c r="AT146" s="9"/>
      <c r="AU146" s="9"/>
      <c r="AV146" s="9"/>
      <c r="AW146" s="9"/>
      <c r="AX146" s="9"/>
      <c r="AY146" s="9"/>
      <c r="AZ146" s="9"/>
      <c r="BA146" s="9"/>
      <c r="BB146" s="9"/>
      <c r="BC146" s="9"/>
      <c r="BD146" s="9"/>
      <c r="BE146" s="9"/>
      <c r="BF146" s="9"/>
      <c r="BG146" s="9"/>
      <c r="BH146" s="9"/>
      <c r="BI146" s="9"/>
      <c r="BJ146" s="9"/>
      <c r="BK146" s="9"/>
      <c r="BL146" s="9"/>
      <c r="BM146" s="9"/>
      <c r="BN146" s="9"/>
      <c r="BO146" s="9"/>
      <c r="BP146" s="9"/>
    </row>
    <row r="147" spans="1:68">
      <c r="A147" s="824"/>
      <c r="B147" s="824"/>
      <c r="C147" s="166"/>
      <c r="D147" s="161"/>
      <c r="E147" s="163"/>
      <c r="F147" s="163"/>
      <c r="G147" s="164"/>
      <c r="AD147" s="9"/>
      <c r="AE147" s="9"/>
      <c r="AF147" s="9"/>
      <c r="AG147" s="9"/>
      <c r="AH147" s="9"/>
      <c r="AI147" s="9"/>
      <c r="AJ147" s="9"/>
      <c r="AK147" s="9"/>
      <c r="AL147" s="9"/>
      <c r="AM147" s="9"/>
      <c r="AN147" s="9"/>
      <c r="AO147" s="9"/>
      <c r="AP147" s="9"/>
      <c r="AQ147" s="9"/>
      <c r="AR147" s="9"/>
      <c r="AS147" s="9"/>
      <c r="AT147" s="9"/>
      <c r="AU147" s="9"/>
      <c r="AV147" s="9"/>
      <c r="AW147" s="9"/>
      <c r="AX147" s="9"/>
      <c r="AY147" s="9"/>
      <c r="AZ147" s="9"/>
      <c r="BA147" s="9"/>
      <c r="BB147" s="9"/>
      <c r="BC147" s="9"/>
      <c r="BD147" s="9"/>
      <c r="BE147" s="9"/>
      <c r="BF147" s="9"/>
      <c r="BG147" s="9"/>
      <c r="BH147" s="9"/>
      <c r="BI147" s="9"/>
      <c r="BJ147" s="9"/>
      <c r="BK147" s="9"/>
      <c r="BL147" s="9"/>
      <c r="BM147" s="9"/>
      <c r="BN147" s="9"/>
      <c r="BO147" s="9"/>
      <c r="BP147" s="9"/>
    </row>
    <row r="148" spans="1:68">
      <c r="A148" s="824"/>
      <c r="B148" s="824"/>
      <c r="C148" s="166"/>
      <c r="D148" s="161"/>
      <c r="E148" s="157"/>
      <c r="F148" s="163"/>
      <c r="G148" s="164"/>
      <c r="AD148" s="9"/>
      <c r="AE148" s="9"/>
      <c r="AF148" s="9"/>
      <c r="AG148" s="9"/>
      <c r="AH148" s="9"/>
      <c r="AI148" s="9"/>
      <c r="AJ148" s="9"/>
      <c r="AK148" s="9"/>
      <c r="AL148" s="9"/>
      <c r="AM148" s="9"/>
      <c r="AN148" s="9"/>
      <c r="AO148" s="9"/>
      <c r="AP148" s="9"/>
      <c r="AQ148" s="9"/>
      <c r="AR148" s="9"/>
      <c r="AS148" s="9"/>
      <c r="AT148" s="9"/>
      <c r="AU148" s="9"/>
      <c r="AV148" s="9"/>
      <c r="AW148" s="9"/>
      <c r="AX148" s="9"/>
      <c r="AY148" s="9"/>
      <c r="AZ148" s="9"/>
      <c r="BA148" s="9"/>
      <c r="BB148" s="9"/>
      <c r="BC148" s="9"/>
      <c r="BD148" s="9"/>
      <c r="BE148" s="9"/>
      <c r="BF148" s="9"/>
      <c r="BG148" s="9"/>
      <c r="BH148" s="9"/>
      <c r="BI148" s="9"/>
      <c r="BJ148" s="9"/>
      <c r="BK148" s="9"/>
      <c r="BL148" s="9"/>
      <c r="BM148" s="9"/>
      <c r="BN148" s="9"/>
      <c r="BO148" s="9"/>
      <c r="BP148" s="9"/>
    </row>
    <row r="149" spans="1:68">
      <c r="A149" s="824"/>
      <c r="B149" s="824"/>
      <c r="C149" s="155"/>
      <c r="D149" s="161"/>
      <c r="E149" s="163"/>
      <c r="F149" s="163"/>
      <c r="G149" s="164"/>
      <c r="AD149" s="9"/>
      <c r="AE149" s="9"/>
      <c r="AF149" s="9"/>
      <c r="AG149" s="9"/>
      <c r="AH149" s="9"/>
      <c r="AI149" s="9"/>
      <c r="AJ149" s="9"/>
      <c r="AK149" s="9"/>
      <c r="AL149" s="9"/>
      <c r="AM149" s="9"/>
      <c r="AN149" s="9"/>
      <c r="AO149" s="9"/>
      <c r="AP149" s="9"/>
      <c r="AQ149" s="9"/>
      <c r="AR149" s="9"/>
      <c r="AS149" s="9"/>
      <c r="AT149" s="9"/>
      <c r="AU149" s="9"/>
      <c r="AV149" s="9"/>
      <c r="AW149" s="9"/>
      <c r="AX149" s="9"/>
      <c r="AY149" s="9"/>
      <c r="AZ149" s="9"/>
      <c r="BA149" s="9"/>
      <c r="BB149" s="9"/>
      <c r="BC149" s="9"/>
      <c r="BD149" s="9"/>
      <c r="BE149" s="9"/>
      <c r="BF149" s="9"/>
      <c r="BG149" s="9"/>
      <c r="BH149" s="9"/>
      <c r="BI149" s="9"/>
      <c r="BJ149" s="9"/>
      <c r="BK149" s="9"/>
      <c r="BL149" s="9"/>
      <c r="BM149" s="9"/>
      <c r="BN149" s="9"/>
      <c r="BO149" s="9"/>
      <c r="BP149" s="9"/>
    </row>
    <row r="150" spans="1:68">
      <c r="A150" s="824"/>
      <c r="B150" s="824"/>
      <c r="C150" s="166"/>
      <c r="D150" s="161"/>
      <c r="E150" s="157"/>
      <c r="F150" s="163"/>
      <c r="G150" s="164"/>
      <c r="AD150" s="9"/>
      <c r="AE150" s="9"/>
      <c r="AF150" s="9"/>
      <c r="AG150" s="9"/>
      <c r="AH150" s="9"/>
      <c r="AI150" s="9"/>
      <c r="AJ150" s="9"/>
      <c r="AK150" s="9"/>
      <c r="AL150" s="9"/>
      <c r="AM150" s="9"/>
      <c r="AN150" s="9"/>
      <c r="AO150" s="9"/>
      <c r="AP150" s="9"/>
      <c r="AQ150" s="9"/>
      <c r="AR150" s="9"/>
      <c r="AS150" s="9"/>
      <c r="AT150" s="9"/>
      <c r="AU150" s="9"/>
      <c r="AV150" s="9"/>
      <c r="AW150" s="9"/>
      <c r="AX150" s="9"/>
      <c r="AY150" s="9"/>
      <c r="AZ150" s="9"/>
      <c r="BA150" s="9"/>
      <c r="BB150" s="9"/>
      <c r="BC150" s="9"/>
      <c r="BD150" s="9"/>
      <c r="BE150" s="9"/>
      <c r="BF150" s="9"/>
      <c r="BG150" s="9"/>
      <c r="BH150" s="9"/>
      <c r="BI150" s="9"/>
      <c r="BJ150" s="9"/>
      <c r="BK150" s="9"/>
      <c r="BL150" s="9"/>
      <c r="BM150" s="9"/>
      <c r="BN150" s="9"/>
      <c r="BO150" s="9"/>
      <c r="BP150" s="9"/>
    </row>
    <row r="151" spans="1:68">
      <c r="A151" s="824"/>
      <c r="B151" s="824"/>
      <c r="C151" s="166"/>
      <c r="D151" s="161"/>
      <c r="E151" s="163"/>
      <c r="F151" s="163"/>
      <c r="G151" s="164"/>
      <c r="AD151" s="9"/>
      <c r="AE151" s="9"/>
      <c r="AF151" s="9"/>
      <c r="AG151" s="9"/>
      <c r="AH151" s="9"/>
      <c r="AI151" s="9"/>
      <c r="AJ151" s="9"/>
      <c r="AK151" s="9"/>
      <c r="AL151" s="9"/>
      <c r="AM151" s="9"/>
      <c r="AN151" s="9"/>
      <c r="AO151" s="9"/>
      <c r="AP151" s="9"/>
      <c r="AQ151" s="9"/>
      <c r="AR151" s="9"/>
      <c r="AS151" s="9"/>
      <c r="AT151" s="9"/>
      <c r="AU151" s="9"/>
      <c r="AV151" s="9"/>
      <c r="AW151" s="9"/>
      <c r="AX151" s="9"/>
      <c r="AY151" s="9"/>
      <c r="AZ151" s="9"/>
      <c r="BA151" s="9"/>
      <c r="BB151" s="9"/>
      <c r="BC151" s="9"/>
      <c r="BD151" s="9"/>
      <c r="BE151" s="9"/>
      <c r="BF151" s="9"/>
      <c r="BG151" s="9"/>
      <c r="BH151" s="9"/>
      <c r="BI151" s="9"/>
      <c r="BJ151" s="9"/>
      <c r="BK151" s="9"/>
      <c r="BL151" s="9"/>
      <c r="BM151" s="9"/>
      <c r="BN151" s="9"/>
      <c r="BO151" s="9"/>
      <c r="BP151" s="9"/>
    </row>
    <row r="152" spans="1:68">
      <c r="A152" s="824"/>
      <c r="B152" s="824"/>
      <c r="C152" s="166"/>
      <c r="D152" s="161"/>
      <c r="E152" s="163"/>
      <c r="F152" s="163"/>
      <c r="G152" s="164"/>
      <c r="AD152" s="9"/>
      <c r="AE152" s="9"/>
      <c r="AF152" s="9"/>
      <c r="AG152" s="9"/>
      <c r="AH152" s="9"/>
      <c r="AI152" s="9"/>
      <c r="AJ152" s="9"/>
      <c r="AK152" s="9"/>
      <c r="AL152" s="9"/>
      <c r="AM152" s="9"/>
      <c r="AN152" s="9"/>
      <c r="AO152" s="9"/>
      <c r="AP152" s="9"/>
      <c r="AQ152" s="9"/>
      <c r="AR152" s="9"/>
      <c r="AS152" s="9"/>
      <c r="AT152" s="9"/>
      <c r="AU152" s="9"/>
      <c r="AV152" s="9"/>
      <c r="AW152" s="9"/>
      <c r="AX152" s="9"/>
      <c r="AY152" s="9"/>
      <c r="AZ152" s="9"/>
      <c r="BA152" s="9"/>
      <c r="BB152" s="9"/>
      <c r="BC152" s="9"/>
      <c r="BD152" s="9"/>
      <c r="BE152" s="9"/>
      <c r="BF152" s="9"/>
      <c r="BG152" s="9"/>
      <c r="BH152" s="9"/>
      <c r="BI152" s="9"/>
      <c r="BJ152" s="9"/>
      <c r="BK152" s="9"/>
      <c r="BL152" s="9"/>
      <c r="BM152" s="9"/>
      <c r="BN152" s="9"/>
      <c r="BO152" s="9"/>
      <c r="BP152" s="9"/>
    </row>
    <row r="153" spans="1:68">
      <c r="A153" s="824"/>
      <c r="B153" s="824"/>
      <c r="C153" s="166"/>
      <c r="D153" s="161"/>
      <c r="E153" s="163"/>
      <c r="F153" s="163"/>
      <c r="G153" s="164"/>
      <c r="AD153" s="9"/>
      <c r="AE153" s="9"/>
      <c r="AF153" s="9"/>
      <c r="AG153" s="9"/>
      <c r="AH153" s="9"/>
      <c r="AI153" s="9"/>
      <c r="AJ153" s="9"/>
      <c r="AK153" s="9"/>
      <c r="AL153" s="9"/>
      <c r="AM153" s="9"/>
      <c r="AN153" s="9"/>
      <c r="AO153" s="9"/>
      <c r="AP153" s="9"/>
      <c r="AQ153" s="9"/>
      <c r="AR153" s="9"/>
      <c r="AS153" s="9"/>
      <c r="AT153" s="9"/>
      <c r="AU153" s="9"/>
      <c r="AV153" s="9"/>
      <c r="AW153" s="9"/>
      <c r="AX153" s="9"/>
      <c r="AY153" s="9"/>
      <c r="AZ153" s="9"/>
      <c r="BA153" s="9"/>
      <c r="BB153" s="9"/>
      <c r="BC153" s="9"/>
      <c r="BD153" s="9"/>
      <c r="BE153" s="9"/>
      <c r="BF153" s="9"/>
      <c r="BG153" s="9"/>
      <c r="BH153" s="9"/>
      <c r="BI153" s="9"/>
      <c r="BJ153" s="9"/>
      <c r="BK153" s="9"/>
      <c r="BL153" s="9"/>
      <c r="BM153" s="9"/>
      <c r="BN153" s="9"/>
      <c r="BO153" s="9"/>
      <c r="BP153" s="9"/>
    </row>
    <row r="154" spans="1:68">
      <c r="A154" s="824"/>
      <c r="B154" s="824"/>
      <c r="C154" s="166"/>
      <c r="D154" s="161"/>
      <c r="E154" s="163"/>
      <c r="F154" s="163"/>
      <c r="G154" s="164"/>
      <c r="AD154" s="9"/>
      <c r="AE154" s="9"/>
      <c r="AF154" s="9"/>
      <c r="AG154" s="9"/>
      <c r="AH154" s="9"/>
      <c r="AI154" s="9"/>
      <c r="AJ154" s="9"/>
      <c r="AK154" s="9"/>
      <c r="AL154" s="9"/>
      <c r="AM154" s="9"/>
      <c r="AN154" s="9"/>
      <c r="AO154" s="9"/>
      <c r="AP154" s="9"/>
      <c r="AQ154" s="9"/>
      <c r="AR154" s="9"/>
      <c r="AS154" s="9"/>
      <c r="AT154" s="9"/>
      <c r="AU154" s="9"/>
      <c r="AV154" s="9"/>
      <c r="AW154" s="9"/>
      <c r="AX154" s="9"/>
      <c r="AY154" s="9"/>
      <c r="AZ154" s="9"/>
      <c r="BA154" s="9"/>
      <c r="BB154" s="9"/>
      <c r="BC154" s="9"/>
      <c r="BD154" s="9"/>
      <c r="BE154" s="9"/>
      <c r="BF154" s="9"/>
      <c r="BG154" s="9"/>
      <c r="BH154" s="9"/>
      <c r="BI154" s="9"/>
      <c r="BJ154" s="9"/>
      <c r="BK154" s="9"/>
      <c r="BL154" s="9"/>
      <c r="BM154" s="9"/>
      <c r="BN154" s="9"/>
      <c r="BO154" s="9"/>
      <c r="BP154" s="9"/>
    </row>
    <row r="155" spans="1:68">
      <c r="A155" s="824"/>
      <c r="B155" s="824"/>
      <c r="C155" s="166"/>
      <c r="D155" s="161"/>
      <c r="E155" s="163"/>
      <c r="F155" s="163"/>
      <c r="G155" s="164"/>
      <c r="AD155" s="9"/>
      <c r="AE155" s="9"/>
      <c r="AF155" s="9"/>
      <c r="AG155" s="9"/>
      <c r="AH155" s="9"/>
      <c r="AI155" s="9"/>
      <c r="AJ155" s="9"/>
      <c r="AK155" s="9"/>
      <c r="AL155" s="9"/>
      <c r="AM155" s="9"/>
      <c r="AN155" s="9"/>
      <c r="AO155" s="9"/>
      <c r="AP155" s="9"/>
      <c r="AQ155" s="9"/>
      <c r="AR155" s="9"/>
      <c r="AS155" s="9"/>
      <c r="AT155" s="9"/>
      <c r="AU155" s="9"/>
      <c r="AV155" s="9"/>
      <c r="AW155" s="9"/>
      <c r="AX155" s="9"/>
      <c r="AY155" s="9"/>
      <c r="AZ155" s="9"/>
      <c r="BA155" s="9"/>
      <c r="BB155" s="9"/>
      <c r="BC155" s="9"/>
      <c r="BD155" s="9"/>
      <c r="BE155" s="9"/>
      <c r="BF155" s="9"/>
      <c r="BG155" s="9"/>
      <c r="BH155" s="9"/>
      <c r="BI155" s="9"/>
      <c r="BJ155" s="9"/>
      <c r="BK155" s="9"/>
      <c r="BL155" s="9"/>
      <c r="BM155" s="9"/>
      <c r="BN155" s="9"/>
      <c r="BO155" s="9"/>
      <c r="BP155" s="9"/>
    </row>
    <row r="156" spans="1:68">
      <c r="A156" s="824"/>
      <c r="B156" s="824"/>
      <c r="C156" s="166"/>
      <c r="D156" s="161"/>
      <c r="E156" s="163"/>
      <c r="F156" s="163"/>
      <c r="G156" s="164"/>
      <c r="AD156" s="9"/>
      <c r="AE156" s="9"/>
      <c r="AF156" s="9"/>
      <c r="AG156" s="9"/>
      <c r="AH156" s="9"/>
      <c r="AI156" s="9"/>
      <c r="AJ156" s="9"/>
      <c r="AK156" s="9"/>
      <c r="AL156" s="9"/>
      <c r="AM156" s="9"/>
      <c r="AN156" s="9"/>
      <c r="AO156" s="9"/>
      <c r="AP156" s="9"/>
      <c r="AQ156" s="9"/>
      <c r="AR156" s="9"/>
      <c r="AS156" s="9"/>
      <c r="AT156" s="9"/>
      <c r="AU156" s="9"/>
      <c r="AV156" s="9"/>
      <c r="AW156" s="9"/>
      <c r="AX156" s="9"/>
      <c r="AY156" s="9"/>
      <c r="AZ156" s="9"/>
      <c r="BA156" s="9"/>
      <c r="BB156" s="9"/>
      <c r="BC156" s="9"/>
      <c r="BD156" s="9"/>
      <c r="BE156" s="9"/>
      <c r="BF156" s="9"/>
      <c r="BG156" s="9"/>
      <c r="BH156" s="9"/>
      <c r="BI156" s="9"/>
      <c r="BJ156" s="9"/>
      <c r="BK156" s="9"/>
      <c r="BL156" s="9"/>
      <c r="BM156" s="9"/>
      <c r="BN156" s="9"/>
      <c r="BO156" s="9"/>
      <c r="BP156" s="9"/>
    </row>
    <row r="157" spans="1:68">
      <c r="A157" s="824"/>
      <c r="B157" s="824"/>
      <c r="C157" s="166"/>
      <c r="D157" s="161"/>
      <c r="E157" s="163"/>
      <c r="F157" s="163"/>
      <c r="G157" s="164"/>
      <c r="AD157" s="9"/>
      <c r="AE157" s="9"/>
      <c r="AF157" s="9"/>
      <c r="AG157" s="9"/>
      <c r="AH157" s="9"/>
      <c r="AI157" s="9"/>
      <c r="AJ157" s="9"/>
      <c r="AK157" s="9"/>
      <c r="AL157" s="9"/>
      <c r="AM157" s="9"/>
      <c r="AN157" s="9"/>
      <c r="AO157" s="9"/>
      <c r="AP157" s="9"/>
      <c r="AQ157" s="9"/>
      <c r="AR157" s="9"/>
      <c r="AS157" s="9"/>
      <c r="AT157" s="9"/>
      <c r="AU157" s="9"/>
      <c r="AV157" s="9"/>
      <c r="AW157" s="9"/>
      <c r="AX157" s="9"/>
      <c r="AY157" s="9"/>
      <c r="AZ157" s="9"/>
      <c r="BA157" s="9"/>
      <c r="BB157" s="9"/>
      <c r="BC157" s="9"/>
      <c r="BD157" s="9"/>
      <c r="BE157" s="9"/>
      <c r="BF157" s="9"/>
      <c r="BG157" s="9"/>
      <c r="BH157" s="9"/>
      <c r="BI157" s="9"/>
      <c r="BJ157" s="9"/>
      <c r="BK157" s="9"/>
      <c r="BL157" s="9"/>
      <c r="BM157" s="9"/>
      <c r="BN157" s="9"/>
      <c r="BO157" s="9"/>
      <c r="BP157" s="9"/>
    </row>
    <row r="158" spans="1:68">
      <c r="A158" s="824"/>
      <c r="B158" s="824"/>
      <c r="C158" s="166"/>
      <c r="D158" s="161"/>
      <c r="E158" s="163"/>
      <c r="F158" s="163"/>
      <c r="G158" s="164"/>
      <c r="AD158" s="9"/>
      <c r="AE158" s="9"/>
      <c r="AF158" s="9"/>
      <c r="AG158" s="9"/>
      <c r="AH158" s="9"/>
      <c r="AI158" s="9"/>
      <c r="AJ158" s="9"/>
      <c r="AK158" s="9"/>
      <c r="AL158" s="9"/>
      <c r="AM158" s="9"/>
      <c r="AN158" s="9"/>
      <c r="AO158" s="9"/>
      <c r="AP158" s="9"/>
      <c r="AQ158" s="9"/>
      <c r="AR158" s="9"/>
      <c r="AS158" s="9"/>
      <c r="AT158" s="9"/>
      <c r="AU158" s="9"/>
      <c r="AV158" s="9"/>
      <c r="AW158" s="9"/>
      <c r="AX158" s="9"/>
      <c r="AY158" s="9"/>
      <c r="AZ158" s="9"/>
      <c r="BA158" s="9"/>
      <c r="BB158" s="9"/>
      <c r="BC158" s="9"/>
      <c r="BD158" s="9"/>
      <c r="BE158" s="9"/>
      <c r="BF158" s="9"/>
      <c r="BG158" s="9"/>
      <c r="BH158" s="9"/>
      <c r="BI158" s="9"/>
      <c r="BJ158" s="9"/>
      <c r="BK158" s="9"/>
      <c r="BL158" s="9"/>
      <c r="BM158" s="9"/>
      <c r="BN158" s="9"/>
      <c r="BO158" s="9"/>
      <c r="BP158" s="9"/>
    </row>
    <row r="159" spans="1:68">
      <c r="A159" s="824"/>
      <c r="B159" s="824"/>
      <c r="C159" s="166"/>
      <c r="D159" s="168"/>
      <c r="E159" s="163"/>
      <c r="F159" s="163"/>
      <c r="G159" s="164"/>
      <c r="AD159" s="9"/>
      <c r="AE159" s="9"/>
      <c r="AF159" s="9"/>
      <c r="AG159" s="9"/>
      <c r="AH159" s="9"/>
      <c r="AI159" s="9"/>
      <c r="AJ159" s="9"/>
      <c r="AK159" s="9"/>
      <c r="AL159" s="9"/>
      <c r="AM159" s="9"/>
      <c r="AN159" s="9"/>
      <c r="AO159" s="9"/>
      <c r="AP159" s="9"/>
      <c r="AQ159" s="9"/>
      <c r="AR159" s="9"/>
      <c r="AS159" s="9"/>
      <c r="AT159" s="9"/>
      <c r="AU159" s="9"/>
      <c r="AV159" s="9"/>
      <c r="AW159" s="9"/>
      <c r="AX159" s="9"/>
      <c r="AY159" s="9"/>
      <c r="AZ159" s="9"/>
      <c r="BA159" s="9"/>
      <c r="BB159" s="9"/>
      <c r="BC159" s="9"/>
      <c r="BD159" s="9"/>
      <c r="BE159" s="9"/>
      <c r="BF159" s="9"/>
      <c r="BG159" s="9"/>
      <c r="BH159" s="9"/>
      <c r="BI159" s="9"/>
      <c r="BJ159" s="9"/>
      <c r="BK159" s="9"/>
      <c r="BL159" s="9"/>
      <c r="BM159" s="9"/>
      <c r="BN159" s="9"/>
      <c r="BO159" s="9"/>
      <c r="BP159" s="9"/>
    </row>
    <row r="160" spans="1:68">
      <c r="A160" s="824"/>
      <c r="B160" s="824"/>
      <c r="C160" s="166"/>
      <c r="D160" s="161"/>
      <c r="E160" s="163"/>
      <c r="F160" s="163"/>
      <c r="G160" s="164"/>
      <c r="AD160" s="9"/>
      <c r="AE160" s="9"/>
      <c r="AF160" s="9"/>
      <c r="AG160" s="9"/>
      <c r="AH160" s="9"/>
      <c r="AI160" s="9"/>
      <c r="AJ160" s="9"/>
      <c r="AK160" s="9"/>
      <c r="AL160" s="9"/>
      <c r="AM160" s="9"/>
      <c r="AN160" s="9"/>
      <c r="AO160" s="9"/>
      <c r="AP160" s="9"/>
      <c r="AQ160" s="9"/>
      <c r="AR160" s="9"/>
      <c r="AS160" s="9"/>
      <c r="AT160" s="9"/>
      <c r="AU160" s="9"/>
      <c r="AV160" s="9"/>
      <c r="AW160" s="9"/>
      <c r="AX160" s="9"/>
      <c r="AY160" s="9"/>
      <c r="AZ160" s="9"/>
      <c r="BA160" s="9"/>
      <c r="BB160" s="9"/>
      <c r="BC160" s="9"/>
      <c r="BD160" s="9"/>
      <c r="BE160" s="9"/>
      <c r="BF160" s="9"/>
      <c r="BG160" s="9"/>
      <c r="BH160" s="9"/>
      <c r="BI160" s="9"/>
      <c r="BJ160" s="9"/>
      <c r="BK160" s="9"/>
      <c r="BL160" s="9"/>
      <c r="BM160" s="9"/>
      <c r="BN160" s="9"/>
      <c r="BO160" s="9"/>
      <c r="BP160" s="9"/>
    </row>
    <row r="161" spans="1:68">
      <c r="A161" s="824"/>
      <c r="B161" s="824"/>
      <c r="C161" s="160"/>
      <c r="D161" s="161"/>
      <c r="E161" s="163"/>
      <c r="F161" s="163"/>
      <c r="G161" s="164"/>
      <c r="AD161" s="9"/>
      <c r="AE161" s="9"/>
      <c r="AF161" s="9"/>
      <c r="AG161" s="9"/>
      <c r="AH161" s="9"/>
      <c r="AI161" s="9"/>
      <c r="AJ161" s="9"/>
      <c r="AK161" s="9"/>
      <c r="AL161" s="9"/>
      <c r="AM161" s="9"/>
      <c r="AN161" s="9"/>
      <c r="AO161" s="9"/>
      <c r="AP161" s="9"/>
      <c r="AQ161" s="9"/>
      <c r="AR161" s="9"/>
      <c r="AS161" s="9"/>
      <c r="AT161" s="9"/>
      <c r="AU161" s="9"/>
      <c r="AV161" s="9"/>
      <c r="AW161" s="9"/>
      <c r="AX161" s="9"/>
      <c r="AY161" s="9"/>
      <c r="AZ161" s="9"/>
      <c r="BA161" s="9"/>
      <c r="BB161" s="9"/>
      <c r="BC161" s="9"/>
      <c r="BD161" s="9"/>
      <c r="BE161" s="9"/>
      <c r="BF161" s="9"/>
      <c r="BG161" s="9"/>
      <c r="BH161" s="9"/>
      <c r="BI161" s="9"/>
      <c r="BJ161" s="9"/>
      <c r="BK161" s="9"/>
      <c r="BL161" s="9"/>
      <c r="BM161" s="9"/>
      <c r="BN161" s="9"/>
      <c r="BO161" s="9"/>
      <c r="BP161" s="9"/>
    </row>
    <row r="162" spans="1:68">
      <c r="A162" s="824"/>
      <c r="B162" s="824"/>
      <c r="C162" s="166"/>
      <c r="D162" s="161"/>
      <c r="E162" s="163"/>
      <c r="F162" s="163"/>
      <c r="G162" s="164"/>
      <c r="AD162" s="9"/>
      <c r="AE162" s="9"/>
      <c r="AF162" s="9"/>
      <c r="AG162" s="9"/>
      <c r="AH162" s="9"/>
      <c r="AI162" s="9"/>
      <c r="AJ162" s="9"/>
      <c r="AK162" s="9"/>
      <c r="AL162" s="9"/>
      <c r="AM162" s="9"/>
      <c r="AN162" s="9"/>
      <c r="AO162" s="9"/>
      <c r="AP162" s="9"/>
      <c r="AQ162" s="9"/>
      <c r="AR162" s="9"/>
      <c r="AS162" s="9"/>
      <c r="AT162" s="9"/>
      <c r="AU162" s="9"/>
      <c r="AV162" s="9"/>
      <c r="AW162" s="9"/>
      <c r="AX162" s="9"/>
      <c r="AY162" s="9"/>
      <c r="AZ162" s="9"/>
      <c r="BA162" s="9"/>
      <c r="BB162" s="9"/>
      <c r="BC162" s="9"/>
      <c r="BD162" s="9"/>
      <c r="BE162" s="9"/>
      <c r="BF162" s="9"/>
      <c r="BG162" s="9"/>
      <c r="BH162" s="9"/>
      <c r="BI162" s="9"/>
      <c r="BJ162" s="9"/>
      <c r="BK162" s="9"/>
      <c r="BL162" s="9"/>
      <c r="BM162" s="9"/>
      <c r="BN162" s="9"/>
      <c r="BO162" s="9"/>
      <c r="BP162" s="9"/>
    </row>
    <row r="163" spans="1:68">
      <c r="C163" s="166"/>
      <c r="D163" s="161"/>
      <c r="E163" s="157"/>
      <c r="F163" s="163"/>
      <c r="G163" s="164"/>
      <c r="AD163" s="9"/>
      <c r="AE163" s="9"/>
      <c r="AF163" s="9"/>
      <c r="AG163" s="9"/>
      <c r="AH163" s="9"/>
      <c r="AI163" s="9"/>
      <c r="AJ163" s="9"/>
      <c r="AK163" s="9"/>
      <c r="AL163" s="9"/>
      <c r="AM163" s="9"/>
      <c r="AN163" s="9"/>
      <c r="AO163" s="9"/>
      <c r="AP163" s="9"/>
      <c r="AQ163" s="9"/>
      <c r="AR163" s="9"/>
      <c r="AS163" s="9"/>
      <c r="AT163" s="9"/>
      <c r="AU163" s="9"/>
      <c r="AV163" s="9"/>
      <c r="AW163" s="9"/>
      <c r="AX163" s="9"/>
      <c r="AY163" s="9"/>
      <c r="AZ163" s="9"/>
      <c r="BA163" s="9"/>
      <c r="BB163" s="9"/>
      <c r="BC163" s="9"/>
      <c r="BD163" s="9"/>
      <c r="BE163" s="9"/>
      <c r="BF163" s="9"/>
      <c r="BG163" s="9"/>
      <c r="BH163" s="9"/>
      <c r="BI163" s="9"/>
      <c r="BJ163" s="9"/>
      <c r="BK163" s="9"/>
      <c r="BL163" s="9"/>
      <c r="BM163" s="9"/>
      <c r="BN163" s="9"/>
      <c r="BO163" s="9"/>
      <c r="BP163" s="9"/>
    </row>
    <row r="164" spans="1:68">
      <c r="C164" s="166"/>
      <c r="D164" s="168"/>
      <c r="E164" s="163"/>
      <c r="F164" s="163"/>
      <c r="G164" s="164"/>
      <c r="AD164" s="9"/>
      <c r="AE164" s="9"/>
      <c r="AF164" s="9"/>
      <c r="AG164" s="9"/>
      <c r="AH164" s="9"/>
      <c r="AI164" s="9"/>
      <c r="AJ164" s="9"/>
      <c r="AK164" s="9"/>
      <c r="AL164" s="9"/>
      <c r="AM164" s="9"/>
      <c r="AN164" s="9"/>
      <c r="AO164" s="9"/>
      <c r="AP164" s="9"/>
      <c r="AQ164" s="9"/>
      <c r="AR164" s="9"/>
      <c r="AS164" s="9"/>
      <c r="AT164" s="9"/>
      <c r="AU164" s="9"/>
      <c r="AV164" s="9"/>
      <c r="AW164" s="9"/>
      <c r="AX164" s="9"/>
      <c r="AY164" s="9"/>
      <c r="AZ164" s="9"/>
      <c r="BA164" s="9"/>
      <c r="BB164" s="9"/>
      <c r="BC164" s="9"/>
      <c r="BD164" s="9"/>
      <c r="BE164" s="9"/>
      <c r="BF164" s="9"/>
      <c r="BG164" s="9"/>
      <c r="BH164" s="9"/>
      <c r="BI164" s="9"/>
      <c r="BJ164" s="9"/>
      <c r="BK164" s="9"/>
      <c r="BL164" s="9"/>
      <c r="BM164" s="9"/>
      <c r="BN164" s="9"/>
      <c r="BO164" s="9"/>
      <c r="BP164" s="9"/>
    </row>
    <row r="165" spans="1:68">
      <c r="C165" s="166"/>
      <c r="D165" s="161"/>
      <c r="E165" s="157"/>
      <c r="F165" s="163"/>
      <c r="G165" s="164"/>
      <c r="AD165" s="9"/>
      <c r="AE165" s="9"/>
      <c r="AF165" s="9"/>
      <c r="AG165" s="9"/>
      <c r="AH165" s="9"/>
      <c r="AI165" s="9"/>
      <c r="AJ165" s="9"/>
      <c r="AK165" s="9"/>
      <c r="AL165" s="9"/>
      <c r="AM165" s="9"/>
      <c r="AN165" s="9"/>
      <c r="AO165" s="9"/>
      <c r="AP165" s="9"/>
      <c r="AQ165" s="9"/>
      <c r="AR165" s="9"/>
      <c r="AS165" s="9"/>
      <c r="AT165" s="9"/>
      <c r="AU165" s="9"/>
      <c r="AV165" s="9"/>
      <c r="AW165" s="9"/>
      <c r="AX165" s="9"/>
      <c r="AY165" s="9"/>
      <c r="AZ165" s="9"/>
      <c r="BA165" s="9"/>
      <c r="BB165" s="9"/>
      <c r="BC165" s="9"/>
      <c r="BD165" s="9"/>
      <c r="BE165" s="9"/>
      <c r="BF165" s="9"/>
      <c r="BG165" s="9"/>
      <c r="BH165" s="9"/>
      <c r="BI165" s="9"/>
      <c r="BJ165" s="9"/>
      <c r="BK165" s="9"/>
      <c r="BL165" s="9"/>
      <c r="BM165" s="9"/>
      <c r="BN165" s="9"/>
      <c r="BO165" s="9"/>
      <c r="BP165" s="9"/>
    </row>
    <row r="166" spans="1:68">
      <c r="AD166" s="9"/>
      <c r="AE166" s="9"/>
      <c r="AF166" s="9"/>
      <c r="AG166" s="9"/>
      <c r="AH166" s="9"/>
      <c r="AI166" s="9"/>
      <c r="AJ166" s="9"/>
      <c r="AK166" s="9"/>
      <c r="AL166" s="9"/>
      <c r="AM166" s="9"/>
      <c r="AN166" s="9"/>
      <c r="AO166" s="9"/>
      <c r="AP166" s="9"/>
      <c r="AQ166" s="9"/>
      <c r="AR166" s="9"/>
      <c r="AS166" s="9"/>
      <c r="AT166" s="9"/>
      <c r="AU166" s="9"/>
      <c r="AV166" s="9"/>
      <c r="AW166" s="9"/>
      <c r="AX166" s="9"/>
      <c r="AY166" s="9"/>
      <c r="AZ166" s="9"/>
      <c r="BA166" s="9"/>
      <c r="BB166" s="9"/>
      <c r="BC166" s="9"/>
      <c r="BD166" s="9"/>
      <c r="BE166" s="9"/>
      <c r="BF166" s="9"/>
      <c r="BG166" s="9"/>
      <c r="BH166" s="9"/>
      <c r="BI166" s="9"/>
      <c r="BJ166" s="9"/>
      <c r="BK166" s="9"/>
      <c r="BL166" s="9"/>
      <c r="BM166" s="9"/>
      <c r="BN166" s="9"/>
      <c r="BO166" s="9"/>
      <c r="BP166" s="9"/>
    </row>
    <row r="167" spans="1:68">
      <c r="AD167" s="9"/>
      <c r="AE167" s="9"/>
      <c r="AF167" s="9"/>
      <c r="AG167" s="9"/>
      <c r="AH167" s="9"/>
      <c r="AI167" s="9"/>
      <c r="AJ167" s="9"/>
      <c r="AK167" s="9"/>
      <c r="AL167" s="9"/>
      <c r="AM167" s="9"/>
      <c r="AN167" s="9"/>
      <c r="AO167" s="9"/>
      <c r="AP167" s="9"/>
      <c r="AQ167" s="9"/>
      <c r="AR167" s="9"/>
      <c r="AS167" s="9"/>
      <c r="AT167" s="9"/>
      <c r="AU167" s="9"/>
      <c r="AV167" s="9"/>
      <c r="AW167" s="9"/>
      <c r="AX167" s="9"/>
      <c r="AY167" s="9"/>
      <c r="AZ167" s="9"/>
      <c r="BA167" s="9"/>
      <c r="BB167" s="9"/>
      <c r="BC167" s="9"/>
      <c r="BD167" s="9"/>
      <c r="BE167" s="9"/>
      <c r="BF167" s="9"/>
      <c r="BG167" s="9"/>
      <c r="BH167" s="9"/>
      <c r="BI167" s="9"/>
      <c r="BJ167" s="9"/>
      <c r="BK167" s="9"/>
      <c r="BL167" s="9"/>
      <c r="BM167" s="9"/>
      <c r="BN167" s="9"/>
      <c r="BO167" s="9"/>
      <c r="BP167" s="9"/>
    </row>
    <row r="168" spans="1:68">
      <c r="A168" s="824"/>
      <c r="B168" s="824"/>
      <c r="C168" s="155"/>
      <c r="D168" s="155"/>
      <c r="E168" s="157"/>
      <c r="F168" s="157"/>
      <c r="G168" s="157"/>
      <c r="AD168" s="9"/>
      <c r="AE168" s="9"/>
      <c r="AF168" s="9"/>
      <c r="AG168" s="9"/>
      <c r="AH168" s="9"/>
      <c r="AI168" s="9"/>
      <c r="AJ168" s="9"/>
      <c r="AK168" s="9"/>
      <c r="AL168" s="9"/>
      <c r="AM168" s="9"/>
      <c r="AN168" s="9"/>
      <c r="AO168" s="9"/>
      <c r="AP168" s="9"/>
      <c r="AQ168" s="9"/>
      <c r="AR168" s="9"/>
      <c r="AS168" s="9"/>
      <c r="AT168" s="9"/>
      <c r="AU168" s="9"/>
      <c r="AV168" s="9"/>
      <c r="AW168" s="9"/>
      <c r="AX168" s="9"/>
      <c r="AY168" s="9"/>
      <c r="AZ168" s="9"/>
      <c r="BA168" s="9"/>
      <c r="BB168" s="9"/>
      <c r="BC168" s="9"/>
      <c r="BD168" s="9"/>
      <c r="BE168" s="9"/>
      <c r="BF168" s="9"/>
      <c r="BG168" s="9"/>
      <c r="BH168" s="9"/>
      <c r="BI168" s="9"/>
      <c r="BJ168" s="9"/>
      <c r="BK168" s="9"/>
      <c r="BL168" s="9"/>
      <c r="BM168" s="9"/>
      <c r="BN168" s="9"/>
      <c r="BO168" s="9"/>
      <c r="BP168" s="9"/>
    </row>
    <row r="169" spans="1:68">
      <c r="A169" s="824"/>
      <c r="B169" s="824"/>
      <c r="C169" s="155"/>
      <c r="D169" s="155"/>
      <c r="E169" s="157"/>
      <c r="F169" s="157"/>
      <c r="G169" s="826"/>
      <c r="AD169" s="9"/>
      <c r="AE169" s="9"/>
      <c r="AF169" s="9"/>
      <c r="AG169" s="9"/>
      <c r="AH169" s="9"/>
      <c r="AI169" s="9"/>
      <c r="AJ169" s="9"/>
      <c r="AK169" s="9"/>
      <c r="AL169" s="9"/>
      <c r="AM169" s="9"/>
      <c r="AN169" s="9"/>
      <c r="AO169" s="9"/>
      <c r="AP169" s="9"/>
      <c r="AQ169" s="9"/>
      <c r="AR169" s="9"/>
      <c r="AS169" s="9"/>
      <c r="AT169" s="9"/>
      <c r="AU169" s="9"/>
      <c r="AV169" s="9"/>
      <c r="AW169" s="9"/>
      <c r="AX169" s="9"/>
      <c r="AY169" s="9"/>
      <c r="AZ169" s="9"/>
      <c r="BA169" s="9"/>
      <c r="BB169" s="9"/>
      <c r="BC169" s="9"/>
      <c r="BD169" s="9"/>
      <c r="BE169" s="9"/>
      <c r="BF169" s="9"/>
      <c r="BG169" s="9"/>
      <c r="BH169" s="9"/>
      <c r="BI169" s="9"/>
      <c r="BJ169" s="9"/>
      <c r="BK169" s="9"/>
      <c r="BL169" s="9"/>
      <c r="BM169" s="9"/>
      <c r="BN169" s="9"/>
      <c r="BO169" s="9"/>
      <c r="BP169" s="9"/>
    </row>
    <row r="170" spans="1:68">
      <c r="A170" s="824"/>
      <c r="B170" s="824"/>
      <c r="C170" s="157"/>
      <c r="D170" s="157"/>
      <c r="E170" s="163"/>
      <c r="F170" s="157"/>
      <c r="G170" s="826"/>
      <c r="AD170" s="9"/>
      <c r="AE170" s="9"/>
      <c r="AF170" s="9"/>
      <c r="AG170" s="9"/>
      <c r="AH170" s="9"/>
      <c r="AI170" s="9"/>
      <c r="AJ170" s="9"/>
      <c r="AK170" s="9"/>
      <c r="AL170" s="9"/>
      <c r="AM170" s="9"/>
      <c r="AN170" s="9"/>
      <c r="AO170" s="9"/>
      <c r="AP170" s="9"/>
      <c r="AQ170" s="9"/>
      <c r="AR170" s="9"/>
      <c r="AS170" s="9"/>
      <c r="AT170" s="9"/>
      <c r="AU170" s="9"/>
      <c r="AV170" s="9"/>
      <c r="AW170" s="9"/>
      <c r="AX170" s="9"/>
      <c r="AY170" s="9"/>
      <c r="AZ170" s="9"/>
      <c r="BA170" s="9"/>
      <c r="BB170" s="9"/>
      <c r="BC170" s="9"/>
      <c r="BD170" s="9"/>
      <c r="BE170" s="9"/>
      <c r="BF170" s="9"/>
      <c r="BG170" s="9"/>
      <c r="BH170" s="9"/>
      <c r="BI170" s="9"/>
      <c r="BJ170" s="9"/>
      <c r="BK170" s="9"/>
      <c r="BL170" s="9"/>
      <c r="BM170" s="9"/>
      <c r="BN170" s="9"/>
      <c r="BO170" s="9"/>
      <c r="BP170" s="9"/>
    </row>
    <row r="171" spans="1:68">
      <c r="A171" s="824"/>
      <c r="B171" s="824"/>
      <c r="C171" s="160"/>
      <c r="D171" s="161"/>
      <c r="E171" s="163"/>
      <c r="F171" s="163"/>
      <c r="G171" s="164"/>
      <c r="AD171" s="9"/>
      <c r="AE171" s="9"/>
      <c r="AF171" s="9"/>
      <c r="AG171" s="9"/>
      <c r="AH171" s="9"/>
      <c r="AI171" s="9"/>
      <c r="AJ171" s="9"/>
      <c r="AK171" s="9"/>
      <c r="AL171" s="9"/>
      <c r="AM171" s="9"/>
      <c r="AN171" s="9"/>
      <c r="AO171" s="9"/>
      <c r="AP171" s="9"/>
      <c r="AQ171" s="9"/>
      <c r="AR171" s="9"/>
      <c r="AS171" s="9"/>
      <c r="AT171" s="9"/>
      <c r="AU171" s="9"/>
      <c r="AV171" s="9"/>
      <c r="AW171" s="9"/>
      <c r="AX171" s="9"/>
      <c r="AY171" s="9"/>
      <c r="AZ171" s="9"/>
      <c r="BA171" s="9"/>
      <c r="BB171" s="9"/>
      <c r="BC171" s="9"/>
      <c r="BD171" s="9"/>
      <c r="BE171" s="9"/>
      <c r="BF171" s="9"/>
      <c r="BG171" s="9"/>
      <c r="BH171" s="9"/>
      <c r="BI171" s="9"/>
      <c r="BJ171" s="9"/>
      <c r="BK171" s="9"/>
      <c r="BL171" s="9"/>
      <c r="BM171" s="9"/>
      <c r="BN171" s="9"/>
      <c r="BO171" s="9"/>
      <c r="BP171" s="9"/>
    </row>
    <row r="172" spans="1:68">
      <c r="A172" s="824"/>
      <c r="B172" s="824"/>
      <c r="C172" s="166"/>
      <c r="D172" s="161"/>
      <c r="E172" s="163"/>
      <c r="F172" s="163"/>
      <c r="G172" s="164"/>
      <c r="AD172" s="9"/>
      <c r="AE172" s="9"/>
      <c r="AF172" s="9"/>
      <c r="AG172" s="9"/>
      <c r="AH172" s="9"/>
      <c r="AI172" s="9"/>
      <c r="AJ172" s="9"/>
      <c r="AK172" s="9"/>
      <c r="AL172" s="9"/>
      <c r="AM172" s="9"/>
      <c r="AN172" s="9"/>
      <c r="AO172" s="9"/>
      <c r="AP172" s="9"/>
      <c r="AQ172" s="9"/>
      <c r="AR172" s="9"/>
      <c r="AS172" s="9"/>
      <c r="AT172" s="9"/>
      <c r="AU172" s="9"/>
      <c r="AV172" s="9"/>
      <c r="AW172" s="9"/>
      <c r="AX172" s="9"/>
      <c r="AY172" s="9"/>
      <c r="AZ172" s="9"/>
      <c r="BA172" s="9"/>
      <c r="BB172" s="9"/>
      <c r="BC172" s="9"/>
      <c r="BD172" s="9"/>
      <c r="BE172" s="9"/>
      <c r="BF172" s="9"/>
      <c r="BG172" s="9"/>
      <c r="BH172" s="9"/>
      <c r="BI172" s="9"/>
      <c r="BJ172" s="9"/>
      <c r="BK172" s="9"/>
      <c r="BL172" s="9"/>
      <c r="BM172" s="9"/>
      <c r="BN172" s="9"/>
      <c r="BO172" s="9"/>
      <c r="BP172" s="9"/>
    </row>
    <row r="173" spans="1:68">
      <c r="A173" s="824"/>
      <c r="B173" s="824"/>
      <c r="C173" s="166"/>
      <c r="D173" s="161"/>
      <c r="E173" s="157"/>
      <c r="F173" s="163"/>
      <c r="G173" s="164"/>
      <c r="AD173" s="9"/>
      <c r="AE173" s="9"/>
      <c r="AF173" s="9"/>
      <c r="AG173" s="9"/>
      <c r="AH173" s="9"/>
      <c r="AI173" s="9"/>
      <c r="AJ173" s="9"/>
      <c r="AK173" s="9"/>
      <c r="AL173" s="9"/>
      <c r="AM173" s="9"/>
      <c r="AN173" s="9"/>
      <c r="AO173" s="9"/>
      <c r="AP173" s="9"/>
      <c r="AQ173" s="9"/>
      <c r="AR173" s="9"/>
      <c r="AS173" s="9"/>
      <c r="AT173" s="9"/>
      <c r="AU173" s="9"/>
      <c r="AV173" s="9"/>
      <c r="AW173" s="9"/>
      <c r="AX173" s="9"/>
      <c r="AY173" s="9"/>
      <c r="AZ173" s="9"/>
      <c r="BA173" s="9"/>
      <c r="BB173" s="9"/>
      <c r="BC173" s="9"/>
      <c r="BD173" s="9"/>
      <c r="BE173" s="9"/>
      <c r="BF173" s="9"/>
      <c r="BG173" s="9"/>
      <c r="BH173" s="9"/>
      <c r="BI173" s="9"/>
      <c r="BJ173" s="9"/>
      <c r="BK173" s="9"/>
      <c r="BL173" s="9"/>
      <c r="BM173" s="9"/>
      <c r="BN173" s="9"/>
      <c r="BO173" s="9"/>
      <c r="BP173" s="9"/>
    </row>
    <row r="174" spans="1:68">
      <c r="A174" s="824"/>
      <c r="B174" s="824"/>
      <c r="C174" s="155"/>
      <c r="D174" s="161"/>
      <c r="E174" s="163"/>
      <c r="F174" s="163"/>
      <c r="G174" s="164"/>
      <c r="AD174" s="9"/>
      <c r="AE174" s="9"/>
      <c r="AF174" s="9"/>
      <c r="AG174" s="9"/>
      <c r="AH174" s="9"/>
      <c r="AI174" s="9"/>
      <c r="AJ174" s="9"/>
      <c r="AK174" s="9"/>
      <c r="AL174" s="9"/>
      <c r="AM174" s="9"/>
      <c r="AN174" s="9"/>
      <c r="AO174" s="9"/>
      <c r="AP174" s="9"/>
      <c r="AQ174" s="9"/>
      <c r="AR174" s="9"/>
      <c r="AS174" s="9"/>
      <c r="AT174" s="9"/>
      <c r="AU174" s="9"/>
      <c r="AV174" s="9"/>
      <c r="AW174" s="9"/>
      <c r="AX174" s="9"/>
      <c r="AY174" s="9"/>
      <c r="AZ174" s="9"/>
      <c r="BA174" s="9"/>
      <c r="BB174" s="9"/>
      <c r="BC174" s="9"/>
      <c r="BD174" s="9"/>
      <c r="BE174" s="9"/>
      <c r="BF174" s="9"/>
      <c r="BG174" s="9"/>
      <c r="BH174" s="9"/>
      <c r="BI174" s="9"/>
      <c r="BJ174" s="9"/>
      <c r="BK174" s="9"/>
      <c r="BL174" s="9"/>
      <c r="BM174" s="9"/>
      <c r="BN174" s="9"/>
      <c r="BO174" s="9"/>
      <c r="BP174" s="9"/>
    </row>
    <row r="175" spans="1:68">
      <c r="A175" s="824"/>
      <c r="B175" s="824"/>
      <c r="C175" s="166"/>
      <c r="D175" s="161"/>
      <c r="E175" s="157"/>
      <c r="F175" s="163"/>
      <c r="G175" s="164"/>
      <c r="AD175" s="9"/>
      <c r="AE175" s="9"/>
      <c r="AF175" s="9"/>
      <c r="AG175" s="9"/>
      <c r="AH175" s="9"/>
      <c r="AI175" s="9"/>
      <c r="AJ175" s="9"/>
      <c r="AK175" s="9"/>
      <c r="AL175" s="9"/>
      <c r="AM175" s="9"/>
      <c r="AN175" s="9"/>
      <c r="AO175" s="9"/>
      <c r="AP175" s="9"/>
      <c r="AQ175" s="9"/>
      <c r="AR175" s="9"/>
      <c r="AS175" s="9"/>
      <c r="AT175" s="9"/>
      <c r="AU175" s="9"/>
      <c r="AV175" s="9"/>
      <c r="AW175" s="9"/>
      <c r="AX175" s="9"/>
      <c r="AY175" s="9"/>
      <c r="AZ175" s="9"/>
      <c r="BA175" s="9"/>
      <c r="BB175" s="9"/>
      <c r="BC175" s="9"/>
      <c r="BD175" s="9"/>
      <c r="BE175" s="9"/>
      <c r="BF175" s="9"/>
      <c r="BG175" s="9"/>
      <c r="BH175" s="9"/>
      <c r="BI175" s="9"/>
      <c r="BJ175" s="9"/>
      <c r="BK175" s="9"/>
      <c r="BL175" s="9"/>
      <c r="BM175" s="9"/>
      <c r="BN175" s="9"/>
      <c r="BO175" s="9"/>
      <c r="BP175" s="9"/>
    </row>
    <row r="176" spans="1:68">
      <c r="A176" s="824"/>
      <c r="B176" s="824"/>
      <c r="C176" s="166"/>
      <c r="D176" s="161"/>
      <c r="E176" s="163"/>
      <c r="F176" s="163"/>
      <c r="G176" s="164"/>
      <c r="AD176" s="9"/>
      <c r="AE176" s="9"/>
      <c r="AF176" s="9"/>
      <c r="AG176" s="9"/>
      <c r="AH176" s="9"/>
      <c r="AI176" s="9"/>
      <c r="AJ176" s="9"/>
      <c r="AK176" s="9"/>
      <c r="AL176" s="9"/>
      <c r="AM176" s="9"/>
      <c r="AN176" s="9"/>
      <c r="AO176" s="9"/>
      <c r="AP176" s="9"/>
      <c r="AQ176" s="9"/>
      <c r="AR176" s="9"/>
      <c r="AS176" s="9"/>
      <c r="AT176" s="9"/>
      <c r="AU176" s="9"/>
      <c r="AV176" s="9"/>
      <c r="AW176" s="9"/>
      <c r="AX176" s="9"/>
      <c r="AY176" s="9"/>
      <c r="AZ176" s="9"/>
      <c r="BA176" s="9"/>
      <c r="BB176" s="9"/>
      <c r="BC176" s="9"/>
      <c r="BD176" s="9"/>
      <c r="BE176" s="9"/>
      <c r="BF176" s="9"/>
      <c r="BG176" s="9"/>
      <c r="BH176" s="9"/>
      <c r="BI176" s="9"/>
      <c r="BJ176" s="9"/>
      <c r="BK176" s="9"/>
      <c r="BL176" s="9"/>
      <c r="BM176" s="9"/>
      <c r="BN176" s="9"/>
      <c r="BO176" s="9"/>
      <c r="BP176" s="9"/>
    </row>
    <row r="177" spans="1:68">
      <c r="A177" s="824"/>
      <c r="B177" s="824"/>
      <c r="C177" s="166"/>
      <c r="D177" s="161"/>
      <c r="E177" s="163"/>
      <c r="F177" s="163"/>
      <c r="G177" s="164"/>
      <c r="AD177" s="9"/>
      <c r="AE177" s="9"/>
      <c r="AF177" s="9"/>
      <c r="AG177" s="9"/>
      <c r="AH177" s="9"/>
      <c r="AI177" s="9"/>
      <c r="AJ177" s="9"/>
      <c r="AK177" s="9"/>
      <c r="AL177" s="9"/>
      <c r="AM177" s="9"/>
      <c r="AN177" s="9"/>
      <c r="AO177" s="9"/>
      <c r="AP177" s="9"/>
      <c r="AQ177" s="9"/>
      <c r="AR177" s="9"/>
      <c r="AS177" s="9"/>
      <c r="AT177" s="9"/>
      <c r="AU177" s="9"/>
      <c r="AV177" s="9"/>
      <c r="AW177" s="9"/>
      <c r="AX177" s="9"/>
      <c r="AY177" s="9"/>
      <c r="AZ177" s="9"/>
      <c r="BA177" s="9"/>
      <c r="BB177" s="9"/>
      <c r="BC177" s="9"/>
      <c r="BD177" s="9"/>
      <c r="BE177" s="9"/>
      <c r="BF177" s="9"/>
      <c r="BG177" s="9"/>
      <c r="BH177" s="9"/>
      <c r="BI177" s="9"/>
      <c r="BJ177" s="9"/>
      <c r="BK177" s="9"/>
      <c r="BL177" s="9"/>
      <c r="BM177" s="9"/>
      <c r="BN177" s="9"/>
      <c r="BO177" s="9"/>
      <c r="BP177" s="9"/>
    </row>
    <row r="178" spans="1:68">
      <c r="A178" s="824"/>
      <c r="B178" s="824"/>
      <c r="C178" s="166"/>
      <c r="D178" s="161"/>
      <c r="E178" s="163"/>
      <c r="F178" s="163"/>
      <c r="G178" s="164"/>
      <c r="AD178" s="9"/>
      <c r="AE178" s="9"/>
      <c r="AF178" s="9"/>
      <c r="AG178" s="9"/>
      <c r="AH178" s="9"/>
      <c r="AI178" s="9"/>
      <c r="AJ178" s="9"/>
      <c r="AK178" s="9"/>
      <c r="AL178" s="9"/>
      <c r="AM178" s="9"/>
      <c r="AN178" s="9"/>
      <c r="AO178" s="9"/>
      <c r="AP178" s="9"/>
      <c r="AQ178" s="9"/>
      <c r="AR178" s="9"/>
      <c r="AS178" s="9"/>
      <c r="AT178" s="9"/>
      <c r="AU178" s="9"/>
      <c r="AV178" s="9"/>
      <c r="AW178" s="9"/>
      <c r="AX178" s="9"/>
      <c r="AY178" s="9"/>
      <c r="AZ178" s="9"/>
      <c r="BA178" s="9"/>
      <c r="BB178" s="9"/>
      <c r="BC178" s="9"/>
      <c r="BD178" s="9"/>
      <c r="BE178" s="9"/>
      <c r="BF178" s="9"/>
      <c r="BG178" s="9"/>
      <c r="BH178" s="9"/>
      <c r="BI178" s="9"/>
      <c r="BJ178" s="9"/>
      <c r="BK178" s="9"/>
      <c r="BL178" s="9"/>
      <c r="BM178" s="9"/>
      <c r="BN178" s="9"/>
      <c r="BO178" s="9"/>
      <c r="BP178" s="9"/>
    </row>
    <row r="179" spans="1:68">
      <c r="A179" s="824"/>
      <c r="B179" s="824"/>
      <c r="C179" s="166"/>
      <c r="D179" s="161"/>
      <c r="E179" s="163"/>
      <c r="F179" s="163"/>
      <c r="G179" s="164"/>
      <c r="AD179" s="9"/>
      <c r="AE179" s="9"/>
      <c r="AF179" s="9"/>
      <c r="AG179" s="9"/>
      <c r="AH179" s="9"/>
      <c r="AI179" s="9"/>
      <c r="AJ179" s="9"/>
      <c r="AK179" s="9"/>
      <c r="AL179" s="9"/>
      <c r="AM179" s="9"/>
      <c r="AN179" s="9"/>
      <c r="AO179" s="9"/>
      <c r="AP179" s="9"/>
      <c r="AQ179" s="9"/>
      <c r="AR179" s="9"/>
      <c r="AS179" s="9"/>
      <c r="AT179" s="9"/>
      <c r="AU179" s="9"/>
      <c r="AV179" s="9"/>
      <c r="AW179" s="9"/>
      <c r="AX179" s="9"/>
      <c r="AY179" s="9"/>
      <c r="AZ179" s="9"/>
      <c r="BA179" s="9"/>
      <c r="BB179" s="9"/>
      <c r="BC179" s="9"/>
      <c r="BD179" s="9"/>
      <c r="BE179" s="9"/>
      <c r="BF179" s="9"/>
      <c r="BG179" s="9"/>
      <c r="BH179" s="9"/>
      <c r="BI179" s="9"/>
      <c r="BJ179" s="9"/>
      <c r="BK179" s="9"/>
      <c r="BL179" s="9"/>
      <c r="BM179" s="9"/>
      <c r="BN179" s="9"/>
      <c r="BO179" s="9"/>
      <c r="BP179" s="9"/>
    </row>
    <row r="180" spans="1:68">
      <c r="A180" s="824"/>
      <c r="B180" s="824"/>
      <c r="C180" s="166"/>
      <c r="D180" s="161"/>
      <c r="E180" s="163"/>
      <c r="F180" s="163"/>
      <c r="G180" s="164"/>
      <c r="AD180" s="9"/>
      <c r="AE180" s="9"/>
      <c r="AF180" s="9"/>
      <c r="AG180" s="9"/>
      <c r="AH180" s="9"/>
      <c r="AI180" s="9"/>
      <c r="AJ180" s="9"/>
      <c r="AK180" s="9"/>
      <c r="AL180" s="9"/>
      <c r="AM180" s="9"/>
      <c r="AN180" s="9"/>
      <c r="AO180" s="9"/>
      <c r="AP180" s="9"/>
      <c r="AQ180" s="9"/>
      <c r="AR180" s="9"/>
      <c r="AS180" s="9"/>
      <c r="AT180" s="9"/>
      <c r="AU180" s="9"/>
      <c r="AV180" s="9"/>
      <c r="AW180" s="9"/>
      <c r="AX180" s="9"/>
      <c r="AY180" s="9"/>
      <c r="AZ180" s="9"/>
      <c r="BA180" s="9"/>
      <c r="BB180" s="9"/>
      <c r="BC180" s="9"/>
      <c r="BD180" s="9"/>
      <c r="BE180" s="9"/>
      <c r="BF180" s="9"/>
      <c r="BG180" s="9"/>
      <c r="BH180" s="9"/>
      <c r="BI180" s="9"/>
      <c r="BJ180" s="9"/>
      <c r="BK180" s="9"/>
      <c r="BL180" s="9"/>
      <c r="BM180" s="9"/>
      <c r="BN180" s="9"/>
      <c r="BO180" s="9"/>
      <c r="BP180" s="9"/>
    </row>
    <row r="181" spans="1:68">
      <c r="A181" s="824"/>
      <c r="B181" s="824"/>
      <c r="C181" s="166"/>
      <c r="D181" s="161"/>
      <c r="E181" s="163"/>
      <c r="F181" s="163"/>
      <c r="G181" s="164"/>
      <c r="AD181" s="9"/>
      <c r="AE181" s="9"/>
      <c r="AF181" s="9"/>
      <c r="AG181" s="9"/>
      <c r="AH181" s="9"/>
      <c r="AI181" s="9"/>
      <c r="AJ181" s="9"/>
      <c r="AK181" s="9"/>
      <c r="AL181" s="9"/>
      <c r="AM181" s="9"/>
      <c r="AN181" s="9"/>
      <c r="AO181" s="9"/>
      <c r="AP181" s="9"/>
      <c r="AQ181" s="9"/>
      <c r="AR181" s="9"/>
      <c r="AS181" s="9"/>
      <c r="AT181" s="9"/>
      <c r="AU181" s="9"/>
      <c r="AV181" s="9"/>
      <c r="AW181" s="9"/>
      <c r="AX181" s="9"/>
      <c r="AY181" s="9"/>
      <c r="AZ181" s="9"/>
      <c r="BA181" s="9"/>
      <c r="BB181" s="9"/>
      <c r="BC181" s="9"/>
      <c r="BD181" s="9"/>
      <c r="BE181" s="9"/>
      <c r="BF181" s="9"/>
      <c r="BG181" s="9"/>
      <c r="BH181" s="9"/>
      <c r="BI181" s="9"/>
      <c r="BJ181" s="9"/>
      <c r="BK181" s="9"/>
      <c r="BL181" s="9"/>
      <c r="BM181" s="9"/>
      <c r="BN181" s="9"/>
      <c r="BO181" s="9"/>
      <c r="BP181" s="9"/>
    </row>
    <row r="182" spans="1:68">
      <c r="A182" s="824"/>
      <c r="B182" s="824"/>
      <c r="C182" s="166"/>
      <c r="D182" s="161"/>
      <c r="E182" s="163"/>
      <c r="F182" s="163"/>
      <c r="G182" s="164"/>
      <c r="AD182" s="9"/>
      <c r="AE182" s="9"/>
      <c r="AF182" s="9"/>
      <c r="AG182" s="9"/>
      <c r="AH182" s="9"/>
      <c r="AI182" s="9"/>
      <c r="AJ182" s="9"/>
      <c r="AK182" s="9"/>
      <c r="AL182" s="9"/>
      <c r="AM182" s="9"/>
      <c r="AN182" s="9"/>
      <c r="AO182" s="9"/>
      <c r="AP182" s="9"/>
      <c r="AQ182" s="9"/>
      <c r="AR182" s="9"/>
      <c r="AS182" s="9"/>
      <c r="AT182" s="9"/>
      <c r="AU182" s="9"/>
      <c r="AV182" s="9"/>
      <c r="AW182" s="9"/>
      <c r="AX182" s="9"/>
      <c r="AY182" s="9"/>
      <c r="AZ182" s="9"/>
      <c r="BA182" s="9"/>
      <c r="BB182" s="9"/>
      <c r="BC182" s="9"/>
      <c r="BD182" s="9"/>
      <c r="BE182" s="9"/>
      <c r="BF182" s="9"/>
      <c r="BG182" s="9"/>
      <c r="BH182" s="9"/>
      <c r="BI182" s="9"/>
      <c r="BJ182" s="9"/>
      <c r="BK182" s="9"/>
      <c r="BL182" s="9"/>
      <c r="BM182" s="9"/>
      <c r="BN182" s="9"/>
      <c r="BO182" s="9"/>
      <c r="BP182" s="9"/>
    </row>
    <row r="183" spans="1:68">
      <c r="A183" s="824"/>
      <c r="B183" s="824"/>
      <c r="C183" s="166"/>
      <c r="D183" s="161"/>
      <c r="E183" s="163"/>
      <c r="F183" s="163"/>
      <c r="G183" s="164"/>
      <c r="AD183" s="9"/>
      <c r="AE183" s="9"/>
      <c r="AF183" s="9"/>
      <c r="AG183" s="9"/>
      <c r="AH183" s="9"/>
      <c r="AI183" s="9"/>
      <c r="AJ183" s="9"/>
      <c r="AK183" s="9"/>
      <c r="AL183" s="9"/>
      <c r="AM183" s="9"/>
      <c r="AN183" s="9"/>
      <c r="AO183" s="9"/>
      <c r="AP183" s="9"/>
      <c r="AQ183" s="9"/>
      <c r="AR183" s="9"/>
      <c r="AS183" s="9"/>
      <c r="AT183" s="9"/>
      <c r="AU183" s="9"/>
      <c r="AV183" s="9"/>
      <c r="AW183" s="9"/>
      <c r="AX183" s="9"/>
      <c r="AY183" s="9"/>
      <c r="AZ183" s="9"/>
      <c r="BA183" s="9"/>
      <c r="BB183" s="9"/>
      <c r="BC183" s="9"/>
      <c r="BD183" s="9"/>
      <c r="BE183" s="9"/>
      <c r="BF183" s="9"/>
      <c r="BG183" s="9"/>
      <c r="BH183" s="9"/>
      <c r="BI183" s="9"/>
      <c r="BJ183" s="9"/>
      <c r="BK183" s="9"/>
      <c r="BL183" s="9"/>
      <c r="BM183" s="9"/>
      <c r="BN183" s="9"/>
      <c r="BO183" s="9"/>
      <c r="BP183" s="9"/>
    </row>
    <row r="184" spans="1:68">
      <c r="A184" s="824"/>
      <c r="B184" s="824"/>
      <c r="C184" s="166"/>
      <c r="D184" s="168"/>
      <c r="E184" s="163"/>
      <c r="F184" s="163"/>
      <c r="G184" s="164"/>
      <c r="AD184" s="9"/>
      <c r="AE184" s="9"/>
      <c r="AF184" s="9"/>
      <c r="AG184" s="9"/>
      <c r="AH184" s="9"/>
      <c r="AI184" s="9"/>
      <c r="AJ184" s="9"/>
      <c r="AK184" s="9"/>
      <c r="AL184" s="9"/>
      <c r="AM184" s="9"/>
      <c r="AN184" s="9"/>
      <c r="AO184" s="9"/>
      <c r="AP184" s="9"/>
      <c r="AQ184" s="9"/>
      <c r="AR184" s="9"/>
      <c r="AS184" s="9"/>
      <c r="AT184" s="9"/>
      <c r="AU184" s="9"/>
      <c r="AV184" s="9"/>
      <c r="AW184" s="9"/>
      <c r="AX184" s="9"/>
      <c r="AY184" s="9"/>
      <c r="AZ184" s="9"/>
      <c r="BA184" s="9"/>
      <c r="BB184" s="9"/>
      <c r="BC184" s="9"/>
      <c r="BD184" s="9"/>
      <c r="BE184" s="9"/>
      <c r="BF184" s="9"/>
      <c r="BG184" s="9"/>
      <c r="BH184" s="9"/>
      <c r="BI184" s="9"/>
      <c r="BJ184" s="9"/>
      <c r="BK184" s="9"/>
      <c r="BL184" s="9"/>
      <c r="BM184" s="9"/>
      <c r="BN184" s="9"/>
      <c r="BO184" s="9"/>
      <c r="BP184" s="9"/>
    </row>
    <row r="185" spans="1:68">
      <c r="A185" s="824"/>
      <c r="B185" s="824"/>
      <c r="C185" s="166"/>
      <c r="D185" s="161"/>
      <c r="E185" s="163"/>
      <c r="F185" s="163"/>
      <c r="G185" s="164"/>
      <c r="AD185" s="9"/>
      <c r="AE185" s="9"/>
      <c r="AF185" s="9"/>
      <c r="AG185" s="9"/>
      <c r="AH185" s="9"/>
      <c r="AI185" s="9"/>
      <c r="AJ185" s="9"/>
      <c r="AK185" s="9"/>
      <c r="AL185" s="9"/>
      <c r="AM185" s="9"/>
      <c r="AN185" s="9"/>
      <c r="AO185" s="9"/>
      <c r="AP185" s="9"/>
      <c r="AQ185" s="9"/>
      <c r="AR185" s="9"/>
      <c r="AS185" s="9"/>
      <c r="AT185" s="9"/>
      <c r="AU185" s="9"/>
      <c r="AV185" s="9"/>
      <c r="AW185" s="9"/>
      <c r="AX185" s="9"/>
      <c r="AY185" s="9"/>
      <c r="AZ185" s="9"/>
      <c r="BA185" s="9"/>
      <c r="BB185" s="9"/>
      <c r="BC185" s="9"/>
      <c r="BD185" s="9"/>
      <c r="BE185" s="9"/>
      <c r="BF185" s="9"/>
      <c r="BG185" s="9"/>
      <c r="BH185" s="9"/>
      <c r="BI185" s="9"/>
      <c r="BJ185" s="9"/>
      <c r="BK185" s="9"/>
      <c r="BL185" s="9"/>
      <c r="BM185" s="9"/>
      <c r="BN185" s="9"/>
      <c r="BO185" s="9"/>
      <c r="BP185" s="9"/>
    </row>
    <row r="186" spans="1:68">
      <c r="A186" s="824"/>
      <c r="B186" s="824"/>
      <c r="C186" s="160"/>
      <c r="D186" s="161"/>
      <c r="E186" s="163"/>
      <c r="F186" s="163"/>
      <c r="G186" s="164"/>
    </row>
    <row r="187" spans="1:68">
      <c r="A187" s="824"/>
      <c r="B187" s="824"/>
      <c r="C187" s="166"/>
      <c r="D187" s="161"/>
      <c r="E187" s="163"/>
      <c r="F187" s="163"/>
      <c r="G187" s="164"/>
    </row>
    <row r="188" spans="1:68">
      <c r="C188" s="166"/>
      <c r="D188" s="161"/>
      <c r="E188" s="157"/>
      <c r="F188" s="163"/>
      <c r="G188" s="164"/>
    </row>
    <row r="189" spans="1:68">
      <c r="C189" s="166"/>
      <c r="D189" s="168"/>
      <c r="E189" s="163"/>
      <c r="F189" s="163"/>
      <c r="G189" s="164"/>
    </row>
    <row r="190" spans="1:68">
      <c r="C190" s="166"/>
      <c r="D190" s="161"/>
      <c r="E190" s="157"/>
      <c r="F190" s="163"/>
      <c r="G190" s="164"/>
    </row>
  </sheetData>
  <sheetProtection selectLockedCells="1"/>
  <mergeCells count="173">
    <mergeCell ref="A187:B187"/>
    <mergeCell ref="A181:B181"/>
    <mergeCell ref="A182:B182"/>
    <mergeCell ref="A183:B183"/>
    <mergeCell ref="A184:B184"/>
    <mergeCell ref="A185:B185"/>
    <mergeCell ref="A186:B186"/>
    <mergeCell ref="A175:B175"/>
    <mergeCell ref="A176:B176"/>
    <mergeCell ref="A177:B177"/>
    <mergeCell ref="A178:B178"/>
    <mergeCell ref="A179:B179"/>
    <mergeCell ref="A180:B180"/>
    <mergeCell ref="G169:G170"/>
    <mergeCell ref="A170:B170"/>
    <mergeCell ref="A171:B171"/>
    <mergeCell ref="A172:B172"/>
    <mergeCell ref="A173:B173"/>
    <mergeCell ref="A174:B174"/>
    <mergeCell ref="A159:B159"/>
    <mergeCell ref="A160:B160"/>
    <mergeCell ref="A161:B161"/>
    <mergeCell ref="A162:B162"/>
    <mergeCell ref="A168:B168"/>
    <mergeCell ref="A169:B169"/>
    <mergeCell ref="A153:B153"/>
    <mergeCell ref="A154:B154"/>
    <mergeCell ref="A155:B155"/>
    <mergeCell ref="A156:B156"/>
    <mergeCell ref="A157:B157"/>
    <mergeCell ref="A158:B158"/>
    <mergeCell ref="A147:B147"/>
    <mergeCell ref="A148:B148"/>
    <mergeCell ref="A149:B149"/>
    <mergeCell ref="A150:B150"/>
    <mergeCell ref="A151:B151"/>
    <mergeCell ref="A152:B152"/>
    <mergeCell ref="A137:B137"/>
    <mergeCell ref="A143:B143"/>
    <mergeCell ref="A144:B144"/>
    <mergeCell ref="G144:G145"/>
    <mergeCell ref="A145:B145"/>
    <mergeCell ref="A146:B146"/>
    <mergeCell ref="A131:B131"/>
    <mergeCell ref="A132:B132"/>
    <mergeCell ref="A133:B133"/>
    <mergeCell ref="A134:B134"/>
    <mergeCell ref="A135:B135"/>
    <mergeCell ref="A136:B136"/>
    <mergeCell ref="A125:B125"/>
    <mergeCell ref="A126:B126"/>
    <mergeCell ref="A127:B127"/>
    <mergeCell ref="A128:B128"/>
    <mergeCell ref="A129:B129"/>
    <mergeCell ref="A130:B130"/>
    <mergeCell ref="G119:G120"/>
    <mergeCell ref="A120:B120"/>
    <mergeCell ref="A121:B121"/>
    <mergeCell ref="A122:B122"/>
    <mergeCell ref="A123:B123"/>
    <mergeCell ref="A124:B124"/>
    <mergeCell ref="A108:B108"/>
    <mergeCell ref="A109:B109"/>
    <mergeCell ref="A110:B110"/>
    <mergeCell ref="A111:B111"/>
    <mergeCell ref="A118:B118"/>
    <mergeCell ref="A119:B119"/>
    <mergeCell ref="A102:B102"/>
    <mergeCell ref="A103:B103"/>
    <mergeCell ref="A104:B104"/>
    <mergeCell ref="A105:B105"/>
    <mergeCell ref="A106:B106"/>
    <mergeCell ref="A107:B107"/>
    <mergeCell ref="A96:B96"/>
    <mergeCell ref="A97:B97"/>
    <mergeCell ref="A98:B98"/>
    <mergeCell ref="A99:B99"/>
    <mergeCell ref="A100:B100"/>
    <mergeCell ref="A101:B101"/>
    <mergeCell ref="O54:O55"/>
    <mergeCell ref="G70:G71"/>
    <mergeCell ref="A72:B72"/>
    <mergeCell ref="A93:B93"/>
    <mergeCell ref="A94:B94"/>
    <mergeCell ref="G94:G95"/>
    <mergeCell ref="A95:B95"/>
    <mergeCell ref="D41:T41"/>
    <mergeCell ref="A42:B42"/>
    <mergeCell ref="D42:T42"/>
    <mergeCell ref="A43:B43"/>
    <mergeCell ref="D43:T43"/>
    <mergeCell ref="A44:B44"/>
    <mergeCell ref="D44:T44"/>
    <mergeCell ref="D35:T35"/>
    <mergeCell ref="D36:T36"/>
    <mergeCell ref="D37:T37"/>
    <mergeCell ref="D38:T38"/>
    <mergeCell ref="D39:T39"/>
    <mergeCell ref="D40:T40"/>
    <mergeCell ref="R30:R32"/>
    <mergeCell ref="A32:Q32"/>
    <mergeCell ref="A33:C33"/>
    <mergeCell ref="D33:T33"/>
    <mergeCell ref="D34:T34"/>
    <mergeCell ref="A24:A27"/>
    <mergeCell ref="B24:B31"/>
    <mergeCell ref="P24:Q24"/>
    <mergeCell ref="P25:Q25"/>
    <mergeCell ref="P26:Q26"/>
    <mergeCell ref="P27:Q27"/>
    <mergeCell ref="P28:Q28"/>
    <mergeCell ref="P29:Q29"/>
    <mergeCell ref="P30:Q30"/>
    <mergeCell ref="P31:Q31"/>
    <mergeCell ref="A15:A18"/>
    <mergeCell ref="B15:B22"/>
    <mergeCell ref="A6:A9"/>
    <mergeCell ref="B6:B13"/>
    <mergeCell ref="R21:R23"/>
    <mergeCell ref="A23:Q23"/>
    <mergeCell ref="R12:R14"/>
    <mergeCell ref="A14:Q14"/>
    <mergeCell ref="P16:Q16"/>
    <mergeCell ref="P17:Q17"/>
    <mergeCell ref="P18:Q18"/>
    <mergeCell ref="P19:Q19"/>
    <mergeCell ref="P20:Q20"/>
    <mergeCell ref="P21:Q21"/>
    <mergeCell ref="P22:Q22"/>
    <mergeCell ref="P6:Q6"/>
    <mergeCell ref="P7:Q7"/>
    <mergeCell ref="P8:Q8"/>
    <mergeCell ref="P9:Q9"/>
    <mergeCell ref="P10:Q10"/>
    <mergeCell ref="P11:Q11"/>
    <mergeCell ref="P12:Q12"/>
    <mergeCell ref="P13:Q13"/>
    <mergeCell ref="P15:Q15"/>
    <mergeCell ref="B4:B5"/>
    <mergeCell ref="C4:C5"/>
    <mergeCell ref="D4:D5"/>
    <mergeCell ref="E4:E5"/>
    <mergeCell ref="F4:F5"/>
    <mergeCell ref="G4:G5"/>
    <mergeCell ref="C2:D2"/>
    <mergeCell ref="E2:F2"/>
    <mergeCell ref="R2:S2"/>
    <mergeCell ref="C3:D3"/>
    <mergeCell ref="E3:F3"/>
    <mergeCell ref="R3:S3"/>
    <mergeCell ref="G1:P3"/>
    <mergeCell ref="R1:S1"/>
    <mergeCell ref="N4:N5"/>
    <mergeCell ref="O4:Q5"/>
    <mergeCell ref="R4:T5"/>
    <mergeCell ref="H4:H5"/>
    <mergeCell ref="I4:I5"/>
    <mergeCell ref="J4:J5"/>
    <mergeCell ref="K4:K5"/>
    <mergeCell ref="L4:L5"/>
    <mergeCell ref="M4:M5"/>
    <mergeCell ref="Z14:AB14"/>
    <mergeCell ref="Z1:Z2"/>
    <mergeCell ref="AA1:AA2"/>
    <mergeCell ref="AD1:AE2"/>
    <mergeCell ref="AJ1:AK2"/>
    <mergeCell ref="AD3:AD4"/>
    <mergeCell ref="AE3:AE4"/>
    <mergeCell ref="AJ3:AJ4"/>
    <mergeCell ref="AK3:AK4"/>
    <mergeCell ref="Z4:Z5"/>
    <mergeCell ref="AA4:AA5"/>
    <mergeCell ref="AB4:AB5"/>
  </mergeCells>
  <conditionalFormatting sqref="G6:G13">
    <cfRule type="containsText" dxfId="95" priority="32" stopIfTrue="1" operator="containsText" text="MTF">
      <formula>NOT(ISERROR(SEARCH("MTF",G6)))</formula>
    </cfRule>
  </conditionalFormatting>
  <conditionalFormatting sqref="D6:E13 E15:E22 E24:E31">
    <cfRule type="cellIs" dxfId="94" priority="28" operator="equal">
      <formula>"N"</formula>
    </cfRule>
    <cfRule type="cellIs" dxfId="93" priority="29" operator="equal">
      <formula>"Y"</formula>
    </cfRule>
    <cfRule type="cellIs" dxfId="92" priority="30" operator="equal">
      <formula>"N"</formula>
    </cfRule>
    <cfRule type="cellIs" dxfId="91" priority="31" operator="equal">
      <formula>"Y"</formula>
    </cfRule>
  </conditionalFormatting>
  <conditionalFormatting sqref="J6:J13">
    <cfRule type="containsText" dxfId="90" priority="27" operator="containsText" text="CAAF">
      <formula>NOT(ISERROR(SEARCH("CAAF",J6)))</formula>
    </cfRule>
  </conditionalFormatting>
  <conditionalFormatting sqref="N6:N13 N15:N22 N24:N31">
    <cfRule type="cellIs" dxfId="89" priority="26" operator="equal">
      <formula>0</formula>
    </cfRule>
  </conditionalFormatting>
  <conditionalFormatting sqref="N6:N13 N15:N22 N24:N31">
    <cfRule type="cellIs" dxfId="88" priority="25" operator="lessThan">
      <formula>NOW()</formula>
    </cfRule>
  </conditionalFormatting>
  <conditionalFormatting sqref="G72:G90 G96:G115 G121:G140 G146:G165 G171:G190 O56:O75">
    <cfRule type="cellIs" dxfId="87" priority="23" stopIfTrue="1" operator="greaterThanOrEqual">
      <formula>0</formula>
    </cfRule>
    <cfRule type="cellIs" dxfId="86" priority="24" stopIfTrue="1" operator="lessThan">
      <formula>0</formula>
    </cfRule>
  </conditionalFormatting>
  <conditionalFormatting sqref="G6:G13">
    <cfRule type="containsText" dxfId="85" priority="19" stopIfTrue="1" operator="containsText" text="Blank">
      <formula>NOT(ISERROR(SEARCH("Blank",G6)))</formula>
    </cfRule>
    <cfRule type="beginsWith" dxfId="84" priority="20" stopIfTrue="1" operator="beginsWith" text="NMC">
      <formula>LEFT(G6,3)="NMC"</formula>
    </cfRule>
    <cfRule type="beginsWith" dxfId="83" priority="21" stopIfTrue="1" operator="beginsWith" text="PMC">
      <formula>LEFT(G6,3)="PMC"</formula>
    </cfRule>
    <cfRule type="containsText" dxfId="82" priority="22" stopIfTrue="1" operator="containsText" text="FMC">
      <formula>NOT(ISERROR(SEARCH("FMC",G6)))</formula>
    </cfRule>
  </conditionalFormatting>
  <conditionalFormatting sqref="G15:G22">
    <cfRule type="containsText" dxfId="81" priority="18" stopIfTrue="1" operator="containsText" text="MTF">
      <formula>NOT(ISERROR(SEARCH("MTF",G15)))</formula>
    </cfRule>
  </conditionalFormatting>
  <conditionalFormatting sqref="G15:G22">
    <cfRule type="containsText" dxfId="80" priority="14" stopIfTrue="1" operator="containsText" text="Blank">
      <formula>NOT(ISERROR(SEARCH("Blank",G15)))</formula>
    </cfRule>
    <cfRule type="beginsWith" dxfId="79" priority="15" stopIfTrue="1" operator="beginsWith" text="NMC">
      <formula>LEFT(G15,3)="NMC"</formula>
    </cfRule>
    <cfRule type="beginsWith" dxfId="78" priority="16" stopIfTrue="1" operator="beginsWith" text="PMC">
      <formula>LEFT(G15,3)="PMC"</formula>
    </cfRule>
    <cfRule type="containsText" dxfId="77" priority="17" stopIfTrue="1" operator="containsText" text="FMC">
      <formula>NOT(ISERROR(SEARCH("FMC",G15)))</formula>
    </cfRule>
  </conditionalFormatting>
  <conditionalFormatting sqref="D15:D22">
    <cfRule type="cellIs" dxfId="76" priority="10" operator="equal">
      <formula>"N"</formula>
    </cfRule>
    <cfRule type="cellIs" dxfId="75" priority="11" operator="equal">
      <formula>"Y"</formula>
    </cfRule>
    <cfRule type="cellIs" dxfId="74" priority="12" operator="equal">
      <formula>"N"</formula>
    </cfRule>
    <cfRule type="cellIs" dxfId="73" priority="13" operator="equal">
      <formula>"Y"</formula>
    </cfRule>
  </conditionalFormatting>
  <conditionalFormatting sqref="G24:G31">
    <cfRule type="containsText" dxfId="72" priority="9" stopIfTrue="1" operator="containsText" text="MTF">
      <formula>NOT(ISERROR(SEARCH("MTF",G24)))</formula>
    </cfRule>
  </conditionalFormatting>
  <conditionalFormatting sqref="G24:G31">
    <cfRule type="containsText" dxfId="71" priority="5" stopIfTrue="1" operator="containsText" text="Blank">
      <formula>NOT(ISERROR(SEARCH("Blank",G24)))</formula>
    </cfRule>
    <cfRule type="beginsWith" dxfId="70" priority="6" stopIfTrue="1" operator="beginsWith" text="NMC">
      <formula>LEFT(G24,3)="NMC"</formula>
    </cfRule>
    <cfRule type="beginsWith" dxfId="69" priority="7" stopIfTrue="1" operator="beginsWith" text="PMC">
      <formula>LEFT(G24,3)="PMC"</formula>
    </cfRule>
    <cfRule type="containsText" dxfId="68" priority="8" stopIfTrue="1" operator="containsText" text="FMC">
      <formula>NOT(ISERROR(SEARCH("FMC",G24)))</formula>
    </cfRule>
  </conditionalFormatting>
  <conditionalFormatting sqref="D24:D31">
    <cfRule type="cellIs" dxfId="67" priority="1" operator="equal">
      <formula>"N"</formula>
    </cfRule>
    <cfRule type="cellIs" dxfId="66" priority="2" operator="equal">
      <formula>"Y"</formula>
    </cfRule>
    <cfRule type="cellIs" dxfId="65" priority="3" operator="equal">
      <formula>"N"</formula>
    </cfRule>
    <cfRule type="cellIs" dxfId="64" priority="4" operator="equal">
      <formula>"Y"</formula>
    </cfRule>
  </conditionalFormatting>
  <pageMargins left="0.7" right="0.7" top="0.75" bottom="0.75" header="0.3" footer="0.3"/>
  <pageSetup scale="27" fitToHeight="0" orientation="portrait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>
  <sheetPr codeName="Sheet4"/>
  <dimension ref="A1:BP190"/>
  <sheetViews>
    <sheetView workbookViewId="0">
      <selection activeCell="G7" sqref="G7:G8"/>
    </sheetView>
  </sheetViews>
  <sheetFormatPr defaultRowHeight="15"/>
  <cols>
    <col min="1" max="1" width="11.7109375" style="143" customWidth="1"/>
    <col min="2" max="2" width="6.42578125" style="8" customWidth="1"/>
    <col min="3" max="3" width="13.140625" style="138" customWidth="1"/>
    <col min="4" max="4" width="6.140625" style="138" customWidth="1"/>
    <col min="5" max="5" width="14.5703125" style="138" customWidth="1"/>
    <col min="6" max="6" width="10.5703125" style="138" customWidth="1"/>
    <col min="7" max="7" width="12.42578125" style="138" customWidth="1"/>
    <col min="8" max="8" width="8.140625" style="138" bestFit="1" customWidth="1"/>
    <col min="9" max="9" width="9" style="138" customWidth="1"/>
    <col min="10" max="10" width="10.28515625" style="21" bestFit="1" customWidth="1"/>
    <col min="11" max="11" width="8.5703125" style="21" customWidth="1"/>
    <col min="12" max="12" width="8.85546875" style="21" customWidth="1"/>
    <col min="13" max="13" width="8.140625" style="167" customWidth="1"/>
    <col min="14" max="14" width="9" style="139" customWidth="1"/>
    <col min="15" max="15" width="57.28515625" style="139" customWidth="1"/>
    <col min="16" max="16" width="27.42578125" style="139" customWidth="1"/>
    <col min="17" max="17" width="25.7109375" style="140" customWidth="1"/>
    <col min="18" max="18" width="11.42578125" style="142" customWidth="1"/>
    <col min="19" max="19" width="14" style="7" customWidth="1"/>
    <col min="20" max="20" width="14.85546875" style="7" customWidth="1"/>
    <col min="21" max="21" width="4" style="6" customWidth="1"/>
    <col min="22" max="22" width="8.28515625" style="7" customWidth="1"/>
    <col min="23" max="23" width="6.42578125" style="7" customWidth="1"/>
    <col min="24" max="24" width="10" style="7" bestFit="1" customWidth="1"/>
    <col min="25" max="25" width="7.28515625" style="7" customWidth="1"/>
    <col min="26" max="26" width="14.28515625" style="18" customWidth="1"/>
    <col min="27" max="28" width="14.28515625" style="8" customWidth="1"/>
    <col min="29" max="29" width="23.28515625" style="8" customWidth="1"/>
    <col min="30" max="30" width="9.140625" style="8" hidden="1" customWidth="1"/>
    <col min="31" max="31" width="11.28515625" style="8" hidden="1" customWidth="1"/>
    <col min="32" max="34" width="9.140625" style="8" hidden="1" customWidth="1"/>
    <col min="35" max="35" width="6.42578125" style="8" hidden="1" customWidth="1"/>
    <col min="36" max="36" width="9.140625" style="8" hidden="1" customWidth="1"/>
    <col min="37" max="37" width="12.5703125" style="8" hidden="1" customWidth="1"/>
    <col min="38" max="38" width="9.140625" style="8" hidden="1" customWidth="1"/>
    <col min="39" max="39" width="10.85546875" style="8" hidden="1" customWidth="1"/>
    <col min="40" max="40" width="9.28515625" style="8" hidden="1" customWidth="1"/>
    <col min="41" max="41" width="9.140625" style="8" hidden="1" customWidth="1"/>
    <col min="42" max="16384" width="9.140625" style="8"/>
  </cols>
  <sheetData>
    <row r="1" spans="1:68" ht="18" customHeight="1">
      <c r="A1" s="2"/>
      <c r="B1" s="3"/>
      <c r="C1" s="3"/>
      <c r="D1" s="3"/>
      <c r="E1" s="3"/>
      <c r="F1" s="3"/>
      <c r="G1" s="760" t="s">
        <v>28</v>
      </c>
      <c r="H1" s="760"/>
      <c r="I1" s="760"/>
      <c r="J1" s="760"/>
      <c r="K1" s="760"/>
      <c r="L1" s="760"/>
      <c r="M1" s="760"/>
      <c r="N1" s="760"/>
      <c r="O1" s="760"/>
      <c r="P1" s="760"/>
      <c r="Q1" s="4"/>
      <c r="R1" s="763" t="s">
        <v>29</v>
      </c>
      <c r="S1" s="763"/>
      <c r="T1" s="5">
        <f ca="1">TODAY()</f>
        <v>42114</v>
      </c>
      <c r="Z1" s="744" t="s">
        <v>30</v>
      </c>
      <c r="AA1" s="746">
        <v>500</v>
      </c>
      <c r="AD1" s="748" t="s">
        <v>31</v>
      </c>
      <c r="AE1" s="748"/>
      <c r="AF1" s="9"/>
      <c r="AG1" s="9"/>
      <c r="AH1" s="9"/>
      <c r="AI1" s="9"/>
      <c r="AJ1" s="748" t="s">
        <v>32</v>
      </c>
      <c r="AK1" s="748"/>
      <c r="AL1" s="9"/>
      <c r="AM1" s="9"/>
      <c r="AN1" s="9"/>
      <c r="AO1" s="9"/>
      <c r="AP1" s="9"/>
      <c r="AQ1" s="9"/>
      <c r="AR1" s="9"/>
      <c r="AS1" s="9"/>
      <c r="AT1" s="9"/>
      <c r="AU1" s="9"/>
      <c r="AV1" s="9"/>
      <c r="AW1" s="9"/>
      <c r="AX1" s="9"/>
      <c r="AY1" s="9"/>
      <c r="AZ1" s="9"/>
      <c r="BA1" s="9"/>
      <c r="BB1" s="9"/>
      <c r="BC1" s="9"/>
      <c r="BD1" s="9"/>
      <c r="BE1" s="9"/>
      <c r="BF1" s="9"/>
      <c r="BG1" s="9"/>
      <c r="BH1" s="9"/>
      <c r="BI1" s="9"/>
      <c r="BJ1" s="9"/>
      <c r="BK1" s="9"/>
      <c r="BL1" s="9"/>
      <c r="BM1" s="9"/>
      <c r="BN1" s="9"/>
      <c r="BO1" s="9"/>
      <c r="BP1" s="9"/>
    </row>
    <row r="2" spans="1:68" ht="18" customHeight="1" thickBot="1">
      <c r="A2" s="10"/>
      <c r="B2" s="11"/>
      <c r="C2" s="756" t="s">
        <v>33</v>
      </c>
      <c r="D2" s="756"/>
      <c r="E2" s="757">
        <v>41936.479166666701</v>
      </c>
      <c r="F2" s="757"/>
      <c r="G2" s="761"/>
      <c r="H2" s="761"/>
      <c r="I2" s="761"/>
      <c r="J2" s="761"/>
      <c r="K2" s="761"/>
      <c r="L2" s="761"/>
      <c r="M2" s="761"/>
      <c r="N2" s="761"/>
      <c r="O2" s="761"/>
      <c r="P2" s="761"/>
      <c r="Q2" s="12"/>
      <c r="R2" s="756" t="s">
        <v>34</v>
      </c>
      <c r="S2" s="756"/>
      <c r="T2" s="13">
        <f ca="1">NOW()</f>
        <v>42114.740380439798</v>
      </c>
      <c r="Z2" s="745"/>
      <c r="AA2" s="747"/>
      <c r="AD2" s="748"/>
      <c r="AE2" s="748"/>
      <c r="AF2" s="9"/>
      <c r="AG2" s="9"/>
      <c r="AH2" s="9"/>
      <c r="AI2" s="9"/>
      <c r="AJ2" s="748"/>
      <c r="AK2" s="748"/>
      <c r="AL2" s="9"/>
      <c r="AM2" s="9"/>
      <c r="AN2" s="9"/>
      <c r="AO2" s="9"/>
      <c r="AP2" s="9"/>
      <c r="AQ2" s="9"/>
      <c r="AR2" s="9"/>
      <c r="AS2" s="9"/>
      <c r="AT2" s="9"/>
      <c r="AU2" s="9"/>
      <c r="AV2" s="9"/>
      <c r="AW2" s="9"/>
      <c r="AX2" s="9"/>
      <c r="AY2" s="9"/>
      <c r="AZ2" s="9"/>
      <c r="BA2" s="9"/>
      <c r="BB2" s="9"/>
      <c r="BC2" s="9"/>
      <c r="BD2" s="9"/>
      <c r="BE2" s="9"/>
      <c r="BF2" s="9"/>
      <c r="BG2" s="9"/>
      <c r="BH2" s="9"/>
      <c r="BI2" s="9"/>
      <c r="BJ2" s="9"/>
      <c r="BK2" s="9"/>
      <c r="BL2" s="9"/>
      <c r="BM2" s="9"/>
      <c r="BN2" s="9"/>
      <c r="BO2" s="9"/>
      <c r="BP2" s="9"/>
    </row>
    <row r="3" spans="1:68" ht="18" customHeight="1">
      <c r="A3" s="14"/>
      <c r="B3" s="15"/>
      <c r="C3" s="758" t="s">
        <v>35</v>
      </c>
      <c r="D3" s="758"/>
      <c r="E3" s="759" t="s">
        <v>36</v>
      </c>
      <c r="F3" s="759"/>
      <c r="G3" s="762"/>
      <c r="H3" s="762"/>
      <c r="I3" s="762"/>
      <c r="J3" s="762"/>
      <c r="K3" s="762"/>
      <c r="L3" s="762"/>
      <c r="M3" s="762"/>
      <c r="N3" s="762"/>
      <c r="O3" s="762"/>
      <c r="P3" s="762"/>
      <c r="Q3" s="16"/>
      <c r="R3" s="758" t="s">
        <v>37</v>
      </c>
      <c r="S3" s="758"/>
      <c r="T3" s="13" t="str">
        <f ca="1">TEXT((TODAY() -DATEVALUE("1/1/"&amp;TEXT(TODAY(),"yy"))+1),"000")</f>
        <v>110</v>
      </c>
      <c r="U3" s="17"/>
      <c r="V3" s="17"/>
      <c r="W3" s="17"/>
      <c r="X3" s="17"/>
      <c r="Y3" s="17"/>
      <c r="AD3" s="749" t="s">
        <v>38</v>
      </c>
      <c r="AE3" s="749" t="s">
        <v>39</v>
      </c>
      <c r="AF3" s="9"/>
      <c r="AG3" s="9"/>
      <c r="AH3" s="9"/>
      <c r="AI3" s="9"/>
      <c r="AJ3" s="749" t="s">
        <v>38</v>
      </c>
      <c r="AK3" s="749" t="s">
        <v>39</v>
      </c>
      <c r="AL3" s="9"/>
      <c r="AM3" s="9"/>
      <c r="AN3" s="9"/>
      <c r="AO3" s="9"/>
      <c r="AP3" s="9"/>
      <c r="AQ3" s="9"/>
      <c r="AR3" s="9"/>
      <c r="AS3" s="9"/>
      <c r="AT3" s="9"/>
      <c r="AU3" s="9"/>
      <c r="AV3" s="9"/>
      <c r="AW3" s="9"/>
      <c r="AX3" s="9"/>
      <c r="AY3" s="9"/>
      <c r="AZ3" s="9"/>
      <c r="BA3" s="9"/>
      <c r="BB3" s="9"/>
      <c r="BC3" s="9"/>
      <c r="BD3" s="9"/>
      <c r="BE3" s="9"/>
      <c r="BF3" s="9"/>
      <c r="BG3" s="9"/>
      <c r="BH3" s="9"/>
      <c r="BI3" s="9"/>
      <c r="BJ3" s="9"/>
      <c r="BK3" s="9"/>
      <c r="BL3" s="9"/>
      <c r="BM3" s="9"/>
      <c r="BN3" s="9"/>
      <c r="BO3" s="9"/>
      <c r="BP3" s="9"/>
    </row>
    <row r="4" spans="1:68" s="17" customFormat="1" ht="19.5" customHeight="1">
      <c r="A4" s="19" t="s">
        <v>40</v>
      </c>
      <c r="B4" s="754" t="s">
        <v>41</v>
      </c>
      <c r="C4" s="754" t="s">
        <v>42</v>
      </c>
      <c r="D4" s="754" t="s">
        <v>4</v>
      </c>
      <c r="E4" s="754" t="s">
        <v>43</v>
      </c>
      <c r="F4" s="754" t="s">
        <v>44</v>
      </c>
      <c r="G4" s="754" t="s">
        <v>45</v>
      </c>
      <c r="H4" s="754" t="s">
        <v>46</v>
      </c>
      <c r="I4" s="772" t="s">
        <v>47</v>
      </c>
      <c r="J4" s="754" t="s">
        <v>48</v>
      </c>
      <c r="K4" s="754" t="s">
        <v>49</v>
      </c>
      <c r="L4" s="754" t="s">
        <v>50</v>
      </c>
      <c r="M4" s="774" t="s">
        <v>51</v>
      </c>
      <c r="N4" s="754" t="s">
        <v>52</v>
      </c>
      <c r="O4" s="764" t="s">
        <v>53</v>
      </c>
      <c r="P4" s="765"/>
      <c r="Q4" s="765"/>
      <c r="R4" s="768" t="s">
        <v>54</v>
      </c>
      <c r="S4" s="768"/>
      <c r="T4" s="769"/>
      <c r="U4" s="20"/>
      <c r="V4" s="21"/>
      <c r="Z4" s="750" t="s">
        <v>42</v>
      </c>
      <c r="AA4" s="752" t="s">
        <v>55</v>
      </c>
      <c r="AB4" s="752" t="s">
        <v>56</v>
      </c>
      <c r="AD4" s="749"/>
      <c r="AE4" s="749"/>
      <c r="AF4" s="22"/>
      <c r="AG4" s="22"/>
      <c r="AH4" s="22"/>
      <c r="AI4" s="22"/>
      <c r="AJ4" s="749"/>
      <c r="AK4" s="749"/>
      <c r="AL4" s="22"/>
      <c r="AM4" s="22"/>
      <c r="AN4" s="22"/>
      <c r="AO4" s="22"/>
      <c r="AP4" s="22"/>
      <c r="AQ4" s="22"/>
      <c r="AR4" s="22"/>
      <c r="AS4" s="22"/>
      <c r="AT4" s="22"/>
      <c r="AU4" s="22"/>
      <c r="AV4" s="22"/>
      <c r="AW4" s="22"/>
      <c r="AX4" s="22"/>
      <c r="AY4" s="22"/>
      <c r="AZ4" s="22"/>
      <c r="BA4" s="22"/>
      <c r="BB4" s="22"/>
      <c r="BC4" s="22"/>
      <c r="BD4" s="22"/>
      <c r="BE4" s="22"/>
      <c r="BF4" s="22"/>
      <c r="BG4" s="22"/>
      <c r="BH4" s="22"/>
      <c r="BI4" s="22"/>
      <c r="BJ4" s="22"/>
      <c r="BK4" s="22"/>
      <c r="BL4" s="22"/>
      <c r="BM4" s="22"/>
      <c r="BN4" s="22"/>
      <c r="BO4" s="22"/>
      <c r="BP4" s="22"/>
    </row>
    <row r="5" spans="1:68" s="17" customFormat="1" ht="16.5" thickBot="1">
      <c r="A5" s="23" t="s">
        <v>57</v>
      </c>
      <c r="B5" s="755"/>
      <c r="C5" s="755"/>
      <c r="D5" s="755"/>
      <c r="E5" s="755"/>
      <c r="F5" s="755"/>
      <c r="G5" s="755"/>
      <c r="H5" s="755"/>
      <c r="I5" s="773"/>
      <c r="J5" s="755"/>
      <c r="K5" s="755"/>
      <c r="L5" s="755"/>
      <c r="M5" s="775"/>
      <c r="N5" s="755"/>
      <c r="O5" s="766"/>
      <c r="P5" s="767"/>
      <c r="Q5" s="767"/>
      <c r="R5" s="770"/>
      <c r="S5" s="770"/>
      <c r="T5" s="771"/>
      <c r="U5" s="20"/>
      <c r="V5" s="21"/>
      <c r="Z5" s="751"/>
      <c r="AA5" s="753"/>
      <c r="AB5" s="753"/>
      <c r="AD5" s="24"/>
      <c r="AE5" s="24"/>
      <c r="AF5" s="22"/>
      <c r="AG5" s="25">
        <f ca="1">COUNTIF(AE6:AE13,"&gt;0")</f>
        <v>3</v>
      </c>
      <c r="AH5" s="25">
        <f ca="1">$AA$1/($AG$5-1)</f>
        <v>250</v>
      </c>
      <c r="AI5" s="22"/>
      <c r="AJ5" s="24"/>
      <c r="AK5" s="24"/>
      <c r="AL5" s="22"/>
      <c r="AM5" s="26">
        <f ca="1">COUNTIF(AK5:AK28,"&gt;0")</f>
        <v>9</v>
      </c>
      <c r="AN5" s="22">
        <f ca="1">$AA$1/($AM$5-1)</f>
        <v>62.5</v>
      </c>
      <c r="AO5" s="22"/>
      <c r="AP5" s="22"/>
      <c r="AQ5" s="22"/>
      <c r="AR5" s="22"/>
      <c r="AS5" s="22"/>
      <c r="AT5" s="22"/>
      <c r="AU5" s="22"/>
      <c r="AV5" s="22"/>
      <c r="AW5" s="22"/>
      <c r="AX5" s="22"/>
      <c r="AY5" s="22"/>
      <c r="AZ5" s="22"/>
      <c r="BA5" s="22"/>
      <c r="BB5" s="22"/>
      <c r="BC5" s="22"/>
      <c r="BD5" s="22"/>
      <c r="BE5" s="22"/>
      <c r="BF5" s="22"/>
      <c r="BG5" s="22"/>
      <c r="BH5" s="22"/>
      <c r="BI5" s="22"/>
      <c r="BJ5" s="22"/>
      <c r="BK5" s="22"/>
      <c r="BL5" s="22"/>
      <c r="BM5" s="22"/>
      <c r="BN5" s="22"/>
      <c r="BO5" s="22"/>
      <c r="BP5" s="22"/>
    </row>
    <row r="6" spans="1:68" s="17" customFormat="1" ht="22.5" customHeight="1">
      <c r="A6" s="781" t="s">
        <v>58</v>
      </c>
      <c r="B6" s="778" t="s">
        <v>15</v>
      </c>
      <c r="C6" s="27" t="s">
        <v>59</v>
      </c>
      <c r="D6" s="28" t="s">
        <v>25</v>
      </c>
      <c r="E6" s="28" t="s">
        <v>60</v>
      </c>
      <c r="F6" s="29">
        <v>4022.1</v>
      </c>
      <c r="G6" s="28" t="s">
        <v>22</v>
      </c>
      <c r="H6" s="30">
        <f t="shared" ref="H6:H13" si="0">F6-AB6</f>
        <v>0</v>
      </c>
      <c r="I6" s="31">
        <f t="shared" ref="I6:I13" si="1">AA6-F6</f>
        <v>124</v>
      </c>
      <c r="J6" s="28" t="s">
        <v>61</v>
      </c>
      <c r="K6" s="32">
        <v>41918</v>
      </c>
      <c r="L6" s="33"/>
      <c r="M6" s="34">
        <f ca="1">IF(ISBLANK(K6),"",-($K6-$T$1))</f>
        <v>196</v>
      </c>
      <c r="N6" s="35">
        <v>41941</v>
      </c>
      <c r="O6" s="827" t="s">
        <v>62</v>
      </c>
      <c r="P6" s="828"/>
      <c r="Q6" s="829"/>
      <c r="R6" s="36" t="s">
        <v>16</v>
      </c>
      <c r="S6" s="37"/>
      <c r="T6" s="38" t="e">
        <f>S6/S11</f>
        <v>#DIV/0!</v>
      </c>
      <c r="Z6" s="39" t="str">
        <f>$C$6</f>
        <v>99-05119</v>
      </c>
      <c r="AA6" s="29">
        <v>4146.1000000000004</v>
      </c>
      <c r="AB6" s="29">
        <v>4022.1</v>
      </c>
      <c r="AD6" s="40" t="str">
        <f>IF(ISBLANK($C$8),"NA",RIGHT($C$8,3))</f>
        <v>582</v>
      </c>
      <c r="AE6" s="41">
        <f>IF($I$8&gt;0,$I$8,"NA")</f>
        <v>225.4</v>
      </c>
      <c r="AF6" s="22"/>
      <c r="AG6" s="25">
        <f>$AA$1</f>
        <v>500</v>
      </c>
      <c r="AH6" s="25"/>
      <c r="AI6" s="22"/>
      <c r="AJ6" s="40" t="str">
        <f>IF(ISBLANK($C$18),"NA",RIGHT($C$18,3))</f>
        <v>586</v>
      </c>
      <c r="AK6" s="42">
        <f>IF($I$18&gt;0,$I$18,"NA")</f>
        <v>444.4</v>
      </c>
      <c r="AL6" s="22"/>
      <c r="AM6" s="26">
        <f>$AA$1</f>
        <v>500</v>
      </c>
      <c r="AN6" s="22"/>
      <c r="AO6" s="22"/>
      <c r="AP6" s="22"/>
      <c r="AQ6" s="22"/>
      <c r="AR6" s="22"/>
      <c r="AS6" s="22"/>
      <c r="AT6" s="22"/>
      <c r="AU6" s="22"/>
      <c r="AV6" s="22"/>
      <c r="AW6" s="22"/>
      <c r="AX6" s="22"/>
      <c r="AY6" s="22"/>
      <c r="AZ6" s="22"/>
      <c r="BA6" s="22"/>
      <c r="BB6" s="22"/>
      <c r="BC6" s="22"/>
      <c r="BD6" s="22"/>
      <c r="BE6" s="22"/>
      <c r="BF6" s="22"/>
      <c r="BG6" s="22"/>
      <c r="BH6" s="22"/>
      <c r="BI6" s="22"/>
      <c r="BJ6" s="22"/>
      <c r="BK6" s="22"/>
      <c r="BL6" s="22"/>
      <c r="BM6" s="22"/>
      <c r="BN6" s="22"/>
      <c r="BO6" s="22"/>
      <c r="BP6" s="22"/>
    </row>
    <row r="7" spans="1:68" s="17" customFormat="1" ht="22.5" customHeight="1">
      <c r="A7" s="782"/>
      <c r="B7" s="779"/>
      <c r="C7" s="43" t="s">
        <v>20</v>
      </c>
      <c r="D7" s="44" t="s">
        <v>25</v>
      </c>
      <c r="E7" s="45" t="s">
        <v>63</v>
      </c>
      <c r="F7" s="46">
        <v>1514.6</v>
      </c>
      <c r="G7" s="44" t="s">
        <v>24</v>
      </c>
      <c r="H7" s="31">
        <f t="shared" si="0"/>
        <v>0</v>
      </c>
      <c r="I7" s="31">
        <f t="shared" si="1"/>
        <v>176.6</v>
      </c>
      <c r="J7" s="44" t="s">
        <v>61</v>
      </c>
      <c r="K7" s="47">
        <v>41928</v>
      </c>
      <c r="L7" s="33"/>
      <c r="M7" s="48">
        <f t="shared" ref="M7:M13" ca="1" si="2">IF(ISBLANK(K7),"",-($K7-$T$1))</f>
        <v>186</v>
      </c>
      <c r="N7" s="35">
        <v>41938</v>
      </c>
      <c r="O7" s="830" t="s">
        <v>64</v>
      </c>
      <c r="P7" s="831"/>
      <c r="Q7" s="832"/>
      <c r="R7" s="49" t="s">
        <v>65</v>
      </c>
      <c r="S7" s="50"/>
      <c r="T7" s="51" t="e">
        <f>S7/S11</f>
        <v>#DIV/0!</v>
      </c>
      <c r="Z7" s="39" t="str">
        <f>$C$7</f>
        <v>07-07042</v>
      </c>
      <c r="AA7" s="46">
        <v>1691.2</v>
      </c>
      <c r="AB7" s="46">
        <v>1514.6</v>
      </c>
      <c r="AD7" s="52" t="str">
        <f>IF(ISBLANK($C$7),"NA",RIGHT($C$7,3))</f>
        <v>042</v>
      </c>
      <c r="AE7" s="42">
        <f>IF($I$7&gt;0,$I$7,"NA")</f>
        <v>176.6</v>
      </c>
      <c r="AF7" s="22"/>
      <c r="AG7" s="25">
        <f t="shared" ref="AG7:AG13" ca="1" si="3">IF(AG6-$AH$5&gt;=0,AG6-$AH$5,-1)</f>
        <v>250</v>
      </c>
      <c r="AH7" s="25"/>
      <c r="AI7" s="22"/>
      <c r="AJ7" s="40" t="str">
        <f>IF(ISBLANK($C$17),"NA",RIGHT($C$17,3))</f>
        <v>587</v>
      </c>
      <c r="AK7" s="42">
        <f>IF($I$17&gt;0,$I$17,"NA")</f>
        <v>341.4</v>
      </c>
      <c r="AL7" s="22"/>
      <c r="AM7" s="22">
        <f ca="1">IF(AM6-$AN$5&gt;=0,AM6-$AN$5,-1)</f>
        <v>437.5</v>
      </c>
      <c r="AN7" s="22"/>
      <c r="AO7" s="22"/>
      <c r="AP7" s="22"/>
      <c r="AQ7" s="22"/>
      <c r="AR7" s="22"/>
      <c r="AS7" s="22"/>
      <c r="AT7" s="22"/>
      <c r="AU7" s="22"/>
      <c r="AV7" s="22"/>
      <c r="AW7" s="22"/>
      <c r="AX7" s="22"/>
      <c r="AY7" s="22"/>
      <c r="AZ7" s="22"/>
      <c r="BA7" s="22"/>
      <c r="BB7" s="22"/>
      <c r="BC7" s="22"/>
      <c r="BD7" s="22"/>
      <c r="BE7" s="22"/>
      <c r="BF7" s="22"/>
      <c r="BG7" s="22"/>
      <c r="BH7" s="22"/>
      <c r="BI7" s="22"/>
      <c r="BJ7" s="22"/>
      <c r="BK7" s="22"/>
      <c r="BL7" s="22"/>
      <c r="BM7" s="22"/>
      <c r="BN7" s="22"/>
      <c r="BO7" s="22"/>
      <c r="BP7" s="22"/>
    </row>
    <row r="8" spans="1:68" s="17" customFormat="1" ht="22.5" customHeight="1">
      <c r="A8" s="782"/>
      <c r="B8" s="779"/>
      <c r="C8" s="27" t="s">
        <v>21</v>
      </c>
      <c r="D8" s="44" t="s">
        <v>17</v>
      </c>
      <c r="E8" s="45" t="s">
        <v>63</v>
      </c>
      <c r="F8" s="46">
        <v>4273.2</v>
      </c>
      <c r="G8" s="44" t="s">
        <v>16</v>
      </c>
      <c r="H8" s="31">
        <f t="shared" si="0"/>
        <v>4.5999999999999996</v>
      </c>
      <c r="I8" s="31">
        <f t="shared" si="1"/>
        <v>225.4</v>
      </c>
      <c r="J8" s="44" t="s">
        <v>61</v>
      </c>
      <c r="K8" s="47"/>
      <c r="L8" s="33"/>
      <c r="M8" s="48" t="str">
        <f t="shared" si="2"/>
        <v/>
      </c>
      <c r="N8" s="35" t="s">
        <v>18</v>
      </c>
      <c r="O8" s="830"/>
      <c r="P8" s="831"/>
      <c r="Q8" s="832"/>
      <c r="R8" s="49" t="s">
        <v>24</v>
      </c>
      <c r="S8" s="50"/>
      <c r="T8" s="51" t="e">
        <f>S8/S11</f>
        <v>#DIV/0!</v>
      </c>
      <c r="Z8" s="39" t="str">
        <f>$C$8</f>
        <v>09-05582</v>
      </c>
      <c r="AA8" s="46">
        <v>4498.6000000000004</v>
      </c>
      <c r="AB8" s="46">
        <v>4268.6000000000004</v>
      </c>
      <c r="AD8" s="52" t="str">
        <f>IF(ISBLANK($C$6),"NA",RIGHT($C$6,3))</f>
        <v>119</v>
      </c>
      <c r="AE8" s="42">
        <f ca="1">RAND()*0+$I$6</f>
        <v>124</v>
      </c>
      <c r="AF8" s="22"/>
      <c r="AG8" s="25">
        <f t="shared" ca="1" si="3"/>
        <v>0</v>
      </c>
      <c r="AH8" s="25"/>
      <c r="AI8" s="22"/>
      <c r="AJ8" s="52" t="str">
        <f>IF(ISBLANK($C$15),"NA",RIGHT($C$15,3))</f>
        <v>112</v>
      </c>
      <c r="AK8" s="42">
        <f>IF($I$15&gt;0,$I$15,"NA")</f>
        <v>324</v>
      </c>
      <c r="AL8" s="22"/>
      <c r="AM8" s="22">
        <f t="shared" ref="AM8:AM29" ca="1" si="4">IF(AM7-$AN$5&gt;=0,AM7-$AN$5,-1)</f>
        <v>375</v>
      </c>
      <c r="AN8" s="22"/>
      <c r="AO8" s="22"/>
      <c r="AP8" s="22"/>
      <c r="AQ8" s="22"/>
      <c r="AR8" s="22"/>
      <c r="AS8" s="22"/>
      <c r="AT8" s="22"/>
      <c r="AU8" s="22"/>
      <c r="AV8" s="22"/>
      <c r="AW8" s="22"/>
      <c r="AX8" s="22"/>
      <c r="AY8" s="22"/>
      <c r="AZ8" s="22"/>
      <c r="BA8" s="22"/>
      <c r="BB8" s="22"/>
      <c r="BC8" s="22"/>
      <c r="BD8" s="22"/>
      <c r="BE8" s="22"/>
      <c r="BF8" s="22"/>
      <c r="BG8" s="22"/>
      <c r="BH8" s="22"/>
      <c r="BI8" s="22"/>
      <c r="BJ8" s="22"/>
      <c r="BK8" s="22"/>
      <c r="BL8" s="22"/>
      <c r="BM8" s="22"/>
      <c r="BN8" s="22"/>
      <c r="BO8" s="22"/>
      <c r="BP8" s="22"/>
    </row>
    <row r="9" spans="1:68" s="17" customFormat="1" ht="22.5" customHeight="1">
      <c r="A9" s="782"/>
      <c r="B9" s="779"/>
      <c r="C9" s="27"/>
      <c r="D9" s="44"/>
      <c r="E9" s="45"/>
      <c r="F9" s="46"/>
      <c r="G9" s="44" t="s">
        <v>66</v>
      </c>
      <c r="H9" s="31">
        <f t="shared" si="0"/>
        <v>0</v>
      </c>
      <c r="I9" s="31">
        <f t="shared" si="1"/>
        <v>0</v>
      </c>
      <c r="J9" s="44"/>
      <c r="K9" s="47"/>
      <c r="L9" s="33"/>
      <c r="M9" s="48" t="str">
        <f t="shared" si="2"/>
        <v/>
      </c>
      <c r="N9" s="35" t="s">
        <v>18</v>
      </c>
      <c r="O9" s="830"/>
      <c r="P9" s="831"/>
      <c r="Q9" s="832"/>
      <c r="R9" s="49" t="s">
        <v>22</v>
      </c>
      <c r="S9" s="50"/>
      <c r="T9" s="51" t="e">
        <f>S9/S11</f>
        <v>#DIV/0!</v>
      </c>
      <c r="Z9" s="39">
        <f>$C$9</f>
        <v>0</v>
      </c>
      <c r="AA9" s="46"/>
      <c r="AB9" s="46"/>
      <c r="AD9" s="40" t="str">
        <f>IF(ISBLANK($C$9),"NA",RIGHT($C$9,3))</f>
        <v>NA</v>
      </c>
      <c r="AE9" s="41" t="str">
        <f>IF($I$9&gt;0,$I$9,"NA")</f>
        <v>NA</v>
      </c>
      <c r="AF9" s="22"/>
      <c r="AG9" s="25">
        <f t="shared" ca="1" si="3"/>
        <v>-1</v>
      </c>
      <c r="AH9" s="25"/>
      <c r="AI9" s="22"/>
      <c r="AJ9" s="40" t="str">
        <f>IF(ISBLANK($C$8),"NA",RIGHT($C$8,3))</f>
        <v>582</v>
      </c>
      <c r="AK9" s="41">
        <f>IF($I$8&gt;0,$I$8,"NA")</f>
        <v>225.4</v>
      </c>
      <c r="AL9" s="22"/>
      <c r="AM9" s="22">
        <f t="shared" ca="1" si="4"/>
        <v>312.5</v>
      </c>
      <c r="AN9" s="22"/>
      <c r="AO9" s="22"/>
      <c r="AP9" s="22"/>
      <c r="AQ9" s="22"/>
      <c r="AR9" s="22"/>
      <c r="AS9" s="22"/>
      <c r="AT9" s="22"/>
      <c r="AU9" s="22"/>
      <c r="AV9" s="22"/>
      <c r="AW9" s="22"/>
      <c r="AX9" s="22"/>
      <c r="AY9" s="22"/>
      <c r="AZ9" s="22"/>
      <c r="BA9" s="22"/>
      <c r="BB9" s="22"/>
      <c r="BC9" s="22"/>
      <c r="BD9" s="22"/>
      <c r="BE9" s="22"/>
      <c r="BF9" s="22"/>
      <c r="BG9" s="22"/>
      <c r="BH9" s="22"/>
      <c r="BI9" s="22"/>
      <c r="BJ9" s="22"/>
      <c r="BK9" s="22"/>
      <c r="BL9" s="22"/>
      <c r="BM9" s="22"/>
      <c r="BN9" s="22"/>
      <c r="BO9" s="22"/>
      <c r="BP9" s="22"/>
    </row>
    <row r="10" spans="1:68" s="17" customFormat="1" ht="22.5" customHeight="1">
      <c r="A10" s="53" t="s">
        <v>16</v>
      </c>
      <c r="B10" s="779"/>
      <c r="C10" s="54"/>
      <c r="D10" s="44"/>
      <c r="E10" s="45"/>
      <c r="F10" s="46"/>
      <c r="G10" s="44" t="s">
        <v>66</v>
      </c>
      <c r="H10" s="31">
        <f t="shared" si="0"/>
        <v>0</v>
      </c>
      <c r="I10" s="31">
        <f t="shared" si="1"/>
        <v>0</v>
      </c>
      <c r="J10" s="44"/>
      <c r="K10" s="47"/>
      <c r="L10" s="33"/>
      <c r="M10" s="48" t="str">
        <f t="shared" si="2"/>
        <v/>
      </c>
      <c r="N10" s="35" t="s">
        <v>18</v>
      </c>
      <c r="O10" s="830" t="s">
        <v>18</v>
      </c>
      <c r="P10" s="831"/>
      <c r="Q10" s="832"/>
      <c r="R10" s="49" t="s">
        <v>23</v>
      </c>
      <c r="S10" s="50"/>
      <c r="T10" s="51" t="e">
        <f>S10/S11</f>
        <v>#DIV/0!</v>
      </c>
      <c r="U10" s="55"/>
      <c r="V10" s="55"/>
      <c r="Z10" s="39">
        <f>$C$10</f>
        <v>0</v>
      </c>
      <c r="AA10" s="46"/>
      <c r="AB10" s="46"/>
      <c r="AD10" s="40" t="str">
        <f>IF(ISBLANK($C$10),"NA",RIGHT($C$10,3))</f>
        <v>NA</v>
      </c>
      <c r="AE10" s="41" t="str">
        <f>IF($I$10&gt;0,$I$10,"NA")</f>
        <v>NA</v>
      </c>
      <c r="AF10" s="22"/>
      <c r="AG10" s="25">
        <f t="shared" ca="1" si="3"/>
        <v>-1</v>
      </c>
      <c r="AH10" s="25"/>
      <c r="AI10" s="22"/>
      <c r="AJ10" s="52" t="str">
        <f>IF(ISBLANK($C$7),"NA",RIGHT($C$7,3))</f>
        <v>042</v>
      </c>
      <c r="AK10" s="42">
        <f>IF($I$7&gt;0,$I$7,"NA")</f>
        <v>176.6</v>
      </c>
      <c r="AL10" s="22"/>
      <c r="AM10" s="22">
        <f t="shared" ca="1" si="4"/>
        <v>250</v>
      </c>
      <c r="AN10" s="22"/>
      <c r="AO10" s="22"/>
      <c r="AP10" s="22"/>
      <c r="AQ10" s="22"/>
      <c r="AR10" s="22"/>
      <c r="AS10" s="22"/>
      <c r="AT10" s="22"/>
      <c r="AU10" s="22"/>
      <c r="AV10" s="22"/>
      <c r="AW10" s="22"/>
      <c r="AX10" s="22"/>
      <c r="AY10" s="22"/>
      <c r="AZ10" s="22"/>
      <c r="BA10" s="22"/>
      <c r="BB10" s="22"/>
      <c r="BC10" s="22"/>
      <c r="BD10" s="22"/>
      <c r="BE10" s="22"/>
      <c r="BF10" s="22"/>
      <c r="BG10" s="22"/>
      <c r="BH10" s="22"/>
      <c r="BI10" s="22"/>
      <c r="BJ10" s="22"/>
      <c r="BK10" s="22"/>
      <c r="BL10" s="22"/>
      <c r="BM10" s="22"/>
      <c r="BN10" s="22"/>
      <c r="BO10" s="22"/>
      <c r="BP10" s="22"/>
    </row>
    <row r="11" spans="1:68" s="17" customFormat="1" ht="22.5" customHeight="1">
      <c r="A11" s="56">
        <f>D63</f>
        <v>0.33</v>
      </c>
      <c r="B11" s="779"/>
      <c r="C11" s="57"/>
      <c r="D11" s="44"/>
      <c r="E11" s="45"/>
      <c r="F11" s="46"/>
      <c r="G11" s="44" t="s">
        <v>66</v>
      </c>
      <c r="H11" s="31">
        <f t="shared" si="0"/>
        <v>0</v>
      </c>
      <c r="I11" s="31">
        <f>AA11-F11</f>
        <v>0</v>
      </c>
      <c r="J11" s="44"/>
      <c r="K11" s="47"/>
      <c r="L11" s="33"/>
      <c r="M11" s="48" t="str">
        <f t="shared" si="2"/>
        <v/>
      </c>
      <c r="N11" s="35" t="s">
        <v>18</v>
      </c>
      <c r="O11" s="830"/>
      <c r="P11" s="831"/>
      <c r="Q11" s="832"/>
      <c r="R11" s="58" t="s">
        <v>67</v>
      </c>
      <c r="S11" s="59">
        <f>SUM(S6:S10)</f>
        <v>0</v>
      </c>
      <c r="T11" s="60"/>
      <c r="U11" s="61"/>
      <c r="Z11" s="39">
        <f>$C$11</f>
        <v>0</v>
      </c>
      <c r="AA11" s="46"/>
      <c r="AB11" s="46"/>
      <c r="AD11" s="40" t="str">
        <f>IF(ISBLANK($C$12),"NA",RIGHT($C$12,3))</f>
        <v>NA</v>
      </c>
      <c r="AE11" s="41" t="str">
        <f>IF($I$12&gt;0,$I$12,"NA")</f>
        <v>NA</v>
      </c>
      <c r="AF11" s="22"/>
      <c r="AG11" s="25">
        <f t="shared" ca="1" si="3"/>
        <v>-1</v>
      </c>
      <c r="AH11" s="25"/>
      <c r="AI11" s="22"/>
      <c r="AJ11" s="52" t="str">
        <f>IF(ISBLANK($C$25),"NA",RIGHT($C$25,3))</f>
        <v>044</v>
      </c>
      <c r="AK11" s="42">
        <f>IF($I$25&gt;0,$I$25,"NA")</f>
        <v>126.6</v>
      </c>
      <c r="AL11" s="22"/>
      <c r="AM11" s="22">
        <f t="shared" ca="1" si="4"/>
        <v>187.5</v>
      </c>
      <c r="AN11" s="22"/>
      <c r="AO11" s="22"/>
      <c r="AP11" s="22"/>
      <c r="AQ11" s="22"/>
      <c r="AR11" s="22"/>
      <c r="AS11" s="22"/>
      <c r="AT11" s="22"/>
      <c r="AU11" s="22"/>
      <c r="AV11" s="22"/>
      <c r="AW11" s="22"/>
      <c r="AX11" s="22"/>
      <c r="AY11" s="22"/>
      <c r="AZ11" s="22"/>
      <c r="BA11" s="22"/>
      <c r="BB11" s="22"/>
      <c r="BC11" s="22"/>
      <c r="BD11" s="22"/>
      <c r="BE11" s="22"/>
      <c r="BF11" s="22"/>
      <c r="BG11" s="22"/>
      <c r="BH11" s="22"/>
      <c r="BI11" s="22"/>
      <c r="BJ11" s="22"/>
      <c r="BK11" s="22"/>
      <c r="BL11" s="22"/>
      <c r="BM11" s="22"/>
      <c r="BN11" s="22"/>
      <c r="BO11" s="22"/>
      <c r="BP11" s="22"/>
    </row>
    <row r="12" spans="1:68" s="17" customFormat="1" ht="22.5" customHeight="1">
      <c r="A12" s="53" t="s">
        <v>3</v>
      </c>
      <c r="B12" s="779"/>
      <c r="C12" s="62"/>
      <c r="D12" s="44"/>
      <c r="E12" s="45"/>
      <c r="F12" s="46"/>
      <c r="G12" s="44" t="s">
        <v>66</v>
      </c>
      <c r="H12" s="31">
        <f t="shared" si="0"/>
        <v>0</v>
      </c>
      <c r="I12" s="31">
        <f t="shared" si="1"/>
        <v>0</v>
      </c>
      <c r="J12" s="44"/>
      <c r="K12" s="47"/>
      <c r="L12" s="33"/>
      <c r="M12" s="48" t="str">
        <f t="shared" si="2"/>
        <v/>
      </c>
      <c r="N12" s="35" t="s">
        <v>18</v>
      </c>
      <c r="O12" s="830"/>
      <c r="P12" s="831"/>
      <c r="Q12" s="832"/>
      <c r="R12" s="788">
        <f>COUNTA(C6:C13)</f>
        <v>3</v>
      </c>
      <c r="S12" s="63" t="s">
        <v>68</v>
      </c>
      <c r="T12" s="64">
        <f>SUM(I6:I13)</f>
        <v>526</v>
      </c>
      <c r="U12" s="55"/>
      <c r="Z12" s="39">
        <f>$C$12</f>
        <v>0</v>
      </c>
      <c r="AA12" s="46"/>
      <c r="AB12" s="46"/>
      <c r="AD12" s="40" t="str">
        <f>IF(ISBLANK($C$11),"NA",RIGHT($C$11,3))</f>
        <v>NA</v>
      </c>
      <c r="AE12" s="41" t="str">
        <f>IF($I$11&gt;0,$I$11,"NA")</f>
        <v>NA</v>
      </c>
      <c r="AF12" s="22"/>
      <c r="AG12" s="25">
        <f t="shared" ca="1" si="3"/>
        <v>-1</v>
      </c>
      <c r="AH12" s="25"/>
      <c r="AI12" s="22"/>
      <c r="AJ12" s="52" t="str">
        <f>IF(ISBLANK($C$6),"NA",RIGHT($C$6,3))</f>
        <v>119</v>
      </c>
      <c r="AK12" s="42">
        <f ca="1">RAND()*0+$I$6</f>
        <v>124</v>
      </c>
      <c r="AL12" s="22"/>
      <c r="AM12" s="22">
        <f t="shared" ca="1" si="4"/>
        <v>125</v>
      </c>
      <c r="AN12" s="22"/>
      <c r="AO12" s="22"/>
      <c r="AP12" s="22"/>
      <c r="AQ12" s="22"/>
      <c r="AR12" s="22"/>
      <c r="AS12" s="22"/>
      <c r="AT12" s="22"/>
      <c r="AU12" s="22"/>
      <c r="AV12" s="22"/>
      <c r="AW12" s="22"/>
      <c r="AX12" s="22"/>
      <c r="AY12" s="22"/>
      <c r="AZ12" s="22"/>
      <c r="BA12" s="22"/>
      <c r="BB12" s="22"/>
      <c r="BC12" s="22"/>
      <c r="BD12" s="22"/>
      <c r="BE12" s="22"/>
      <c r="BF12" s="22"/>
      <c r="BG12" s="22"/>
      <c r="BH12" s="22"/>
      <c r="BI12" s="22"/>
      <c r="BJ12" s="22"/>
      <c r="BK12" s="22"/>
      <c r="BL12" s="22"/>
      <c r="BM12" s="22"/>
      <c r="BN12" s="22"/>
      <c r="BO12" s="22"/>
      <c r="BP12" s="22"/>
    </row>
    <row r="13" spans="1:68" s="17" customFormat="1" ht="22.5" customHeight="1">
      <c r="A13" s="56">
        <f>D64</f>
        <v>0.67</v>
      </c>
      <c r="B13" s="780"/>
      <c r="C13" s="65"/>
      <c r="D13" s="44"/>
      <c r="E13" s="44"/>
      <c r="F13" s="66"/>
      <c r="G13" s="44" t="s">
        <v>66</v>
      </c>
      <c r="H13" s="31">
        <f t="shared" si="0"/>
        <v>0</v>
      </c>
      <c r="I13" s="31">
        <f t="shared" si="1"/>
        <v>0</v>
      </c>
      <c r="J13" s="44"/>
      <c r="K13" s="47"/>
      <c r="L13" s="33"/>
      <c r="M13" s="48" t="str">
        <f t="shared" si="2"/>
        <v/>
      </c>
      <c r="N13" s="35" t="s">
        <v>18</v>
      </c>
      <c r="O13" s="830"/>
      <c r="P13" s="831"/>
      <c r="Q13" s="832"/>
      <c r="R13" s="789"/>
      <c r="S13" s="67" t="s">
        <v>69</v>
      </c>
      <c r="T13" s="68">
        <f>T12/(500*R12)</f>
        <v>0.35099999999999998</v>
      </c>
      <c r="Z13" s="39">
        <f>$C$13</f>
        <v>0</v>
      </c>
      <c r="AA13" s="66"/>
      <c r="AB13" s="66"/>
      <c r="AD13" s="40" t="str">
        <f>IF(ISBLANK($C$13),"NA",RIGHT($C$13,3))</f>
        <v>NA</v>
      </c>
      <c r="AE13" s="41" t="str">
        <f>IF($I$13&gt;0,$I$13,"NA")</f>
        <v>NA</v>
      </c>
      <c r="AF13" s="22"/>
      <c r="AG13" s="25">
        <f t="shared" ca="1" si="3"/>
        <v>-1</v>
      </c>
      <c r="AH13" s="25"/>
      <c r="AI13" s="22"/>
      <c r="AJ13" s="52" t="str">
        <f>IF(ISBLANK($C$16),"NA",RIGHT($C$16,3))</f>
        <v>045</v>
      </c>
      <c r="AK13" s="42">
        <f>IF($I$16&gt;0,$I$16,"NA")</f>
        <v>96.6</v>
      </c>
      <c r="AL13" s="22"/>
      <c r="AM13" s="22">
        <f t="shared" ca="1" si="4"/>
        <v>62.5</v>
      </c>
      <c r="AN13" s="22"/>
      <c r="AO13" s="22"/>
      <c r="AP13" s="22"/>
      <c r="AQ13" s="22"/>
      <c r="AR13" s="22"/>
      <c r="AS13" s="22"/>
      <c r="AT13" s="22"/>
      <c r="AU13" s="22"/>
      <c r="AV13" s="22"/>
      <c r="AW13" s="22"/>
      <c r="AX13" s="22"/>
      <c r="AY13" s="22"/>
      <c r="AZ13" s="22"/>
      <c r="BA13" s="22"/>
      <c r="BB13" s="22"/>
      <c r="BC13" s="22"/>
      <c r="BD13" s="22"/>
      <c r="BE13" s="22"/>
      <c r="BF13" s="22"/>
      <c r="BG13" s="22"/>
      <c r="BH13" s="22"/>
      <c r="BI13" s="22"/>
      <c r="BJ13" s="22"/>
      <c r="BK13" s="22"/>
      <c r="BL13" s="22"/>
      <c r="BM13" s="22"/>
      <c r="BN13" s="22"/>
      <c r="BO13" s="22"/>
      <c r="BP13" s="22"/>
    </row>
    <row r="14" spans="1:68" s="17" customFormat="1" ht="22.5" customHeight="1" thickBot="1">
      <c r="A14" s="791"/>
      <c r="B14" s="792"/>
      <c r="C14" s="792"/>
      <c r="D14" s="792"/>
      <c r="E14" s="792"/>
      <c r="F14" s="792"/>
      <c r="G14" s="792"/>
      <c r="H14" s="792"/>
      <c r="I14" s="792"/>
      <c r="J14" s="792"/>
      <c r="K14" s="792"/>
      <c r="L14" s="792"/>
      <c r="M14" s="792"/>
      <c r="N14" s="792"/>
      <c r="O14" s="792"/>
      <c r="P14" s="792"/>
      <c r="Q14" s="792"/>
      <c r="R14" s="790"/>
      <c r="S14" s="69" t="s">
        <v>46</v>
      </c>
      <c r="T14" s="70">
        <f>SUM(H6:H13)</f>
        <v>4.5999999999999996</v>
      </c>
      <c r="Y14" s="55"/>
      <c r="Z14" s="741"/>
      <c r="AA14" s="742"/>
      <c r="AB14" s="743"/>
      <c r="AD14" s="71"/>
      <c r="AE14" s="22"/>
      <c r="AF14" s="22"/>
      <c r="AG14" s="25">
        <f ca="1">COUNTIF(AE15:AE22,"&gt;0")</f>
        <v>4</v>
      </c>
      <c r="AH14" s="25">
        <f ca="1">$AA$1/($AG$14-1)</f>
        <v>166.7</v>
      </c>
      <c r="AI14" s="22"/>
      <c r="AJ14" s="52" t="str">
        <f>IF(ISBLANK($C$24),"NA",RIGHT($C$24,3))</f>
        <v>116</v>
      </c>
      <c r="AK14" s="42">
        <f>IF($I$24&gt;0,$I$24,"NA")</f>
        <v>24</v>
      </c>
      <c r="AL14" s="22"/>
      <c r="AM14" s="22">
        <f t="shared" ca="1" si="4"/>
        <v>0</v>
      </c>
      <c r="AN14" s="22"/>
      <c r="AO14" s="22"/>
      <c r="AP14" s="22"/>
      <c r="AQ14" s="22"/>
      <c r="AR14" s="22"/>
      <c r="AS14" s="22"/>
      <c r="AT14" s="22"/>
      <c r="AU14" s="22"/>
      <c r="AV14" s="22"/>
      <c r="AW14" s="22"/>
      <c r="AX14" s="22"/>
      <c r="AY14" s="22"/>
      <c r="AZ14" s="22"/>
      <c r="BA14" s="22"/>
      <c r="BB14" s="22"/>
      <c r="BC14" s="22"/>
      <c r="BD14" s="22"/>
      <c r="BE14" s="22"/>
      <c r="BF14" s="22"/>
      <c r="BG14" s="22"/>
      <c r="BH14" s="22"/>
      <c r="BI14" s="22"/>
      <c r="BJ14" s="22"/>
      <c r="BK14" s="22"/>
      <c r="BL14" s="22"/>
      <c r="BM14" s="22"/>
      <c r="BN14" s="22"/>
      <c r="BO14" s="22"/>
      <c r="BP14" s="22"/>
    </row>
    <row r="15" spans="1:68" s="17" customFormat="1" ht="22.5" customHeight="1">
      <c r="A15" s="776" t="s">
        <v>70</v>
      </c>
      <c r="B15" s="778" t="s">
        <v>15</v>
      </c>
      <c r="C15" s="54" t="s">
        <v>71</v>
      </c>
      <c r="D15" s="28" t="s">
        <v>25</v>
      </c>
      <c r="E15" s="28" t="s">
        <v>60</v>
      </c>
      <c r="F15" s="29">
        <v>4022.1</v>
      </c>
      <c r="G15" s="28" t="s">
        <v>22</v>
      </c>
      <c r="H15" s="31">
        <f t="shared" ref="H15:H22" si="5">F15-AB15</f>
        <v>10</v>
      </c>
      <c r="I15" s="31">
        <f t="shared" ref="I15:I22" si="6">AA15-F15</f>
        <v>324</v>
      </c>
      <c r="J15" s="28" t="s">
        <v>61</v>
      </c>
      <c r="K15" s="32">
        <v>41920</v>
      </c>
      <c r="L15" s="72"/>
      <c r="M15" s="34">
        <f t="shared" ref="M15:M31" ca="1" si="7">IF(ISBLANK(K15),"",-($K15-$T$1))</f>
        <v>194</v>
      </c>
      <c r="N15" s="35">
        <v>41937</v>
      </c>
      <c r="O15" s="827" t="s">
        <v>72</v>
      </c>
      <c r="P15" s="828"/>
      <c r="Q15" s="829"/>
      <c r="R15" s="73" t="s">
        <v>16</v>
      </c>
      <c r="S15" s="37"/>
      <c r="T15" s="74" t="e">
        <f>S15/S20</f>
        <v>#DIV/0!</v>
      </c>
      <c r="Y15" s="55"/>
      <c r="Z15" s="75" t="str">
        <f>$C$15</f>
        <v>99-05112</v>
      </c>
      <c r="AA15" s="46">
        <v>4346.1000000000004</v>
      </c>
      <c r="AB15" s="46">
        <v>4012.1</v>
      </c>
      <c r="AD15" s="40" t="str">
        <f>IF(ISBLANK($C$18),"NA",RIGHT($C$18,3))</f>
        <v>586</v>
      </c>
      <c r="AE15" s="42">
        <f>IF($I$18&gt;0,$I$18,"NA")</f>
        <v>444.4</v>
      </c>
      <c r="AF15" s="22"/>
      <c r="AG15" s="25">
        <f>$AA$1</f>
        <v>500</v>
      </c>
      <c r="AH15" s="25"/>
      <c r="AI15" s="22"/>
      <c r="AJ15" s="40" t="str">
        <f>IF(ISBLANK($C$9),"NA",RIGHT($C$9,3))</f>
        <v>NA</v>
      </c>
      <c r="AK15" s="41" t="str">
        <f>IF($I$9&gt;0,$I$9,"NA")</f>
        <v>NA</v>
      </c>
      <c r="AL15" s="22"/>
      <c r="AM15" s="22">
        <f t="shared" ca="1" si="4"/>
        <v>-1</v>
      </c>
      <c r="AN15" s="22"/>
      <c r="AO15" s="22"/>
      <c r="AP15" s="22"/>
      <c r="AQ15" s="22"/>
      <c r="AR15" s="22"/>
      <c r="AS15" s="22"/>
      <c r="AT15" s="22"/>
      <c r="AU15" s="22"/>
      <c r="AV15" s="22"/>
      <c r="AW15" s="22"/>
      <c r="AX15" s="22"/>
      <c r="AY15" s="22"/>
      <c r="AZ15" s="22"/>
      <c r="BA15" s="22"/>
      <c r="BB15" s="22"/>
      <c r="BC15" s="22"/>
      <c r="BD15" s="22"/>
      <c r="BE15" s="22"/>
      <c r="BF15" s="22"/>
      <c r="BG15" s="22"/>
      <c r="BH15" s="22"/>
      <c r="BI15" s="22"/>
      <c r="BJ15" s="22"/>
      <c r="BK15" s="22"/>
      <c r="BL15" s="22"/>
      <c r="BM15" s="22"/>
      <c r="BN15" s="22"/>
      <c r="BO15" s="22"/>
      <c r="BP15" s="22"/>
    </row>
    <row r="16" spans="1:68" s="17" customFormat="1" ht="22.5" customHeight="1">
      <c r="A16" s="777"/>
      <c r="B16" s="779"/>
      <c r="C16" s="54" t="s">
        <v>73</v>
      </c>
      <c r="D16" s="44" t="s">
        <v>25</v>
      </c>
      <c r="E16" s="45" t="s">
        <v>63</v>
      </c>
      <c r="F16" s="66">
        <v>1514.6</v>
      </c>
      <c r="G16" s="44" t="s">
        <v>24</v>
      </c>
      <c r="H16" s="31">
        <f t="shared" si="5"/>
        <v>0</v>
      </c>
      <c r="I16" s="31">
        <f t="shared" si="6"/>
        <v>96.6</v>
      </c>
      <c r="J16" s="44" t="s">
        <v>61</v>
      </c>
      <c r="K16" s="47">
        <v>41922</v>
      </c>
      <c r="L16" s="33"/>
      <c r="M16" s="48">
        <f t="shared" ca="1" si="7"/>
        <v>192</v>
      </c>
      <c r="N16" s="35">
        <v>41937</v>
      </c>
      <c r="O16" s="830" t="s">
        <v>74</v>
      </c>
      <c r="P16" s="831"/>
      <c r="Q16" s="832"/>
      <c r="R16" s="49" t="s">
        <v>65</v>
      </c>
      <c r="S16" s="50"/>
      <c r="T16" s="51" t="e">
        <f>S16/S20</f>
        <v>#DIV/0!</v>
      </c>
      <c r="U16" s="55"/>
      <c r="V16" s="55"/>
      <c r="W16" s="55"/>
      <c r="X16" s="55"/>
      <c r="Y16" s="55"/>
      <c r="Z16" s="75" t="str">
        <f>$C$16</f>
        <v>07-07045</v>
      </c>
      <c r="AA16" s="66">
        <v>1611.2</v>
      </c>
      <c r="AB16" s="66">
        <v>1514.6</v>
      </c>
      <c r="AD16" s="40" t="str">
        <f>IF(ISBLANK($C$17),"NA",RIGHT($C$17,3))</f>
        <v>587</v>
      </c>
      <c r="AE16" s="42">
        <f>IF($I$17&gt;0,$I$17,"NA")</f>
        <v>341.4</v>
      </c>
      <c r="AF16" s="22"/>
      <c r="AG16" s="25">
        <f ca="1">IF(AG15-$AH$14&gt;=0,AG15-$AH$14,-1)</f>
        <v>333.3</v>
      </c>
      <c r="AH16" s="25"/>
      <c r="AI16" s="22"/>
      <c r="AJ16" s="40" t="str">
        <f>IF(ISBLANK($C$10),"NA",RIGHT($C$10,3))</f>
        <v>NA</v>
      </c>
      <c r="AK16" s="41" t="str">
        <f>IF($I$10&gt;0,$I$10,"NA")</f>
        <v>NA</v>
      </c>
      <c r="AL16" s="22"/>
      <c r="AM16" s="22">
        <f t="shared" ca="1" si="4"/>
        <v>-1</v>
      </c>
      <c r="AN16" s="22"/>
      <c r="AO16" s="22"/>
      <c r="AP16" s="22"/>
      <c r="AQ16" s="22"/>
      <c r="AR16" s="22"/>
      <c r="AS16" s="22"/>
      <c r="AT16" s="22"/>
      <c r="AU16" s="22"/>
      <c r="AV16" s="22"/>
      <c r="AW16" s="22"/>
      <c r="AX16" s="22"/>
      <c r="AY16" s="22"/>
      <c r="AZ16" s="22"/>
      <c r="BA16" s="22"/>
      <c r="BB16" s="22"/>
      <c r="BC16" s="22"/>
      <c r="BD16" s="22"/>
      <c r="BE16" s="22"/>
      <c r="BF16" s="22"/>
      <c r="BG16" s="22"/>
      <c r="BH16" s="22"/>
      <c r="BI16" s="22"/>
      <c r="BJ16" s="22"/>
      <c r="BK16" s="22"/>
      <c r="BL16" s="22"/>
      <c r="BM16" s="22"/>
      <c r="BN16" s="22"/>
      <c r="BO16" s="22"/>
      <c r="BP16" s="22"/>
    </row>
    <row r="17" spans="1:68" s="17" customFormat="1" ht="22.5" customHeight="1">
      <c r="A17" s="777"/>
      <c r="B17" s="779"/>
      <c r="C17" s="54" t="s">
        <v>75</v>
      </c>
      <c r="D17" s="44" t="s">
        <v>17</v>
      </c>
      <c r="E17" s="44" t="s">
        <v>63</v>
      </c>
      <c r="F17" s="66">
        <v>4273.2</v>
      </c>
      <c r="G17" s="44" t="s">
        <v>16</v>
      </c>
      <c r="H17" s="31">
        <f t="shared" si="5"/>
        <v>44.6</v>
      </c>
      <c r="I17" s="31">
        <f t="shared" si="6"/>
        <v>341.4</v>
      </c>
      <c r="J17" s="44" t="s">
        <v>61</v>
      </c>
      <c r="K17" s="47"/>
      <c r="L17" s="33"/>
      <c r="M17" s="48" t="str">
        <f t="shared" si="7"/>
        <v/>
      </c>
      <c r="N17" s="35"/>
      <c r="O17" s="830"/>
      <c r="P17" s="831"/>
      <c r="Q17" s="832"/>
      <c r="R17" s="49" t="s">
        <v>24</v>
      </c>
      <c r="S17" s="50"/>
      <c r="T17" s="51" t="e">
        <f>S17/S20</f>
        <v>#DIV/0!</v>
      </c>
      <c r="Y17" s="55"/>
      <c r="Z17" s="75" t="str">
        <f>$C$17</f>
        <v>09-05587</v>
      </c>
      <c r="AA17" s="66">
        <v>4614.6000000000004</v>
      </c>
      <c r="AB17" s="66">
        <v>4228.6000000000004</v>
      </c>
      <c r="AD17" s="52" t="str">
        <f>IF(ISBLANK($C$15),"NA",RIGHT($C$15,3))</f>
        <v>112</v>
      </c>
      <c r="AE17" s="42">
        <f ca="1">RAND()*0+$I$15</f>
        <v>324</v>
      </c>
      <c r="AF17" s="22"/>
      <c r="AG17" s="25">
        <f t="shared" ref="AG17:AG22" ca="1" si="8">IF(AG16-$AH$14&gt;=0,AG16-$AH$14,-1)</f>
        <v>166.6</v>
      </c>
      <c r="AH17" s="25"/>
      <c r="AI17" s="22"/>
      <c r="AJ17" s="40" t="str">
        <f>IF(ISBLANK($C$12),"NA",RIGHT($C$12,3))</f>
        <v>NA</v>
      </c>
      <c r="AK17" s="41" t="str">
        <f>IF($I$12&gt;0,$I$12,"NA")</f>
        <v>NA</v>
      </c>
      <c r="AL17" s="22"/>
      <c r="AM17" s="22">
        <f t="shared" ca="1" si="4"/>
        <v>-1</v>
      </c>
      <c r="AN17" s="22"/>
      <c r="AO17" s="22"/>
      <c r="AP17" s="22"/>
      <c r="AQ17" s="22"/>
      <c r="AR17" s="22"/>
      <c r="AS17" s="22"/>
      <c r="AT17" s="22"/>
      <c r="AU17" s="22"/>
      <c r="AV17" s="22"/>
      <c r="AW17" s="22"/>
      <c r="AX17" s="22"/>
      <c r="AY17" s="22"/>
      <c r="AZ17" s="22"/>
      <c r="BA17" s="22"/>
      <c r="BB17" s="22"/>
      <c r="BC17" s="22"/>
      <c r="BD17" s="22"/>
      <c r="BE17" s="22"/>
      <c r="BF17" s="22"/>
      <c r="BG17" s="22"/>
      <c r="BH17" s="22"/>
      <c r="BI17" s="22"/>
      <c r="BJ17" s="22"/>
      <c r="BK17" s="22"/>
      <c r="BL17" s="22"/>
      <c r="BM17" s="22"/>
      <c r="BN17" s="22"/>
      <c r="BO17" s="22"/>
      <c r="BP17" s="22"/>
    </row>
    <row r="18" spans="1:68" s="17" customFormat="1" ht="22.5" customHeight="1">
      <c r="A18" s="777"/>
      <c r="B18" s="779"/>
      <c r="C18" s="54" t="s">
        <v>76</v>
      </c>
      <c r="D18" s="44" t="s">
        <v>17</v>
      </c>
      <c r="E18" s="45" t="s">
        <v>63</v>
      </c>
      <c r="F18" s="66">
        <v>4270.2</v>
      </c>
      <c r="G18" s="44" t="s">
        <v>77</v>
      </c>
      <c r="H18" s="31">
        <f t="shared" si="5"/>
        <v>41.6</v>
      </c>
      <c r="I18" s="31">
        <f t="shared" si="6"/>
        <v>444.4</v>
      </c>
      <c r="J18" s="44" t="s">
        <v>61</v>
      </c>
      <c r="K18" s="47">
        <v>41935</v>
      </c>
      <c r="L18" s="33">
        <v>41936</v>
      </c>
      <c r="M18" s="48">
        <f t="shared" ca="1" si="7"/>
        <v>179</v>
      </c>
      <c r="N18" s="35">
        <v>41936</v>
      </c>
      <c r="O18" s="830" t="s">
        <v>78</v>
      </c>
      <c r="P18" s="831"/>
      <c r="Q18" s="832"/>
      <c r="R18" s="49" t="s">
        <v>22</v>
      </c>
      <c r="S18" s="50"/>
      <c r="T18" s="51" t="e">
        <f>S18/S20</f>
        <v>#DIV/0!</v>
      </c>
      <c r="Y18" s="55"/>
      <c r="Z18" s="75" t="str">
        <f>$C$18</f>
        <v>09-05586</v>
      </c>
      <c r="AA18" s="66">
        <v>4714.6000000000004</v>
      </c>
      <c r="AB18" s="66">
        <v>4228.6000000000004</v>
      </c>
      <c r="AD18" s="52" t="str">
        <f>IF(ISBLANK($C$16),"NA",RIGHT($C$16,3))</f>
        <v>045</v>
      </c>
      <c r="AE18" s="42">
        <f>IF($I$16&gt;0,$I$16,"NA")</f>
        <v>96.6</v>
      </c>
      <c r="AF18" s="22"/>
      <c r="AG18" s="25">
        <f t="shared" ca="1" si="8"/>
        <v>-1</v>
      </c>
      <c r="AH18" s="25"/>
      <c r="AI18" s="22"/>
      <c r="AJ18" s="40" t="str">
        <f>IF(ISBLANK($C$11),"NA",RIGHT($C$11,3))</f>
        <v>NA</v>
      </c>
      <c r="AK18" s="41" t="str">
        <f>IF($I$11&gt;0,$I$11,"NA")</f>
        <v>NA</v>
      </c>
      <c r="AL18" s="22"/>
      <c r="AM18" s="22">
        <f t="shared" ca="1" si="4"/>
        <v>-1</v>
      </c>
      <c r="AN18" s="22"/>
      <c r="AO18" s="22"/>
      <c r="AP18" s="22"/>
      <c r="AQ18" s="22"/>
      <c r="AR18" s="22"/>
      <c r="AS18" s="22"/>
      <c r="AT18" s="22"/>
      <c r="AU18" s="22"/>
      <c r="AV18" s="22"/>
      <c r="AW18" s="22"/>
      <c r="AX18" s="22"/>
      <c r="AY18" s="22"/>
      <c r="AZ18" s="22"/>
      <c r="BA18" s="22"/>
      <c r="BB18" s="22"/>
      <c r="BC18" s="22"/>
      <c r="BD18" s="22"/>
      <c r="BE18" s="22"/>
      <c r="BF18" s="22"/>
      <c r="BG18" s="22"/>
      <c r="BH18" s="22"/>
      <c r="BI18" s="22"/>
      <c r="BJ18" s="22"/>
      <c r="BK18" s="22"/>
      <c r="BL18" s="22"/>
      <c r="BM18" s="22"/>
      <c r="BN18" s="22"/>
      <c r="BO18" s="22"/>
      <c r="BP18" s="22"/>
    </row>
    <row r="19" spans="1:68" s="17" customFormat="1" ht="22.5" customHeight="1">
      <c r="A19" s="76" t="s">
        <v>16</v>
      </c>
      <c r="B19" s="779"/>
      <c r="C19" s="54"/>
      <c r="D19" s="44"/>
      <c r="E19" s="45"/>
      <c r="F19" s="46"/>
      <c r="G19" s="44" t="s">
        <v>66</v>
      </c>
      <c r="H19" s="31">
        <f t="shared" si="5"/>
        <v>0</v>
      </c>
      <c r="I19" s="31">
        <f t="shared" si="6"/>
        <v>0</v>
      </c>
      <c r="J19" s="44"/>
      <c r="K19" s="47"/>
      <c r="L19" s="33"/>
      <c r="M19" s="48" t="str">
        <f t="shared" si="7"/>
        <v/>
      </c>
      <c r="N19" s="35"/>
      <c r="O19" s="830"/>
      <c r="P19" s="831"/>
      <c r="Q19" s="832"/>
      <c r="R19" s="49" t="s">
        <v>23</v>
      </c>
      <c r="S19" s="50"/>
      <c r="T19" s="51" t="e">
        <f>S19/S20</f>
        <v>#DIV/0!</v>
      </c>
      <c r="Y19" s="55"/>
      <c r="Z19" s="75">
        <f>$C$19</f>
        <v>0</v>
      </c>
      <c r="AA19" s="46"/>
      <c r="AB19" s="46"/>
      <c r="AD19" s="40" t="str">
        <f>IF(ISBLANK($C$19),"NA",RIGHT($C$19,3))</f>
        <v>NA</v>
      </c>
      <c r="AE19" s="42" t="str">
        <f>IF($I$19&gt;0,$I$19,"NA")</f>
        <v>NA</v>
      </c>
      <c r="AF19" s="22"/>
      <c r="AG19" s="25">
        <f t="shared" ca="1" si="8"/>
        <v>-1</v>
      </c>
      <c r="AH19" s="25"/>
      <c r="AI19" s="22"/>
      <c r="AJ19" s="40" t="str">
        <f>IF(ISBLANK($C$13),"NA",RIGHT($C$13,3))</f>
        <v>NA</v>
      </c>
      <c r="AK19" s="41" t="str">
        <f>IF($I$13&gt;0,$I$13,"NA")</f>
        <v>NA</v>
      </c>
      <c r="AL19" s="22"/>
      <c r="AM19" s="22">
        <f t="shared" ca="1" si="4"/>
        <v>-1</v>
      </c>
      <c r="AN19" s="22"/>
      <c r="AO19" s="22"/>
      <c r="AP19" s="22"/>
      <c r="AQ19" s="22"/>
      <c r="AR19" s="22"/>
      <c r="AS19" s="22"/>
      <c r="AT19" s="22"/>
      <c r="AU19" s="22"/>
      <c r="AV19" s="22"/>
      <c r="AW19" s="22"/>
      <c r="AX19" s="22"/>
      <c r="AY19" s="22"/>
      <c r="AZ19" s="22"/>
      <c r="BA19" s="22"/>
      <c r="BB19" s="22"/>
      <c r="BC19" s="22"/>
      <c r="BD19" s="22"/>
      <c r="BE19" s="22"/>
      <c r="BF19" s="22"/>
      <c r="BG19" s="22"/>
      <c r="BH19" s="22"/>
      <c r="BI19" s="22"/>
      <c r="BJ19" s="22"/>
      <c r="BK19" s="22"/>
      <c r="BL19" s="22"/>
      <c r="BM19" s="22"/>
      <c r="BN19" s="22"/>
      <c r="BO19" s="22"/>
      <c r="BP19" s="22"/>
    </row>
    <row r="20" spans="1:68" s="17" customFormat="1" ht="22.5" customHeight="1">
      <c r="A20" s="77">
        <f>F63</f>
        <v>0.25</v>
      </c>
      <c r="B20" s="779"/>
      <c r="C20" s="54"/>
      <c r="D20" s="44"/>
      <c r="E20" s="45"/>
      <c r="F20" s="46"/>
      <c r="G20" s="44" t="s">
        <v>66</v>
      </c>
      <c r="H20" s="31">
        <f t="shared" si="5"/>
        <v>0</v>
      </c>
      <c r="I20" s="31">
        <f t="shared" si="6"/>
        <v>0</v>
      </c>
      <c r="J20" s="44"/>
      <c r="K20" s="47"/>
      <c r="L20" s="33"/>
      <c r="M20" s="48" t="str">
        <f t="shared" si="7"/>
        <v/>
      </c>
      <c r="N20" s="35"/>
      <c r="O20" s="830"/>
      <c r="P20" s="831"/>
      <c r="Q20" s="832"/>
      <c r="R20" s="58" t="s">
        <v>67</v>
      </c>
      <c r="S20" s="59">
        <f>SUM(S15:S19)</f>
        <v>0</v>
      </c>
      <c r="T20" s="60"/>
      <c r="Y20" s="55"/>
      <c r="Z20" s="75">
        <f>$C$20</f>
        <v>0</v>
      </c>
      <c r="AA20" s="46"/>
      <c r="AB20" s="46"/>
      <c r="AD20" s="40" t="str">
        <f>IF(ISBLANK($C$20),"NA",RIGHT($C$20,3))</f>
        <v>NA</v>
      </c>
      <c r="AE20" s="42" t="str">
        <f>IF($I$20&gt;0,$I$20,"NA")</f>
        <v>NA</v>
      </c>
      <c r="AF20" s="22"/>
      <c r="AG20" s="25">
        <f t="shared" ca="1" si="8"/>
        <v>-1</v>
      </c>
      <c r="AH20" s="25"/>
      <c r="AI20" s="22"/>
      <c r="AJ20" s="40" t="str">
        <f>IF(ISBLANK($C$19),"NA",RIGHT($C$19,3))</f>
        <v>NA</v>
      </c>
      <c r="AK20" s="42" t="str">
        <f>IF($I$19&gt;0,$I$19,"NA")</f>
        <v>NA</v>
      </c>
      <c r="AL20" s="22"/>
      <c r="AM20" s="22">
        <f t="shared" ca="1" si="4"/>
        <v>-1</v>
      </c>
      <c r="AN20" s="22"/>
      <c r="AO20" s="22"/>
      <c r="AP20" s="22"/>
      <c r="AQ20" s="22"/>
      <c r="AR20" s="22"/>
      <c r="AS20" s="22"/>
      <c r="AT20" s="22"/>
      <c r="AU20" s="22"/>
      <c r="AV20" s="22"/>
      <c r="AW20" s="22"/>
      <c r="AX20" s="22"/>
      <c r="AY20" s="22"/>
      <c r="AZ20" s="22"/>
      <c r="BA20" s="22"/>
      <c r="BB20" s="22"/>
      <c r="BC20" s="22"/>
      <c r="BD20" s="22"/>
      <c r="BE20" s="22"/>
      <c r="BF20" s="22"/>
      <c r="BG20" s="22"/>
      <c r="BH20" s="22"/>
      <c r="BI20" s="22"/>
      <c r="BJ20" s="22"/>
      <c r="BK20" s="22"/>
      <c r="BL20" s="22"/>
      <c r="BM20" s="22"/>
      <c r="BN20" s="22"/>
      <c r="BO20" s="22"/>
      <c r="BP20" s="22"/>
    </row>
    <row r="21" spans="1:68" s="17" customFormat="1" ht="22.5" customHeight="1">
      <c r="A21" s="76" t="s">
        <v>3</v>
      </c>
      <c r="B21" s="779"/>
      <c r="C21" s="54"/>
      <c r="D21" s="44"/>
      <c r="E21" s="45"/>
      <c r="F21" s="46"/>
      <c r="G21" s="44" t="s">
        <v>66</v>
      </c>
      <c r="H21" s="31">
        <f t="shared" si="5"/>
        <v>0</v>
      </c>
      <c r="I21" s="31">
        <f t="shared" si="6"/>
        <v>0</v>
      </c>
      <c r="J21" s="44"/>
      <c r="K21" s="47"/>
      <c r="L21" s="33"/>
      <c r="M21" s="48" t="str">
        <f t="shared" si="7"/>
        <v/>
      </c>
      <c r="N21" s="35"/>
      <c r="O21" s="830"/>
      <c r="P21" s="831"/>
      <c r="Q21" s="832"/>
      <c r="R21" s="783">
        <f>COUNTA(C15:C22)</f>
        <v>4</v>
      </c>
      <c r="S21" s="78" t="s">
        <v>68</v>
      </c>
      <c r="T21" s="79">
        <f>SUM(I15:I22)</f>
        <v>1206.4000000000001</v>
      </c>
      <c r="Y21" s="55"/>
      <c r="Z21" s="75">
        <f>$C$21</f>
        <v>0</v>
      </c>
      <c r="AA21" s="46"/>
      <c r="AB21" s="46"/>
      <c r="AD21" s="40" t="str">
        <f>IF(ISBLANK($C$21),"NA",RIGHT($C$21,3))</f>
        <v>NA</v>
      </c>
      <c r="AE21" s="42" t="str">
        <f>IF($I$21&gt;0,$I$21,"NA")</f>
        <v>NA</v>
      </c>
      <c r="AF21" s="22"/>
      <c r="AG21" s="25">
        <f t="shared" ca="1" si="8"/>
        <v>-1</v>
      </c>
      <c r="AH21" s="25"/>
      <c r="AI21" s="22"/>
      <c r="AJ21" s="40" t="str">
        <f>IF(ISBLANK($C$20),"NA",RIGHT($C$20,3))</f>
        <v>NA</v>
      </c>
      <c r="AK21" s="42" t="str">
        <f>IF($I$20&gt;0,$I$20,"NA")</f>
        <v>NA</v>
      </c>
      <c r="AL21" s="22"/>
      <c r="AM21" s="22">
        <f t="shared" ca="1" si="4"/>
        <v>-1</v>
      </c>
      <c r="AN21" s="22"/>
      <c r="AO21" s="22"/>
      <c r="AP21" s="22"/>
      <c r="AQ21" s="22"/>
      <c r="AR21" s="22"/>
      <c r="AS21" s="22"/>
      <c r="AT21" s="22"/>
      <c r="AU21" s="22"/>
      <c r="AV21" s="22"/>
      <c r="AW21" s="22"/>
      <c r="AX21" s="22"/>
      <c r="AY21" s="22"/>
      <c r="AZ21" s="22"/>
      <c r="BA21" s="22"/>
      <c r="BB21" s="22"/>
      <c r="BC21" s="22"/>
      <c r="BD21" s="22"/>
      <c r="BE21" s="22"/>
      <c r="BF21" s="22"/>
      <c r="BG21" s="22"/>
      <c r="BH21" s="22"/>
      <c r="BI21" s="22"/>
      <c r="BJ21" s="22"/>
      <c r="BK21" s="22"/>
      <c r="BL21" s="22"/>
      <c r="BM21" s="22"/>
      <c r="BN21" s="22"/>
      <c r="BO21" s="22"/>
      <c r="BP21" s="22"/>
    </row>
    <row r="22" spans="1:68" s="17" customFormat="1" ht="22.5" customHeight="1">
      <c r="A22" s="77">
        <f>F64</f>
        <v>0.5</v>
      </c>
      <c r="B22" s="780"/>
      <c r="C22" s="65"/>
      <c r="D22" s="44"/>
      <c r="E22" s="44"/>
      <c r="F22" s="66"/>
      <c r="G22" s="44" t="s">
        <v>66</v>
      </c>
      <c r="H22" s="31">
        <f t="shared" si="5"/>
        <v>0</v>
      </c>
      <c r="I22" s="31">
        <f t="shared" si="6"/>
        <v>0</v>
      </c>
      <c r="J22" s="44"/>
      <c r="K22" s="47"/>
      <c r="L22" s="33"/>
      <c r="M22" s="48" t="str">
        <f t="shared" si="7"/>
        <v/>
      </c>
      <c r="N22" s="35"/>
      <c r="O22" s="830"/>
      <c r="P22" s="831"/>
      <c r="Q22" s="832"/>
      <c r="R22" s="784"/>
      <c r="S22" s="80" t="s">
        <v>69</v>
      </c>
      <c r="T22" s="81">
        <f>T21/(500*R21)</f>
        <v>0.60299999999999998</v>
      </c>
      <c r="Y22" s="55"/>
      <c r="Z22" s="75">
        <f>$C$22</f>
        <v>0</v>
      </c>
      <c r="AA22" s="66"/>
      <c r="AB22" s="66"/>
      <c r="AD22" s="40" t="str">
        <f>IF(ISBLANK($C$22),"NA",RIGHT($C$22,3))</f>
        <v>NA</v>
      </c>
      <c r="AE22" s="42" t="str">
        <f>IF($I$22&gt;0,$I$22,"NA")</f>
        <v>NA</v>
      </c>
      <c r="AF22" s="22"/>
      <c r="AG22" s="25">
        <f t="shared" ca="1" si="8"/>
        <v>-1</v>
      </c>
      <c r="AH22" s="25"/>
      <c r="AI22" s="22"/>
      <c r="AJ22" s="40" t="str">
        <f>IF(ISBLANK($C$21),"NA",RIGHT($C$21,3))</f>
        <v>NA</v>
      </c>
      <c r="AK22" s="42" t="str">
        <f>IF($I$21&gt;0,$I$21,"NA")</f>
        <v>NA</v>
      </c>
      <c r="AL22" s="22"/>
      <c r="AM22" s="22">
        <f t="shared" ca="1" si="4"/>
        <v>-1</v>
      </c>
      <c r="AN22" s="22"/>
      <c r="AO22" s="22"/>
      <c r="AP22" s="22"/>
      <c r="AQ22" s="22"/>
      <c r="AR22" s="22"/>
      <c r="AS22" s="22"/>
      <c r="AT22" s="22"/>
      <c r="AU22" s="22"/>
      <c r="AV22" s="22"/>
      <c r="AW22" s="22"/>
      <c r="AX22" s="22"/>
      <c r="AY22" s="22"/>
      <c r="AZ22" s="22"/>
      <c r="BA22" s="22"/>
      <c r="BB22" s="22"/>
      <c r="BC22" s="22"/>
      <c r="BD22" s="22"/>
      <c r="BE22" s="22"/>
      <c r="BF22" s="22"/>
      <c r="BG22" s="22"/>
      <c r="BH22" s="22"/>
      <c r="BI22" s="22"/>
      <c r="BJ22" s="22"/>
      <c r="BK22" s="22"/>
      <c r="BL22" s="22"/>
      <c r="BM22" s="22"/>
      <c r="BN22" s="22"/>
      <c r="BO22" s="22"/>
      <c r="BP22" s="22"/>
    </row>
    <row r="23" spans="1:68" s="17" customFormat="1" ht="22.5" customHeight="1" thickBot="1">
      <c r="A23" s="786"/>
      <c r="B23" s="787"/>
      <c r="C23" s="787"/>
      <c r="D23" s="787"/>
      <c r="E23" s="787"/>
      <c r="F23" s="787"/>
      <c r="G23" s="787"/>
      <c r="H23" s="787"/>
      <c r="I23" s="787"/>
      <c r="J23" s="787"/>
      <c r="K23" s="787"/>
      <c r="L23" s="787"/>
      <c r="M23" s="787"/>
      <c r="N23" s="787"/>
      <c r="O23" s="787"/>
      <c r="P23" s="787"/>
      <c r="Q23" s="787"/>
      <c r="R23" s="785"/>
      <c r="S23" s="82" t="s">
        <v>46</v>
      </c>
      <c r="T23" s="83">
        <f>SUM(H15:H22)</f>
        <v>96.2</v>
      </c>
      <c r="Z23" s="84"/>
      <c r="AA23" s="85"/>
      <c r="AB23" s="86"/>
      <c r="AD23" s="71"/>
      <c r="AE23" s="22"/>
      <c r="AF23" s="22"/>
      <c r="AG23" s="25">
        <f ca="1">COUNTIF(AE24:AE31,"&gt;0")</f>
        <v>2</v>
      </c>
      <c r="AH23" s="25">
        <f ca="1">$AA$1/($AG$23-1)</f>
        <v>500</v>
      </c>
      <c r="AI23" s="22"/>
      <c r="AJ23" s="40" t="str">
        <f>IF(ISBLANK($C$22),"NA",RIGHT($C$22,3))</f>
        <v>NA</v>
      </c>
      <c r="AK23" s="42" t="str">
        <f>IF($I$22&gt;0,$I$22,"NA")</f>
        <v>NA</v>
      </c>
      <c r="AL23" s="22"/>
      <c r="AM23" s="22">
        <f t="shared" ca="1" si="4"/>
        <v>-1</v>
      </c>
      <c r="AN23" s="22"/>
      <c r="AO23" s="22"/>
      <c r="AP23" s="22"/>
      <c r="AQ23" s="22"/>
      <c r="AR23" s="22"/>
      <c r="AS23" s="22"/>
      <c r="AT23" s="22"/>
      <c r="AU23" s="22"/>
      <c r="AV23" s="22"/>
      <c r="AW23" s="22"/>
      <c r="AX23" s="22"/>
      <c r="AY23" s="22"/>
      <c r="AZ23" s="22"/>
      <c r="BA23" s="22"/>
      <c r="BB23" s="22"/>
      <c r="BC23" s="22"/>
      <c r="BD23" s="22"/>
      <c r="BE23" s="22"/>
      <c r="BF23" s="22"/>
      <c r="BG23" s="22"/>
      <c r="BH23" s="22"/>
      <c r="BI23" s="22"/>
      <c r="BJ23" s="22"/>
      <c r="BK23" s="22"/>
      <c r="BL23" s="22"/>
      <c r="BM23" s="22"/>
      <c r="BN23" s="22"/>
      <c r="BO23" s="22"/>
      <c r="BP23" s="22"/>
    </row>
    <row r="24" spans="1:68" s="17" customFormat="1" ht="22.5" customHeight="1">
      <c r="A24" s="813" t="s">
        <v>79</v>
      </c>
      <c r="B24" s="778" t="s">
        <v>15</v>
      </c>
      <c r="C24" s="54" t="s">
        <v>80</v>
      </c>
      <c r="D24" s="28" t="s">
        <v>17</v>
      </c>
      <c r="E24" s="44" t="s">
        <v>60</v>
      </c>
      <c r="F24" s="29">
        <v>4022.1</v>
      </c>
      <c r="G24" s="28" t="s">
        <v>16</v>
      </c>
      <c r="H24" s="30">
        <f t="shared" ref="H24:H31" si="9">F24-AB24</f>
        <v>10</v>
      </c>
      <c r="I24" s="31">
        <f t="shared" ref="I24:I31" si="10">AA24-F24</f>
        <v>24</v>
      </c>
      <c r="J24" s="28" t="s">
        <v>61</v>
      </c>
      <c r="K24" s="32"/>
      <c r="L24" s="72"/>
      <c r="M24" s="48" t="str">
        <f t="shared" si="7"/>
        <v/>
      </c>
      <c r="N24" s="35" t="s">
        <v>18</v>
      </c>
      <c r="O24" s="827"/>
      <c r="P24" s="828"/>
      <c r="Q24" s="829"/>
      <c r="R24" s="73" t="s">
        <v>16</v>
      </c>
      <c r="S24" s="37"/>
      <c r="T24" s="74" t="e">
        <f>S24/S29</f>
        <v>#DIV/0!</v>
      </c>
      <c r="X24" s="55"/>
      <c r="Y24" s="55"/>
      <c r="Z24" s="87" t="str">
        <f>$C$24</f>
        <v>99-05116</v>
      </c>
      <c r="AA24" s="46">
        <v>4046.1</v>
      </c>
      <c r="AB24" s="46">
        <v>4012.1</v>
      </c>
      <c r="AD24" s="52" t="str">
        <f>IF(ISBLANK($C$25),"NA",RIGHT($C$25,3))</f>
        <v>044</v>
      </c>
      <c r="AE24" s="42">
        <f>IF($I$25&gt;0,$I$25,"NA")</f>
        <v>126.6</v>
      </c>
      <c r="AF24" s="22"/>
      <c r="AG24" s="25">
        <f>$AA$1</f>
        <v>500</v>
      </c>
      <c r="AH24" s="25"/>
      <c r="AI24" s="22"/>
      <c r="AJ24" s="52" t="str">
        <f>IF(ISBLANK($C$26),"NA",RIGHT($C$26,3))</f>
        <v>NA</v>
      </c>
      <c r="AK24" s="42" t="str">
        <f>IF($I$26&gt;0,$I$26,"NA")</f>
        <v>NA</v>
      </c>
      <c r="AL24" s="22"/>
      <c r="AM24" s="22">
        <f t="shared" ca="1" si="4"/>
        <v>-1</v>
      </c>
      <c r="AN24" s="22"/>
      <c r="AO24" s="22"/>
      <c r="AP24" s="22"/>
      <c r="AQ24" s="22"/>
      <c r="AR24" s="22"/>
      <c r="AS24" s="22"/>
      <c r="AT24" s="22"/>
      <c r="AU24" s="22"/>
      <c r="AV24" s="22"/>
      <c r="AW24" s="22"/>
      <c r="AX24" s="22"/>
      <c r="AY24" s="22"/>
      <c r="AZ24" s="22"/>
      <c r="BA24" s="22"/>
      <c r="BB24" s="22"/>
      <c r="BC24" s="22"/>
      <c r="BD24" s="22"/>
      <c r="BE24" s="22"/>
      <c r="BF24" s="22"/>
      <c r="BG24" s="22"/>
      <c r="BH24" s="22"/>
      <c r="BI24" s="22"/>
      <c r="BJ24" s="22"/>
      <c r="BK24" s="22"/>
      <c r="BL24" s="22"/>
      <c r="BM24" s="22"/>
      <c r="BN24" s="22"/>
      <c r="BO24" s="22"/>
      <c r="BP24" s="22"/>
    </row>
    <row r="25" spans="1:68" s="17" customFormat="1" ht="22.5" customHeight="1">
      <c r="A25" s="814"/>
      <c r="B25" s="779"/>
      <c r="C25" s="88" t="s">
        <v>81</v>
      </c>
      <c r="D25" s="44" t="s">
        <v>25</v>
      </c>
      <c r="E25" s="44" t="s">
        <v>63</v>
      </c>
      <c r="F25" s="66">
        <v>1514.6</v>
      </c>
      <c r="G25" s="44" t="s">
        <v>24</v>
      </c>
      <c r="H25" s="30">
        <f t="shared" si="9"/>
        <v>2</v>
      </c>
      <c r="I25" s="31">
        <f t="shared" si="10"/>
        <v>126.6</v>
      </c>
      <c r="J25" s="44" t="s">
        <v>61</v>
      </c>
      <c r="K25" s="47">
        <v>41926</v>
      </c>
      <c r="L25" s="33"/>
      <c r="M25" s="48">
        <f t="shared" ca="1" si="7"/>
        <v>188</v>
      </c>
      <c r="N25" s="35">
        <v>41937</v>
      </c>
      <c r="O25" s="830" t="s">
        <v>82</v>
      </c>
      <c r="P25" s="831"/>
      <c r="Q25" s="832"/>
      <c r="R25" s="49" t="s">
        <v>65</v>
      </c>
      <c r="S25" s="50"/>
      <c r="T25" s="51" t="e">
        <f>S25/S29</f>
        <v>#DIV/0!</v>
      </c>
      <c r="U25" s="89"/>
      <c r="V25" s="90"/>
      <c r="W25" s="90"/>
      <c r="X25" s="91"/>
      <c r="Y25" s="91"/>
      <c r="Z25" s="87" t="str">
        <f>$C$25</f>
        <v>07-07044</v>
      </c>
      <c r="AA25" s="66">
        <v>1641.2</v>
      </c>
      <c r="AB25" s="66">
        <v>1512.6</v>
      </c>
      <c r="AD25" s="52" t="str">
        <f>IF(ISBLANK($C$24),"NA",RIGHT($C$24,3))</f>
        <v>116</v>
      </c>
      <c r="AE25" s="42">
        <f ca="1">RAND()*0+$I$24</f>
        <v>24</v>
      </c>
      <c r="AF25" s="22"/>
      <c r="AG25" s="25">
        <f ca="1">IF(AG24-$AH$23&gt;=0,AG24-$AH$23,-1)</f>
        <v>0</v>
      </c>
      <c r="AH25" s="25"/>
      <c r="AI25" s="22"/>
      <c r="AJ25" s="52" t="str">
        <f>IF(ISBLANK($C$27),"NA",RIGHT($C$27,3))</f>
        <v>NA</v>
      </c>
      <c r="AK25" s="42" t="str">
        <f>IF($I$27&gt;0,$I$27,"NA")</f>
        <v>NA</v>
      </c>
      <c r="AL25" s="22"/>
      <c r="AM25" s="22">
        <f t="shared" ca="1" si="4"/>
        <v>-1</v>
      </c>
      <c r="AN25" s="22"/>
      <c r="AO25" s="22"/>
      <c r="AP25" s="22"/>
      <c r="AQ25" s="22"/>
      <c r="AR25" s="22"/>
      <c r="AS25" s="22"/>
      <c r="AT25" s="22"/>
      <c r="AU25" s="22"/>
      <c r="AV25" s="22"/>
      <c r="AW25" s="22"/>
      <c r="AX25" s="22"/>
      <c r="AY25" s="22"/>
      <c r="AZ25" s="22"/>
      <c r="BA25" s="22"/>
      <c r="BB25" s="22"/>
      <c r="BC25" s="22"/>
      <c r="BD25" s="22"/>
      <c r="BE25" s="22"/>
      <c r="BF25" s="22"/>
      <c r="BG25" s="22"/>
      <c r="BH25" s="22"/>
      <c r="BI25" s="22"/>
      <c r="BJ25" s="22"/>
      <c r="BK25" s="22"/>
      <c r="BL25" s="22"/>
      <c r="BM25" s="22"/>
      <c r="BN25" s="22"/>
      <c r="BO25" s="22"/>
      <c r="BP25" s="22"/>
    </row>
    <row r="26" spans="1:68" s="17" customFormat="1" ht="22.5" customHeight="1">
      <c r="A26" s="814"/>
      <c r="B26" s="779"/>
      <c r="C26" s="54"/>
      <c r="D26" s="44"/>
      <c r="E26" s="44"/>
      <c r="F26" s="66"/>
      <c r="G26" s="44" t="s">
        <v>66</v>
      </c>
      <c r="H26" s="30">
        <f t="shared" si="9"/>
        <v>0</v>
      </c>
      <c r="I26" s="31">
        <f t="shared" si="10"/>
        <v>0</v>
      </c>
      <c r="J26" s="44"/>
      <c r="K26" s="47"/>
      <c r="L26" s="33"/>
      <c r="M26" s="48" t="str">
        <f t="shared" si="7"/>
        <v/>
      </c>
      <c r="N26" s="35" t="s">
        <v>18</v>
      </c>
      <c r="O26" s="830"/>
      <c r="P26" s="831"/>
      <c r="Q26" s="832"/>
      <c r="R26" s="49" t="s">
        <v>24</v>
      </c>
      <c r="S26" s="50"/>
      <c r="T26" s="51" t="e">
        <f>S26/S29</f>
        <v>#DIV/0!</v>
      </c>
      <c r="U26" s="89"/>
      <c r="V26" s="90"/>
      <c r="W26" s="90"/>
      <c r="X26" s="91"/>
      <c r="Y26" s="91"/>
      <c r="Z26" s="87">
        <f>$C$26</f>
        <v>0</v>
      </c>
      <c r="AA26" s="66"/>
      <c r="AB26" s="66"/>
      <c r="AD26" s="52" t="str">
        <f>IF(ISBLANK($C$26),"NA",RIGHT($C$26,3))</f>
        <v>NA</v>
      </c>
      <c r="AE26" s="42" t="str">
        <f>IF($I$26&gt;0,$I$26,"NA")</f>
        <v>NA</v>
      </c>
      <c r="AF26" s="22"/>
      <c r="AG26" s="25">
        <f t="shared" ref="AG26:AG31" ca="1" si="11">IF(AG25-$AH$23&gt;=0,AG25-$AH$23,-1)</f>
        <v>-1</v>
      </c>
      <c r="AH26" s="25"/>
      <c r="AI26" s="22"/>
      <c r="AJ26" s="52" t="str">
        <f>IF(ISBLANK($C$28),"NA",RIGHT($C$28,3))</f>
        <v>NA</v>
      </c>
      <c r="AK26" s="42" t="str">
        <f>IF($I$28&gt;0,$I$28,"NA")</f>
        <v>NA</v>
      </c>
      <c r="AL26" s="22"/>
      <c r="AM26" s="22">
        <f t="shared" ca="1" si="4"/>
        <v>-1</v>
      </c>
      <c r="AN26" s="22"/>
      <c r="AO26" s="22"/>
      <c r="AP26" s="22"/>
      <c r="AQ26" s="22"/>
      <c r="AR26" s="22"/>
      <c r="AS26" s="22"/>
      <c r="AT26" s="22"/>
      <c r="AU26" s="22"/>
      <c r="AV26" s="22"/>
      <c r="AW26" s="22"/>
      <c r="AX26" s="22"/>
      <c r="AY26" s="22"/>
      <c r="AZ26" s="22"/>
      <c r="BA26" s="22"/>
      <c r="BB26" s="22"/>
      <c r="BC26" s="22"/>
      <c r="BD26" s="22"/>
      <c r="BE26" s="22"/>
      <c r="BF26" s="22"/>
      <c r="BG26" s="22"/>
      <c r="BH26" s="22"/>
      <c r="BI26" s="22"/>
      <c r="BJ26" s="22"/>
      <c r="BK26" s="22"/>
      <c r="BL26" s="22"/>
      <c r="BM26" s="22"/>
      <c r="BN26" s="22"/>
      <c r="BO26" s="22"/>
      <c r="BP26" s="22"/>
    </row>
    <row r="27" spans="1:68" s="17" customFormat="1" ht="22.5" customHeight="1">
      <c r="A27" s="814"/>
      <c r="B27" s="779"/>
      <c r="C27" s="54"/>
      <c r="D27" s="44"/>
      <c r="E27" s="44"/>
      <c r="F27" s="66"/>
      <c r="G27" s="44" t="s">
        <v>66</v>
      </c>
      <c r="H27" s="30">
        <f t="shared" si="9"/>
        <v>0</v>
      </c>
      <c r="I27" s="31">
        <f t="shared" si="10"/>
        <v>0</v>
      </c>
      <c r="J27" s="44"/>
      <c r="K27" s="47"/>
      <c r="L27" s="33"/>
      <c r="M27" s="48" t="str">
        <f t="shared" si="7"/>
        <v/>
      </c>
      <c r="N27" s="35" t="s">
        <v>18</v>
      </c>
      <c r="O27" s="830"/>
      <c r="P27" s="831"/>
      <c r="Q27" s="832"/>
      <c r="R27" s="49" t="s">
        <v>22</v>
      </c>
      <c r="S27" s="50"/>
      <c r="T27" s="51" t="e">
        <f>S27/S29</f>
        <v>#DIV/0!</v>
      </c>
      <c r="U27" s="89"/>
      <c r="V27" s="90"/>
      <c r="W27" s="90"/>
      <c r="X27" s="91"/>
      <c r="Y27" s="91"/>
      <c r="Z27" s="87">
        <f>$C$27</f>
        <v>0</v>
      </c>
      <c r="AA27" s="66"/>
      <c r="AB27" s="66"/>
      <c r="AD27" s="52" t="str">
        <f>IF(ISBLANK($C$27),"NA",RIGHT($C$27,3))</f>
        <v>NA</v>
      </c>
      <c r="AE27" s="42" t="str">
        <f>IF($I$27&gt;0,$I$27,"NA")</f>
        <v>NA</v>
      </c>
      <c r="AF27" s="22"/>
      <c r="AG27" s="25">
        <f t="shared" ca="1" si="11"/>
        <v>-1</v>
      </c>
      <c r="AH27" s="25"/>
      <c r="AI27" s="22"/>
      <c r="AJ27" s="52" t="str">
        <f>IF(ISBLANK($C$29),"NA",RIGHT($C$29,3))</f>
        <v>NA</v>
      </c>
      <c r="AK27" s="42" t="str">
        <f>IF($I$29&gt;0,$I$29,"NA")</f>
        <v>NA</v>
      </c>
      <c r="AL27" s="22"/>
      <c r="AM27" s="22">
        <f t="shared" ca="1" si="4"/>
        <v>-1</v>
      </c>
      <c r="AN27" s="22"/>
      <c r="AO27" s="22"/>
      <c r="AP27" s="22"/>
      <c r="AQ27" s="22"/>
      <c r="AR27" s="22"/>
      <c r="AS27" s="22"/>
      <c r="AT27" s="22"/>
      <c r="AU27" s="22"/>
      <c r="AV27" s="22"/>
      <c r="AW27" s="22"/>
      <c r="AX27" s="22"/>
      <c r="AY27" s="22"/>
      <c r="AZ27" s="22"/>
      <c r="BA27" s="22"/>
      <c r="BB27" s="22"/>
      <c r="BC27" s="22"/>
      <c r="BD27" s="22"/>
      <c r="BE27" s="22"/>
      <c r="BF27" s="22"/>
      <c r="BG27" s="22"/>
      <c r="BH27" s="22"/>
      <c r="BI27" s="22"/>
      <c r="BJ27" s="22"/>
      <c r="BK27" s="22"/>
      <c r="BL27" s="22"/>
      <c r="BM27" s="22"/>
      <c r="BN27" s="22"/>
      <c r="BO27" s="22"/>
      <c r="BP27" s="22"/>
    </row>
    <row r="28" spans="1:68" s="17" customFormat="1" ht="22.5" customHeight="1">
      <c r="A28" s="92" t="s">
        <v>16</v>
      </c>
      <c r="B28" s="779"/>
      <c r="C28" s="27"/>
      <c r="D28" s="44"/>
      <c r="E28" s="44"/>
      <c r="F28" s="66"/>
      <c r="G28" s="44" t="s">
        <v>66</v>
      </c>
      <c r="H28" s="30">
        <f t="shared" si="9"/>
        <v>0</v>
      </c>
      <c r="I28" s="31">
        <f t="shared" si="10"/>
        <v>0</v>
      </c>
      <c r="J28" s="44"/>
      <c r="K28" s="47"/>
      <c r="L28" s="33"/>
      <c r="M28" s="48" t="str">
        <f t="shared" si="7"/>
        <v/>
      </c>
      <c r="N28" s="35" t="s">
        <v>18</v>
      </c>
      <c r="O28" s="830"/>
      <c r="P28" s="831"/>
      <c r="Q28" s="832"/>
      <c r="R28" s="49" t="s">
        <v>23</v>
      </c>
      <c r="S28" s="50"/>
      <c r="T28" s="51" t="e">
        <f>S28/S29</f>
        <v>#DIV/0!</v>
      </c>
      <c r="U28" s="89"/>
      <c r="V28" s="90"/>
      <c r="W28" s="90"/>
      <c r="X28" s="91"/>
      <c r="Y28" s="91"/>
      <c r="Z28" s="87">
        <f>$C$28</f>
        <v>0</v>
      </c>
      <c r="AA28" s="66"/>
      <c r="AB28" s="66"/>
      <c r="AD28" s="52" t="str">
        <f>IF(ISBLANK($C$28),"NA",RIGHT($C$28,3))</f>
        <v>NA</v>
      </c>
      <c r="AE28" s="42" t="str">
        <f>IF($I$28&gt;0,$I$28,"NA")</f>
        <v>NA</v>
      </c>
      <c r="AF28" s="22"/>
      <c r="AG28" s="25">
        <f t="shared" ca="1" si="11"/>
        <v>-1</v>
      </c>
      <c r="AH28" s="25"/>
      <c r="AI28" s="22"/>
      <c r="AJ28" s="52" t="str">
        <f>IF(ISBLANK($C$30),"NA",RIGHT($C$30,3))</f>
        <v>NA</v>
      </c>
      <c r="AK28" s="42" t="str">
        <f>IF($I$30&gt;0,$I$30,"NA")</f>
        <v>NA</v>
      </c>
      <c r="AL28" s="22"/>
      <c r="AM28" s="22">
        <f t="shared" ca="1" si="4"/>
        <v>-1</v>
      </c>
      <c r="AN28" s="22"/>
      <c r="AO28" s="22"/>
      <c r="AP28" s="22"/>
      <c r="AQ28" s="22"/>
      <c r="AR28" s="22"/>
      <c r="AS28" s="22"/>
      <c r="AT28" s="22"/>
      <c r="AU28" s="22"/>
      <c r="AV28" s="22"/>
      <c r="AW28" s="22"/>
      <c r="AX28" s="22"/>
      <c r="AY28" s="22"/>
      <c r="AZ28" s="22"/>
      <c r="BA28" s="22"/>
      <c r="BB28" s="22"/>
      <c r="BC28" s="22"/>
      <c r="BD28" s="22"/>
      <c r="BE28" s="22"/>
      <c r="BF28" s="22"/>
      <c r="BG28" s="22"/>
      <c r="BH28" s="22"/>
      <c r="BI28" s="22"/>
      <c r="BJ28" s="22"/>
      <c r="BK28" s="22"/>
      <c r="BL28" s="22"/>
      <c r="BM28" s="22"/>
      <c r="BN28" s="22"/>
      <c r="BO28" s="22"/>
      <c r="BP28" s="22"/>
    </row>
    <row r="29" spans="1:68" s="17" customFormat="1" ht="22.5" customHeight="1">
      <c r="A29" s="93">
        <f>G63</f>
        <v>0.5</v>
      </c>
      <c r="B29" s="779"/>
      <c r="C29" s="65"/>
      <c r="D29" s="44"/>
      <c r="E29" s="44"/>
      <c r="F29" s="66"/>
      <c r="G29" s="44"/>
      <c r="H29" s="30">
        <f t="shared" si="9"/>
        <v>0</v>
      </c>
      <c r="I29" s="31">
        <f t="shared" si="10"/>
        <v>0</v>
      </c>
      <c r="J29" s="44"/>
      <c r="K29" s="47"/>
      <c r="L29" s="33"/>
      <c r="M29" s="48" t="str">
        <f t="shared" si="7"/>
        <v/>
      </c>
      <c r="N29" s="35" t="s">
        <v>18</v>
      </c>
      <c r="O29" s="830"/>
      <c r="P29" s="831"/>
      <c r="Q29" s="832"/>
      <c r="R29" s="58" t="s">
        <v>67</v>
      </c>
      <c r="S29" s="59">
        <f>SUM(S24:S28)</f>
        <v>0</v>
      </c>
      <c r="T29" s="60"/>
      <c r="U29" s="89"/>
      <c r="V29" s="90"/>
      <c r="W29" s="90"/>
      <c r="X29" s="91"/>
      <c r="Y29" s="91"/>
      <c r="Z29" s="87">
        <f>$C$29</f>
        <v>0</v>
      </c>
      <c r="AA29" s="66"/>
      <c r="AB29" s="66"/>
      <c r="AD29" s="52" t="str">
        <f>IF(ISBLANK($C$29),"NA",RIGHT($C$29,3))</f>
        <v>NA</v>
      </c>
      <c r="AE29" s="42" t="str">
        <f>IF($I$29&gt;0,$I$29,"NA")</f>
        <v>NA</v>
      </c>
      <c r="AF29" s="22"/>
      <c r="AG29" s="25">
        <f t="shared" ca="1" si="11"/>
        <v>-1</v>
      </c>
      <c r="AH29" s="25"/>
      <c r="AI29" s="22"/>
      <c r="AJ29" s="52" t="str">
        <f>IF(ISBLANK($C$31),"NA",RIGHT($C$31,3))</f>
        <v>NA</v>
      </c>
      <c r="AK29" s="42" t="str">
        <f>IF($I$31&gt;0,$I$31,"NA")</f>
        <v>NA</v>
      </c>
      <c r="AL29" s="22"/>
      <c r="AM29" s="22">
        <f t="shared" ca="1" si="4"/>
        <v>-1</v>
      </c>
      <c r="AN29" s="22"/>
      <c r="AO29" s="22"/>
      <c r="AP29" s="22"/>
      <c r="AQ29" s="22"/>
      <c r="AR29" s="22"/>
      <c r="AS29" s="22"/>
      <c r="AT29" s="22"/>
      <c r="AU29" s="22"/>
      <c r="AV29" s="22"/>
      <c r="AW29" s="22"/>
      <c r="AX29" s="22"/>
      <c r="AY29" s="22"/>
      <c r="AZ29" s="22"/>
      <c r="BA29" s="22"/>
      <c r="BB29" s="22"/>
      <c r="BC29" s="22"/>
      <c r="BD29" s="22"/>
      <c r="BE29" s="22"/>
      <c r="BF29" s="22"/>
      <c r="BG29" s="22"/>
      <c r="BH29" s="22"/>
      <c r="BI29" s="22"/>
      <c r="BJ29" s="22"/>
      <c r="BK29" s="22"/>
      <c r="BL29" s="22"/>
      <c r="BM29" s="22"/>
      <c r="BN29" s="22"/>
      <c r="BO29" s="22"/>
      <c r="BP29" s="22"/>
    </row>
    <row r="30" spans="1:68" s="17" customFormat="1" ht="22.5" customHeight="1">
      <c r="A30" s="92" t="s">
        <v>3</v>
      </c>
      <c r="B30" s="779"/>
      <c r="C30" s="94"/>
      <c r="D30" s="95"/>
      <c r="E30" s="95"/>
      <c r="F30" s="96"/>
      <c r="G30" s="44" t="s">
        <v>66</v>
      </c>
      <c r="H30" s="30">
        <f t="shared" si="9"/>
        <v>0</v>
      </c>
      <c r="I30" s="31">
        <f t="shared" si="10"/>
        <v>0</v>
      </c>
      <c r="J30" s="44"/>
      <c r="K30" s="47"/>
      <c r="L30" s="97"/>
      <c r="M30" s="48" t="str">
        <f t="shared" si="7"/>
        <v/>
      </c>
      <c r="N30" s="35" t="s">
        <v>18</v>
      </c>
      <c r="O30" s="830"/>
      <c r="P30" s="831"/>
      <c r="Q30" s="832"/>
      <c r="R30" s="799">
        <f>COUNTA(C24:C31)</f>
        <v>2</v>
      </c>
      <c r="S30" s="98" t="s">
        <v>68</v>
      </c>
      <c r="T30" s="99">
        <f>SUM(I24:I31)</f>
        <v>150.6</v>
      </c>
      <c r="U30" s="89"/>
      <c r="V30" s="90"/>
      <c r="W30" s="90"/>
      <c r="X30" s="91"/>
      <c r="Y30" s="91"/>
      <c r="Z30" s="87">
        <f>$C$30</f>
        <v>0</v>
      </c>
      <c r="AA30" s="96"/>
      <c r="AB30" s="96"/>
      <c r="AD30" s="52" t="str">
        <f>IF(ISBLANK($C$30),"NA",RIGHT($C$30,3))</f>
        <v>NA</v>
      </c>
      <c r="AE30" s="42" t="str">
        <f>IF($I$30&gt;0,$I$30,"NA")</f>
        <v>NA</v>
      </c>
      <c r="AF30" s="22"/>
      <c r="AG30" s="25">
        <f t="shared" ca="1" si="11"/>
        <v>-1</v>
      </c>
      <c r="AH30" s="25"/>
      <c r="AI30" s="22"/>
      <c r="AJ30" s="100"/>
      <c r="AK30" s="100"/>
      <c r="AL30" s="22"/>
      <c r="AM30" s="22"/>
      <c r="AN30" s="22"/>
      <c r="AO30" s="22"/>
      <c r="AP30" s="22"/>
      <c r="AQ30" s="22"/>
      <c r="AR30" s="22"/>
      <c r="AS30" s="22"/>
      <c r="AT30" s="22"/>
      <c r="AU30" s="22"/>
      <c r="AV30" s="22"/>
      <c r="AW30" s="22"/>
      <c r="AX30" s="22"/>
      <c r="AY30" s="22"/>
      <c r="AZ30" s="22"/>
      <c r="BA30" s="22"/>
      <c r="BB30" s="22"/>
      <c r="BC30" s="22"/>
      <c r="BD30" s="22"/>
      <c r="BE30" s="22"/>
      <c r="BF30" s="22"/>
      <c r="BG30" s="22"/>
      <c r="BH30" s="22"/>
      <c r="BI30" s="22"/>
      <c r="BJ30" s="22"/>
      <c r="BK30" s="22"/>
      <c r="BL30" s="22"/>
      <c r="BM30" s="22"/>
      <c r="BN30" s="22"/>
      <c r="BO30" s="22"/>
      <c r="BP30" s="22"/>
    </row>
    <row r="31" spans="1:68" s="17" customFormat="1" ht="22.5" customHeight="1">
      <c r="A31" s="93">
        <f>G64</f>
        <v>0.5</v>
      </c>
      <c r="B31" s="780"/>
      <c r="C31" s="65"/>
      <c r="D31" s="44"/>
      <c r="E31" s="44"/>
      <c r="F31" s="66"/>
      <c r="G31" s="44" t="s">
        <v>66</v>
      </c>
      <c r="H31" s="30">
        <f t="shared" si="9"/>
        <v>0</v>
      </c>
      <c r="I31" s="31">
        <f t="shared" si="10"/>
        <v>0</v>
      </c>
      <c r="J31" s="44"/>
      <c r="K31" s="47"/>
      <c r="L31" s="33"/>
      <c r="M31" s="48" t="str">
        <f t="shared" si="7"/>
        <v/>
      </c>
      <c r="N31" s="35" t="s">
        <v>18</v>
      </c>
      <c r="O31" s="830"/>
      <c r="P31" s="831"/>
      <c r="Q31" s="832"/>
      <c r="R31" s="800"/>
      <c r="S31" s="101" t="s">
        <v>69</v>
      </c>
      <c r="T31" s="102">
        <f>T30/(500*R30)</f>
        <v>0.151</v>
      </c>
      <c r="U31" s="89"/>
      <c r="V31" s="90"/>
      <c r="W31" s="90"/>
      <c r="X31" s="91"/>
      <c r="Y31" s="91"/>
      <c r="Z31" s="87">
        <f>$C$31</f>
        <v>0</v>
      </c>
      <c r="AA31" s="66"/>
      <c r="AB31" s="66"/>
      <c r="AD31" s="52" t="str">
        <f>IF(ISBLANK($C$31),"NA",RIGHT($C$31,3))</f>
        <v>NA</v>
      </c>
      <c r="AE31" s="42" t="str">
        <f>IF($I$31&gt;0,$I$31,"NA")</f>
        <v>NA</v>
      </c>
      <c r="AF31" s="22"/>
      <c r="AG31" s="25">
        <f t="shared" ca="1" si="11"/>
        <v>-1</v>
      </c>
      <c r="AH31" s="25"/>
      <c r="AI31" s="22"/>
      <c r="AJ31" s="103"/>
      <c r="AK31" s="103"/>
      <c r="AL31" s="22"/>
      <c r="AM31" s="22"/>
      <c r="AN31" s="22"/>
      <c r="AO31" s="22"/>
      <c r="AP31" s="22"/>
      <c r="AQ31" s="22"/>
      <c r="AR31" s="22"/>
      <c r="AS31" s="22"/>
      <c r="AT31" s="22"/>
      <c r="AU31" s="22"/>
      <c r="AV31" s="22"/>
      <c r="AW31" s="22"/>
      <c r="AX31" s="22"/>
      <c r="AY31" s="22"/>
      <c r="AZ31" s="22"/>
      <c r="BA31" s="22"/>
      <c r="BB31" s="22"/>
      <c r="BC31" s="22"/>
      <c r="BD31" s="22"/>
      <c r="BE31" s="22"/>
      <c r="BF31" s="22"/>
      <c r="BG31" s="22"/>
      <c r="BH31" s="22"/>
      <c r="BI31" s="22"/>
      <c r="BJ31" s="22"/>
      <c r="BK31" s="22"/>
      <c r="BL31" s="22"/>
      <c r="BM31" s="22"/>
      <c r="BN31" s="22"/>
      <c r="BO31" s="22"/>
      <c r="BP31" s="22"/>
    </row>
    <row r="32" spans="1:68" s="17" customFormat="1" ht="22.5" customHeight="1" thickBot="1">
      <c r="A32" s="802"/>
      <c r="B32" s="803"/>
      <c r="C32" s="803"/>
      <c r="D32" s="803"/>
      <c r="E32" s="803"/>
      <c r="F32" s="803"/>
      <c r="G32" s="803"/>
      <c r="H32" s="803"/>
      <c r="I32" s="803"/>
      <c r="J32" s="803"/>
      <c r="K32" s="803"/>
      <c r="L32" s="803"/>
      <c r="M32" s="803"/>
      <c r="N32" s="803"/>
      <c r="O32" s="803"/>
      <c r="P32" s="803"/>
      <c r="Q32" s="803"/>
      <c r="R32" s="801"/>
      <c r="S32" s="104" t="s">
        <v>46</v>
      </c>
      <c r="T32" s="105">
        <f>SUM(H24:H31)</f>
        <v>12</v>
      </c>
      <c r="U32" s="89"/>
      <c r="V32" s="90"/>
      <c r="W32" s="90"/>
      <c r="X32" s="106"/>
      <c r="Y32" s="91"/>
      <c r="Z32" s="107"/>
      <c r="AA32" s="55"/>
      <c r="AD32" s="22"/>
      <c r="AE32" s="22"/>
      <c r="AF32" s="22"/>
      <c r="AG32" s="22"/>
      <c r="AH32" s="22"/>
      <c r="AI32" s="22"/>
      <c r="AJ32" s="22"/>
      <c r="AK32" s="108"/>
      <c r="AL32" s="22"/>
      <c r="AM32" s="22"/>
      <c r="AN32" s="22"/>
      <c r="AO32" s="22"/>
      <c r="AP32" s="22"/>
      <c r="AQ32" s="22"/>
      <c r="AR32" s="22"/>
      <c r="AS32" s="22"/>
      <c r="AT32" s="22"/>
      <c r="AU32" s="22"/>
      <c r="AV32" s="22"/>
      <c r="AW32" s="22"/>
      <c r="AX32" s="22"/>
      <c r="AY32" s="22"/>
      <c r="AZ32" s="22"/>
      <c r="BA32" s="22"/>
      <c r="BB32" s="22"/>
      <c r="BC32" s="22"/>
      <c r="BD32" s="22"/>
      <c r="BE32" s="22"/>
      <c r="BF32" s="22"/>
      <c r="BG32" s="22"/>
      <c r="BH32" s="22"/>
      <c r="BI32" s="22"/>
      <c r="BJ32" s="22"/>
      <c r="BK32" s="22"/>
      <c r="BL32" s="22"/>
      <c r="BM32" s="22"/>
      <c r="BN32" s="22"/>
      <c r="BO32" s="22"/>
      <c r="BP32" s="22"/>
    </row>
    <row r="33" spans="1:68" s="17" customFormat="1" ht="22.5" customHeight="1">
      <c r="A33" s="833" t="s">
        <v>83</v>
      </c>
      <c r="B33" s="834"/>
      <c r="C33" s="835"/>
      <c r="D33" s="807"/>
      <c r="E33" s="808"/>
      <c r="F33" s="808"/>
      <c r="G33" s="808"/>
      <c r="H33" s="808"/>
      <c r="I33" s="808"/>
      <c r="J33" s="808"/>
      <c r="K33" s="808"/>
      <c r="L33" s="808"/>
      <c r="M33" s="808"/>
      <c r="N33" s="808"/>
      <c r="O33" s="808"/>
      <c r="P33" s="808"/>
      <c r="Q33" s="808"/>
      <c r="R33" s="808"/>
      <c r="S33" s="808"/>
      <c r="T33" s="809"/>
      <c r="U33" s="89"/>
      <c r="V33" s="90"/>
      <c r="W33" s="90"/>
      <c r="X33" s="7"/>
      <c r="Y33" s="90"/>
      <c r="Z33" s="109"/>
      <c r="AD33" s="22"/>
      <c r="AE33" s="22"/>
      <c r="AF33" s="22"/>
      <c r="AG33" s="22"/>
      <c r="AH33" s="22"/>
      <c r="AI33" s="22"/>
      <c r="AJ33" s="22"/>
      <c r="AK33" s="22"/>
      <c r="AL33" s="22"/>
      <c r="AM33" s="22"/>
      <c r="AN33" s="22"/>
      <c r="AO33" s="22"/>
      <c r="AP33" s="22"/>
      <c r="AQ33" s="22"/>
      <c r="AR33" s="22"/>
      <c r="AS33" s="22"/>
      <c r="AT33" s="22"/>
      <c r="AU33" s="22"/>
      <c r="AV33" s="22"/>
      <c r="AW33" s="22"/>
      <c r="AX33" s="22"/>
      <c r="AY33" s="22"/>
      <c r="AZ33" s="22"/>
      <c r="BA33" s="22"/>
      <c r="BB33" s="22"/>
      <c r="BC33" s="22"/>
      <c r="BD33" s="22"/>
      <c r="BE33" s="22"/>
      <c r="BF33" s="22"/>
      <c r="BG33" s="22"/>
      <c r="BH33" s="22"/>
      <c r="BI33" s="22"/>
      <c r="BJ33" s="22"/>
      <c r="BK33" s="22"/>
      <c r="BL33" s="22"/>
      <c r="BM33" s="22"/>
      <c r="BN33" s="22"/>
      <c r="BO33" s="22"/>
      <c r="BP33" s="22"/>
    </row>
    <row r="34" spans="1:68" s="17" customFormat="1" ht="22.5" customHeight="1">
      <c r="A34" s="110" t="s">
        <v>4</v>
      </c>
      <c r="B34" s="111">
        <f>COUNTIF(D6:D32,"Y")</f>
        <v>4</v>
      </c>
      <c r="C34" s="112">
        <f>B34/B41</f>
        <v>0.5</v>
      </c>
      <c r="D34" s="810"/>
      <c r="E34" s="811"/>
      <c r="F34" s="811"/>
      <c r="G34" s="811"/>
      <c r="H34" s="811"/>
      <c r="I34" s="811"/>
      <c r="J34" s="811"/>
      <c r="K34" s="811"/>
      <c r="L34" s="811"/>
      <c r="M34" s="811"/>
      <c r="N34" s="811"/>
      <c r="O34" s="811"/>
      <c r="P34" s="811"/>
      <c r="Q34" s="811"/>
      <c r="R34" s="811"/>
      <c r="S34" s="811"/>
      <c r="T34" s="812"/>
      <c r="U34" s="89"/>
      <c r="V34" s="90"/>
      <c r="W34" s="90"/>
      <c r="X34" s="7"/>
      <c r="Y34" s="90"/>
      <c r="Z34" s="109"/>
      <c r="AD34" s="22"/>
      <c r="AE34" s="22"/>
      <c r="AF34" s="22"/>
      <c r="AG34" s="22"/>
      <c r="AH34" s="22"/>
      <c r="AI34" s="22"/>
      <c r="AJ34" s="22"/>
      <c r="AK34" s="22"/>
      <c r="AL34" s="22"/>
      <c r="AM34" s="22"/>
      <c r="AN34" s="22"/>
      <c r="AO34" s="22"/>
      <c r="AP34" s="22"/>
      <c r="AQ34" s="22"/>
      <c r="AR34" s="22"/>
      <c r="AS34" s="22"/>
      <c r="AT34" s="22"/>
      <c r="AU34" s="22"/>
      <c r="AV34" s="22"/>
      <c r="AW34" s="22"/>
      <c r="AX34" s="22"/>
      <c r="AY34" s="22"/>
      <c r="AZ34" s="22"/>
      <c r="BA34" s="22"/>
      <c r="BB34" s="22"/>
      <c r="BC34" s="22"/>
      <c r="BD34" s="22"/>
      <c r="BE34" s="22"/>
      <c r="BF34" s="22"/>
      <c r="BG34" s="22"/>
      <c r="BH34" s="22"/>
      <c r="BI34" s="22"/>
      <c r="BJ34" s="22"/>
      <c r="BK34" s="22"/>
      <c r="BL34" s="22"/>
      <c r="BM34" s="22"/>
      <c r="BN34" s="22"/>
      <c r="BO34" s="22"/>
      <c r="BP34" s="22"/>
    </row>
    <row r="35" spans="1:68" s="17" customFormat="1" ht="22.5" customHeight="1">
      <c r="A35" s="113" t="s">
        <v>16</v>
      </c>
      <c r="B35" s="114">
        <f>COUNTIF(G6:G32,"FMC")</f>
        <v>3</v>
      </c>
      <c r="C35" s="112">
        <f>B35/B41</f>
        <v>0.38</v>
      </c>
      <c r="D35" s="810"/>
      <c r="E35" s="811"/>
      <c r="F35" s="811"/>
      <c r="G35" s="811"/>
      <c r="H35" s="811"/>
      <c r="I35" s="811"/>
      <c r="J35" s="811"/>
      <c r="K35" s="811"/>
      <c r="L35" s="811"/>
      <c r="M35" s="811"/>
      <c r="N35" s="811"/>
      <c r="O35" s="811"/>
      <c r="P35" s="811"/>
      <c r="Q35" s="811"/>
      <c r="R35" s="811"/>
      <c r="S35" s="811"/>
      <c r="T35" s="812"/>
      <c r="U35" s="89"/>
      <c r="V35" s="90"/>
      <c r="W35" s="90"/>
      <c r="X35" s="7"/>
      <c r="Y35" s="90"/>
      <c r="Z35" s="109"/>
      <c r="AD35" s="22"/>
      <c r="AE35" s="22"/>
      <c r="AF35" s="22"/>
      <c r="AG35" s="22"/>
      <c r="AH35" s="22"/>
      <c r="AI35" s="22"/>
      <c r="AJ35" s="22"/>
      <c r="AK35" s="22"/>
      <c r="AL35" s="22"/>
      <c r="AM35" s="22"/>
      <c r="AN35" s="22"/>
      <c r="AO35" s="22"/>
      <c r="AP35" s="22"/>
      <c r="AQ35" s="22"/>
      <c r="AR35" s="22"/>
      <c r="AS35" s="22"/>
      <c r="AT35" s="22"/>
      <c r="AU35" s="22"/>
      <c r="AV35" s="22"/>
      <c r="AW35" s="22"/>
      <c r="AX35" s="22"/>
      <c r="AY35" s="22"/>
      <c r="AZ35" s="22"/>
      <c r="BA35" s="22"/>
      <c r="BB35" s="22"/>
      <c r="BC35" s="22"/>
      <c r="BD35" s="22"/>
      <c r="BE35" s="22"/>
      <c r="BF35" s="22"/>
      <c r="BG35" s="22"/>
      <c r="BH35" s="22"/>
      <c r="BI35" s="22"/>
      <c r="BJ35" s="22"/>
      <c r="BK35" s="22"/>
      <c r="BL35" s="22"/>
      <c r="BM35" s="22"/>
      <c r="BN35" s="22"/>
      <c r="BO35" s="22"/>
      <c r="BP35" s="22"/>
    </row>
    <row r="36" spans="1:68" s="17" customFormat="1" ht="22.5" customHeight="1">
      <c r="A36" s="113" t="s">
        <v>77</v>
      </c>
      <c r="B36" s="114">
        <f>COUNTIF(G6:G32,"MTF")+COUNTIF(G6:G32,"MOC")</f>
        <v>0</v>
      </c>
      <c r="C36" s="112">
        <f>B36/B41</f>
        <v>0</v>
      </c>
      <c r="D36" s="810"/>
      <c r="E36" s="811"/>
      <c r="F36" s="811"/>
      <c r="G36" s="811"/>
      <c r="H36" s="811"/>
      <c r="I36" s="811"/>
      <c r="J36" s="811"/>
      <c r="K36" s="811"/>
      <c r="L36" s="811"/>
      <c r="M36" s="811"/>
      <c r="N36" s="811"/>
      <c r="O36" s="811"/>
      <c r="P36" s="811"/>
      <c r="Q36" s="811"/>
      <c r="R36" s="811"/>
      <c r="S36" s="811"/>
      <c r="T36" s="812"/>
      <c r="U36" s="89"/>
      <c r="V36" s="90"/>
      <c r="W36" s="90"/>
      <c r="X36" s="7"/>
      <c r="Y36" s="90"/>
      <c r="Z36" s="109"/>
      <c r="AD36" s="22"/>
      <c r="AE36" s="22"/>
      <c r="AF36" s="22"/>
      <c r="AG36" s="22"/>
      <c r="AH36" s="22"/>
      <c r="AI36" s="22"/>
      <c r="AJ36" s="22"/>
      <c r="AK36" s="22"/>
      <c r="AL36" s="22"/>
      <c r="AM36" s="22"/>
      <c r="AN36" s="22"/>
      <c r="AO36" s="22"/>
      <c r="AP36" s="22"/>
      <c r="AQ36" s="22"/>
      <c r="AR36" s="22"/>
      <c r="AS36" s="22"/>
      <c r="AT36" s="22"/>
      <c r="AU36" s="22"/>
      <c r="AV36" s="22"/>
      <c r="AW36" s="22"/>
      <c r="AX36" s="22"/>
      <c r="AY36" s="22"/>
      <c r="AZ36" s="22"/>
      <c r="BA36" s="22"/>
      <c r="BB36" s="22"/>
      <c r="BC36" s="22"/>
      <c r="BD36" s="22"/>
      <c r="BE36" s="22"/>
      <c r="BF36" s="22"/>
      <c r="BG36" s="22"/>
      <c r="BH36" s="22"/>
      <c r="BI36" s="22"/>
      <c r="BJ36" s="22"/>
      <c r="BK36" s="22"/>
      <c r="BL36" s="22"/>
      <c r="BM36" s="22"/>
      <c r="BN36" s="22"/>
      <c r="BO36" s="22"/>
      <c r="BP36" s="22"/>
    </row>
    <row r="37" spans="1:68" s="55" customFormat="1" ht="22.5" customHeight="1">
      <c r="A37" s="113" t="s">
        <v>24</v>
      </c>
      <c r="B37" s="114">
        <f>COUNTIF(G6:G32,"NMCM")</f>
        <v>3</v>
      </c>
      <c r="C37" s="112">
        <f>B37/B41</f>
        <v>0.38</v>
      </c>
      <c r="D37" s="810"/>
      <c r="E37" s="811"/>
      <c r="F37" s="811"/>
      <c r="G37" s="811"/>
      <c r="H37" s="811"/>
      <c r="I37" s="811"/>
      <c r="J37" s="811"/>
      <c r="K37" s="811"/>
      <c r="L37" s="811"/>
      <c r="M37" s="811"/>
      <c r="N37" s="811"/>
      <c r="O37" s="811"/>
      <c r="P37" s="811"/>
      <c r="Q37" s="811"/>
      <c r="R37" s="811"/>
      <c r="S37" s="811"/>
      <c r="T37" s="812"/>
      <c r="U37" s="89"/>
      <c r="V37" s="90"/>
      <c r="W37" s="90"/>
      <c r="X37" s="7"/>
      <c r="Y37" s="90"/>
      <c r="Z37" s="107"/>
      <c r="AD37" s="108"/>
      <c r="AE37" s="108"/>
      <c r="AF37" s="108"/>
      <c r="AG37" s="108"/>
      <c r="AH37" s="108"/>
      <c r="AI37" s="108"/>
      <c r="AJ37" s="108"/>
      <c r="AK37" s="108"/>
      <c r="AL37" s="108"/>
      <c r="AM37" s="108"/>
      <c r="AN37" s="108"/>
      <c r="AO37" s="108"/>
      <c r="AP37" s="108"/>
      <c r="AQ37" s="108"/>
      <c r="AR37" s="108"/>
      <c r="AS37" s="108"/>
      <c r="AT37" s="108"/>
      <c r="AU37" s="108"/>
      <c r="AV37" s="108"/>
      <c r="AW37" s="108"/>
      <c r="AX37" s="108"/>
      <c r="AY37" s="108"/>
      <c r="AZ37" s="108"/>
      <c r="BA37" s="108"/>
      <c r="BB37" s="108"/>
      <c r="BC37" s="108"/>
      <c r="BD37" s="108"/>
      <c r="BE37" s="108"/>
      <c r="BF37" s="108"/>
      <c r="BG37" s="108"/>
      <c r="BH37" s="108"/>
      <c r="BI37" s="108"/>
      <c r="BJ37" s="108"/>
      <c r="BK37" s="108"/>
      <c r="BL37" s="108"/>
      <c r="BM37" s="108"/>
      <c r="BN37" s="108"/>
      <c r="BO37" s="108"/>
      <c r="BP37" s="108"/>
    </row>
    <row r="38" spans="1:68" s="17" customFormat="1" ht="22.5" customHeight="1">
      <c r="A38" s="113" t="s">
        <v>65</v>
      </c>
      <c r="B38" s="114">
        <f>COUNTIF(G6:G32,"NMCS")</f>
        <v>0</v>
      </c>
      <c r="C38" s="112">
        <f>B38/B41</f>
        <v>0</v>
      </c>
      <c r="D38" s="810"/>
      <c r="E38" s="811"/>
      <c r="F38" s="811"/>
      <c r="G38" s="811"/>
      <c r="H38" s="811"/>
      <c r="I38" s="811"/>
      <c r="J38" s="811"/>
      <c r="K38" s="811"/>
      <c r="L38" s="811"/>
      <c r="M38" s="811"/>
      <c r="N38" s="811"/>
      <c r="O38" s="811"/>
      <c r="P38" s="811"/>
      <c r="Q38" s="811"/>
      <c r="R38" s="811"/>
      <c r="S38" s="811"/>
      <c r="T38" s="812"/>
      <c r="U38" s="89"/>
      <c r="V38" s="90"/>
      <c r="W38" s="90"/>
      <c r="X38" s="7"/>
      <c r="Y38" s="90"/>
      <c r="Z38" s="109"/>
      <c r="AD38" s="22"/>
      <c r="AE38" s="22"/>
      <c r="AF38" s="22"/>
      <c r="AG38" s="22"/>
      <c r="AH38" s="22"/>
      <c r="AI38" s="22"/>
      <c r="AJ38" s="22"/>
      <c r="AK38" s="22"/>
      <c r="AL38" s="22"/>
      <c r="AM38" s="22"/>
      <c r="AN38" s="22"/>
      <c r="AO38" s="22"/>
      <c r="AP38" s="22"/>
      <c r="AQ38" s="22"/>
      <c r="AR38" s="22"/>
      <c r="AS38" s="22"/>
      <c r="AT38" s="22"/>
      <c r="AU38" s="22"/>
      <c r="AV38" s="22"/>
      <c r="AW38" s="22"/>
      <c r="AX38" s="22"/>
      <c r="AY38" s="22"/>
      <c r="AZ38" s="22"/>
      <c r="BA38" s="22"/>
      <c r="BB38" s="22"/>
      <c r="BC38" s="22"/>
      <c r="BD38" s="22"/>
      <c r="BE38" s="22"/>
      <c r="BF38" s="22"/>
      <c r="BG38" s="22"/>
      <c r="BH38" s="22"/>
      <c r="BI38" s="22"/>
      <c r="BJ38" s="22"/>
      <c r="BK38" s="22"/>
      <c r="BL38" s="22"/>
      <c r="BM38" s="22"/>
      <c r="BN38" s="22"/>
      <c r="BO38" s="22"/>
      <c r="BP38" s="22"/>
    </row>
    <row r="39" spans="1:68" s="17" customFormat="1" ht="22.5" customHeight="1">
      <c r="A39" s="113" t="s">
        <v>22</v>
      </c>
      <c r="B39" s="114">
        <f>COUNTIF(G6:G32,"PMCM")</f>
        <v>2</v>
      </c>
      <c r="C39" s="112">
        <f>B39/B41</f>
        <v>0.25</v>
      </c>
      <c r="D39" s="810"/>
      <c r="E39" s="811"/>
      <c r="F39" s="811"/>
      <c r="G39" s="811"/>
      <c r="H39" s="811"/>
      <c r="I39" s="811"/>
      <c r="J39" s="811"/>
      <c r="K39" s="811"/>
      <c r="L39" s="811"/>
      <c r="M39" s="811"/>
      <c r="N39" s="811"/>
      <c r="O39" s="811"/>
      <c r="P39" s="811"/>
      <c r="Q39" s="811"/>
      <c r="R39" s="811"/>
      <c r="S39" s="811"/>
      <c r="T39" s="812"/>
      <c r="U39" s="6"/>
      <c r="V39" s="7"/>
      <c r="W39" s="90"/>
      <c r="X39" s="7"/>
      <c r="Y39" s="90"/>
      <c r="Z39" s="109"/>
      <c r="AD39" s="22"/>
      <c r="AE39" s="22"/>
      <c r="AF39" s="22"/>
      <c r="AG39" s="22"/>
      <c r="AH39" s="22"/>
      <c r="AI39" s="22"/>
      <c r="AJ39" s="22"/>
      <c r="AK39" s="22"/>
      <c r="AL39" s="22"/>
      <c r="AM39" s="22"/>
      <c r="AN39" s="22"/>
      <c r="AO39" s="22"/>
      <c r="AP39" s="22"/>
      <c r="AQ39" s="22"/>
      <c r="AR39" s="22"/>
      <c r="AS39" s="22"/>
      <c r="AT39" s="22"/>
      <c r="AU39" s="22"/>
      <c r="AV39" s="22"/>
      <c r="AW39" s="22"/>
      <c r="AX39" s="22"/>
      <c r="AY39" s="22"/>
      <c r="AZ39" s="22"/>
      <c r="BA39" s="22"/>
      <c r="BB39" s="22"/>
      <c r="BC39" s="22"/>
      <c r="BD39" s="22"/>
      <c r="BE39" s="22"/>
      <c r="BF39" s="22"/>
      <c r="BG39" s="22"/>
      <c r="BH39" s="22"/>
      <c r="BI39" s="22"/>
      <c r="BJ39" s="22"/>
      <c r="BK39" s="22"/>
      <c r="BL39" s="22"/>
      <c r="BM39" s="22"/>
      <c r="BN39" s="22"/>
      <c r="BO39" s="22"/>
      <c r="BP39" s="22"/>
    </row>
    <row r="40" spans="1:68" s="17" customFormat="1" ht="22.5" customHeight="1">
      <c r="A40" s="113" t="s">
        <v>23</v>
      </c>
      <c r="B40" s="114">
        <f>COUNTIF(G6:G32,"PMCS")</f>
        <v>0</v>
      </c>
      <c r="C40" s="112">
        <f>B40/B41</f>
        <v>0</v>
      </c>
      <c r="D40" s="810"/>
      <c r="E40" s="811"/>
      <c r="F40" s="811"/>
      <c r="G40" s="811"/>
      <c r="H40" s="811"/>
      <c r="I40" s="811"/>
      <c r="J40" s="811"/>
      <c r="K40" s="811"/>
      <c r="L40" s="811"/>
      <c r="M40" s="811"/>
      <c r="N40" s="811"/>
      <c r="O40" s="811"/>
      <c r="P40" s="811"/>
      <c r="Q40" s="811"/>
      <c r="R40" s="811"/>
      <c r="S40" s="811"/>
      <c r="T40" s="812"/>
      <c r="U40" s="6"/>
      <c r="V40" s="7"/>
      <c r="W40" s="90"/>
      <c r="X40" s="7"/>
      <c r="Y40" s="90"/>
      <c r="Z40" s="109"/>
      <c r="AD40" s="22"/>
      <c r="AE40" s="22"/>
      <c r="AF40" s="22"/>
      <c r="AG40" s="22"/>
      <c r="AH40" s="22"/>
      <c r="AI40" s="22"/>
      <c r="AJ40" s="22"/>
      <c r="AK40" s="22"/>
      <c r="AL40" s="22"/>
      <c r="AM40" s="22"/>
      <c r="AN40" s="22"/>
      <c r="AO40" s="22"/>
      <c r="AP40" s="22"/>
      <c r="AQ40" s="22"/>
      <c r="AR40" s="22"/>
      <c r="AS40" s="22"/>
      <c r="AT40" s="22"/>
      <c r="AU40" s="22"/>
      <c r="AV40" s="22"/>
      <c r="AW40" s="22"/>
      <c r="AX40" s="22"/>
      <c r="AY40" s="22"/>
      <c r="AZ40" s="22"/>
      <c r="BA40" s="22"/>
      <c r="BB40" s="22"/>
      <c r="BC40" s="22"/>
      <c r="BD40" s="22"/>
      <c r="BE40" s="22"/>
      <c r="BF40" s="22"/>
      <c r="BG40" s="22"/>
      <c r="BH40" s="22"/>
      <c r="BI40" s="22"/>
      <c r="BJ40" s="22"/>
      <c r="BK40" s="22"/>
      <c r="BL40" s="22"/>
      <c r="BM40" s="22"/>
      <c r="BN40" s="22"/>
      <c r="BO40" s="22"/>
      <c r="BP40" s="22"/>
    </row>
    <row r="41" spans="1:68" s="17" customFormat="1" ht="22.5" customHeight="1">
      <c r="A41" s="115" t="s">
        <v>67</v>
      </c>
      <c r="B41" s="114">
        <f>SUM(B35:B40)</f>
        <v>8</v>
      </c>
      <c r="C41" s="112">
        <f>SUM(C35:C40)</f>
        <v>1.01</v>
      </c>
      <c r="D41" s="810"/>
      <c r="E41" s="811"/>
      <c r="F41" s="811"/>
      <c r="G41" s="811"/>
      <c r="H41" s="811"/>
      <c r="I41" s="811"/>
      <c r="J41" s="811"/>
      <c r="K41" s="811"/>
      <c r="L41" s="811"/>
      <c r="M41" s="811"/>
      <c r="N41" s="811"/>
      <c r="O41" s="811"/>
      <c r="P41" s="811"/>
      <c r="Q41" s="811"/>
      <c r="R41" s="811"/>
      <c r="S41" s="811"/>
      <c r="T41" s="812"/>
      <c r="U41" s="6"/>
      <c r="V41" s="7"/>
      <c r="W41" s="90"/>
      <c r="X41" s="7"/>
      <c r="Y41" s="90"/>
      <c r="Z41" s="109"/>
      <c r="AD41" s="22"/>
      <c r="AE41" s="22"/>
      <c r="AF41" s="22"/>
      <c r="AG41" s="22"/>
      <c r="AH41" s="22"/>
      <c r="AI41" s="22"/>
      <c r="AJ41" s="22"/>
      <c r="AK41" s="22"/>
      <c r="AL41" s="22"/>
      <c r="AM41" s="22"/>
      <c r="AN41" s="22"/>
      <c r="AO41" s="22"/>
      <c r="AP41" s="22"/>
      <c r="AQ41" s="22"/>
      <c r="AR41" s="22"/>
      <c r="AS41" s="22"/>
      <c r="AT41" s="22"/>
      <c r="AU41" s="22"/>
      <c r="AV41" s="22"/>
      <c r="AW41" s="22"/>
      <c r="AX41" s="22"/>
      <c r="AY41" s="22"/>
      <c r="AZ41" s="22"/>
      <c r="BA41" s="22"/>
      <c r="BB41" s="22"/>
      <c r="BC41" s="22"/>
      <c r="BD41" s="22"/>
      <c r="BE41" s="22"/>
      <c r="BF41" s="22"/>
      <c r="BG41" s="22"/>
      <c r="BH41" s="22"/>
      <c r="BI41" s="22"/>
      <c r="BJ41" s="22"/>
      <c r="BK41" s="22"/>
      <c r="BL41" s="22"/>
      <c r="BM41" s="22"/>
      <c r="BN41" s="22"/>
      <c r="BO41" s="22"/>
      <c r="BP41" s="22"/>
    </row>
    <row r="42" spans="1:68" s="17" customFormat="1" ht="22.5" customHeight="1">
      <c r="A42" s="836" t="s">
        <v>84</v>
      </c>
      <c r="B42" s="837"/>
      <c r="C42" s="116">
        <f>SUM(H6:H31)</f>
        <v>112.8</v>
      </c>
      <c r="D42" s="810"/>
      <c r="E42" s="811"/>
      <c r="F42" s="811"/>
      <c r="G42" s="811"/>
      <c r="H42" s="811"/>
      <c r="I42" s="811"/>
      <c r="J42" s="811"/>
      <c r="K42" s="811"/>
      <c r="L42" s="811"/>
      <c r="M42" s="811"/>
      <c r="N42" s="811"/>
      <c r="O42" s="811"/>
      <c r="P42" s="811"/>
      <c r="Q42" s="811"/>
      <c r="R42" s="811"/>
      <c r="S42" s="811"/>
      <c r="T42" s="812"/>
      <c r="U42" s="6"/>
      <c r="V42" s="7"/>
      <c r="W42" s="7"/>
      <c r="X42" s="7"/>
      <c r="Y42" s="7"/>
      <c r="Z42" s="109"/>
      <c r="AD42" s="22"/>
      <c r="AE42" s="22"/>
      <c r="AF42" s="22"/>
      <c r="AG42" s="22"/>
      <c r="AH42" s="22"/>
      <c r="AI42" s="22"/>
      <c r="AJ42" s="22"/>
      <c r="AK42" s="22"/>
      <c r="AL42" s="22"/>
      <c r="AM42" s="22"/>
      <c r="AN42" s="22"/>
      <c r="AO42" s="22"/>
      <c r="AP42" s="22"/>
      <c r="AQ42" s="22"/>
      <c r="AR42" s="22"/>
      <c r="AS42" s="22"/>
      <c r="AT42" s="22"/>
      <c r="AU42" s="22"/>
      <c r="AV42" s="22"/>
      <c r="AW42" s="22"/>
      <c r="AX42" s="22"/>
      <c r="AY42" s="22"/>
      <c r="AZ42" s="22"/>
      <c r="BA42" s="22"/>
      <c r="BB42" s="22"/>
      <c r="BC42" s="22"/>
      <c r="BD42" s="22"/>
      <c r="BE42" s="22"/>
      <c r="BF42" s="22"/>
      <c r="BG42" s="22"/>
      <c r="BH42" s="22"/>
      <c r="BI42" s="22"/>
      <c r="BJ42" s="22"/>
      <c r="BK42" s="22"/>
      <c r="BL42" s="22"/>
      <c r="BM42" s="22"/>
      <c r="BN42" s="22"/>
      <c r="BO42" s="22"/>
      <c r="BP42" s="22"/>
    </row>
    <row r="43" spans="1:68" s="17" customFormat="1" ht="22.5" customHeight="1">
      <c r="A43" s="838" t="s">
        <v>85</v>
      </c>
      <c r="B43" s="839"/>
      <c r="C43" s="117">
        <f>SUM(I6:I31)/(H54*500)</f>
        <v>0.41799999999999998</v>
      </c>
      <c r="D43" s="810"/>
      <c r="E43" s="811"/>
      <c r="F43" s="811"/>
      <c r="G43" s="811"/>
      <c r="H43" s="811"/>
      <c r="I43" s="811"/>
      <c r="J43" s="811"/>
      <c r="K43" s="811"/>
      <c r="L43" s="811"/>
      <c r="M43" s="811"/>
      <c r="N43" s="811"/>
      <c r="O43" s="811"/>
      <c r="P43" s="811"/>
      <c r="Q43" s="811"/>
      <c r="R43" s="811"/>
      <c r="S43" s="811"/>
      <c r="T43" s="812"/>
      <c r="U43" s="118"/>
      <c r="V43" s="118"/>
      <c r="W43" s="118"/>
      <c r="X43" s="118"/>
      <c r="Y43" s="118"/>
      <c r="Z43" s="109"/>
      <c r="AD43" s="22"/>
      <c r="AE43" s="22"/>
      <c r="AF43" s="22"/>
      <c r="AG43" s="22"/>
      <c r="AH43" s="22"/>
      <c r="AI43" s="22"/>
      <c r="AJ43" s="22"/>
      <c r="AK43" s="22"/>
      <c r="AL43" s="22"/>
      <c r="AM43" s="22"/>
      <c r="AN43" s="22"/>
      <c r="AO43" s="22"/>
      <c r="AP43" s="22"/>
      <c r="AQ43" s="22"/>
      <c r="AR43" s="22"/>
      <c r="AS43" s="22"/>
      <c r="AT43" s="22"/>
      <c r="AU43" s="22"/>
      <c r="AV43" s="22"/>
      <c r="AW43" s="22"/>
      <c r="AX43" s="22"/>
      <c r="AY43" s="22"/>
      <c r="AZ43" s="22"/>
      <c r="BA43" s="22"/>
      <c r="BB43" s="22"/>
      <c r="BC43" s="22"/>
      <c r="BD43" s="22"/>
      <c r="BE43" s="22"/>
      <c r="BF43" s="22"/>
      <c r="BG43" s="22"/>
      <c r="BH43" s="22"/>
      <c r="BI43" s="22"/>
      <c r="BJ43" s="22"/>
      <c r="BK43" s="22"/>
      <c r="BL43" s="22"/>
      <c r="BM43" s="22"/>
      <c r="BN43" s="22"/>
      <c r="BO43" s="22"/>
      <c r="BP43" s="22"/>
    </row>
    <row r="44" spans="1:68" s="17" customFormat="1" ht="22.5" customHeight="1" thickBot="1">
      <c r="A44" s="840" t="s">
        <v>86</v>
      </c>
      <c r="B44" s="841"/>
      <c r="C44" s="119">
        <f>C42/B41</f>
        <v>14.1</v>
      </c>
      <c r="D44" s="821"/>
      <c r="E44" s="822"/>
      <c r="F44" s="822"/>
      <c r="G44" s="822"/>
      <c r="H44" s="822"/>
      <c r="I44" s="822"/>
      <c r="J44" s="822"/>
      <c r="K44" s="822"/>
      <c r="L44" s="822"/>
      <c r="M44" s="822"/>
      <c r="N44" s="822"/>
      <c r="O44" s="822"/>
      <c r="P44" s="822"/>
      <c r="Q44" s="822"/>
      <c r="R44" s="822"/>
      <c r="S44" s="822"/>
      <c r="T44" s="823"/>
      <c r="U44" s="6"/>
      <c r="V44" s="7"/>
      <c r="W44" s="7"/>
      <c r="X44" s="7"/>
      <c r="Y44" s="7"/>
      <c r="Z44" s="109"/>
      <c r="AD44" s="22"/>
      <c r="AE44" s="22"/>
      <c r="AF44" s="22"/>
      <c r="AG44" s="22"/>
      <c r="AH44" s="22"/>
      <c r="AI44" s="22"/>
      <c r="AJ44" s="22"/>
      <c r="AK44" s="22"/>
      <c r="AL44" s="22"/>
      <c r="AM44" s="22"/>
      <c r="AN44" s="22"/>
      <c r="AO44" s="22"/>
      <c r="AP44" s="22"/>
      <c r="AQ44" s="22"/>
      <c r="AR44" s="22"/>
      <c r="AS44" s="22"/>
      <c r="AT44" s="22"/>
      <c r="AU44" s="22"/>
      <c r="AV44" s="22"/>
      <c r="AW44" s="22"/>
      <c r="AX44" s="22"/>
      <c r="AY44" s="22"/>
      <c r="AZ44" s="22"/>
      <c r="BA44" s="22"/>
      <c r="BB44" s="22"/>
      <c r="BC44" s="22"/>
      <c r="BD44" s="22"/>
      <c r="BE44" s="22"/>
      <c r="BF44" s="22"/>
      <c r="BG44" s="22"/>
      <c r="BH44" s="22"/>
      <c r="BI44" s="22"/>
      <c r="BJ44" s="22"/>
      <c r="BK44" s="22"/>
      <c r="BL44" s="22"/>
      <c r="BM44" s="22"/>
      <c r="BN44" s="22"/>
      <c r="BO44" s="22"/>
      <c r="BP44" s="22"/>
    </row>
    <row r="45" spans="1:68" s="17" customFormat="1" ht="15.75">
      <c r="C45" s="120"/>
      <c r="D45" s="120"/>
      <c r="E45" s="120"/>
      <c r="F45" s="120"/>
      <c r="G45" s="120"/>
      <c r="H45" s="120"/>
      <c r="I45" s="120"/>
      <c r="J45" s="120"/>
      <c r="K45" s="120"/>
      <c r="L45" s="120"/>
      <c r="M45" s="121"/>
      <c r="N45" s="120"/>
      <c r="O45" s="120"/>
      <c r="P45" s="120"/>
      <c r="Q45" s="122"/>
      <c r="S45" s="7"/>
      <c r="T45" s="7"/>
      <c r="U45" s="6"/>
      <c r="V45" s="7"/>
      <c r="W45" s="7"/>
      <c r="X45" s="7"/>
      <c r="Y45" s="7"/>
      <c r="Z45" s="109"/>
      <c r="AD45" s="22"/>
      <c r="AE45" s="22"/>
      <c r="AF45" s="22"/>
      <c r="AG45" s="22"/>
      <c r="AH45" s="22"/>
      <c r="AI45" s="22"/>
      <c r="AJ45" s="22"/>
      <c r="AK45" s="22"/>
      <c r="AL45" s="22"/>
      <c r="AM45" s="22"/>
      <c r="AN45" s="22"/>
      <c r="AO45" s="22"/>
      <c r="AP45" s="22"/>
      <c r="AQ45" s="22"/>
      <c r="AR45" s="22"/>
      <c r="AS45" s="22"/>
      <c r="AT45" s="22"/>
      <c r="AU45" s="22"/>
      <c r="AV45" s="22"/>
      <c r="AW45" s="22"/>
      <c r="AX45" s="22"/>
      <c r="AY45" s="22"/>
      <c r="AZ45" s="22"/>
      <c r="BA45" s="22"/>
      <c r="BB45" s="22"/>
      <c r="BC45" s="22"/>
      <c r="BD45" s="22"/>
      <c r="BE45" s="22"/>
      <c r="BF45" s="22"/>
      <c r="BG45" s="22"/>
      <c r="BH45" s="22"/>
      <c r="BI45" s="22"/>
      <c r="BJ45" s="22"/>
      <c r="BK45" s="22"/>
      <c r="BL45" s="22"/>
      <c r="BM45" s="22"/>
      <c r="BN45" s="22"/>
      <c r="BO45" s="22"/>
      <c r="BP45" s="22"/>
    </row>
    <row r="46" spans="1:68" s="17" customFormat="1" ht="15.75">
      <c r="C46" s="120"/>
      <c r="D46" s="120"/>
      <c r="E46" s="120"/>
      <c r="F46" s="120"/>
      <c r="G46" s="120"/>
      <c r="H46" s="120"/>
      <c r="I46" s="120"/>
      <c r="J46" s="120"/>
      <c r="K46" s="120"/>
      <c r="L46" s="120"/>
      <c r="M46" s="121"/>
      <c r="N46" s="120"/>
      <c r="O46" s="120"/>
      <c r="P46" s="120"/>
      <c r="Q46" s="122"/>
      <c r="S46" s="7"/>
      <c r="T46" s="7"/>
      <c r="U46" s="6"/>
      <c r="V46" s="7"/>
      <c r="W46" s="7"/>
      <c r="X46" s="7"/>
      <c r="Y46" s="7"/>
      <c r="Z46" s="109"/>
      <c r="AD46" s="22"/>
      <c r="AE46" s="22"/>
      <c r="AF46" s="22"/>
      <c r="AG46" s="22"/>
      <c r="AH46" s="22"/>
      <c r="AI46" s="22"/>
      <c r="AJ46" s="22"/>
      <c r="AK46" s="22"/>
      <c r="AL46" s="22"/>
      <c r="AM46" s="22"/>
      <c r="AN46" s="22"/>
      <c r="AO46" s="22"/>
      <c r="AP46" s="22"/>
      <c r="AQ46" s="22"/>
      <c r="AR46" s="22"/>
      <c r="AS46" s="22"/>
      <c r="AT46" s="22"/>
      <c r="AU46" s="22"/>
      <c r="AV46" s="22"/>
      <c r="AW46" s="22"/>
      <c r="AX46" s="22"/>
      <c r="AY46" s="22"/>
      <c r="AZ46" s="22"/>
      <c r="BA46" s="22"/>
      <c r="BB46" s="22"/>
      <c r="BC46" s="22"/>
      <c r="BD46" s="22"/>
      <c r="BE46" s="22"/>
      <c r="BF46" s="22"/>
      <c r="BG46" s="22"/>
      <c r="BH46" s="22"/>
      <c r="BI46" s="22"/>
      <c r="BJ46" s="22"/>
      <c r="BK46" s="22"/>
      <c r="BL46" s="22"/>
      <c r="BM46" s="22"/>
      <c r="BN46" s="22"/>
      <c r="BO46" s="22"/>
      <c r="BP46" s="22"/>
    </row>
    <row r="47" spans="1:68" s="17" customFormat="1" ht="15.75">
      <c r="C47" s="120"/>
      <c r="D47" s="120"/>
      <c r="E47" s="120"/>
      <c r="F47" s="120"/>
      <c r="G47" s="120"/>
      <c r="H47" s="120"/>
      <c r="I47" s="120"/>
      <c r="J47" s="120"/>
      <c r="K47" s="120"/>
      <c r="L47" s="120"/>
      <c r="M47" s="121"/>
      <c r="N47" s="120"/>
      <c r="O47" s="120"/>
      <c r="P47" s="120"/>
      <c r="Q47" s="122"/>
      <c r="S47" s="7"/>
      <c r="T47" s="7"/>
      <c r="U47" s="6"/>
      <c r="V47" s="7"/>
      <c r="W47" s="7"/>
      <c r="X47" s="7"/>
      <c r="Y47" s="7"/>
      <c r="Z47" s="109"/>
      <c r="AD47" s="22"/>
      <c r="AE47" s="22"/>
      <c r="AF47" s="22"/>
      <c r="AG47" s="22"/>
      <c r="AH47" s="22"/>
      <c r="AI47" s="22"/>
      <c r="AJ47" s="22"/>
      <c r="AK47" s="22"/>
      <c r="AL47" s="22"/>
      <c r="AM47" s="22"/>
      <c r="AN47" s="22"/>
      <c r="AO47" s="22"/>
      <c r="AP47" s="22"/>
      <c r="AQ47" s="22"/>
      <c r="AR47" s="22"/>
      <c r="AS47" s="22"/>
      <c r="AT47" s="22"/>
      <c r="AU47" s="22"/>
      <c r="AV47" s="22"/>
      <c r="AW47" s="22"/>
      <c r="AX47" s="22"/>
      <c r="AY47" s="22"/>
      <c r="AZ47" s="22"/>
      <c r="BA47" s="22"/>
      <c r="BB47" s="22"/>
      <c r="BC47" s="22"/>
      <c r="BD47" s="22"/>
      <c r="BE47" s="22"/>
      <c r="BF47" s="22"/>
      <c r="BG47" s="22"/>
      <c r="BH47" s="22"/>
      <c r="BI47" s="22"/>
      <c r="BJ47" s="22"/>
      <c r="BK47" s="22"/>
      <c r="BL47" s="22"/>
      <c r="BM47" s="22"/>
      <c r="BN47" s="22"/>
      <c r="BO47" s="22"/>
      <c r="BP47" s="22"/>
    </row>
    <row r="48" spans="1:68" s="17" customFormat="1" ht="15.75">
      <c r="C48" s="120"/>
      <c r="D48" s="120"/>
      <c r="E48" s="120"/>
      <c r="F48" s="120"/>
      <c r="G48" s="120"/>
      <c r="H48" s="120"/>
      <c r="I48" s="120"/>
      <c r="J48" s="120"/>
      <c r="K48" s="120"/>
      <c r="L48" s="120"/>
      <c r="M48" s="121"/>
      <c r="N48" s="120"/>
      <c r="O48" s="120"/>
      <c r="P48" s="120"/>
      <c r="Q48" s="122"/>
      <c r="S48" s="7"/>
      <c r="T48" s="7"/>
      <c r="U48" s="6"/>
      <c r="V48" s="7"/>
      <c r="W48" s="7"/>
      <c r="X48" s="7"/>
      <c r="Y48" s="7"/>
      <c r="Z48" s="109"/>
      <c r="AD48" s="22"/>
      <c r="AE48" s="22"/>
      <c r="AF48" s="22"/>
      <c r="AG48" s="22"/>
      <c r="AH48" s="22"/>
      <c r="AI48" s="22"/>
      <c r="AJ48" s="22"/>
      <c r="AK48" s="22"/>
      <c r="AL48" s="22"/>
      <c r="AM48" s="22"/>
      <c r="AN48" s="22"/>
      <c r="AO48" s="22"/>
      <c r="AP48" s="22"/>
      <c r="AQ48" s="22"/>
      <c r="AR48" s="22"/>
      <c r="AS48" s="22"/>
      <c r="AT48" s="22"/>
      <c r="AU48" s="22"/>
      <c r="AV48" s="22"/>
      <c r="AW48" s="22"/>
      <c r="AX48" s="22"/>
      <c r="AY48" s="22"/>
      <c r="AZ48" s="22"/>
      <c r="BA48" s="22"/>
      <c r="BB48" s="22"/>
      <c r="BC48" s="22"/>
      <c r="BD48" s="22"/>
      <c r="BE48" s="22"/>
      <c r="BF48" s="22"/>
      <c r="BG48" s="22"/>
      <c r="BH48" s="22"/>
      <c r="BI48" s="22"/>
      <c r="BJ48" s="22"/>
      <c r="BK48" s="22"/>
      <c r="BL48" s="22"/>
      <c r="BM48" s="22"/>
      <c r="BN48" s="22"/>
      <c r="BO48" s="22"/>
      <c r="BP48" s="22"/>
    </row>
    <row r="49" spans="1:68" s="17" customFormat="1" ht="15.75">
      <c r="C49" s="120"/>
      <c r="D49" s="120"/>
      <c r="E49" s="120"/>
      <c r="F49" s="120"/>
      <c r="G49" s="120"/>
      <c r="H49" s="120"/>
      <c r="I49" s="120"/>
      <c r="J49" s="120"/>
      <c r="K49" s="120"/>
      <c r="L49" s="120"/>
      <c r="M49" s="121"/>
      <c r="N49" s="120"/>
      <c r="O49" s="120"/>
      <c r="P49" s="120"/>
      <c r="Q49" s="122"/>
      <c r="S49" s="7"/>
      <c r="T49" s="7"/>
      <c r="U49" s="6"/>
      <c r="V49" s="7"/>
      <c r="W49" s="7"/>
      <c r="X49" s="7"/>
      <c r="Y49" s="7"/>
      <c r="Z49" s="109"/>
      <c r="AD49" s="22"/>
      <c r="AE49" s="22"/>
      <c r="AF49" s="22"/>
      <c r="AG49" s="22"/>
      <c r="AH49" s="22"/>
      <c r="AI49" s="22"/>
      <c r="AJ49" s="22"/>
      <c r="AK49" s="22"/>
      <c r="AL49" s="22"/>
      <c r="AM49" s="22"/>
      <c r="AN49" s="22"/>
      <c r="AO49" s="22"/>
      <c r="AP49" s="22"/>
      <c r="AQ49" s="22"/>
      <c r="AR49" s="22"/>
      <c r="AS49" s="22"/>
      <c r="AT49" s="22"/>
      <c r="AU49" s="22"/>
      <c r="AV49" s="22"/>
      <c r="AW49" s="22"/>
      <c r="AX49" s="22"/>
      <c r="AY49" s="22"/>
      <c r="AZ49" s="22"/>
      <c r="BA49" s="22"/>
      <c r="BB49" s="22"/>
      <c r="BC49" s="22"/>
      <c r="BD49" s="22"/>
      <c r="BE49" s="22"/>
      <c r="BF49" s="22"/>
      <c r="BG49" s="22"/>
      <c r="BH49" s="22"/>
      <c r="BI49" s="22"/>
      <c r="BJ49" s="22"/>
      <c r="BK49" s="22"/>
      <c r="BL49" s="22"/>
      <c r="BM49" s="22"/>
      <c r="BN49" s="22"/>
      <c r="BO49" s="22"/>
      <c r="BP49" s="22"/>
    </row>
    <row r="50" spans="1:68" s="17" customFormat="1" ht="15.75">
      <c r="C50" s="120"/>
      <c r="D50" s="120"/>
      <c r="E50" s="120"/>
      <c r="F50" s="120"/>
      <c r="G50" s="120"/>
      <c r="H50" s="120"/>
      <c r="I50" s="120"/>
      <c r="J50" s="120"/>
      <c r="K50" s="120"/>
      <c r="L50" s="120"/>
      <c r="M50" s="121"/>
      <c r="N50" s="120"/>
      <c r="O50" s="120"/>
      <c r="P50" s="120"/>
      <c r="Q50" s="122"/>
      <c r="S50" s="7"/>
      <c r="T50" s="7"/>
      <c r="U50" s="6"/>
      <c r="V50" s="7"/>
      <c r="W50" s="7"/>
      <c r="X50" s="7"/>
      <c r="Y50" s="7"/>
      <c r="Z50" s="109"/>
      <c r="AD50" s="22"/>
      <c r="AE50" s="22"/>
      <c r="AF50" s="22"/>
      <c r="AG50" s="22"/>
      <c r="AH50" s="22"/>
      <c r="AI50" s="22"/>
      <c r="AJ50" s="22"/>
      <c r="AK50" s="22"/>
      <c r="AL50" s="22"/>
      <c r="AM50" s="22"/>
      <c r="AN50" s="22"/>
      <c r="AO50" s="22"/>
      <c r="AP50" s="22"/>
      <c r="AQ50" s="22"/>
      <c r="AR50" s="22"/>
      <c r="AS50" s="22"/>
      <c r="AT50" s="22"/>
      <c r="AU50" s="22"/>
      <c r="AV50" s="22"/>
      <c r="AW50" s="22"/>
      <c r="AX50" s="22"/>
      <c r="AY50" s="22"/>
      <c r="AZ50" s="22"/>
      <c r="BA50" s="22"/>
      <c r="BB50" s="22"/>
      <c r="BC50" s="22"/>
      <c r="BD50" s="22"/>
      <c r="BE50" s="22"/>
      <c r="BF50" s="22"/>
      <c r="BG50" s="22"/>
      <c r="BH50" s="22"/>
      <c r="BI50" s="22"/>
      <c r="BJ50" s="22"/>
      <c r="BK50" s="22"/>
      <c r="BL50" s="22"/>
      <c r="BM50" s="22"/>
      <c r="BN50" s="22"/>
      <c r="BO50" s="22"/>
      <c r="BP50" s="22"/>
    </row>
    <row r="51" spans="1:68" s="17" customFormat="1" ht="15.75" hidden="1">
      <c r="C51" s="120"/>
      <c r="D51" s="120"/>
      <c r="E51" s="120"/>
      <c r="F51" s="120"/>
      <c r="G51" s="120"/>
      <c r="H51" s="120"/>
      <c r="I51" s="120"/>
      <c r="J51" s="120"/>
      <c r="K51" s="120"/>
      <c r="L51" s="120"/>
      <c r="M51" s="121"/>
      <c r="N51" s="120"/>
      <c r="O51" s="120"/>
      <c r="P51" s="120"/>
      <c r="Q51" s="122"/>
      <c r="S51" s="7"/>
      <c r="T51" s="7"/>
      <c r="U51" s="6"/>
      <c r="V51" s="7"/>
      <c r="W51" s="7"/>
      <c r="X51" s="7"/>
      <c r="Y51" s="7"/>
      <c r="Z51" s="109"/>
      <c r="AD51" s="22"/>
      <c r="AE51" s="22"/>
      <c r="AF51" s="22"/>
      <c r="AG51" s="22"/>
      <c r="AH51" s="22"/>
      <c r="AI51" s="22"/>
      <c r="AJ51" s="22"/>
      <c r="AK51" s="22"/>
      <c r="AL51" s="22"/>
      <c r="AM51" s="22"/>
      <c r="AN51" s="22"/>
      <c r="AO51" s="22"/>
      <c r="AP51" s="22"/>
      <c r="AQ51" s="22"/>
      <c r="AR51" s="22"/>
      <c r="AS51" s="22"/>
      <c r="AT51" s="22"/>
      <c r="AU51" s="22"/>
      <c r="AV51" s="22"/>
      <c r="AW51" s="22"/>
      <c r="AX51" s="22"/>
      <c r="AY51" s="22"/>
      <c r="AZ51" s="22"/>
      <c r="BA51" s="22"/>
      <c r="BB51" s="22"/>
      <c r="BC51" s="22"/>
      <c r="BD51" s="22"/>
      <c r="BE51" s="22"/>
      <c r="BF51" s="22"/>
      <c r="BG51" s="22"/>
      <c r="BH51" s="22"/>
      <c r="BI51" s="22"/>
      <c r="BJ51" s="22"/>
      <c r="BK51" s="22"/>
      <c r="BL51" s="22"/>
      <c r="BM51" s="22"/>
      <c r="BN51" s="22"/>
      <c r="BO51" s="22"/>
      <c r="BP51" s="22"/>
    </row>
    <row r="52" spans="1:68" s="17" customFormat="1" ht="15.75" hidden="1">
      <c r="C52" s="120"/>
      <c r="D52" s="120"/>
      <c r="E52" s="120"/>
      <c r="F52" s="120"/>
      <c r="G52" s="120"/>
      <c r="H52" s="120"/>
      <c r="I52" s="120"/>
      <c r="J52" s="120"/>
      <c r="K52" s="120"/>
      <c r="L52" s="120"/>
      <c r="M52" s="121"/>
      <c r="N52" s="120"/>
      <c r="O52" s="120"/>
      <c r="P52" s="120"/>
      <c r="Q52" s="122"/>
      <c r="S52" s="7"/>
      <c r="T52" s="7"/>
      <c r="U52" s="6"/>
      <c r="V52" s="7"/>
      <c r="W52" s="7"/>
      <c r="X52" s="7"/>
      <c r="Y52" s="7"/>
      <c r="Z52" s="109"/>
      <c r="AD52" s="22"/>
      <c r="AE52" s="22"/>
      <c r="AF52" s="22"/>
      <c r="AG52" s="22"/>
      <c r="AH52" s="22"/>
      <c r="AI52" s="22"/>
      <c r="AJ52" s="22"/>
      <c r="AK52" s="22"/>
      <c r="AL52" s="22"/>
      <c r="AM52" s="22"/>
      <c r="AN52" s="22"/>
      <c r="AO52" s="22"/>
      <c r="AP52" s="22"/>
      <c r="AQ52" s="22"/>
      <c r="AR52" s="22"/>
      <c r="AS52" s="22"/>
      <c r="AT52" s="22"/>
      <c r="AU52" s="22"/>
      <c r="AV52" s="22"/>
      <c r="AW52" s="22"/>
      <c r="AX52" s="22"/>
      <c r="AY52" s="22"/>
      <c r="AZ52" s="22"/>
      <c r="BA52" s="22"/>
      <c r="BB52" s="22"/>
      <c r="BC52" s="22"/>
      <c r="BD52" s="22"/>
      <c r="BE52" s="22"/>
      <c r="BF52" s="22"/>
      <c r="BG52" s="22"/>
      <c r="BH52" s="22"/>
      <c r="BI52" s="22"/>
      <c r="BJ52" s="22"/>
      <c r="BK52" s="22"/>
      <c r="BL52" s="22"/>
      <c r="BM52" s="22"/>
      <c r="BN52" s="22"/>
      <c r="BO52" s="22"/>
      <c r="BP52" s="22"/>
    </row>
    <row r="53" spans="1:68" s="17" customFormat="1" ht="15.75" hidden="1">
      <c r="C53" s="123"/>
      <c r="D53" s="123" t="s">
        <v>87</v>
      </c>
      <c r="E53" s="123"/>
      <c r="F53" s="123" t="s">
        <v>88</v>
      </c>
      <c r="G53" s="123" t="s">
        <v>89</v>
      </c>
      <c r="H53" s="124" t="s">
        <v>90</v>
      </c>
      <c r="I53" s="120"/>
      <c r="J53" s="120"/>
      <c r="K53" s="125"/>
      <c r="L53" s="125"/>
      <c r="M53" s="126"/>
      <c r="N53" s="126"/>
      <c r="O53" s="126"/>
      <c r="P53" s="120"/>
      <c r="Q53" s="122"/>
      <c r="S53" s="7"/>
      <c r="T53" s="7"/>
      <c r="U53" s="6"/>
      <c r="V53" s="7"/>
      <c r="W53" s="7"/>
      <c r="X53" s="7"/>
      <c r="Y53" s="7"/>
      <c r="Z53" s="109"/>
      <c r="AD53" s="22"/>
      <c r="AE53" s="22"/>
      <c r="AF53" s="22"/>
      <c r="AG53" s="22"/>
      <c r="AH53" s="22"/>
      <c r="AI53" s="22"/>
      <c r="AJ53" s="22"/>
      <c r="AK53" s="22"/>
      <c r="AL53" s="22"/>
      <c r="AM53" s="22"/>
      <c r="AN53" s="22"/>
      <c r="AO53" s="22"/>
      <c r="AP53" s="22"/>
      <c r="AQ53" s="22"/>
      <c r="AR53" s="22"/>
      <c r="AS53" s="22"/>
      <c r="AT53" s="22"/>
      <c r="AU53" s="22"/>
      <c r="AV53" s="22"/>
      <c r="AW53" s="22"/>
      <c r="AX53" s="22"/>
      <c r="AY53" s="22"/>
      <c r="AZ53" s="22"/>
      <c r="BA53" s="22"/>
      <c r="BB53" s="22"/>
      <c r="BC53" s="22"/>
      <c r="BD53" s="22"/>
      <c r="BE53" s="22"/>
      <c r="BF53" s="22"/>
      <c r="BG53" s="22"/>
      <c r="BH53" s="22"/>
      <c r="BI53" s="22"/>
      <c r="BJ53" s="22"/>
      <c r="BK53" s="22"/>
      <c r="BL53" s="22"/>
      <c r="BM53" s="22"/>
      <c r="BN53" s="22"/>
      <c r="BO53" s="22"/>
      <c r="BP53" s="22"/>
    </row>
    <row r="54" spans="1:68" s="17" customFormat="1" ht="15.75" hidden="1">
      <c r="C54" s="127" t="s">
        <v>91</v>
      </c>
      <c r="D54" s="128">
        <f>COUNTA(C6:C13)</f>
        <v>3</v>
      </c>
      <c r="E54" s="128"/>
      <c r="F54" s="128">
        <f>COUNTA(C15:C22)</f>
        <v>4</v>
      </c>
      <c r="G54" s="128">
        <f>COUNTA(C24:C31)</f>
        <v>2</v>
      </c>
      <c r="H54" s="129">
        <f t="shared" ref="H54:H62" si="12">SUM(D54:G54)</f>
        <v>9</v>
      </c>
      <c r="I54" s="21"/>
      <c r="J54" s="21"/>
      <c r="K54" s="125"/>
      <c r="L54" s="125"/>
      <c r="M54" s="126"/>
      <c r="N54" s="126"/>
      <c r="O54" s="825"/>
      <c r="P54" s="21"/>
      <c r="Q54" s="130"/>
      <c r="S54" s="7"/>
      <c r="T54" s="7"/>
      <c r="U54" s="6"/>
      <c r="V54" s="7"/>
      <c r="W54" s="7"/>
      <c r="X54" s="7"/>
      <c r="Y54" s="7"/>
      <c r="Z54" s="109"/>
      <c r="AD54" s="22"/>
      <c r="AE54" s="22"/>
      <c r="AF54" s="22"/>
      <c r="AG54" s="22"/>
      <c r="AH54" s="22"/>
      <c r="AI54" s="22"/>
      <c r="AJ54" s="22"/>
      <c r="AK54" s="22"/>
      <c r="AL54" s="22"/>
      <c r="AM54" s="22"/>
      <c r="AN54" s="22"/>
      <c r="AO54" s="22"/>
      <c r="AP54" s="22"/>
      <c r="AQ54" s="22"/>
      <c r="AR54" s="22"/>
      <c r="AS54" s="22"/>
      <c r="AT54" s="22"/>
      <c r="AU54" s="22"/>
      <c r="AV54" s="22"/>
      <c r="AW54" s="22"/>
      <c r="AX54" s="22"/>
      <c r="AY54" s="22"/>
      <c r="AZ54" s="22"/>
      <c r="BA54" s="22"/>
      <c r="BB54" s="22"/>
      <c r="BC54" s="22"/>
      <c r="BD54" s="22"/>
      <c r="BE54" s="22"/>
      <c r="BF54" s="22"/>
      <c r="BG54" s="22"/>
      <c r="BH54" s="22"/>
      <c r="BI54" s="22"/>
      <c r="BJ54" s="22"/>
      <c r="BK54" s="22"/>
      <c r="BL54" s="22"/>
      <c r="BM54" s="22"/>
      <c r="BN54" s="22"/>
      <c r="BO54" s="22"/>
      <c r="BP54" s="22"/>
    </row>
    <row r="55" spans="1:68" s="17" customFormat="1" ht="15.75" hidden="1">
      <c r="C55" s="131" t="s">
        <v>92</v>
      </c>
      <c r="D55" s="132">
        <f>COUNTIF(G6:G13,"FMC")</f>
        <v>1</v>
      </c>
      <c r="E55" s="132"/>
      <c r="F55" s="132">
        <f>COUNTIF(G15:G22,"FMC")</f>
        <v>1</v>
      </c>
      <c r="G55" s="132">
        <f>COUNTIF(G24:G31,"FMC")</f>
        <v>1</v>
      </c>
      <c r="H55" s="129">
        <f t="shared" si="12"/>
        <v>3</v>
      </c>
      <c r="I55" s="21"/>
      <c r="J55" s="21"/>
      <c r="K55" s="126"/>
      <c r="L55" s="126"/>
      <c r="M55" s="133"/>
      <c r="N55" s="126"/>
      <c r="O55" s="825"/>
      <c r="P55" s="21"/>
      <c r="Q55" s="130"/>
      <c r="S55" s="7"/>
      <c r="T55" s="7"/>
      <c r="U55" s="6"/>
      <c r="V55" s="7"/>
      <c r="W55" s="7"/>
      <c r="X55" s="7"/>
      <c r="Y55" s="7"/>
      <c r="Z55" s="109"/>
      <c r="AD55" s="22"/>
      <c r="AE55" s="22"/>
      <c r="AF55" s="22"/>
      <c r="AG55" s="22"/>
      <c r="AH55" s="22"/>
      <c r="AI55" s="22"/>
      <c r="AJ55" s="22"/>
      <c r="AK55" s="22"/>
      <c r="AL55" s="22"/>
      <c r="AM55" s="22"/>
      <c r="AN55" s="22"/>
      <c r="AO55" s="22"/>
      <c r="AP55" s="22"/>
      <c r="AQ55" s="22"/>
      <c r="AR55" s="22"/>
      <c r="AS55" s="22"/>
      <c r="AT55" s="22"/>
      <c r="AU55" s="22"/>
      <c r="AV55" s="22"/>
      <c r="AW55" s="22"/>
      <c r="AX55" s="22"/>
      <c r="AY55" s="22"/>
      <c r="AZ55" s="22"/>
      <c r="BA55" s="22"/>
      <c r="BB55" s="22"/>
      <c r="BC55" s="22"/>
      <c r="BD55" s="22"/>
      <c r="BE55" s="22"/>
      <c r="BF55" s="22"/>
      <c r="BG55" s="22"/>
      <c r="BH55" s="22"/>
      <c r="BI55" s="22"/>
      <c r="BJ55" s="22"/>
      <c r="BK55" s="22"/>
      <c r="BL55" s="22"/>
      <c r="BM55" s="22"/>
      <c r="BN55" s="22"/>
      <c r="BO55" s="22"/>
      <c r="BP55" s="22"/>
    </row>
    <row r="56" spans="1:68" s="17" customFormat="1" ht="15.75" hidden="1">
      <c r="C56" s="131" t="s">
        <v>93</v>
      </c>
      <c r="D56" s="132">
        <f>COUNTIF(G6:G13,"NMCM")</f>
        <v>1</v>
      </c>
      <c r="E56" s="132"/>
      <c r="F56" s="132">
        <f>COUNTIF(G15:G22,"NMCM")</f>
        <v>1</v>
      </c>
      <c r="G56" s="132">
        <f>COUNTIF(G24:G31,"NMCM")</f>
        <v>1</v>
      </c>
      <c r="H56" s="129">
        <f t="shared" si="12"/>
        <v>3</v>
      </c>
      <c r="I56" s="21"/>
      <c r="J56" s="21"/>
      <c r="K56" s="134"/>
      <c r="L56" s="135"/>
      <c r="M56" s="133"/>
      <c r="N56" s="133"/>
      <c r="O56" s="136"/>
      <c r="P56" s="21"/>
      <c r="Q56" s="130"/>
      <c r="S56" s="7"/>
      <c r="T56" s="7"/>
      <c r="U56" s="6"/>
      <c r="V56" s="7"/>
      <c r="W56" s="7"/>
      <c r="X56" s="7"/>
      <c r="Y56" s="7"/>
      <c r="Z56" s="109"/>
      <c r="AD56" s="22"/>
      <c r="AE56" s="22"/>
      <c r="AF56" s="22"/>
      <c r="AG56" s="22"/>
      <c r="AH56" s="22"/>
      <c r="AI56" s="22"/>
      <c r="AJ56" s="22"/>
      <c r="AK56" s="22"/>
      <c r="AL56" s="22"/>
      <c r="AM56" s="22"/>
      <c r="AN56" s="22"/>
      <c r="AO56" s="22"/>
      <c r="AP56" s="22"/>
      <c r="AQ56" s="22"/>
      <c r="AR56" s="22"/>
      <c r="AS56" s="22"/>
      <c r="AT56" s="22"/>
      <c r="AU56" s="22"/>
      <c r="AV56" s="22"/>
      <c r="AW56" s="22"/>
      <c r="AX56" s="22"/>
      <c r="AY56" s="22"/>
      <c r="AZ56" s="22"/>
      <c r="BA56" s="22"/>
      <c r="BB56" s="22"/>
      <c r="BC56" s="22"/>
      <c r="BD56" s="22"/>
      <c r="BE56" s="22"/>
      <c r="BF56" s="22"/>
      <c r="BG56" s="22"/>
      <c r="BH56" s="22"/>
      <c r="BI56" s="22"/>
      <c r="BJ56" s="22"/>
      <c r="BK56" s="22"/>
      <c r="BL56" s="22"/>
      <c r="BM56" s="22"/>
      <c r="BN56" s="22"/>
      <c r="BO56" s="22"/>
      <c r="BP56" s="22"/>
    </row>
    <row r="57" spans="1:68" s="17" customFormat="1" ht="15.75" hidden="1">
      <c r="C57" s="131" t="s">
        <v>94</v>
      </c>
      <c r="D57" s="132">
        <f>COUNTIF(G6:G13,"NMCS")</f>
        <v>0</v>
      </c>
      <c r="E57" s="132"/>
      <c r="F57" s="132">
        <f>COUNTIF(G15:G22,"NMCS")</f>
        <v>0</v>
      </c>
      <c r="G57" s="132">
        <f>COUNTIF(G24:G31,"NMCS")</f>
        <v>0</v>
      </c>
      <c r="H57" s="129">
        <f t="shared" si="12"/>
        <v>0</v>
      </c>
      <c r="I57" s="21"/>
      <c r="J57" s="21"/>
      <c r="K57" s="137"/>
      <c r="L57" s="135"/>
      <c r="M57" s="133"/>
      <c r="N57" s="133"/>
      <c r="O57" s="136"/>
      <c r="P57" s="21"/>
      <c r="Q57" s="130"/>
      <c r="S57" s="7"/>
      <c r="T57" s="7"/>
      <c r="U57" s="6"/>
      <c r="V57" s="7"/>
      <c r="W57" s="7"/>
      <c r="X57" s="7"/>
      <c r="Y57" s="7"/>
      <c r="Z57" s="109"/>
      <c r="AD57" s="22"/>
      <c r="AE57" s="22"/>
      <c r="AF57" s="22"/>
      <c r="AG57" s="22"/>
      <c r="AH57" s="22"/>
      <c r="AI57" s="22"/>
      <c r="AJ57" s="22"/>
      <c r="AK57" s="22"/>
      <c r="AL57" s="22"/>
      <c r="AM57" s="22"/>
      <c r="AN57" s="22"/>
      <c r="AO57" s="22"/>
      <c r="AP57" s="22"/>
      <c r="AQ57" s="22"/>
      <c r="AR57" s="22"/>
      <c r="AS57" s="22"/>
      <c r="AT57" s="22"/>
      <c r="AU57" s="22"/>
      <c r="AV57" s="22"/>
      <c r="AW57" s="22"/>
      <c r="AX57" s="22"/>
      <c r="AY57" s="22"/>
      <c r="AZ57" s="22"/>
      <c r="BA57" s="22"/>
      <c r="BB57" s="22"/>
      <c r="BC57" s="22"/>
      <c r="BD57" s="22"/>
      <c r="BE57" s="22"/>
      <c r="BF57" s="22"/>
      <c r="BG57" s="22"/>
      <c r="BH57" s="22"/>
      <c r="BI57" s="22"/>
      <c r="BJ57" s="22"/>
      <c r="BK57" s="22"/>
      <c r="BL57" s="22"/>
      <c r="BM57" s="22"/>
      <c r="BN57" s="22"/>
      <c r="BO57" s="22"/>
      <c r="BP57" s="22"/>
    </row>
    <row r="58" spans="1:68" s="17" customFormat="1" ht="15.75" hidden="1">
      <c r="C58" s="131" t="s">
        <v>95</v>
      </c>
      <c r="D58" s="132">
        <f>COUNTIF(G6:G13,"PMCM")</f>
        <v>1</v>
      </c>
      <c r="E58" s="132"/>
      <c r="F58" s="132">
        <f>COUNTIF(G15:G22,"PMCM")</f>
        <v>1</v>
      </c>
      <c r="G58" s="132">
        <f>COUNTIF(G24:G31,"PMCM")</f>
        <v>0</v>
      </c>
      <c r="H58" s="129">
        <f t="shared" si="12"/>
        <v>2</v>
      </c>
      <c r="I58" s="138"/>
      <c r="J58" s="21"/>
      <c r="K58" s="137"/>
      <c r="L58" s="135"/>
      <c r="M58" s="126"/>
      <c r="N58" s="133"/>
      <c r="O58" s="136"/>
      <c r="P58" s="139"/>
      <c r="Q58" s="140"/>
      <c r="S58" s="7"/>
      <c r="T58" s="7"/>
      <c r="U58" s="6"/>
      <c r="V58" s="7"/>
      <c r="W58" s="7"/>
      <c r="X58" s="7"/>
      <c r="Y58" s="7"/>
      <c r="Z58" s="109"/>
      <c r="AD58" s="22"/>
      <c r="AE58" s="22"/>
      <c r="AF58" s="22"/>
      <c r="AG58" s="22"/>
      <c r="AH58" s="22"/>
      <c r="AI58" s="22"/>
      <c r="AJ58" s="22"/>
      <c r="AK58" s="22"/>
      <c r="AL58" s="22"/>
      <c r="AM58" s="22"/>
      <c r="AN58" s="22"/>
      <c r="AO58" s="22"/>
      <c r="AP58" s="22"/>
      <c r="AQ58" s="22"/>
      <c r="AR58" s="22"/>
      <c r="AS58" s="22"/>
      <c r="AT58" s="22"/>
      <c r="AU58" s="22"/>
      <c r="AV58" s="22"/>
      <c r="AW58" s="22"/>
      <c r="AX58" s="22"/>
      <c r="AY58" s="22"/>
      <c r="AZ58" s="22"/>
      <c r="BA58" s="22"/>
      <c r="BB58" s="22"/>
      <c r="BC58" s="22"/>
      <c r="BD58" s="22"/>
      <c r="BE58" s="22"/>
      <c r="BF58" s="22"/>
      <c r="BG58" s="22"/>
      <c r="BH58" s="22"/>
      <c r="BI58" s="22"/>
      <c r="BJ58" s="22"/>
      <c r="BK58" s="22"/>
      <c r="BL58" s="22"/>
      <c r="BM58" s="22"/>
      <c r="BN58" s="22"/>
      <c r="BO58" s="22"/>
      <c r="BP58" s="22"/>
    </row>
    <row r="59" spans="1:68" s="17" customFormat="1" ht="15.75" hidden="1">
      <c r="C59" s="131" t="s">
        <v>96</v>
      </c>
      <c r="D59" s="132">
        <f>COUNTIF(G6:G13,"PMCS")</f>
        <v>0</v>
      </c>
      <c r="E59" s="132"/>
      <c r="F59" s="132">
        <f>COUNTIF(G15:G22,"PMCS")</f>
        <v>0</v>
      </c>
      <c r="G59" s="132">
        <f>COUNTIF(G24:G31,"PMCS")</f>
        <v>0</v>
      </c>
      <c r="H59" s="129">
        <f t="shared" si="12"/>
        <v>0</v>
      </c>
      <c r="I59" s="138"/>
      <c r="J59" s="21"/>
      <c r="K59" s="125"/>
      <c r="L59" s="135"/>
      <c r="M59" s="133"/>
      <c r="N59" s="133"/>
      <c r="O59" s="136"/>
      <c r="P59" s="139"/>
      <c r="Q59" s="140"/>
      <c r="S59" s="7"/>
      <c r="T59" s="7"/>
      <c r="U59" s="6"/>
      <c r="V59" s="7"/>
      <c r="W59" s="7"/>
      <c r="X59" s="7"/>
      <c r="Y59" s="7"/>
      <c r="Z59" s="109"/>
      <c r="AD59" s="22"/>
      <c r="AE59" s="22"/>
      <c r="AF59" s="22"/>
      <c r="AG59" s="22"/>
      <c r="AH59" s="22"/>
      <c r="AI59" s="22"/>
      <c r="AJ59" s="22"/>
      <c r="AK59" s="22"/>
      <c r="AL59" s="22"/>
      <c r="AM59" s="22"/>
      <c r="AN59" s="22"/>
      <c r="AO59" s="22"/>
      <c r="AP59" s="22"/>
      <c r="AQ59" s="22"/>
      <c r="AR59" s="22"/>
      <c r="AS59" s="22"/>
      <c r="AT59" s="22"/>
      <c r="AU59" s="22"/>
      <c r="AV59" s="22"/>
      <c r="AW59" s="22"/>
      <c r="AX59" s="22"/>
      <c r="AY59" s="22"/>
      <c r="AZ59" s="22"/>
      <c r="BA59" s="22"/>
      <c r="BB59" s="22"/>
      <c r="BC59" s="22"/>
      <c r="BD59" s="22"/>
      <c r="BE59" s="22"/>
      <c r="BF59" s="22"/>
      <c r="BG59" s="22"/>
      <c r="BH59" s="22"/>
      <c r="BI59" s="22"/>
      <c r="BJ59" s="22"/>
      <c r="BK59" s="22"/>
      <c r="BL59" s="22"/>
      <c r="BM59" s="22"/>
      <c r="BN59" s="22"/>
      <c r="BO59" s="22"/>
      <c r="BP59" s="22"/>
    </row>
    <row r="60" spans="1:68" s="17" customFormat="1" ht="15.75" hidden="1">
      <c r="C60" s="141" t="s">
        <v>97</v>
      </c>
      <c r="D60" s="132">
        <f>COUNTIF(G6:G13,"MTF/MOC")</f>
        <v>0</v>
      </c>
      <c r="E60" s="132"/>
      <c r="F60" s="132">
        <f>COUNTIF(G15:G22,"MTF/MOC")</f>
        <v>1</v>
      </c>
      <c r="G60" s="132">
        <f>COUNTIF(G24:G31,"MTF/MOC")</f>
        <v>0</v>
      </c>
      <c r="H60" s="129">
        <f t="shared" si="12"/>
        <v>1</v>
      </c>
      <c r="I60" s="138"/>
      <c r="J60" s="21"/>
      <c r="K60" s="137"/>
      <c r="L60" s="135"/>
      <c r="M60" s="126"/>
      <c r="N60" s="133"/>
      <c r="O60" s="136"/>
      <c r="P60" s="139"/>
      <c r="Q60" s="140"/>
      <c r="S60" s="7"/>
      <c r="T60" s="7"/>
      <c r="U60" s="6"/>
      <c r="V60" s="7"/>
      <c r="W60" s="7"/>
      <c r="X60" s="7"/>
      <c r="Y60" s="7"/>
      <c r="Z60" s="109"/>
      <c r="AD60" s="22"/>
      <c r="AE60" s="22"/>
      <c r="AF60" s="22"/>
      <c r="AG60" s="22"/>
      <c r="AH60" s="22"/>
      <c r="AI60" s="22"/>
      <c r="AJ60" s="22"/>
      <c r="AK60" s="22"/>
      <c r="AL60" s="22"/>
      <c r="AM60" s="22"/>
      <c r="AN60" s="22"/>
      <c r="AO60" s="22"/>
      <c r="AP60" s="22"/>
      <c r="AQ60" s="22"/>
      <c r="AR60" s="22"/>
      <c r="AS60" s="22"/>
      <c r="AT60" s="22"/>
      <c r="AU60" s="22"/>
      <c r="AV60" s="22"/>
      <c r="AW60" s="22"/>
      <c r="AX60" s="22"/>
      <c r="AY60" s="22"/>
      <c r="AZ60" s="22"/>
      <c r="BA60" s="22"/>
      <c r="BB60" s="22"/>
      <c r="BC60" s="22"/>
      <c r="BD60" s="22"/>
      <c r="BE60" s="22"/>
      <c r="BF60" s="22"/>
      <c r="BG60" s="22"/>
      <c r="BH60" s="22"/>
      <c r="BI60" s="22"/>
      <c r="BJ60" s="22"/>
      <c r="BK60" s="22"/>
      <c r="BL60" s="22"/>
      <c r="BM60" s="22"/>
      <c r="BN60" s="22"/>
      <c r="BO60" s="22"/>
      <c r="BP60" s="22"/>
    </row>
    <row r="61" spans="1:68" s="17" customFormat="1" ht="15.75" hidden="1">
      <c r="C61" s="141" t="s">
        <v>98</v>
      </c>
      <c r="D61" s="132">
        <f>D55+D58+D59</f>
        <v>2</v>
      </c>
      <c r="E61" s="132"/>
      <c r="F61" s="132">
        <f>F55+F58+F59</f>
        <v>2</v>
      </c>
      <c r="G61" s="132">
        <f>G55+G58+G59</f>
        <v>1</v>
      </c>
      <c r="H61" s="129">
        <f t="shared" si="12"/>
        <v>5</v>
      </c>
      <c r="I61" s="138"/>
      <c r="J61" s="21"/>
      <c r="K61" s="137"/>
      <c r="L61" s="135"/>
      <c r="M61" s="133"/>
      <c r="N61" s="133"/>
      <c r="O61" s="136"/>
      <c r="P61" s="139"/>
      <c r="Q61" s="140"/>
      <c r="S61" s="7"/>
      <c r="T61" s="7"/>
      <c r="U61" s="6"/>
      <c r="V61" s="7"/>
      <c r="W61" s="7"/>
      <c r="X61" s="7"/>
      <c r="Y61" s="7"/>
      <c r="Z61" s="109"/>
      <c r="AD61" s="22"/>
      <c r="AE61" s="22"/>
      <c r="AF61" s="22"/>
      <c r="AG61" s="22"/>
      <c r="AH61" s="22"/>
      <c r="AI61" s="22"/>
      <c r="AJ61" s="22"/>
      <c r="AK61" s="22"/>
      <c r="AL61" s="22"/>
      <c r="AM61" s="22"/>
      <c r="AN61" s="22"/>
      <c r="AO61" s="22"/>
      <c r="AP61" s="22"/>
      <c r="AQ61" s="22"/>
      <c r="AR61" s="22"/>
      <c r="AS61" s="22"/>
      <c r="AT61" s="22"/>
      <c r="AU61" s="22"/>
      <c r="AV61" s="22"/>
      <c r="AW61" s="22"/>
      <c r="AX61" s="22"/>
      <c r="AY61" s="22"/>
      <c r="AZ61" s="22"/>
      <c r="BA61" s="22"/>
      <c r="BB61" s="22"/>
      <c r="BC61" s="22"/>
      <c r="BD61" s="22"/>
      <c r="BE61" s="22"/>
      <c r="BF61" s="22"/>
      <c r="BG61" s="22"/>
      <c r="BH61" s="22"/>
      <c r="BI61" s="22"/>
      <c r="BJ61" s="22"/>
      <c r="BK61" s="22"/>
      <c r="BL61" s="22"/>
      <c r="BM61" s="22"/>
      <c r="BN61" s="22"/>
      <c r="BO61" s="22"/>
      <c r="BP61" s="22"/>
    </row>
    <row r="62" spans="1:68" s="17" customFormat="1" ht="15.75" hidden="1">
      <c r="C62" s="131" t="s">
        <v>99</v>
      </c>
      <c r="D62" s="132">
        <f>SUM(D55:D60)</f>
        <v>3</v>
      </c>
      <c r="E62" s="132"/>
      <c r="F62" s="132">
        <f>SUM(F55:F60)</f>
        <v>4</v>
      </c>
      <c r="G62" s="132">
        <f>SUM(G55:G60)</f>
        <v>2</v>
      </c>
      <c r="H62" s="129">
        <f t="shared" si="12"/>
        <v>9</v>
      </c>
      <c r="I62" s="138"/>
      <c r="J62" s="21"/>
      <c r="K62" s="137"/>
      <c r="L62" s="135"/>
      <c r="M62" s="133"/>
      <c r="N62" s="133"/>
      <c r="O62" s="136"/>
      <c r="P62" s="139"/>
      <c r="Q62" s="140"/>
      <c r="R62" s="142"/>
      <c r="S62" s="7"/>
      <c r="T62" s="7"/>
      <c r="U62" s="6"/>
      <c r="V62" s="7"/>
      <c r="W62" s="7"/>
      <c r="X62" s="7"/>
      <c r="Y62" s="7"/>
      <c r="Z62" s="109"/>
      <c r="AD62" s="22"/>
      <c r="AE62" s="22"/>
      <c r="AF62" s="22"/>
      <c r="AG62" s="22"/>
      <c r="AH62" s="22"/>
      <c r="AI62" s="22"/>
      <c r="AJ62" s="22"/>
      <c r="AK62" s="22"/>
      <c r="AL62" s="22"/>
      <c r="AM62" s="22"/>
      <c r="AN62" s="22"/>
      <c r="AO62" s="22"/>
      <c r="AP62" s="22"/>
      <c r="AQ62" s="22"/>
      <c r="AR62" s="22"/>
      <c r="AS62" s="22"/>
      <c r="AT62" s="22"/>
      <c r="AU62" s="22"/>
      <c r="AV62" s="22"/>
      <c r="AW62" s="22"/>
      <c r="AX62" s="22"/>
      <c r="AY62" s="22"/>
      <c r="AZ62" s="22"/>
      <c r="BA62" s="22"/>
      <c r="BB62" s="22"/>
      <c r="BC62" s="22"/>
      <c r="BD62" s="22"/>
      <c r="BE62" s="22"/>
      <c r="BF62" s="22"/>
      <c r="BG62" s="22"/>
      <c r="BH62" s="22"/>
      <c r="BI62" s="22"/>
      <c r="BJ62" s="22"/>
      <c r="BK62" s="22"/>
      <c r="BL62" s="22"/>
      <c r="BM62" s="22"/>
      <c r="BN62" s="22"/>
      <c r="BO62" s="22"/>
      <c r="BP62" s="22"/>
    </row>
    <row r="63" spans="1:68" hidden="1">
      <c r="C63" s="144" t="s">
        <v>100</v>
      </c>
      <c r="D63" s="145">
        <f>SUM(D55/D54)</f>
        <v>0.33300000000000002</v>
      </c>
      <c r="E63" s="145"/>
      <c r="F63" s="145">
        <f>SUM(F55/F54)</f>
        <v>0.25</v>
      </c>
      <c r="G63" s="145">
        <f>SUM(G55/G54)</f>
        <v>0.5</v>
      </c>
      <c r="H63" s="145">
        <f>SUM(H55/H54)</f>
        <v>0.33300000000000002</v>
      </c>
      <c r="K63" s="137"/>
      <c r="L63" s="135"/>
      <c r="M63" s="133"/>
      <c r="N63" s="133"/>
      <c r="O63" s="136"/>
      <c r="R63" s="146"/>
      <c r="AD63" s="9"/>
      <c r="AE63" s="9"/>
      <c r="AF63" s="9"/>
      <c r="AG63" s="9"/>
      <c r="AH63" s="9"/>
      <c r="AI63" s="9"/>
      <c r="AJ63" s="9"/>
      <c r="AK63" s="9"/>
      <c r="AL63" s="9"/>
      <c r="AM63" s="9"/>
      <c r="AN63" s="9"/>
      <c r="AO63" s="9"/>
      <c r="AP63" s="9"/>
      <c r="AQ63" s="9"/>
      <c r="AR63" s="9"/>
      <c r="AS63" s="9"/>
      <c r="AT63" s="9"/>
      <c r="AU63" s="9"/>
      <c r="AV63" s="9"/>
      <c r="AW63" s="9"/>
      <c r="AX63" s="9"/>
      <c r="AY63" s="9"/>
      <c r="AZ63" s="9"/>
      <c r="BA63" s="9"/>
      <c r="BB63" s="9"/>
      <c r="BC63" s="9"/>
      <c r="BD63" s="9"/>
      <c r="BE63" s="9"/>
      <c r="BF63" s="9"/>
      <c r="BG63" s="9"/>
      <c r="BH63" s="9"/>
      <c r="BI63" s="9"/>
      <c r="BJ63" s="9"/>
      <c r="BK63" s="9"/>
      <c r="BL63" s="9"/>
      <c r="BM63" s="9"/>
      <c r="BN63" s="9"/>
      <c r="BO63" s="9"/>
      <c r="BP63" s="9"/>
    </row>
    <row r="64" spans="1:68" s="148" customFormat="1" hidden="1">
      <c r="A64" s="147"/>
      <c r="C64" s="149" t="s">
        <v>101</v>
      </c>
      <c r="D64" s="150">
        <f>SUM(D61/D54)</f>
        <v>0.66700000000000004</v>
      </c>
      <c r="E64" s="150"/>
      <c r="F64" s="150">
        <f>SUM(F61/F54)</f>
        <v>0.5</v>
      </c>
      <c r="G64" s="150">
        <f>SUM(G61/G54)</f>
        <v>0.5</v>
      </c>
      <c r="H64" s="150">
        <f>SUM(H61/H54)</f>
        <v>0.55600000000000005</v>
      </c>
      <c r="I64" s="151"/>
      <c r="J64" s="152"/>
      <c r="K64" s="137"/>
      <c r="L64" s="135"/>
      <c r="M64" s="133"/>
      <c r="N64" s="133"/>
      <c r="O64" s="136"/>
      <c r="P64" s="153"/>
      <c r="Q64" s="154"/>
      <c r="R64" s="142"/>
      <c r="S64" s="7"/>
      <c r="T64" s="7"/>
      <c r="U64" s="6"/>
      <c r="V64" s="7"/>
      <c r="W64" s="7"/>
      <c r="X64" s="7"/>
      <c r="Y64" s="7"/>
      <c r="Z64" s="18"/>
      <c r="AD64" s="9"/>
      <c r="AE64" s="9"/>
      <c r="AF64" s="9"/>
      <c r="AG64" s="9"/>
      <c r="AH64" s="9"/>
      <c r="AI64" s="9"/>
      <c r="AJ64" s="9"/>
      <c r="AK64" s="9"/>
      <c r="AL64" s="9"/>
      <c r="AM64" s="9"/>
      <c r="AN64" s="9"/>
      <c r="AO64" s="9"/>
      <c r="AP64" s="9"/>
      <c r="AQ64" s="9"/>
      <c r="AR64" s="9"/>
      <c r="AS64" s="9"/>
      <c r="AT64" s="9"/>
      <c r="AU64" s="9"/>
      <c r="AV64" s="9"/>
      <c r="AW64" s="9"/>
      <c r="AX64" s="9"/>
      <c r="AY64" s="9"/>
      <c r="AZ64" s="9"/>
      <c r="BA64" s="9"/>
      <c r="BB64" s="9"/>
      <c r="BC64" s="9"/>
      <c r="BD64" s="9"/>
      <c r="BE64" s="9"/>
      <c r="BF64" s="9"/>
      <c r="BG64" s="9"/>
      <c r="BH64" s="9"/>
      <c r="BI64" s="9"/>
      <c r="BJ64" s="9"/>
      <c r="BK64" s="9"/>
      <c r="BL64" s="9"/>
      <c r="BM64" s="9"/>
      <c r="BN64" s="9"/>
      <c r="BO64" s="9"/>
      <c r="BP64" s="9"/>
    </row>
    <row r="65" spans="1:68" hidden="1">
      <c r="K65" s="137"/>
      <c r="L65" s="135"/>
      <c r="M65" s="133"/>
      <c r="N65" s="133"/>
      <c r="O65" s="136"/>
      <c r="AD65" s="9"/>
      <c r="AE65" s="9"/>
      <c r="AF65" s="9"/>
      <c r="AG65" s="9"/>
      <c r="AH65" s="9"/>
      <c r="AI65" s="9"/>
      <c r="AJ65" s="9"/>
      <c r="AK65" s="9"/>
      <c r="AL65" s="9"/>
      <c r="AM65" s="9"/>
      <c r="AN65" s="9"/>
      <c r="AO65" s="9"/>
      <c r="AP65" s="9"/>
      <c r="AQ65" s="9"/>
      <c r="AR65" s="9"/>
      <c r="AS65" s="9"/>
      <c r="AT65" s="9"/>
      <c r="AU65" s="9"/>
      <c r="AV65" s="9"/>
      <c r="AW65" s="9"/>
      <c r="AX65" s="9"/>
      <c r="AY65" s="9"/>
      <c r="AZ65" s="9"/>
      <c r="BA65" s="9"/>
      <c r="BB65" s="9"/>
      <c r="BC65" s="9"/>
      <c r="BD65" s="9"/>
      <c r="BE65" s="9"/>
      <c r="BF65" s="9"/>
      <c r="BG65" s="9"/>
      <c r="BH65" s="9"/>
      <c r="BI65" s="9"/>
      <c r="BJ65" s="9"/>
      <c r="BK65" s="9"/>
      <c r="BL65" s="9"/>
      <c r="BM65" s="9"/>
      <c r="BN65" s="9"/>
      <c r="BO65" s="9"/>
      <c r="BP65" s="9"/>
    </row>
    <row r="66" spans="1:68" hidden="1">
      <c r="E66" s="138" t="s">
        <v>16</v>
      </c>
      <c r="K66" s="137"/>
      <c r="L66" s="135"/>
      <c r="M66" s="133"/>
      <c r="N66" s="133"/>
      <c r="O66" s="136"/>
      <c r="AD66" s="9"/>
      <c r="AE66" s="9"/>
      <c r="AF66" s="9"/>
      <c r="AG66" s="9"/>
      <c r="AH66" s="9"/>
      <c r="AI66" s="9"/>
      <c r="AJ66" s="9"/>
      <c r="AK66" s="9"/>
      <c r="AL66" s="9"/>
      <c r="AM66" s="9"/>
      <c r="AN66" s="9"/>
      <c r="AO66" s="9"/>
      <c r="AP66" s="9"/>
      <c r="AQ66" s="9"/>
      <c r="AR66" s="9"/>
      <c r="AS66" s="9"/>
      <c r="AT66" s="9"/>
      <c r="AU66" s="9"/>
      <c r="AV66" s="9"/>
      <c r="AW66" s="9"/>
      <c r="AX66" s="9"/>
      <c r="AY66" s="9"/>
      <c r="AZ66" s="9"/>
      <c r="BA66" s="9"/>
      <c r="BB66" s="9"/>
      <c r="BC66" s="9"/>
      <c r="BD66" s="9"/>
      <c r="BE66" s="9"/>
      <c r="BF66" s="9"/>
      <c r="BG66" s="9"/>
      <c r="BH66" s="9"/>
      <c r="BI66" s="9"/>
      <c r="BJ66" s="9"/>
      <c r="BK66" s="9"/>
      <c r="BL66" s="9"/>
      <c r="BM66" s="9"/>
      <c r="BN66" s="9"/>
      <c r="BO66" s="9"/>
      <c r="BP66" s="9"/>
    </row>
    <row r="67" spans="1:68" hidden="1">
      <c r="C67" s="138" t="s">
        <v>17</v>
      </c>
      <c r="E67" s="138" t="s">
        <v>22</v>
      </c>
      <c r="K67" s="137"/>
      <c r="L67" s="135"/>
      <c r="M67" s="133"/>
      <c r="N67" s="133"/>
      <c r="O67" s="136"/>
      <c r="AD67" s="9"/>
      <c r="AE67" s="9"/>
      <c r="AF67" s="9"/>
      <c r="AG67" s="9"/>
      <c r="AH67" s="9"/>
      <c r="AI67" s="9"/>
      <c r="AJ67" s="9"/>
      <c r="AK67" s="9"/>
      <c r="AL67" s="9"/>
      <c r="AM67" s="9"/>
      <c r="AN67" s="9"/>
      <c r="AO67" s="9"/>
      <c r="AP67" s="9"/>
      <c r="AQ67" s="9"/>
      <c r="AR67" s="9"/>
      <c r="AS67" s="9"/>
      <c r="AT67" s="9"/>
      <c r="AU67" s="9"/>
      <c r="AV67" s="9"/>
      <c r="AW67" s="9"/>
      <c r="AX67" s="9"/>
      <c r="AY67" s="9"/>
      <c r="AZ67" s="9"/>
      <c r="BA67" s="9"/>
      <c r="BB67" s="9"/>
      <c r="BC67" s="9"/>
      <c r="BD67" s="9"/>
      <c r="BE67" s="9"/>
      <c r="BF67" s="9"/>
      <c r="BG67" s="9"/>
      <c r="BH67" s="9"/>
      <c r="BI67" s="9"/>
      <c r="BJ67" s="9"/>
      <c r="BK67" s="9"/>
      <c r="BL67" s="9"/>
      <c r="BM67" s="9"/>
      <c r="BN67" s="9"/>
      <c r="BO67" s="9"/>
      <c r="BP67" s="9"/>
    </row>
    <row r="68" spans="1:68" hidden="1">
      <c r="C68" s="138" t="s">
        <v>25</v>
      </c>
      <c r="E68" s="138" t="s">
        <v>23</v>
      </c>
      <c r="K68" s="137"/>
      <c r="L68" s="135"/>
      <c r="M68" s="133"/>
      <c r="N68" s="133"/>
      <c r="O68" s="136"/>
      <c r="AD68" s="9"/>
      <c r="AE68" s="9"/>
      <c r="AF68" s="9"/>
      <c r="AG68" s="9"/>
      <c r="AH68" s="9"/>
      <c r="AI68" s="9"/>
      <c r="AJ68" s="9"/>
      <c r="AK68" s="9"/>
      <c r="AL68" s="9"/>
      <c r="AM68" s="9"/>
      <c r="AN68" s="9"/>
      <c r="AO68" s="9"/>
      <c r="AP68" s="9"/>
      <c r="AQ68" s="9"/>
      <c r="AR68" s="9"/>
      <c r="AS68" s="9"/>
      <c r="AT68" s="9"/>
      <c r="AU68" s="9"/>
      <c r="AV68" s="9"/>
      <c r="AW68" s="9"/>
      <c r="AX68" s="9"/>
      <c r="AY68" s="9"/>
      <c r="AZ68" s="9"/>
      <c r="BA68" s="9"/>
      <c r="BB68" s="9"/>
      <c r="BC68" s="9"/>
      <c r="BD68" s="9"/>
      <c r="BE68" s="9"/>
      <c r="BF68" s="9"/>
      <c r="BG68" s="9"/>
      <c r="BH68" s="9"/>
      <c r="BI68" s="9"/>
      <c r="BJ68" s="9"/>
      <c r="BK68" s="9"/>
      <c r="BL68" s="9"/>
      <c r="BM68" s="9"/>
      <c r="BN68" s="9"/>
      <c r="BO68" s="9"/>
      <c r="BP68" s="9"/>
    </row>
    <row r="69" spans="1:68" hidden="1">
      <c r="C69" s="155"/>
      <c r="D69" s="155"/>
      <c r="E69" s="156" t="s">
        <v>24</v>
      </c>
      <c r="F69" s="157"/>
      <c r="G69" s="157"/>
      <c r="K69" s="137"/>
      <c r="L69" s="158"/>
      <c r="M69" s="133"/>
      <c r="N69" s="133"/>
      <c r="O69" s="136"/>
      <c r="AD69" s="9"/>
      <c r="AE69" s="9"/>
      <c r="AF69" s="9"/>
      <c r="AG69" s="9"/>
      <c r="AH69" s="9"/>
      <c r="AI69" s="9"/>
      <c r="AJ69" s="9"/>
      <c r="AK69" s="9"/>
      <c r="AL69" s="9"/>
      <c r="AM69" s="9"/>
      <c r="AN69" s="9"/>
      <c r="AO69" s="9"/>
      <c r="AP69" s="9"/>
      <c r="AQ69" s="9"/>
      <c r="AR69" s="9"/>
      <c r="AS69" s="9"/>
      <c r="AT69" s="9"/>
      <c r="AU69" s="9"/>
      <c r="AV69" s="9"/>
      <c r="AW69" s="9"/>
      <c r="AX69" s="9"/>
      <c r="AY69" s="9"/>
      <c r="AZ69" s="9"/>
      <c r="BA69" s="9"/>
      <c r="BB69" s="9"/>
      <c r="BC69" s="9"/>
      <c r="BD69" s="9"/>
      <c r="BE69" s="9"/>
      <c r="BF69" s="9"/>
      <c r="BG69" s="9"/>
      <c r="BH69" s="9"/>
      <c r="BI69" s="9"/>
      <c r="BJ69" s="9"/>
      <c r="BK69" s="9"/>
      <c r="BL69" s="9"/>
      <c r="BM69" s="9"/>
      <c r="BN69" s="9"/>
      <c r="BO69" s="9"/>
      <c r="BP69" s="9"/>
    </row>
    <row r="70" spans="1:68" hidden="1">
      <c r="A70" s="155"/>
      <c r="B70" s="143"/>
      <c r="C70" s="155"/>
      <c r="D70" s="155"/>
      <c r="E70" s="156" t="s">
        <v>65</v>
      </c>
      <c r="F70" s="157"/>
      <c r="G70" s="826"/>
      <c r="K70" s="137"/>
      <c r="L70" s="135"/>
      <c r="M70" s="133"/>
      <c r="N70" s="133"/>
      <c r="O70" s="136"/>
      <c r="AD70" s="9"/>
      <c r="AE70" s="9"/>
      <c r="AF70" s="9"/>
      <c r="AG70" s="9"/>
      <c r="AH70" s="9"/>
      <c r="AI70" s="9"/>
      <c r="AJ70" s="9"/>
      <c r="AK70" s="9"/>
      <c r="AL70" s="9"/>
      <c r="AM70" s="9"/>
      <c r="AN70" s="9"/>
      <c r="AO70" s="9"/>
      <c r="AP70" s="9"/>
      <c r="AQ70" s="9"/>
      <c r="AR70" s="9"/>
      <c r="AS70" s="9"/>
      <c r="AT70" s="9"/>
      <c r="AU70" s="9"/>
      <c r="AV70" s="9"/>
      <c r="AW70" s="9"/>
      <c r="AX70" s="9"/>
      <c r="AY70" s="9"/>
      <c r="AZ70" s="9"/>
      <c r="BA70" s="9"/>
      <c r="BB70" s="9"/>
      <c r="BC70" s="9"/>
      <c r="BD70" s="9"/>
      <c r="BE70" s="9"/>
      <c r="BF70" s="9"/>
      <c r="BG70" s="9"/>
      <c r="BH70" s="9"/>
      <c r="BI70" s="9"/>
      <c r="BJ70" s="9"/>
      <c r="BK70" s="9"/>
      <c r="BL70" s="9"/>
      <c r="BM70" s="9"/>
      <c r="BN70" s="9"/>
      <c r="BO70" s="9"/>
      <c r="BP70" s="9"/>
    </row>
    <row r="71" spans="1:68" hidden="1">
      <c r="A71" s="155"/>
      <c r="B71" s="143"/>
      <c r="C71" s="157"/>
      <c r="D71" s="157"/>
      <c r="E71" s="159" t="s">
        <v>77</v>
      </c>
      <c r="F71" s="157"/>
      <c r="G71" s="826"/>
      <c r="K71" s="134"/>
      <c r="L71" s="135"/>
      <c r="M71" s="133"/>
      <c r="N71" s="133"/>
      <c r="O71" s="136"/>
      <c r="AD71" s="9"/>
      <c r="AE71" s="9"/>
      <c r="AF71" s="9"/>
      <c r="AG71" s="9"/>
      <c r="AH71" s="9"/>
      <c r="AI71" s="9"/>
      <c r="AJ71" s="9"/>
      <c r="AK71" s="9"/>
      <c r="AL71" s="9"/>
      <c r="AM71" s="9"/>
      <c r="AN71" s="9"/>
      <c r="AO71" s="9"/>
      <c r="AP71" s="9"/>
      <c r="AQ71" s="9"/>
      <c r="AR71" s="9"/>
      <c r="AS71" s="9"/>
      <c r="AT71" s="9"/>
      <c r="AU71" s="9"/>
      <c r="AV71" s="9"/>
      <c r="AW71" s="9"/>
      <c r="AX71" s="9"/>
      <c r="AY71" s="9"/>
      <c r="AZ71" s="9"/>
      <c r="BA71" s="9"/>
      <c r="BB71" s="9"/>
      <c r="BC71" s="9"/>
      <c r="BD71" s="9"/>
      <c r="BE71" s="9"/>
      <c r="BF71" s="9"/>
      <c r="BG71" s="9"/>
      <c r="BH71" s="9"/>
      <c r="BI71" s="9"/>
      <c r="BJ71" s="9"/>
      <c r="BK71" s="9"/>
      <c r="BL71" s="9"/>
      <c r="BM71" s="9"/>
      <c r="BN71" s="9"/>
      <c r="BO71" s="9"/>
      <c r="BP71" s="9"/>
    </row>
    <row r="72" spans="1:68" hidden="1">
      <c r="A72" s="824"/>
      <c r="B72" s="824"/>
      <c r="C72" s="160"/>
      <c r="D72" s="161"/>
      <c r="E72" s="162" t="s">
        <v>66</v>
      </c>
      <c r="F72" s="163"/>
      <c r="G72" s="164"/>
      <c r="K72" s="137"/>
      <c r="L72" s="135"/>
      <c r="M72" s="133"/>
      <c r="N72" s="133"/>
      <c r="O72" s="136"/>
      <c r="AD72" s="9"/>
      <c r="AE72" s="9"/>
      <c r="AF72" s="9"/>
      <c r="AG72" s="9"/>
      <c r="AH72" s="9"/>
      <c r="AI72" s="9"/>
      <c r="AJ72" s="9"/>
      <c r="AK72" s="9"/>
      <c r="AL72" s="9"/>
      <c r="AM72" s="9"/>
      <c r="AN72" s="9"/>
      <c r="AO72" s="9"/>
      <c r="AP72" s="9"/>
      <c r="AQ72" s="9"/>
      <c r="AR72" s="9"/>
      <c r="AS72" s="9"/>
      <c r="AT72" s="9"/>
      <c r="AU72" s="9"/>
      <c r="AV72" s="9"/>
      <c r="AW72" s="9"/>
      <c r="AX72" s="9"/>
      <c r="AY72" s="9"/>
      <c r="AZ72" s="9"/>
      <c r="BA72" s="9"/>
      <c r="BB72" s="9"/>
      <c r="BC72" s="9"/>
      <c r="BD72" s="9"/>
      <c r="BE72" s="9"/>
      <c r="BF72" s="9"/>
      <c r="BG72" s="9"/>
      <c r="BH72" s="9"/>
      <c r="BI72" s="9"/>
      <c r="BJ72" s="9"/>
      <c r="BK72" s="9"/>
      <c r="BL72" s="9"/>
      <c r="BM72" s="9"/>
      <c r="BN72" s="9"/>
      <c r="BO72" s="9"/>
      <c r="BP72" s="9"/>
    </row>
    <row r="73" spans="1:68">
      <c r="A73" s="165"/>
      <c r="B73" s="143"/>
      <c r="C73" s="166"/>
      <c r="D73" s="161"/>
      <c r="E73" s="163"/>
      <c r="F73" s="163"/>
      <c r="G73" s="164"/>
      <c r="K73" s="137"/>
      <c r="L73" s="135"/>
      <c r="M73" s="126"/>
      <c r="N73" s="133"/>
      <c r="O73" s="136"/>
      <c r="AD73" s="9"/>
      <c r="AE73" s="9"/>
      <c r="AF73" s="9"/>
      <c r="AG73" s="9"/>
      <c r="AH73" s="9"/>
      <c r="AI73" s="9"/>
      <c r="AJ73" s="9"/>
      <c r="AK73" s="9"/>
      <c r="AL73" s="9"/>
      <c r="AM73" s="9"/>
      <c r="AN73" s="9"/>
      <c r="AO73" s="9"/>
      <c r="AP73" s="9"/>
      <c r="AQ73" s="9"/>
      <c r="AR73" s="9"/>
      <c r="AS73" s="9"/>
      <c r="AT73" s="9"/>
      <c r="AU73" s="9"/>
      <c r="AV73" s="9"/>
      <c r="AW73" s="9"/>
      <c r="AX73" s="9"/>
      <c r="AY73" s="9"/>
      <c r="AZ73" s="9"/>
      <c r="BA73" s="9"/>
      <c r="BB73" s="9"/>
      <c r="BC73" s="9"/>
      <c r="BD73" s="9"/>
      <c r="BE73" s="9"/>
      <c r="BF73" s="9"/>
      <c r="BG73" s="9"/>
      <c r="BH73" s="9"/>
      <c r="BI73" s="9"/>
      <c r="BJ73" s="9"/>
      <c r="BK73" s="9"/>
      <c r="BL73" s="9"/>
      <c r="BM73" s="9"/>
      <c r="BN73" s="9"/>
      <c r="BO73" s="9"/>
      <c r="BP73" s="9"/>
    </row>
    <row r="74" spans="1:68">
      <c r="A74" s="165"/>
      <c r="B74" s="143"/>
      <c r="C74" s="166"/>
      <c r="D74" s="161"/>
      <c r="E74" s="157"/>
      <c r="F74" s="163"/>
      <c r="G74" s="164"/>
      <c r="K74" s="137"/>
      <c r="L74" s="158"/>
      <c r="M74" s="133"/>
      <c r="N74" s="133"/>
      <c r="O74" s="136"/>
      <c r="AD74" s="9"/>
      <c r="AE74" s="9"/>
      <c r="AF74" s="9"/>
      <c r="AG74" s="9"/>
      <c r="AH74" s="9"/>
      <c r="AI74" s="9"/>
      <c r="AJ74" s="9"/>
      <c r="AK74" s="9"/>
      <c r="AL74" s="9"/>
      <c r="AM74" s="9"/>
      <c r="AN74" s="9"/>
      <c r="AO74" s="9"/>
      <c r="AP74" s="9"/>
      <c r="AQ74" s="9"/>
      <c r="AR74" s="9"/>
      <c r="AS74" s="9"/>
      <c r="AT74" s="9"/>
      <c r="AU74" s="9"/>
      <c r="AV74" s="9"/>
      <c r="AW74" s="9"/>
      <c r="AX74" s="9"/>
      <c r="AY74" s="9"/>
      <c r="AZ74" s="9"/>
      <c r="BA74" s="9"/>
      <c r="BB74" s="9"/>
      <c r="BC74" s="9"/>
      <c r="BD74" s="9"/>
      <c r="BE74" s="9"/>
      <c r="BF74" s="9"/>
      <c r="BG74" s="9"/>
      <c r="BH74" s="9"/>
      <c r="BI74" s="9"/>
      <c r="BJ74" s="9"/>
      <c r="BK74" s="9"/>
      <c r="BL74" s="9"/>
      <c r="BM74" s="9"/>
      <c r="BN74" s="9"/>
      <c r="BO74" s="9"/>
      <c r="BP74" s="9"/>
    </row>
    <row r="75" spans="1:68">
      <c r="A75" s="165"/>
      <c r="B75" s="143"/>
      <c r="C75" s="155"/>
      <c r="D75" s="161"/>
      <c r="E75" s="163"/>
      <c r="F75" s="163"/>
      <c r="G75" s="164"/>
      <c r="K75" s="137"/>
      <c r="L75" s="135"/>
      <c r="M75" s="126"/>
      <c r="N75" s="133"/>
      <c r="O75" s="136"/>
      <c r="AD75" s="9"/>
      <c r="AE75" s="9"/>
      <c r="AF75" s="9"/>
      <c r="AG75" s="9"/>
      <c r="AH75" s="9"/>
      <c r="AI75" s="9"/>
      <c r="AJ75" s="9"/>
      <c r="AK75" s="9"/>
      <c r="AL75" s="9"/>
      <c r="AM75" s="9"/>
      <c r="AN75" s="9"/>
      <c r="AO75" s="9"/>
      <c r="AP75" s="9"/>
      <c r="AQ75" s="9"/>
      <c r="AR75" s="9"/>
      <c r="AS75" s="9"/>
      <c r="AT75" s="9"/>
      <c r="AU75" s="9"/>
      <c r="AV75" s="9"/>
      <c r="AW75" s="9"/>
      <c r="AX75" s="9"/>
      <c r="AY75" s="9"/>
      <c r="AZ75" s="9"/>
      <c r="BA75" s="9"/>
      <c r="BB75" s="9"/>
      <c r="BC75" s="9"/>
      <c r="BD75" s="9"/>
      <c r="BE75" s="9"/>
      <c r="BF75" s="9"/>
      <c r="BG75" s="9"/>
      <c r="BH75" s="9"/>
      <c r="BI75" s="9"/>
      <c r="BJ75" s="9"/>
      <c r="BK75" s="9"/>
      <c r="BL75" s="9"/>
      <c r="BM75" s="9"/>
      <c r="BN75" s="9"/>
      <c r="BO75" s="9"/>
      <c r="BP75" s="9"/>
    </row>
    <row r="76" spans="1:68">
      <c r="A76" s="165"/>
      <c r="B76" s="143"/>
      <c r="C76" s="166"/>
      <c r="D76" s="161"/>
      <c r="E76" s="157"/>
      <c r="F76" s="163"/>
      <c r="G76" s="164"/>
      <c r="AD76" s="9"/>
      <c r="AE76" s="9"/>
      <c r="AF76" s="9"/>
      <c r="AG76" s="9"/>
      <c r="AH76" s="9"/>
      <c r="AI76" s="9"/>
      <c r="AJ76" s="9"/>
      <c r="AK76" s="9"/>
      <c r="AL76" s="9"/>
      <c r="AM76" s="9"/>
      <c r="AN76" s="9"/>
      <c r="AO76" s="9"/>
      <c r="AP76" s="9"/>
      <c r="AQ76" s="9"/>
      <c r="AR76" s="9"/>
      <c r="AS76" s="9"/>
      <c r="AT76" s="9"/>
      <c r="AU76" s="9"/>
      <c r="AV76" s="9"/>
      <c r="AW76" s="9"/>
      <c r="AX76" s="9"/>
      <c r="AY76" s="9"/>
      <c r="AZ76" s="9"/>
      <c r="BA76" s="9"/>
      <c r="BB76" s="9"/>
      <c r="BC76" s="9"/>
      <c r="BD76" s="9"/>
      <c r="BE76" s="9"/>
      <c r="BF76" s="9"/>
      <c r="BG76" s="9"/>
      <c r="BH76" s="9"/>
      <c r="BI76" s="9"/>
      <c r="BJ76" s="9"/>
      <c r="BK76" s="9"/>
      <c r="BL76" s="9"/>
      <c r="BM76" s="9"/>
      <c r="BN76" s="9"/>
      <c r="BO76" s="9"/>
      <c r="BP76" s="9"/>
    </row>
    <row r="77" spans="1:68">
      <c r="A77" s="165"/>
      <c r="B77" s="143"/>
      <c r="C77" s="166"/>
      <c r="D77" s="161"/>
      <c r="E77" s="163"/>
      <c r="F77" s="163"/>
      <c r="G77" s="164"/>
      <c r="AD77" s="9"/>
      <c r="AE77" s="9"/>
      <c r="AF77" s="9"/>
      <c r="AG77" s="9"/>
      <c r="AH77" s="9"/>
      <c r="AI77" s="9"/>
      <c r="AJ77" s="9"/>
      <c r="AK77" s="9"/>
      <c r="AL77" s="9"/>
      <c r="AM77" s="9"/>
      <c r="AN77" s="9"/>
      <c r="AO77" s="9"/>
      <c r="AP77" s="9"/>
      <c r="AQ77" s="9"/>
      <c r="AR77" s="9"/>
      <c r="AS77" s="9"/>
      <c r="AT77" s="9"/>
      <c r="AU77" s="9"/>
      <c r="AV77" s="9"/>
      <c r="AW77" s="9"/>
      <c r="AX77" s="9"/>
      <c r="AY77" s="9"/>
      <c r="AZ77" s="9"/>
      <c r="BA77" s="9"/>
      <c r="BB77" s="9"/>
      <c r="BC77" s="9"/>
      <c r="BD77" s="9"/>
      <c r="BE77" s="9"/>
      <c r="BF77" s="9"/>
      <c r="BG77" s="9"/>
      <c r="BH77" s="9"/>
      <c r="BI77" s="9"/>
      <c r="BJ77" s="9"/>
      <c r="BK77" s="9"/>
      <c r="BL77" s="9"/>
      <c r="BM77" s="9"/>
      <c r="BN77" s="9"/>
      <c r="BO77" s="9"/>
      <c r="BP77" s="9"/>
    </row>
    <row r="78" spans="1:68">
      <c r="A78" s="165"/>
      <c r="B78" s="143"/>
      <c r="C78" s="166"/>
      <c r="D78" s="161"/>
      <c r="E78" s="163"/>
      <c r="F78" s="163"/>
      <c r="G78" s="164"/>
      <c r="AD78" s="9"/>
      <c r="AE78" s="9"/>
      <c r="AF78" s="9"/>
      <c r="AG78" s="9"/>
      <c r="AH78" s="9"/>
      <c r="AI78" s="9"/>
      <c r="AJ78" s="9"/>
      <c r="AK78" s="9"/>
      <c r="AL78" s="9"/>
      <c r="AM78" s="9"/>
      <c r="AN78" s="9"/>
      <c r="AO78" s="9"/>
      <c r="AP78" s="9"/>
      <c r="AQ78" s="9"/>
      <c r="AR78" s="9"/>
      <c r="AS78" s="9"/>
      <c r="AT78" s="9"/>
      <c r="AU78" s="9"/>
      <c r="AV78" s="9"/>
      <c r="AW78" s="9"/>
      <c r="AX78" s="9"/>
      <c r="AY78" s="9"/>
      <c r="AZ78" s="9"/>
      <c r="BA78" s="9"/>
      <c r="BB78" s="9"/>
      <c r="BC78" s="9"/>
      <c r="BD78" s="9"/>
      <c r="BE78" s="9"/>
      <c r="BF78" s="9"/>
      <c r="BG78" s="9"/>
      <c r="BH78" s="9"/>
      <c r="BI78" s="9"/>
      <c r="BJ78" s="9"/>
      <c r="BK78" s="9"/>
      <c r="BL78" s="9"/>
      <c r="BM78" s="9"/>
      <c r="BN78" s="9"/>
      <c r="BO78" s="9"/>
      <c r="BP78" s="9"/>
    </row>
    <row r="79" spans="1:68">
      <c r="A79" s="165"/>
      <c r="B79" s="143"/>
      <c r="C79" s="166"/>
      <c r="D79" s="161"/>
      <c r="E79" s="163"/>
      <c r="F79" s="163"/>
      <c r="G79" s="164"/>
      <c r="AD79" s="9"/>
      <c r="AE79" s="9"/>
      <c r="AF79" s="9"/>
      <c r="AG79" s="9"/>
      <c r="AH79" s="9"/>
      <c r="AI79" s="9"/>
      <c r="AJ79" s="9"/>
      <c r="AK79" s="9"/>
      <c r="AL79" s="9"/>
      <c r="AM79" s="9"/>
      <c r="AN79" s="9"/>
      <c r="AO79" s="9"/>
      <c r="AP79" s="9"/>
      <c r="AQ79" s="9"/>
      <c r="AR79" s="9"/>
      <c r="AS79" s="9"/>
      <c r="AT79" s="9"/>
      <c r="AU79" s="9"/>
      <c r="AV79" s="9"/>
      <c r="AW79" s="9"/>
      <c r="AX79" s="9"/>
      <c r="AY79" s="9"/>
      <c r="AZ79" s="9"/>
      <c r="BA79" s="9"/>
      <c r="BB79" s="9"/>
      <c r="BC79" s="9"/>
      <c r="BD79" s="9"/>
      <c r="BE79" s="9"/>
      <c r="BF79" s="9"/>
      <c r="BG79" s="9"/>
      <c r="BH79" s="9"/>
      <c r="BI79" s="9"/>
      <c r="BJ79" s="9"/>
      <c r="BK79" s="9"/>
      <c r="BL79" s="9"/>
      <c r="BM79" s="9"/>
      <c r="BN79" s="9"/>
      <c r="BO79" s="9"/>
      <c r="BP79" s="9"/>
    </row>
    <row r="80" spans="1:68">
      <c r="A80" s="165"/>
      <c r="B80" s="143"/>
      <c r="C80" s="166"/>
      <c r="D80" s="161"/>
      <c r="E80" s="163"/>
      <c r="F80" s="163"/>
      <c r="G80" s="164"/>
      <c r="AD80" s="9"/>
      <c r="AE80" s="9"/>
      <c r="AF80" s="9"/>
      <c r="AG80" s="9"/>
      <c r="AH80" s="9"/>
      <c r="AI80" s="9"/>
      <c r="AJ80" s="9"/>
      <c r="AK80" s="9"/>
      <c r="AL80" s="9"/>
      <c r="AM80" s="9"/>
      <c r="AN80" s="9"/>
      <c r="AO80" s="9"/>
      <c r="AP80" s="9"/>
      <c r="AQ80" s="9"/>
      <c r="AR80" s="9"/>
      <c r="AS80" s="9"/>
      <c r="AT80" s="9"/>
      <c r="AU80" s="9"/>
      <c r="AV80" s="9"/>
      <c r="AW80" s="9"/>
      <c r="AX80" s="9"/>
      <c r="AY80" s="9"/>
      <c r="AZ80" s="9"/>
      <c r="BA80" s="9"/>
      <c r="BB80" s="9"/>
      <c r="BC80" s="9"/>
      <c r="BD80" s="9"/>
      <c r="BE80" s="9"/>
      <c r="BF80" s="9"/>
      <c r="BG80" s="9"/>
      <c r="BH80" s="9"/>
      <c r="BI80" s="9"/>
      <c r="BJ80" s="9"/>
      <c r="BK80" s="9"/>
      <c r="BL80" s="9"/>
      <c r="BM80" s="9"/>
      <c r="BN80" s="9"/>
      <c r="BO80" s="9"/>
      <c r="BP80" s="9"/>
    </row>
    <row r="81" spans="1:68">
      <c r="A81" s="165"/>
      <c r="B81" s="143"/>
      <c r="C81" s="166"/>
      <c r="D81" s="161"/>
      <c r="E81" s="163"/>
      <c r="F81" s="163"/>
      <c r="G81" s="164"/>
      <c r="AD81" s="9"/>
      <c r="AE81" s="9"/>
      <c r="AF81" s="9"/>
      <c r="AG81" s="9"/>
      <c r="AH81" s="9"/>
      <c r="AI81" s="9"/>
      <c r="AJ81" s="9"/>
      <c r="AK81" s="9"/>
      <c r="AL81" s="9"/>
      <c r="AM81" s="9"/>
      <c r="AN81" s="9"/>
      <c r="AO81" s="9"/>
      <c r="AP81" s="9"/>
      <c r="AQ81" s="9"/>
      <c r="AR81" s="9"/>
      <c r="AS81" s="9"/>
      <c r="AT81" s="9"/>
      <c r="AU81" s="9"/>
      <c r="AV81" s="9"/>
      <c r="AW81" s="9"/>
      <c r="AX81" s="9"/>
      <c r="AY81" s="9"/>
      <c r="AZ81" s="9"/>
      <c r="BA81" s="9"/>
      <c r="BB81" s="9"/>
      <c r="BC81" s="9"/>
      <c r="BD81" s="9"/>
      <c r="BE81" s="9"/>
      <c r="BF81" s="9"/>
      <c r="BG81" s="9"/>
      <c r="BH81" s="9"/>
      <c r="BI81" s="9"/>
      <c r="BJ81" s="9"/>
      <c r="BK81" s="9"/>
      <c r="BL81" s="9"/>
      <c r="BM81" s="9"/>
      <c r="BN81" s="9"/>
      <c r="BO81" s="9"/>
      <c r="BP81" s="9"/>
    </row>
    <row r="82" spans="1:68">
      <c r="A82" s="165"/>
      <c r="B82" s="143"/>
      <c r="C82" s="166"/>
      <c r="D82" s="161"/>
      <c r="E82" s="163"/>
      <c r="F82" s="163"/>
      <c r="G82" s="164"/>
      <c r="AD82" s="9"/>
      <c r="AE82" s="9"/>
      <c r="AF82" s="9"/>
      <c r="AG82" s="9"/>
      <c r="AH82" s="9"/>
      <c r="AI82" s="9"/>
      <c r="AJ82" s="9"/>
      <c r="AK82" s="9"/>
      <c r="AL82" s="9"/>
      <c r="AM82" s="9"/>
      <c r="AN82" s="9"/>
      <c r="AO82" s="9"/>
      <c r="AP82" s="9"/>
      <c r="AQ82" s="9"/>
      <c r="AR82" s="9"/>
      <c r="AS82" s="9"/>
      <c r="AT82" s="9"/>
      <c r="AU82" s="9"/>
      <c r="AV82" s="9"/>
      <c r="AW82" s="9"/>
      <c r="AX82" s="9"/>
      <c r="AY82" s="9"/>
      <c r="AZ82" s="9"/>
      <c r="BA82" s="9"/>
      <c r="BB82" s="9"/>
      <c r="BC82" s="9"/>
      <c r="BD82" s="9"/>
      <c r="BE82" s="9"/>
      <c r="BF82" s="9"/>
      <c r="BG82" s="9"/>
      <c r="BH82" s="9"/>
      <c r="BI82" s="9"/>
      <c r="BJ82" s="9"/>
      <c r="BK82" s="9"/>
      <c r="BL82" s="9"/>
      <c r="BM82" s="9"/>
      <c r="BN82" s="9"/>
      <c r="BO82" s="9"/>
      <c r="BP82" s="9"/>
    </row>
    <row r="83" spans="1:68">
      <c r="A83" s="165"/>
      <c r="B83" s="143"/>
      <c r="C83" s="166"/>
      <c r="D83" s="161"/>
      <c r="E83" s="163"/>
      <c r="F83" s="163"/>
      <c r="G83" s="164"/>
      <c r="AD83" s="9"/>
      <c r="AE83" s="9"/>
      <c r="AF83" s="9"/>
      <c r="AG83" s="9"/>
      <c r="AH83" s="9"/>
      <c r="AI83" s="9"/>
      <c r="AJ83" s="9"/>
      <c r="AK83" s="9"/>
      <c r="AL83" s="9"/>
      <c r="AM83" s="9"/>
      <c r="AN83" s="9"/>
      <c r="AO83" s="9"/>
      <c r="AP83" s="9"/>
      <c r="AQ83" s="9"/>
      <c r="AR83" s="9"/>
      <c r="AS83" s="9"/>
      <c r="AT83" s="9"/>
      <c r="AU83" s="9"/>
      <c r="AV83" s="9"/>
      <c r="AW83" s="9"/>
      <c r="AX83" s="9"/>
      <c r="AY83" s="9"/>
      <c r="AZ83" s="9"/>
      <c r="BA83" s="9"/>
      <c r="BB83" s="9"/>
      <c r="BC83" s="9"/>
      <c r="BD83" s="9"/>
      <c r="BE83" s="9"/>
      <c r="BF83" s="9"/>
      <c r="BG83" s="9"/>
      <c r="BH83" s="9"/>
      <c r="BI83" s="9"/>
      <c r="BJ83" s="9"/>
      <c r="BK83" s="9"/>
      <c r="BL83" s="9"/>
      <c r="BM83" s="9"/>
      <c r="BN83" s="9"/>
      <c r="BO83" s="9"/>
      <c r="BP83" s="9"/>
    </row>
    <row r="84" spans="1:68">
      <c r="A84" s="165"/>
      <c r="B84" s="143"/>
      <c r="C84" s="166"/>
      <c r="D84" s="161"/>
      <c r="E84" s="163"/>
      <c r="F84" s="163"/>
      <c r="G84" s="164"/>
      <c r="AD84" s="9"/>
      <c r="AE84" s="9"/>
      <c r="AF84" s="9"/>
      <c r="AG84" s="9"/>
      <c r="AH84" s="9"/>
      <c r="AI84" s="9"/>
      <c r="AJ84" s="9"/>
      <c r="AK84" s="9"/>
      <c r="AL84" s="9"/>
      <c r="AM84" s="9"/>
      <c r="AN84" s="9"/>
      <c r="AO84" s="9"/>
      <c r="AP84" s="9"/>
      <c r="AQ84" s="9"/>
      <c r="AR84" s="9"/>
      <c r="AS84" s="9"/>
      <c r="AT84" s="9"/>
      <c r="AU84" s="9"/>
      <c r="AV84" s="9"/>
      <c r="AW84" s="9"/>
      <c r="AX84" s="9"/>
      <c r="AY84" s="9"/>
      <c r="AZ84" s="9"/>
      <c r="BA84" s="9"/>
      <c r="BB84" s="9"/>
      <c r="BC84" s="9"/>
      <c r="BD84" s="9"/>
      <c r="BE84" s="9"/>
      <c r="BF84" s="9"/>
      <c r="BG84" s="9"/>
      <c r="BH84" s="9"/>
      <c r="BI84" s="9"/>
      <c r="BJ84" s="9"/>
      <c r="BK84" s="9"/>
      <c r="BL84" s="9"/>
      <c r="BM84" s="9"/>
      <c r="BN84" s="9"/>
      <c r="BO84" s="9"/>
      <c r="BP84" s="9"/>
    </row>
    <row r="85" spans="1:68">
      <c r="A85" s="165"/>
      <c r="B85" s="143"/>
      <c r="C85" s="166"/>
      <c r="D85" s="161"/>
      <c r="E85" s="163"/>
      <c r="F85" s="163"/>
      <c r="G85" s="164"/>
      <c r="AD85" s="9"/>
      <c r="AE85" s="9"/>
      <c r="AF85" s="9"/>
      <c r="AG85" s="9"/>
      <c r="AH85" s="9"/>
      <c r="AI85" s="9"/>
      <c r="AJ85" s="9"/>
      <c r="AK85" s="9"/>
      <c r="AL85" s="9"/>
      <c r="AM85" s="9"/>
      <c r="AN85" s="9"/>
      <c r="AO85" s="9"/>
      <c r="AP85" s="9"/>
      <c r="AQ85" s="9"/>
      <c r="AR85" s="9"/>
      <c r="AS85" s="9"/>
      <c r="AT85" s="9"/>
      <c r="AU85" s="9"/>
      <c r="AV85" s="9"/>
      <c r="AW85" s="9"/>
      <c r="AX85" s="9"/>
      <c r="AY85" s="9"/>
      <c r="AZ85" s="9"/>
      <c r="BA85" s="9"/>
      <c r="BB85" s="9"/>
      <c r="BC85" s="9"/>
      <c r="BD85" s="9"/>
      <c r="BE85" s="9"/>
      <c r="BF85" s="9"/>
      <c r="BG85" s="9"/>
      <c r="BH85" s="9"/>
      <c r="BI85" s="9"/>
      <c r="BJ85" s="9"/>
      <c r="BK85" s="9"/>
      <c r="BL85" s="9"/>
      <c r="BM85" s="9"/>
      <c r="BN85" s="9"/>
      <c r="BO85" s="9"/>
      <c r="BP85" s="9"/>
    </row>
    <row r="86" spans="1:68">
      <c r="A86" s="165"/>
      <c r="B86" s="143"/>
      <c r="C86" s="160"/>
      <c r="D86" s="161"/>
      <c r="E86" s="163"/>
      <c r="F86" s="163"/>
      <c r="G86" s="164"/>
      <c r="AD86" s="9"/>
      <c r="AE86" s="9"/>
      <c r="AF86" s="9"/>
      <c r="AG86" s="9"/>
      <c r="AH86" s="9"/>
      <c r="AI86" s="9"/>
      <c r="AJ86" s="9"/>
      <c r="AK86" s="9"/>
      <c r="AL86" s="9"/>
      <c r="AM86" s="9"/>
      <c r="AN86" s="9"/>
      <c r="AO86" s="9"/>
      <c r="AP86" s="9"/>
      <c r="AQ86" s="9"/>
      <c r="AR86" s="9"/>
      <c r="AS86" s="9"/>
      <c r="AT86" s="9"/>
      <c r="AU86" s="9"/>
      <c r="AV86" s="9"/>
      <c r="AW86" s="9"/>
      <c r="AX86" s="9"/>
      <c r="AY86" s="9"/>
      <c r="AZ86" s="9"/>
      <c r="BA86" s="9"/>
      <c r="BB86" s="9"/>
      <c r="BC86" s="9"/>
      <c r="BD86" s="9"/>
      <c r="BE86" s="9"/>
      <c r="BF86" s="9"/>
      <c r="BG86" s="9"/>
      <c r="BH86" s="9"/>
      <c r="BI86" s="9"/>
      <c r="BJ86" s="9"/>
      <c r="BK86" s="9"/>
      <c r="BL86" s="9"/>
      <c r="BM86" s="9"/>
      <c r="BN86" s="9"/>
      <c r="BO86" s="9"/>
      <c r="BP86" s="9"/>
    </row>
    <row r="87" spans="1:68">
      <c r="A87" s="165"/>
      <c r="B87" s="143"/>
      <c r="C87" s="166"/>
      <c r="D87" s="161"/>
      <c r="E87" s="163"/>
      <c r="F87" s="163"/>
      <c r="G87" s="164"/>
      <c r="AD87" s="9"/>
      <c r="AE87" s="9"/>
      <c r="AF87" s="9"/>
      <c r="AG87" s="9"/>
      <c r="AH87" s="9"/>
      <c r="AI87" s="9"/>
      <c r="AJ87" s="9"/>
      <c r="AK87" s="9"/>
      <c r="AL87" s="9"/>
      <c r="AM87" s="9"/>
      <c r="AN87" s="9"/>
      <c r="AO87" s="9"/>
      <c r="AP87" s="9"/>
      <c r="AQ87" s="9"/>
      <c r="AR87" s="9"/>
      <c r="AS87" s="9"/>
      <c r="AT87" s="9"/>
      <c r="AU87" s="9"/>
      <c r="AV87" s="9"/>
      <c r="AW87" s="9"/>
      <c r="AX87" s="9"/>
      <c r="AY87" s="9"/>
      <c r="AZ87" s="9"/>
      <c r="BA87" s="9"/>
      <c r="BB87" s="9"/>
      <c r="BC87" s="9"/>
      <c r="BD87" s="9"/>
      <c r="BE87" s="9"/>
      <c r="BF87" s="9"/>
      <c r="BG87" s="9"/>
      <c r="BH87" s="9"/>
      <c r="BI87" s="9"/>
      <c r="BJ87" s="9"/>
      <c r="BK87" s="9"/>
      <c r="BL87" s="9"/>
      <c r="BM87" s="9"/>
      <c r="BN87" s="9"/>
      <c r="BO87" s="9"/>
      <c r="BP87" s="9"/>
    </row>
    <row r="88" spans="1:68">
      <c r="A88" s="165"/>
      <c r="B88" s="143"/>
      <c r="C88" s="166"/>
      <c r="D88" s="161"/>
      <c r="E88" s="163"/>
      <c r="F88" s="163"/>
      <c r="G88" s="164"/>
      <c r="AD88" s="9"/>
      <c r="AE88" s="9"/>
      <c r="AF88" s="9"/>
      <c r="AG88" s="9"/>
      <c r="AH88" s="9"/>
      <c r="AI88" s="9"/>
      <c r="AJ88" s="9"/>
      <c r="AK88" s="9"/>
      <c r="AL88" s="9"/>
      <c r="AM88" s="9"/>
      <c r="AN88" s="9"/>
      <c r="AO88" s="9"/>
      <c r="AP88" s="9"/>
      <c r="AQ88" s="9"/>
      <c r="AR88" s="9"/>
      <c r="AS88" s="9"/>
      <c r="AT88" s="9"/>
      <c r="AU88" s="9"/>
      <c r="AV88" s="9"/>
      <c r="AW88" s="9"/>
      <c r="AX88" s="9"/>
      <c r="AY88" s="9"/>
      <c r="AZ88" s="9"/>
      <c r="BA88" s="9"/>
      <c r="BB88" s="9"/>
      <c r="BC88" s="9"/>
      <c r="BD88" s="9"/>
      <c r="BE88" s="9"/>
      <c r="BF88" s="9"/>
      <c r="BG88" s="9"/>
      <c r="BH88" s="9"/>
      <c r="BI88" s="9"/>
      <c r="BJ88" s="9"/>
      <c r="BK88" s="9"/>
      <c r="BL88" s="9"/>
      <c r="BM88" s="9"/>
      <c r="BN88" s="9"/>
      <c r="BO88" s="9"/>
      <c r="BP88" s="9"/>
    </row>
    <row r="89" spans="1:68">
      <c r="A89" s="165"/>
      <c r="B89" s="143"/>
      <c r="C89" s="166"/>
      <c r="D89" s="161"/>
      <c r="E89" s="157"/>
      <c r="F89" s="163"/>
      <c r="G89" s="164"/>
      <c r="AD89" s="9"/>
      <c r="AE89" s="9"/>
      <c r="AF89" s="9"/>
      <c r="AG89" s="9"/>
      <c r="AH89" s="9"/>
      <c r="AI89" s="9"/>
      <c r="AJ89" s="9"/>
      <c r="AK89" s="9"/>
      <c r="AL89" s="9"/>
      <c r="AM89" s="9"/>
      <c r="AN89" s="9"/>
      <c r="AO89" s="9"/>
      <c r="AP89" s="9"/>
      <c r="AQ89" s="9"/>
      <c r="AR89" s="9"/>
      <c r="AS89" s="9"/>
      <c r="AT89" s="9"/>
      <c r="AU89" s="9"/>
      <c r="AV89" s="9"/>
      <c r="AW89" s="9"/>
      <c r="AX89" s="9"/>
      <c r="AY89" s="9"/>
      <c r="AZ89" s="9"/>
      <c r="BA89" s="9"/>
      <c r="BB89" s="9"/>
      <c r="BC89" s="9"/>
      <c r="BD89" s="9"/>
      <c r="BE89" s="9"/>
      <c r="BF89" s="9"/>
      <c r="BG89" s="9"/>
      <c r="BH89" s="9"/>
      <c r="BI89" s="9"/>
      <c r="BJ89" s="9"/>
      <c r="BK89" s="9"/>
      <c r="BL89" s="9"/>
      <c r="BM89" s="9"/>
      <c r="BN89" s="9"/>
      <c r="BO89" s="9"/>
      <c r="BP89" s="9"/>
    </row>
    <row r="90" spans="1:68">
      <c r="A90" s="165"/>
      <c r="B90" s="143"/>
      <c r="C90" s="166"/>
      <c r="D90" s="161"/>
      <c r="E90" s="163"/>
      <c r="F90" s="163"/>
      <c r="G90" s="164"/>
      <c r="AD90" s="9"/>
      <c r="AE90" s="9"/>
      <c r="AF90" s="9"/>
      <c r="AG90" s="9"/>
      <c r="AH90" s="9"/>
      <c r="AI90" s="9"/>
      <c r="AJ90" s="9"/>
      <c r="AK90" s="9"/>
      <c r="AL90" s="9"/>
      <c r="AM90" s="9"/>
      <c r="AN90" s="9"/>
      <c r="AO90" s="9"/>
      <c r="AP90" s="9"/>
      <c r="AQ90" s="9"/>
      <c r="AR90" s="9"/>
      <c r="AS90" s="9"/>
      <c r="AT90" s="9"/>
      <c r="AU90" s="9"/>
      <c r="AV90" s="9"/>
      <c r="AW90" s="9"/>
      <c r="AX90" s="9"/>
      <c r="AY90" s="9"/>
      <c r="AZ90" s="9"/>
      <c r="BA90" s="9"/>
      <c r="BB90" s="9"/>
      <c r="BC90" s="9"/>
      <c r="BD90" s="9"/>
      <c r="BE90" s="9"/>
      <c r="BF90" s="9"/>
      <c r="BG90" s="9"/>
      <c r="BH90" s="9"/>
      <c r="BI90" s="9"/>
      <c r="BJ90" s="9"/>
      <c r="BK90" s="9"/>
      <c r="BL90" s="9"/>
      <c r="BM90" s="9"/>
      <c r="BN90" s="9"/>
      <c r="BO90" s="9"/>
      <c r="BP90" s="9"/>
    </row>
    <row r="91" spans="1:68">
      <c r="A91" s="165"/>
      <c r="B91" s="143"/>
      <c r="AD91" s="9"/>
      <c r="AE91" s="9"/>
      <c r="AF91" s="9"/>
      <c r="AG91" s="9"/>
      <c r="AH91" s="9"/>
      <c r="AI91" s="9"/>
      <c r="AJ91" s="9"/>
      <c r="AK91" s="9"/>
      <c r="AL91" s="9"/>
      <c r="AM91" s="9"/>
      <c r="AN91" s="9"/>
      <c r="AO91" s="9"/>
      <c r="AP91" s="9"/>
      <c r="AQ91" s="9"/>
      <c r="AR91" s="9"/>
      <c r="AS91" s="9"/>
      <c r="AT91" s="9"/>
      <c r="AU91" s="9"/>
      <c r="AV91" s="9"/>
      <c r="AW91" s="9"/>
      <c r="AX91" s="9"/>
      <c r="AY91" s="9"/>
      <c r="AZ91" s="9"/>
      <c r="BA91" s="9"/>
      <c r="BB91" s="9"/>
      <c r="BC91" s="9"/>
      <c r="BD91" s="9"/>
      <c r="BE91" s="9"/>
      <c r="BF91" s="9"/>
      <c r="BG91" s="9"/>
      <c r="BH91" s="9"/>
      <c r="BI91" s="9"/>
      <c r="BJ91" s="9"/>
      <c r="BK91" s="9"/>
      <c r="BL91" s="9"/>
      <c r="BM91" s="9"/>
      <c r="BN91" s="9"/>
      <c r="BO91" s="9"/>
      <c r="BP91" s="9"/>
    </row>
    <row r="92" spans="1:68">
      <c r="AD92" s="9"/>
      <c r="AE92" s="9"/>
      <c r="AF92" s="9"/>
      <c r="AG92" s="9"/>
      <c r="AH92" s="9"/>
      <c r="AI92" s="9"/>
      <c r="AJ92" s="9"/>
      <c r="AK92" s="9"/>
      <c r="AL92" s="9"/>
      <c r="AM92" s="9"/>
      <c r="AN92" s="9"/>
      <c r="AO92" s="9"/>
      <c r="AP92" s="9"/>
      <c r="AQ92" s="9"/>
      <c r="AR92" s="9"/>
      <c r="AS92" s="9"/>
      <c r="AT92" s="9"/>
      <c r="AU92" s="9"/>
      <c r="AV92" s="9"/>
      <c r="AW92" s="9"/>
      <c r="AX92" s="9"/>
      <c r="AY92" s="9"/>
      <c r="AZ92" s="9"/>
      <c r="BA92" s="9"/>
      <c r="BB92" s="9"/>
      <c r="BC92" s="9"/>
      <c r="BD92" s="9"/>
      <c r="BE92" s="9"/>
      <c r="BF92" s="9"/>
      <c r="BG92" s="9"/>
      <c r="BH92" s="9"/>
      <c r="BI92" s="9"/>
      <c r="BJ92" s="9"/>
      <c r="BK92" s="9"/>
      <c r="BL92" s="9"/>
      <c r="BM92" s="9"/>
      <c r="BN92" s="9"/>
      <c r="BO92" s="9"/>
      <c r="BP92" s="9"/>
    </row>
    <row r="93" spans="1:68">
      <c r="A93" s="824"/>
      <c r="B93" s="824"/>
      <c r="C93" s="155"/>
      <c r="D93" s="155"/>
      <c r="E93" s="157"/>
      <c r="F93" s="157"/>
      <c r="G93" s="157"/>
      <c r="AD93" s="9"/>
      <c r="AE93" s="9"/>
      <c r="AF93" s="9"/>
      <c r="AG93" s="9"/>
      <c r="AH93" s="9"/>
      <c r="AI93" s="9"/>
      <c r="AJ93" s="9"/>
      <c r="AK93" s="9"/>
      <c r="AL93" s="9"/>
      <c r="AM93" s="9"/>
      <c r="AN93" s="9"/>
      <c r="AO93" s="9"/>
      <c r="AP93" s="9"/>
      <c r="AQ93" s="9"/>
      <c r="AR93" s="9"/>
      <c r="AS93" s="9"/>
      <c r="AT93" s="9"/>
      <c r="AU93" s="9"/>
      <c r="AV93" s="9"/>
      <c r="AW93" s="9"/>
      <c r="AX93" s="9"/>
      <c r="AY93" s="9"/>
      <c r="AZ93" s="9"/>
      <c r="BA93" s="9"/>
      <c r="BB93" s="9"/>
      <c r="BC93" s="9"/>
      <c r="BD93" s="9"/>
      <c r="BE93" s="9"/>
      <c r="BF93" s="9"/>
      <c r="BG93" s="9"/>
      <c r="BH93" s="9"/>
      <c r="BI93" s="9"/>
      <c r="BJ93" s="9"/>
      <c r="BK93" s="9"/>
      <c r="BL93" s="9"/>
      <c r="BM93" s="9"/>
      <c r="BN93" s="9"/>
      <c r="BO93" s="9"/>
      <c r="BP93" s="9"/>
    </row>
    <row r="94" spans="1:68">
      <c r="A94" s="824"/>
      <c r="B94" s="824"/>
      <c r="C94" s="155"/>
      <c r="D94" s="155"/>
      <c r="E94" s="157"/>
      <c r="F94" s="157"/>
      <c r="G94" s="826"/>
      <c r="AD94" s="9"/>
      <c r="AE94" s="9"/>
      <c r="AF94" s="9"/>
      <c r="AG94" s="9"/>
      <c r="AH94" s="9"/>
      <c r="AI94" s="9"/>
      <c r="AJ94" s="9"/>
      <c r="AK94" s="9"/>
      <c r="AL94" s="9"/>
      <c r="AM94" s="9"/>
      <c r="AN94" s="9"/>
      <c r="AO94" s="9"/>
      <c r="AP94" s="9"/>
      <c r="AQ94" s="9"/>
      <c r="AR94" s="9"/>
      <c r="AS94" s="9"/>
      <c r="AT94" s="9"/>
      <c r="AU94" s="9"/>
      <c r="AV94" s="9"/>
      <c r="AW94" s="9"/>
      <c r="AX94" s="9"/>
      <c r="AY94" s="9"/>
      <c r="AZ94" s="9"/>
      <c r="BA94" s="9"/>
      <c r="BB94" s="9"/>
      <c r="BC94" s="9"/>
      <c r="BD94" s="9"/>
      <c r="BE94" s="9"/>
      <c r="BF94" s="9"/>
      <c r="BG94" s="9"/>
      <c r="BH94" s="9"/>
      <c r="BI94" s="9"/>
      <c r="BJ94" s="9"/>
      <c r="BK94" s="9"/>
      <c r="BL94" s="9"/>
      <c r="BM94" s="9"/>
      <c r="BN94" s="9"/>
      <c r="BO94" s="9"/>
      <c r="BP94" s="9"/>
    </row>
    <row r="95" spans="1:68">
      <c r="A95" s="824"/>
      <c r="B95" s="824"/>
      <c r="C95" s="157"/>
      <c r="D95" s="157"/>
      <c r="E95" s="163"/>
      <c r="F95" s="157"/>
      <c r="G95" s="826"/>
      <c r="AD95" s="9"/>
      <c r="AE95" s="9"/>
      <c r="AF95" s="9"/>
      <c r="AG95" s="9"/>
      <c r="AH95" s="9"/>
      <c r="AI95" s="9"/>
      <c r="AJ95" s="9"/>
      <c r="AK95" s="9"/>
      <c r="AL95" s="9"/>
      <c r="AM95" s="9"/>
      <c r="AN95" s="9"/>
      <c r="AO95" s="9"/>
      <c r="AP95" s="9"/>
      <c r="AQ95" s="9"/>
      <c r="AR95" s="9"/>
      <c r="AS95" s="9"/>
      <c r="AT95" s="9"/>
      <c r="AU95" s="9"/>
      <c r="AV95" s="9"/>
      <c r="AW95" s="9"/>
      <c r="AX95" s="9"/>
      <c r="AY95" s="9"/>
      <c r="AZ95" s="9"/>
      <c r="BA95" s="9"/>
      <c r="BB95" s="9"/>
      <c r="BC95" s="9"/>
      <c r="BD95" s="9"/>
      <c r="BE95" s="9"/>
      <c r="BF95" s="9"/>
      <c r="BG95" s="9"/>
      <c r="BH95" s="9"/>
      <c r="BI95" s="9"/>
      <c r="BJ95" s="9"/>
      <c r="BK95" s="9"/>
      <c r="BL95" s="9"/>
      <c r="BM95" s="9"/>
      <c r="BN95" s="9"/>
      <c r="BO95" s="9"/>
      <c r="BP95" s="9"/>
    </row>
    <row r="96" spans="1:68">
      <c r="A96" s="824"/>
      <c r="B96" s="824"/>
      <c r="C96" s="160"/>
      <c r="D96" s="161"/>
      <c r="E96" s="163"/>
      <c r="F96" s="163"/>
      <c r="G96" s="164"/>
      <c r="AD96" s="9"/>
      <c r="AE96" s="9"/>
      <c r="AF96" s="9"/>
      <c r="AG96" s="9"/>
      <c r="AH96" s="9"/>
      <c r="AI96" s="9"/>
      <c r="AJ96" s="9"/>
      <c r="AK96" s="9"/>
      <c r="AL96" s="9"/>
      <c r="AM96" s="9"/>
      <c r="AN96" s="9"/>
      <c r="AO96" s="9"/>
      <c r="AP96" s="9"/>
      <c r="AQ96" s="9"/>
      <c r="AR96" s="9"/>
      <c r="AS96" s="9"/>
      <c r="AT96" s="9"/>
      <c r="AU96" s="9"/>
      <c r="AV96" s="9"/>
      <c r="AW96" s="9"/>
      <c r="AX96" s="9"/>
      <c r="AY96" s="9"/>
      <c r="AZ96" s="9"/>
      <c r="BA96" s="9"/>
      <c r="BB96" s="9"/>
      <c r="BC96" s="9"/>
      <c r="BD96" s="9"/>
      <c r="BE96" s="9"/>
      <c r="BF96" s="9"/>
      <c r="BG96" s="9"/>
      <c r="BH96" s="9"/>
      <c r="BI96" s="9"/>
      <c r="BJ96" s="9"/>
      <c r="BK96" s="9"/>
      <c r="BL96" s="9"/>
      <c r="BM96" s="9"/>
      <c r="BN96" s="9"/>
      <c r="BO96" s="9"/>
      <c r="BP96" s="9"/>
    </row>
    <row r="97" spans="1:68">
      <c r="A97" s="824"/>
      <c r="B97" s="824"/>
      <c r="C97" s="166"/>
      <c r="D97" s="161"/>
      <c r="E97" s="163"/>
      <c r="F97" s="163"/>
      <c r="G97" s="164"/>
      <c r="AD97" s="9"/>
      <c r="AE97" s="9"/>
      <c r="AF97" s="9"/>
      <c r="AG97" s="9"/>
      <c r="AH97" s="9"/>
      <c r="AI97" s="9"/>
      <c r="AJ97" s="9"/>
      <c r="AK97" s="9"/>
      <c r="AL97" s="9"/>
      <c r="AM97" s="9"/>
      <c r="AN97" s="9"/>
      <c r="AO97" s="9"/>
      <c r="AP97" s="9"/>
      <c r="AQ97" s="9"/>
      <c r="AR97" s="9"/>
      <c r="AS97" s="9"/>
      <c r="AT97" s="9"/>
      <c r="AU97" s="9"/>
      <c r="AV97" s="9"/>
      <c r="AW97" s="9"/>
      <c r="AX97" s="9"/>
      <c r="AY97" s="9"/>
      <c r="AZ97" s="9"/>
      <c r="BA97" s="9"/>
      <c r="BB97" s="9"/>
      <c r="BC97" s="9"/>
      <c r="BD97" s="9"/>
      <c r="BE97" s="9"/>
      <c r="BF97" s="9"/>
      <c r="BG97" s="9"/>
      <c r="BH97" s="9"/>
      <c r="BI97" s="9"/>
      <c r="BJ97" s="9"/>
      <c r="BK97" s="9"/>
      <c r="BL97" s="9"/>
      <c r="BM97" s="9"/>
      <c r="BN97" s="9"/>
      <c r="BO97" s="9"/>
      <c r="BP97" s="9"/>
    </row>
    <row r="98" spans="1:68">
      <c r="A98" s="824"/>
      <c r="B98" s="824"/>
      <c r="C98" s="166"/>
      <c r="D98" s="161"/>
      <c r="E98" s="157"/>
      <c r="F98" s="163"/>
      <c r="G98" s="164"/>
      <c r="AD98" s="9"/>
      <c r="AE98" s="9"/>
      <c r="AF98" s="9"/>
      <c r="AG98" s="9"/>
      <c r="AH98" s="9"/>
      <c r="AI98" s="9"/>
      <c r="AJ98" s="9"/>
      <c r="AK98" s="9"/>
      <c r="AL98" s="9"/>
      <c r="AM98" s="9"/>
      <c r="AN98" s="9"/>
      <c r="AO98" s="9"/>
      <c r="AP98" s="9"/>
      <c r="AQ98" s="9"/>
      <c r="AR98" s="9"/>
      <c r="AS98" s="9"/>
      <c r="AT98" s="9"/>
      <c r="AU98" s="9"/>
      <c r="AV98" s="9"/>
      <c r="AW98" s="9"/>
      <c r="AX98" s="9"/>
      <c r="AY98" s="9"/>
      <c r="AZ98" s="9"/>
      <c r="BA98" s="9"/>
      <c r="BB98" s="9"/>
      <c r="BC98" s="9"/>
      <c r="BD98" s="9"/>
      <c r="BE98" s="9"/>
      <c r="BF98" s="9"/>
      <c r="BG98" s="9"/>
      <c r="BH98" s="9"/>
      <c r="BI98" s="9"/>
      <c r="BJ98" s="9"/>
      <c r="BK98" s="9"/>
      <c r="BL98" s="9"/>
      <c r="BM98" s="9"/>
      <c r="BN98" s="9"/>
      <c r="BO98" s="9"/>
      <c r="BP98" s="9"/>
    </row>
    <row r="99" spans="1:68">
      <c r="A99" s="824"/>
      <c r="B99" s="824"/>
      <c r="C99" s="155"/>
      <c r="D99" s="161"/>
      <c r="E99" s="163"/>
      <c r="F99" s="163"/>
      <c r="G99" s="164"/>
      <c r="AD99" s="9"/>
      <c r="AE99" s="9"/>
      <c r="AF99" s="9"/>
      <c r="AG99" s="9"/>
      <c r="AH99" s="9"/>
      <c r="AI99" s="9"/>
      <c r="AJ99" s="9"/>
      <c r="AK99" s="9"/>
      <c r="AL99" s="9"/>
      <c r="AM99" s="9"/>
      <c r="AN99" s="9"/>
      <c r="AO99" s="9"/>
      <c r="AP99" s="9"/>
      <c r="AQ99" s="9"/>
      <c r="AR99" s="9"/>
      <c r="AS99" s="9"/>
      <c r="AT99" s="9"/>
      <c r="AU99" s="9"/>
      <c r="AV99" s="9"/>
      <c r="AW99" s="9"/>
      <c r="AX99" s="9"/>
      <c r="AY99" s="9"/>
      <c r="AZ99" s="9"/>
      <c r="BA99" s="9"/>
      <c r="BB99" s="9"/>
      <c r="BC99" s="9"/>
      <c r="BD99" s="9"/>
      <c r="BE99" s="9"/>
      <c r="BF99" s="9"/>
      <c r="BG99" s="9"/>
      <c r="BH99" s="9"/>
      <c r="BI99" s="9"/>
      <c r="BJ99" s="9"/>
      <c r="BK99" s="9"/>
      <c r="BL99" s="9"/>
      <c r="BM99" s="9"/>
      <c r="BN99" s="9"/>
      <c r="BO99" s="9"/>
      <c r="BP99" s="9"/>
    </row>
    <row r="100" spans="1:68">
      <c r="A100" s="824"/>
      <c r="B100" s="824"/>
      <c r="C100" s="166"/>
      <c r="D100" s="161"/>
      <c r="E100" s="157"/>
      <c r="F100" s="163"/>
      <c r="G100" s="164"/>
      <c r="AD100" s="9"/>
      <c r="AE100" s="9"/>
      <c r="AF100" s="9"/>
      <c r="AG100" s="9"/>
      <c r="AH100" s="9"/>
      <c r="AI100" s="9"/>
      <c r="AJ100" s="9"/>
      <c r="AK100" s="9"/>
      <c r="AL100" s="9"/>
      <c r="AM100" s="9"/>
      <c r="AN100" s="9"/>
      <c r="AO100" s="9"/>
      <c r="AP100" s="9"/>
      <c r="AQ100" s="9"/>
      <c r="AR100" s="9"/>
      <c r="AS100" s="9"/>
      <c r="AT100" s="9"/>
      <c r="AU100" s="9"/>
      <c r="AV100" s="9"/>
      <c r="AW100" s="9"/>
      <c r="AX100" s="9"/>
      <c r="AY100" s="9"/>
      <c r="AZ100" s="9"/>
      <c r="BA100" s="9"/>
      <c r="BB100" s="9"/>
      <c r="BC100" s="9"/>
      <c r="BD100" s="9"/>
      <c r="BE100" s="9"/>
      <c r="BF100" s="9"/>
      <c r="BG100" s="9"/>
      <c r="BH100" s="9"/>
      <c r="BI100" s="9"/>
      <c r="BJ100" s="9"/>
      <c r="BK100" s="9"/>
      <c r="BL100" s="9"/>
      <c r="BM100" s="9"/>
      <c r="BN100" s="9"/>
      <c r="BO100" s="9"/>
      <c r="BP100" s="9"/>
    </row>
    <row r="101" spans="1:68">
      <c r="A101" s="824"/>
      <c r="B101" s="824"/>
      <c r="C101" s="166"/>
      <c r="D101" s="161"/>
      <c r="E101" s="163"/>
      <c r="F101" s="163"/>
      <c r="G101" s="164"/>
      <c r="AD101" s="9"/>
      <c r="AE101" s="9"/>
      <c r="AF101" s="9"/>
      <c r="AG101" s="9"/>
      <c r="AH101" s="9"/>
      <c r="AI101" s="9"/>
      <c r="AJ101" s="9"/>
      <c r="AK101" s="9"/>
      <c r="AL101" s="9"/>
      <c r="AM101" s="9"/>
      <c r="AN101" s="9"/>
      <c r="AO101" s="9"/>
      <c r="AP101" s="9"/>
      <c r="AQ101" s="9"/>
      <c r="AR101" s="9"/>
      <c r="AS101" s="9"/>
      <c r="AT101" s="9"/>
      <c r="AU101" s="9"/>
      <c r="AV101" s="9"/>
      <c r="AW101" s="9"/>
      <c r="AX101" s="9"/>
      <c r="AY101" s="9"/>
      <c r="AZ101" s="9"/>
      <c r="BA101" s="9"/>
      <c r="BB101" s="9"/>
      <c r="BC101" s="9"/>
      <c r="BD101" s="9"/>
      <c r="BE101" s="9"/>
      <c r="BF101" s="9"/>
      <c r="BG101" s="9"/>
      <c r="BH101" s="9"/>
      <c r="BI101" s="9"/>
      <c r="BJ101" s="9"/>
      <c r="BK101" s="9"/>
      <c r="BL101" s="9"/>
      <c r="BM101" s="9"/>
      <c r="BN101" s="9"/>
      <c r="BO101" s="9"/>
      <c r="BP101" s="9"/>
    </row>
    <row r="102" spans="1:68">
      <c r="A102" s="824"/>
      <c r="B102" s="824"/>
      <c r="C102" s="166"/>
      <c r="D102" s="161"/>
      <c r="E102" s="163"/>
      <c r="F102" s="163"/>
      <c r="G102" s="164"/>
      <c r="AD102" s="9"/>
      <c r="AE102" s="9"/>
      <c r="AF102" s="9"/>
      <c r="AG102" s="9"/>
      <c r="AH102" s="9"/>
      <c r="AI102" s="9"/>
      <c r="AJ102" s="9"/>
      <c r="AK102" s="9"/>
      <c r="AL102" s="9"/>
      <c r="AM102" s="9"/>
      <c r="AN102" s="9"/>
      <c r="AO102" s="9"/>
      <c r="AP102" s="9"/>
      <c r="AQ102" s="9"/>
      <c r="AR102" s="9"/>
      <c r="AS102" s="9"/>
      <c r="AT102" s="9"/>
      <c r="AU102" s="9"/>
      <c r="AV102" s="9"/>
      <c r="AW102" s="9"/>
      <c r="AX102" s="9"/>
      <c r="AY102" s="9"/>
      <c r="AZ102" s="9"/>
      <c r="BA102" s="9"/>
      <c r="BB102" s="9"/>
      <c r="BC102" s="9"/>
      <c r="BD102" s="9"/>
      <c r="BE102" s="9"/>
      <c r="BF102" s="9"/>
      <c r="BG102" s="9"/>
      <c r="BH102" s="9"/>
      <c r="BI102" s="9"/>
      <c r="BJ102" s="9"/>
      <c r="BK102" s="9"/>
      <c r="BL102" s="9"/>
      <c r="BM102" s="9"/>
      <c r="BN102" s="9"/>
      <c r="BO102" s="9"/>
      <c r="BP102" s="9"/>
    </row>
    <row r="103" spans="1:68">
      <c r="A103" s="824"/>
      <c r="B103" s="824"/>
      <c r="C103" s="166"/>
      <c r="D103" s="161"/>
      <c r="E103" s="163"/>
      <c r="F103" s="163"/>
      <c r="G103" s="164"/>
      <c r="AD103" s="9"/>
      <c r="AE103" s="9"/>
      <c r="AF103" s="9"/>
      <c r="AG103" s="9"/>
      <c r="AH103" s="9"/>
      <c r="AI103" s="9"/>
      <c r="AJ103" s="9"/>
      <c r="AK103" s="9"/>
      <c r="AL103" s="9"/>
      <c r="AM103" s="9"/>
      <c r="AN103" s="9"/>
      <c r="AO103" s="9"/>
      <c r="AP103" s="9"/>
      <c r="AQ103" s="9"/>
      <c r="AR103" s="9"/>
      <c r="AS103" s="9"/>
      <c r="AT103" s="9"/>
      <c r="AU103" s="9"/>
      <c r="AV103" s="9"/>
      <c r="AW103" s="9"/>
      <c r="AX103" s="9"/>
      <c r="AY103" s="9"/>
      <c r="AZ103" s="9"/>
      <c r="BA103" s="9"/>
      <c r="BB103" s="9"/>
      <c r="BC103" s="9"/>
      <c r="BD103" s="9"/>
      <c r="BE103" s="9"/>
      <c r="BF103" s="9"/>
      <c r="BG103" s="9"/>
      <c r="BH103" s="9"/>
      <c r="BI103" s="9"/>
      <c r="BJ103" s="9"/>
      <c r="BK103" s="9"/>
      <c r="BL103" s="9"/>
      <c r="BM103" s="9"/>
      <c r="BN103" s="9"/>
      <c r="BO103" s="9"/>
      <c r="BP103" s="9"/>
    </row>
    <row r="104" spans="1:68">
      <c r="A104" s="824"/>
      <c r="B104" s="824"/>
      <c r="C104" s="166"/>
      <c r="D104" s="161"/>
      <c r="E104" s="163"/>
      <c r="F104" s="163"/>
      <c r="G104" s="164"/>
      <c r="AD104" s="9"/>
      <c r="AE104" s="9"/>
      <c r="AF104" s="9"/>
      <c r="AG104" s="9"/>
      <c r="AH104" s="9"/>
      <c r="AI104" s="9"/>
      <c r="AJ104" s="9"/>
      <c r="AK104" s="9"/>
      <c r="AL104" s="9"/>
      <c r="AM104" s="9"/>
      <c r="AN104" s="9"/>
      <c r="AO104" s="9"/>
      <c r="AP104" s="9"/>
      <c r="AQ104" s="9"/>
      <c r="AR104" s="9"/>
      <c r="AS104" s="9"/>
      <c r="AT104" s="9"/>
      <c r="AU104" s="9"/>
      <c r="AV104" s="9"/>
      <c r="AW104" s="9"/>
      <c r="AX104" s="9"/>
      <c r="AY104" s="9"/>
      <c r="AZ104" s="9"/>
      <c r="BA104" s="9"/>
      <c r="BB104" s="9"/>
      <c r="BC104" s="9"/>
      <c r="BD104" s="9"/>
      <c r="BE104" s="9"/>
      <c r="BF104" s="9"/>
      <c r="BG104" s="9"/>
      <c r="BH104" s="9"/>
      <c r="BI104" s="9"/>
      <c r="BJ104" s="9"/>
      <c r="BK104" s="9"/>
      <c r="BL104" s="9"/>
      <c r="BM104" s="9"/>
      <c r="BN104" s="9"/>
      <c r="BO104" s="9"/>
      <c r="BP104" s="9"/>
    </row>
    <row r="105" spans="1:68">
      <c r="A105" s="824"/>
      <c r="B105" s="824"/>
      <c r="C105" s="166"/>
      <c r="D105" s="161"/>
      <c r="E105" s="163"/>
      <c r="F105" s="163"/>
      <c r="G105" s="164"/>
      <c r="AD105" s="9"/>
      <c r="AE105" s="9"/>
      <c r="AF105" s="9"/>
      <c r="AG105" s="9"/>
      <c r="AH105" s="9"/>
      <c r="AI105" s="9"/>
      <c r="AJ105" s="9"/>
      <c r="AK105" s="9"/>
      <c r="AL105" s="9"/>
      <c r="AM105" s="9"/>
      <c r="AN105" s="9"/>
      <c r="AO105" s="9"/>
      <c r="AP105" s="9"/>
      <c r="AQ105" s="9"/>
      <c r="AR105" s="9"/>
      <c r="AS105" s="9"/>
      <c r="AT105" s="9"/>
      <c r="AU105" s="9"/>
      <c r="AV105" s="9"/>
      <c r="AW105" s="9"/>
      <c r="AX105" s="9"/>
      <c r="AY105" s="9"/>
      <c r="AZ105" s="9"/>
      <c r="BA105" s="9"/>
      <c r="BB105" s="9"/>
      <c r="BC105" s="9"/>
      <c r="BD105" s="9"/>
      <c r="BE105" s="9"/>
      <c r="BF105" s="9"/>
      <c r="BG105" s="9"/>
      <c r="BH105" s="9"/>
      <c r="BI105" s="9"/>
      <c r="BJ105" s="9"/>
      <c r="BK105" s="9"/>
      <c r="BL105" s="9"/>
      <c r="BM105" s="9"/>
      <c r="BN105" s="9"/>
      <c r="BO105" s="9"/>
      <c r="BP105" s="9"/>
    </row>
    <row r="106" spans="1:68">
      <c r="A106" s="824"/>
      <c r="B106" s="824"/>
      <c r="C106" s="166"/>
      <c r="D106" s="161"/>
      <c r="E106" s="163"/>
      <c r="F106" s="163"/>
      <c r="G106" s="164"/>
      <c r="AD106" s="9"/>
      <c r="AE106" s="9"/>
      <c r="AF106" s="9"/>
      <c r="AG106" s="9"/>
      <c r="AH106" s="9"/>
      <c r="AI106" s="9"/>
      <c r="AJ106" s="9"/>
      <c r="AK106" s="9"/>
      <c r="AL106" s="9"/>
      <c r="AM106" s="9"/>
      <c r="AN106" s="9"/>
      <c r="AO106" s="9"/>
      <c r="AP106" s="9"/>
      <c r="AQ106" s="9"/>
      <c r="AR106" s="9"/>
      <c r="AS106" s="9"/>
      <c r="AT106" s="9"/>
      <c r="AU106" s="9"/>
      <c r="AV106" s="9"/>
      <c r="AW106" s="9"/>
      <c r="AX106" s="9"/>
      <c r="AY106" s="9"/>
      <c r="AZ106" s="9"/>
      <c r="BA106" s="9"/>
      <c r="BB106" s="9"/>
      <c r="BC106" s="9"/>
      <c r="BD106" s="9"/>
      <c r="BE106" s="9"/>
      <c r="BF106" s="9"/>
      <c r="BG106" s="9"/>
      <c r="BH106" s="9"/>
      <c r="BI106" s="9"/>
      <c r="BJ106" s="9"/>
      <c r="BK106" s="9"/>
      <c r="BL106" s="9"/>
      <c r="BM106" s="9"/>
      <c r="BN106" s="9"/>
      <c r="BO106" s="9"/>
      <c r="BP106" s="9"/>
    </row>
    <row r="107" spans="1:68">
      <c r="A107" s="824"/>
      <c r="B107" s="824"/>
      <c r="C107" s="166"/>
      <c r="D107" s="161"/>
      <c r="E107" s="163"/>
      <c r="F107" s="163"/>
      <c r="G107" s="164"/>
      <c r="AD107" s="9"/>
      <c r="AE107" s="9"/>
      <c r="AF107" s="9"/>
      <c r="AG107" s="9"/>
      <c r="AH107" s="9"/>
      <c r="AI107" s="9"/>
      <c r="AJ107" s="9"/>
      <c r="AK107" s="9"/>
      <c r="AL107" s="9"/>
      <c r="AM107" s="9"/>
      <c r="AN107" s="9"/>
      <c r="AO107" s="9"/>
      <c r="AP107" s="9"/>
      <c r="AQ107" s="9"/>
      <c r="AR107" s="9"/>
      <c r="AS107" s="9"/>
      <c r="AT107" s="9"/>
      <c r="AU107" s="9"/>
      <c r="AV107" s="9"/>
      <c r="AW107" s="9"/>
      <c r="AX107" s="9"/>
      <c r="AY107" s="9"/>
      <c r="AZ107" s="9"/>
      <c r="BA107" s="9"/>
      <c r="BB107" s="9"/>
      <c r="BC107" s="9"/>
      <c r="BD107" s="9"/>
      <c r="BE107" s="9"/>
      <c r="BF107" s="9"/>
      <c r="BG107" s="9"/>
      <c r="BH107" s="9"/>
      <c r="BI107" s="9"/>
      <c r="BJ107" s="9"/>
      <c r="BK107" s="9"/>
      <c r="BL107" s="9"/>
      <c r="BM107" s="9"/>
      <c r="BN107" s="9"/>
      <c r="BO107" s="9"/>
      <c r="BP107" s="9"/>
    </row>
    <row r="108" spans="1:68">
      <c r="A108" s="824"/>
      <c r="B108" s="824"/>
      <c r="C108" s="166"/>
      <c r="D108" s="161"/>
      <c r="E108" s="163"/>
      <c r="F108" s="163"/>
      <c r="G108" s="164"/>
      <c r="AD108" s="9"/>
      <c r="AE108" s="9"/>
      <c r="AF108" s="9"/>
      <c r="AG108" s="9"/>
      <c r="AH108" s="9"/>
      <c r="AI108" s="9"/>
      <c r="AJ108" s="9"/>
      <c r="AK108" s="9"/>
      <c r="AL108" s="9"/>
      <c r="AM108" s="9"/>
      <c r="AN108" s="9"/>
      <c r="AO108" s="9"/>
      <c r="AP108" s="9"/>
      <c r="AQ108" s="9"/>
      <c r="AR108" s="9"/>
      <c r="AS108" s="9"/>
      <c r="AT108" s="9"/>
      <c r="AU108" s="9"/>
      <c r="AV108" s="9"/>
      <c r="AW108" s="9"/>
      <c r="AX108" s="9"/>
      <c r="AY108" s="9"/>
      <c r="AZ108" s="9"/>
      <c r="BA108" s="9"/>
      <c r="BB108" s="9"/>
      <c r="BC108" s="9"/>
      <c r="BD108" s="9"/>
      <c r="BE108" s="9"/>
      <c r="BF108" s="9"/>
      <c r="BG108" s="9"/>
      <c r="BH108" s="9"/>
      <c r="BI108" s="9"/>
      <c r="BJ108" s="9"/>
      <c r="BK108" s="9"/>
      <c r="BL108" s="9"/>
      <c r="BM108" s="9"/>
      <c r="BN108" s="9"/>
      <c r="BO108" s="9"/>
      <c r="BP108" s="9"/>
    </row>
    <row r="109" spans="1:68">
      <c r="A109" s="824"/>
      <c r="B109" s="824"/>
      <c r="C109" s="166"/>
      <c r="D109" s="168"/>
      <c r="E109" s="163"/>
      <c r="F109" s="163"/>
      <c r="G109" s="164"/>
      <c r="AD109" s="9"/>
      <c r="AE109" s="9"/>
      <c r="AF109" s="9"/>
      <c r="AG109" s="9"/>
      <c r="AH109" s="9"/>
      <c r="AI109" s="9"/>
      <c r="AJ109" s="9"/>
      <c r="AK109" s="9"/>
      <c r="AL109" s="9"/>
      <c r="AM109" s="9"/>
      <c r="AN109" s="9"/>
      <c r="AO109" s="9"/>
      <c r="AP109" s="9"/>
      <c r="AQ109" s="9"/>
      <c r="AR109" s="9"/>
      <c r="AS109" s="9"/>
      <c r="AT109" s="9"/>
      <c r="AU109" s="9"/>
      <c r="AV109" s="9"/>
      <c r="AW109" s="9"/>
      <c r="AX109" s="9"/>
      <c r="AY109" s="9"/>
      <c r="AZ109" s="9"/>
      <c r="BA109" s="9"/>
      <c r="BB109" s="9"/>
      <c r="BC109" s="9"/>
      <c r="BD109" s="9"/>
      <c r="BE109" s="9"/>
      <c r="BF109" s="9"/>
      <c r="BG109" s="9"/>
      <c r="BH109" s="9"/>
      <c r="BI109" s="9"/>
      <c r="BJ109" s="9"/>
      <c r="BK109" s="9"/>
      <c r="BL109" s="9"/>
      <c r="BM109" s="9"/>
      <c r="BN109" s="9"/>
      <c r="BO109" s="9"/>
      <c r="BP109" s="9"/>
    </row>
    <row r="110" spans="1:68">
      <c r="A110" s="824"/>
      <c r="B110" s="824"/>
      <c r="C110" s="166"/>
      <c r="D110" s="161"/>
      <c r="E110" s="163"/>
      <c r="F110" s="163"/>
      <c r="G110" s="164"/>
      <c r="AD110" s="9"/>
      <c r="AE110" s="9"/>
      <c r="AF110" s="9"/>
      <c r="AG110" s="9"/>
      <c r="AH110" s="9"/>
      <c r="AI110" s="9"/>
      <c r="AJ110" s="9"/>
      <c r="AK110" s="9"/>
      <c r="AL110" s="9"/>
      <c r="AM110" s="9"/>
      <c r="AN110" s="9"/>
      <c r="AO110" s="9"/>
      <c r="AP110" s="9"/>
      <c r="AQ110" s="9"/>
      <c r="AR110" s="9"/>
      <c r="AS110" s="9"/>
      <c r="AT110" s="9"/>
      <c r="AU110" s="9"/>
      <c r="AV110" s="9"/>
      <c r="AW110" s="9"/>
      <c r="AX110" s="9"/>
      <c r="AY110" s="9"/>
      <c r="AZ110" s="9"/>
      <c r="BA110" s="9"/>
      <c r="BB110" s="9"/>
      <c r="BC110" s="9"/>
      <c r="BD110" s="9"/>
      <c r="BE110" s="9"/>
      <c r="BF110" s="9"/>
      <c r="BG110" s="9"/>
      <c r="BH110" s="9"/>
      <c r="BI110" s="9"/>
      <c r="BJ110" s="9"/>
      <c r="BK110" s="9"/>
      <c r="BL110" s="9"/>
      <c r="BM110" s="9"/>
      <c r="BN110" s="9"/>
      <c r="BO110" s="9"/>
      <c r="BP110" s="9"/>
    </row>
    <row r="111" spans="1:68">
      <c r="A111" s="824"/>
      <c r="B111" s="824"/>
      <c r="C111" s="160"/>
      <c r="D111" s="161"/>
      <c r="E111" s="163"/>
      <c r="F111" s="163"/>
      <c r="G111" s="164"/>
      <c r="AD111" s="9"/>
      <c r="AE111" s="9"/>
      <c r="AF111" s="9"/>
      <c r="AG111" s="9"/>
      <c r="AH111" s="9"/>
      <c r="AI111" s="9"/>
      <c r="AJ111" s="9"/>
      <c r="AK111" s="9"/>
      <c r="AL111" s="9"/>
      <c r="AM111" s="9"/>
      <c r="AN111" s="9"/>
      <c r="AO111" s="9"/>
      <c r="AP111" s="9"/>
      <c r="AQ111" s="9"/>
      <c r="AR111" s="9"/>
      <c r="AS111" s="9"/>
      <c r="AT111" s="9"/>
      <c r="AU111" s="9"/>
      <c r="AV111" s="9"/>
      <c r="AW111" s="9"/>
      <c r="AX111" s="9"/>
      <c r="AY111" s="9"/>
      <c r="AZ111" s="9"/>
      <c r="BA111" s="9"/>
      <c r="BB111" s="9"/>
      <c r="BC111" s="9"/>
      <c r="BD111" s="9"/>
      <c r="BE111" s="9"/>
      <c r="BF111" s="9"/>
      <c r="BG111" s="9"/>
      <c r="BH111" s="9"/>
      <c r="BI111" s="9"/>
      <c r="BJ111" s="9"/>
      <c r="BK111" s="9"/>
      <c r="BL111" s="9"/>
      <c r="BM111" s="9"/>
      <c r="BN111" s="9"/>
      <c r="BO111" s="9"/>
      <c r="BP111" s="9"/>
    </row>
    <row r="112" spans="1:68">
      <c r="C112" s="166"/>
      <c r="D112" s="161"/>
      <c r="E112" s="163"/>
      <c r="F112" s="163"/>
      <c r="G112" s="164"/>
      <c r="AD112" s="9"/>
      <c r="AE112" s="9"/>
      <c r="AF112" s="9"/>
      <c r="AG112" s="9"/>
      <c r="AH112" s="9"/>
      <c r="AI112" s="9"/>
      <c r="AJ112" s="9"/>
      <c r="AK112" s="9"/>
      <c r="AL112" s="9"/>
      <c r="AM112" s="9"/>
      <c r="AN112" s="9"/>
      <c r="AO112" s="9"/>
      <c r="AP112" s="9"/>
      <c r="AQ112" s="9"/>
      <c r="AR112" s="9"/>
      <c r="AS112" s="9"/>
      <c r="AT112" s="9"/>
      <c r="AU112" s="9"/>
      <c r="AV112" s="9"/>
      <c r="AW112" s="9"/>
      <c r="AX112" s="9"/>
      <c r="AY112" s="9"/>
      <c r="AZ112" s="9"/>
      <c r="BA112" s="9"/>
      <c r="BB112" s="9"/>
      <c r="BC112" s="9"/>
      <c r="BD112" s="9"/>
      <c r="BE112" s="9"/>
      <c r="BF112" s="9"/>
      <c r="BG112" s="9"/>
      <c r="BH112" s="9"/>
      <c r="BI112" s="9"/>
      <c r="BJ112" s="9"/>
      <c r="BK112" s="9"/>
      <c r="BL112" s="9"/>
      <c r="BM112" s="9"/>
      <c r="BN112" s="9"/>
      <c r="BO112" s="9"/>
      <c r="BP112" s="9"/>
    </row>
    <row r="113" spans="1:68">
      <c r="C113" s="166"/>
      <c r="D113" s="161"/>
      <c r="E113" s="157"/>
      <c r="F113" s="163"/>
      <c r="G113" s="164"/>
      <c r="AD113" s="9"/>
      <c r="AE113" s="9"/>
      <c r="AF113" s="9"/>
      <c r="AG113" s="9"/>
      <c r="AH113" s="9"/>
      <c r="AI113" s="9"/>
      <c r="AJ113" s="9"/>
      <c r="AK113" s="9"/>
      <c r="AL113" s="9"/>
      <c r="AM113" s="9"/>
      <c r="AN113" s="9"/>
      <c r="AO113" s="9"/>
      <c r="AP113" s="9"/>
      <c r="AQ113" s="9"/>
      <c r="AR113" s="9"/>
      <c r="AS113" s="9"/>
      <c r="AT113" s="9"/>
      <c r="AU113" s="9"/>
      <c r="AV113" s="9"/>
      <c r="AW113" s="9"/>
      <c r="AX113" s="9"/>
      <c r="AY113" s="9"/>
      <c r="AZ113" s="9"/>
      <c r="BA113" s="9"/>
      <c r="BB113" s="9"/>
      <c r="BC113" s="9"/>
      <c r="BD113" s="9"/>
      <c r="BE113" s="9"/>
      <c r="BF113" s="9"/>
      <c r="BG113" s="9"/>
      <c r="BH113" s="9"/>
      <c r="BI113" s="9"/>
      <c r="BJ113" s="9"/>
      <c r="BK113" s="9"/>
      <c r="BL113" s="9"/>
      <c r="BM113" s="9"/>
      <c r="BN113" s="9"/>
      <c r="BO113" s="9"/>
      <c r="BP113" s="9"/>
    </row>
    <row r="114" spans="1:68">
      <c r="C114" s="166"/>
      <c r="D114" s="168"/>
      <c r="E114" s="163"/>
      <c r="F114" s="163"/>
      <c r="G114" s="164"/>
      <c r="AD114" s="9"/>
      <c r="AE114" s="9"/>
      <c r="AF114" s="9"/>
      <c r="AG114" s="9"/>
      <c r="AH114" s="9"/>
      <c r="AI114" s="9"/>
      <c r="AJ114" s="9"/>
      <c r="AK114" s="9"/>
      <c r="AL114" s="9"/>
      <c r="AM114" s="9"/>
      <c r="AN114" s="9"/>
      <c r="AO114" s="9"/>
      <c r="AP114" s="9"/>
      <c r="AQ114" s="9"/>
      <c r="AR114" s="9"/>
      <c r="AS114" s="9"/>
      <c r="AT114" s="9"/>
      <c r="AU114" s="9"/>
      <c r="AV114" s="9"/>
      <c r="AW114" s="9"/>
      <c r="AX114" s="9"/>
      <c r="AY114" s="9"/>
      <c r="AZ114" s="9"/>
      <c r="BA114" s="9"/>
      <c r="BB114" s="9"/>
      <c r="BC114" s="9"/>
      <c r="BD114" s="9"/>
      <c r="BE114" s="9"/>
      <c r="BF114" s="9"/>
      <c r="BG114" s="9"/>
      <c r="BH114" s="9"/>
      <c r="BI114" s="9"/>
      <c r="BJ114" s="9"/>
      <c r="BK114" s="9"/>
      <c r="BL114" s="9"/>
      <c r="BM114" s="9"/>
      <c r="BN114" s="9"/>
      <c r="BO114" s="9"/>
      <c r="BP114" s="9"/>
    </row>
    <row r="115" spans="1:68">
      <c r="C115" s="166"/>
      <c r="D115" s="161"/>
      <c r="E115" s="157"/>
      <c r="F115" s="163"/>
      <c r="G115" s="164"/>
      <c r="AD115" s="9"/>
      <c r="AE115" s="9"/>
      <c r="AF115" s="9"/>
      <c r="AG115" s="9"/>
      <c r="AH115" s="9"/>
      <c r="AI115" s="9"/>
      <c r="AJ115" s="9"/>
      <c r="AK115" s="9"/>
      <c r="AL115" s="9"/>
      <c r="AM115" s="9"/>
      <c r="AN115" s="9"/>
      <c r="AO115" s="9"/>
      <c r="AP115" s="9"/>
      <c r="AQ115" s="9"/>
      <c r="AR115" s="9"/>
      <c r="AS115" s="9"/>
      <c r="AT115" s="9"/>
      <c r="AU115" s="9"/>
      <c r="AV115" s="9"/>
      <c r="AW115" s="9"/>
      <c r="AX115" s="9"/>
      <c r="AY115" s="9"/>
      <c r="AZ115" s="9"/>
      <c r="BA115" s="9"/>
      <c r="BB115" s="9"/>
      <c r="BC115" s="9"/>
      <c r="BD115" s="9"/>
      <c r="BE115" s="9"/>
      <c r="BF115" s="9"/>
      <c r="BG115" s="9"/>
      <c r="BH115" s="9"/>
      <c r="BI115" s="9"/>
      <c r="BJ115" s="9"/>
      <c r="BK115" s="9"/>
      <c r="BL115" s="9"/>
      <c r="BM115" s="9"/>
      <c r="BN115" s="9"/>
      <c r="BO115" s="9"/>
      <c r="BP115" s="9"/>
    </row>
    <row r="116" spans="1:68">
      <c r="AD116" s="9"/>
      <c r="AE116" s="9"/>
      <c r="AF116" s="9"/>
      <c r="AG116" s="9"/>
      <c r="AH116" s="9"/>
      <c r="AI116" s="9"/>
      <c r="AJ116" s="9"/>
      <c r="AK116" s="9"/>
      <c r="AL116" s="9"/>
      <c r="AM116" s="9"/>
      <c r="AN116" s="9"/>
      <c r="AO116" s="9"/>
      <c r="AP116" s="9"/>
      <c r="AQ116" s="9"/>
      <c r="AR116" s="9"/>
      <c r="AS116" s="9"/>
      <c r="AT116" s="9"/>
      <c r="AU116" s="9"/>
      <c r="AV116" s="9"/>
      <c r="AW116" s="9"/>
      <c r="AX116" s="9"/>
      <c r="AY116" s="9"/>
      <c r="AZ116" s="9"/>
      <c r="BA116" s="9"/>
      <c r="BB116" s="9"/>
      <c r="BC116" s="9"/>
      <c r="BD116" s="9"/>
      <c r="BE116" s="9"/>
      <c r="BF116" s="9"/>
      <c r="BG116" s="9"/>
      <c r="BH116" s="9"/>
      <c r="BI116" s="9"/>
      <c r="BJ116" s="9"/>
      <c r="BK116" s="9"/>
      <c r="BL116" s="9"/>
      <c r="BM116" s="9"/>
      <c r="BN116" s="9"/>
      <c r="BO116" s="9"/>
      <c r="BP116" s="9"/>
    </row>
    <row r="117" spans="1:68">
      <c r="AD117" s="9"/>
      <c r="AE117" s="9"/>
      <c r="AF117" s="9"/>
      <c r="AG117" s="9"/>
      <c r="AH117" s="9"/>
      <c r="AI117" s="9"/>
      <c r="AJ117" s="9"/>
      <c r="AK117" s="9"/>
      <c r="AL117" s="9"/>
      <c r="AM117" s="9"/>
      <c r="AN117" s="9"/>
      <c r="AO117" s="9"/>
      <c r="AP117" s="9"/>
      <c r="AQ117" s="9"/>
      <c r="AR117" s="9"/>
      <c r="AS117" s="9"/>
      <c r="AT117" s="9"/>
      <c r="AU117" s="9"/>
      <c r="AV117" s="9"/>
      <c r="AW117" s="9"/>
      <c r="AX117" s="9"/>
      <c r="AY117" s="9"/>
      <c r="AZ117" s="9"/>
      <c r="BA117" s="9"/>
      <c r="BB117" s="9"/>
      <c r="BC117" s="9"/>
      <c r="BD117" s="9"/>
      <c r="BE117" s="9"/>
      <c r="BF117" s="9"/>
      <c r="BG117" s="9"/>
      <c r="BH117" s="9"/>
      <c r="BI117" s="9"/>
      <c r="BJ117" s="9"/>
      <c r="BK117" s="9"/>
      <c r="BL117" s="9"/>
      <c r="BM117" s="9"/>
      <c r="BN117" s="9"/>
      <c r="BO117" s="9"/>
      <c r="BP117" s="9"/>
    </row>
    <row r="118" spans="1:68">
      <c r="A118" s="824"/>
      <c r="B118" s="824"/>
      <c r="C118" s="155"/>
      <c r="D118" s="155"/>
      <c r="E118" s="157"/>
      <c r="F118" s="157"/>
      <c r="G118" s="157"/>
      <c r="AD118" s="9"/>
      <c r="AE118" s="9"/>
      <c r="AF118" s="9"/>
      <c r="AG118" s="9"/>
      <c r="AH118" s="9"/>
      <c r="AI118" s="9"/>
      <c r="AJ118" s="9"/>
      <c r="AK118" s="9"/>
      <c r="AL118" s="9"/>
      <c r="AM118" s="9"/>
      <c r="AN118" s="9"/>
      <c r="AO118" s="9"/>
      <c r="AP118" s="9"/>
      <c r="AQ118" s="9"/>
      <c r="AR118" s="9"/>
      <c r="AS118" s="9"/>
      <c r="AT118" s="9"/>
      <c r="AU118" s="9"/>
      <c r="AV118" s="9"/>
      <c r="AW118" s="9"/>
      <c r="AX118" s="9"/>
      <c r="AY118" s="9"/>
      <c r="AZ118" s="9"/>
      <c r="BA118" s="9"/>
      <c r="BB118" s="9"/>
      <c r="BC118" s="9"/>
      <c r="BD118" s="9"/>
      <c r="BE118" s="9"/>
      <c r="BF118" s="9"/>
      <c r="BG118" s="9"/>
      <c r="BH118" s="9"/>
      <c r="BI118" s="9"/>
      <c r="BJ118" s="9"/>
      <c r="BK118" s="9"/>
      <c r="BL118" s="9"/>
      <c r="BM118" s="9"/>
      <c r="BN118" s="9"/>
      <c r="BO118" s="9"/>
      <c r="BP118" s="9"/>
    </row>
    <row r="119" spans="1:68">
      <c r="A119" s="824"/>
      <c r="B119" s="824"/>
      <c r="C119" s="155"/>
      <c r="D119" s="155"/>
      <c r="E119" s="157"/>
      <c r="F119" s="157"/>
      <c r="G119" s="826"/>
      <c r="AD119" s="9"/>
      <c r="AE119" s="9"/>
      <c r="AF119" s="9"/>
      <c r="AG119" s="9"/>
      <c r="AH119" s="9"/>
      <c r="AI119" s="9"/>
      <c r="AJ119" s="9"/>
      <c r="AK119" s="9"/>
      <c r="AL119" s="9"/>
      <c r="AM119" s="9"/>
      <c r="AN119" s="9"/>
      <c r="AO119" s="9"/>
      <c r="AP119" s="9"/>
      <c r="AQ119" s="9"/>
      <c r="AR119" s="9"/>
      <c r="AS119" s="9"/>
      <c r="AT119" s="9"/>
      <c r="AU119" s="9"/>
      <c r="AV119" s="9"/>
      <c r="AW119" s="9"/>
      <c r="AX119" s="9"/>
      <c r="AY119" s="9"/>
      <c r="AZ119" s="9"/>
      <c r="BA119" s="9"/>
      <c r="BB119" s="9"/>
      <c r="BC119" s="9"/>
      <c r="BD119" s="9"/>
      <c r="BE119" s="9"/>
      <c r="BF119" s="9"/>
      <c r="BG119" s="9"/>
      <c r="BH119" s="9"/>
      <c r="BI119" s="9"/>
      <c r="BJ119" s="9"/>
      <c r="BK119" s="9"/>
      <c r="BL119" s="9"/>
      <c r="BM119" s="9"/>
      <c r="BN119" s="9"/>
      <c r="BO119" s="9"/>
      <c r="BP119" s="9"/>
    </row>
    <row r="120" spans="1:68">
      <c r="A120" s="824"/>
      <c r="B120" s="824"/>
      <c r="C120" s="157"/>
      <c r="D120" s="157"/>
      <c r="E120" s="163"/>
      <c r="F120" s="157"/>
      <c r="G120" s="826"/>
      <c r="AD120" s="9"/>
      <c r="AE120" s="9"/>
      <c r="AF120" s="9"/>
      <c r="AG120" s="9"/>
      <c r="AH120" s="9"/>
      <c r="AI120" s="9"/>
      <c r="AJ120" s="9"/>
      <c r="AK120" s="9"/>
      <c r="AL120" s="9"/>
      <c r="AM120" s="9"/>
      <c r="AN120" s="9"/>
      <c r="AO120" s="9"/>
      <c r="AP120" s="9"/>
      <c r="AQ120" s="9"/>
      <c r="AR120" s="9"/>
      <c r="AS120" s="9"/>
      <c r="AT120" s="9"/>
      <c r="AU120" s="9"/>
      <c r="AV120" s="9"/>
      <c r="AW120" s="9"/>
      <c r="AX120" s="9"/>
      <c r="AY120" s="9"/>
      <c r="AZ120" s="9"/>
      <c r="BA120" s="9"/>
      <c r="BB120" s="9"/>
      <c r="BC120" s="9"/>
      <c r="BD120" s="9"/>
      <c r="BE120" s="9"/>
      <c r="BF120" s="9"/>
      <c r="BG120" s="9"/>
      <c r="BH120" s="9"/>
      <c r="BI120" s="9"/>
      <c r="BJ120" s="9"/>
      <c r="BK120" s="9"/>
      <c r="BL120" s="9"/>
      <c r="BM120" s="9"/>
      <c r="BN120" s="9"/>
      <c r="BO120" s="9"/>
      <c r="BP120" s="9"/>
    </row>
    <row r="121" spans="1:68">
      <c r="A121" s="824"/>
      <c r="B121" s="824"/>
      <c r="C121" s="160"/>
      <c r="D121" s="161"/>
      <c r="E121" s="163"/>
      <c r="F121" s="163"/>
      <c r="G121" s="164"/>
      <c r="AD121" s="9"/>
      <c r="AE121" s="9"/>
      <c r="AF121" s="9"/>
      <c r="AG121" s="9"/>
      <c r="AH121" s="9"/>
      <c r="AI121" s="9"/>
      <c r="AJ121" s="9"/>
      <c r="AK121" s="9"/>
      <c r="AL121" s="9"/>
      <c r="AM121" s="9"/>
      <c r="AN121" s="9"/>
      <c r="AO121" s="9"/>
      <c r="AP121" s="9"/>
      <c r="AQ121" s="9"/>
      <c r="AR121" s="9"/>
      <c r="AS121" s="9"/>
      <c r="AT121" s="9"/>
      <c r="AU121" s="9"/>
      <c r="AV121" s="9"/>
      <c r="AW121" s="9"/>
      <c r="AX121" s="9"/>
      <c r="AY121" s="9"/>
      <c r="AZ121" s="9"/>
      <c r="BA121" s="9"/>
      <c r="BB121" s="9"/>
      <c r="BC121" s="9"/>
      <c r="BD121" s="9"/>
      <c r="BE121" s="9"/>
      <c r="BF121" s="9"/>
      <c r="BG121" s="9"/>
      <c r="BH121" s="9"/>
      <c r="BI121" s="9"/>
      <c r="BJ121" s="9"/>
      <c r="BK121" s="9"/>
      <c r="BL121" s="9"/>
      <c r="BM121" s="9"/>
      <c r="BN121" s="9"/>
      <c r="BO121" s="9"/>
      <c r="BP121" s="9"/>
    </row>
    <row r="122" spans="1:68">
      <c r="A122" s="824"/>
      <c r="B122" s="824"/>
      <c r="C122" s="166"/>
      <c r="D122" s="161"/>
      <c r="E122" s="163"/>
      <c r="F122" s="163"/>
      <c r="G122" s="164"/>
      <c r="AD122" s="9"/>
      <c r="AE122" s="9"/>
      <c r="AF122" s="9"/>
      <c r="AG122" s="9"/>
      <c r="AH122" s="9"/>
      <c r="AI122" s="9"/>
      <c r="AJ122" s="9"/>
      <c r="AK122" s="9"/>
      <c r="AL122" s="9"/>
      <c r="AM122" s="9"/>
      <c r="AN122" s="9"/>
      <c r="AO122" s="9"/>
      <c r="AP122" s="9"/>
      <c r="AQ122" s="9"/>
      <c r="AR122" s="9"/>
      <c r="AS122" s="9"/>
      <c r="AT122" s="9"/>
      <c r="AU122" s="9"/>
      <c r="AV122" s="9"/>
      <c r="AW122" s="9"/>
      <c r="AX122" s="9"/>
      <c r="AY122" s="9"/>
      <c r="AZ122" s="9"/>
      <c r="BA122" s="9"/>
      <c r="BB122" s="9"/>
      <c r="BC122" s="9"/>
      <c r="BD122" s="9"/>
      <c r="BE122" s="9"/>
      <c r="BF122" s="9"/>
      <c r="BG122" s="9"/>
      <c r="BH122" s="9"/>
      <c r="BI122" s="9"/>
      <c r="BJ122" s="9"/>
      <c r="BK122" s="9"/>
      <c r="BL122" s="9"/>
      <c r="BM122" s="9"/>
      <c r="BN122" s="9"/>
      <c r="BO122" s="9"/>
      <c r="BP122" s="9"/>
    </row>
    <row r="123" spans="1:68">
      <c r="A123" s="824"/>
      <c r="B123" s="824"/>
      <c r="C123" s="166"/>
      <c r="D123" s="161"/>
      <c r="E123" s="157"/>
      <c r="F123" s="163"/>
      <c r="G123" s="164"/>
      <c r="AD123" s="9"/>
      <c r="AE123" s="9"/>
      <c r="AF123" s="9"/>
      <c r="AG123" s="9"/>
      <c r="AH123" s="9"/>
      <c r="AI123" s="9"/>
      <c r="AJ123" s="9"/>
      <c r="AK123" s="9"/>
      <c r="AL123" s="9"/>
      <c r="AM123" s="9"/>
      <c r="AN123" s="9"/>
      <c r="AO123" s="9"/>
      <c r="AP123" s="9"/>
      <c r="AQ123" s="9"/>
      <c r="AR123" s="9"/>
      <c r="AS123" s="9"/>
      <c r="AT123" s="9"/>
      <c r="AU123" s="9"/>
      <c r="AV123" s="9"/>
      <c r="AW123" s="9"/>
      <c r="AX123" s="9"/>
      <c r="AY123" s="9"/>
      <c r="AZ123" s="9"/>
      <c r="BA123" s="9"/>
      <c r="BB123" s="9"/>
      <c r="BC123" s="9"/>
      <c r="BD123" s="9"/>
      <c r="BE123" s="9"/>
      <c r="BF123" s="9"/>
      <c r="BG123" s="9"/>
      <c r="BH123" s="9"/>
      <c r="BI123" s="9"/>
      <c r="BJ123" s="9"/>
      <c r="BK123" s="9"/>
      <c r="BL123" s="9"/>
      <c r="BM123" s="9"/>
      <c r="BN123" s="9"/>
      <c r="BO123" s="9"/>
      <c r="BP123" s="9"/>
    </row>
    <row r="124" spans="1:68">
      <c r="A124" s="824"/>
      <c r="B124" s="824"/>
      <c r="C124" s="155"/>
      <c r="D124" s="161"/>
      <c r="E124" s="163"/>
      <c r="F124" s="163"/>
      <c r="G124" s="164"/>
      <c r="AD124" s="9"/>
      <c r="AE124" s="9"/>
      <c r="AF124" s="9"/>
      <c r="AG124" s="9"/>
      <c r="AH124" s="9"/>
      <c r="AI124" s="9"/>
      <c r="AJ124" s="9"/>
      <c r="AK124" s="9"/>
      <c r="AL124" s="9"/>
      <c r="AM124" s="9"/>
      <c r="AN124" s="9"/>
      <c r="AO124" s="9"/>
      <c r="AP124" s="9"/>
      <c r="AQ124" s="9"/>
      <c r="AR124" s="9"/>
      <c r="AS124" s="9"/>
      <c r="AT124" s="9"/>
      <c r="AU124" s="9"/>
      <c r="AV124" s="9"/>
      <c r="AW124" s="9"/>
      <c r="AX124" s="9"/>
      <c r="AY124" s="9"/>
      <c r="AZ124" s="9"/>
      <c r="BA124" s="9"/>
      <c r="BB124" s="9"/>
      <c r="BC124" s="9"/>
      <c r="BD124" s="9"/>
      <c r="BE124" s="9"/>
      <c r="BF124" s="9"/>
      <c r="BG124" s="9"/>
      <c r="BH124" s="9"/>
      <c r="BI124" s="9"/>
      <c r="BJ124" s="9"/>
      <c r="BK124" s="9"/>
      <c r="BL124" s="9"/>
      <c r="BM124" s="9"/>
      <c r="BN124" s="9"/>
      <c r="BO124" s="9"/>
      <c r="BP124" s="9"/>
    </row>
    <row r="125" spans="1:68">
      <c r="A125" s="824"/>
      <c r="B125" s="824"/>
      <c r="C125" s="166"/>
      <c r="D125" s="161"/>
      <c r="E125" s="157"/>
      <c r="F125" s="163"/>
      <c r="G125" s="164"/>
      <c r="AD125" s="9"/>
      <c r="AE125" s="9"/>
      <c r="AF125" s="9"/>
      <c r="AG125" s="9"/>
      <c r="AH125" s="9"/>
      <c r="AI125" s="9"/>
      <c r="AJ125" s="9"/>
      <c r="AK125" s="9"/>
      <c r="AL125" s="9"/>
      <c r="AM125" s="9"/>
      <c r="AN125" s="9"/>
      <c r="AO125" s="9"/>
      <c r="AP125" s="9"/>
      <c r="AQ125" s="9"/>
      <c r="AR125" s="9"/>
      <c r="AS125" s="9"/>
      <c r="AT125" s="9"/>
      <c r="AU125" s="9"/>
      <c r="AV125" s="9"/>
      <c r="AW125" s="9"/>
      <c r="AX125" s="9"/>
      <c r="AY125" s="9"/>
      <c r="AZ125" s="9"/>
      <c r="BA125" s="9"/>
      <c r="BB125" s="9"/>
      <c r="BC125" s="9"/>
      <c r="BD125" s="9"/>
      <c r="BE125" s="9"/>
      <c r="BF125" s="9"/>
      <c r="BG125" s="9"/>
      <c r="BH125" s="9"/>
      <c r="BI125" s="9"/>
      <c r="BJ125" s="9"/>
      <c r="BK125" s="9"/>
      <c r="BL125" s="9"/>
      <c r="BM125" s="9"/>
      <c r="BN125" s="9"/>
      <c r="BO125" s="9"/>
      <c r="BP125" s="9"/>
    </row>
    <row r="126" spans="1:68">
      <c r="A126" s="824"/>
      <c r="B126" s="824"/>
      <c r="C126" s="166"/>
      <c r="D126" s="161"/>
      <c r="E126" s="163"/>
      <c r="F126" s="163"/>
      <c r="G126" s="164"/>
      <c r="AD126" s="9"/>
      <c r="AE126" s="9"/>
      <c r="AF126" s="9"/>
      <c r="AG126" s="9"/>
      <c r="AH126" s="9"/>
      <c r="AI126" s="9"/>
      <c r="AJ126" s="9"/>
      <c r="AK126" s="9"/>
      <c r="AL126" s="9"/>
      <c r="AM126" s="9"/>
      <c r="AN126" s="9"/>
      <c r="AO126" s="9"/>
      <c r="AP126" s="9"/>
      <c r="AQ126" s="9"/>
      <c r="AR126" s="9"/>
      <c r="AS126" s="9"/>
      <c r="AT126" s="9"/>
      <c r="AU126" s="9"/>
      <c r="AV126" s="9"/>
      <c r="AW126" s="9"/>
      <c r="AX126" s="9"/>
      <c r="AY126" s="9"/>
      <c r="AZ126" s="9"/>
      <c r="BA126" s="9"/>
      <c r="BB126" s="9"/>
      <c r="BC126" s="9"/>
      <c r="BD126" s="9"/>
      <c r="BE126" s="9"/>
      <c r="BF126" s="9"/>
      <c r="BG126" s="9"/>
      <c r="BH126" s="9"/>
      <c r="BI126" s="9"/>
      <c r="BJ126" s="9"/>
      <c r="BK126" s="9"/>
      <c r="BL126" s="9"/>
      <c r="BM126" s="9"/>
      <c r="BN126" s="9"/>
      <c r="BO126" s="9"/>
      <c r="BP126" s="9"/>
    </row>
    <row r="127" spans="1:68">
      <c r="A127" s="824"/>
      <c r="B127" s="824"/>
      <c r="C127" s="166"/>
      <c r="D127" s="161"/>
      <c r="E127" s="163"/>
      <c r="F127" s="163"/>
      <c r="G127" s="164"/>
      <c r="AD127" s="9"/>
      <c r="AE127" s="9"/>
      <c r="AF127" s="9"/>
      <c r="AG127" s="9"/>
      <c r="AH127" s="9"/>
      <c r="AI127" s="9"/>
      <c r="AJ127" s="9"/>
      <c r="AK127" s="9"/>
      <c r="AL127" s="9"/>
      <c r="AM127" s="9"/>
      <c r="AN127" s="9"/>
      <c r="AO127" s="9"/>
      <c r="AP127" s="9"/>
      <c r="AQ127" s="9"/>
      <c r="AR127" s="9"/>
      <c r="AS127" s="9"/>
      <c r="AT127" s="9"/>
      <c r="AU127" s="9"/>
      <c r="AV127" s="9"/>
      <c r="AW127" s="9"/>
      <c r="AX127" s="9"/>
      <c r="AY127" s="9"/>
      <c r="AZ127" s="9"/>
      <c r="BA127" s="9"/>
      <c r="BB127" s="9"/>
      <c r="BC127" s="9"/>
      <c r="BD127" s="9"/>
      <c r="BE127" s="9"/>
      <c r="BF127" s="9"/>
      <c r="BG127" s="9"/>
      <c r="BH127" s="9"/>
      <c r="BI127" s="9"/>
      <c r="BJ127" s="9"/>
      <c r="BK127" s="9"/>
      <c r="BL127" s="9"/>
      <c r="BM127" s="9"/>
      <c r="BN127" s="9"/>
      <c r="BO127" s="9"/>
      <c r="BP127" s="9"/>
    </row>
    <row r="128" spans="1:68">
      <c r="A128" s="824"/>
      <c r="B128" s="824"/>
      <c r="C128" s="166"/>
      <c r="D128" s="161"/>
      <c r="E128" s="163"/>
      <c r="F128" s="163"/>
      <c r="G128" s="164"/>
      <c r="AD128" s="9"/>
      <c r="AE128" s="9"/>
      <c r="AF128" s="9"/>
      <c r="AG128" s="9"/>
      <c r="AH128" s="9"/>
      <c r="AI128" s="9"/>
      <c r="AJ128" s="9"/>
      <c r="AK128" s="9"/>
      <c r="AL128" s="9"/>
      <c r="AM128" s="9"/>
      <c r="AN128" s="9"/>
      <c r="AO128" s="9"/>
      <c r="AP128" s="9"/>
      <c r="AQ128" s="9"/>
      <c r="AR128" s="9"/>
      <c r="AS128" s="9"/>
      <c r="AT128" s="9"/>
      <c r="AU128" s="9"/>
      <c r="AV128" s="9"/>
      <c r="AW128" s="9"/>
      <c r="AX128" s="9"/>
      <c r="AY128" s="9"/>
      <c r="AZ128" s="9"/>
      <c r="BA128" s="9"/>
      <c r="BB128" s="9"/>
      <c r="BC128" s="9"/>
      <c r="BD128" s="9"/>
      <c r="BE128" s="9"/>
      <c r="BF128" s="9"/>
      <c r="BG128" s="9"/>
      <c r="BH128" s="9"/>
      <c r="BI128" s="9"/>
      <c r="BJ128" s="9"/>
      <c r="BK128" s="9"/>
      <c r="BL128" s="9"/>
      <c r="BM128" s="9"/>
      <c r="BN128" s="9"/>
      <c r="BO128" s="9"/>
      <c r="BP128" s="9"/>
    </row>
    <row r="129" spans="1:68">
      <c r="A129" s="824"/>
      <c r="B129" s="824"/>
      <c r="C129" s="166"/>
      <c r="D129" s="161"/>
      <c r="E129" s="163"/>
      <c r="F129" s="163"/>
      <c r="G129" s="164"/>
      <c r="AD129" s="9"/>
      <c r="AE129" s="9"/>
      <c r="AF129" s="9"/>
      <c r="AG129" s="9"/>
      <c r="AH129" s="9"/>
      <c r="AI129" s="9"/>
      <c r="AJ129" s="9"/>
      <c r="AK129" s="9"/>
      <c r="AL129" s="9"/>
      <c r="AM129" s="9"/>
      <c r="AN129" s="9"/>
      <c r="AO129" s="9"/>
      <c r="AP129" s="9"/>
      <c r="AQ129" s="9"/>
      <c r="AR129" s="9"/>
      <c r="AS129" s="9"/>
      <c r="AT129" s="9"/>
      <c r="AU129" s="9"/>
      <c r="AV129" s="9"/>
      <c r="AW129" s="9"/>
      <c r="AX129" s="9"/>
      <c r="AY129" s="9"/>
      <c r="AZ129" s="9"/>
      <c r="BA129" s="9"/>
      <c r="BB129" s="9"/>
      <c r="BC129" s="9"/>
      <c r="BD129" s="9"/>
      <c r="BE129" s="9"/>
      <c r="BF129" s="9"/>
      <c r="BG129" s="9"/>
      <c r="BH129" s="9"/>
      <c r="BI129" s="9"/>
      <c r="BJ129" s="9"/>
      <c r="BK129" s="9"/>
      <c r="BL129" s="9"/>
      <c r="BM129" s="9"/>
      <c r="BN129" s="9"/>
      <c r="BO129" s="9"/>
      <c r="BP129" s="9"/>
    </row>
    <row r="130" spans="1:68">
      <c r="A130" s="824"/>
      <c r="B130" s="824"/>
      <c r="C130" s="166"/>
      <c r="D130" s="161"/>
      <c r="E130" s="163"/>
      <c r="F130" s="163"/>
      <c r="G130" s="164"/>
      <c r="AD130" s="9"/>
      <c r="AE130" s="9"/>
      <c r="AF130" s="9"/>
      <c r="AG130" s="9"/>
      <c r="AH130" s="9"/>
      <c r="AI130" s="9"/>
      <c r="AJ130" s="9"/>
      <c r="AK130" s="9"/>
      <c r="AL130" s="9"/>
      <c r="AM130" s="9"/>
      <c r="AN130" s="9"/>
      <c r="AO130" s="9"/>
      <c r="AP130" s="9"/>
      <c r="AQ130" s="9"/>
      <c r="AR130" s="9"/>
      <c r="AS130" s="9"/>
      <c r="AT130" s="9"/>
      <c r="AU130" s="9"/>
      <c r="AV130" s="9"/>
      <c r="AW130" s="9"/>
      <c r="AX130" s="9"/>
      <c r="AY130" s="9"/>
      <c r="AZ130" s="9"/>
      <c r="BA130" s="9"/>
      <c r="BB130" s="9"/>
      <c r="BC130" s="9"/>
      <c r="BD130" s="9"/>
      <c r="BE130" s="9"/>
      <c r="BF130" s="9"/>
      <c r="BG130" s="9"/>
      <c r="BH130" s="9"/>
      <c r="BI130" s="9"/>
      <c r="BJ130" s="9"/>
      <c r="BK130" s="9"/>
      <c r="BL130" s="9"/>
      <c r="BM130" s="9"/>
      <c r="BN130" s="9"/>
      <c r="BO130" s="9"/>
      <c r="BP130" s="9"/>
    </row>
    <row r="131" spans="1:68">
      <c r="A131" s="824"/>
      <c r="B131" s="824"/>
      <c r="C131" s="166"/>
      <c r="D131" s="161"/>
      <c r="E131" s="163"/>
      <c r="F131" s="163"/>
      <c r="G131" s="164"/>
      <c r="AD131" s="9"/>
      <c r="AE131" s="9"/>
      <c r="AF131" s="9"/>
      <c r="AG131" s="9"/>
      <c r="AH131" s="9"/>
      <c r="AI131" s="9"/>
      <c r="AJ131" s="9"/>
      <c r="AK131" s="9"/>
      <c r="AL131" s="9"/>
      <c r="AM131" s="9"/>
      <c r="AN131" s="9"/>
      <c r="AO131" s="9"/>
      <c r="AP131" s="9"/>
      <c r="AQ131" s="9"/>
      <c r="AR131" s="9"/>
      <c r="AS131" s="9"/>
      <c r="AT131" s="9"/>
      <c r="AU131" s="9"/>
      <c r="AV131" s="9"/>
      <c r="AW131" s="9"/>
      <c r="AX131" s="9"/>
      <c r="AY131" s="9"/>
      <c r="AZ131" s="9"/>
      <c r="BA131" s="9"/>
      <c r="BB131" s="9"/>
      <c r="BC131" s="9"/>
      <c r="BD131" s="9"/>
      <c r="BE131" s="9"/>
      <c r="BF131" s="9"/>
      <c r="BG131" s="9"/>
      <c r="BH131" s="9"/>
      <c r="BI131" s="9"/>
      <c r="BJ131" s="9"/>
      <c r="BK131" s="9"/>
      <c r="BL131" s="9"/>
      <c r="BM131" s="9"/>
      <c r="BN131" s="9"/>
      <c r="BO131" s="9"/>
      <c r="BP131" s="9"/>
    </row>
    <row r="132" spans="1:68">
      <c r="A132" s="824"/>
      <c r="B132" s="824"/>
      <c r="C132" s="166"/>
      <c r="D132" s="161"/>
      <c r="E132" s="163"/>
      <c r="F132" s="163"/>
      <c r="G132" s="164"/>
      <c r="AD132" s="9"/>
      <c r="AE132" s="9"/>
      <c r="AF132" s="9"/>
      <c r="AG132" s="9"/>
      <c r="AH132" s="9"/>
      <c r="AI132" s="9"/>
      <c r="AJ132" s="9"/>
      <c r="AK132" s="9"/>
      <c r="AL132" s="9"/>
      <c r="AM132" s="9"/>
      <c r="AN132" s="9"/>
      <c r="AO132" s="9"/>
      <c r="AP132" s="9"/>
      <c r="AQ132" s="9"/>
      <c r="AR132" s="9"/>
      <c r="AS132" s="9"/>
      <c r="AT132" s="9"/>
      <c r="AU132" s="9"/>
      <c r="AV132" s="9"/>
      <c r="AW132" s="9"/>
      <c r="AX132" s="9"/>
      <c r="AY132" s="9"/>
      <c r="AZ132" s="9"/>
      <c r="BA132" s="9"/>
      <c r="BB132" s="9"/>
      <c r="BC132" s="9"/>
      <c r="BD132" s="9"/>
      <c r="BE132" s="9"/>
      <c r="BF132" s="9"/>
      <c r="BG132" s="9"/>
      <c r="BH132" s="9"/>
      <c r="BI132" s="9"/>
      <c r="BJ132" s="9"/>
      <c r="BK132" s="9"/>
      <c r="BL132" s="9"/>
      <c r="BM132" s="9"/>
      <c r="BN132" s="9"/>
      <c r="BO132" s="9"/>
      <c r="BP132" s="9"/>
    </row>
    <row r="133" spans="1:68">
      <c r="A133" s="824"/>
      <c r="B133" s="824"/>
      <c r="C133" s="166"/>
      <c r="D133" s="161"/>
      <c r="E133" s="163"/>
      <c r="F133" s="163"/>
      <c r="G133" s="164"/>
      <c r="AD133" s="9"/>
      <c r="AE133" s="9"/>
      <c r="AF133" s="9"/>
      <c r="AG133" s="9"/>
      <c r="AH133" s="9"/>
      <c r="AI133" s="9"/>
      <c r="AJ133" s="9"/>
      <c r="AK133" s="9"/>
      <c r="AL133" s="9"/>
      <c r="AM133" s="9"/>
      <c r="AN133" s="9"/>
      <c r="AO133" s="9"/>
      <c r="AP133" s="9"/>
      <c r="AQ133" s="9"/>
      <c r="AR133" s="9"/>
      <c r="AS133" s="9"/>
      <c r="AT133" s="9"/>
      <c r="AU133" s="9"/>
      <c r="AV133" s="9"/>
      <c r="AW133" s="9"/>
      <c r="AX133" s="9"/>
      <c r="AY133" s="9"/>
      <c r="AZ133" s="9"/>
      <c r="BA133" s="9"/>
      <c r="BB133" s="9"/>
      <c r="BC133" s="9"/>
      <c r="BD133" s="9"/>
      <c r="BE133" s="9"/>
      <c r="BF133" s="9"/>
      <c r="BG133" s="9"/>
      <c r="BH133" s="9"/>
      <c r="BI133" s="9"/>
      <c r="BJ133" s="9"/>
      <c r="BK133" s="9"/>
      <c r="BL133" s="9"/>
      <c r="BM133" s="9"/>
      <c r="BN133" s="9"/>
      <c r="BO133" s="9"/>
      <c r="BP133" s="9"/>
    </row>
    <row r="134" spans="1:68">
      <c r="A134" s="824"/>
      <c r="B134" s="824"/>
      <c r="C134" s="166"/>
      <c r="D134" s="168"/>
      <c r="E134" s="163"/>
      <c r="F134" s="163"/>
      <c r="G134" s="164"/>
      <c r="AD134" s="9"/>
      <c r="AE134" s="9"/>
      <c r="AF134" s="9"/>
      <c r="AG134" s="9"/>
      <c r="AH134" s="9"/>
      <c r="AI134" s="9"/>
      <c r="AJ134" s="9"/>
      <c r="AK134" s="9"/>
      <c r="AL134" s="9"/>
      <c r="AM134" s="9"/>
      <c r="AN134" s="9"/>
      <c r="AO134" s="9"/>
      <c r="AP134" s="9"/>
      <c r="AQ134" s="9"/>
      <c r="AR134" s="9"/>
      <c r="AS134" s="9"/>
      <c r="AT134" s="9"/>
      <c r="AU134" s="9"/>
      <c r="AV134" s="9"/>
      <c r="AW134" s="9"/>
      <c r="AX134" s="9"/>
      <c r="AY134" s="9"/>
      <c r="AZ134" s="9"/>
      <c r="BA134" s="9"/>
      <c r="BB134" s="9"/>
      <c r="BC134" s="9"/>
      <c r="BD134" s="9"/>
      <c r="BE134" s="9"/>
      <c r="BF134" s="9"/>
      <c r="BG134" s="9"/>
      <c r="BH134" s="9"/>
      <c r="BI134" s="9"/>
      <c r="BJ134" s="9"/>
      <c r="BK134" s="9"/>
      <c r="BL134" s="9"/>
      <c r="BM134" s="9"/>
      <c r="BN134" s="9"/>
      <c r="BO134" s="9"/>
      <c r="BP134" s="9"/>
    </row>
    <row r="135" spans="1:68">
      <c r="A135" s="824"/>
      <c r="B135" s="824"/>
      <c r="C135" s="166"/>
      <c r="D135" s="161"/>
      <c r="E135" s="163"/>
      <c r="F135" s="163"/>
      <c r="G135" s="164"/>
      <c r="AD135" s="9"/>
      <c r="AE135" s="9"/>
      <c r="AF135" s="9"/>
      <c r="AG135" s="9"/>
      <c r="AH135" s="9"/>
      <c r="AI135" s="9"/>
      <c r="AJ135" s="9"/>
      <c r="AK135" s="9"/>
      <c r="AL135" s="9"/>
      <c r="AM135" s="9"/>
      <c r="AN135" s="9"/>
      <c r="AO135" s="9"/>
      <c r="AP135" s="9"/>
      <c r="AQ135" s="9"/>
      <c r="AR135" s="9"/>
      <c r="AS135" s="9"/>
      <c r="AT135" s="9"/>
      <c r="AU135" s="9"/>
      <c r="AV135" s="9"/>
      <c r="AW135" s="9"/>
      <c r="AX135" s="9"/>
      <c r="AY135" s="9"/>
      <c r="AZ135" s="9"/>
      <c r="BA135" s="9"/>
      <c r="BB135" s="9"/>
      <c r="BC135" s="9"/>
      <c r="BD135" s="9"/>
      <c r="BE135" s="9"/>
      <c r="BF135" s="9"/>
      <c r="BG135" s="9"/>
      <c r="BH135" s="9"/>
      <c r="BI135" s="9"/>
      <c r="BJ135" s="9"/>
      <c r="BK135" s="9"/>
      <c r="BL135" s="9"/>
      <c r="BM135" s="9"/>
      <c r="BN135" s="9"/>
      <c r="BO135" s="9"/>
      <c r="BP135" s="9"/>
    </row>
    <row r="136" spans="1:68">
      <c r="A136" s="824"/>
      <c r="B136" s="824"/>
      <c r="C136" s="160"/>
      <c r="D136" s="161"/>
      <c r="E136" s="163"/>
      <c r="F136" s="163"/>
      <c r="G136" s="164"/>
      <c r="AD136" s="9"/>
      <c r="AE136" s="9"/>
      <c r="AF136" s="9"/>
      <c r="AG136" s="9"/>
      <c r="AH136" s="9"/>
      <c r="AI136" s="9"/>
      <c r="AJ136" s="9"/>
      <c r="AK136" s="9"/>
      <c r="AL136" s="9"/>
      <c r="AM136" s="9"/>
      <c r="AN136" s="9"/>
      <c r="AO136" s="9"/>
      <c r="AP136" s="9"/>
      <c r="AQ136" s="9"/>
      <c r="AR136" s="9"/>
      <c r="AS136" s="9"/>
      <c r="AT136" s="9"/>
      <c r="AU136" s="9"/>
      <c r="AV136" s="9"/>
      <c r="AW136" s="9"/>
      <c r="AX136" s="9"/>
      <c r="AY136" s="9"/>
      <c r="AZ136" s="9"/>
      <c r="BA136" s="9"/>
      <c r="BB136" s="9"/>
      <c r="BC136" s="9"/>
      <c r="BD136" s="9"/>
      <c r="BE136" s="9"/>
      <c r="BF136" s="9"/>
      <c r="BG136" s="9"/>
      <c r="BH136" s="9"/>
      <c r="BI136" s="9"/>
      <c r="BJ136" s="9"/>
      <c r="BK136" s="9"/>
      <c r="BL136" s="9"/>
      <c r="BM136" s="9"/>
      <c r="BN136" s="9"/>
      <c r="BO136" s="9"/>
      <c r="BP136" s="9"/>
    </row>
    <row r="137" spans="1:68">
      <c r="A137" s="824"/>
      <c r="B137" s="824"/>
      <c r="C137" s="166"/>
      <c r="D137" s="161"/>
      <c r="E137" s="163"/>
      <c r="F137" s="163"/>
      <c r="G137" s="164"/>
      <c r="AD137" s="9"/>
      <c r="AE137" s="9"/>
      <c r="AF137" s="9"/>
      <c r="AG137" s="9"/>
      <c r="AH137" s="9"/>
      <c r="AI137" s="9"/>
      <c r="AJ137" s="9"/>
      <c r="AK137" s="9"/>
      <c r="AL137" s="9"/>
      <c r="AM137" s="9"/>
      <c r="AN137" s="9"/>
      <c r="AO137" s="9"/>
      <c r="AP137" s="9"/>
      <c r="AQ137" s="9"/>
      <c r="AR137" s="9"/>
      <c r="AS137" s="9"/>
      <c r="AT137" s="9"/>
      <c r="AU137" s="9"/>
      <c r="AV137" s="9"/>
      <c r="AW137" s="9"/>
      <c r="AX137" s="9"/>
      <c r="AY137" s="9"/>
      <c r="AZ137" s="9"/>
      <c r="BA137" s="9"/>
      <c r="BB137" s="9"/>
      <c r="BC137" s="9"/>
      <c r="BD137" s="9"/>
      <c r="BE137" s="9"/>
      <c r="BF137" s="9"/>
      <c r="BG137" s="9"/>
      <c r="BH137" s="9"/>
      <c r="BI137" s="9"/>
      <c r="BJ137" s="9"/>
      <c r="BK137" s="9"/>
      <c r="BL137" s="9"/>
      <c r="BM137" s="9"/>
      <c r="BN137" s="9"/>
      <c r="BO137" s="9"/>
      <c r="BP137" s="9"/>
    </row>
    <row r="138" spans="1:68">
      <c r="C138" s="166"/>
      <c r="D138" s="161"/>
      <c r="E138" s="157"/>
      <c r="F138" s="163"/>
      <c r="G138" s="164"/>
      <c r="AD138" s="9"/>
      <c r="AE138" s="9"/>
      <c r="AF138" s="9"/>
      <c r="AG138" s="9"/>
      <c r="AH138" s="9"/>
      <c r="AI138" s="9"/>
      <c r="AJ138" s="9"/>
      <c r="AK138" s="9"/>
      <c r="AL138" s="9"/>
      <c r="AM138" s="9"/>
      <c r="AN138" s="9"/>
      <c r="AO138" s="9"/>
      <c r="AP138" s="9"/>
      <c r="AQ138" s="9"/>
      <c r="AR138" s="9"/>
      <c r="AS138" s="9"/>
      <c r="AT138" s="9"/>
      <c r="AU138" s="9"/>
      <c r="AV138" s="9"/>
      <c r="AW138" s="9"/>
      <c r="AX138" s="9"/>
      <c r="AY138" s="9"/>
      <c r="AZ138" s="9"/>
      <c r="BA138" s="9"/>
      <c r="BB138" s="9"/>
      <c r="BC138" s="9"/>
      <c r="BD138" s="9"/>
      <c r="BE138" s="9"/>
      <c r="BF138" s="9"/>
      <c r="BG138" s="9"/>
      <c r="BH138" s="9"/>
      <c r="BI138" s="9"/>
      <c r="BJ138" s="9"/>
      <c r="BK138" s="9"/>
      <c r="BL138" s="9"/>
      <c r="BM138" s="9"/>
      <c r="BN138" s="9"/>
      <c r="BO138" s="9"/>
      <c r="BP138" s="9"/>
    </row>
    <row r="139" spans="1:68">
      <c r="C139" s="166"/>
      <c r="D139" s="168"/>
      <c r="E139" s="163"/>
      <c r="F139" s="163"/>
      <c r="G139" s="164"/>
      <c r="AD139" s="9"/>
      <c r="AE139" s="9"/>
      <c r="AF139" s="9"/>
      <c r="AG139" s="9"/>
      <c r="AH139" s="9"/>
      <c r="AI139" s="9"/>
      <c r="AJ139" s="9"/>
      <c r="AK139" s="9"/>
      <c r="AL139" s="9"/>
      <c r="AM139" s="9"/>
      <c r="AN139" s="9"/>
      <c r="AO139" s="9"/>
      <c r="AP139" s="9"/>
      <c r="AQ139" s="9"/>
      <c r="AR139" s="9"/>
      <c r="AS139" s="9"/>
      <c r="AT139" s="9"/>
      <c r="AU139" s="9"/>
      <c r="AV139" s="9"/>
      <c r="AW139" s="9"/>
      <c r="AX139" s="9"/>
      <c r="AY139" s="9"/>
      <c r="AZ139" s="9"/>
      <c r="BA139" s="9"/>
      <c r="BB139" s="9"/>
      <c r="BC139" s="9"/>
      <c r="BD139" s="9"/>
      <c r="BE139" s="9"/>
      <c r="BF139" s="9"/>
      <c r="BG139" s="9"/>
      <c r="BH139" s="9"/>
      <c r="BI139" s="9"/>
      <c r="BJ139" s="9"/>
      <c r="BK139" s="9"/>
      <c r="BL139" s="9"/>
      <c r="BM139" s="9"/>
      <c r="BN139" s="9"/>
      <c r="BO139" s="9"/>
      <c r="BP139" s="9"/>
    </row>
    <row r="140" spans="1:68">
      <c r="C140" s="166"/>
      <c r="D140" s="161"/>
      <c r="E140" s="157"/>
      <c r="F140" s="163"/>
      <c r="G140" s="164"/>
      <c r="AD140" s="9"/>
      <c r="AE140" s="9"/>
      <c r="AF140" s="9"/>
      <c r="AG140" s="9"/>
      <c r="AH140" s="9"/>
      <c r="AI140" s="9"/>
      <c r="AJ140" s="9"/>
      <c r="AK140" s="9"/>
      <c r="AL140" s="9"/>
      <c r="AM140" s="9"/>
      <c r="AN140" s="9"/>
      <c r="AO140" s="9"/>
      <c r="AP140" s="9"/>
      <c r="AQ140" s="9"/>
      <c r="AR140" s="9"/>
      <c r="AS140" s="9"/>
      <c r="AT140" s="9"/>
      <c r="AU140" s="9"/>
      <c r="AV140" s="9"/>
      <c r="AW140" s="9"/>
      <c r="AX140" s="9"/>
      <c r="AY140" s="9"/>
      <c r="AZ140" s="9"/>
      <c r="BA140" s="9"/>
      <c r="BB140" s="9"/>
      <c r="BC140" s="9"/>
      <c r="BD140" s="9"/>
      <c r="BE140" s="9"/>
      <c r="BF140" s="9"/>
      <c r="BG140" s="9"/>
      <c r="BH140" s="9"/>
      <c r="BI140" s="9"/>
      <c r="BJ140" s="9"/>
      <c r="BK140" s="9"/>
      <c r="BL140" s="9"/>
      <c r="BM140" s="9"/>
      <c r="BN140" s="9"/>
      <c r="BO140" s="9"/>
      <c r="BP140" s="9"/>
    </row>
    <row r="141" spans="1:68">
      <c r="AD141" s="9"/>
      <c r="AE141" s="9"/>
      <c r="AF141" s="9"/>
      <c r="AG141" s="9"/>
      <c r="AH141" s="9"/>
      <c r="AI141" s="9"/>
      <c r="AJ141" s="9"/>
      <c r="AK141" s="9"/>
      <c r="AL141" s="9"/>
      <c r="AM141" s="9"/>
      <c r="AN141" s="9"/>
      <c r="AO141" s="9"/>
      <c r="AP141" s="9"/>
      <c r="AQ141" s="9"/>
      <c r="AR141" s="9"/>
      <c r="AS141" s="9"/>
      <c r="AT141" s="9"/>
      <c r="AU141" s="9"/>
      <c r="AV141" s="9"/>
      <c r="AW141" s="9"/>
      <c r="AX141" s="9"/>
      <c r="AY141" s="9"/>
      <c r="AZ141" s="9"/>
      <c r="BA141" s="9"/>
      <c r="BB141" s="9"/>
      <c r="BC141" s="9"/>
      <c r="BD141" s="9"/>
      <c r="BE141" s="9"/>
      <c r="BF141" s="9"/>
      <c r="BG141" s="9"/>
      <c r="BH141" s="9"/>
      <c r="BI141" s="9"/>
      <c r="BJ141" s="9"/>
      <c r="BK141" s="9"/>
      <c r="BL141" s="9"/>
      <c r="BM141" s="9"/>
      <c r="BN141" s="9"/>
      <c r="BO141" s="9"/>
      <c r="BP141" s="9"/>
    </row>
    <row r="142" spans="1:68">
      <c r="AD142" s="9"/>
      <c r="AE142" s="9"/>
      <c r="AF142" s="9"/>
      <c r="AG142" s="9"/>
      <c r="AH142" s="9"/>
      <c r="AI142" s="9"/>
      <c r="AJ142" s="9"/>
      <c r="AK142" s="9"/>
      <c r="AL142" s="9"/>
      <c r="AM142" s="9"/>
      <c r="AN142" s="9"/>
      <c r="AO142" s="9"/>
      <c r="AP142" s="9"/>
      <c r="AQ142" s="9"/>
      <c r="AR142" s="9"/>
      <c r="AS142" s="9"/>
      <c r="AT142" s="9"/>
      <c r="AU142" s="9"/>
      <c r="AV142" s="9"/>
      <c r="AW142" s="9"/>
      <c r="AX142" s="9"/>
      <c r="AY142" s="9"/>
      <c r="AZ142" s="9"/>
      <c r="BA142" s="9"/>
      <c r="BB142" s="9"/>
      <c r="BC142" s="9"/>
      <c r="BD142" s="9"/>
      <c r="BE142" s="9"/>
      <c r="BF142" s="9"/>
      <c r="BG142" s="9"/>
      <c r="BH142" s="9"/>
      <c r="BI142" s="9"/>
      <c r="BJ142" s="9"/>
      <c r="BK142" s="9"/>
      <c r="BL142" s="9"/>
      <c r="BM142" s="9"/>
      <c r="BN142" s="9"/>
      <c r="BO142" s="9"/>
      <c r="BP142" s="9"/>
    </row>
    <row r="143" spans="1:68">
      <c r="A143" s="824"/>
      <c r="B143" s="824"/>
      <c r="C143" s="155"/>
      <c r="D143" s="155"/>
      <c r="E143" s="157"/>
      <c r="F143" s="157"/>
      <c r="G143" s="157"/>
      <c r="AD143" s="9"/>
      <c r="AE143" s="9"/>
      <c r="AF143" s="9"/>
      <c r="AG143" s="9"/>
      <c r="AH143" s="9"/>
      <c r="AI143" s="9"/>
      <c r="AJ143" s="9"/>
      <c r="AK143" s="9"/>
      <c r="AL143" s="9"/>
      <c r="AM143" s="9"/>
      <c r="AN143" s="9"/>
      <c r="AO143" s="9"/>
      <c r="AP143" s="9"/>
      <c r="AQ143" s="9"/>
      <c r="AR143" s="9"/>
      <c r="AS143" s="9"/>
      <c r="AT143" s="9"/>
      <c r="AU143" s="9"/>
      <c r="AV143" s="9"/>
      <c r="AW143" s="9"/>
      <c r="AX143" s="9"/>
      <c r="AY143" s="9"/>
      <c r="AZ143" s="9"/>
      <c r="BA143" s="9"/>
      <c r="BB143" s="9"/>
      <c r="BC143" s="9"/>
      <c r="BD143" s="9"/>
      <c r="BE143" s="9"/>
      <c r="BF143" s="9"/>
      <c r="BG143" s="9"/>
      <c r="BH143" s="9"/>
      <c r="BI143" s="9"/>
      <c r="BJ143" s="9"/>
      <c r="BK143" s="9"/>
      <c r="BL143" s="9"/>
      <c r="BM143" s="9"/>
      <c r="BN143" s="9"/>
      <c r="BO143" s="9"/>
      <c r="BP143" s="9"/>
    </row>
    <row r="144" spans="1:68">
      <c r="A144" s="824"/>
      <c r="B144" s="824"/>
      <c r="C144" s="155"/>
      <c r="D144" s="155"/>
      <c r="E144" s="157"/>
      <c r="F144" s="157"/>
      <c r="G144" s="826"/>
      <c r="AD144" s="9"/>
      <c r="AE144" s="9"/>
      <c r="AF144" s="9"/>
      <c r="AG144" s="9"/>
      <c r="AH144" s="9"/>
      <c r="AI144" s="9"/>
      <c r="AJ144" s="9"/>
      <c r="AK144" s="9"/>
      <c r="AL144" s="9"/>
      <c r="AM144" s="9"/>
      <c r="AN144" s="9"/>
      <c r="AO144" s="9"/>
      <c r="AP144" s="9"/>
      <c r="AQ144" s="9"/>
      <c r="AR144" s="9"/>
      <c r="AS144" s="9"/>
      <c r="AT144" s="9"/>
      <c r="AU144" s="9"/>
      <c r="AV144" s="9"/>
      <c r="AW144" s="9"/>
      <c r="AX144" s="9"/>
      <c r="AY144" s="9"/>
      <c r="AZ144" s="9"/>
      <c r="BA144" s="9"/>
      <c r="BB144" s="9"/>
      <c r="BC144" s="9"/>
      <c r="BD144" s="9"/>
      <c r="BE144" s="9"/>
      <c r="BF144" s="9"/>
      <c r="BG144" s="9"/>
      <c r="BH144" s="9"/>
      <c r="BI144" s="9"/>
      <c r="BJ144" s="9"/>
      <c r="BK144" s="9"/>
      <c r="BL144" s="9"/>
      <c r="BM144" s="9"/>
      <c r="BN144" s="9"/>
      <c r="BO144" s="9"/>
      <c r="BP144" s="9"/>
    </row>
    <row r="145" spans="1:68">
      <c r="A145" s="824"/>
      <c r="B145" s="824"/>
      <c r="C145" s="157"/>
      <c r="D145" s="157"/>
      <c r="E145" s="163"/>
      <c r="F145" s="157"/>
      <c r="G145" s="826"/>
      <c r="AD145" s="9"/>
      <c r="AE145" s="9"/>
      <c r="AF145" s="9"/>
      <c r="AG145" s="9"/>
      <c r="AH145" s="9"/>
      <c r="AI145" s="9"/>
      <c r="AJ145" s="9"/>
      <c r="AK145" s="9"/>
      <c r="AL145" s="9"/>
      <c r="AM145" s="9"/>
      <c r="AN145" s="9"/>
      <c r="AO145" s="9"/>
      <c r="AP145" s="9"/>
      <c r="AQ145" s="9"/>
      <c r="AR145" s="9"/>
      <c r="AS145" s="9"/>
      <c r="AT145" s="9"/>
      <c r="AU145" s="9"/>
      <c r="AV145" s="9"/>
      <c r="AW145" s="9"/>
      <c r="AX145" s="9"/>
      <c r="AY145" s="9"/>
      <c r="AZ145" s="9"/>
      <c r="BA145" s="9"/>
      <c r="BB145" s="9"/>
      <c r="BC145" s="9"/>
      <c r="BD145" s="9"/>
      <c r="BE145" s="9"/>
      <c r="BF145" s="9"/>
      <c r="BG145" s="9"/>
      <c r="BH145" s="9"/>
      <c r="BI145" s="9"/>
      <c r="BJ145" s="9"/>
      <c r="BK145" s="9"/>
      <c r="BL145" s="9"/>
      <c r="BM145" s="9"/>
      <c r="BN145" s="9"/>
      <c r="BO145" s="9"/>
      <c r="BP145" s="9"/>
    </row>
    <row r="146" spans="1:68">
      <c r="A146" s="824"/>
      <c r="B146" s="824"/>
      <c r="C146" s="160"/>
      <c r="D146" s="161"/>
      <c r="E146" s="163"/>
      <c r="F146" s="163"/>
      <c r="G146" s="164"/>
      <c r="AD146" s="9"/>
      <c r="AE146" s="9"/>
      <c r="AF146" s="9"/>
      <c r="AG146" s="9"/>
      <c r="AH146" s="9"/>
      <c r="AI146" s="9"/>
      <c r="AJ146" s="9"/>
      <c r="AK146" s="9"/>
      <c r="AL146" s="9"/>
      <c r="AM146" s="9"/>
      <c r="AN146" s="9"/>
      <c r="AO146" s="9"/>
      <c r="AP146" s="9"/>
      <c r="AQ146" s="9"/>
      <c r="AR146" s="9"/>
      <c r="AS146" s="9"/>
      <c r="AT146" s="9"/>
      <c r="AU146" s="9"/>
      <c r="AV146" s="9"/>
      <c r="AW146" s="9"/>
      <c r="AX146" s="9"/>
      <c r="AY146" s="9"/>
      <c r="AZ146" s="9"/>
      <c r="BA146" s="9"/>
      <c r="BB146" s="9"/>
      <c r="BC146" s="9"/>
      <c r="BD146" s="9"/>
      <c r="BE146" s="9"/>
      <c r="BF146" s="9"/>
      <c r="BG146" s="9"/>
      <c r="BH146" s="9"/>
      <c r="BI146" s="9"/>
      <c r="BJ146" s="9"/>
      <c r="BK146" s="9"/>
      <c r="BL146" s="9"/>
      <c r="BM146" s="9"/>
      <c r="BN146" s="9"/>
      <c r="BO146" s="9"/>
      <c r="BP146" s="9"/>
    </row>
    <row r="147" spans="1:68">
      <c r="A147" s="824"/>
      <c r="B147" s="824"/>
      <c r="C147" s="166"/>
      <c r="D147" s="161"/>
      <c r="E147" s="163"/>
      <c r="F147" s="163"/>
      <c r="G147" s="164"/>
      <c r="AD147" s="9"/>
      <c r="AE147" s="9"/>
      <c r="AF147" s="9"/>
      <c r="AG147" s="9"/>
      <c r="AH147" s="9"/>
      <c r="AI147" s="9"/>
      <c r="AJ147" s="9"/>
      <c r="AK147" s="9"/>
      <c r="AL147" s="9"/>
      <c r="AM147" s="9"/>
      <c r="AN147" s="9"/>
      <c r="AO147" s="9"/>
      <c r="AP147" s="9"/>
      <c r="AQ147" s="9"/>
      <c r="AR147" s="9"/>
      <c r="AS147" s="9"/>
      <c r="AT147" s="9"/>
      <c r="AU147" s="9"/>
      <c r="AV147" s="9"/>
      <c r="AW147" s="9"/>
      <c r="AX147" s="9"/>
      <c r="AY147" s="9"/>
      <c r="AZ147" s="9"/>
      <c r="BA147" s="9"/>
      <c r="BB147" s="9"/>
      <c r="BC147" s="9"/>
      <c r="BD147" s="9"/>
      <c r="BE147" s="9"/>
      <c r="BF147" s="9"/>
      <c r="BG147" s="9"/>
      <c r="BH147" s="9"/>
      <c r="BI147" s="9"/>
      <c r="BJ147" s="9"/>
      <c r="BK147" s="9"/>
      <c r="BL147" s="9"/>
      <c r="BM147" s="9"/>
      <c r="BN147" s="9"/>
      <c r="BO147" s="9"/>
      <c r="BP147" s="9"/>
    </row>
    <row r="148" spans="1:68">
      <c r="A148" s="824"/>
      <c r="B148" s="824"/>
      <c r="C148" s="166"/>
      <c r="D148" s="161"/>
      <c r="E148" s="157"/>
      <c r="F148" s="163"/>
      <c r="G148" s="164"/>
      <c r="AD148" s="9"/>
      <c r="AE148" s="9"/>
      <c r="AF148" s="9"/>
      <c r="AG148" s="9"/>
      <c r="AH148" s="9"/>
      <c r="AI148" s="9"/>
      <c r="AJ148" s="9"/>
      <c r="AK148" s="9"/>
      <c r="AL148" s="9"/>
      <c r="AM148" s="9"/>
      <c r="AN148" s="9"/>
      <c r="AO148" s="9"/>
      <c r="AP148" s="9"/>
      <c r="AQ148" s="9"/>
      <c r="AR148" s="9"/>
      <c r="AS148" s="9"/>
      <c r="AT148" s="9"/>
      <c r="AU148" s="9"/>
      <c r="AV148" s="9"/>
      <c r="AW148" s="9"/>
      <c r="AX148" s="9"/>
      <c r="AY148" s="9"/>
      <c r="AZ148" s="9"/>
      <c r="BA148" s="9"/>
      <c r="BB148" s="9"/>
      <c r="BC148" s="9"/>
      <c r="BD148" s="9"/>
      <c r="BE148" s="9"/>
      <c r="BF148" s="9"/>
      <c r="BG148" s="9"/>
      <c r="BH148" s="9"/>
      <c r="BI148" s="9"/>
      <c r="BJ148" s="9"/>
      <c r="BK148" s="9"/>
      <c r="BL148" s="9"/>
      <c r="BM148" s="9"/>
      <c r="BN148" s="9"/>
      <c r="BO148" s="9"/>
      <c r="BP148" s="9"/>
    </row>
    <row r="149" spans="1:68">
      <c r="A149" s="824"/>
      <c r="B149" s="824"/>
      <c r="C149" s="155"/>
      <c r="D149" s="161"/>
      <c r="E149" s="163"/>
      <c r="F149" s="163"/>
      <c r="G149" s="164"/>
      <c r="AD149" s="9"/>
      <c r="AE149" s="9"/>
      <c r="AF149" s="9"/>
      <c r="AG149" s="9"/>
      <c r="AH149" s="9"/>
      <c r="AI149" s="9"/>
      <c r="AJ149" s="9"/>
      <c r="AK149" s="9"/>
      <c r="AL149" s="9"/>
      <c r="AM149" s="9"/>
      <c r="AN149" s="9"/>
      <c r="AO149" s="9"/>
      <c r="AP149" s="9"/>
      <c r="AQ149" s="9"/>
      <c r="AR149" s="9"/>
      <c r="AS149" s="9"/>
      <c r="AT149" s="9"/>
      <c r="AU149" s="9"/>
      <c r="AV149" s="9"/>
      <c r="AW149" s="9"/>
      <c r="AX149" s="9"/>
      <c r="AY149" s="9"/>
      <c r="AZ149" s="9"/>
      <c r="BA149" s="9"/>
      <c r="BB149" s="9"/>
      <c r="BC149" s="9"/>
      <c r="BD149" s="9"/>
      <c r="BE149" s="9"/>
      <c r="BF149" s="9"/>
      <c r="BG149" s="9"/>
      <c r="BH149" s="9"/>
      <c r="BI149" s="9"/>
      <c r="BJ149" s="9"/>
      <c r="BK149" s="9"/>
      <c r="BL149" s="9"/>
      <c r="BM149" s="9"/>
      <c r="BN149" s="9"/>
      <c r="BO149" s="9"/>
      <c r="BP149" s="9"/>
    </row>
    <row r="150" spans="1:68">
      <c r="A150" s="824"/>
      <c r="B150" s="824"/>
      <c r="C150" s="166"/>
      <c r="D150" s="161"/>
      <c r="E150" s="157"/>
      <c r="F150" s="163"/>
      <c r="G150" s="164"/>
      <c r="AD150" s="9"/>
      <c r="AE150" s="9"/>
      <c r="AF150" s="9"/>
      <c r="AG150" s="9"/>
      <c r="AH150" s="9"/>
      <c r="AI150" s="9"/>
      <c r="AJ150" s="9"/>
      <c r="AK150" s="9"/>
      <c r="AL150" s="9"/>
      <c r="AM150" s="9"/>
      <c r="AN150" s="9"/>
      <c r="AO150" s="9"/>
      <c r="AP150" s="9"/>
      <c r="AQ150" s="9"/>
      <c r="AR150" s="9"/>
      <c r="AS150" s="9"/>
      <c r="AT150" s="9"/>
      <c r="AU150" s="9"/>
      <c r="AV150" s="9"/>
      <c r="AW150" s="9"/>
      <c r="AX150" s="9"/>
      <c r="AY150" s="9"/>
      <c r="AZ150" s="9"/>
      <c r="BA150" s="9"/>
      <c r="BB150" s="9"/>
      <c r="BC150" s="9"/>
      <c r="BD150" s="9"/>
      <c r="BE150" s="9"/>
      <c r="BF150" s="9"/>
      <c r="BG150" s="9"/>
      <c r="BH150" s="9"/>
      <c r="BI150" s="9"/>
      <c r="BJ150" s="9"/>
      <c r="BK150" s="9"/>
      <c r="BL150" s="9"/>
      <c r="BM150" s="9"/>
      <c r="BN150" s="9"/>
      <c r="BO150" s="9"/>
      <c r="BP150" s="9"/>
    </row>
    <row r="151" spans="1:68">
      <c r="A151" s="824"/>
      <c r="B151" s="824"/>
      <c r="C151" s="166"/>
      <c r="D151" s="161"/>
      <c r="E151" s="163"/>
      <c r="F151" s="163"/>
      <c r="G151" s="164"/>
      <c r="AD151" s="9"/>
      <c r="AE151" s="9"/>
      <c r="AF151" s="9"/>
      <c r="AG151" s="9"/>
      <c r="AH151" s="9"/>
      <c r="AI151" s="9"/>
      <c r="AJ151" s="9"/>
      <c r="AK151" s="9"/>
      <c r="AL151" s="9"/>
      <c r="AM151" s="9"/>
      <c r="AN151" s="9"/>
      <c r="AO151" s="9"/>
      <c r="AP151" s="9"/>
      <c r="AQ151" s="9"/>
      <c r="AR151" s="9"/>
      <c r="AS151" s="9"/>
      <c r="AT151" s="9"/>
      <c r="AU151" s="9"/>
      <c r="AV151" s="9"/>
      <c r="AW151" s="9"/>
      <c r="AX151" s="9"/>
      <c r="AY151" s="9"/>
      <c r="AZ151" s="9"/>
      <c r="BA151" s="9"/>
      <c r="BB151" s="9"/>
      <c r="BC151" s="9"/>
      <c r="BD151" s="9"/>
      <c r="BE151" s="9"/>
      <c r="BF151" s="9"/>
      <c r="BG151" s="9"/>
      <c r="BH151" s="9"/>
      <c r="BI151" s="9"/>
      <c r="BJ151" s="9"/>
      <c r="BK151" s="9"/>
      <c r="BL151" s="9"/>
      <c r="BM151" s="9"/>
      <c r="BN151" s="9"/>
      <c r="BO151" s="9"/>
      <c r="BP151" s="9"/>
    </row>
    <row r="152" spans="1:68">
      <c r="A152" s="824"/>
      <c r="B152" s="824"/>
      <c r="C152" s="166"/>
      <c r="D152" s="161"/>
      <c r="E152" s="163"/>
      <c r="F152" s="163"/>
      <c r="G152" s="164"/>
      <c r="AD152" s="9"/>
      <c r="AE152" s="9"/>
      <c r="AF152" s="9"/>
      <c r="AG152" s="9"/>
      <c r="AH152" s="9"/>
      <c r="AI152" s="9"/>
      <c r="AJ152" s="9"/>
      <c r="AK152" s="9"/>
      <c r="AL152" s="9"/>
      <c r="AM152" s="9"/>
      <c r="AN152" s="9"/>
      <c r="AO152" s="9"/>
      <c r="AP152" s="9"/>
      <c r="AQ152" s="9"/>
      <c r="AR152" s="9"/>
      <c r="AS152" s="9"/>
      <c r="AT152" s="9"/>
      <c r="AU152" s="9"/>
      <c r="AV152" s="9"/>
      <c r="AW152" s="9"/>
      <c r="AX152" s="9"/>
      <c r="AY152" s="9"/>
      <c r="AZ152" s="9"/>
      <c r="BA152" s="9"/>
      <c r="BB152" s="9"/>
      <c r="BC152" s="9"/>
      <c r="BD152" s="9"/>
      <c r="BE152" s="9"/>
      <c r="BF152" s="9"/>
      <c r="BG152" s="9"/>
      <c r="BH152" s="9"/>
      <c r="BI152" s="9"/>
      <c r="BJ152" s="9"/>
      <c r="BK152" s="9"/>
      <c r="BL152" s="9"/>
      <c r="BM152" s="9"/>
      <c r="BN152" s="9"/>
      <c r="BO152" s="9"/>
      <c r="BP152" s="9"/>
    </row>
    <row r="153" spans="1:68">
      <c r="A153" s="824"/>
      <c r="B153" s="824"/>
      <c r="C153" s="166"/>
      <c r="D153" s="161"/>
      <c r="E153" s="163"/>
      <c r="F153" s="163"/>
      <c r="G153" s="164"/>
      <c r="AD153" s="9"/>
      <c r="AE153" s="9"/>
      <c r="AF153" s="9"/>
      <c r="AG153" s="9"/>
      <c r="AH153" s="9"/>
      <c r="AI153" s="9"/>
      <c r="AJ153" s="9"/>
      <c r="AK153" s="9"/>
      <c r="AL153" s="9"/>
      <c r="AM153" s="9"/>
      <c r="AN153" s="9"/>
      <c r="AO153" s="9"/>
      <c r="AP153" s="9"/>
      <c r="AQ153" s="9"/>
      <c r="AR153" s="9"/>
      <c r="AS153" s="9"/>
      <c r="AT153" s="9"/>
      <c r="AU153" s="9"/>
      <c r="AV153" s="9"/>
      <c r="AW153" s="9"/>
      <c r="AX153" s="9"/>
      <c r="AY153" s="9"/>
      <c r="AZ153" s="9"/>
      <c r="BA153" s="9"/>
      <c r="BB153" s="9"/>
      <c r="BC153" s="9"/>
      <c r="BD153" s="9"/>
      <c r="BE153" s="9"/>
      <c r="BF153" s="9"/>
      <c r="BG153" s="9"/>
      <c r="BH153" s="9"/>
      <c r="BI153" s="9"/>
      <c r="BJ153" s="9"/>
      <c r="BK153" s="9"/>
      <c r="BL153" s="9"/>
      <c r="BM153" s="9"/>
      <c r="BN153" s="9"/>
      <c r="BO153" s="9"/>
      <c r="BP153" s="9"/>
    </row>
    <row r="154" spans="1:68">
      <c r="A154" s="824"/>
      <c r="B154" s="824"/>
      <c r="C154" s="166"/>
      <c r="D154" s="161"/>
      <c r="E154" s="163"/>
      <c r="F154" s="163"/>
      <c r="G154" s="164"/>
      <c r="AD154" s="9"/>
      <c r="AE154" s="9"/>
      <c r="AF154" s="9"/>
      <c r="AG154" s="9"/>
      <c r="AH154" s="9"/>
      <c r="AI154" s="9"/>
      <c r="AJ154" s="9"/>
      <c r="AK154" s="9"/>
      <c r="AL154" s="9"/>
      <c r="AM154" s="9"/>
      <c r="AN154" s="9"/>
      <c r="AO154" s="9"/>
      <c r="AP154" s="9"/>
      <c r="AQ154" s="9"/>
      <c r="AR154" s="9"/>
      <c r="AS154" s="9"/>
      <c r="AT154" s="9"/>
      <c r="AU154" s="9"/>
      <c r="AV154" s="9"/>
      <c r="AW154" s="9"/>
      <c r="AX154" s="9"/>
      <c r="AY154" s="9"/>
      <c r="AZ154" s="9"/>
      <c r="BA154" s="9"/>
      <c r="BB154" s="9"/>
      <c r="BC154" s="9"/>
      <c r="BD154" s="9"/>
      <c r="BE154" s="9"/>
      <c r="BF154" s="9"/>
      <c r="BG154" s="9"/>
      <c r="BH154" s="9"/>
      <c r="BI154" s="9"/>
      <c r="BJ154" s="9"/>
      <c r="BK154" s="9"/>
      <c r="BL154" s="9"/>
      <c r="BM154" s="9"/>
      <c r="BN154" s="9"/>
      <c r="BO154" s="9"/>
      <c r="BP154" s="9"/>
    </row>
    <row r="155" spans="1:68">
      <c r="A155" s="824"/>
      <c r="B155" s="824"/>
      <c r="C155" s="166"/>
      <c r="D155" s="161"/>
      <c r="E155" s="163"/>
      <c r="F155" s="163"/>
      <c r="G155" s="164"/>
      <c r="AD155" s="9"/>
      <c r="AE155" s="9"/>
      <c r="AF155" s="9"/>
      <c r="AG155" s="9"/>
      <c r="AH155" s="9"/>
      <c r="AI155" s="9"/>
      <c r="AJ155" s="9"/>
      <c r="AK155" s="9"/>
      <c r="AL155" s="9"/>
      <c r="AM155" s="9"/>
      <c r="AN155" s="9"/>
      <c r="AO155" s="9"/>
      <c r="AP155" s="9"/>
      <c r="AQ155" s="9"/>
      <c r="AR155" s="9"/>
      <c r="AS155" s="9"/>
      <c r="AT155" s="9"/>
      <c r="AU155" s="9"/>
      <c r="AV155" s="9"/>
      <c r="AW155" s="9"/>
      <c r="AX155" s="9"/>
      <c r="AY155" s="9"/>
      <c r="AZ155" s="9"/>
      <c r="BA155" s="9"/>
      <c r="BB155" s="9"/>
      <c r="BC155" s="9"/>
      <c r="BD155" s="9"/>
      <c r="BE155" s="9"/>
      <c r="BF155" s="9"/>
      <c r="BG155" s="9"/>
      <c r="BH155" s="9"/>
      <c r="BI155" s="9"/>
      <c r="BJ155" s="9"/>
      <c r="BK155" s="9"/>
      <c r="BL155" s="9"/>
      <c r="BM155" s="9"/>
      <c r="BN155" s="9"/>
      <c r="BO155" s="9"/>
      <c r="BP155" s="9"/>
    </row>
    <row r="156" spans="1:68">
      <c r="A156" s="824"/>
      <c r="B156" s="824"/>
      <c r="C156" s="166"/>
      <c r="D156" s="161"/>
      <c r="E156" s="163"/>
      <c r="F156" s="163"/>
      <c r="G156" s="164"/>
      <c r="AD156" s="9"/>
      <c r="AE156" s="9"/>
      <c r="AF156" s="9"/>
      <c r="AG156" s="9"/>
      <c r="AH156" s="9"/>
      <c r="AI156" s="9"/>
      <c r="AJ156" s="9"/>
      <c r="AK156" s="9"/>
      <c r="AL156" s="9"/>
      <c r="AM156" s="9"/>
      <c r="AN156" s="9"/>
      <c r="AO156" s="9"/>
      <c r="AP156" s="9"/>
      <c r="AQ156" s="9"/>
      <c r="AR156" s="9"/>
      <c r="AS156" s="9"/>
      <c r="AT156" s="9"/>
      <c r="AU156" s="9"/>
      <c r="AV156" s="9"/>
      <c r="AW156" s="9"/>
      <c r="AX156" s="9"/>
      <c r="AY156" s="9"/>
      <c r="AZ156" s="9"/>
      <c r="BA156" s="9"/>
      <c r="BB156" s="9"/>
      <c r="BC156" s="9"/>
      <c r="BD156" s="9"/>
      <c r="BE156" s="9"/>
      <c r="BF156" s="9"/>
      <c r="BG156" s="9"/>
      <c r="BH156" s="9"/>
      <c r="BI156" s="9"/>
      <c r="BJ156" s="9"/>
      <c r="BK156" s="9"/>
      <c r="BL156" s="9"/>
      <c r="BM156" s="9"/>
      <c r="BN156" s="9"/>
      <c r="BO156" s="9"/>
      <c r="BP156" s="9"/>
    </row>
    <row r="157" spans="1:68">
      <c r="A157" s="824"/>
      <c r="B157" s="824"/>
      <c r="C157" s="166"/>
      <c r="D157" s="161"/>
      <c r="E157" s="163"/>
      <c r="F157" s="163"/>
      <c r="G157" s="164"/>
      <c r="AD157" s="9"/>
      <c r="AE157" s="9"/>
      <c r="AF157" s="9"/>
      <c r="AG157" s="9"/>
      <c r="AH157" s="9"/>
      <c r="AI157" s="9"/>
      <c r="AJ157" s="9"/>
      <c r="AK157" s="9"/>
      <c r="AL157" s="9"/>
      <c r="AM157" s="9"/>
      <c r="AN157" s="9"/>
      <c r="AO157" s="9"/>
      <c r="AP157" s="9"/>
      <c r="AQ157" s="9"/>
      <c r="AR157" s="9"/>
      <c r="AS157" s="9"/>
      <c r="AT157" s="9"/>
      <c r="AU157" s="9"/>
      <c r="AV157" s="9"/>
      <c r="AW157" s="9"/>
      <c r="AX157" s="9"/>
      <c r="AY157" s="9"/>
      <c r="AZ157" s="9"/>
      <c r="BA157" s="9"/>
      <c r="BB157" s="9"/>
      <c r="BC157" s="9"/>
      <c r="BD157" s="9"/>
      <c r="BE157" s="9"/>
      <c r="BF157" s="9"/>
      <c r="BG157" s="9"/>
      <c r="BH157" s="9"/>
      <c r="BI157" s="9"/>
      <c r="BJ157" s="9"/>
      <c r="BK157" s="9"/>
      <c r="BL157" s="9"/>
      <c r="BM157" s="9"/>
      <c r="BN157" s="9"/>
      <c r="BO157" s="9"/>
      <c r="BP157" s="9"/>
    </row>
    <row r="158" spans="1:68">
      <c r="A158" s="824"/>
      <c r="B158" s="824"/>
      <c r="C158" s="166"/>
      <c r="D158" s="161"/>
      <c r="E158" s="163"/>
      <c r="F158" s="163"/>
      <c r="G158" s="164"/>
      <c r="AD158" s="9"/>
      <c r="AE158" s="9"/>
      <c r="AF158" s="9"/>
      <c r="AG158" s="9"/>
      <c r="AH158" s="9"/>
      <c r="AI158" s="9"/>
      <c r="AJ158" s="9"/>
      <c r="AK158" s="9"/>
      <c r="AL158" s="9"/>
      <c r="AM158" s="9"/>
      <c r="AN158" s="9"/>
      <c r="AO158" s="9"/>
      <c r="AP158" s="9"/>
      <c r="AQ158" s="9"/>
      <c r="AR158" s="9"/>
      <c r="AS158" s="9"/>
      <c r="AT158" s="9"/>
      <c r="AU158" s="9"/>
      <c r="AV158" s="9"/>
      <c r="AW158" s="9"/>
      <c r="AX158" s="9"/>
      <c r="AY158" s="9"/>
      <c r="AZ158" s="9"/>
      <c r="BA158" s="9"/>
      <c r="BB158" s="9"/>
      <c r="BC158" s="9"/>
      <c r="BD158" s="9"/>
      <c r="BE158" s="9"/>
      <c r="BF158" s="9"/>
      <c r="BG158" s="9"/>
      <c r="BH158" s="9"/>
      <c r="BI158" s="9"/>
      <c r="BJ158" s="9"/>
      <c r="BK158" s="9"/>
      <c r="BL158" s="9"/>
      <c r="BM158" s="9"/>
      <c r="BN158" s="9"/>
      <c r="BO158" s="9"/>
      <c r="BP158" s="9"/>
    </row>
    <row r="159" spans="1:68">
      <c r="A159" s="824"/>
      <c r="B159" s="824"/>
      <c r="C159" s="166"/>
      <c r="D159" s="168"/>
      <c r="E159" s="163"/>
      <c r="F159" s="163"/>
      <c r="G159" s="164"/>
      <c r="AD159" s="9"/>
      <c r="AE159" s="9"/>
      <c r="AF159" s="9"/>
      <c r="AG159" s="9"/>
      <c r="AH159" s="9"/>
      <c r="AI159" s="9"/>
      <c r="AJ159" s="9"/>
      <c r="AK159" s="9"/>
      <c r="AL159" s="9"/>
      <c r="AM159" s="9"/>
      <c r="AN159" s="9"/>
      <c r="AO159" s="9"/>
      <c r="AP159" s="9"/>
      <c r="AQ159" s="9"/>
      <c r="AR159" s="9"/>
      <c r="AS159" s="9"/>
      <c r="AT159" s="9"/>
      <c r="AU159" s="9"/>
      <c r="AV159" s="9"/>
      <c r="AW159" s="9"/>
      <c r="AX159" s="9"/>
      <c r="AY159" s="9"/>
      <c r="AZ159" s="9"/>
      <c r="BA159" s="9"/>
      <c r="BB159" s="9"/>
      <c r="BC159" s="9"/>
      <c r="BD159" s="9"/>
      <c r="BE159" s="9"/>
      <c r="BF159" s="9"/>
      <c r="BG159" s="9"/>
      <c r="BH159" s="9"/>
      <c r="BI159" s="9"/>
      <c r="BJ159" s="9"/>
      <c r="BK159" s="9"/>
      <c r="BL159" s="9"/>
      <c r="BM159" s="9"/>
      <c r="BN159" s="9"/>
      <c r="BO159" s="9"/>
      <c r="BP159" s="9"/>
    </row>
    <row r="160" spans="1:68">
      <c r="A160" s="824"/>
      <c r="B160" s="824"/>
      <c r="C160" s="166"/>
      <c r="D160" s="161"/>
      <c r="E160" s="163"/>
      <c r="F160" s="163"/>
      <c r="G160" s="164"/>
      <c r="AD160" s="9"/>
      <c r="AE160" s="9"/>
      <c r="AF160" s="9"/>
      <c r="AG160" s="9"/>
      <c r="AH160" s="9"/>
      <c r="AI160" s="9"/>
      <c r="AJ160" s="9"/>
      <c r="AK160" s="9"/>
      <c r="AL160" s="9"/>
      <c r="AM160" s="9"/>
      <c r="AN160" s="9"/>
      <c r="AO160" s="9"/>
      <c r="AP160" s="9"/>
      <c r="AQ160" s="9"/>
      <c r="AR160" s="9"/>
      <c r="AS160" s="9"/>
      <c r="AT160" s="9"/>
      <c r="AU160" s="9"/>
      <c r="AV160" s="9"/>
      <c r="AW160" s="9"/>
      <c r="AX160" s="9"/>
      <c r="AY160" s="9"/>
      <c r="AZ160" s="9"/>
      <c r="BA160" s="9"/>
      <c r="BB160" s="9"/>
      <c r="BC160" s="9"/>
      <c r="BD160" s="9"/>
      <c r="BE160" s="9"/>
      <c r="BF160" s="9"/>
      <c r="BG160" s="9"/>
      <c r="BH160" s="9"/>
      <c r="BI160" s="9"/>
      <c r="BJ160" s="9"/>
      <c r="BK160" s="9"/>
      <c r="BL160" s="9"/>
      <c r="BM160" s="9"/>
      <c r="BN160" s="9"/>
      <c r="BO160" s="9"/>
      <c r="BP160" s="9"/>
    </row>
    <row r="161" spans="1:68">
      <c r="A161" s="824"/>
      <c r="B161" s="824"/>
      <c r="C161" s="160"/>
      <c r="D161" s="161"/>
      <c r="E161" s="163"/>
      <c r="F161" s="163"/>
      <c r="G161" s="164"/>
      <c r="AD161" s="9"/>
      <c r="AE161" s="9"/>
      <c r="AF161" s="9"/>
      <c r="AG161" s="9"/>
      <c r="AH161" s="9"/>
      <c r="AI161" s="9"/>
      <c r="AJ161" s="9"/>
      <c r="AK161" s="9"/>
      <c r="AL161" s="9"/>
      <c r="AM161" s="9"/>
      <c r="AN161" s="9"/>
      <c r="AO161" s="9"/>
      <c r="AP161" s="9"/>
      <c r="AQ161" s="9"/>
      <c r="AR161" s="9"/>
      <c r="AS161" s="9"/>
      <c r="AT161" s="9"/>
      <c r="AU161" s="9"/>
      <c r="AV161" s="9"/>
      <c r="AW161" s="9"/>
      <c r="AX161" s="9"/>
      <c r="AY161" s="9"/>
      <c r="AZ161" s="9"/>
      <c r="BA161" s="9"/>
      <c r="BB161" s="9"/>
      <c r="BC161" s="9"/>
      <c r="BD161" s="9"/>
      <c r="BE161" s="9"/>
      <c r="BF161" s="9"/>
      <c r="BG161" s="9"/>
      <c r="BH161" s="9"/>
      <c r="BI161" s="9"/>
      <c r="BJ161" s="9"/>
      <c r="BK161" s="9"/>
      <c r="BL161" s="9"/>
      <c r="BM161" s="9"/>
      <c r="BN161" s="9"/>
      <c r="BO161" s="9"/>
      <c r="BP161" s="9"/>
    </row>
    <row r="162" spans="1:68">
      <c r="A162" s="824"/>
      <c r="B162" s="824"/>
      <c r="C162" s="166"/>
      <c r="D162" s="161"/>
      <c r="E162" s="163"/>
      <c r="F162" s="163"/>
      <c r="G162" s="164"/>
      <c r="AD162" s="9"/>
      <c r="AE162" s="9"/>
      <c r="AF162" s="9"/>
      <c r="AG162" s="9"/>
      <c r="AH162" s="9"/>
      <c r="AI162" s="9"/>
      <c r="AJ162" s="9"/>
      <c r="AK162" s="9"/>
      <c r="AL162" s="9"/>
      <c r="AM162" s="9"/>
      <c r="AN162" s="9"/>
      <c r="AO162" s="9"/>
      <c r="AP162" s="9"/>
      <c r="AQ162" s="9"/>
      <c r="AR162" s="9"/>
      <c r="AS162" s="9"/>
      <c r="AT162" s="9"/>
      <c r="AU162" s="9"/>
      <c r="AV162" s="9"/>
      <c r="AW162" s="9"/>
      <c r="AX162" s="9"/>
      <c r="AY162" s="9"/>
      <c r="AZ162" s="9"/>
      <c r="BA162" s="9"/>
      <c r="BB162" s="9"/>
      <c r="BC162" s="9"/>
      <c r="BD162" s="9"/>
      <c r="BE162" s="9"/>
      <c r="BF162" s="9"/>
      <c r="BG162" s="9"/>
      <c r="BH162" s="9"/>
      <c r="BI162" s="9"/>
      <c r="BJ162" s="9"/>
      <c r="BK162" s="9"/>
      <c r="BL162" s="9"/>
      <c r="BM162" s="9"/>
      <c r="BN162" s="9"/>
      <c r="BO162" s="9"/>
      <c r="BP162" s="9"/>
    </row>
    <row r="163" spans="1:68">
      <c r="C163" s="166"/>
      <c r="D163" s="161"/>
      <c r="E163" s="157"/>
      <c r="F163" s="163"/>
      <c r="G163" s="164"/>
      <c r="AD163" s="9"/>
      <c r="AE163" s="9"/>
      <c r="AF163" s="9"/>
      <c r="AG163" s="9"/>
      <c r="AH163" s="9"/>
      <c r="AI163" s="9"/>
      <c r="AJ163" s="9"/>
      <c r="AK163" s="9"/>
      <c r="AL163" s="9"/>
      <c r="AM163" s="9"/>
      <c r="AN163" s="9"/>
      <c r="AO163" s="9"/>
      <c r="AP163" s="9"/>
      <c r="AQ163" s="9"/>
      <c r="AR163" s="9"/>
      <c r="AS163" s="9"/>
      <c r="AT163" s="9"/>
      <c r="AU163" s="9"/>
      <c r="AV163" s="9"/>
      <c r="AW163" s="9"/>
      <c r="AX163" s="9"/>
      <c r="AY163" s="9"/>
      <c r="AZ163" s="9"/>
      <c r="BA163" s="9"/>
      <c r="BB163" s="9"/>
      <c r="BC163" s="9"/>
      <c r="BD163" s="9"/>
      <c r="BE163" s="9"/>
      <c r="BF163" s="9"/>
      <c r="BG163" s="9"/>
      <c r="BH163" s="9"/>
      <c r="BI163" s="9"/>
      <c r="BJ163" s="9"/>
      <c r="BK163" s="9"/>
      <c r="BL163" s="9"/>
      <c r="BM163" s="9"/>
      <c r="BN163" s="9"/>
      <c r="BO163" s="9"/>
      <c r="BP163" s="9"/>
    </row>
    <row r="164" spans="1:68">
      <c r="C164" s="166"/>
      <c r="D164" s="168"/>
      <c r="E164" s="163"/>
      <c r="F164" s="163"/>
      <c r="G164" s="164"/>
      <c r="AD164" s="9"/>
      <c r="AE164" s="9"/>
      <c r="AF164" s="9"/>
      <c r="AG164" s="9"/>
      <c r="AH164" s="9"/>
      <c r="AI164" s="9"/>
      <c r="AJ164" s="9"/>
      <c r="AK164" s="9"/>
      <c r="AL164" s="9"/>
      <c r="AM164" s="9"/>
      <c r="AN164" s="9"/>
      <c r="AO164" s="9"/>
      <c r="AP164" s="9"/>
      <c r="AQ164" s="9"/>
      <c r="AR164" s="9"/>
      <c r="AS164" s="9"/>
      <c r="AT164" s="9"/>
      <c r="AU164" s="9"/>
      <c r="AV164" s="9"/>
      <c r="AW164" s="9"/>
      <c r="AX164" s="9"/>
      <c r="AY164" s="9"/>
      <c r="AZ164" s="9"/>
      <c r="BA164" s="9"/>
      <c r="BB164" s="9"/>
      <c r="BC164" s="9"/>
      <c r="BD164" s="9"/>
      <c r="BE164" s="9"/>
      <c r="BF164" s="9"/>
      <c r="BG164" s="9"/>
      <c r="BH164" s="9"/>
      <c r="BI164" s="9"/>
      <c r="BJ164" s="9"/>
      <c r="BK164" s="9"/>
      <c r="BL164" s="9"/>
      <c r="BM164" s="9"/>
      <c r="BN164" s="9"/>
      <c r="BO164" s="9"/>
      <c r="BP164" s="9"/>
    </row>
    <row r="165" spans="1:68">
      <c r="C165" s="166"/>
      <c r="D165" s="161"/>
      <c r="E165" s="157"/>
      <c r="F165" s="163"/>
      <c r="G165" s="164"/>
      <c r="AD165" s="9"/>
      <c r="AE165" s="9"/>
      <c r="AF165" s="9"/>
      <c r="AG165" s="9"/>
      <c r="AH165" s="9"/>
      <c r="AI165" s="9"/>
      <c r="AJ165" s="9"/>
      <c r="AK165" s="9"/>
      <c r="AL165" s="9"/>
      <c r="AM165" s="9"/>
      <c r="AN165" s="9"/>
      <c r="AO165" s="9"/>
      <c r="AP165" s="9"/>
      <c r="AQ165" s="9"/>
      <c r="AR165" s="9"/>
      <c r="AS165" s="9"/>
      <c r="AT165" s="9"/>
      <c r="AU165" s="9"/>
      <c r="AV165" s="9"/>
      <c r="AW165" s="9"/>
      <c r="AX165" s="9"/>
      <c r="AY165" s="9"/>
      <c r="AZ165" s="9"/>
      <c r="BA165" s="9"/>
      <c r="BB165" s="9"/>
      <c r="BC165" s="9"/>
      <c r="BD165" s="9"/>
      <c r="BE165" s="9"/>
      <c r="BF165" s="9"/>
      <c r="BG165" s="9"/>
      <c r="BH165" s="9"/>
      <c r="BI165" s="9"/>
      <c r="BJ165" s="9"/>
      <c r="BK165" s="9"/>
      <c r="BL165" s="9"/>
      <c r="BM165" s="9"/>
      <c r="BN165" s="9"/>
      <c r="BO165" s="9"/>
      <c r="BP165" s="9"/>
    </row>
    <row r="166" spans="1:68">
      <c r="AD166" s="9"/>
      <c r="AE166" s="9"/>
      <c r="AF166" s="9"/>
      <c r="AG166" s="9"/>
      <c r="AH166" s="9"/>
      <c r="AI166" s="9"/>
      <c r="AJ166" s="9"/>
      <c r="AK166" s="9"/>
      <c r="AL166" s="9"/>
      <c r="AM166" s="9"/>
      <c r="AN166" s="9"/>
      <c r="AO166" s="9"/>
      <c r="AP166" s="9"/>
      <c r="AQ166" s="9"/>
      <c r="AR166" s="9"/>
      <c r="AS166" s="9"/>
      <c r="AT166" s="9"/>
      <c r="AU166" s="9"/>
      <c r="AV166" s="9"/>
      <c r="AW166" s="9"/>
      <c r="AX166" s="9"/>
      <c r="AY166" s="9"/>
      <c r="AZ166" s="9"/>
      <c r="BA166" s="9"/>
      <c r="BB166" s="9"/>
      <c r="BC166" s="9"/>
      <c r="BD166" s="9"/>
      <c r="BE166" s="9"/>
      <c r="BF166" s="9"/>
      <c r="BG166" s="9"/>
      <c r="BH166" s="9"/>
      <c r="BI166" s="9"/>
      <c r="BJ166" s="9"/>
      <c r="BK166" s="9"/>
      <c r="BL166" s="9"/>
      <c r="BM166" s="9"/>
      <c r="BN166" s="9"/>
      <c r="BO166" s="9"/>
      <c r="BP166" s="9"/>
    </row>
    <row r="167" spans="1:68">
      <c r="AD167" s="9"/>
      <c r="AE167" s="9"/>
      <c r="AF167" s="9"/>
      <c r="AG167" s="9"/>
      <c r="AH167" s="9"/>
      <c r="AI167" s="9"/>
      <c r="AJ167" s="9"/>
      <c r="AK167" s="9"/>
      <c r="AL167" s="9"/>
      <c r="AM167" s="9"/>
      <c r="AN167" s="9"/>
      <c r="AO167" s="9"/>
      <c r="AP167" s="9"/>
      <c r="AQ167" s="9"/>
      <c r="AR167" s="9"/>
      <c r="AS167" s="9"/>
      <c r="AT167" s="9"/>
      <c r="AU167" s="9"/>
      <c r="AV167" s="9"/>
      <c r="AW167" s="9"/>
      <c r="AX167" s="9"/>
      <c r="AY167" s="9"/>
      <c r="AZ167" s="9"/>
      <c r="BA167" s="9"/>
      <c r="BB167" s="9"/>
      <c r="BC167" s="9"/>
      <c r="BD167" s="9"/>
      <c r="BE167" s="9"/>
      <c r="BF167" s="9"/>
      <c r="BG167" s="9"/>
      <c r="BH167" s="9"/>
      <c r="BI167" s="9"/>
      <c r="BJ167" s="9"/>
      <c r="BK167" s="9"/>
      <c r="BL167" s="9"/>
      <c r="BM167" s="9"/>
      <c r="BN167" s="9"/>
      <c r="BO167" s="9"/>
      <c r="BP167" s="9"/>
    </row>
    <row r="168" spans="1:68">
      <c r="A168" s="824"/>
      <c r="B168" s="824"/>
      <c r="C168" s="155"/>
      <c r="D168" s="155"/>
      <c r="E168" s="157"/>
      <c r="F168" s="157"/>
      <c r="G168" s="157"/>
      <c r="AD168" s="9"/>
      <c r="AE168" s="9"/>
      <c r="AF168" s="9"/>
      <c r="AG168" s="9"/>
      <c r="AH168" s="9"/>
      <c r="AI168" s="9"/>
      <c r="AJ168" s="9"/>
      <c r="AK168" s="9"/>
      <c r="AL168" s="9"/>
      <c r="AM168" s="9"/>
      <c r="AN168" s="9"/>
      <c r="AO168" s="9"/>
      <c r="AP168" s="9"/>
      <c r="AQ168" s="9"/>
      <c r="AR168" s="9"/>
      <c r="AS168" s="9"/>
      <c r="AT168" s="9"/>
      <c r="AU168" s="9"/>
      <c r="AV168" s="9"/>
      <c r="AW168" s="9"/>
      <c r="AX168" s="9"/>
      <c r="AY168" s="9"/>
      <c r="AZ168" s="9"/>
      <c r="BA168" s="9"/>
      <c r="BB168" s="9"/>
      <c r="BC168" s="9"/>
      <c r="BD168" s="9"/>
      <c r="BE168" s="9"/>
      <c r="BF168" s="9"/>
      <c r="BG168" s="9"/>
      <c r="BH168" s="9"/>
      <c r="BI168" s="9"/>
      <c r="BJ168" s="9"/>
      <c r="BK168" s="9"/>
      <c r="BL168" s="9"/>
      <c r="BM168" s="9"/>
      <c r="BN168" s="9"/>
      <c r="BO168" s="9"/>
      <c r="BP168" s="9"/>
    </row>
    <row r="169" spans="1:68">
      <c r="A169" s="824"/>
      <c r="B169" s="824"/>
      <c r="C169" s="155"/>
      <c r="D169" s="155"/>
      <c r="E169" s="157"/>
      <c r="F169" s="157"/>
      <c r="G169" s="826"/>
      <c r="AD169" s="9"/>
      <c r="AE169" s="9"/>
      <c r="AF169" s="9"/>
      <c r="AG169" s="9"/>
      <c r="AH169" s="9"/>
      <c r="AI169" s="9"/>
      <c r="AJ169" s="9"/>
      <c r="AK169" s="9"/>
      <c r="AL169" s="9"/>
      <c r="AM169" s="9"/>
      <c r="AN169" s="9"/>
      <c r="AO169" s="9"/>
      <c r="AP169" s="9"/>
      <c r="AQ169" s="9"/>
      <c r="AR169" s="9"/>
      <c r="AS169" s="9"/>
      <c r="AT169" s="9"/>
      <c r="AU169" s="9"/>
      <c r="AV169" s="9"/>
      <c r="AW169" s="9"/>
      <c r="AX169" s="9"/>
      <c r="AY169" s="9"/>
      <c r="AZ169" s="9"/>
      <c r="BA169" s="9"/>
      <c r="BB169" s="9"/>
      <c r="BC169" s="9"/>
      <c r="BD169" s="9"/>
      <c r="BE169" s="9"/>
      <c r="BF169" s="9"/>
      <c r="BG169" s="9"/>
      <c r="BH169" s="9"/>
      <c r="BI169" s="9"/>
      <c r="BJ169" s="9"/>
      <c r="BK169" s="9"/>
      <c r="BL169" s="9"/>
      <c r="BM169" s="9"/>
      <c r="BN169" s="9"/>
      <c r="BO169" s="9"/>
      <c r="BP169" s="9"/>
    </row>
    <row r="170" spans="1:68">
      <c r="A170" s="824"/>
      <c r="B170" s="824"/>
      <c r="C170" s="157"/>
      <c r="D170" s="157"/>
      <c r="E170" s="163"/>
      <c r="F170" s="157"/>
      <c r="G170" s="826"/>
      <c r="AD170" s="9"/>
      <c r="AE170" s="9"/>
      <c r="AF170" s="9"/>
      <c r="AG170" s="9"/>
      <c r="AH170" s="9"/>
      <c r="AI170" s="9"/>
      <c r="AJ170" s="9"/>
      <c r="AK170" s="9"/>
      <c r="AL170" s="9"/>
      <c r="AM170" s="9"/>
      <c r="AN170" s="9"/>
      <c r="AO170" s="9"/>
      <c r="AP170" s="9"/>
      <c r="AQ170" s="9"/>
      <c r="AR170" s="9"/>
      <c r="AS170" s="9"/>
      <c r="AT170" s="9"/>
      <c r="AU170" s="9"/>
      <c r="AV170" s="9"/>
      <c r="AW170" s="9"/>
      <c r="AX170" s="9"/>
      <c r="AY170" s="9"/>
      <c r="AZ170" s="9"/>
      <c r="BA170" s="9"/>
      <c r="BB170" s="9"/>
      <c r="BC170" s="9"/>
      <c r="BD170" s="9"/>
      <c r="BE170" s="9"/>
      <c r="BF170" s="9"/>
      <c r="BG170" s="9"/>
      <c r="BH170" s="9"/>
      <c r="BI170" s="9"/>
      <c r="BJ170" s="9"/>
      <c r="BK170" s="9"/>
      <c r="BL170" s="9"/>
      <c r="BM170" s="9"/>
      <c r="BN170" s="9"/>
      <c r="BO170" s="9"/>
      <c r="BP170" s="9"/>
    </row>
    <row r="171" spans="1:68">
      <c r="A171" s="824"/>
      <c r="B171" s="824"/>
      <c r="C171" s="160"/>
      <c r="D171" s="161"/>
      <c r="E171" s="163"/>
      <c r="F171" s="163"/>
      <c r="G171" s="164"/>
      <c r="AD171" s="9"/>
      <c r="AE171" s="9"/>
      <c r="AF171" s="9"/>
      <c r="AG171" s="9"/>
      <c r="AH171" s="9"/>
      <c r="AI171" s="9"/>
      <c r="AJ171" s="9"/>
      <c r="AK171" s="9"/>
      <c r="AL171" s="9"/>
      <c r="AM171" s="9"/>
      <c r="AN171" s="9"/>
      <c r="AO171" s="9"/>
      <c r="AP171" s="9"/>
      <c r="AQ171" s="9"/>
      <c r="AR171" s="9"/>
      <c r="AS171" s="9"/>
      <c r="AT171" s="9"/>
      <c r="AU171" s="9"/>
      <c r="AV171" s="9"/>
      <c r="AW171" s="9"/>
      <c r="AX171" s="9"/>
      <c r="AY171" s="9"/>
      <c r="AZ171" s="9"/>
      <c r="BA171" s="9"/>
      <c r="BB171" s="9"/>
      <c r="BC171" s="9"/>
      <c r="BD171" s="9"/>
      <c r="BE171" s="9"/>
      <c r="BF171" s="9"/>
      <c r="BG171" s="9"/>
      <c r="BH171" s="9"/>
      <c r="BI171" s="9"/>
      <c r="BJ171" s="9"/>
      <c r="BK171" s="9"/>
      <c r="BL171" s="9"/>
      <c r="BM171" s="9"/>
      <c r="BN171" s="9"/>
      <c r="BO171" s="9"/>
      <c r="BP171" s="9"/>
    </row>
    <row r="172" spans="1:68">
      <c r="A172" s="824"/>
      <c r="B172" s="824"/>
      <c r="C172" s="166"/>
      <c r="D172" s="161"/>
      <c r="E172" s="163"/>
      <c r="F172" s="163"/>
      <c r="G172" s="164"/>
      <c r="AD172" s="9"/>
      <c r="AE172" s="9"/>
      <c r="AF172" s="9"/>
      <c r="AG172" s="9"/>
      <c r="AH172" s="9"/>
      <c r="AI172" s="9"/>
      <c r="AJ172" s="9"/>
      <c r="AK172" s="9"/>
      <c r="AL172" s="9"/>
      <c r="AM172" s="9"/>
      <c r="AN172" s="9"/>
      <c r="AO172" s="9"/>
      <c r="AP172" s="9"/>
      <c r="AQ172" s="9"/>
      <c r="AR172" s="9"/>
      <c r="AS172" s="9"/>
      <c r="AT172" s="9"/>
      <c r="AU172" s="9"/>
      <c r="AV172" s="9"/>
      <c r="AW172" s="9"/>
      <c r="AX172" s="9"/>
      <c r="AY172" s="9"/>
      <c r="AZ172" s="9"/>
      <c r="BA172" s="9"/>
      <c r="BB172" s="9"/>
      <c r="BC172" s="9"/>
      <c r="BD172" s="9"/>
      <c r="BE172" s="9"/>
      <c r="BF172" s="9"/>
      <c r="BG172" s="9"/>
      <c r="BH172" s="9"/>
      <c r="BI172" s="9"/>
      <c r="BJ172" s="9"/>
      <c r="BK172" s="9"/>
      <c r="BL172" s="9"/>
      <c r="BM172" s="9"/>
      <c r="BN172" s="9"/>
      <c r="BO172" s="9"/>
      <c r="BP172" s="9"/>
    </row>
    <row r="173" spans="1:68">
      <c r="A173" s="824"/>
      <c r="B173" s="824"/>
      <c r="C173" s="166"/>
      <c r="D173" s="161"/>
      <c r="E173" s="157"/>
      <c r="F173" s="163"/>
      <c r="G173" s="164"/>
      <c r="AD173" s="9"/>
      <c r="AE173" s="9"/>
      <c r="AF173" s="9"/>
      <c r="AG173" s="9"/>
      <c r="AH173" s="9"/>
      <c r="AI173" s="9"/>
      <c r="AJ173" s="9"/>
      <c r="AK173" s="9"/>
      <c r="AL173" s="9"/>
      <c r="AM173" s="9"/>
      <c r="AN173" s="9"/>
      <c r="AO173" s="9"/>
      <c r="AP173" s="9"/>
      <c r="AQ173" s="9"/>
      <c r="AR173" s="9"/>
      <c r="AS173" s="9"/>
      <c r="AT173" s="9"/>
      <c r="AU173" s="9"/>
      <c r="AV173" s="9"/>
      <c r="AW173" s="9"/>
      <c r="AX173" s="9"/>
      <c r="AY173" s="9"/>
      <c r="AZ173" s="9"/>
      <c r="BA173" s="9"/>
      <c r="BB173" s="9"/>
      <c r="BC173" s="9"/>
      <c r="BD173" s="9"/>
      <c r="BE173" s="9"/>
      <c r="BF173" s="9"/>
      <c r="BG173" s="9"/>
      <c r="BH173" s="9"/>
      <c r="BI173" s="9"/>
      <c r="BJ173" s="9"/>
      <c r="BK173" s="9"/>
      <c r="BL173" s="9"/>
      <c r="BM173" s="9"/>
      <c r="BN173" s="9"/>
      <c r="BO173" s="9"/>
      <c r="BP173" s="9"/>
    </row>
    <row r="174" spans="1:68">
      <c r="A174" s="824"/>
      <c r="B174" s="824"/>
      <c r="C174" s="155"/>
      <c r="D174" s="161"/>
      <c r="E174" s="163"/>
      <c r="F174" s="163"/>
      <c r="G174" s="164"/>
      <c r="AD174" s="9"/>
      <c r="AE174" s="9"/>
      <c r="AF174" s="9"/>
      <c r="AG174" s="9"/>
      <c r="AH174" s="9"/>
      <c r="AI174" s="9"/>
      <c r="AJ174" s="9"/>
      <c r="AK174" s="9"/>
      <c r="AL174" s="9"/>
      <c r="AM174" s="9"/>
      <c r="AN174" s="9"/>
      <c r="AO174" s="9"/>
      <c r="AP174" s="9"/>
      <c r="AQ174" s="9"/>
      <c r="AR174" s="9"/>
      <c r="AS174" s="9"/>
      <c r="AT174" s="9"/>
      <c r="AU174" s="9"/>
      <c r="AV174" s="9"/>
      <c r="AW174" s="9"/>
      <c r="AX174" s="9"/>
      <c r="AY174" s="9"/>
      <c r="AZ174" s="9"/>
      <c r="BA174" s="9"/>
      <c r="BB174" s="9"/>
      <c r="BC174" s="9"/>
      <c r="BD174" s="9"/>
      <c r="BE174" s="9"/>
      <c r="BF174" s="9"/>
      <c r="BG174" s="9"/>
      <c r="BH174" s="9"/>
      <c r="BI174" s="9"/>
      <c r="BJ174" s="9"/>
      <c r="BK174" s="9"/>
      <c r="BL174" s="9"/>
      <c r="BM174" s="9"/>
      <c r="BN174" s="9"/>
      <c r="BO174" s="9"/>
      <c r="BP174" s="9"/>
    </row>
    <row r="175" spans="1:68">
      <c r="A175" s="824"/>
      <c r="B175" s="824"/>
      <c r="C175" s="166"/>
      <c r="D175" s="161"/>
      <c r="E175" s="157"/>
      <c r="F175" s="163"/>
      <c r="G175" s="164"/>
      <c r="AD175" s="9"/>
      <c r="AE175" s="9"/>
      <c r="AF175" s="9"/>
      <c r="AG175" s="9"/>
      <c r="AH175" s="9"/>
      <c r="AI175" s="9"/>
      <c r="AJ175" s="9"/>
      <c r="AK175" s="9"/>
      <c r="AL175" s="9"/>
      <c r="AM175" s="9"/>
      <c r="AN175" s="9"/>
      <c r="AO175" s="9"/>
      <c r="AP175" s="9"/>
      <c r="AQ175" s="9"/>
      <c r="AR175" s="9"/>
      <c r="AS175" s="9"/>
      <c r="AT175" s="9"/>
      <c r="AU175" s="9"/>
      <c r="AV175" s="9"/>
      <c r="AW175" s="9"/>
      <c r="AX175" s="9"/>
      <c r="AY175" s="9"/>
      <c r="AZ175" s="9"/>
      <c r="BA175" s="9"/>
      <c r="BB175" s="9"/>
      <c r="BC175" s="9"/>
      <c r="BD175" s="9"/>
      <c r="BE175" s="9"/>
      <c r="BF175" s="9"/>
      <c r="BG175" s="9"/>
      <c r="BH175" s="9"/>
      <c r="BI175" s="9"/>
      <c r="BJ175" s="9"/>
      <c r="BK175" s="9"/>
      <c r="BL175" s="9"/>
      <c r="BM175" s="9"/>
      <c r="BN175" s="9"/>
      <c r="BO175" s="9"/>
      <c r="BP175" s="9"/>
    </row>
    <row r="176" spans="1:68">
      <c r="A176" s="824"/>
      <c r="B176" s="824"/>
      <c r="C176" s="166"/>
      <c r="D176" s="161"/>
      <c r="E176" s="163"/>
      <c r="F176" s="163"/>
      <c r="G176" s="164"/>
      <c r="AD176" s="9"/>
      <c r="AE176" s="9"/>
      <c r="AF176" s="9"/>
      <c r="AG176" s="9"/>
      <c r="AH176" s="9"/>
      <c r="AI176" s="9"/>
      <c r="AJ176" s="9"/>
      <c r="AK176" s="9"/>
      <c r="AL176" s="9"/>
      <c r="AM176" s="9"/>
      <c r="AN176" s="9"/>
      <c r="AO176" s="9"/>
      <c r="AP176" s="9"/>
      <c r="AQ176" s="9"/>
      <c r="AR176" s="9"/>
      <c r="AS176" s="9"/>
      <c r="AT176" s="9"/>
      <c r="AU176" s="9"/>
      <c r="AV176" s="9"/>
      <c r="AW176" s="9"/>
      <c r="AX176" s="9"/>
      <c r="AY176" s="9"/>
      <c r="AZ176" s="9"/>
      <c r="BA176" s="9"/>
      <c r="BB176" s="9"/>
      <c r="BC176" s="9"/>
      <c r="BD176" s="9"/>
      <c r="BE176" s="9"/>
      <c r="BF176" s="9"/>
      <c r="BG176" s="9"/>
      <c r="BH176" s="9"/>
      <c r="BI176" s="9"/>
      <c r="BJ176" s="9"/>
      <c r="BK176" s="9"/>
      <c r="BL176" s="9"/>
      <c r="BM176" s="9"/>
      <c r="BN176" s="9"/>
      <c r="BO176" s="9"/>
      <c r="BP176" s="9"/>
    </row>
    <row r="177" spans="1:68">
      <c r="A177" s="824"/>
      <c r="B177" s="824"/>
      <c r="C177" s="166"/>
      <c r="D177" s="161"/>
      <c r="E177" s="163"/>
      <c r="F177" s="163"/>
      <c r="G177" s="164"/>
      <c r="AD177" s="9"/>
      <c r="AE177" s="9"/>
      <c r="AF177" s="9"/>
      <c r="AG177" s="9"/>
      <c r="AH177" s="9"/>
      <c r="AI177" s="9"/>
      <c r="AJ177" s="9"/>
      <c r="AK177" s="9"/>
      <c r="AL177" s="9"/>
      <c r="AM177" s="9"/>
      <c r="AN177" s="9"/>
      <c r="AO177" s="9"/>
      <c r="AP177" s="9"/>
      <c r="AQ177" s="9"/>
      <c r="AR177" s="9"/>
      <c r="AS177" s="9"/>
      <c r="AT177" s="9"/>
      <c r="AU177" s="9"/>
      <c r="AV177" s="9"/>
      <c r="AW177" s="9"/>
      <c r="AX177" s="9"/>
      <c r="AY177" s="9"/>
      <c r="AZ177" s="9"/>
      <c r="BA177" s="9"/>
      <c r="BB177" s="9"/>
      <c r="BC177" s="9"/>
      <c r="BD177" s="9"/>
      <c r="BE177" s="9"/>
      <c r="BF177" s="9"/>
      <c r="BG177" s="9"/>
      <c r="BH177" s="9"/>
      <c r="BI177" s="9"/>
      <c r="BJ177" s="9"/>
      <c r="BK177" s="9"/>
      <c r="BL177" s="9"/>
      <c r="BM177" s="9"/>
      <c r="BN177" s="9"/>
      <c r="BO177" s="9"/>
      <c r="BP177" s="9"/>
    </row>
    <row r="178" spans="1:68">
      <c r="A178" s="824"/>
      <c r="B178" s="824"/>
      <c r="C178" s="166"/>
      <c r="D178" s="161"/>
      <c r="E178" s="163"/>
      <c r="F178" s="163"/>
      <c r="G178" s="164"/>
      <c r="AD178" s="9"/>
      <c r="AE178" s="9"/>
      <c r="AF178" s="9"/>
      <c r="AG178" s="9"/>
      <c r="AH178" s="9"/>
      <c r="AI178" s="9"/>
      <c r="AJ178" s="9"/>
      <c r="AK178" s="9"/>
      <c r="AL178" s="9"/>
      <c r="AM178" s="9"/>
      <c r="AN178" s="9"/>
      <c r="AO178" s="9"/>
      <c r="AP178" s="9"/>
      <c r="AQ178" s="9"/>
      <c r="AR178" s="9"/>
      <c r="AS178" s="9"/>
      <c r="AT178" s="9"/>
      <c r="AU178" s="9"/>
      <c r="AV178" s="9"/>
      <c r="AW178" s="9"/>
      <c r="AX178" s="9"/>
      <c r="AY178" s="9"/>
      <c r="AZ178" s="9"/>
      <c r="BA178" s="9"/>
      <c r="BB178" s="9"/>
      <c r="BC178" s="9"/>
      <c r="BD178" s="9"/>
      <c r="BE178" s="9"/>
      <c r="BF178" s="9"/>
      <c r="BG178" s="9"/>
      <c r="BH178" s="9"/>
      <c r="BI178" s="9"/>
      <c r="BJ178" s="9"/>
      <c r="BK178" s="9"/>
      <c r="BL178" s="9"/>
      <c r="BM178" s="9"/>
      <c r="BN178" s="9"/>
      <c r="BO178" s="9"/>
      <c r="BP178" s="9"/>
    </row>
    <row r="179" spans="1:68">
      <c r="A179" s="824"/>
      <c r="B179" s="824"/>
      <c r="C179" s="166"/>
      <c r="D179" s="161"/>
      <c r="E179" s="163"/>
      <c r="F179" s="163"/>
      <c r="G179" s="164"/>
      <c r="AD179" s="9"/>
      <c r="AE179" s="9"/>
      <c r="AF179" s="9"/>
      <c r="AG179" s="9"/>
      <c r="AH179" s="9"/>
      <c r="AI179" s="9"/>
      <c r="AJ179" s="9"/>
      <c r="AK179" s="9"/>
      <c r="AL179" s="9"/>
      <c r="AM179" s="9"/>
      <c r="AN179" s="9"/>
      <c r="AO179" s="9"/>
      <c r="AP179" s="9"/>
      <c r="AQ179" s="9"/>
      <c r="AR179" s="9"/>
      <c r="AS179" s="9"/>
      <c r="AT179" s="9"/>
      <c r="AU179" s="9"/>
      <c r="AV179" s="9"/>
      <c r="AW179" s="9"/>
      <c r="AX179" s="9"/>
      <c r="AY179" s="9"/>
      <c r="AZ179" s="9"/>
      <c r="BA179" s="9"/>
      <c r="BB179" s="9"/>
      <c r="BC179" s="9"/>
      <c r="BD179" s="9"/>
      <c r="BE179" s="9"/>
      <c r="BF179" s="9"/>
      <c r="BG179" s="9"/>
      <c r="BH179" s="9"/>
      <c r="BI179" s="9"/>
      <c r="BJ179" s="9"/>
      <c r="BK179" s="9"/>
      <c r="BL179" s="9"/>
      <c r="BM179" s="9"/>
      <c r="BN179" s="9"/>
      <c r="BO179" s="9"/>
      <c r="BP179" s="9"/>
    </row>
    <row r="180" spans="1:68">
      <c r="A180" s="824"/>
      <c r="B180" s="824"/>
      <c r="C180" s="166"/>
      <c r="D180" s="161"/>
      <c r="E180" s="163"/>
      <c r="F180" s="163"/>
      <c r="G180" s="164"/>
      <c r="AD180" s="9"/>
      <c r="AE180" s="9"/>
      <c r="AF180" s="9"/>
      <c r="AG180" s="9"/>
      <c r="AH180" s="9"/>
      <c r="AI180" s="9"/>
      <c r="AJ180" s="9"/>
      <c r="AK180" s="9"/>
      <c r="AL180" s="9"/>
      <c r="AM180" s="9"/>
      <c r="AN180" s="9"/>
      <c r="AO180" s="9"/>
      <c r="AP180" s="9"/>
      <c r="AQ180" s="9"/>
      <c r="AR180" s="9"/>
      <c r="AS180" s="9"/>
      <c r="AT180" s="9"/>
      <c r="AU180" s="9"/>
      <c r="AV180" s="9"/>
      <c r="AW180" s="9"/>
      <c r="AX180" s="9"/>
      <c r="AY180" s="9"/>
      <c r="AZ180" s="9"/>
      <c r="BA180" s="9"/>
      <c r="BB180" s="9"/>
      <c r="BC180" s="9"/>
      <c r="BD180" s="9"/>
      <c r="BE180" s="9"/>
      <c r="BF180" s="9"/>
      <c r="BG180" s="9"/>
      <c r="BH180" s="9"/>
      <c r="BI180" s="9"/>
      <c r="BJ180" s="9"/>
      <c r="BK180" s="9"/>
      <c r="BL180" s="9"/>
      <c r="BM180" s="9"/>
      <c r="BN180" s="9"/>
      <c r="BO180" s="9"/>
      <c r="BP180" s="9"/>
    </row>
    <row r="181" spans="1:68">
      <c r="A181" s="824"/>
      <c r="B181" s="824"/>
      <c r="C181" s="166"/>
      <c r="D181" s="161"/>
      <c r="E181" s="163"/>
      <c r="F181" s="163"/>
      <c r="G181" s="164"/>
      <c r="AD181" s="9"/>
      <c r="AE181" s="9"/>
      <c r="AF181" s="9"/>
      <c r="AG181" s="9"/>
      <c r="AH181" s="9"/>
      <c r="AI181" s="9"/>
      <c r="AJ181" s="9"/>
      <c r="AK181" s="9"/>
      <c r="AL181" s="9"/>
      <c r="AM181" s="9"/>
      <c r="AN181" s="9"/>
      <c r="AO181" s="9"/>
      <c r="AP181" s="9"/>
      <c r="AQ181" s="9"/>
      <c r="AR181" s="9"/>
      <c r="AS181" s="9"/>
      <c r="AT181" s="9"/>
      <c r="AU181" s="9"/>
      <c r="AV181" s="9"/>
      <c r="AW181" s="9"/>
      <c r="AX181" s="9"/>
      <c r="AY181" s="9"/>
      <c r="AZ181" s="9"/>
      <c r="BA181" s="9"/>
      <c r="BB181" s="9"/>
      <c r="BC181" s="9"/>
      <c r="BD181" s="9"/>
      <c r="BE181" s="9"/>
      <c r="BF181" s="9"/>
      <c r="BG181" s="9"/>
      <c r="BH181" s="9"/>
      <c r="BI181" s="9"/>
      <c r="BJ181" s="9"/>
      <c r="BK181" s="9"/>
      <c r="BL181" s="9"/>
      <c r="BM181" s="9"/>
      <c r="BN181" s="9"/>
      <c r="BO181" s="9"/>
      <c r="BP181" s="9"/>
    </row>
    <row r="182" spans="1:68">
      <c r="A182" s="824"/>
      <c r="B182" s="824"/>
      <c r="C182" s="166"/>
      <c r="D182" s="161"/>
      <c r="E182" s="163"/>
      <c r="F182" s="163"/>
      <c r="G182" s="164"/>
      <c r="AD182" s="9"/>
      <c r="AE182" s="9"/>
      <c r="AF182" s="9"/>
      <c r="AG182" s="9"/>
      <c r="AH182" s="9"/>
      <c r="AI182" s="9"/>
      <c r="AJ182" s="9"/>
      <c r="AK182" s="9"/>
      <c r="AL182" s="9"/>
      <c r="AM182" s="9"/>
      <c r="AN182" s="9"/>
      <c r="AO182" s="9"/>
      <c r="AP182" s="9"/>
      <c r="AQ182" s="9"/>
      <c r="AR182" s="9"/>
      <c r="AS182" s="9"/>
      <c r="AT182" s="9"/>
      <c r="AU182" s="9"/>
      <c r="AV182" s="9"/>
      <c r="AW182" s="9"/>
      <c r="AX182" s="9"/>
      <c r="AY182" s="9"/>
      <c r="AZ182" s="9"/>
      <c r="BA182" s="9"/>
      <c r="BB182" s="9"/>
      <c r="BC182" s="9"/>
      <c r="BD182" s="9"/>
      <c r="BE182" s="9"/>
      <c r="BF182" s="9"/>
      <c r="BG182" s="9"/>
      <c r="BH182" s="9"/>
      <c r="BI182" s="9"/>
      <c r="BJ182" s="9"/>
      <c r="BK182" s="9"/>
      <c r="BL182" s="9"/>
      <c r="BM182" s="9"/>
      <c r="BN182" s="9"/>
      <c r="BO182" s="9"/>
      <c r="BP182" s="9"/>
    </row>
    <row r="183" spans="1:68">
      <c r="A183" s="824"/>
      <c r="B183" s="824"/>
      <c r="C183" s="166"/>
      <c r="D183" s="161"/>
      <c r="E183" s="163"/>
      <c r="F183" s="163"/>
      <c r="G183" s="164"/>
      <c r="AD183" s="9"/>
      <c r="AE183" s="9"/>
      <c r="AF183" s="9"/>
      <c r="AG183" s="9"/>
      <c r="AH183" s="9"/>
      <c r="AI183" s="9"/>
      <c r="AJ183" s="9"/>
      <c r="AK183" s="9"/>
      <c r="AL183" s="9"/>
      <c r="AM183" s="9"/>
      <c r="AN183" s="9"/>
      <c r="AO183" s="9"/>
      <c r="AP183" s="9"/>
      <c r="AQ183" s="9"/>
      <c r="AR183" s="9"/>
      <c r="AS183" s="9"/>
      <c r="AT183" s="9"/>
      <c r="AU183" s="9"/>
      <c r="AV183" s="9"/>
      <c r="AW183" s="9"/>
      <c r="AX183" s="9"/>
      <c r="AY183" s="9"/>
      <c r="AZ183" s="9"/>
      <c r="BA183" s="9"/>
      <c r="BB183" s="9"/>
      <c r="BC183" s="9"/>
      <c r="BD183" s="9"/>
      <c r="BE183" s="9"/>
      <c r="BF183" s="9"/>
      <c r="BG183" s="9"/>
      <c r="BH183" s="9"/>
      <c r="BI183" s="9"/>
      <c r="BJ183" s="9"/>
      <c r="BK183" s="9"/>
      <c r="BL183" s="9"/>
      <c r="BM183" s="9"/>
      <c r="BN183" s="9"/>
      <c r="BO183" s="9"/>
      <c r="BP183" s="9"/>
    </row>
    <row r="184" spans="1:68">
      <c r="A184" s="824"/>
      <c r="B184" s="824"/>
      <c r="C184" s="166"/>
      <c r="D184" s="168"/>
      <c r="E184" s="163"/>
      <c r="F184" s="163"/>
      <c r="G184" s="164"/>
      <c r="AD184" s="9"/>
      <c r="AE184" s="9"/>
      <c r="AF184" s="9"/>
      <c r="AG184" s="9"/>
      <c r="AH184" s="9"/>
      <c r="AI184" s="9"/>
      <c r="AJ184" s="9"/>
      <c r="AK184" s="9"/>
      <c r="AL184" s="9"/>
      <c r="AM184" s="9"/>
      <c r="AN184" s="9"/>
      <c r="AO184" s="9"/>
      <c r="AP184" s="9"/>
      <c r="AQ184" s="9"/>
      <c r="AR184" s="9"/>
      <c r="AS184" s="9"/>
      <c r="AT184" s="9"/>
      <c r="AU184" s="9"/>
      <c r="AV184" s="9"/>
      <c r="AW184" s="9"/>
      <c r="AX184" s="9"/>
      <c r="AY184" s="9"/>
      <c r="AZ184" s="9"/>
      <c r="BA184" s="9"/>
      <c r="BB184" s="9"/>
      <c r="BC184" s="9"/>
      <c r="BD184" s="9"/>
      <c r="BE184" s="9"/>
      <c r="BF184" s="9"/>
      <c r="BG184" s="9"/>
      <c r="BH184" s="9"/>
      <c r="BI184" s="9"/>
      <c r="BJ184" s="9"/>
      <c r="BK184" s="9"/>
      <c r="BL184" s="9"/>
      <c r="BM184" s="9"/>
      <c r="BN184" s="9"/>
      <c r="BO184" s="9"/>
      <c r="BP184" s="9"/>
    </row>
    <row r="185" spans="1:68">
      <c r="A185" s="824"/>
      <c r="B185" s="824"/>
      <c r="C185" s="166"/>
      <c r="D185" s="161"/>
      <c r="E185" s="163"/>
      <c r="F185" s="163"/>
      <c r="G185" s="164"/>
      <c r="AD185" s="9"/>
      <c r="AE185" s="9"/>
      <c r="AF185" s="9"/>
      <c r="AG185" s="9"/>
      <c r="AH185" s="9"/>
      <c r="AI185" s="9"/>
      <c r="AJ185" s="9"/>
      <c r="AK185" s="9"/>
      <c r="AL185" s="9"/>
      <c r="AM185" s="9"/>
      <c r="AN185" s="9"/>
      <c r="AO185" s="9"/>
      <c r="AP185" s="9"/>
      <c r="AQ185" s="9"/>
      <c r="AR185" s="9"/>
      <c r="AS185" s="9"/>
      <c r="AT185" s="9"/>
      <c r="AU185" s="9"/>
      <c r="AV185" s="9"/>
      <c r="AW185" s="9"/>
      <c r="AX185" s="9"/>
      <c r="AY185" s="9"/>
      <c r="AZ185" s="9"/>
      <c r="BA185" s="9"/>
      <c r="BB185" s="9"/>
      <c r="BC185" s="9"/>
      <c r="BD185" s="9"/>
      <c r="BE185" s="9"/>
      <c r="BF185" s="9"/>
      <c r="BG185" s="9"/>
      <c r="BH185" s="9"/>
      <c r="BI185" s="9"/>
      <c r="BJ185" s="9"/>
      <c r="BK185" s="9"/>
      <c r="BL185" s="9"/>
      <c r="BM185" s="9"/>
      <c r="BN185" s="9"/>
      <c r="BO185" s="9"/>
      <c r="BP185" s="9"/>
    </row>
    <row r="186" spans="1:68">
      <c r="A186" s="824"/>
      <c r="B186" s="824"/>
      <c r="C186" s="160"/>
      <c r="D186" s="161"/>
      <c r="E186" s="163"/>
      <c r="F186" s="163"/>
      <c r="G186" s="164"/>
    </row>
    <row r="187" spans="1:68">
      <c r="A187" s="824"/>
      <c r="B187" s="824"/>
      <c r="C187" s="166"/>
      <c r="D187" s="161"/>
      <c r="E187" s="163"/>
      <c r="F187" s="163"/>
      <c r="G187" s="164"/>
    </row>
    <row r="188" spans="1:68">
      <c r="C188" s="166"/>
      <c r="D188" s="161"/>
      <c r="E188" s="157"/>
      <c r="F188" s="163"/>
      <c r="G188" s="164"/>
    </row>
    <row r="189" spans="1:68">
      <c r="C189" s="166"/>
      <c r="D189" s="168"/>
      <c r="E189" s="163"/>
      <c r="F189" s="163"/>
      <c r="G189" s="164"/>
    </row>
    <row r="190" spans="1:68">
      <c r="C190" s="166"/>
      <c r="D190" s="161"/>
      <c r="E190" s="157"/>
      <c r="F190" s="163"/>
      <c r="G190" s="164"/>
    </row>
  </sheetData>
  <mergeCells count="173">
    <mergeCell ref="A187:B187"/>
    <mergeCell ref="A181:B181"/>
    <mergeCell ref="A182:B182"/>
    <mergeCell ref="A183:B183"/>
    <mergeCell ref="A184:B184"/>
    <mergeCell ref="A185:B185"/>
    <mergeCell ref="A186:B186"/>
    <mergeCell ref="A175:B175"/>
    <mergeCell ref="A176:B176"/>
    <mergeCell ref="A177:B177"/>
    <mergeCell ref="A178:B178"/>
    <mergeCell ref="A179:B179"/>
    <mergeCell ref="A180:B180"/>
    <mergeCell ref="G169:G170"/>
    <mergeCell ref="A170:B170"/>
    <mergeCell ref="A171:B171"/>
    <mergeCell ref="A172:B172"/>
    <mergeCell ref="A173:B173"/>
    <mergeCell ref="A174:B174"/>
    <mergeCell ref="A159:B159"/>
    <mergeCell ref="A160:B160"/>
    <mergeCell ref="A161:B161"/>
    <mergeCell ref="A162:B162"/>
    <mergeCell ref="A168:B168"/>
    <mergeCell ref="A169:B169"/>
    <mergeCell ref="A153:B153"/>
    <mergeCell ref="A154:B154"/>
    <mergeCell ref="A155:B155"/>
    <mergeCell ref="A156:B156"/>
    <mergeCell ref="A157:B157"/>
    <mergeCell ref="A158:B158"/>
    <mergeCell ref="A147:B147"/>
    <mergeCell ref="A148:B148"/>
    <mergeCell ref="A149:B149"/>
    <mergeCell ref="A150:B150"/>
    <mergeCell ref="A151:B151"/>
    <mergeCell ref="A152:B152"/>
    <mergeCell ref="A137:B137"/>
    <mergeCell ref="A143:B143"/>
    <mergeCell ref="A144:B144"/>
    <mergeCell ref="G144:G145"/>
    <mergeCell ref="A145:B145"/>
    <mergeCell ref="A146:B146"/>
    <mergeCell ref="A131:B131"/>
    <mergeCell ref="A132:B132"/>
    <mergeCell ref="A133:B133"/>
    <mergeCell ref="A134:B134"/>
    <mergeCell ref="A135:B135"/>
    <mergeCell ref="A136:B136"/>
    <mergeCell ref="A125:B125"/>
    <mergeCell ref="A126:B126"/>
    <mergeCell ref="A127:B127"/>
    <mergeCell ref="A128:B128"/>
    <mergeCell ref="A129:B129"/>
    <mergeCell ref="A130:B130"/>
    <mergeCell ref="G119:G120"/>
    <mergeCell ref="A120:B120"/>
    <mergeCell ref="A121:B121"/>
    <mergeCell ref="A122:B122"/>
    <mergeCell ref="A123:B123"/>
    <mergeCell ref="A124:B124"/>
    <mergeCell ref="A108:B108"/>
    <mergeCell ref="A109:B109"/>
    <mergeCell ref="A110:B110"/>
    <mergeCell ref="A111:B111"/>
    <mergeCell ref="A118:B118"/>
    <mergeCell ref="A119:B119"/>
    <mergeCell ref="A102:B102"/>
    <mergeCell ref="A103:B103"/>
    <mergeCell ref="A104:B104"/>
    <mergeCell ref="A105:B105"/>
    <mergeCell ref="A106:B106"/>
    <mergeCell ref="A107:B107"/>
    <mergeCell ref="A96:B96"/>
    <mergeCell ref="A97:B97"/>
    <mergeCell ref="A98:B98"/>
    <mergeCell ref="A99:B99"/>
    <mergeCell ref="A100:B100"/>
    <mergeCell ref="A101:B101"/>
    <mergeCell ref="O54:O55"/>
    <mergeCell ref="G70:G71"/>
    <mergeCell ref="A72:B72"/>
    <mergeCell ref="A93:B93"/>
    <mergeCell ref="A94:B94"/>
    <mergeCell ref="G94:G95"/>
    <mergeCell ref="A95:B95"/>
    <mergeCell ref="D41:T41"/>
    <mergeCell ref="A42:B42"/>
    <mergeCell ref="D42:T42"/>
    <mergeCell ref="A43:B43"/>
    <mergeCell ref="D43:T43"/>
    <mergeCell ref="A44:B44"/>
    <mergeCell ref="D44:T44"/>
    <mergeCell ref="D35:T35"/>
    <mergeCell ref="D36:T36"/>
    <mergeCell ref="D37:T37"/>
    <mergeCell ref="D38:T38"/>
    <mergeCell ref="D39:T39"/>
    <mergeCell ref="D40:T40"/>
    <mergeCell ref="A14:Q14"/>
    <mergeCell ref="R30:R32"/>
    <mergeCell ref="O31:Q31"/>
    <mergeCell ref="A32:Q32"/>
    <mergeCell ref="A33:C33"/>
    <mergeCell ref="D33:T33"/>
    <mergeCell ref="D34:T34"/>
    <mergeCell ref="A24:A27"/>
    <mergeCell ref="B24:B31"/>
    <mergeCell ref="O24:Q24"/>
    <mergeCell ref="O25:Q25"/>
    <mergeCell ref="O26:Q26"/>
    <mergeCell ref="O27:Q27"/>
    <mergeCell ref="O28:Q28"/>
    <mergeCell ref="O29:Q29"/>
    <mergeCell ref="O30:Q30"/>
    <mergeCell ref="Z14:AB14"/>
    <mergeCell ref="A15:A18"/>
    <mergeCell ref="B15:B22"/>
    <mergeCell ref="O15:Q15"/>
    <mergeCell ref="O16:Q16"/>
    <mergeCell ref="O17:Q17"/>
    <mergeCell ref="O18:Q18"/>
    <mergeCell ref="A6:A9"/>
    <mergeCell ref="B6:B13"/>
    <mergeCell ref="O6:Q6"/>
    <mergeCell ref="O7:Q7"/>
    <mergeCell ref="O8:Q8"/>
    <mergeCell ref="O9:Q9"/>
    <mergeCell ref="O10:Q10"/>
    <mergeCell ref="O11:Q11"/>
    <mergeCell ref="O12:Q12"/>
    <mergeCell ref="O19:Q19"/>
    <mergeCell ref="O20:Q20"/>
    <mergeCell ref="O21:Q21"/>
    <mergeCell ref="R21:R23"/>
    <mergeCell ref="O22:Q22"/>
    <mergeCell ref="A23:Q23"/>
    <mergeCell ref="R12:R14"/>
    <mergeCell ref="O13:Q13"/>
    <mergeCell ref="R4:T5"/>
    <mergeCell ref="Z4:Z5"/>
    <mergeCell ref="AA4:AA5"/>
    <mergeCell ref="AB4:AB5"/>
    <mergeCell ref="H4:H5"/>
    <mergeCell ref="I4:I5"/>
    <mergeCell ref="J4:J5"/>
    <mergeCell ref="K4:K5"/>
    <mergeCell ref="L4:L5"/>
    <mergeCell ref="M4:M5"/>
    <mergeCell ref="Z1:Z2"/>
    <mergeCell ref="AA1:AA2"/>
    <mergeCell ref="AD1:AE2"/>
    <mergeCell ref="AJ1:AK2"/>
    <mergeCell ref="AD3:AD4"/>
    <mergeCell ref="AE3:AE4"/>
    <mergeCell ref="AJ3:AJ4"/>
    <mergeCell ref="AK3:AK4"/>
    <mergeCell ref="B4:B5"/>
    <mergeCell ref="C4:C5"/>
    <mergeCell ref="D4:D5"/>
    <mergeCell ref="E4:E5"/>
    <mergeCell ref="F4:F5"/>
    <mergeCell ref="G4:G5"/>
    <mergeCell ref="C2:D2"/>
    <mergeCell ref="E2:F2"/>
    <mergeCell ref="R2:S2"/>
    <mergeCell ref="C3:D3"/>
    <mergeCell ref="E3:F3"/>
    <mergeCell ref="R3:S3"/>
    <mergeCell ref="G1:P3"/>
    <mergeCell ref="R1:S1"/>
    <mergeCell ref="N4:N5"/>
    <mergeCell ref="O4:Q5"/>
  </mergeCells>
  <conditionalFormatting sqref="G6:G13 G15:G22 G24:G31">
    <cfRule type="containsText" dxfId="63" priority="14" stopIfTrue="1" operator="containsText" text="MTF">
      <formula>NOT(ISERROR(SEARCH("MTF",G6)))</formula>
    </cfRule>
  </conditionalFormatting>
  <conditionalFormatting sqref="D15:E22 D6:E13 D24:E31">
    <cfRule type="cellIs" dxfId="62" priority="10" operator="equal">
      <formula>"N"</formula>
    </cfRule>
    <cfRule type="cellIs" dxfId="61" priority="11" operator="equal">
      <formula>"Y"</formula>
    </cfRule>
    <cfRule type="cellIs" dxfId="60" priority="12" operator="equal">
      <formula>"N"</formula>
    </cfRule>
    <cfRule type="cellIs" dxfId="59" priority="13" operator="equal">
      <formula>"Y"</formula>
    </cfRule>
  </conditionalFormatting>
  <conditionalFormatting sqref="J15:J22 J6:J13 J24:J31">
    <cfRule type="containsText" dxfId="58" priority="9" operator="containsText" text="CAAF">
      <formula>NOT(ISERROR(SEARCH("CAAF",J6)))</formula>
    </cfRule>
  </conditionalFormatting>
  <conditionalFormatting sqref="N6:N13 N15:N22 N24:N31">
    <cfRule type="cellIs" dxfId="57" priority="8" operator="equal">
      <formula>0</formula>
    </cfRule>
  </conditionalFormatting>
  <conditionalFormatting sqref="N6:N13 N15:N22 N24:N31">
    <cfRule type="cellIs" dxfId="56" priority="7" operator="lessThan">
      <formula>NOW()</formula>
    </cfRule>
  </conditionalFormatting>
  <conditionalFormatting sqref="G72:G90 G96:G115 G121:G140 G146:G165 G171:G190 O56:O75">
    <cfRule type="cellIs" dxfId="55" priority="5" stopIfTrue="1" operator="greaterThanOrEqual">
      <formula>0</formula>
    </cfRule>
    <cfRule type="cellIs" dxfId="54" priority="6" stopIfTrue="1" operator="lessThan">
      <formula>0</formula>
    </cfRule>
  </conditionalFormatting>
  <conditionalFormatting sqref="G6:G13 G15:G22 G24:G31">
    <cfRule type="containsText" dxfId="53" priority="1" stopIfTrue="1" operator="containsText" text="Blank">
      <formula>NOT(ISERROR(SEARCH("Blank",G6)))</formula>
    </cfRule>
    <cfRule type="beginsWith" dxfId="52" priority="2" stopIfTrue="1" operator="beginsWith" text="NMC">
      <formula>LEFT(G6,3)="NMC"</formula>
    </cfRule>
    <cfRule type="beginsWith" dxfId="51" priority="3" stopIfTrue="1" operator="beginsWith" text="PMC">
      <formula>LEFT(G6,3)="PMC"</formula>
    </cfRule>
    <cfRule type="containsText" dxfId="50" priority="4" stopIfTrue="1" operator="containsText" text="FMC">
      <formula>NOT(ISERROR(SEARCH("FMC",G6)))</formula>
    </cfRule>
  </conditionalFormatting>
  <dataValidations count="2">
    <dataValidation type="list" allowBlank="1" showInputMessage="1" showErrorMessage="1" errorTitle="Error!" error="Choose from the drop down menu." sqref="D15:D22 D24:D31 D6:D13">
      <formula1>$C$66:$C$68</formula1>
    </dataValidation>
    <dataValidation type="list" errorStyle="warning" showErrorMessage="1" errorTitle="Error!" error="Only entries from the list are allowed." sqref="G15:G22 G24:G31 G6:G13">
      <formula1>$E$66:$E$72</formula1>
    </dataValidation>
  </dataValidation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>
  <sheetPr codeName="Sheet5"/>
  <dimension ref="A1:H3097"/>
  <sheetViews>
    <sheetView workbookViewId="0">
      <selection activeCell="G1" sqref="G1"/>
    </sheetView>
  </sheetViews>
  <sheetFormatPr defaultRowHeight="15"/>
  <cols>
    <col min="1" max="1" width="7.7109375" bestFit="1" customWidth="1"/>
    <col min="2" max="2" width="12.28515625" bestFit="1" customWidth="1"/>
    <col min="3" max="3" width="11.28515625" bestFit="1" customWidth="1"/>
    <col min="4" max="4" width="12.140625" bestFit="1" customWidth="1"/>
    <col min="5" max="5" width="15.85546875" bestFit="1" customWidth="1"/>
    <col min="6" max="6" width="11.85546875" bestFit="1" customWidth="1"/>
    <col min="7" max="7" width="12" bestFit="1" customWidth="1"/>
    <col min="8" max="8" width="12.28515625" bestFit="1" customWidth="1"/>
  </cols>
  <sheetData>
    <row r="1" spans="1:8">
      <c r="A1" t="s">
        <v>137</v>
      </c>
      <c r="B1" t="s">
        <v>138</v>
      </c>
      <c r="C1" t="s">
        <v>139</v>
      </c>
      <c r="D1" t="s">
        <v>140</v>
      </c>
      <c r="E1" t="s">
        <v>141</v>
      </c>
      <c r="F1" t="s">
        <v>142</v>
      </c>
      <c r="G1" t="s">
        <v>143</v>
      </c>
      <c r="H1" t="s">
        <v>144</v>
      </c>
    </row>
    <row r="2" spans="1:8">
      <c r="A2" t="s">
        <v>145</v>
      </c>
      <c r="B2" t="s">
        <v>87</v>
      </c>
      <c r="C2">
        <v>0</v>
      </c>
      <c r="D2" t="s">
        <v>146</v>
      </c>
      <c r="E2" s="242">
        <v>41960.420138888891</v>
      </c>
      <c r="F2">
        <v>0</v>
      </c>
      <c r="G2" t="b">
        <v>0</v>
      </c>
      <c r="H2" t="s">
        <v>15</v>
      </c>
    </row>
    <row r="3" spans="1:8">
      <c r="A3" t="s">
        <v>145</v>
      </c>
      <c r="B3" t="s">
        <v>87</v>
      </c>
      <c r="C3">
        <v>0</v>
      </c>
      <c r="D3" t="s">
        <v>147</v>
      </c>
      <c r="E3" s="242"/>
      <c r="F3">
        <v>1714.09997558593</v>
      </c>
      <c r="G3" t="b">
        <v>0</v>
      </c>
      <c r="H3" t="s">
        <v>15</v>
      </c>
    </row>
    <row r="4" spans="1:8">
      <c r="A4" t="s">
        <v>148</v>
      </c>
      <c r="B4" t="s">
        <v>87</v>
      </c>
      <c r="C4">
        <v>13</v>
      </c>
      <c r="D4" t="s">
        <v>146</v>
      </c>
      <c r="E4" s="242">
        <v>42108.955555555556</v>
      </c>
      <c r="F4">
        <v>0</v>
      </c>
      <c r="G4" t="b">
        <v>0</v>
      </c>
      <c r="H4" t="s">
        <v>15</v>
      </c>
    </row>
    <row r="5" spans="1:8">
      <c r="A5" t="s">
        <v>149</v>
      </c>
      <c r="B5" t="s">
        <v>87</v>
      </c>
      <c r="C5">
        <v>13</v>
      </c>
      <c r="D5" t="s">
        <v>146</v>
      </c>
      <c r="E5" s="242">
        <v>42110.304166666669</v>
      </c>
      <c r="F5">
        <v>0</v>
      </c>
      <c r="G5" t="b">
        <v>0</v>
      </c>
      <c r="H5" t="s">
        <v>15</v>
      </c>
    </row>
    <row r="6" spans="1:8">
      <c r="A6" t="s">
        <v>150</v>
      </c>
      <c r="B6" t="s">
        <v>87</v>
      </c>
      <c r="C6">
        <v>13</v>
      </c>
      <c r="D6" t="s">
        <v>146</v>
      </c>
      <c r="E6" s="242">
        <v>42108.401388888888</v>
      </c>
      <c r="F6">
        <v>0</v>
      </c>
      <c r="G6" t="b">
        <v>0</v>
      </c>
      <c r="H6" t="s">
        <v>15</v>
      </c>
    </row>
    <row r="7" spans="1:8">
      <c r="A7" t="s">
        <v>151</v>
      </c>
      <c r="B7" t="s">
        <v>87</v>
      </c>
      <c r="C7">
        <v>13</v>
      </c>
      <c r="D7" t="s">
        <v>146</v>
      </c>
      <c r="E7" s="242">
        <v>42060.384027777778</v>
      </c>
      <c r="F7">
        <v>0</v>
      </c>
      <c r="G7" t="b">
        <v>0</v>
      </c>
      <c r="H7" t="s">
        <v>15</v>
      </c>
    </row>
    <row r="8" spans="1:8">
      <c r="A8" t="s">
        <v>152</v>
      </c>
      <c r="B8" t="s">
        <v>87</v>
      </c>
      <c r="C8">
        <v>13</v>
      </c>
      <c r="D8" t="s">
        <v>146</v>
      </c>
      <c r="E8" s="242">
        <v>42096</v>
      </c>
      <c r="F8">
        <v>0</v>
      </c>
      <c r="G8" t="b">
        <v>0</v>
      </c>
      <c r="H8" t="s">
        <v>15</v>
      </c>
    </row>
    <row r="9" spans="1:8">
      <c r="A9" t="s">
        <v>153</v>
      </c>
      <c r="B9" t="s">
        <v>87</v>
      </c>
      <c r="C9">
        <v>13</v>
      </c>
      <c r="D9" t="s">
        <v>146</v>
      </c>
      <c r="E9" s="242">
        <v>42080.79583333333</v>
      </c>
      <c r="F9">
        <v>0</v>
      </c>
      <c r="G9" t="b">
        <v>0</v>
      </c>
      <c r="H9" t="s">
        <v>15</v>
      </c>
    </row>
    <row r="10" spans="1:8">
      <c r="A10" t="s">
        <v>154</v>
      </c>
      <c r="B10" t="s">
        <v>87</v>
      </c>
      <c r="C10">
        <v>13</v>
      </c>
      <c r="D10" t="s">
        <v>146</v>
      </c>
      <c r="E10" s="242">
        <v>42111</v>
      </c>
      <c r="F10">
        <v>0</v>
      </c>
      <c r="G10" t="b">
        <v>0</v>
      </c>
      <c r="H10" t="s">
        <v>15</v>
      </c>
    </row>
    <row r="11" spans="1:8">
      <c r="A11" t="s">
        <v>155</v>
      </c>
      <c r="B11" t="s">
        <v>87</v>
      </c>
      <c r="C11">
        <v>13</v>
      </c>
      <c r="D11" t="s">
        <v>146</v>
      </c>
      <c r="E11" s="242">
        <v>42108.709722222222</v>
      </c>
      <c r="F11">
        <v>0</v>
      </c>
      <c r="G11" t="b">
        <v>0</v>
      </c>
      <c r="H11" t="s">
        <v>15</v>
      </c>
    </row>
    <row r="12" spans="1:8">
      <c r="A12" t="s">
        <v>156</v>
      </c>
      <c r="B12" t="s">
        <v>87</v>
      </c>
      <c r="C12">
        <v>13</v>
      </c>
      <c r="D12" t="s">
        <v>146</v>
      </c>
      <c r="E12" s="242">
        <v>42102.984722222223</v>
      </c>
      <c r="F12">
        <v>0</v>
      </c>
      <c r="G12" t="b">
        <v>0</v>
      </c>
      <c r="H12" t="s">
        <v>15</v>
      </c>
    </row>
    <row r="13" spans="1:8">
      <c r="A13" t="s">
        <v>157</v>
      </c>
      <c r="B13" t="s">
        <v>87</v>
      </c>
      <c r="C13">
        <v>13</v>
      </c>
      <c r="D13" t="s">
        <v>146</v>
      </c>
      <c r="E13" s="242">
        <v>42111</v>
      </c>
      <c r="F13">
        <v>0</v>
      </c>
      <c r="G13" t="b">
        <v>0</v>
      </c>
      <c r="H13" t="s">
        <v>15</v>
      </c>
    </row>
    <row r="14" spans="1:8">
      <c r="A14" t="s">
        <v>158</v>
      </c>
      <c r="B14" t="s">
        <v>87</v>
      </c>
      <c r="C14">
        <v>13</v>
      </c>
      <c r="D14" t="s">
        <v>146</v>
      </c>
      <c r="E14" s="242">
        <v>42111.340277777781</v>
      </c>
      <c r="F14">
        <v>0</v>
      </c>
      <c r="G14" t="b">
        <v>0</v>
      </c>
      <c r="H14" t="s">
        <v>15</v>
      </c>
    </row>
    <row r="15" spans="1:8">
      <c r="A15" t="s">
        <v>159</v>
      </c>
      <c r="B15" t="s">
        <v>87</v>
      </c>
      <c r="C15">
        <v>13</v>
      </c>
      <c r="D15" t="s">
        <v>146</v>
      </c>
      <c r="E15" s="242">
        <v>42111.368055555555</v>
      </c>
      <c r="F15">
        <v>0</v>
      </c>
      <c r="G15" t="b">
        <v>0</v>
      </c>
      <c r="H15" t="s">
        <v>15</v>
      </c>
    </row>
    <row r="16" spans="1:8">
      <c r="A16" t="s">
        <v>160</v>
      </c>
      <c r="B16" t="s">
        <v>87</v>
      </c>
      <c r="C16">
        <v>13</v>
      </c>
      <c r="D16" t="s">
        <v>146</v>
      </c>
      <c r="E16" s="242">
        <v>42102</v>
      </c>
      <c r="F16">
        <v>0</v>
      </c>
      <c r="G16" t="b">
        <v>0</v>
      </c>
      <c r="H16" t="s">
        <v>15</v>
      </c>
    </row>
    <row r="17" spans="1:8">
      <c r="A17" t="s">
        <v>161</v>
      </c>
      <c r="B17" t="s">
        <v>87</v>
      </c>
      <c r="C17">
        <v>14</v>
      </c>
      <c r="D17" t="s">
        <v>147</v>
      </c>
      <c r="E17" s="242"/>
      <c r="F17">
        <v>7219</v>
      </c>
      <c r="G17" t="b">
        <v>0</v>
      </c>
      <c r="H17" t="s">
        <v>15</v>
      </c>
    </row>
    <row r="18" spans="1:8">
      <c r="A18" t="s">
        <v>148</v>
      </c>
      <c r="B18" t="s">
        <v>87</v>
      </c>
      <c r="C18">
        <v>15</v>
      </c>
      <c r="D18" t="s">
        <v>146</v>
      </c>
      <c r="E18" s="242">
        <v>42109.737500000003</v>
      </c>
      <c r="F18">
        <v>0</v>
      </c>
      <c r="G18" t="b">
        <v>0</v>
      </c>
      <c r="H18" t="s">
        <v>15</v>
      </c>
    </row>
    <row r="19" spans="1:8">
      <c r="A19" t="s">
        <v>162</v>
      </c>
      <c r="B19" t="s">
        <v>87</v>
      </c>
      <c r="C19">
        <v>15</v>
      </c>
      <c r="D19" t="s">
        <v>146</v>
      </c>
      <c r="E19" s="242">
        <v>42102.736111111109</v>
      </c>
      <c r="F19">
        <v>0</v>
      </c>
      <c r="G19" t="b">
        <v>0</v>
      </c>
      <c r="H19" t="s">
        <v>15</v>
      </c>
    </row>
    <row r="20" spans="1:8">
      <c r="A20" t="s">
        <v>163</v>
      </c>
      <c r="B20" t="s">
        <v>87</v>
      </c>
      <c r="C20">
        <v>15</v>
      </c>
      <c r="D20" t="s">
        <v>146</v>
      </c>
      <c r="E20" s="242">
        <v>42102.525000000001</v>
      </c>
      <c r="F20">
        <v>0</v>
      </c>
      <c r="G20" t="b">
        <v>0</v>
      </c>
      <c r="H20" t="s">
        <v>15</v>
      </c>
    </row>
    <row r="21" spans="1:8">
      <c r="A21" t="s">
        <v>149</v>
      </c>
      <c r="B21" t="s">
        <v>87</v>
      </c>
      <c r="C21">
        <v>15</v>
      </c>
      <c r="D21" t="s">
        <v>146</v>
      </c>
      <c r="E21" s="242">
        <v>42111.734722222223</v>
      </c>
      <c r="F21">
        <v>0</v>
      </c>
      <c r="G21" t="b">
        <v>0</v>
      </c>
      <c r="H21" t="s">
        <v>15</v>
      </c>
    </row>
    <row r="22" spans="1:8">
      <c r="A22" t="s">
        <v>150</v>
      </c>
      <c r="B22" t="s">
        <v>87</v>
      </c>
      <c r="C22">
        <v>15</v>
      </c>
      <c r="D22" t="s">
        <v>146</v>
      </c>
      <c r="E22" s="242">
        <v>42103.463888888888</v>
      </c>
      <c r="F22">
        <v>0</v>
      </c>
      <c r="G22" t="b">
        <v>0</v>
      </c>
      <c r="H22" t="s">
        <v>15</v>
      </c>
    </row>
    <row r="23" spans="1:8">
      <c r="A23" t="s">
        <v>151</v>
      </c>
      <c r="B23" t="s">
        <v>87</v>
      </c>
      <c r="C23">
        <v>15</v>
      </c>
      <c r="D23" t="s">
        <v>146</v>
      </c>
      <c r="E23" s="242">
        <v>42052.711805555555</v>
      </c>
      <c r="F23">
        <v>0</v>
      </c>
      <c r="G23" t="b">
        <v>0</v>
      </c>
      <c r="H23" t="s">
        <v>15</v>
      </c>
    </row>
    <row r="24" spans="1:8">
      <c r="A24" t="s">
        <v>153</v>
      </c>
      <c r="B24" t="s">
        <v>87</v>
      </c>
      <c r="C24">
        <v>15</v>
      </c>
      <c r="D24" t="s">
        <v>146</v>
      </c>
      <c r="E24" s="242">
        <v>42081.603472222225</v>
      </c>
      <c r="F24">
        <v>0</v>
      </c>
      <c r="G24" t="b">
        <v>0</v>
      </c>
      <c r="H24" t="s">
        <v>15</v>
      </c>
    </row>
    <row r="25" spans="1:8">
      <c r="A25" t="s">
        <v>154</v>
      </c>
      <c r="B25" t="s">
        <v>87</v>
      </c>
      <c r="C25">
        <v>15</v>
      </c>
      <c r="D25" t="s">
        <v>146</v>
      </c>
      <c r="E25" s="242">
        <v>42111</v>
      </c>
      <c r="F25">
        <v>0</v>
      </c>
      <c r="G25" t="b">
        <v>0</v>
      </c>
      <c r="H25" t="s">
        <v>15</v>
      </c>
    </row>
    <row r="26" spans="1:8">
      <c r="A26" t="s">
        <v>155</v>
      </c>
      <c r="B26" t="s">
        <v>87</v>
      </c>
      <c r="C26">
        <v>15</v>
      </c>
      <c r="D26" t="s">
        <v>146</v>
      </c>
      <c r="E26" s="242">
        <v>42108.54583333333</v>
      </c>
      <c r="F26">
        <v>0</v>
      </c>
      <c r="G26" t="b">
        <v>0</v>
      </c>
      <c r="H26" t="s">
        <v>15</v>
      </c>
    </row>
    <row r="27" spans="1:8">
      <c r="A27" t="s">
        <v>157</v>
      </c>
      <c r="B27" t="s">
        <v>87</v>
      </c>
      <c r="C27">
        <v>15</v>
      </c>
      <c r="D27" t="s">
        <v>146</v>
      </c>
      <c r="E27" s="242">
        <v>42111</v>
      </c>
      <c r="F27">
        <v>0</v>
      </c>
      <c r="G27" t="b">
        <v>0</v>
      </c>
      <c r="H27" t="s">
        <v>15</v>
      </c>
    </row>
    <row r="28" spans="1:8">
      <c r="A28" t="s">
        <v>158</v>
      </c>
      <c r="B28" t="s">
        <v>87</v>
      </c>
      <c r="C28">
        <v>15</v>
      </c>
      <c r="D28" t="s">
        <v>146</v>
      </c>
      <c r="E28" s="242">
        <v>42109.38958333333</v>
      </c>
      <c r="F28">
        <v>0</v>
      </c>
      <c r="G28" t="b">
        <v>0</v>
      </c>
      <c r="H28" t="s">
        <v>15</v>
      </c>
    </row>
    <row r="29" spans="1:8">
      <c r="A29" t="s">
        <v>159</v>
      </c>
      <c r="B29" t="s">
        <v>87</v>
      </c>
      <c r="C29">
        <v>15</v>
      </c>
      <c r="D29" t="s">
        <v>146</v>
      </c>
      <c r="E29" s="242">
        <v>42111.59097222222</v>
      </c>
      <c r="F29">
        <v>0</v>
      </c>
      <c r="G29" t="b">
        <v>0</v>
      </c>
      <c r="H29" t="s">
        <v>15</v>
      </c>
    </row>
    <row r="30" spans="1:8">
      <c r="A30" t="s">
        <v>160</v>
      </c>
      <c r="B30" t="s">
        <v>87</v>
      </c>
      <c r="C30">
        <v>15</v>
      </c>
      <c r="D30" t="s">
        <v>146</v>
      </c>
      <c r="E30" s="242">
        <v>42102.284722222219</v>
      </c>
      <c r="F30">
        <v>0</v>
      </c>
      <c r="G30" t="b">
        <v>0</v>
      </c>
      <c r="H30" t="s">
        <v>15</v>
      </c>
    </row>
    <row r="31" spans="1:8">
      <c r="A31" t="s">
        <v>164</v>
      </c>
      <c r="B31" t="s">
        <v>87</v>
      </c>
      <c r="C31">
        <v>25</v>
      </c>
      <c r="D31" t="s">
        <v>146</v>
      </c>
      <c r="E31" s="242">
        <v>42111.457638888889</v>
      </c>
      <c r="F31">
        <v>0</v>
      </c>
      <c r="G31" t="b">
        <v>0</v>
      </c>
      <c r="H31" t="s">
        <v>15</v>
      </c>
    </row>
    <row r="32" spans="1:8">
      <c r="A32" t="s">
        <v>165</v>
      </c>
      <c r="B32" t="s">
        <v>87</v>
      </c>
      <c r="C32">
        <v>25</v>
      </c>
      <c r="D32" t="s">
        <v>146</v>
      </c>
      <c r="E32" s="242">
        <v>42102.70416666667</v>
      </c>
      <c r="F32">
        <v>0</v>
      </c>
      <c r="G32" t="b">
        <v>0</v>
      </c>
      <c r="H32" t="s">
        <v>15</v>
      </c>
    </row>
    <row r="33" spans="1:8">
      <c r="A33" t="s">
        <v>148</v>
      </c>
      <c r="B33" t="s">
        <v>87</v>
      </c>
      <c r="C33">
        <v>25</v>
      </c>
      <c r="D33" t="s">
        <v>146</v>
      </c>
      <c r="E33" s="242">
        <v>42108.072222222225</v>
      </c>
      <c r="F33">
        <v>0</v>
      </c>
      <c r="G33" t="b">
        <v>0</v>
      </c>
      <c r="H33" t="s">
        <v>15</v>
      </c>
    </row>
    <row r="34" spans="1:8">
      <c r="A34" t="s">
        <v>162</v>
      </c>
      <c r="B34" t="s">
        <v>87</v>
      </c>
      <c r="C34">
        <v>25</v>
      </c>
      <c r="D34" t="s">
        <v>146</v>
      </c>
      <c r="E34" s="242">
        <v>42103.928472222222</v>
      </c>
      <c r="F34">
        <v>0</v>
      </c>
      <c r="G34" t="b">
        <v>0</v>
      </c>
      <c r="H34" t="s">
        <v>15</v>
      </c>
    </row>
    <row r="35" spans="1:8">
      <c r="A35" t="s">
        <v>163</v>
      </c>
      <c r="B35" t="s">
        <v>87</v>
      </c>
      <c r="C35">
        <v>25</v>
      </c>
      <c r="D35" t="s">
        <v>146</v>
      </c>
      <c r="E35" s="242">
        <v>42103.709027777775</v>
      </c>
      <c r="F35">
        <v>0</v>
      </c>
      <c r="G35" t="b">
        <v>0</v>
      </c>
      <c r="H35" t="s">
        <v>15</v>
      </c>
    </row>
    <row r="36" spans="1:8">
      <c r="A36" t="s">
        <v>166</v>
      </c>
      <c r="B36" t="s">
        <v>87</v>
      </c>
      <c r="C36">
        <v>25</v>
      </c>
      <c r="D36" t="s">
        <v>146</v>
      </c>
      <c r="E36" s="242">
        <v>42109.731249999997</v>
      </c>
      <c r="F36">
        <v>0</v>
      </c>
      <c r="G36" t="b">
        <v>0</v>
      </c>
      <c r="H36" t="s">
        <v>15</v>
      </c>
    </row>
    <row r="37" spans="1:8">
      <c r="A37" t="s">
        <v>149</v>
      </c>
      <c r="B37" t="s">
        <v>87</v>
      </c>
      <c r="C37">
        <v>25</v>
      </c>
      <c r="D37" t="s">
        <v>146</v>
      </c>
      <c r="E37" s="242">
        <v>42111.621527777781</v>
      </c>
      <c r="F37">
        <v>0</v>
      </c>
      <c r="G37" t="b">
        <v>0</v>
      </c>
      <c r="H37" t="s">
        <v>15</v>
      </c>
    </row>
    <row r="38" spans="1:8">
      <c r="A38" t="s">
        <v>150</v>
      </c>
      <c r="B38" t="s">
        <v>87</v>
      </c>
      <c r="C38">
        <v>25</v>
      </c>
      <c r="D38" t="s">
        <v>146</v>
      </c>
      <c r="E38" s="242">
        <v>42107.663888888892</v>
      </c>
      <c r="F38">
        <v>0</v>
      </c>
      <c r="G38" t="b">
        <v>0</v>
      </c>
      <c r="H38" t="s">
        <v>15</v>
      </c>
    </row>
    <row r="39" spans="1:8">
      <c r="A39" t="s">
        <v>151</v>
      </c>
      <c r="B39" t="s">
        <v>87</v>
      </c>
      <c r="C39">
        <v>25</v>
      </c>
      <c r="D39" t="s">
        <v>146</v>
      </c>
      <c r="E39" s="242">
        <v>42059.37222222222</v>
      </c>
      <c r="F39">
        <v>0</v>
      </c>
      <c r="G39" t="b">
        <v>0</v>
      </c>
      <c r="H39" t="s">
        <v>15</v>
      </c>
    </row>
    <row r="40" spans="1:8">
      <c r="A40" t="s">
        <v>152</v>
      </c>
      <c r="B40" t="s">
        <v>87</v>
      </c>
      <c r="C40">
        <v>25</v>
      </c>
      <c r="D40" t="s">
        <v>146</v>
      </c>
      <c r="E40" s="242">
        <v>42094.835416666669</v>
      </c>
      <c r="F40">
        <v>0</v>
      </c>
      <c r="G40" t="b">
        <v>0</v>
      </c>
      <c r="H40" t="s">
        <v>15</v>
      </c>
    </row>
    <row r="41" spans="1:8">
      <c r="A41" t="s">
        <v>145</v>
      </c>
      <c r="B41" t="s">
        <v>87</v>
      </c>
      <c r="C41">
        <v>25</v>
      </c>
      <c r="D41" t="s">
        <v>146</v>
      </c>
      <c r="E41" s="242">
        <v>42102.713888888888</v>
      </c>
      <c r="F41">
        <v>0</v>
      </c>
      <c r="G41" t="b">
        <v>0</v>
      </c>
      <c r="H41" t="s">
        <v>15</v>
      </c>
    </row>
    <row r="42" spans="1:8">
      <c r="A42" t="s">
        <v>167</v>
      </c>
      <c r="B42" t="s">
        <v>87</v>
      </c>
      <c r="C42">
        <v>25</v>
      </c>
      <c r="D42" t="s">
        <v>146</v>
      </c>
      <c r="E42" s="242">
        <v>42108.705555555556</v>
      </c>
      <c r="F42">
        <v>0</v>
      </c>
      <c r="G42" t="b">
        <v>0</v>
      </c>
      <c r="H42" t="s">
        <v>15</v>
      </c>
    </row>
    <row r="43" spans="1:8">
      <c r="A43" t="s">
        <v>153</v>
      </c>
      <c r="B43" t="s">
        <v>87</v>
      </c>
      <c r="C43">
        <v>25</v>
      </c>
      <c r="D43" t="s">
        <v>146</v>
      </c>
      <c r="E43" s="242">
        <v>42074.321527777778</v>
      </c>
      <c r="F43">
        <v>0</v>
      </c>
      <c r="G43" t="b">
        <v>0</v>
      </c>
      <c r="H43" t="s">
        <v>15</v>
      </c>
    </row>
    <row r="44" spans="1:8">
      <c r="A44" t="s">
        <v>154</v>
      </c>
      <c r="B44" t="s">
        <v>87</v>
      </c>
      <c r="C44">
        <v>25</v>
      </c>
      <c r="D44" t="s">
        <v>146</v>
      </c>
      <c r="E44" s="242">
        <v>42109</v>
      </c>
      <c r="F44">
        <v>0</v>
      </c>
      <c r="G44" t="b">
        <v>0</v>
      </c>
      <c r="H44" t="s">
        <v>15</v>
      </c>
    </row>
    <row r="45" spans="1:8">
      <c r="A45" t="s">
        <v>168</v>
      </c>
      <c r="B45" t="s">
        <v>87</v>
      </c>
      <c r="C45">
        <v>25</v>
      </c>
      <c r="D45" t="s">
        <v>146</v>
      </c>
      <c r="E45" s="242">
        <v>42107.737500000003</v>
      </c>
      <c r="F45">
        <v>0</v>
      </c>
      <c r="G45" t="b">
        <v>0</v>
      </c>
      <c r="H45" t="s">
        <v>15</v>
      </c>
    </row>
    <row r="46" spans="1:8">
      <c r="A46" t="s">
        <v>155</v>
      </c>
      <c r="B46" t="s">
        <v>87</v>
      </c>
      <c r="C46">
        <v>25</v>
      </c>
      <c r="D46" t="s">
        <v>146</v>
      </c>
      <c r="E46" s="242">
        <v>42108.458333333336</v>
      </c>
      <c r="F46">
        <v>0</v>
      </c>
      <c r="G46" t="b">
        <v>0</v>
      </c>
      <c r="H46" t="s">
        <v>15</v>
      </c>
    </row>
    <row r="47" spans="1:8">
      <c r="A47" t="s">
        <v>156</v>
      </c>
      <c r="B47" t="s">
        <v>87</v>
      </c>
      <c r="C47">
        <v>25</v>
      </c>
      <c r="D47" t="s">
        <v>146</v>
      </c>
      <c r="E47" s="242">
        <v>42103.521527777775</v>
      </c>
      <c r="F47">
        <v>0</v>
      </c>
      <c r="G47" t="b">
        <v>0</v>
      </c>
      <c r="H47" t="s">
        <v>15</v>
      </c>
    </row>
    <row r="48" spans="1:8">
      <c r="A48" t="s">
        <v>157</v>
      </c>
      <c r="B48" t="s">
        <v>87</v>
      </c>
      <c r="C48">
        <v>25</v>
      </c>
      <c r="D48" t="s">
        <v>146</v>
      </c>
      <c r="E48" s="242">
        <v>42108.479166666664</v>
      </c>
      <c r="F48">
        <v>0</v>
      </c>
      <c r="G48" t="b">
        <v>0</v>
      </c>
      <c r="H48" t="s">
        <v>15</v>
      </c>
    </row>
    <row r="49" spans="1:8">
      <c r="A49" t="s">
        <v>169</v>
      </c>
      <c r="B49" t="s">
        <v>87</v>
      </c>
      <c r="C49">
        <v>25</v>
      </c>
      <c r="D49" t="s">
        <v>146</v>
      </c>
      <c r="E49" s="242">
        <v>42109.759027777778</v>
      </c>
      <c r="F49">
        <v>0</v>
      </c>
      <c r="G49" t="b">
        <v>0</v>
      </c>
      <c r="H49" t="s">
        <v>15</v>
      </c>
    </row>
    <row r="50" spans="1:8">
      <c r="A50" t="s">
        <v>170</v>
      </c>
      <c r="B50" t="s">
        <v>87</v>
      </c>
      <c r="C50">
        <v>25</v>
      </c>
      <c r="D50" t="s">
        <v>146</v>
      </c>
      <c r="E50" s="242">
        <v>42076.502083333333</v>
      </c>
      <c r="F50">
        <v>0</v>
      </c>
      <c r="G50" t="b">
        <v>0</v>
      </c>
      <c r="H50" t="s">
        <v>15</v>
      </c>
    </row>
    <row r="51" spans="1:8">
      <c r="A51" t="s">
        <v>158</v>
      </c>
      <c r="B51" t="s">
        <v>87</v>
      </c>
      <c r="C51">
        <v>25</v>
      </c>
      <c r="D51" t="s">
        <v>146</v>
      </c>
      <c r="E51" s="242">
        <v>42108.843055555553</v>
      </c>
      <c r="F51">
        <v>0</v>
      </c>
      <c r="G51" t="b">
        <v>0</v>
      </c>
      <c r="H51" t="s">
        <v>15</v>
      </c>
    </row>
    <row r="52" spans="1:8">
      <c r="A52" t="s">
        <v>159</v>
      </c>
      <c r="B52" t="s">
        <v>87</v>
      </c>
      <c r="C52">
        <v>25</v>
      </c>
      <c r="D52" t="s">
        <v>146</v>
      </c>
      <c r="E52" s="242">
        <v>42104.570833333331</v>
      </c>
      <c r="F52">
        <v>0</v>
      </c>
      <c r="G52" t="b">
        <v>0</v>
      </c>
      <c r="H52" t="s">
        <v>15</v>
      </c>
    </row>
    <row r="53" spans="1:8">
      <c r="A53" t="s">
        <v>160</v>
      </c>
      <c r="B53" t="s">
        <v>87</v>
      </c>
      <c r="C53">
        <v>25</v>
      </c>
      <c r="D53" t="s">
        <v>146</v>
      </c>
      <c r="E53" s="242">
        <v>42104.588194444441</v>
      </c>
      <c r="F53">
        <v>0</v>
      </c>
      <c r="G53" t="b">
        <v>0</v>
      </c>
      <c r="H53" t="s">
        <v>15</v>
      </c>
    </row>
    <row r="54" spans="1:8">
      <c r="A54" t="s">
        <v>164</v>
      </c>
      <c r="B54" t="s">
        <v>87</v>
      </c>
      <c r="C54">
        <v>25</v>
      </c>
      <c r="D54" t="s">
        <v>147</v>
      </c>
      <c r="E54" s="242"/>
      <c r="F54">
        <v>5417.5</v>
      </c>
      <c r="G54" t="b">
        <v>0</v>
      </c>
      <c r="H54" t="s">
        <v>15</v>
      </c>
    </row>
    <row r="55" spans="1:8">
      <c r="A55" t="s">
        <v>161</v>
      </c>
      <c r="B55" t="s">
        <v>87</v>
      </c>
      <c r="C55">
        <v>25</v>
      </c>
      <c r="D55" t="s">
        <v>147</v>
      </c>
      <c r="E55" s="242"/>
      <c r="F55">
        <v>7232.10009765625</v>
      </c>
      <c r="G55" t="b">
        <v>0</v>
      </c>
      <c r="H55" t="s">
        <v>15</v>
      </c>
    </row>
    <row r="56" spans="1:8">
      <c r="A56" t="s">
        <v>165</v>
      </c>
      <c r="B56" t="s">
        <v>87</v>
      </c>
      <c r="C56">
        <v>25</v>
      </c>
      <c r="D56" t="s">
        <v>147</v>
      </c>
      <c r="E56" s="242"/>
      <c r="F56">
        <v>7809.39990234375</v>
      </c>
      <c r="G56" t="b">
        <v>0</v>
      </c>
      <c r="H56" t="s">
        <v>15</v>
      </c>
    </row>
    <row r="57" spans="1:8">
      <c r="A57" t="s">
        <v>148</v>
      </c>
      <c r="B57" t="s">
        <v>87</v>
      </c>
      <c r="C57">
        <v>25</v>
      </c>
      <c r="D57" t="s">
        <v>147</v>
      </c>
      <c r="E57" s="242"/>
      <c r="F57">
        <v>6766.2001953125</v>
      </c>
      <c r="G57" t="b">
        <v>0</v>
      </c>
      <c r="H57" t="s">
        <v>15</v>
      </c>
    </row>
    <row r="58" spans="1:8">
      <c r="A58" t="s">
        <v>162</v>
      </c>
      <c r="B58" t="s">
        <v>87</v>
      </c>
      <c r="C58">
        <v>25</v>
      </c>
      <c r="D58" t="s">
        <v>147</v>
      </c>
      <c r="E58" s="242"/>
      <c r="F58">
        <v>7481.89990234375</v>
      </c>
      <c r="G58" t="b">
        <v>0</v>
      </c>
      <c r="H58" t="s">
        <v>15</v>
      </c>
    </row>
    <row r="59" spans="1:8">
      <c r="A59" t="s">
        <v>163</v>
      </c>
      <c r="B59" t="s">
        <v>87</v>
      </c>
      <c r="C59">
        <v>25</v>
      </c>
      <c r="D59" t="s">
        <v>147</v>
      </c>
      <c r="E59" s="242"/>
      <c r="F59">
        <v>4823.89990234375</v>
      </c>
      <c r="G59" t="b">
        <v>0</v>
      </c>
      <c r="H59" t="s">
        <v>15</v>
      </c>
    </row>
    <row r="60" spans="1:8">
      <c r="A60" t="s">
        <v>166</v>
      </c>
      <c r="B60" t="s">
        <v>87</v>
      </c>
      <c r="C60">
        <v>25</v>
      </c>
      <c r="D60" t="s">
        <v>147</v>
      </c>
      <c r="E60" s="242"/>
      <c r="F60">
        <v>3563</v>
      </c>
      <c r="G60" t="b">
        <v>0</v>
      </c>
      <c r="H60" t="s">
        <v>15</v>
      </c>
    </row>
    <row r="61" spans="1:8">
      <c r="A61" t="s">
        <v>149</v>
      </c>
      <c r="B61" t="s">
        <v>87</v>
      </c>
      <c r="C61">
        <v>25</v>
      </c>
      <c r="D61" t="s">
        <v>147</v>
      </c>
      <c r="E61" s="242"/>
      <c r="F61">
        <v>5179.89990234375</v>
      </c>
      <c r="G61" t="b">
        <v>0</v>
      </c>
      <c r="H61" t="s">
        <v>15</v>
      </c>
    </row>
    <row r="62" spans="1:8">
      <c r="A62" t="s">
        <v>150</v>
      </c>
      <c r="B62" t="s">
        <v>87</v>
      </c>
      <c r="C62">
        <v>25</v>
      </c>
      <c r="D62" t="s">
        <v>147</v>
      </c>
      <c r="E62" s="242"/>
      <c r="F62">
        <v>4074.60009765625</v>
      </c>
      <c r="G62" t="b">
        <v>0</v>
      </c>
      <c r="H62" t="s">
        <v>15</v>
      </c>
    </row>
    <row r="63" spans="1:8">
      <c r="A63" t="s">
        <v>151</v>
      </c>
      <c r="B63" t="s">
        <v>87</v>
      </c>
      <c r="C63">
        <v>25</v>
      </c>
      <c r="D63" t="s">
        <v>147</v>
      </c>
      <c r="E63" s="242"/>
      <c r="F63">
        <v>1989.30004882812</v>
      </c>
      <c r="G63" t="b">
        <v>0</v>
      </c>
      <c r="H63" t="s">
        <v>15</v>
      </c>
    </row>
    <row r="64" spans="1:8">
      <c r="A64" t="s">
        <v>152</v>
      </c>
      <c r="B64" t="s">
        <v>87</v>
      </c>
      <c r="C64">
        <v>25</v>
      </c>
      <c r="D64" t="s">
        <v>147</v>
      </c>
      <c r="E64" s="242"/>
      <c r="F64">
        <v>1838.40002441406</v>
      </c>
      <c r="G64" t="b">
        <v>0</v>
      </c>
      <c r="H64" t="s">
        <v>15</v>
      </c>
    </row>
    <row r="65" spans="1:8">
      <c r="A65" t="s">
        <v>145</v>
      </c>
      <c r="B65" t="s">
        <v>87</v>
      </c>
      <c r="C65">
        <v>25</v>
      </c>
      <c r="D65" t="s">
        <v>147</v>
      </c>
      <c r="E65" s="242"/>
      <c r="F65">
        <v>1825.90002441406</v>
      </c>
      <c r="G65" t="b">
        <v>0</v>
      </c>
      <c r="H65" t="s">
        <v>15</v>
      </c>
    </row>
    <row r="66" spans="1:8">
      <c r="A66" t="s">
        <v>167</v>
      </c>
      <c r="B66" t="s">
        <v>87</v>
      </c>
      <c r="C66">
        <v>25</v>
      </c>
      <c r="D66" t="s">
        <v>147</v>
      </c>
      <c r="E66" s="242"/>
      <c r="F66">
        <v>1944.40002441406</v>
      </c>
      <c r="G66" t="b">
        <v>0</v>
      </c>
      <c r="H66" t="s">
        <v>15</v>
      </c>
    </row>
    <row r="67" spans="1:8">
      <c r="A67" t="s">
        <v>153</v>
      </c>
      <c r="B67" t="s">
        <v>87</v>
      </c>
      <c r="C67">
        <v>25</v>
      </c>
      <c r="D67" t="s">
        <v>147</v>
      </c>
      <c r="E67" s="242"/>
      <c r="F67">
        <v>1645.59997558593</v>
      </c>
      <c r="G67" t="b">
        <v>0</v>
      </c>
      <c r="H67" t="s">
        <v>15</v>
      </c>
    </row>
    <row r="68" spans="1:8">
      <c r="A68" t="s">
        <v>154</v>
      </c>
      <c r="B68" t="s">
        <v>87</v>
      </c>
      <c r="C68">
        <v>25</v>
      </c>
      <c r="D68" t="s">
        <v>147</v>
      </c>
      <c r="E68" s="242"/>
      <c r="F68">
        <v>2835.80004882812</v>
      </c>
      <c r="G68" t="b">
        <v>0</v>
      </c>
      <c r="H68" t="s">
        <v>15</v>
      </c>
    </row>
    <row r="69" spans="1:8">
      <c r="A69" t="s">
        <v>168</v>
      </c>
      <c r="B69" t="s">
        <v>87</v>
      </c>
      <c r="C69">
        <v>25</v>
      </c>
      <c r="D69" t="s">
        <v>147</v>
      </c>
      <c r="E69" s="242"/>
      <c r="F69">
        <v>5291.2998046875</v>
      </c>
      <c r="G69" t="b">
        <v>0</v>
      </c>
      <c r="H69" t="s">
        <v>15</v>
      </c>
    </row>
    <row r="70" spans="1:8">
      <c r="A70" t="s">
        <v>155</v>
      </c>
      <c r="B70" t="s">
        <v>87</v>
      </c>
      <c r="C70">
        <v>25</v>
      </c>
      <c r="D70" t="s">
        <v>147</v>
      </c>
      <c r="E70" s="242"/>
      <c r="F70">
        <v>4420.5</v>
      </c>
      <c r="G70" t="b">
        <v>0</v>
      </c>
      <c r="H70" t="s">
        <v>15</v>
      </c>
    </row>
    <row r="71" spans="1:8">
      <c r="A71" t="s">
        <v>156</v>
      </c>
      <c r="B71" t="s">
        <v>87</v>
      </c>
      <c r="C71">
        <v>25</v>
      </c>
      <c r="D71" t="s">
        <v>147</v>
      </c>
      <c r="E71" s="242"/>
      <c r="F71">
        <v>4833.10009765625</v>
      </c>
      <c r="G71" t="b">
        <v>0</v>
      </c>
      <c r="H71" t="s">
        <v>15</v>
      </c>
    </row>
    <row r="72" spans="1:8">
      <c r="A72" t="s">
        <v>157</v>
      </c>
      <c r="B72" t="s">
        <v>87</v>
      </c>
      <c r="C72">
        <v>25</v>
      </c>
      <c r="D72" t="s">
        <v>147</v>
      </c>
      <c r="E72" s="242"/>
      <c r="F72">
        <v>5287.60009765625</v>
      </c>
      <c r="G72" t="b">
        <v>0</v>
      </c>
      <c r="H72" t="s">
        <v>15</v>
      </c>
    </row>
    <row r="73" spans="1:8">
      <c r="A73" t="s">
        <v>169</v>
      </c>
      <c r="B73" t="s">
        <v>87</v>
      </c>
      <c r="C73">
        <v>25</v>
      </c>
      <c r="D73" t="s">
        <v>147</v>
      </c>
      <c r="E73" s="242"/>
      <c r="F73">
        <v>1602.40002441406</v>
      </c>
      <c r="G73" t="b">
        <v>0</v>
      </c>
      <c r="H73" t="s">
        <v>15</v>
      </c>
    </row>
    <row r="74" spans="1:8">
      <c r="A74" t="s">
        <v>170</v>
      </c>
      <c r="B74" t="s">
        <v>87</v>
      </c>
      <c r="C74">
        <v>25</v>
      </c>
      <c r="D74" t="s">
        <v>147</v>
      </c>
      <c r="E74" s="242"/>
      <c r="F74">
        <v>1530.5</v>
      </c>
      <c r="G74" t="b">
        <v>0</v>
      </c>
      <c r="H74" t="s">
        <v>15</v>
      </c>
    </row>
    <row r="75" spans="1:8">
      <c r="A75" t="s">
        <v>158</v>
      </c>
      <c r="B75" t="s">
        <v>87</v>
      </c>
      <c r="C75">
        <v>25</v>
      </c>
      <c r="D75" t="s">
        <v>147</v>
      </c>
      <c r="E75" s="242"/>
      <c r="F75">
        <v>5447.2001953125</v>
      </c>
      <c r="G75" t="b">
        <v>0</v>
      </c>
      <c r="H75" t="s">
        <v>15</v>
      </c>
    </row>
    <row r="76" spans="1:8">
      <c r="A76" t="s">
        <v>159</v>
      </c>
      <c r="B76" t="s">
        <v>87</v>
      </c>
      <c r="C76">
        <v>25</v>
      </c>
      <c r="D76" t="s">
        <v>147</v>
      </c>
      <c r="E76" s="242"/>
      <c r="F76">
        <v>3247.19995117187</v>
      </c>
      <c r="G76" t="b">
        <v>0</v>
      </c>
      <c r="H76" t="s">
        <v>15</v>
      </c>
    </row>
    <row r="77" spans="1:8">
      <c r="A77" t="s">
        <v>160</v>
      </c>
      <c r="B77" t="s">
        <v>87</v>
      </c>
      <c r="C77">
        <v>25</v>
      </c>
      <c r="D77" t="s">
        <v>147</v>
      </c>
      <c r="E77" s="242"/>
      <c r="F77">
        <v>3033.60009765625</v>
      </c>
      <c r="G77" t="b">
        <v>0</v>
      </c>
      <c r="H77" t="s">
        <v>15</v>
      </c>
    </row>
    <row r="78" spans="1:8">
      <c r="A78" t="s">
        <v>164</v>
      </c>
      <c r="B78" t="s">
        <v>87</v>
      </c>
      <c r="C78">
        <v>35</v>
      </c>
      <c r="D78" t="s">
        <v>147</v>
      </c>
      <c r="E78" s="242"/>
      <c r="F78">
        <v>5211.60009765625</v>
      </c>
      <c r="G78" t="b">
        <v>0</v>
      </c>
      <c r="H78" t="s">
        <v>15</v>
      </c>
    </row>
    <row r="79" spans="1:8">
      <c r="A79" t="s">
        <v>161</v>
      </c>
      <c r="B79" t="s">
        <v>87</v>
      </c>
      <c r="C79">
        <v>35</v>
      </c>
      <c r="D79" t="s">
        <v>147</v>
      </c>
      <c r="E79" s="242"/>
      <c r="F79">
        <v>6759.5</v>
      </c>
      <c r="G79" t="b">
        <v>0</v>
      </c>
      <c r="H79" t="s">
        <v>15</v>
      </c>
    </row>
    <row r="80" spans="1:8">
      <c r="A80" t="s">
        <v>165</v>
      </c>
      <c r="B80" t="s">
        <v>87</v>
      </c>
      <c r="C80">
        <v>35</v>
      </c>
      <c r="D80" t="s">
        <v>147</v>
      </c>
      <c r="E80" s="242"/>
      <c r="F80">
        <v>7458.7001953125</v>
      </c>
      <c r="G80" t="b">
        <v>0</v>
      </c>
      <c r="H80" t="s">
        <v>15</v>
      </c>
    </row>
    <row r="81" spans="1:8">
      <c r="A81" t="s">
        <v>148</v>
      </c>
      <c r="B81" t="s">
        <v>87</v>
      </c>
      <c r="C81">
        <v>35</v>
      </c>
      <c r="D81" t="s">
        <v>147</v>
      </c>
      <c r="E81" s="242"/>
      <c r="F81">
        <v>6461.39990234375</v>
      </c>
      <c r="G81" t="b">
        <v>0</v>
      </c>
      <c r="H81" t="s">
        <v>15</v>
      </c>
    </row>
    <row r="82" spans="1:8">
      <c r="A82" t="s">
        <v>162</v>
      </c>
      <c r="B82" t="s">
        <v>87</v>
      </c>
      <c r="C82">
        <v>35</v>
      </c>
      <c r="D82" t="s">
        <v>147</v>
      </c>
      <c r="E82" s="242"/>
      <c r="F82">
        <v>7383.10009765625</v>
      </c>
      <c r="G82" t="b">
        <v>0</v>
      </c>
      <c r="H82" t="s">
        <v>15</v>
      </c>
    </row>
    <row r="83" spans="1:8">
      <c r="A83" t="s">
        <v>163</v>
      </c>
      <c r="B83" t="s">
        <v>87</v>
      </c>
      <c r="C83">
        <v>35</v>
      </c>
      <c r="D83" t="s">
        <v>147</v>
      </c>
      <c r="E83" s="242"/>
      <c r="F83">
        <v>4578.7001953125</v>
      </c>
      <c r="G83" t="b">
        <v>0</v>
      </c>
      <c r="H83" t="s">
        <v>15</v>
      </c>
    </row>
    <row r="84" spans="1:8">
      <c r="A84" t="s">
        <v>166</v>
      </c>
      <c r="B84" t="s">
        <v>87</v>
      </c>
      <c r="C84">
        <v>35</v>
      </c>
      <c r="D84" t="s">
        <v>147</v>
      </c>
      <c r="E84" s="242"/>
      <c r="F84">
        <v>3113.30004882812</v>
      </c>
      <c r="G84" t="b">
        <v>0</v>
      </c>
      <c r="H84" t="s">
        <v>15</v>
      </c>
    </row>
    <row r="85" spans="1:8">
      <c r="A85" t="s">
        <v>149</v>
      </c>
      <c r="B85" t="s">
        <v>87</v>
      </c>
      <c r="C85">
        <v>35</v>
      </c>
      <c r="D85" t="s">
        <v>147</v>
      </c>
      <c r="E85" s="242"/>
      <c r="F85">
        <v>4706.39990234375</v>
      </c>
      <c r="G85" t="b">
        <v>0</v>
      </c>
      <c r="H85" t="s">
        <v>15</v>
      </c>
    </row>
    <row r="86" spans="1:8">
      <c r="A86" t="s">
        <v>150</v>
      </c>
      <c r="B86" t="s">
        <v>87</v>
      </c>
      <c r="C86">
        <v>35</v>
      </c>
      <c r="D86" t="s">
        <v>147</v>
      </c>
      <c r="E86" s="242"/>
      <c r="F86">
        <v>3743.39990234375</v>
      </c>
      <c r="G86" t="b">
        <v>0</v>
      </c>
      <c r="H86" t="s">
        <v>15</v>
      </c>
    </row>
    <row r="87" spans="1:8">
      <c r="A87" t="s">
        <v>151</v>
      </c>
      <c r="B87" t="s">
        <v>87</v>
      </c>
      <c r="C87">
        <v>35</v>
      </c>
      <c r="D87" t="s">
        <v>147</v>
      </c>
      <c r="E87" s="242"/>
      <c r="F87">
        <v>1526.90002441406</v>
      </c>
      <c r="G87" t="b">
        <v>0</v>
      </c>
      <c r="H87" t="s">
        <v>15</v>
      </c>
    </row>
    <row r="88" spans="1:8">
      <c r="A88" t="s">
        <v>152</v>
      </c>
      <c r="B88" t="s">
        <v>87</v>
      </c>
      <c r="C88">
        <v>35</v>
      </c>
      <c r="D88" t="s">
        <v>147</v>
      </c>
      <c r="E88" s="242"/>
      <c r="F88">
        <v>1770.30004882812</v>
      </c>
      <c r="G88" t="b">
        <v>0</v>
      </c>
      <c r="H88" t="s">
        <v>15</v>
      </c>
    </row>
    <row r="89" spans="1:8">
      <c r="A89" t="s">
        <v>145</v>
      </c>
      <c r="B89" t="s">
        <v>87</v>
      </c>
      <c r="C89">
        <v>35</v>
      </c>
      <c r="D89" t="s">
        <v>147</v>
      </c>
      <c r="E89" s="242"/>
      <c r="F89">
        <v>1704.69995117187</v>
      </c>
      <c r="G89" t="b">
        <v>0</v>
      </c>
      <c r="H89" t="s">
        <v>15</v>
      </c>
    </row>
    <row r="90" spans="1:8">
      <c r="A90" t="s">
        <v>167</v>
      </c>
      <c r="B90" t="s">
        <v>87</v>
      </c>
      <c r="C90">
        <v>35</v>
      </c>
      <c r="D90" t="s">
        <v>147</v>
      </c>
      <c r="E90" s="242"/>
      <c r="F90">
        <v>1518.80004882812</v>
      </c>
      <c r="G90" t="b">
        <v>0</v>
      </c>
      <c r="H90" t="s">
        <v>15</v>
      </c>
    </row>
    <row r="91" spans="1:8">
      <c r="A91" t="s">
        <v>153</v>
      </c>
      <c r="B91" t="s">
        <v>87</v>
      </c>
      <c r="C91">
        <v>35</v>
      </c>
      <c r="D91" t="s">
        <v>147</v>
      </c>
      <c r="E91" s="242"/>
      <c r="F91">
        <v>1191.19995117187</v>
      </c>
      <c r="G91" t="b">
        <v>0</v>
      </c>
      <c r="H91" t="s">
        <v>15</v>
      </c>
    </row>
    <row r="92" spans="1:8">
      <c r="A92" t="s">
        <v>154</v>
      </c>
      <c r="B92" t="s">
        <v>87</v>
      </c>
      <c r="C92">
        <v>35</v>
      </c>
      <c r="D92" t="s">
        <v>147</v>
      </c>
      <c r="E92" s="242"/>
      <c r="F92">
        <v>2670.80004882812</v>
      </c>
      <c r="G92" t="b">
        <v>0</v>
      </c>
      <c r="H92" t="s">
        <v>15</v>
      </c>
    </row>
    <row r="93" spans="1:8">
      <c r="A93" t="s">
        <v>168</v>
      </c>
      <c r="B93" t="s">
        <v>87</v>
      </c>
      <c r="C93">
        <v>35</v>
      </c>
      <c r="D93" t="s">
        <v>147</v>
      </c>
      <c r="E93" s="242"/>
      <c r="F93">
        <v>5199.39990234375</v>
      </c>
      <c r="G93" t="b">
        <v>0</v>
      </c>
      <c r="H93" t="s">
        <v>15</v>
      </c>
    </row>
    <row r="94" spans="1:8">
      <c r="A94" t="s">
        <v>155</v>
      </c>
      <c r="B94" t="s">
        <v>87</v>
      </c>
      <c r="C94">
        <v>35</v>
      </c>
      <c r="D94" t="s">
        <v>147</v>
      </c>
      <c r="E94" s="242"/>
      <c r="F94">
        <v>3998.60009765625</v>
      </c>
      <c r="G94" t="b">
        <v>0</v>
      </c>
      <c r="H94" t="s">
        <v>15</v>
      </c>
    </row>
    <row r="95" spans="1:8">
      <c r="A95" t="s">
        <v>156</v>
      </c>
      <c r="B95" t="s">
        <v>87</v>
      </c>
      <c r="C95">
        <v>35</v>
      </c>
      <c r="D95" t="s">
        <v>147</v>
      </c>
      <c r="E95" s="242"/>
      <c r="F95">
        <v>4756.5</v>
      </c>
      <c r="G95" t="b">
        <v>0</v>
      </c>
      <c r="H95" t="s">
        <v>15</v>
      </c>
    </row>
    <row r="96" spans="1:8">
      <c r="A96" t="s">
        <v>157</v>
      </c>
      <c r="B96" t="s">
        <v>87</v>
      </c>
      <c r="C96">
        <v>35</v>
      </c>
      <c r="D96" t="s">
        <v>147</v>
      </c>
      <c r="E96" s="242"/>
      <c r="F96">
        <v>5081</v>
      </c>
      <c r="G96" t="b">
        <v>0</v>
      </c>
      <c r="H96" t="s">
        <v>15</v>
      </c>
    </row>
    <row r="97" spans="1:8">
      <c r="A97" t="s">
        <v>169</v>
      </c>
      <c r="B97" t="s">
        <v>87</v>
      </c>
      <c r="C97">
        <v>35</v>
      </c>
      <c r="D97" t="s">
        <v>147</v>
      </c>
      <c r="E97" s="242"/>
      <c r="F97">
        <v>1247.90002441406</v>
      </c>
      <c r="G97" t="b">
        <v>0</v>
      </c>
      <c r="H97" t="s">
        <v>15</v>
      </c>
    </row>
    <row r="98" spans="1:8">
      <c r="A98" t="s">
        <v>170</v>
      </c>
      <c r="B98" t="s">
        <v>87</v>
      </c>
      <c r="C98">
        <v>35</v>
      </c>
      <c r="D98" t="s">
        <v>147</v>
      </c>
      <c r="E98" s="242"/>
      <c r="F98">
        <v>1325.40002441406</v>
      </c>
      <c r="G98" t="b">
        <v>0</v>
      </c>
      <c r="H98" t="s">
        <v>15</v>
      </c>
    </row>
    <row r="99" spans="1:8">
      <c r="A99" t="s">
        <v>158</v>
      </c>
      <c r="B99" t="s">
        <v>87</v>
      </c>
      <c r="C99">
        <v>35</v>
      </c>
      <c r="D99" t="s">
        <v>147</v>
      </c>
      <c r="E99" s="242"/>
      <c r="F99">
        <v>4990.10009765625</v>
      </c>
      <c r="G99" t="b">
        <v>0</v>
      </c>
      <c r="H99" t="s">
        <v>15</v>
      </c>
    </row>
    <row r="100" spans="1:8">
      <c r="A100" t="s">
        <v>159</v>
      </c>
      <c r="B100" t="s">
        <v>87</v>
      </c>
      <c r="C100">
        <v>35</v>
      </c>
      <c r="D100" t="s">
        <v>147</v>
      </c>
      <c r="E100" s="242"/>
      <c r="F100">
        <v>2918.19995117187</v>
      </c>
      <c r="G100" t="b">
        <v>0</v>
      </c>
      <c r="H100" t="s">
        <v>15</v>
      </c>
    </row>
    <row r="101" spans="1:8">
      <c r="A101" t="s">
        <v>160</v>
      </c>
      <c r="B101" t="s">
        <v>87</v>
      </c>
      <c r="C101">
        <v>35</v>
      </c>
      <c r="D101" t="s">
        <v>147</v>
      </c>
      <c r="E101" s="242"/>
      <c r="F101">
        <v>2969.10009765625</v>
      </c>
      <c r="G101" t="b">
        <v>0</v>
      </c>
      <c r="H101" t="s">
        <v>15</v>
      </c>
    </row>
    <row r="102" spans="1:8">
      <c r="A102" t="s">
        <v>164</v>
      </c>
      <c r="B102" t="s">
        <v>87</v>
      </c>
      <c r="C102">
        <v>45</v>
      </c>
      <c r="D102" t="s">
        <v>146</v>
      </c>
      <c r="E102" s="242">
        <v>42110.461111111108</v>
      </c>
      <c r="F102">
        <v>0</v>
      </c>
      <c r="G102" t="b">
        <v>0</v>
      </c>
      <c r="H102" t="s">
        <v>15</v>
      </c>
    </row>
    <row r="103" spans="1:8">
      <c r="A103" t="s">
        <v>161</v>
      </c>
      <c r="B103" t="s">
        <v>87</v>
      </c>
      <c r="C103">
        <v>45</v>
      </c>
      <c r="D103" t="s">
        <v>146</v>
      </c>
      <c r="E103" s="242">
        <v>42088.361111111109</v>
      </c>
      <c r="F103">
        <v>0</v>
      </c>
      <c r="G103" t="b">
        <v>0</v>
      </c>
      <c r="H103" t="s">
        <v>15</v>
      </c>
    </row>
    <row r="104" spans="1:8">
      <c r="A104" t="s">
        <v>165</v>
      </c>
      <c r="B104" t="s">
        <v>87</v>
      </c>
      <c r="C104">
        <v>45</v>
      </c>
      <c r="D104" t="s">
        <v>146</v>
      </c>
      <c r="E104" s="242">
        <v>42102.481249999997</v>
      </c>
      <c r="F104">
        <v>0</v>
      </c>
      <c r="G104" t="b">
        <v>0</v>
      </c>
      <c r="H104" t="s">
        <v>15</v>
      </c>
    </row>
    <row r="105" spans="1:8">
      <c r="A105" t="s">
        <v>148</v>
      </c>
      <c r="B105" t="s">
        <v>87</v>
      </c>
      <c r="C105">
        <v>45</v>
      </c>
      <c r="D105" t="s">
        <v>146</v>
      </c>
      <c r="E105" s="242">
        <v>42107.754166666666</v>
      </c>
      <c r="F105">
        <v>0</v>
      </c>
      <c r="G105" t="b">
        <v>0</v>
      </c>
      <c r="H105" t="s">
        <v>15</v>
      </c>
    </row>
    <row r="106" spans="1:8">
      <c r="A106" t="s">
        <v>162</v>
      </c>
      <c r="B106" t="s">
        <v>87</v>
      </c>
      <c r="C106">
        <v>45</v>
      </c>
      <c r="D106" t="s">
        <v>146</v>
      </c>
      <c r="E106" s="242">
        <v>42103.871527777781</v>
      </c>
      <c r="F106">
        <v>0</v>
      </c>
      <c r="G106" t="b">
        <v>0</v>
      </c>
      <c r="H106" t="s">
        <v>15</v>
      </c>
    </row>
    <row r="107" spans="1:8">
      <c r="A107" t="s">
        <v>163</v>
      </c>
      <c r="B107" t="s">
        <v>87</v>
      </c>
      <c r="C107">
        <v>45</v>
      </c>
      <c r="D107" t="s">
        <v>146</v>
      </c>
      <c r="E107" s="242">
        <v>42103.479166666664</v>
      </c>
      <c r="F107">
        <v>0</v>
      </c>
      <c r="G107" t="b">
        <v>0</v>
      </c>
      <c r="H107" t="s">
        <v>15</v>
      </c>
    </row>
    <row r="108" spans="1:8">
      <c r="A108" t="s">
        <v>166</v>
      </c>
      <c r="B108" t="s">
        <v>87</v>
      </c>
      <c r="C108">
        <v>45</v>
      </c>
      <c r="D108" t="s">
        <v>146</v>
      </c>
      <c r="E108" s="242">
        <v>42109.720833333333</v>
      </c>
      <c r="F108">
        <v>0</v>
      </c>
      <c r="G108" t="b">
        <v>0</v>
      </c>
      <c r="H108" t="s">
        <v>15</v>
      </c>
    </row>
    <row r="109" spans="1:8">
      <c r="A109" t="s">
        <v>149</v>
      </c>
      <c r="B109" t="s">
        <v>87</v>
      </c>
      <c r="C109">
        <v>45</v>
      </c>
      <c r="D109" t="s">
        <v>146</v>
      </c>
      <c r="E109" s="242">
        <v>42111.837500000001</v>
      </c>
      <c r="F109">
        <v>0</v>
      </c>
      <c r="G109" t="b">
        <v>0</v>
      </c>
      <c r="H109" t="s">
        <v>15</v>
      </c>
    </row>
    <row r="110" spans="1:8">
      <c r="A110" t="s">
        <v>150</v>
      </c>
      <c r="B110" t="s">
        <v>87</v>
      </c>
      <c r="C110">
        <v>45</v>
      </c>
      <c r="D110" t="s">
        <v>146</v>
      </c>
      <c r="E110" s="242">
        <v>42107.509722222225</v>
      </c>
      <c r="F110">
        <v>0</v>
      </c>
      <c r="G110" t="b">
        <v>0</v>
      </c>
      <c r="H110" t="s">
        <v>15</v>
      </c>
    </row>
    <row r="111" spans="1:8">
      <c r="A111" t="s">
        <v>151</v>
      </c>
      <c r="B111" t="s">
        <v>87</v>
      </c>
      <c r="C111">
        <v>45</v>
      </c>
      <c r="D111" t="s">
        <v>146</v>
      </c>
      <c r="E111" s="242">
        <v>42053.410416666666</v>
      </c>
      <c r="F111">
        <v>0</v>
      </c>
      <c r="G111" t="b">
        <v>0</v>
      </c>
      <c r="H111" t="s">
        <v>15</v>
      </c>
    </row>
    <row r="112" spans="1:8">
      <c r="A112" t="s">
        <v>145</v>
      </c>
      <c r="B112" t="s">
        <v>87</v>
      </c>
      <c r="C112">
        <v>45</v>
      </c>
      <c r="D112" t="s">
        <v>146</v>
      </c>
      <c r="E112" s="242">
        <v>42102.640972222223</v>
      </c>
      <c r="F112">
        <v>0</v>
      </c>
      <c r="G112" t="b">
        <v>0</v>
      </c>
      <c r="H112" t="s">
        <v>15</v>
      </c>
    </row>
    <row r="113" spans="1:8">
      <c r="A113" t="s">
        <v>167</v>
      </c>
      <c r="B113" t="s">
        <v>87</v>
      </c>
      <c r="C113">
        <v>45</v>
      </c>
      <c r="D113" t="s">
        <v>146</v>
      </c>
      <c r="E113" s="242">
        <v>42109.388194444444</v>
      </c>
      <c r="F113">
        <v>0</v>
      </c>
      <c r="G113" t="b">
        <v>0</v>
      </c>
      <c r="H113" t="s">
        <v>15</v>
      </c>
    </row>
    <row r="114" spans="1:8">
      <c r="A114" t="s">
        <v>153</v>
      </c>
      <c r="B114" t="s">
        <v>87</v>
      </c>
      <c r="C114">
        <v>45</v>
      </c>
      <c r="D114" t="s">
        <v>146</v>
      </c>
      <c r="E114" s="242">
        <v>42087.499305555553</v>
      </c>
      <c r="F114">
        <v>0</v>
      </c>
      <c r="G114" t="b">
        <v>0</v>
      </c>
      <c r="H114" t="s">
        <v>15</v>
      </c>
    </row>
    <row r="115" spans="1:8">
      <c r="A115" t="s">
        <v>154</v>
      </c>
      <c r="B115" t="s">
        <v>87</v>
      </c>
      <c r="C115">
        <v>45</v>
      </c>
      <c r="D115" t="s">
        <v>146</v>
      </c>
      <c r="E115" s="242">
        <v>42109</v>
      </c>
      <c r="F115">
        <v>0</v>
      </c>
      <c r="G115" t="b">
        <v>0</v>
      </c>
      <c r="H115" t="s">
        <v>15</v>
      </c>
    </row>
    <row r="116" spans="1:8">
      <c r="A116" t="s">
        <v>168</v>
      </c>
      <c r="B116" t="s">
        <v>87</v>
      </c>
      <c r="C116">
        <v>45</v>
      </c>
      <c r="D116" t="s">
        <v>146</v>
      </c>
      <c r="E116" s="242">
        <v>42107.675694444442</v>
      </c>
      <c r="F116">
        <v>0</v>
      </c>
      <c r="G116" t="b">
        <v>0</v>
      </c>
      <c r="H116" t="s">
        <v>15</v>
      </c>
    </row>
    <row r="117" spans="1:8">
      <c r="A117" t="s">
        <v>155</v>
      </c>
      <c r="B117" t="s">
        <v>87</v>
      </c>
      <c r="C117">
        <v>45</v>
      </c>
      <c r="D117" t="s">
        <v>146</v>
      </c>
      <c r="E117" s="242">
        <v>42108.449305555558</v>
      </c>
      <c r="F117">
        <v>0</v>
      </c>
      <c r="G117" t="b">
        <v>0</v>
      </c>
      <c r="H117" t="s">
        <v>15</v>
      </c>
    </row>
    <row r="118" spans="1:8">
      <c r="A118" t="s">
        <v>157</v>
      </c>
      <c r="B118" t="s">
        <v>87</v>
      </c>
      <c r="C118">
        <v>45</v>
      </c>
      <c r="D118" t="s">
        <v>146</v>
      </c>
      <c r="E118" s="242">
        <v>42108.479861111111</v>
      </c>
      <c r="F118">
        <v>0</v>
      </c>
      <c r="G118" t="b">
        <v>0</v>
      </c>
      <c r="H118" t="s">
        <v>15</v>
      </c>
    </row>
    <row r="119" spans="1:8">
      <c r="A119" t="s">
        <v>169</v>
      </c>
      <c r="B119" t="s">
        <v>87</v>
      </c>
      <c r="C119">
        <v>45</v>
      </c>
      <c r="D119" t="s">
        <v>146</v>
      </c>
      <c r="E119" s="242">
        <v>42109.760416666664</v>
      </c>
      <c r="F119">
        <v>0</v>
      </c>
      <c r="G119" t="b">
        <v>0</v>
      </c>
      <c r="H119" t="s">
        <v>15</v>
      </c>
    </row>
    <row r="120" spans="1:8">
      <c r="A120" t="s">
        <v>170</v>
      </c>
      <c r="B120" t="s">
        <v>87</v>
      </c>
      <c r="C120">
        <v>45</v>
      </c>
      <c r="D120" t="s">
        <v>146</v>
      </c>
      <c r="E120" s="242">
        <v>42110.934027777781</v>
      </c>
      <c r="F120">
        <v>0</v>
      </c>
      <c r="G120" t="b">
        <v>0</v>
      </c>
      <c r="H120" t="s">
        <v>15</v>
      </c>
    </row>
    <row r="121" spans="1:8">
      <c r="A121" t="s">
        <v>158</v>
      </c>
      <c r="B121" t="s">
        <v>87</v>
      </c>
      <c r="C121">
        <v>45</v>
      </c>
      <c r="D121" t="s">
        <v>146</v>
      </c>
      <c r="E121" s="242">
        <v>42104.018750000003</v>
      </c>
      <c r="F121">
        <v>0</v>
      </c>
      <c r="G121" t="b">
        <v>0</v>
      </c>
      <c r="H121" t="s">
        <v>15</v>
      </c>
    </row>
    <row r="122" spans="1:8">
      <c r="A122" t="s">
        <v>159</v>
      </c>
      <c r="B122" t="s">
        <v>87</v>
      </c>
      <c r="C122">
        <v>45</v>
      </c>
      <c r="D122" t="s">
        <v>146</v>
      </c>
      <c r="E122" s="242">
        <v>42104.571527777778</v>
      </c>
      <c r="F122">
        <v>0</v>
      </c>
      <c r="G122" t="b">
        <v>0</v>
      </c>
      <c r="H122" t="s">
        <v>15</v>
      </c>
    </row>
    <row r="123" spans="1:8">
      <c r="A123" t="s">
        <v>160</v>
      </c>
      <c r="B123" t="s">
        <v>87</v>
      </c>
      <c r="C123">
        <v>45</v>
      </c>
      <c r="D123" t="s">
        <v>146</v>
      </c>
      <c r="E123" s="242">
        <v>42104.588194444441</v>
      </c>
      <c r="F123">
        <v>0</v>
      </c>
      <c r="G123" t="b">
        <v>0</v>
      </c>
      <c r="H123" t="s">
        <v>15</v>
      </c>
    </row>
    <row r="124" spans="1:8">
      <c r="A124" t="s">
        <v>164</v>
      </c>
      <c r="B124" t="s">
        <v>87</v>
      </c>
      <c r="C124">
        <v>45</v>
      </c>
      <c r="D124" t="s">
        <v>147</v>
      </c>
      <c r="E124" s="242"/>
      <c r="F124">
        <v>5417.5</v>
      </c>
      <c r="G124" t="b">
        <v>0</v>
      </c>
      <c r="H124" t="s">
        <v>15</v>
      </c>
    </row>
    <row r="125" spans="1:8">
      <c r="A125" t="s">
        <v>161</v>
      </c>
      <c r="B125" t="s">
        <v>87</v>
      </c>
      <c r="C125">
        <v>45</v>
      </c>
      <c r="D125" t="s">
        <v>147</v>
      </c>
      <c r="E125" s="242"/>
      <c r="F125">
        <v>7232.10009765625</v>
      </c>
      <c r="G125" t="b">
        <v>0</v>
      </c>
      <c r="H125" t="s">
        <v>15</v>
      </c>
    </row>
    <row r="126" spans="1:8">
      <c r="A126" t="s">
        <v>165</v>
      </c>
      <c r="B126" t="s">
        <v>87</v>
      </c>
      <c r="C126">
        <v>45</v>
      </c>
      <c r="D126" t="s">
        <v>147</v>
      </c>
      <c r="E126" s="242"/>
      <c r="F126">
        <v>7809.39990234375</v>
      </c>
      <c r="G126" t="b">
        <v>0</v>
      </c>
      <c r="H126" t="s">
        <v>15</v>
      </c>
    </row>
    <row r="127" spans="1:8">
      <c r="A127" t="s">
        <v>148</v>
      </c>
      <c r="B127" t="s">
        <v>87</v>
      </c>
      <c r="C127">
        <v>45</v>
      </c>
      <c r="D127" t="s">
        <v>147</v>
      </c>
      <c r="E127" s="242"/>
      <c r="F127">
        <v>6766.2001953125</v>
      </c>
      <c r="G127" t="b">
        <v>0</v>
      </c>
      <c r="H127" t="s">
        <v>15</v>
      </c>
    </row>
    <row r="128" spans="1:8">
      <c r="A128" t="s">
        <v>162</v>
      </c>
      <c r="B128" t="s">
        <v>87</v>
      </c>
      <c r="C128">
        <v>45</v>
      </c>
      <c r="D128" t="s">
        <v>147</v>
      </c>
      <c r="E128" s="242"/>
      <c r="F128">
        <v>7481.89990234375</v>
      </c>
      <c r="G128" t="b">
        <v>0</v>
      </c>
      <c r="H128" t="s">
        <v>15</v>
      </c>
    </row>
    <row r="129" spans="1:8">
      <c r="A129" t="s">
        <v>163</v>
      </c>
      <c r="B129" t="s">
        <v>87</v>
      </c>
      <c r="C129">
        <v>45</v>
      </c>
      <c r="D129" t="s">
        <v>147</v>
      </c>
      <c r="E129" s="242"/>
      <c r="F129">
        <v>4823.89990234375</v>
      </c>
      <c r="G129" t="b">
        <v>0</v>
      </c>
      <c r="H129" t="s">
        <v>15</v>
      </c>
    </row>
    <row r="130" spans="1:8">
      <c r="A130" t="s">
        <v>166</v>
      </c>
      <c r="B130" t="s">
        <v>87</v>
      </c>
      <c r="C130">
        <v>45</v>
      </c>
      <c r="D130" t="s">
        <v>147</v>
      </c>
      <c r="E130" s="242"/>
      <c r="F130">
        <v>3563</v>
      </c>
      <c r="G130" t="b">
        <v>0</v>
      </c>
      <c r="H130" t="s">
        <v>15</v>
      </c>
    </row>
    <row r="131" spans="1:8">
      <c r="A131" t="s">
        <v>149</v>
      </c>
      <c r="B131" t="s">
        <v>87</v>
      </c>
      <c r="C131">
        <v>45</v>
      </c>
      <c r="D131" t="s">
        <v>147</v>
      </c>
      <c r="E131" s="242"/>
      <c r="F131">
        <v>5179.89990234375</v>
      </c>
      <c r="G131" t="b">
        <v>0</v>
      </c>
      <c r="H131" t="s">
        <v>15</v>
      </c>
    </row>
    <row r="132" spans="1:8">
      <c r="A132" t="s">
        <v>150</v>
      </c>
      <c r="B132" t="s">
        <v>87</v>
      </c>
      <c r="C132">
        <v>45</v>
      </c>
      <c r="D132" t="s">
        <v>147</v>
      </c>
      <c r="E132" s="242"/>
      <c r="F132">
        <v>4074.60009765625</v>
      </c>
      <c r="G132" t="b">
        <v>0</v>
      </c>
      <c r="H132" t="s">
        <v>15</v>
      </c>
    </row>
    <row r="133" spans="1:8">
      <c r="A133" t="s">
        <v>151</v>
      </c>
      <c r="B133" t="s">
        <v>87</v>
      </c>
      <c r="C133">
        <v>45</v>
      </c>
      <c r="D133" t="s">
        <v>147</v>
      </c>
      <c r="E133" s="242"/>
      <c r="F133">
        <v>1989.30004882812</v>
      </c>
      <c r="G133" t="b">
        <v>0</v>
      </c>
      <c r="H133" t="s">
        <v>15</v>
      </c>
    </row>
    <row r="134" spans="1:8">
      <c r="A134" t="s">
        <v>152</v>
      </c>
      <c r="B134" t="s">
        <v>87</v>
      </c>
      <c r="C134">
        <v>45</v>
      </c>
      <c r="D134" t="s">
        <v>147</v>
      </c>
      <c r="E134" s="242"/>
      <c r="F134">
        <v>1838.40002441406</v>
      </c>
      <c r="G134" t="b">
        <v>0</v>
      </c>
      <c r="H134" t="s">
        <v>15</v>
      </c>
    </row>
    <row r="135" spans="1:8">
      <c r="A135" t="s">
        <v>145</v>
      </c>
      <c r="B135" t="s">
        <v>87</v>
      </c>
      <c r="C135">
        <v>45</v>
      </c>
      <c r="D135" t="s">
        <v>147</v>
      </c>
      <c r="E135" s="242"/>
      <c r="F135">
        <v>1825.90002441406</v>
      </c>
      <c r="G135" t="b">
        <v>0</v>
      </c>
      <c r="H135" t="s">
        <v>15</v>
      </c>
    </row>
    <row r="136" spans="1:8">
      <c r="A136" t="s">
        <v>167</v>
      </c>
      <c r="B136" t="s">
        <v>87</v>
      </c>
      <c r="C136">
        <v>45</v>
      </c>
      <c r="D136" t="s">
        <v>147</v>
      </c>
      <c r="E136" s="242"/>
      <c r="F136">
        <v>1944.40002441406</v>
      </c>
      <c r="G136" t="b">
        <v>0</v>
      </c>
      <c r="H136" t="s">
        <v>15</v>
      </c>
    </row>
    <row r="137" spans="1:8">
      <c r="A137" t="s">
        <v>153</v>
      </c>
      <c r="B137" t="s">
        <v>87</v>
      </c>
      <c r="C137">
        <v>45</v>
      </c>
      <c r="D137" t="s">
        <v>147</v>
      </c>
      <c r="E137" s="242"/>
      <c r="F137">
        <v>1645.59997558593</v>
      </c>
      <c r="G137" t="b">
        <v>0</v>
      </c>
      <c r="H137" t="s">
        <v>15</v>
      </c>
    </row>
    <row r="138" spans="1:8">
      <c r="A138" t="s">
        <v>154</v>
      </c>
      <c r="B138" t="s">
        <v>87</v>
      </c>
      <c r="C138">
        <v>45</v>
      </c>
      <c r="D138" t="s">
        <v>147</v>
      </c>
      <c r="E138" s="242"/>
      <c r="F138">
        <v>2835.80004882812</v>
      </c>
      <c r="G138" t="b">
        <v>0</v>
      </c>
      <c r="H138" t="s">
        <v>15</v>
      </c>
    </row>
    <row r="139" spans="1:8">
      <c r="A139" t="s">
        <v>168</v>
      </c>
      <c r="B139" t="s">
        <v>87</v>
      </c>
      <c r="C139">
        <v>45</v>
      </c>
      <c r="D139" t="s">
        <v>147</v>
      </c>
      <c r="E139" s="242"/>
      <c r="F139">
        <v>5291.2998046875</v>
      </c>
      <c r="G139" t="b">
        <v>0</v>
      </c>
      <c r="H139" t="s">
        <v>15</v>
      </c>
    </row>
    <row r="140" spans="1:8">
      <c r="A140" t="s">
        <v>155</v>
      </c>
      <c r="B140" t="s">
        <v>87</v>
      </c>
      <c r="C140">
        <v>45</v>
      </c>
      <c r="D140" t="s">
        <v>147</v>
      </c>
      <c r="E140" s="242"/>
      <c r="F140">
        <v>4420.5</v>
      </c>
      <c r="G140" t="b">
        <v>0</v>
      </c>
      <c r="H140" t="s">
        <v>15</v>
      </c>
    </row>
    <row r="141" spans="1:8">
      <c r="A141" t="s">
        <v>156</v>
      </c>
      <c r="B141" t="s">
        <v>87</v>
      </c>
      <c r="C141">
        <v>45</v>
      </c>
      <c r="D141" t="s">
        <v>147</v>
      </c>
      <c r="E141" s="242"/>
      <c r="F141">
        <v>4833.10009765625</v>
      </c>
      <c r="G141" t="b">
        <v>0</v>
      </c>
      <c r="H141" t="s">
        <v>15</v>
      </c>
    </row>
    <row r="142" spans="1:8">
      <c r="A142" t="s">
        <v>157</v>
      </c>
      <c r="B142" t="s">
        <v>87</v>
      </c>
      <c r="C142">
        <v>45</v>
      </c>
      <c r="D142" t="s">
        <v>147</v>
      </c>
      <c r="E142" s="242"/>
      <c r="F142">
        <v>5287.60009765625</v>
      </c>
      <c r="G142" t="b">
        <v>0</v>
      </c>
      <c r="H142" t="s">
        <v>15</v>
      </c>
    </row>
    <row r="143" spans="1:8">
      <c r="A143" t="s">
        <v>169</v>
      </c>
      <c r="B143" t="s">
        <v>87</v>
      </c>
      <c r="C143">
        <v>45</v>
      </c>
      <c r="D143" t="s">
        <v>147</v>
      </c>
      <c r="E143" s="242"/>
      <c r="F143">
        <v>1602.40002441406</v>
      </c>
      <c r="G143" t="b">
        <v>0</v>
      </c>
      <c r="H143" t="s">
        <v>15</v>
      </c>
    </row>
    <row r="144" spans="1:8">
      <c r="A144" t="s">
        <v>170</v>
      </c>
      <c r="B144" t="s">
        <v>87</v>
      </c>
      <c r="C144">
        <v>45</v>
      </c>
      <c r="D144" t="s">
        <v>147</v>
      </c>
      <c r="E144" s="242"/>
      <c r="F144">
        <v>1530.5</v>
      </c>
      <c r="G144" t="b">
        <v>0</v>
      </c>
      <c r="H144" t="s">
        <v>15</v>
      </c>
    </row>
    <row r="145" spans="1:8">
      <c r="A145" t="s">
        <v>158</v>
      </c>
      <c r="B145" t="s">
        <v>87</v>
      </c>
      <c r="C145">
        <v>45</v>
      </c>
      <c r="D145" t="s">
        <v>147</v>
      </c>
      <c r="E145" s="242"/>
      <c r="F145">
        <v>5447.2001953125</v>
      </c>
      <c r="G145" t="b">
        <v>0</v>
      </c>
      <c r="H145" t="s">
        <v>15</v>
      </c>
    </row>
    <row r="146" spans="1:8">
      <c r="A146" t="s">
        <v>159</v>
      </c>
      <c r="B146" t="s">
        <v>87</v>
      </c>
      <c r="C146">
        <v>45</v>
      </c>
      <c r="D146" t="s">
        <v>147</v>
      </c>
      <c r="E146" s="242"/>
      <c r="F146">
        <v>3247.19995117187</v>
      </c>
      <c r="G146" t="b">
        <v>0</v>
      </c>
      <c r="H146" t="s">
        <v>15</v>
      </c>
    </row>
    <row r="147" spans="1:8">
      <c r="A147" t="s">
        <v>160</v>
      </c>
      <c r="B147" t="s">
        <v>87</v>
      </c>
      <c r="C147">
        <v>45</v>
      </c>
      <c r="D147" t="s">
        <v>147</v>
      </c>
      <c r="E147" s="242"/>
      <c r="F147">
        <v>3033.60009765625</v>
      </c>
      <c r="G147" t="b">
        <v>0</v>
      </c>
      <c r="H147" t="s">
        <v>15</v>
      </c>
    </row>
    <row r="148" spans="1:8">
      <c r="A148" t="s">
        <v>165</v>
      </c>
      <c r="B148" t="s">
        <v>87</v>
      </c>
      <c r="C148">
        <v>55</v>
      </c>
      <c r="D148" t="s">
        <v>146</v>
      </c>
      <c r="E148" s="242">
        <v>41955.652083333334</v>
      </c>
      <c r="F148">
        <v>0</v>
      </c>
      <c r="G148" t="b">
        <v>0</v>
      </c>
      <c r="H148" t="s">
        <v>15</v>
      </c>
    </row>
    <row r="149" spans="1:8">
      <c r="A149" t="s">
        <v>150</v>
      </c>
      <c r="B149" t="s">
        <v>87</v>
      </c>
      <c r="C149">
        <v>55</v>
      </c>
      <c r="D149" t="s">
        <v>146</v>
      </c>
      <c r="E149" s="242">
        <v>41960.475694444445</v>
      </c>
      <c r="F149">
        <v>0</v>
      </c>
      <c r="G149" t="b">
        <v>0</v>
      </c>
      <c r="H149" t="s">
        <v>15</v>
      </c>
    </row>
    <row r="150" spans="1:8">
      <c r="A150" t="s">
        <v>152</v>
      </c>
      <c r="B150" t="s">
        <v>87</v>
      </c>
      <c r="C150">
        <v>55</v>
      </c>
      <c r="D150" t="s">
        <v>146</v>
      </c>
      <c r="E150" s="242">
        <v>42060.572916666664</v>
      </c>
      <c r="F150">
        <v>0</v>
      </c>
      <c r="G150" t="b">
        <v>0</v>
      </c>
      <c r="H150" t="s">
        <v>15</v>
      </c>
    </row>
    <row r="151" spans="1:8">
      <c r="A151" t="s">
        <v>145</v>
      </c>
      <c r="B151" t="s">
        <v>87</v>
      </c>
      <c r="C151">
        <v>55</v>
      </c>
      <c r="D151" t="s">
        <v>146</v>
      </c>
      <c r="E151" s="242">
        <v>41955.642361111109</v>
      </c>
      <c r="F151">
        <v>0</v>
      </c>
      <c r="G151" t="b">
        <v>0</v>
      </c>
      <c r="H151" t="s">
        <v>15</v>
      </c>
    </row>
    <row r="152" spans="1:8">
      <c r="A152" t="s">
        <v>156</v>
      </c>
      <c r="B152" t="s">
        <v>87</v>
      </c>
      <c r="C152">
        <v>55</v>
      </c>
      <c r="D152" t="s">
        <v>146</v>
      </c>
      <c r="E152" s="242">
        <v>42040</v>
      </c>
      <c r="F152">
        <v>0</v>
      </c>
      <c r="G152" t="b">
        <v>0</v>
      </c>
      <c r="H152" t="s">
        <v>15</v>
      </c>
    </row>
    <row r="153" spans="1:8">
      <c r="A153" t="s">
        <v>170</v>
      </c>
      <c r="B153" t="s">
        <v>87</v>
      </c>
      <c r="C153">
        <v>55</v>
      </c>
      <c r="D153" t="s">
        <v>146</v>
      </c>
      <c r="E153" s="242">
        <v>41955.65625</v>
      </c>
      <c r="F153">
        <v>0</v>
      </c>
      <c r="G153" t="b">
        <v>0</v>
      </c>
      <c r="H153" t="s">
        <v>15</v>
      </c>
    </row>
    <row r="154" spans="1:8">
      <c r="A154" t="s">
        <v>164</v>
      </c>
      <c r="B154" t="s">
        <v>87</v>
      </c>
      <c r="C154">
        <v>55</v>
      </c>
      <c r="D154" t="s">
        <v>147</v>
      </c>
      <c r="E154" s="242"/>
      <c r="F154">
        <v>5409.39990234375</v>
      </c>
      <c r="G154" t="b">
        <v>0</v>
      </c>
      <c r="H154" t="s">
        <v>15</v>
      </c>
    </row>
    <row r="155" spans="1:8">
      <c r="A155" t="s">
        <v>161</v>
      </c>
      <c r="B155" t="s">
        <v>87</v>
      </c>
      <c r="C155">
        <v>55</v>
      </c>
      <c r="D155" t="s">
        <v>147</v>
      </c>
      <c r="E155" s="242"/>
      <c r="F155">
        <v>7219</v>
      </c>
      <c r="G155" t="b">
        <v>0</v>
      </c>
      <c r="H155" t="s">
        <v>15</v>
      </c>
    </row>
    <row r="156" spans="1:8">
      <c r="A156" t="s">
        <v>165</v>
      </c>
      <c r="B156" t="s">
        <v>87</v>
      </c>
      <c r="C156">
        <v>55</v>
      </c>
      <c r="D156" t="s">
        <v>147</v>
      </c>
      <c r="E156" s="242"/>
      <c r="F156">
        <v>7776.5</v>
      </c>
      <c r="G156" t="b">
        <v>0</v>
      </c>
      <c r="H156" t="s">
        <v>15</v>
      </c>
    </row>
    <row r="157" spans="1:8">
      <c r="A157" t="s">
        <v>148</v>
      </c>
      <c r="B157" t="s">
        <v>87</v>
      </c>
      <c r="C157">
        <v>55</v>
      </c>
      <c r="D157" t="s">
        <v>147</v>
      </c>
      <c r="E157" s="242"/>
      <c r="F157">
        <v>6745.2998046875</v>
      </c>
      <c r="G157" t="b">
        <v>0</v>
      </c>
      <c r="H157" t="s">
        <v>15</v>
      </c>
    </row>
    <row r="158" spans="1:8">
      <c r="A158" t="s">
        <v>162</v>
      </c>
      <c r="B158" t="s">
        <v>87</v>
      </c>
      <c r="C158">
        <v>55</v>
      </c>
      <c r="D158" t="s">
        <v>147</v>
      </c>
      <c r="E158" s="242"/>
      <c r="F158">
        <v>7445.60009765625</v>
      </c>
      <c r="G158" t="b">
        <v>0</v>
      </c>
      <c r="H158" t="s">
        <v>15</v>
      </c>
    </row>
    <row r="159" spans="1:8">
      <c r="A159" t="s">
        <v>163</v>
      </c>
      <c r="B159" t="s">
        <v>87</v>
      </c>
      <c r="C159">
        <v>55</v>
      </c>
      <c r="D159" t="s">
        <v>147</v>
      </c>
      <c r="E159" s="242"/>
      <c r="F159">
        <v>4833.10009765625</v>
      </c>
      <c r="G159" t="b">
        <v>0</v>
      </c>
      <c r="H159" t="s">
        <v>15</v>
      </c>
    </row>
    <row r="160" spans="1:8">
      <c r="A160" t="s">
        <v>166</v>
      </c>
      <c r="B160" t="s">
        <v>87</v>
      </c>
      <c r="C160">
        <v>55</v>
      </c>
      <c r="D160" t="s">
        <v>147</v>
      </c>
      <c r="E160" s="242"/>
      <c r="F160">
        <v>3474.5</v>
      </c>
      <c r="G160" t="b">
        <v>0</v>
      </c>
      <c r="H160" t="s">
        <v>15</v>
      </c>
    </row>
    <row r="161" spans="1:8">
      <c r="A161" t="s">
        <v>149</v>
      </c>
      <c r="B161" t="s">
        <v>87</v>
      </c>
      <c r="C161">
        <v>55</v>
      </c>
      <c r="D161" t="s">
        <v>147</v>
      </c>
      <c r="E161" s="242"/>
      <c r="F161">
        <v>5079.2001953125</v>
      </c>
      <c r="G161" t="b">
        <v>0</v>
      </c>
      <c r="H161" t="s">
        <v>15</v>
      </c>
    </row>
    <row r="162" spans="1:8">
      <c r="A162" t="s">
        <v>150</v>
      </c>
      <c r="B162" t="s">
        <v>87</v>
      </c>
      <c r="C162">
        <v>55</v>
      </c>
      <c r="D162" t="s">
        <v>147</v>
      </c>
      <c r="E162" s="242"/>
      <c r="F162">
        <v>3997.10009765625</v>
      </c>
      <c r="G162" t="b">
        <v>0</v>
      </c>
      <c r="H162" t="s">
        <v>15</v>
      </c>
    </row>
    <row r="163" spans="1:8">
      <c r="A163" t="s">
        <v>151</v>
      </c>
      <c r="B163" t="s">
        <v>87</v>
      </c>
      <c r="C163">
        <v>55</v>
      </c>
      <c r="D163" t="s">
        <v>147</v>
      </c>
      <c r="E163" s="242"/>
      <c r="F163">
        <v>1936</v>
      </c>
      <c r="G163" t="b">
        <v>0</v>
      </c>
      <c r="H163" t="s">
        <v>15</v>
      </c>
    </row>
    <row r="164" spans="1:8">
      <c r="A164" t="s">
        <v>152</v>
      </c>
      <c r="B164" t="s">
        <v>87</v>
      </c>
      <c r="C164">
        <v>55</v>
      </c>
      <c r="D164" t="s">
        <v>147</v>
      </c>
      <c r="E164" s="242"/>
      <c r="F164">
        <v>1770.30004882812</v>
      </c>
      <c r="G164" t="b">
        <v>0</v>
      </c>
      <c r="H164" t="s">
        <v>15</v>
      </c>
    </row>
    <row r="165" spans="1:8">
      <c r="A165" t="s">
        <v>145</v>
      </c>
      <c r="B165" t="s">
        <v>87</v>
      </c>
      <c r="C165">
        <v>55</v>
      </c>
      <c r="D165" t="s">
        <v>147</v>
      </c>
      <c r="E165" s="242"/>
      <c r="F165">
        <v>1713.09997558593</v>
      </c>
      <c r="G165" t="b">
        <v>0</v>
      </c>
      <c r="H165" t="s">
        <v>15</v>
      </c>
    </row>
    <row r="166" spans="1:8">
      <c r="A166" t="s">
        <v>167</v>
      </c>
      <c r="B166" t="s">
        <v>87</v>
      </c>
      <c r="C166">
        <v>55</v>
      </c>
      <c r="D166" t="s">
        <v>147</v>
      </c>
      <c r="E166" s="242"/>
      <c r="F166">
        <v>1829.30004882812</v>
      </c>
      <c r="G166" t="b">
        <v>0</v>
      </c>
      <c r="H166" t="s">
        <v>15</v>
      </c>
    </row>
    <row r="167" spans="1:8">
      <c r="A167" t="s">
        <v>153</v>
      </c>
      <c r="B167" t="s">
        <v>87</v>
      </c>
      <c r="C167">
        <v>55</v>
      </c>
      <c r="D167" t="s">
        <v>147</v>
      </c>
      <c r="E167" s="242"/>
      <c r="F167">
        <v>1558.5</v>
      </c>
      <c r="G167" t="b">
        <v>0</v>
      </c>
      <c r="H167" t="s">
        <v>15</v>
      </c>
    </row>
    <row r="168" spans="1:8">
      <c r="A168" t="s">
        <v>154</v>
      </c>
      <c r="B168" t="s">
        <v>87</v>
      </c>
      <c r="C168">
        <v>55</v>
      </c>
      <c r="D168" t="s">
        <v>147</v>
      </c>
      <c r="E168" s="242"/>
      <c r="F168">
        <v>2792.89990234375</v>
      </c>
      <c r="G168" t="b">
        <v>0</v>
      </c>
      <c r="H168" t="s">
        <v>15</v>
      </c>
    </row>
    <row r="169" spans="1:8">
      <c r="A169" t="s">
        <v>168</v>
      </c>
      <c r="B169" t="s">
        <v>87</v>
      </c>
      <c r="C169">
        <v>55</v>
      </c>
      <c r="D169" t="s">
        <v>147</v>
      </c>
      <c r="E169" s="242"/>
      <c r="F169">
        <v>5246.7998046875</v>
      </c>
      <c r="G169" t="b">
        <v>0</v>
      </c>
      <c r="H169" t="s">
        <v>15</v>
      </c>
    </row>
    <row r="170" spans="1:8">
      <c r="A170" t="s">
        <v>155</v>
      </c>
      <c r="B170" t="s">
        <v>87</v>
      </c>
      <c r="C170">
        <v>55</v>
      </c>
      <c r="D170" t="s">
        <v>147</v>
      </c>
      <c r="E170" s="242"/>
      <c r="F170">
        <v>4303.10009765625</v>
      </c>
      <c r="G170" t="b">
        <v>0</v>
      </c>
      <c r="H170" t="s">
        <v>15</v>
      </c>
    </row>
    <row r="171" spans="1:8">
      <c r="A171" t="s">
        <v>156</v>
      </c>
      <c r="B171" t="s">
        <v>87</v>
      </c>
      <c r="C171">
        <v>55</v>
      </c>
      <c r="D171" t="s">
        <v>147</v>
      </c>
      <c r="E171" s="242"/>
      <c r="F171">
        <v>4765.2998046875</v>
      </c>
      <c r="G171" t="b">
        <v>0</v>
      </c>
      <c r="H171" t="s">
        <v>15</v>
      </c>
    </row>
    <row r="172" spans="1:8">
      <c r="A172" t="s">
        <v>157</v>
      </c>
      <c r="B172" t="s">
        <v>87</v>
      </c>
      <c r="C172">
        <v>55</v>
      </c>
      <c r="D172" t="s">
        <v>147</v>
      </c>
      <c r="E172" s="242"/>
      <c r="F172">
        <v>5255.2001953125</v>
      </c>
      <c r="G172" t="b">
        <v>0</v>
      </c>
      <c r="H172" t="s">
        <v>15</v>
      </c>
    </row>
    <row r="173" spans="1:8">
      <c r="A173" t="s">
        <v>170</v>
      </c>
      <c r="B173" t="s">
        <v>87</v>
      </c>
      <c r="C173">
        <v>55</v>
      </c>
      <c r="D173" t="s">
        <v>147</v>
      </c>
      <c r="E173" s="242"/>
      <c r="F173">
        <v>1467.09997558593</v>
      </c>
      <c r="G173" t="b">
        <v>0</v>
      </c>
      <c r="H173" t="s">
        <v>15</v>
      </c>
    </row>
    <row r="174" spans="1:8">
      <c r="A174" t="s">
        <v>158</v>
      </c>
      <c r="B174" t="s">
        <v>87</v>
      </c>
      <c r="C174">
        <v>55</v>
      </c>
      <c r="D174" t="s">
        <v>147</v>
      </c>
      <c r="E174" s="242"/>
      <c r="F174">
        <v>5363.7001953125</v>
      </c>
      <c r="G174" t="b">
        <v>0</v>
      </c>
      <c r="H174" t="s">
        <v>15</v>
      </c>
    </row>
    <row r="175" spans="1:8">
      <c r="A175" t="s">
        <v>159</v>
      </c>
      <c r="B175" t="s">
        <v>87</v>
      </c>
      <c r="C175">
        <v>55</v>
      </c>
      <c r="D175" t="s">
        <v>147</v>
      </c>
      <c r="E175" s="242"/>
      <c r="F175">
        <v>3155</v>
      </c>
      <c r="G175" t="b">
        <v>0</v>
      </c>
      <c r="H175" t="s">
        <v>15</v>
      </c>
    </row>
    <row r="176" spans="1:8">
      <c r="A176" t="s">
        <v>160</v>
      </c>
      <c r="B176" t="s">
        <v>87</v>
      </c>
      <c r="C176">
        <v>55</v>
      </c>
      <c r="D176" t="s">
        <v>147</v>
      </c>
      <c r="E176" s="242"/>
      <c r="F176">
        <v>2972.30004882812</v>
      </c>
      <c r="G176" t="b">
        <v>0</v>
      </c>
      <c r="H176" t="s">
        <v>15</v>
      </c>
    </row>
    <row r="177" spans="1:8">
      <c r="A177" t="s">
        <v>164</v>
      </c>
      <c r="B177" t="s">
        <v>87</v>
      </c>
      <c r="C177">
        <v>62</v>
      </c>
      <c r="D177" t="s">
        <v>147</v>
      </c>
      <c r="E177" s="242"/>
      <c r="F177">
        <v>5417</v>
      </c>
      <c r="G177" t="b">
        <v>0</v>
      </c>
      <c r="H177" t="s">
        <v>15</v>
      </c>
    </row>
    <row r="178" spans="1:8">
      <c r="A178" t="s">
        <v>161</v>
      </c>
      <c r="B178" t="s">
        <v>87</v>
      </c>
      <c r="C178">
        <v>62</v>
      </c>
      <c r="D178" t="s">
        <v>147</v>
      </c>
      <c r="E178" s="242"/>
      <c r="F178">
        <v>7232.10009765625</v>
      </c>
      <c r="G178" t="b">
        <v>0</v>
      </c>
      <c r="H178" t="s">
        <v>15</v>
      </c>
    </row>
    <row r="179" spans="1:8">
      <c r="A179" t="s">
        <v>165</v>
      </c>
      <c r="B179" t="s">
        <v>87</v>
      </c>
      <c r="C179">
        <v>62</v>
      </c>
      <c r="D179" t="s">
        <v>147</v>
      </c>
      <c r="E179" s="242"/>
      <c r="F179">
        <v>7796.39990234375</v>
      </c>
      <c r="G179" t="b">
        <v>0</v>
      </c>
      <c r="H179" t="s">
        <v>15</v>
      </c>
    </row>
    <row r="180" spans="1:8">
      <c r="A180" t="s">
        <v>148</v>
      </c>
      <c r="B180" t="s">
        <v>87</v>
      </c>
      <c r="C180">
        <v>62</v>
      </c>
      <c r="D180" t="s">
        <v>147</v>
      </c>
      <c r="E180" s="242"/>
      <c r="F180">
        <v>6766.2001953125</v>
      </c>
      <c r="G180" t="b">
        <v>0</v>
      </c>
      <c r="H180" t="s">
        <v>15</v>
      </c>
    </row>
    <row r="181" spans="1:8">
      <c r="A181" t="s">
        <v>162</v>
      </c>
      <c r="B181" t="s">
        <v>87</v>
      </c>
      <c r="C181">
        <v>62</v>
      </c>
      <c r="D181" t="s">
        <v>147</v>
      </c>
      <c r="E181" s="242"/>
      <c r="F181">
        <v>7481.89990234375</v>
      </c>
      <c r="G181" t="b">
        <v>0</v>
      </c>
      <c r="H181" t="s">
        <v>15</v>
      </c>
    </row>
    <row r="182" spans="1:8">
      <c r="A182" t="s">
        <v>163</v>
      </c>
      <c r="B182" t="s">
        <v>87</v>
      </c>
      <c r="C182">
        <v>62</v>
      </c>
      <c r="D182" t="s">
        <v>147</v>
      </c>
      <c r="E182" s="242"/>
      <c r="F182">
        <v>4820.10009765625</v>
      </c>
      <c r="G182" t="b">
        <v>0</v>
      </c>
      <c r="H182" t="s">
        <v>15</v>
      </c>
    </row>
    <row r="183" spans="1:8">
      <c r="A183" t="s">
        <v>166</v>
      </c>
      <c r="B183" t="s">
        <v>87</v>
      </c>
      <c r="C183">
        <v>62</v>
      </c>
      <c r="D183" t="s">
        <v>147</v>
      </c>
      <c r="E183" s="242"/>
      <c r="F183">
        <v>3563</v>
      </c>
      <c r="G183" t="b">
        <v>0</v>
      </c>
      <c r="H183" t="s">
        <v>15</v>
      </c>
    </row>
    <row r="184" spans="1:8">
      <c r="A184" t="s">
        <v>149</v>
      </c>
      <c r="B184" t="s">
        <v>87</v>
      </c>
      <c r="C184">
        <v>62</v>
      </c>
      <c r="D184" t="s">
        <v>147</v>
      </c>
      <c r="E184" s="242"/>
      <c r="F184">
        <v>5170.7998046875</v>
      </c>
      <c r="G184" t="b">
        <v>0</v>
      </c>
      <c r="H184" t="s">
        <v>15</v>
      </c>
    </row>
    <row r="185" spans="1:8">
      <c r="A185" t="s">
        <v>150</v>
      </c>
      <c r="B185" t="s">
        <v>87</v>
      </c>
      <c r="C185">
        <v>62</v>
      </c>
      <c r="D185" t="s">
        <v>147</v>
      </c>
      <c r="E185" s="242"/>
      <c r="F185">
        <v>4058.80004882812</v>
      </c>
      <c r="G185" t="b">
        <v>0</v>
      </c>
      <c r="H185" t="s">
        <v>15</v>
      </c>
    </row>
    <row r="186" spans="1:8">
      <c r="A186" t="s">
        <v>151</v>
      </c>
      <c r="B186" t="s">
        <v>87</v>
      </c>
      <c r="C186">
        <v>62</v>
      </c>
      <c r="D186" t="s">
        <v>147</v>
      </c>
      <c r="E186" s="242"/>
      <c r="F186">
        <v>1982.69995117187</v>
      </c>
      <c r="G186" t="b">
        <v>0</v>
      </c>
      <c r="H186" t="s">
        <v>15</v>
      </c>
    </row>
    <row r="187" spans="1:8">
      <c r="A187" t="s">
        <v>152</v>
      </c>
      <c r="B187" t="s">
        <v>87</v>
      </c>
      <c r="C187">
        <v>62</v>
      </c>
      <c r="D187" t="s">
        <v>147</v>
      </c>
      <c r="E187" s="242"/>
      <c r="F187">
        <v>1838.40002441406</v>
      </c>
      <c r="G187" t="b">
        <v>0</v>
      </c>
      <c r="H187" t="s">
        <v>15</v>
      </c>
    </row>
    <row r="188" spans="1:8">
      <c r="A188" t="s">
        <v>145</v>
      </c>
      <c r="B188" t="s">
        <v>87</v>
      </c>
      <c r="C188">
        <v>62</v>
      </c>
      <c r="D188" t="s">
        <v>147</v>
      </c>
      <c r="E188" s="242"/>
      <c r="F188">
        <v>1810.30004882812</v>
      </c>
      <c r="G188" t="b">
        <v>0</v>
      </c>
      <c r="H188" t="s">
        <v>15</v>
      </c>
    </row>
    <row r="189" spans="1:8">
      <c r="A189" t="s">
        <v>167</v>
      </c>
      <c r="B189" t="s">
        <v>87</v>
      </c>
      <c r="C189">
        <v>62</v>
      </c>
      <c r="D189" t="s">
        <v>147</v>
      </c>
      <c r="E189" s="242"/>
      <c r="F189">
        <v>1944.40002441406</v>
      </c>
      <c r="G189" t="b">
        <v>0</v>
      </c>
      <c r="H189" t="s">
        <v>15</v>
      </c>
    </row>
    <row r="190" spans="1:8">
      <c r="A190" t="s">
        <v>153</v>
      </c>
      <c r="B190" t="s">
        <v>87</v>
      </c>
      <c r="C190">
        <v>62</v>
      </c>
      <c r="D190" t="s">
        <v>147</v>
      </c>
      <c r="E190" s="242"/>
      <c r="F190">
        <v>1630.59997558593</v>
      </c>
      <c r="G190" t="b">
        <v>0</v>
      </c>
      <c r="H190" t="s">
        <v>15</v>
      </c>
    </row>
    <row r="191" spans="1:8">
      <c r="A191" t="s">
        <v>154</v>
      </c>
      <c r="B191" t="s">
        <v>87</v>
      </c>
      <c r="C191">
        <v>62</v>
      </c>
      <c r="D191" t="s">
        <v>147</v>
      </c>
      <c r="E191" s="242"/>
      <c r="F191">
        <v>2835.80004882812</v>
      </c>
      <c r="G191" t="b">
        <v>0</v>
      </c>
      <c r="H191" t="s">
        <v>15</v>
      </c>
    </row>
    <row r="192" spans="1:8">
      <c r="A192" t="s">
        <v>168</v>
      </c>
      <c r="B192" t="s">
        <v>87</v>
      </c>
      <c r="C192">
        <v>62</v>
      </c>
      <c r="D192" t="s">
        <v>147</v>
      </c>
      <c r="E192" s="242"/>
      <c r="F192">
        <v>5291.2998046875</v>
      </c>
      <c r="G192" t="b">
        <v>0</v>
      </c>
      <c r="H192" t="s">
        <v>15</v>
      </c>
    </row>
    <row r="193" spans="1:8">
      <c r="A193" t="s">
        <v>155</v>
      </c>
      <c r="B193" t="s">
        <v>87</v>
      </c>
      <c r="C193">
        <v>62</v>
      </c>
      <c r="D193" t="s">
        <v>147</v>
      </c>
      <c r="E193" s="242"/>
      <c r="F193">
        <v>4420</v>
      </c>
      <c r="G193" t="b">
        <v>0</v>
      </c>
      <c r="H193" t="s">
        <v>15</v>
      </c>
    </row>
    <row r="194" spans="1:8">
      <c r="A194" t="s">
        <v>156</v>
      </c>
      <c r="B194" t="s">
        <v>87</v>
      </c>
      <c r="C194">
        <v>62</v>
      </c>
      <c r="D194" t="s">
        <v>147</v>
      </c>
      <c r="E194" s="242"/>
      <c r="F194">
        <v>4833.10009765625</v>
      </c>
      <c r="G194" t="b">
        <v>0</v>
      </c>
      <c r="H194" t="s">
        <v>15</v>
      </c>
    </row>
    <row r="195" spans="1:8">
      <c r="A195" t="s">
        <v>157</v>
      </c>
      <c r="B195" t="s">
        <v>87</v>
      </c>
      <c r="C195">
        <v>62</v>
      </c>
      <c r="D195" t="s">
        <v>147</v>
      </c>
      <c r="E195" s="242"/>
      <c r="F195">
        <v>5279.60009765625</v>
      </c>
      <c r="G195" t="b">
        <v>0</v>
      </c>
      <c r="H195" t="s">
        <v>15</v>
      </c>
    </row>
    <row r="196" spans="1:8">
      <c r="A196" t="s">
        <v>169</v>
      </c>
      <c r="B196" t="s">
        <v>87</v>
      </c>
      <c r="C196">
        <v>62</v>
      </c>
      <c r="D196" t="s">
        <v>147</v>
      </c>
      <c r="E196" s="242"/>
      <c r="F196">
        <v>1586.40002441406</v>
      </c>
      <c r="G196" t="b">
        <v>0</v>
      </c>
      <c r="H196" t="s">
        <v>15</v>
      </c>
    </row>
    <row r="197" spans="1:8">
      <c r="A197" t="s">
        <v>170</v>
      </c>
      <c r="B197" t="s">
        <v>87</v>
      </c>
      <c r="C197">
        <v>62</v>
      </c>
      <c r="D197" t="s">
        <v>147</v>
      </c>
      <c r="E197" s="242"/>
      <c r="F197">
        <v>1530.5</v>
      </c>
      <c r="G197" t="b">
        <v>0</v>
      </c>
      <c r="H197" t="s">
        <v>15</v>
      </c>
    </row>
    <row r="198" spans="1:8">
      <c r="A198" t="s">
        <v>158</v>
      </c>
      <c r="B198" t="s">
        <v>87</v>
      </c>
      <c r="C198">
        <v>62</v>
      </c>
      <c r="D198" t="s">
        <v>147</v>
      </c>
      <c r="E198" s="242"/>
      <c r="F198">
        <v>5447.2001953125</v>
      </c>
      <c r="G198" t="b">
        <v>0</v>
      </c>
      <c r="H198" t="s">
        <v>15</v>
      </c>
    </row>
    <row r="199" spans="1:8">
      <c r="A199" t="s">
        <v>159</v>
      </c>
      <c r="B199" t="s">
        <v>87</v>
      </c>
      <c r="C199">
        <v>62</v>
      </c>
      <c r="D199" t="s">
        <v>147</v>
      </c>
      <c r="E199" s="242"/>
      <c r="F199">
        <v>3247.19995117187</v>
      </c>
      <c r="G199" t="b">
        <v>0</v>
      </c>
      <c r="H199" t="s">
        <v>15</v>
      </c>
    </row>
    <row r="200" spans="1:8">
      <c r="A200" t="s">
        <v>160</v>
      </c>
      <c r="B200" t="s">
        <v>87</v>
      </c>
      <c r="C200">
        <v>62</v>
      </c>
      <c r="D200" t="s">
        <v>147</v>
      </c>
      <c r="E200" s="242"/>
      <c r="F200">
        <v>3029.10009765625</v>
      </c>
      <c r="G200" t="b">
        <v>0</v>
      </c>
      <c r="H200" t="s">
        <v>15</v>
      </c>
    </row>
    <row r="201" spans="1:8">
      <c r="A201" t="s">
        <v>164</v>
      </c>
      <c r="B201" t="s">
        <v>87</v>
      </c>
      <c r="C201">
        <v>79</v>
      </c>
      <c r="D201" t="s">
        <v>146</v>
      </c>
      <c r="E201" s="242">
        <v>42065.563888888886</v>
      </c>
      <c r="F201">
        <v>0</v>
      </c>
      <c r="G201" t="b">
        <v>0</v>
      </c>
      <c r="H201" t="s">
        <v>15</v>
      </c>
    </row>
    <row r="202" spans="1:8">
      <c r="A202" t="s">
        <v>161</v>
      </c>
      <c r="B202" t="s">
        <v>87</v>
      </c>
      <c r="C202">
        <v>79</v>
      </c>
      <c r="D202" t="s">
        <v>146</v>
      </c>
      <c r="E202" s="242">
        <v>42024.981944444444</v>
      </c>
      <c r="F202">
        <v>0</v>
      </c>
      <c r="G202" t="b">
        <v>0</v>
      </c>
      <c r="H202" t="s">
        <v>15</v>
      </c>
    </row>
    <row r="203" spans="1:8">
      <c r="A203" t="s">
        <v>165</v>
      </c>
      <c r="B203" t="s">
        <v>87</v>
      </c>
      <c r="C203">
        <v>79</v>
      </c>
      <c r="D203" t="s">
        <v>146</v>
      </c>
      <c r="E203" s="242">
        <v>42060.487500000003</v>
      </c>
      <c r="F203">
        <v>0</v>
      </c>
      <c r="G203" t="b">
        <v>0</v>
      </c>
      <c r="H203" t="s">
        <v>15</v>
      </c>
    </row>
    <row r="204" spans="1:8">
      <c r="A204" t="s">
        <v>162</v>
      </c>
      <c r="B204" t="s">
        <v>87</v>
      </c>
      <c r="C204">
        <v>79</v>
      </c>
      <c r="D204" t="s">
        <v>146</v>
      </c>
      <c r="E204" s="242">
        <v>42066.42291666667</v>
      </c>
      <c r="F204">
        <v>0</v>
      </c>
      <c r="G204" t="b">
        <v>0</v>
      </c>
      <c r="H204" t="s">
        <v>15</v>
      </c>
    </row>
    <row r="205" spans="1:8">
      <c r="A205" t="s">
        <v>163</v>
      </c>
      <c r="B205" t="s">
        <v>87</v>
      </c>
      <c r="C205">
        <v>79</v>
      </c>
      <c r="D205" t="s">
        <v>146</v>
      </c>
      <c r="E205" s="242">
        <v>42060.522916666669</v>
      </c>
      <c r="F205">
        <v>0</v>
      </c>
      <c r="G205" t="b">
        <v>0</v>
      </c>
      <c r="H205" t="s">
        <v>15</v>
      </c>
    </row>
    <row r="206" spans="1:8">
      <c r="A206" t="s">
        <v>166</v>
      </c>
      <c r="B206" t="s">
        <v>87</v>
      </c>
      <c r="C206">
        <v>79</v>
      </c>
      <c r="D206" t="s">
        <v>146</v>
      </c>
      <c r="E206" s="242">
        <v>42060</v>
      </c>
      <c r="F206">
        <v>0</v>
      </c>
      <c r="G206" t="b">
        <v>0</v>
      </c>
      <c r="H206" t="s">
        <v>15</v>
      </c>
    </row>
    <row r="207" spans="1:8">
      <c r="A207" t="s">
        <v>149</v>
      </c>
      <c r="B207" t="s">
        <v>87</v>
      </c>
      <c r="C207">
        <v>79</v>
      </c>
      <c r="D207" t="s">
        <v>146</v>
      </c>
      <c r="E207" s="242">
        <v>42067.708333333336</v>
      </c>
      <c r="F207">
        <v>0</v>
      </c>
      <c r="G207" t="b">
        <v>0</v>
      </c>
      <c r="H207" t="s">
        <v>15</v>
      </c>
    </row>
    <row r="208" spans="1:8">
      <c r="A208" t="s">
        <v>150</v>
      </c>
      <c r="B208" t="s">
        <v>87</v>
      </c>
      <c r="C208">
        <v>79</v>
      </c>
      <c r="D208" t="s">
        <v>146</v>
      </c>
      <c r="E208" s="242">
        <v>42067.474305555559</v>
      </c>
      <c r="F208">
        <v>0</v>
      </c>
      <c r="G208" t="b">
        <v>0</v>
      </c>
      <c r="H208" t="s">
        <v>15</v>
      </c>
    </row>
    <row r="209" spans="1:8">
      <c r="A209" t="s">
        <v>151</v>
      </c>
      <c r="B209" t="s">
        <v>87</v>
      </c>
      <c r="C209">
        <v>79</v>
      </c>
      <c r="D209" t="s">
        <v>146</v>
      </c>
      <c r="E209" s="242">
        <v>42053.549305555556</v>
      </c>
      <c r="F209">
        <v>0</v>
      </c>
      <c r="G209" t="b">
        <v>0</v>
      </c>
      <c r="H209" t="s">
        <v>15</v>
      </c>
    </row>
    <row r="210" spans="1:8">
      <c r="A210" t="s">
        <v>152</v>
      </c>
      <c r="B210" t="s">
        <v>87</v>
      </c>
      <c r="C210">
        <v>79</v>
      </c>
      <c r="D210" t="s">
        <v>146</v>
      </c>
      <c r="E210" s="242">
        <v>42078.349305555559</v>
      </c>
      <c r="F210">
        <v>0</v>
      </c>
      <c r="G210" t="b">
        <v>0</v>
      </c>
      <c r="H210" t="s">
        <v>15</v>
      </c>
    </row>
    <row r="211" spans="1:8">
      <c r="A211" t="s">
        <v>145</v>
      </c>
      <c r="B211" t="s">
        <v>87</v>
      </c>
      <c r="C211">
        <v>79</v>
      </c>
      <c r="D211" t="s">
        <v>146</v>
      </c>
      <c r="E211" s="242">
        <v>42059.561805555553</v>
      </c>
      <c r="F211">
        <v>0</v>
      </c>
      <c r="G211" t="b">
        <v>0</v>
      </c>
      <c r="H211" t="s">
        <v>15</v>
      </c>
    </row>
    <row r="212" spans="1:8">
      <c r="A212" t="s">
        <v>167</v>
      </c>
      <c r="B212" t="s">
        <v>87</v>
      </c>
      <c r="C212">
        <v>79</v>
      </c>
      <c r="D212" t="s">
        <v>146</v>
      </c>
      <c r="E212" s="242">
        <v>42061.575694444444</v>
      </c>
      <c r="F212">
        <v>0</v>
      </c>
      <c r="G212" t="b">
        <v>0</v>
      </c>
      <c r="H212" t="s">
        <v>15</v>
      </c>
    </row>
    <row r="213" spans="1:8">
      <c r="A213" t="s">
        <v>153</v>
      </c>
      <c r="B213" t="s">
        <v>87</v>
      </c>
      <c r="C213">
        <v>79</v>
      </c>
      <c r="D213" t="s">
        <v>146</v>
      </c>
      <c r="E213" s="242">
        <v>42053.540972222225</v>
      </c>
      <c r="F213">
        <v>0</v>
      </c>
      <c r="G213" t="b">
        <v>0</v>
      </c>
      <c r="H213" t="s">
        <v>15</v>
      </c>
    </row>
    <row r="214" spans="1:8">
      <c r="A214" t="s">
        <v>154</v>
      </c>
      <c r="B214" t="s">
        <v>87</v>
      </c>
      <c r="C214">
        <v>79</v>
      </c>
      <c r="D214" t="s">
        <v>146</v>
      </c>
      <c r="E214" s="242">
        <v>42060.47152777778</v>
      </c>
      <c r="F214">
        <v>0</v>
      </c>
      <c r="G214" t="b">
        <v>0</v>
      </c>
      <c r="H214" t="s">
        <v>15</v>
      </c>
    </row>
    <row r="215" spans="1:8">
      <c r="A215" t="s">
        <v>168</v>
      </c>
      <c r="B215" t="s">
        <v>87</v>
      </c>
      <c r="C215">
        <v>79</v>
      </c>
      <c r="D215" t="s">
        <v>146</v>
      </c>
      <c r="E215" s="242">
        <v>42066.668055555558</v>
      </c>
      <c r="F215">
        <v>0</v>
      </c>
      <c r="G215" t="b">
        <v>0</v>
      </c>
      <c r="H215" t="s">
        <v>15</v>
      </c>
    </row>
    <row r="216" spans="1:8">
      <c r="A216" t="s">
        <v>155</v>
      </c>
      <c r="B216" t="s">
        <v>87</v>
      </c>
      <c r="C216">
        <v>79</v>
      </c>
      <c r="D216" t="s">
        <v>146</v>
      </c>
      <c r="E216" s="242">
        <v>42066.448611111111</v>
      </c>
      <c r="F216">
        <v>0</v>
      </c>
      <c r="G216" t="b">
        <v>0</v>
      </c>
      <c r="H216" t="s">
        <v>15</v>
      </c>
    </row>
    <row r="217" spans="1:8">
      <c r="A217" t="s">
        <v>156</v>
      </c>
      <c r="B217" t="s">
        <v>87</v>
      </c>
      <c r="C217">
        <v>79</v>
      </c>
      <c r="D217" t="s">
        <v>146</v>
      </c>
      <c r="E217" s="242">
        <v>42068.43472222222</v>
      </c>
      <c r="F217">
        <v>0</v>
      </c>
      <c r="G217" t="b">
        <v>0</v>
      </c>
      <c r="H217" t="s">
        <v>15</v>
      </c>
    </row>
    <row r="218" spans="1:8">
      <c r="A218" t="s">
        <v>157</v>
      </c>
      <c r="B218" t="s">
        <v>87</v>
      </c>
      <c r="C218">
        <v>79</v>
      </c>
      <c r="D218" t="s">
        <v>146</v>
      </c>
      <c r="E218" s="242">
        <v>42068.673611111109</v>
      </c>
      <c r="F218">
        <v>0</v>
      </c>
      <c r="G218" t="b">
        <v>0</v>
      </c>
      <c r="H218" t="s">
        <v>15</v>
      </c>
    </row>
    <row r="219" spans="1:8">
      <c r="A219" t="s">
        <v>169</v>
      </c>
      <c r="B219" t="s">
        <v>87</v>
      </c>
      <c r="C219">
        <v>79</v>
      </c>
      <c r="D219" t="s">
        <v>146</v>
      </c>
      <c r="E219" s="242">
        <v>42065.672222222223</v>
      </c>
      <c r="F219">
        <v>0</v>
      </c>
      <c r="G219" t="b">
        <v>0</v>
      </c>
      <c r="H219" t="s">
        <v>15</v>
      </c>
    </row>
    <row r="220" spans="1:8">
      <c r="A220" t="s">
        <v>170</v>
      </c>
      <c r="B220" t="s">
        <v>87</v>
      </c>
      <c r="C220">
        <v>79</v>
      </c>
      <c r="D220" t="s">
        <v>146</v>
      </c>
      <c r="E220" s="242">
        <v>42061.597916666666</v>
      </c>
      <c r="F220">
        <v>0</v>
      </c>
      <c r="G220" t="b">
        <v>0</v>
      </c>
      <c r="H220" t="s">
        <v>15</v>
      </c>
    </row>
    <row r="221" spans="1:8">
      <c r="A221" t="s">
        <v>158</v>
      </c>
      <c r="B221" t="s">
        <v>87</v>
      </c>
      <c r="C221">
        <v>79</v>
      </c>
      <c r="D221" t="s">
        <v>146</v>
      </c>
      <c r="E221" s="242">
        <v>42053.423611111109</v>
      </c>
      <c r="F221">
        <v>0</v>
      </c>
      <c r="G221" t="b">
        <v>0</v>
      </c>
      <c r="H221" t="s">
        <v>15</v>
      </c>
    </row>
    <row r="222" spans="1:8">
      <c r="A222" t="s">
        <v>159</v>
      </c>
      <c r="B222" t="s">
        <v>87</v>
      </c>
      <c r="C222">
        <v>79</v>
      </c>
      <c r="D222" t="s">
        <v>146</v>
      </c>
      <c r="E222" s="242">
        <v>42059</v>
      </c>
      <c r="F222">
        <v>0</v>
      </c>
      <c r="G222" t="b">
        <v>0</v>
      </c>
      <c r="H222" t="s">
        <v>15</v>
      </c>
    </row>
    <row r="223" spans="1:8">
      <c r="A223" t="s">
        <v>160</v>
      </c>
      <c r="B223" t="s">
        <v>87</v>
      </c>
      <c r="C223">
        <v>79</v>
      </c>
      <c r="D223" t="s">
        <v>146</v>
      </c>
      <c r="E223" s="242">
        <v>42060.321527777778</v>
      </c>
      <c r="F223">
        <v>0</v>
      </c>
      <c r="G223" t="b">
        <v>0</v>
      </c>
      <c r="H223" t="s">
        <v>15</v>
      </c>
    </row>
    <row r="224" spans="1:8">
      <c r="A224" t="s">
        <v>164</v>
      </c>
      <c r="B224" t="s">
        <v>87</v>
      </c>
      <c r="C224">
        <v>79</v>
      </c>
      <c r="D224" t="s">
        <v>147</v>
      </c>
      <c r="E224" s="242"/>
      <c r="F224">
        <v>5416</v>
      </c>
      <c r="G224" t="b">
        <v>0</v>
      </c>
      <c r="H224" t="s">
        <v>15</v>
      </c>
    </row>
    <row r="225" spans="1:8">
      <c r="A225" t="s">
        <v>161</v>
      </c>
      <c r="B225" t="s">
        <v>87</v>
      </c>
      <c r="C225">
        <v>79</v>
      </c>
      <c r="D225" t="s">
        <v>147</v>
      </c>
      <c r="E225" s="242"/>
      <c r="F225">
        <v>7219</v>
      </c>
      <c r="G225" t="b">
        <v>0</v>
      </c>
      <c r="H225" t="s">
        <v>15</v>
      </c>
    </row>
    <row r="226" spans="1:8">
      <c r="A226" t="s">
        <v>165</v>
      </c>
      <c r="B226" t="s">
        <v>87</v>
      </c>
      <c r="C226">
        <v>79</v>
      </c>
      <c r="D226" t="s">
        <v>147</v>
      </c>
      <c r="E226" s="242"/>
      <c r="F226">
        <v>7779.10009765625</v>
      </c>
      <c r="G226" t="b">
        <v>0</v>
      </c>
      <c r="H226" t="s">
        <v>15</v>
      </c>
    </row>
    <row r="227" spans="1:8">
      <c r="A227" t="s">
        <v>162</v>
      </c>
      <c r="B227" t="s">
        <v>87</v>
      </c>
      <c r="C227">
        <v>79</v>
      </c>
      <c r="D227" t="s">
        <v>147</v>
      </c>
      <c r="E227" s="242"/>
      <c r="F227">
        <v>7452.60009765625</v>
      </c>
      <c r="G227" t="b">
        <v>0</v>
      </c>
      <c r="H227" t="s">
        <v>15</v>
      </c>
    </row>
    <row r="228" spans="1:8">
      <c r="A228" t="s">
        <v>163</v>
      </c>
      <c r="B228" t="s">
        <v>87</v>
      </c>
      <c r="C228">
        <v>79</v>
      </c>
      <c r="D228" t="s">
        <v>147</v>
      </c>
      <c r="E228" s="242"/>
      <c r="F228">
        <v>4812.2001953125</v>
      </c>
      <c r="G228" t="b">
        <v>0</v>
      </c>
      <c r="H228" t="s">
        <v>15</v>
      </c>
    </row>
    <row r="229" spans="1:8">
      <c r="A229" t="s">
        <v>166</v>
      </c>
      <c r="B229" t="s">
        <v>87</v>
      </c>
      <c r="C229">
        <v>79</v>
      </c>
      <c r="D229" t="s">
        <v>147</v>
      </c>
      <c r="E229" s="242"/>
      <c r="F229">
        <v>3479</v>
      </c>
      <c r="G229" t="b">
        <v>0</v>
      </c>
      <c r="H229" t="s">
        <v>15</v>
      </c>
    </row>
    <row r="230" spans="1:8">
      <c r="A230" t="s">
        <v>149</v>
      </c>
      <c r="B230" t="s">
        <v>87</v>
      </c>
      <c r="C230">
        <v>79</v>
      </c>
      <c r="D230" t="s">
        <v>147</v>
      </c>
      <c r="E230" s="242"/>
      <c r="F230">
        <v>5096.89990234375</v>
      </c>
      <c r="G230" t="b">
        <v>0</v>
      </c>
      <c r="H230" t="s">
        <v>15</v>
      </c>
    </row>
    <row r="231" spans="1:8">
      <c r="A231" t="s">
        <v>150</v>
      </c>
      <c r="B231" t="s">
        <v>87</v>
      </c>
      <c r="C231">
        <v>79</v>
      </c>
      <c r="D231" t="s">
        <v>147</v>
      </c>
      <c r="E231" s="242"/>
      <c r="F231">
        <v>4058.80004882812</v>
      </c>
      <c r="G231" t="b">
        <v>0</v>
      </c>
      <c r="H231" t="s">
        <v>15</v>
      </c>
    </row>
    <row r="232" spans="1:8">
      <c r="A232" t="s">
        <v>151</v>
      </c>
      <c r="B232" t="s">
        <v>87</v>
      </c>
      <c r="C232">
        <v>79</v>
      </c>
      <c r="D232" t="s">
        <v>147</v>
      </c>
      <c r="E232" s="242"/>
      <c r="F232">
        <v>1989.30004882812</v>
      </c>
      <c r="G232" t="b">
        <v>0</v>
      </c>
      <c r="H232" t="s">
        <v>15</v>
      </c>
    </row>
    <row r="233" spans="1:8">
      <c r="A233" t="s">
        <v>152</v>
      </c>
      <c r="B233" t="s">
        <v>87</v>
      </c>
      <c r="C233">
        <v>79</v>
      </c>
      <c r="D233" t="s">
        <v>147</v>
      </c>
      <c r="E233" s="242"/>
      <c r="F233">
        <v>1785.59997558593</v>
      </c>
      <c r="G233" t="b">
        <v>0</v>
      </c>
      <c r="H233" t="s">
        <v>15</v>
      </c>
    </row>
    <row r="234" spans="1:8">
      <c r="A234" t="s">
        <v>145</v>
      </c>
      <c r="B234" t="s">
        <v>87</v>
      </c>
      <c r="C234">
        <v>79</v>
      </c>
      <c r="D234" t="s">
        <v>147</v>
      </c>
      <c r="E234" s="242"/>
      <c r="F234">
        <v>1806.30004882812</v>
      </c>
      <c r="G234" t="b">
        <v>0</v>
      </c>
      <c r="H234" t="s">
        <v>15</v>
      </c>
    </row>
    <row r="235" spans="1:8">
      <c r="A235" t="s">
        <v>167</v>
      </c>
      <c r="B235" t="s">
        <v>87</v>
      </c>
      <c r="C235">
        <v>79</v>
      </c>
      <c r="D235" t="s">
        <v>147</v>
      </c>
      <c r="E235" s="242"/>
      <c r="F235">
        <v>1943.90002441406</v>
      </c>
      <c r="G235" t="b">
        <v>0</v>
      </c>
      <c r="H235" t="s">
        <v>15</v>
      </c>
    </row>
    <row r="236" spans="1:8">
      <c r="A236" t="s">
        <v>153</v>
      </c>
      <c r="B236" t="s">
        <v>87</v>
      </c>
      <c r="C236">
        <v>79</v>
      </c>
      <c r="D236" t="s">
        <v>147</v>
      </c>
      <c r="E236" s="242"/>
      <c r="F236">
        <v>1645.59997558593</v>
      </c>
      <c r="G236" t="b">
        <v>0</v>
      </c>
      <c r="H236" t="s">
        <v>15</v>
      </c>
    </row>
    <row r="237" spans="1:8">
      <c r="A237" t="s">
        <v>154</v>
      </c>
      <c r="B237" t="s">
        <v>87</v>
      </c>
      <c r="C237">
        <v>79</v>
      </c>
      <c r="D237" t="s">
        <v>147</v>
      </c>
      <c r="E237" s="242"/>
      <c r="F237">
        <v>2809.30004882812</v>
      </c>
      <c r="G237" t="b">
        <v>0</v>
      </c>
      <c r="H237" t="s">
        <v>15</v>
      </c>
    </row>
    <row r="238" spans="1:8">
      <c r="A238" t="s">
        <v>168</v>
      </c>
      <c r="B238" t="s">
        <v>87</v>
      </c>
      <c r="C238">
        <v>79</v>
      </c>
      <c r="D238" t="s">
        <v>147</v>
      </c>
      <c r="E238" s="242"/>
      <c r="F238">
        <v>5283.2001953125</v>
      </c>
      <c r="G238" t="b">
        <v>0</v>
      </c>
      <c r="H238" t="s">
        <v>15</v>
      </c>
    </row>
    <row r="239" spans="1:8">
      <c r="A239" t="s">
        <v>155</v>
      </c>
      <c r="B239" t="s">
        <v>87</v>
      </c>
      <c r="C239">
        <v>79</v>
      </c>
      <c r="D239" t="s">
        <v>147</v>
      </c>
      <c r="E239" s="242"/>
      <c r="F239">
        <v>4382.10009765625</v>
      </c>
      <c r="G239" t="b">
        <v>0</v>
      </c>
      <c r="H239" t="s">
        <v>15</v>
      </c>
    </row>
    <row r="240" spans="1:8">
      <c r="A240" t="s">
        <v>156</v>
      </c>
      <c r="B240" t="s">
        <v>87</v>
      </c>
      <c r="C240">
        <v>79</v>
      </c>
      <c r="D240" t="s">
        <v>147</v>
      </c>
      <c r="E240" s="242"/>
      <c r="F240">
        <v>4777.2998046875</v>
      </c>
      <c r="G240" t="b">
        <v>0</v>
      </c>
      <c r="H240" t="s">
        <v>15</v>
      </c>
    </row>
    <row r="241" spans="1:8">
      <c r="A241" t="s">
        <v>157</v>
      </c>
      <c r="B241" t="s">
        <v>87</v>
      </c>
      <c r="C241">
        <v>79</v>
      </c>
      <c r="D241" t="s">
        <v>147</v>
      </c>
      <c r="E241" s="242"/>
      <c r="F241">
        <v>5261.2998046875</v>
      </c>
      <c r="G241" t="b">
        <v>0</v>
      </c>
      <c r="H241" t="s">
        <v>15</v>
      </c>
    </row>
    <row r="242" spans="1:8">
      <c r="A242" t="s">
        <v>169</v>
      </c>
      <c r="B242" t="s">
        <v>87</v>
      </c>
      <c r="C242">
        <v>79</v>
      </c>
      <c r="D242" t="s">
        <v>147</v>
      </c>
      <c r="E242" s="242"/>
      <c r="F242">
        <v>1521.40002441406</v>
      </c>
      <c r="G242" t="b">
        <v>0</v>
      </c>
      <c r="H242" t="s">
        <v>15</v>
      </c>
    </row>
    <row r="243" spans="1:8">
      <c r="A243" t="s">
        <v>170</v>
      </c>
      <c r="B243" t="s">
        <v>87</v>
      </c>
      <c r="C243">
        <v>79</v>
      </c>
      <c r="D243" t="s">
        <v>147</v>
      </c>
      <c r="E243" s="242"/>
      <c r="F243">
        <v>1530.5</v>
      </c>
      <c r="G243" t="b">
        <v>0</v>
      </c>
      <c r="H243" t="s">
        <v>15</v>
      </c>
    </row>
    <row r="244" spans="1:8">
      <c r="A244" t="s">
        <v>158</v>
      </c>
      <c r="B244" t="s">
        <v>87</v>
      </c>
      <c r="C244">
        <v>79</v>
      </c>
      <c r="D244" t="s">
        <v>147</v>
      </c>
      <c r="E244" s="242"/>
      <c r="F244">
        <v>5447.2001953125</v>
      </c>
      <c r="G244" t="b">
        <v>0</v>
      </c>
      <c r="H244" t="s">
        <v>15</v>
      </c>
    </row>
    <row r="245" spans="1:8">
      <c r="A245" t="s">
        <v>159</v>
      </c>
      <c r="B245" t="s">
        <v>87</v>
      </c>
      <c r="C245">
        <v>79</v>
      </c>
      <c r="D245" t="s">
        <v>147</v>
      </c>
      <c r="E245" s="242"/>
      <c r="F245">
        <v>3242.19995117187</v>
      </c>
      <c r="G245" t="b">
        <v>0</v>
      </c>
      <c r="H245" t="s">
        <v>15</v>
      </c>
    </row>
    <row r="246" spans="1:8">
      <c r="A246" t="s">
        <v>160</v>
      </c>
      <c r="B246" t="s">
        <v>87</v>
      </c>
      <c r="C246">
        <v>79</v>
      </c>
      <c r="D246" t="s">
        <v>147</v>
      </c>
      <c r="E246" s="242"/>
      <c r="F246">
        <v>3029.10009765625</v>
      </c>
      <c r="G246" t="b">
        <v>0</v>
      </c>
      <c r="H246" t="s">
        <v>15</v>
      </c>
    </row>
    <row r="247" spans="1:8">
      <c r="A247" t="s">
        <v>164</v>
      </c>
      <c r="B247" t="s">
        <v>87</v>
      </c>
      <c r="C247">
        <v>85</v>
      </c>
      <c r="D247" t="s">
        <v>146</v>
      </c>
      <c r="E247" s="242">
        <v>42065.598611111112</v>
      </c>
      <c r="F247">
        <v>0</v>
      </c>
      <c r="G247" t="b">
        <v>0</v>
      </c>
      <c r="H247" t="s">
        <v>15</v>
      </c>
    </row>
    <row r="248" spans="1:8">
      <c r="A248" t="s">
        <v>161</v>
      </c>
      <c r="B248" t="s">
        <v>87</v>
      </c>
      <c r="C248">
        <v>85</v>
      </c>
      <c r="D248" t="s">
        <v>146</v>
      </c>
      <c r="E248" s="242">
        <v>42024.982638888891</v>
      </c>
      <c r="F248">
        <v>0</v>
      </c>
      <c r="G248" t="b">
        <v>0</v>
      </c>
      <c r="H248" t="s">
        <v>15</v>
      </c>
    </row>
    <row r="249" spans="1:8">
      <c r="A249" t="s">
        <v>165</v>
      </c>
      <c r="B249" t="s">
        <v>87</v>
      </c>
      <c r="C249">
        <v>85</v>
      </c>
      <c r="D249" t="s">
        <v>146</v>
      </c>
      <c r="E249" s="242">
        <v>42060</v>
      </c>
      <c r="F249">
        <v>0</v>
      </c>
      <c r="G249" t="b">
        <v>0</v>
      </c>
      <c r="H249" t="s">
        <v>15</v>
      </c>
    </row>
    <row r="250" spans="1:8">
      <c r="A250" t="s">
        <v>148</v>
      </c>
      <c r="B250" t="s">
        <v>87</v>
      </c>
      <c r="C250">
        <v>85</v>
      </c>
      <c r="D250" t="s">
        <v>146</v>
      </c>
      <c r="E250" s="242">
        <v>42025.87777777778</v>
      </c>
      <c r="F250">
        <v>0</v>
      </c>
      <c r="G250" t="b">
        <v>0</v>
      </c>
      <c r="H250" t="s">
        <v>15</v>
      </c>
    </row>
    <row r="251" spans="1:8">
      <c r="A251" t="s">
        <v>162</v>
      </c>
      <c r="B251" t="s">
        <v>87</v>
      </c>
      <c r="C251">
        <v>85</v>
      </c>
      <c r="D251" t="s">
        <v>146</v>
      </c>
      <c r="E251" s="242">
        <v>42066.392361111109</v>
      </c>
      <c r="F251">
        <v>0</v>
      </c>
      <c r="G251" t="b">
        <v>0</v>
      </c>
      <c r="H251" t="s">
        <v>15</v>
      </c>
    </row>
    <row r="252" spans="1:8">
      <c r="A252" t="s">
        <v>163</v>
      </c>
      <c r="B252" t="s">
        <v>87</v>
      </c>
      <c r="C252">
        <v>85</v>
      </c>
      <c r="D252" t="s">
        <v>146</v>
      </c>
      <c r="E252" s="242">
        <v>42060.529166666667</v>
      </c>
      <c r="F252">
        <v>0</v>
      </c>
      <c r="G252" t="b">
        <v>0</v>
      </c>
      <c r="H252" t="s">
        <v>15</v>
      </c>
    </row>
    <row r="253" spans="1:8">
      <c r="A253" t="s">
        <v>166</v>
      </c>
      <c r="B253" t="s">
        <v>87</v>
      </c>
      <c r="C253">
        <v>85</v>
      </c>
      <c r="D253" t="s">
        <v>146</v>
      </c>
      <c r="E253" s="242">
        <v>42060</v>
      </c>
      <c r="F253">
        <v>0</v>
      </c>
      <c r="G253" t="b">
        <v>0</v>
      </c>
      <c r="H253" t="s">
        <v>15</v>
      </c>
    </row>
    <row r="254" spans="1:8">
      <c r="A254" t="s">
        <v>149</v>
      </c>
      <c r="B254" t="s">
        <v>87</v>
      </c>
      <c r="C254">
        <v>85</v>
      </c>
      <c r="D254" t="s">
        <v>146</v>
      </c>
      <c r="E254" s="242">
        <v>42068.449305555558</v>
      </c>
      <c r="F254">
        <v>0</v>
      </c>
      <c r="G254" t="b">
        <v>0</v>
      </c>
      <c r="H254" t="s">
        <v>15</v>
      </c>
    </row>
    <row r="255" spans="1:8">
      <c r="A255" t="s">
        <v>150</v>
      </c>
      <c r="B255" t="s">
        <v>87</v>
      </c>
      <c r="C255">
        <v>85</v>
      </c>
      <c r="D255" t="s">
        <v>146</v>
      </c>
      <c r="E255" s="242">
        <v>42067.475694444445</v>
      </c>
      <c r="F255">
        <v>0</v>
      </c>
      <c r="G255" t="b">
        <v>0</v>
      </c>
      <c r="H255" t="s">
        <v>15</v>
      </c>
    </row>
    <row r="256" spans="1:8">
      <c r="A256" t="s">
        <v>151</v>
      </c>
      <c r="B256" t="s">
        <v>87</v>
      </c>
      <c r="C256">
        <v>85</v>
      </c>
      <c r="D256" t="s">
        <v>146</v>
      </c>
      <c r="E256" s="242">
        <v>42053.55</v>
      </c>
      <c r="F256">
        <v>0</v>
      </c>
      <c r="G256" t="b">
        <v>0</v>
      </c>
      <c r="H256" t="s">
        <v>15</v>
      </c>
    </row>
    <row r="257" spans="1:8">
      <c r="A257" t="s">
        <v>152</v>
      </c>
      <c r="B257" t="s">
        <v>87</v>
      </c>
      <c r="C257">
        <v>85</v>
      </c>
      <c r="D257" t="s">
        <v>146</v>
      </c>
      <c r="E257" s="242">
        <v>42080.085416666669</v>
      </c>
      <c r="F257">
        <v>0</v>
      </c>
      <c r="G257" t="b">
        <v>0</v>
      </c>
      <c r="H257" t="s">
        <v>15</v>
      </c>
    </row>
    <row r="258" spans="1:8">
      <c r="A258" t="s">
        <v>145</v>
      </c>
      <c r="B258" t="s">
        <v>87</v>
      </c>
      <c r="C258">
        <v>85</v>
      </c>
      <c r="D258" t="s">
        <v>146</v>
      </c>
      <c r="E258" s="242">
        <v>42059.523611111108</v>
      </c>
      <c r="F258">
        <v>0</v>
      </c>
      <c r="G258" t="b">
        <v>0</v>
      </c>
      <c r="H258" t="s">
        <v>15</v>
      </c>
    </row>
    <row r="259" spans="1:8">
      <c r="A259" t="s">
        <v>167</v>
      </c>
      <c r="B259" t="s">
        <v>87</v>
      </c>
      <c r="C259">
        <v>85</v>
      </c>
      <c r="D259" t="s">
        <v>146</v>
      </c>
      <c r="E259" s="242">
        <v>42061.576388888891</v>
      </c>
      <c r="F259">
        <v>0</v>
      </c>
      <c r="G259" t="b">
        <v>0</v>
      </c>
      <c r="H259" t="s">
        <v>15</v>
      </c>
    </row>
    <row r="260" spans="1:8">
      <c r="A260" t="s">
        <v>153</v>
      </c>
      <c r="B260" t="s">
        <v>87</v>
      </c>
      <c r="C260">
        <v>85</v>
      </c>
      <c r="D260" t="s">
        <v>146</v>
      </c>
      <c r="E260" s="242">
        <v>42053.541666666664</v>
      </c>
      <c r="F260">
        <v>0</v>
      </c>
      <c r="G260" t="b">
        <v>0</v>
      </c>
      <c r="H260" t="s">
        <v>15</v>
      </c>
    </row>
    <row r="261" spans="1:8">
      <c r="A261" t="s">
        <v>154</v>
      </c>
      <c r="B261" t="s">
        <v>87</v>
      </c>
      <c r="C261">
        <v>85</v>
      </c>
      <c r="D261" t="s">
        <v>146</v>
      </c>
      <c r="E261" s="242">
        <v>42060.472222222219</v>
      </c>
      <c r="F261">
        <v>0</v>
      </c>
      <c r="G261" t="b">
        <v>0</v>
      </c>
      <c r="H261" t="s">
        <v>15</v>
      </c>
    </row>
    <row r="262" spans="1:8">
      <c r="A262" t="s">
        <v>168</v>
      </c>
      <c r="B262" t="s">
        <v>87</v>
      </c>
      <c r="C262">
        <v>85</v>
      </c>
      <c r="D262" t="s">
        <v>146</v>
      </c>
      <c r="E262" s="242">
        <v>42066.668749999997</v>
      </c>
      <c r="F262">
        <v>0</v>
      </c>
      <c r="G262" t="b">
        <v>0</v>
      </c>
      <c r="H262" t="s">
        <v>15</v>
      </c>
    </row>
    <row r="263" spans="1:8">
      <c r="A263" t="s">
        <v>155</v>
      </c>
      <c r="B263" t="s">
        <v>87</v>
      </c>
      <c r="C263">
        <v>85</v>
      </c>
      <c r="D263" t="s">
        <v>146</v>
      </c>
      <c r="E263" s="242">
        <v>42066.449305555558</v>
      </c>
      <c r="F263">
        <v>0</v>
      </c>
      <c r="G263" t="b">
        <v>0</v>
      </c>
      <c r="H263" t="s">
        <v>15</v>
      </c>
    </row>
    <row r="264" spans="1:8">
      <c r="A264" t="s">
        <v>156</v>
      </c>
      <c r="B264" t="s">
        <v>87</v>
      </c>
      <c r="C264">
        <v>85</v>
      </c>
      <c r="D264" t="s">
        <v>146</v>
      </c>
      <c r="E264" s="242">
        <v>42068.43472222222</v>
      </c>
      <c r="F264">
        <v>0</v>
      </c>
      <c r="G264" t="b">
        <v>0</v>
      </c>
      <c r="H264" t="s">
        <v>15</v>
      </c>
    </row>
    <row r="265" spans="1:8">
      <c r="A265" t="s">
        <v>157</v>
      </c>
      <c r="B265" t="s">
        <v>87</v>
      </c>
      <c r="C265">
        <v>85</v>
      </c>
      <c r="D265" t="s">
        <v>146</v>
      </c>
      <c r="E265" s="242">
        <v>42068.673611111109</v>
      </c>
      <c r="F265">
        <v>0</v>
      </c>
      <c r="G265" t="b">
        <v>0</v>
      </c>
      <c r="H265" t="s">
        <v>15</v>
      </c>
    </row>
    <row r="266" spans="1:8">
      <c r="A266" t="s">
        <v>169</v>
      </c>
      <c r="B266" t="s">
        <v>87</v>
      </c>
      <c r="C266">
        <v>85</v>
      </c>
      <c r="D266" t="s">
        <v>146</v>
      </c>
      <c r="E266" s="242">
        <v>42068.533333333333</v>
      </c>
      <c r="F266">
        <v>0</v>
      </c>
      <c r="G266" t="b">
        <v>0</v>
      </c>
      <c r="H266" t="s">
        <v>15</v>
      </c>
    </row>
    <row r="267" spans="1:8">
      <c r="A267" t="s">
        <v>170</v>
      </c>
      <c r="B267" t="s">
        <v>87</v>
      </c>
      <c r="C267">
        <v>85</v>
      </c>
      <c r="D267" t="s">
        <v>146</v>
      </c>
      <c r="E267" s="242">
        <v>42061.587500000001</v>
      </c>
      <c r="F267">
        <v>0</v>
      </c>
      <c r="G267" t="b">
        <v>0</v>
      </c>
      <c r="H267" t="s">
        <v>15</v>
      </c>
    </row>
    <row r="268" spans="1:8">
      <c r="A268" t="s">
        <v>158</v>
      </c>
      <c r="B268" t="s">
        <v>87</v>
      </c>
      <c r="C268">
        <v>85</v>
      </c>
      <c r="D268" t="s">
        <v>146</v>
      </c>
      <c r="E268" s="242">
        <v>42053.427083333336</v>
      </c>
      <c r="F268">
        <v>0</v>
      </c>
      <c r="G268" t="b">
        <v>0</v>
      </c>
      <c r="H268" t="s">
        <v>15</v>
      </c>
    </row>
    <row r="269" spans="1:8">
      <c r="A269" t="s">
        <v>159</v>
      </c>
      <c r="B269" t="s">
        <v>87</v>
      </c>
      <c r="C269">
        <v>85</v>
      </c>
      <c r="D269" t="s">
        <v>146</v>
      </c>
      <c r="E269" s="242">
        <v>42059</v>
      </c>
      <c r="F269">
        <v>0</v>
      </c>
      <c r="G269" t="b">
        <v>0</v>
      </c>
      <c r="H269" t="s">
        <v>15</v>
      </c>
    </row>
    <row r="270" spans="1:8">
      <c r="A270" t="s">
        <v>160</v>
      </c>
      <c r="B270" t="s">
        <v>87</v>
      </c>
      <c r="C270">
        <v>85</v>
      </c>
      <c r="D270" t="s">
        <v>146</v>
      </c>
      <c r="E270" s="242">
        <v>42060.322222222225</v>
      </c>
      <c r="F270">
        <v>0</v>
      </c>
      <c r="G270" t="b">
        <v>0</v>
      </c>
      <c r="H270" t="s">
        <v>15</v>
      </c>
    </row>
    <row r="271" spans="1:8">
      <c r="A271" t="s">
        <v>164</v>
      </c>
      <c r="B271" t="s">
        <v>87</v>
      </c>
      <c r="C271">
        <v>85</v>
      </c>
      <c r="D271" t="s">
        <v>147</v>
      </c>
      <c r="E271" s="242"/>
      <c r="F271">
        <v>5416</v>
      </c>
      <c r="G271" t="b">
        <v>0</v>
      </c>
      <c r="H271" t="s">
        <v>15</v>
      </c>
    </row>
    <row r="272" spans="1:8">
      <c r="A272" t="s">
        <v>161</v>
      </c>
      <c r="B272" t="s">
        <v>87</v>
      </c>
      <c r="C272">
        <v>85</v>
      </c>
      <c r="D272" t="s">
        <v>147</v>
      </c>
      <c r="E272" s="242"/>
      <c r="F272">
        <v>7219</v>
      </c>
      <c r="G272" t="b">
        <v>0</v>
      </c>
      <c r="H272" t="s">
        <v>15</v>
      </c>
    </row>
    <row r="273" spans="1:8">
      <c r="A273" t="s">
        <v>165</v>
      </c>
      <c r="B273" t="s">
        <v>87</v>
      </c>
      <c r="C273">
        <v>85</v>
      </c>
      <c r="D273" t="s">
        <v>147</v>
      </c>
      <c r="E273" s="242"/>
      <c r="F273">
        <v>7779.10009765625</v>
      </c>
      <c r="G273" t="b">
        <v>0</v>
      </c>
      <c r="H273" t="s">
        <v>15</v>
      </c>
    </row>
    <row r="274" spans="1:8">
      <c r="A274" t="s">
        <v>148</v>
      </c>
      <c r="B274" t="s">
        <v>87</v>
      </c>
      <c r="C274">
        <v>85</v>
      </c>
      <c r="D274" t="s">
        <v>147</v>
      </c>
      <c r="E274" s="242"/>
      <c r="F274">
        <v>6745.2998046875</v>
      </c>
      <c r="G274" t="b">
        <v>0</v>
      </c>
      <c r="H274" t="s">
        <v>15</v>
      </c>
    </row>
    <row r="275" spans="1:8">
      <c r="A275" t="s">
        <v>162</v>
      </c>
      <c r="B275" t="s">
        <v>87</v>
      </c>
      <c r="C275">
        <v>85</v>
      </c>
      <c r="D275" t="s">
        <v>147</v>
      </c>
      <c r="E275" s="242"/>
      <c r="F275">
        <v>7452.60009765625</v>
      </c>
      <c r="G275" t="b">
        <v>0</v>
      </c>
      <c r="H275" t="s">
        <v>15</v>
      </c>
    </row>
    <row r="276" spans="1:8">
      <c r="A276" t="s">
        <v>163</v>
      </c>
      <c r="B276" t="s">
        <v>87</v>
      </c>
      <c r="C276">
        <v>85</v>
      </c>
      <c r="D276" t="s">
        <v>147</v>
      </c>
      <c r="E276" s="242"/>
      <c r="F276">
        <v>4812.2001953125</v>
      </c>
      <c r="G276" t="b">
        <v>0</v>
      </c>
      <c r="H276" t="s">
        <v>15</v>
      </c>
    </row>
    <row r="277" spans="1:8">
      <c r="A277" t="s">
        <v>166</v>
      </c>
      <c r="B277" t="s">
        <v>87</v>
      </c>
      <c r="C277">
        <v>85</v>
      </c>
      <c r="D277" t="s">
        <v>147</v>
      </c>
      <c r="E277" s="242"/>
      <c r="F277">
        <v>3479</v>
      </c>
      <c r="G277" t="b">
        <v>0</v>
      </c>
      <c r="H277" t="s">
        <v>15</v>
      </c>
    </row>
    <row r="278" spans="1:8">
      <c r="A278" t="s">
        <v>149</v>
      </c>
      <c r="B278" t="s">
        <v>87</v>
      </c>
      <c r="C278">
        <v>85</v>
      </c>
      <c r="D278" t="s">
        <v>147</v>
      </c>
      <c r="E278" s="242"/>
      <c r="F278">
        <v>5096.89990234375</v>
      </c>
      <c r="G278" t="b">
        <v>0</v>
      </c>
      <c r="H278" t="s">
        <v>15</v>
      </c>
    </row>
    <row r="279" spans="1:8">
      <c r="A279" t="s">
        <v>150</v>
      </c>
      <c r="B279" t="s">
        <v>87</v>
      </c>
      <c r="C279">
        <v>85</v>
      </c>
      <c r="D279" t="s">
        <v>147</v>
      </c>
      <c r="E279" s="242"/>
      <c r="F279">
        <v>4058.80004882812</v>
      </c>
      <c r="G279" t="b">
        <v>0</v>
      </c>
      <c r="H279" t="s">
        <v>15</v>
      </c>
    </row>
    <row r="280" spans="1:8">
      <c r="A280" t="s">
        <v>151</v>
      </c>
      <c r="B280" t="s">
        <v>87</v>
      </c>
      <c r="C280">
        <v>85</v>
      </c>
      <c r="D280" t="s">
        <v>147</v>
      </c>
      <c r="E280" s="242"/>
      <c r="F280">
        <v>1989.30004882812</v>
      </c>
      <c r="G280" t="b">
        <v>0</v>
      </c>
      <c r="H280" t="s">
        <v>15</v>
      </c>
    </row>
    <row r="281" spans="1:8">
      <c r="A281" t="s">
        <v>152</v>
      </c>
      <c r="B281" t="s">
        <v>87</v>
      </c>
      <c r="C281">
        <v>85</v>
      </c>
      <c r="D281" t="s">
        <v>147</v>
      </c>
      <c r="E281" s="242"/>
      <c r="F281">
        <v>1793.30004882812</v>
      </c>
      <c r="G281" t="b">
        <v>0</v>
      </c>
      <c r="H281" t="s">
        <v>15</v>
      </c>
    </row>
    <row r="282" spans="1:8">
      <c r="A282" t="s">
        <v>145</v>
      </c>
      <c r="B282" t="s">
        <v>87</v>
      </c>
      <c r="C282">
        <v>85</v>
      </c>
      <c r="D282" t="s">
        <v>147</v>
      </c>
      <c r="E282" s="242"/>
      <c r="F282">
        <v>1806.30004882812</v>
      </c>
      <c r="G282" t="b">
        <v>0</v>
      </c>
      <c r="H282" t="s">
        <v>15</v>
      </c>
    </row>
    <row r="283" spans="1:8">
      <c r="A283" t="s">
        <v>167</v>
      </c>
      <c r="B283" t="s">
        <v>87</v>
      </c>
      <c r="C283">
        <v>85</v>
      </c>
      <c r="D283" t="s">
        <v>147</v>
      </c>
      <c r="E283" s="242"/>
      <c r="F283">
        <v>1943.90002441406</v>
      </c>
      <c r="G283" t="b">
        <v>0</v>
      </c>
      <c r="H283" t="s">
        <v>15</v>
      </c>
    </row>
    <row r="284" spans="1:8">
      <c r="A284" t="s">
        <v>153</v>
      </c>
      <c r="B284" t="s">
        <v>87</v>
      </c>
      <c r="C284">
        <v>85</v>
      </c>
      <c r="D284" t="s">
        <v>147</v>
      </c>
      <c r="E284" s="242"/>
      <c r="F284">
        <v>1645.59997558593</v>
      </c>
      <c r="G284" t="b">
        <v>0</v>
      </c>
      <c r="H284" t="s">
        <v>15</v>
      </c>
    </row>
    <row r="285" spans="1:8">
      <c r="A285" t="s">
        <v>154</v>
      </c>
      <c r="B285" t="s">
        <v>87</v>
      </c>
      <c r="C285">
        <v>85</v>
      </c>
      <c r="D285" t="s">
        <v>147</v>
      </c>
      <c r="E285" s="242"/>
      <c r="F285">
        <v>2809.30004882812</v>
      </c>
      <c r="G285" t="b">
        <v>0</v>
      </c>
      <c r="H285" t="s">
        <v>15</v>
      </c>
    </row>
    <row r="286" spans="1:8">
      <c r="A286" t="s">
        <v>168</v>
      </c>
      <c r="B286" t="s">
        <v>87</v>
      </c>
      <c r="C286">
        <v>85</v>
      </c>
      <c r="D286" t="s">
        <v>147</v>
      </c>
      <c r="E286" s="242"/>
      <c r="F286">
        <v>5283.2001953125</v>
      </c>
      <c r="G286" t="b">
        <v>0</v>
      </c>
      <c r="H286" t="s">
        <v>15</v>
      </c>
    </row>
    <row r="287" spans="1:8">
      <c r="A287" t="s">
        <v>155</v>
      </c>
      <c r="B287" t="s">
        <v>87</v>
      </c>
      <c r="C287">
        <v>85</v>
      </c>
      <c r="D287" t="s">
        <v>147</v>
      </c>
      <c r="E287" s="242"/>
      <c r="F287">
        <v>4382.10009765625</v>
      </c>
      <c r="G287" t="b">
        <v>0</v>
      </c>
      <c r="H287" t="s">
        <v>15</v>
      </c>
    </row>
    <row r="288" spans="1:8">
      <c r="A288" t="s">
        <v>156</v>
      </c>
      <c r="B288" t="s">
        <v>87</v>
      </c>
      <c r="C288">
        <v>85</v>
      </c>
      <c r="D288" t="s">
        <v>147</v>
      </c>
      <c r="E288" s="242"/>
      <c r="F288">
        <v>4777.2998046875</v>
      </c>
      <c r="G288" t="b">
        <v>0</v>
      </c>
      <c r="H288" t="s">
        <v>15</v>
      </c>
    </row>
    <row r="289" spans="1:8">
      <c r="A289" t="s">
        <v>157</v>
      </c>
      <c r="B289" t="s">
        <v>87</v>
      </c>
      <c r="C289">
        <v>85</v>
      </c>
      <c r="D289" t="s">
        <v>147</v>
      </c>
      <c r="E289" s="242"/>
      <c r="F289">
        <v>5261.2998046875</v>
      </c>
      <c r="G289" t="b">
        <v>0</v>
      </c>
      <c r="H289" t="s">
        <v>15</v>
      </c>
    </row>
    <row r="290" spans="1:8">
      <c r="A290" t="s">
        <v>169</v>
      </c>
      <c r="B290" t="s">
        <v>87</v>
      </c>
      <c r="C290">
        <v>85</v>
      </c>
      <c r="D290" t="s">
        <v>147</v>
      </c>
      <c r="E290" s="242"/>
      <c r="F290">
        <v>1521.40002441406</v>
      </c>
      <c r="G290" t="b">
        <v>0</v>
      </c>
      <c r="H290" t="s">
        <v>15</v>
      </c>
    </row>
    <row r="291" spans="1:8">
      <c r="A291" t="s">
        <v>170</v>
      </c>
      <c r="B291" t="s">
        <v>87</v>
      </c>
      <c r="C291">
        <v>85</v>
      </c>
      <c r="D291" t="s">
        <v>147</v>
      </c>
      <c r="E291" s="242"/>
      <c r="F291">
        <v>1530.5</v>
      </c>
      <c r="G291" t="b">
        <v>0</v>
      </c>
      <c r="H291" t="s">
        <v>15</v>
      </c>
    </row>
    <row r="292" spans="1:8">
      <c r="A292" t="s">
        <v>158</v>
      </c>
      <c r="B292" t="s">
        <v>87</v>
      </c>
      <c r="C292">
        <v>85</v>
      </c>
      <c r="D292" t="s">
        <v>147</v>
      </c>
      <c r="E292" s="242"/>
      <c r="F292">
        <v>5447.2001953125</v>
      </c>
      <c r="G292" t="b">
        <v>0</v>
      </c>
      <c r="H292" t="s">
        <v>15</v>
      </c>
    </row>
    <row r="293" spans="1:8">
      <c r="A293" t="s">
        <v>159</v>
      </c>
      <c r="B293" t="s">
        <v>87</v>
      </c>
      <c r="C293">
        <v>85</v>
      </c>
      <c r="D293" t="s">
        <v>147</v>
      </c>
      <c r="E293" s="242"/>
      <c r="F293">
        <v>3242.19995117187</v>
      </c>
      <c r="G293" t="b">
        <v>0</v>
      </c>
      <c r="H293" t="s">
        <v>15</v>
      </c>
    </row>
    <row r="294" spans="1:8">
      <c r="A294" t="s">
        <v>160</v>
      </c>
      <c r="B294" t="s">
        <v>87</v>
      </c>
      <c r="C294">
        <v>85</v>
      </c>
      <c r="D294" t="s">
        <v>147</v>
      </c>
      <c r="E294" s="242"/>
      <c r="F294">
        <v>3029.10009765625</v>
      </c>
      <c r="G294" t="b">
        <v>0</v>
      </c>
      <c r="H294" t="s">
        <v>15</v>
      </c>
    </row>
    <row r="295" spans="1:8">
      <c r="A295" t="s">
        <v>165</v>
      </c>
      <c r="B295" t="s">
        <v>87</v>
      </c>
      <c r="C295">
        <v>86</v>
      </c>
      <c r="D295" t="s">
        <v>146</v>
      </c>
      <c r="E295" s="242">
        <v>42060.489583333336</v>
      </c>
      <c r="F295">
        <v>0</v>
      </c>
      <c r="G295" t="b">
        <v>0</v>
      </c>
      <c r="H295" t="s">
        <v>15</v>
      </c>
    </row>
    <row r="296" spans="1:8">
      <c r="A296" t="s">
        <v>162</v>
      </c>
      <c r="B296" t="s">
        <v>87</v>
      </c>
      <c r="C296">
        <v>86</v>
      </c>
      <c r="D296" t="s">
        <v>146</v>
      </c>
      <c r="E296" s="242">
        <v>42066.424305555556</v>
      </c>
      <c r="F296">
        <v>0</v>
      </c>
      <c r="G296" t="b">
        <v>0</v>
      </c>
      <c r="H296" t="s">
        <v>15</v>
      </c>
    </row>
    <row r="297" spans="1:8">
      <c r="A297" t="s">
        <v>163</v>
      </c>
      <c r="B297" t="s">
        <v>87</v>
      </c>
      <c r="C297">
        <v>86</v>
      </c>
      <c r="D297" t="s">
        <v>146</v>
      </c>
      <c r="E297" s="242">
        <v>42060.529861111114</v>
      </c>
      <c r="F297">
        <v>0</v>
      </c>
      <c r="G297" t="b">
        <v>0</v>
      </c>
      <c r="H297" t="s">
        <v>15</v>
      </c>
    </row>
    <row r="298" spans="1:8">
      <c r="A298" t="s">
        <v>149</v>
      </c>
      <c r="B298" t="s">
        <v>87</v>
      </c>
      <c r="C298">
        <v>86</v>
      </c>
      <c r="D298" t="s">
        <v>146</v>
      </c>
      <c r="E298" s="242">
        <v>42068.45</v>
      </c>
      <c r="F298">
        <v>0</v>
      </c>
      <c r="G298" t="b">
        <v>0</v>
      </c>
      <c r="H298" t="s">
        <v>15</v>
      </c>
    </row>
    <row r="299" spans="1:8">
      <c r="A299" t="s">
        <v>150</v>
      </c>
      <c r="B299" t="s">
        <v>87</v>
      </c>
      <c r="C299">
        <v>86</v>
      </c>
      <c r="D299" t="s">
        <v>146</v>
      </c>
      <c r="E299" s="242">
        <v>42067.478472222225</v>
      </c>
      <c r="F299">
        <v>0</v>
      </c>
      <c r="G299" t="b">
        <v>0</v>
      </c>
      <c r="H299" t="s">
        <v>15</v>
      </c>
    </row>
    <row r="300" spans="1:8">
      <c r="A300" t="s">
        <v>151</v>
      </c>
      <c r="B300" t="s">
        <v>87</v>
      </c>
      <c r="C300">
        <v>86</v>
      </c>
      <c r="D300" t="s">
        <v>146</v>
      </c>
      <c r="E300" s="242">
        <v>42053.550694444442</v>
      </c>
      <c r="F300">
        <v>0</v>
      </c>
      <c r="G300" t="b">
        <v>0</v>
      </c>
      <c r="H300" t="s">
        <v>15</v>
      </c>
    </row>
    <row r="301" spans="1:8">
      <c r="A301" t="s">
        <v>145</v>
      </c>
      <c r="B301" t="s">
        <v>87</v>
      </c>
      <c r="C301">
        <v>86</v>
      </c>
      <c r="D301" t="s">
        <v>146</v>
      </c>
      <c r="E301" s="242">
        <v>42059.523611111108</v>
      </c>
      <c r="F301">
        <v>0</v>
      </c>
      <c r="G301" t="b">
        <v>0</v>
      </c>
      <c r="H301" t="s">
        <v>15</v>
      </c>
    </row>
    <row r="302" spans="1:8">
      <c r="A302" t="s">
        <v>167</v>
      </c>
      <c r="B302" t="s">
        <v>87</v>
      </c>
      <c r="C302">
        <v>86</v>
      </c>
      <c r="D302" t="s">
        <v>146</v>
      </c>
      <c r="E302" s="242">
        <v>42061.57708333333</v>
      </c>
      <c r="F302">
        <v>0</v>
      </c>
      <c r="G302" t="b">
        <v>0</v>
      </c>
      <c r="H302" t="s">
        <v>15</v>
      </c>
    </row>
    <row r="303" spans="1:8">
      <c r="A303" t="s">
        <v>153</v>
      </c>
      <c r="B303" t="s">
        <v>87</v>
      </c>
      <c r="C303">
        <v>86</v>
      </c>
      <c r="D303" t="s">
        <v>146</v>
      </c>
      <c r="E303" s="242">
        <v>42053.543055555558</v>
      </c>
      <c r="F303">
        <v>0</v>
      </c>
      <c r="G303" t="b">
        <v>0</v>
      </c>
      <c r="H303" t="s">
        <v>15</v>
      </c>
    </row>
    <row r="304" spans="1:8">
      <c r="A304" t="s">
        <v>154</v>
      </c>
      <c r="B304" t="s">
        <v>87</v>
      </c>
      <c r="C304">
        <v>86</v>
      </c>
      <c r="D304" t="s">
        <v>146</v>
      </c>
      <c r="E304" s="242">
        <v>42060.472916666666</v>
      </c>
      <c r="F304">
        <v>0</v>
      </c>
      <c r="G304" t="b">
        <v>0</v>
      </c>
      <c r="H304" t="s">
        <v>15</v>
      </c>
    </row>
    <row r="305" spans="1:8">
      <c r="A305" t="s">
        <v>168</v>
      </c>
      <c r="B305" t="s">
        <v>87</v>
      </c>
      <c r="C305">
        <v>86</v>
      </c>
      <c r="D305" t="s">
        <v>146</v>
      </c>
      <c r="E305" s="242">
        <v>42066.668749999997</v>
      </c>
      <c r="F305">
        <v>0</v>
      </c>
      <c r="G305" t="b">
        <v>0</v>
      </c>
      <c r="H305" t="s">
        <v>15</v>
      </c>
    </row>
    <row r="306" spans="1:8">
      <c r="A306" t="s">
        <v>155</v>
      </c>
      <c r="B306" t="s">
        <v>87</v>
      </c>
      <c r="C306">
        <v>86</v>
      </c>
      <c r="D306" t="s">
        <v>146</v>
      </c>
      <c r="E306" s="242">
        <v>42066.450694444444</v>
      </c>
      <c r="F306">
        <v>0</v>
      </c>
      <c r="G306" t="b">
        <v>0</v>
      </c>
      <c r="H306" t="s">
        <v>15</v>
      </c>
    </row>
    <row r="307" spans="1:8">
      <c r="A307" t="s">
        <v>157</v>
      </c>
      <c r="B307" t="s">
        <v>87</v>
      </c>
      <c r="C307">
        <v>86</v>
      </c>
      <c r="D307" t="s">
        <v>146</v>
      </c>
      <c r="E307" s="242">
        <v>42068.673611111109</v>
      </c>
      <c r="F307">
        <v>0</v>
      </c>
      <c r="G307" t="b">
        <v>0</v>
      </c>
      <c r="H307" t="s">
        <v>15</v>
      </c>
    </row>
    <row r="308" spans="1:8">
      <c r="A308" t="s">
        <v>158</v>
      </c>
      <c r="B308" t="s">
        <v>87</v>
      </c>
      <c r="C308">
        <v>86</v>
      </c>
      <c r="D308" t="s">
        <v>146</v>
      </c>
      <c r="E308" s="242">
        <v>42053.427083333336</v>
      </c>
      <c r="F308">
        <v>0</v>
      </c>
      <c r="G308" t="b">
        <v>0</v>
      </c>
      <c r="H308" t="s">
        <v>15</v>
      </c>
    </row>
    <row r="309" spans="1:8">
      <c r="A309" t="s">
        <v>159</v>
      </c>
      <c r="B309" t="s">
        <v>87</v>
      </c>
      <c r="C309">
        <v>86</v>
      </c>
      <c r="D309" t="s">
        <v>146</v>
      </c>
      <c r="E309" s="242">
        <v>42059</v>
      </c>
      <c r="F309">
        <v>0</v>
      </c>
      <c r="G309" t="b">
        <v>0</v>
      </c>
      <c r="H309" t="s">
        <v>15</v>
      </c>
    </row>
    <row r="310" spans="1:8">
      <c r="A310" t="s">
        <v>160</v>
      </c>
      <c r="B310" t="s">
        <v>87</v>
      </c>
      <c r="C310">
        <v>86</v>
      </c>
      <c r="D310" t="s">
        <v>146</v>
      </c>
      <c r="E310" s="242">
        <v>42060.322916666664</v>
      </c>
      <c r="F310">
        <v>0</v>
      </c>
      <c r="G310" t="b">
        <v>0</v>
      </c>
      <c r="H310" t="s">
        <v>15</v>
      </c>
    </row>
    <row r="311" spans="1:8">
      <c r="A311" t="s">
        <v>165</v>
      </c>
      <c r="B311" t="s">
        <v>87</v>
      </c>
      <c r="C311">
        <v>86</v>
      </c>
      <c r="D311" t="s">
        <v>147</v>
      </c>
      <c r="E311" s="242"/>
      <c r="F311">
        <v>7779.10009765625</v>
      </c>
      <c r="G311" t="b">
        <v>0</v>
      </c>
      <c r="H311" t="s">
        <v>15</v>
      </c>
    </row>
    <row r="312" spans="1:8">
      <c r="A312" t="s">
        <v>162</v>
      </c>
      <c r="B312" t="s">
        <v>87</v>
      </c>
      <c r="C312">
        <v>86</v>
      </c>
      <c r="D312" t="s">
        <v>147</v>
      </c>
      <c r="E312" s="242"/>
      <c r="F312">
        <v>7452.60009765625</v>
      </c>
      <c r="G312" t="b">
        <v>0</v>
      </c>
      <c r="H312" t="s">
        <v>15</v>
      </c>
    </row>
    <row r="313" spans="1:8">
      <c r="A313" t="s">
        <v>163</v>
      </c>
      <c r="B313" t="s">
        <v>87</v>
      </c>
      <c r="C313">
        <v>86</v>
      </c>
      <c r="D313" t="s">
        <v>147</v>
      </c>
      <c r="E313" s="242"/>
      <c r="F313">
        <v>4812.2001953125</v>
      </c>
      <c r="G313" t="b">
        <v>0</v>
      </c>
      <c r="H313" t="s">
        <v>15</v>
      </c>
    </row>
    <row r="314" spans="1:8">
      <c r="A314" t="s">
        <v>149</v>
      </c>
      <c r="B314" t="s">
        <v>87</v>
      </c>
      <c r="C314">
        <v>86</v>
      </c>
      <c r="D314" t="s">
        <v>147</v>
      </c>
      <c r="E314" s="242"/>
      <c r="F314">
        <v>5096.89990234375</v>
      </c>
      <c r="G314" t="b">
        <v>0</v>
      </c>
      <c r="H314" t="s">
        <v>15</v>
      </c>
    </row>
    <row r="315" spans="1:8">
      <c r="A315" t="s">
        <v>150</v>
      </c>
      <c r="B315" t="s">
        <v>87</v>
      </c>
      <c r="C315">
        <v>86</v>
      </c>
      <c r="D315" t="s">
        <v>147</v>
      </c>
      <c r="E315" s="242"/>
      <c r="F315">
        <v>4058.80004882812</v>
      </c>
      <c r="G315" t="b">
        <v>0</v>
      </c>
      <c r="H315" t="s">
        <v>15</v>
      </c>
    </row>
    <row r="316" spans="1:8">
      <c r="A316" t="s">
        <v>151</v>
      </c>
      <c r="B316" t="s">
        <v>87</v>
      </c>
      <c r="C316">
        <v>86</v>
      </c>
      <c r="D316" t="s">
        <v>147</v>
      </c>
      <c r="E316" s="242"/>
      <c r="F316">
        <v>1989.30004882812</v>
      </c>
      <c r="G316" t="b">
        <v>0</v>
      </c>
      <c r="H316" t="s">
        <v>15</v>
      </c>
    </row>
    <row r="317" spans="1:8">
      <c r="A317" t="s">
        <v>145</v>
      </c>
      <c r="B317" t="s">
        <v>87</v>
      </c>
      <c r="C317">
        <v>86</v>
      </c>
      <c r="D317" t="s">
        <v>147</v>
      </c>
      <c r="E317" s="242"/>
      <c r="F317">
        <v>1806.30004882812</v>
      </c>
      <c r="G317" t="b">
        <v>0</v>
      </c>
      <c r="H317" t="s">
        <v>15</v>
      </c>
    </row>
    <row r="318" spans="1:8">
      <c r="A318" t="s">
        <v>167</v>
      </c>
      <c r="B318" t="s">
        <v>87</v>
      </c>
      <c r="C318">
        <v>86</v>
      </c>
      <c r="D318" t="s">
        <v>147</v>
      </c>
      <c r="E318" s="242"/>
      <c r="F318">
        <v>1943.90002441406</v>
      </c>
      <c r="G318" t="b">
        <v>0</v>
      </c>
      <c r="H318" t="s">
        <v>15</v>
      </c>
    </row>
    <row r="319" spans="1:8">
      <c r="A319" t="s">
        <v>153</v>
      </c>
      <c r="B319" t="s">
        <v>87</v>
      </c>
      <c r="C319">
        <v>86</v>
      </c>
      <c r="D319" t="s">
        <v>147</v>
      </c>
      <c r="E319" s="242"/>
      <c r="F319">
        <v>1645.59997558593</v>
      </c>
      <c r="G319" t="b">
        <v>0</v>
      </c>
      <c r="H319" t="s">
        <v>15</v>
      </c>
    </row>
    <row r="320" spans="1:8">
      <c r="A320" t="s">
        <v>154</v>
      </c>
      <c r="B320" t="s">
        <v>87</v>
      </c>
      <c r="C320">
        <v>86</v>
      </c>
      <c r="D320" t="s">
        <v>147</v>
      </c>
      <c r="E320" s="242"/>
      <c r="F320">
        <v>2809.30004882812</v>
      </c>
      <c r="G320" t="b">
        <v>0</v>
      </c>
      <c r="H320" t="s">
        <v>15</v>
      </c>
    </row>
    <row r="321" spans="1:8">
      <c r="A321" t="s">
        <v>168</v>
      </c>
      <c r="B321" t="s">
        <v>87</v>
      </c>
      <c r="C321">
        <v>86</v>
      </c>
      <c r="D321" t="s">
        <v>147</v>
      </c>
      <c r="E321" s="242"/>
      <c r="F321">
        <v>5283.2001953125</v>
      </c>
      <c r="G321" t="b">
        <v>0</v>
      </c>
      <c r="H321" t="s">
        <v>15</v>
      </c>
    </row>
    <row r="322" spans="1:8">
      <c r="A322" t="s">
        <v>155</v>
      </c>
      <c r="B322" t="s">
        <v>87</v>
      </c>
      <c r="C322">
        <v>86</v>
      </c>
      <c r="D322" t="s">
        <v>147</v>
      </c>
      <c r="E322" s="242"/>
      <c r="F322">
        <v>4382.10009765625</v>
      </c>
      <c r="G322" t="b">
        <v>0</v>
      </c>
      <c r="H322" t="s">
        <v>15</v>
      </c>
    </row>
    <row r="323" spans="1:8">
      <c r="A323" t="s">
        <v>157</v>
      </c>
      <c r="B323" t="s">
        <v>87</v>
      </c>
      <c r="C323">
        <v>86</v>
      </c>
      <c r="D323" t="s">
        <v>147</v>
      </c>
      <c r="E323" s="242"/>
      <c r="F323">
        <v>5261.2998046875</v>
      </c>
      <c r="G323" t="b">
        <v>0</v>
      </c>
      <c r="H323" t="s">
        <v>15</v>
      </c>
    </row>
    <row r="324" spans="1:8">
      <c r="A324" t="s">
        <v>158</v>
      </c>
      <c r="B324" t="s">
        <v>87</v>
      </c>
      <c r="C324">
        <v>86</v>
      </c>
      <c r="D324" t="s">
        <v>147</v>
      </c>
      <c r="E324" s="242"/>
      <c r="F324">
        <v>5447.2001953125</v>
      </c>
      <c r="G324" t="b">
        <v>0</v>
      </c>
      <c r="H324" t="s">
        <v>15</v>
      </c>
    </row>
    <row r="325" spans="1:8">
      <c r="A325" t="s">
        <v>159</v>
      </c>
      <c r="B325" t="s">
        <v>87</v>
      </c>
      <c r="C325">
        <v>86</v>
      </c>
      <c r="D325" t="s">
        <v>147</v>
      </c>
      <c r="E325" s="242"/>
      <c r="F325">
        <v>3242.19995117187</v>
      </c>
      <c r="G325" t="b">
        <v>0</v>
      </c>
      <c r="H325" t="s">
        <v>15</v>
      </c>
    </row>
    <row r="326" spans="1:8">
      <c r="A326" t="s">
        <v>160</v>
      </c>
      <c r="B326" t="s">
        <v>87</v>
      </c>
      <c r="C326">
        <v>86</v>
      </c>
      <c r="D326" t="s">
        <v>147</v>
      </c>
      <c r="E326" s="242"/>
      <c r="F326">
        <v>3029.10009765625</v>
      </c>
      <c r="G326" t="b">
        <v>0</v>
      </c>
      <c r="H326" t="s">
        <v>15</v>
      </c>
    </row>
    <row r="327" spans="1:8">
      <c r="A327" t="s">
        <v>165</v>
      </c>
      <c r="B327" t="s">
        <v>87</v>
      </c>
      <c r="C327">
        <v>88</v>
      </c>
      <c r="D327" t="s">
        <v>146</v>
      </c>
      <c r="E327" s="242">
        <v>41955.654861111114</v>
      </c>
      <c r="F327">
        <v>0</v>
      </c>
      <c r="G327" t="b">
        <v>0</v>
      </c>
      <c r="H327" t="s">
        <v>15</v>
      </c>
    </row>
    <row r="328" spans="1:8">
      <c r="A328" t="s">
        <v>150</v>
      </c>
      <c r="B328" t="s">
        <v>87</v>
      </c>
      <c r="C328">
        <v>88</v>
      </c>
      <c r="D328" t="s">
        <v>146</v>
      </c>
      <c r="E328" s="242">
        <v>41960.455555555556</v>
      </c>
      <c r="F328">
        <v>0</v>
      </c>
      <c r="G328" t="b">
        <v>0</v>
      </c>
      <c r="H328" t="s">
        <v>15</v>
      </c>
    </row>
    <row r="329" spans="1:8">
      <c r="A329" t="s">
        <v>152</v>
      </c>
      <c r="B329" t="s">
        <v>87</v>
      </c>
      <c r="C329">
        <v>88</v>
      </c>
      <c r="D329" t="s">
        <v>146</v>
      </c>
      <c r="E329" s="242">
        <v>42059.677083333336</v>
      </c>
      <c r="F329">
        <v>0</v>
      </c>
      <c r="G329" t="b">
        <v>0</v>
      </c>
      <c r="H329" t="s">
        <v>15</v>
      </c>
    </row>
    <row r="330" spans="1:8">
      <c r="A330" t="s">
        <v>145</v>
      </c>
      <c r="B330" t="s">
        <v>87</v>
      </c>
      <c r="C330">
        <v>88</v>
      </c>
      <c r="D330" t="s">
        <v>146</v>
      </c>
      <c r="E330" s="242">
        <v>41955.431944444441</v>
      </c>
      <c r="F330">
        <v>0</v>
      </c>
      <c r="G330" t="b">
        <v>0</v>
      </c>
      <c r="H330" t="s">
        <v>15</v>
      </c>
    </row>
    <row r="331" spans="1:8">
      <c r="A331" t="s">
        <v>156</v>
      </c>
      <c r="B331" t="s">
        <v>87</v>
      </c>
      <c r="C331">
        <v>88</v>
      </c>
      <c r="D331" t="s">
        <v>146</v>
      </c>
      <c r="E331" s="242">
        <v>42039.637499999997</v>
      </c>
      <c r="F331">
        <v>0</v>
      </c>
      <c r="G331" t="b">
        <v>0</v>
      </c>
      <c r="H331" t="s">
        <v>15</v>
      </c>
    </row>
    <row r="332" spans="1:8">
      <c r="A332" t="s">
        <v>170</v>
      </c>
      <c r="B332" t="s">
        <v>87</v>
      </c>
      <c r="C332">
        <v>88</v>
      </c>
      <c r="D332" t="s">
        <v>146</v>
      </c>
      <c r="E332" s="242">
        <v>41955</v>
      </c>
      <c r="F332">
        <v>0</v>
      </c>
      <c r="G332" t="b">
        <v>0</v>
      </c>
      <c r="H332" t="s">
        <v>15</v>
      </c>
    </row>
    <row r="333" spans="1:8">
      <c r="A333" t="s">
        <v>165</v>
      </c>
      <c r="B333" t="s">
        <v>87</v>
      </c>
      <c r="C333">
        <v>88</v>
      </c>
      <c r="D333" t="s">
        <v>147</v>
      </c>
      <c r="E333" s="242"/>
      <c r="F333">
        <v>7749.89990234375</v>
      </c>
      <c r="G333" t="b">
        <v>0</v>
      </c>
      <c r="H333" t="s">
        <v>15</v>
      </c>
    </row>
    <row r="334" spans="1:8">
      <c r="A334" t="s">
        <v>150</v>
      </c>
      <c r="B334" t="s">
        <v>87</v>
      </c>
      <c r="C334">
        <v>88</v>
      </c>
      <c r="D334" t="s">
        <v>147</v>
      </c>
      <c r="E334" s="242"/>
      <c r="F334">
        <v>3986.5</v>
      </c>
      <c r="G334" t="b">
        <v>0</v>
      </c>
      <c r="H334" t="s">
        <v>15</v>
      </c>
    </row>
    <row r="335" spans="1:8">
      <c r="A335" t="s">
        <v>152</v>
      </c>
      <c r="B335" t="s">
        <v>87</v>
      </c>
      <c r="C335">
        <v>88</v>
      </c>
      <c r="D335" t="s">
        <v>147</v>
      </c>
      <c r="E335" s="242"/>
      <c r="F335">
        <v>1770.30004882812</v>
      </c>
      <c r="G335" t="b">
        <v>0</v>
      </c>
      <c r="H335" t="s">
        <v>15</v>
      </c>
    </row>
    <row r="336" spans="1:8">
      <c r="A336" t="s">
        <v>145</v>
      </c>
      <c r="B336" t="s">
        <v>87</v>
      </c>
      <c r="C336">
        <v>88</v>
      </c>
      <c r="D336" t="s">
        <v>147</v>
      </c>
      <c r="E336" s="242"/>
      <c r="F336">
        <v>1713.09997558593</v>
      </c>
      <c r="G336" t="b">
        <v>0</v>
      </c>
      <c r="H336" t="s">
        <v>15</v>
      </c>
    </row>
    <row r="337" spans="1:8">
      <c r="A337" t="s">
        <v>156</v>
      </c>
      <c r="B337" t="s">
        <v>87</v>
      </c>
      <c r="C337">
        <v>88</v>
      </c>
      <c r="D337" t="s">
        <v>147</v>
      </c>
      <c r="E337" s="242"/>
      <c r="F337">
        <v>4765.2998046875</v>
      </c>
      <c r="G337" t="b">
        <v>0</v>
      </c>
      <c r="H337" t="s">
        <v>15</v>
      </c>
    </row>
    <row r="338" spans="1:8">
      <c r="A338" t="s">
        <v>170</v>
      </c>
      <c r="B338" t="s">
        <v>87</v>
      </c>
      <c r="C338">
        <v>88</v>
      </c>
      <c r="D338" t="s">
        <v>147</v>
      </c>
      <c r="E338" s="242"/>
      <c r="F338">
        <v>1453.59997558593</v>
      </c>
      <c r="G338" t="b">
        <v>0</v>
      </c>
      <c r="H338" t="s">
        <v>15</v>
      </c>
    </row>
    <row r="339" spans="1:8">
      <c r="A339" t="s">
        <v>164</v>
      </c>
      <c r="B339" t="s">
        <v>87</v>
      </c>
      <c r="C339">
        <v>100</v>
      </c>
      <c r="D339" t="s">
        <v>146</v>
      </c>
      <c r="E339" s="242">
        <v>42109.620138888888</v>
      </c>
      <c r="F339">
        <v>0</v>
      </c>
      <c r="G339" t="b">
        <v>0</v>
      </c>
      <c r="H339" t="s">
        <v>15</v>
      </c>
    </row>
    <row r="340" spans="1:8">
      <c r="A340" t="s">
        <v>161</v>
      </c>
      <c r="B340" t="s">
        <v>87</v>
      </c>
      <c r="C340">
        <v>100</v>
      </c>
      <c r="D340" t="s">
        <v>146</v>
      </c>
      <c r="E340" s="242">
        <v>42074</v>
      </c>
      <c r="F340">
        <v>0</v>
      </c>
      <c r="G340" t="b">
        <v>0</v>
      </c>
      <c r="H340" t="s">
        <v>15</v>
      </c>
    </row>
    <row r="341" spans="1:8">
      <c r="A341" t="s">
        <v>165</v>
      </c>
      <c r="B341" t="s">
        <v>87</v>
      </c>
      <c r="C341">
        <v>100</v>
      </c>
      <c r="D341" t="s">
        <v>146</v>
      </c>
      <c r="E341" s="242">
        <v>42108.693749999999</v>
      </c>
      <c r="F341">
        <v>0</v>
      </c>
      <c r="G341" t="b">
        <v>0</v>
      </c>
      <c r="H341" t="s">
        <v>15</v>
      </c>
    </row>
    <row r="342" spans="1:8">
      <c r="A342" t="s">
        <v>148</v>
      </c>
      <c r="B342" t="s">
        <v>87</v>
      </c>
      <c r="C342">
        <v>100</v>
      </c>
      <c r="D342" t="s">
        <v>146</v>
      </c>
      <c r="E342" s="242">
        <v>42109.526388888888</v>
      </c>
      <c r="F342">
        <v>0</v>
      </c>
      <c r="G342" t="b">
        <v>0</v>
      </c>
      <c r="H342" t="s">
        <v>15</v>
      </c>
    </row>
    <row r="343" spans="1:8">
      <c r="A343" t="s">
        <v>162</v>
      </c>
      <c r="B343" t="s">
        <v>87</v>
      </c>
      <c r="C343">
        <v>100</v>
      </c>
      <c r="D343" t="s">
        <v>146</v>
      </c>
      <c r="E343" s="242">
        <v>42106.659722222219</v>
      </c>
      <c r="F343">
        <v>0</v>
      </c>
      <c r="G343" t="b">
        <v>0</v>
      </c>
      <c r="H343" t="s">
        <v>15</v>
      </c>
    </row>
    <row r="344" spans="1:8">
      <c r="A344" t="s">
        <v>163</v>
      </c>
      <c r="B344" t="s">
        <v>87</v>
      </c>
      <c r="C344">
        <v>100</v>
      </c>
      <c r="D344" t="s">
        <v>146</v>
      </c>
      <c r="E344" s="242">
        <v>42106.632638888892</v>
      </c>
      <c r="F344">
        <v>0</v>
      </c>
      <c r="G344" t="b">
        <v>0</v>
      </c>
      <c r="H344" t="s">
        <v>15</v>
      </c>
    </row>
    <row r="345" spans="1:8">
      <c r="A345" t="s">
        <v>166</v>
      </c>
      <c r="B345" t="s">
        <v>87</v>
      </c>
      <c r="C345">
        <v>100</v>
      </c>
      <c r="D345" t="s">
        <v>146</v>
      </c>
      <c r="E345" s="242">
        <v>42108.697916666664</v>
      </c>
      <c r="F345">
        <v>0</v>
      </c>
      <c r="G345" t="b">
        <v>0</v>
      </c>
      <c r="H345" t="s">
        <v>15</v>
      </c>
    </row>
    <row r="346" spans="1:8">
      <c r="A346" t="s">
        <v>149</v>
      </c>
      <c r="B346" t="s">
        <v>87</v>
      </c>
      <c r="C346">
        <v>100</v>
      </c>
      <c r="D346" t="s">
        <v>146</v>
      </c>
      <c r="E346" s="242">
        <v>42082.584722222222</v>
      </c>
      <c r="F346">
        <v>0</v>
      </c>
      <c r="G346" t="b">
        <v>0</v>
      </c>
      <c r="H346" t="s">
        <v>15</v>
      </c>
    </row>
    <row r="347" spans="1:8">
      <c r="A347" t="s">
        <v>150</v>
      </c>
      <c r="B347" t="s">
        <v>87</v>
      </c>
      <c r="C347">
        <v>100</v>
      </c>
      <c r="D347" t="s">
        <v>146</v>
      </c>
      <c r="E347" s="242">
        <v>42106.672222222223</v>
      </c>
      <c r="F347">
        <v>0</v>
      </c>
      <c r="G347" t="b">
        <v>0</v>
      </c>
      <c r="H347" t="s">
        <v>15</v>
      </c>
    </row>
    <row r="348" spans="1:8">
      <c r="A348" t="s">
        <v>151</v>
      </c>
      <c r="B348" t="s">
        <v>87</v>
      </c>
      <c r="C348">
        <v>100</v>
      </c>
      <c r="D348" t="s">
        <v>146</v>
      </c>
      <c r="E348" s="242">
        <v>42059</v>
      </c>
      <c r="F348">
        <v>0</v>
      </c>
      <c r="G348" t="b">
        <v>0</v>
      </c>
      <c r="H348" t="s">
        <v>15</v>
      </c>
    </row>
    <row r="349" spans="1:8">
      <c r="A349" t="s">
        <v>152</v>
      </c>
      <c r="B349" t="s">
        <v>87</v>
      </c>
      <c r="C349">
        <v>100</v>
      </c>
      <c r="D349" t="s">
        <v>146</v>
      </c>
      <c r="E349" s="242">
        <v>42109</v>
      </c>
      <c r="F349">
        <v>0</v>
      </c>
      <c r="G349" t="b">
        <v>0</v>
      </c>
      <c r="H349" t="s">
        <v>15</v>
      </c>
    </row>
    <row r="350" spans="1:8">
      <c r="A350" t="s">
        <v>145</v>
      </c>
      <c r="B350" t="s">
        <v>87</v>
      </c>
      <c r="C350">
        <v>100</v>
      </c>
      <c r="D350" t="s">
        <v>146</v>
      </c>
      <c r="E350" s="242">
        <v>42109.450694444444</v>
      </c>
      <c r="F350">
        <v>0</v>
      </c>
      <c r="G350" t="b">
        <v>0</v>
      </c>
      <c r="H350" t="s">
        <v>15</v>
      </c>
    </row>
    <row r="351" spans="1:8">
      <c r="A351" t="s">
        <v>167</v>
      </c>
      <c r="B351" t="s">
        <v>87</v>
      </c>
      <c r="C351">
        <v>100</v>
      </c>
      <c r="D351" t="s">
        <v>146</v>
      </c>
      <c r="E351" s="242">
        <v>42108</v>
      </c>
      <c r="F351">
        <v>0</v>
      </c>
      <c r="G351" t="b">
        <v>0</v>
      </c>
      <c r="H351" t="s">
        <v>15</v>
      </c>
    </row>
    <row r="352" spans="1:8">
      <c r="A352" t="s">
        <v>153</v>
      </c>
      <c r="B352" t="s">
        <v>87</v>
      </c>
      <c r="C352">
        <v>100</v>
      </c>
      <c r="D352" t="s">
        <v>146</v>
      </c>
      <c r="E352" s="242">
        <v>42059</v>
      </c>
      <c r="F352">
        <v>0</v>
      </c>
      <c r="G352" t="b">
        <v>0</v>
      </c>
      <c r="H352" t="s">
        <v>15</v>
      </c>
    </row>
    <row r="353" spans="1:8">
      <c r="A353" t="s">
        <v>154</v>
      </c>
      <c r="B353" t="s">
        <v>87</v>
      </c>
      <c r="C353">
        <v>100</v>
      </c>
      <c r="D353" t="s">
        <v>146</v>
      </c>
      <c r="E353" s="242">
        <v>42109</v>
      </c>
      <c r="F353">
        <v>0</v>
      </c>
      <c r="G353" t="b">
        <v>0</v>
      </c>
      <c r="H353" t="s">
        <v>15</v>
      </c>
    </row>
    <row r="354" spans="1:8">
      <c r="A354" t="s">
        <v>168</v>
      </c>
      <c r="B354" t="s">
        <v>87</v>
      </c>
      <c r="C354">
        <v>100</v>
      </c>
      <c r="D354" t="s">
        <v>146</v>
      </c>
      <c r="E354" s="242">
        <v>42109.51666666667</v>
      </c>
      <c r="F354">
        <v>0</v>
      </c>
      <c r="G354" t="b">
        <v>0</v>
      </c>
      <c r="H354" t="s">
        <v>15</v>
      </c>
    </row>
    <row r="355" spans="1:8">
      <c r="A355" t="s">
        <v>155</v>
      </c>
      <c r="B355" t="s">
        <v>87</v>
      </c>
      <c r="C355">
        <v>100</v>
      </c>
      <c r="D355" t="s">
        <v>146</v>
      </c>
      <c r="E355" s="242">
        <v>42079</v>
      </c>
      <c r="F355">
        <v>0</v>
      </c>
      <c r="G355" t="b">
        <v>0</v>
      </c>
      <c r="H355" t="s">
        <v>15</v>
      </c>
    </row>
    <row r="356" spans="1:8">
      <c r="A356" t="s">
        <v>156</v>
      </c>
      <c r="B356" t="s">
        <v>87</v>
      </c>
      <c r="C356">
        <v>100</v>
      </c>
      <c r="D356" t="s">
        <v>146</v>
      </c>
      <c r="E356" s="242">
        <v>42108</v>
      </c>
      <c r="F356">
        <v>0</v>
      </c>
      <c r="G356" t="b">
        <v>0</v>
      </c>
      <c r="H356" t="s">
        <v>15</v>
      </c>
    </row>
    <row r="357" spans="1:8">
      <c r="A357" t="s">
        <v>157</v>
      </c>
      <c r="B357" t="s">
        <v>87</v>
      </c>
      <c r="C357">
        <v>100</v>
      </c>
      <c r="D357" t="s">
        <v>146</v>
      </c>
      <c r="E357" s="242">
        <v>42108.490972222222</v>
      </c>
      <c r="F357">
        <v>0</v>
      </c>
      <c r="G357" t="b">
        <v>0</v>
      </c>
      <c r="H357" t="s">
        <v>15</v>
      </c>
    </row>
    <row r="358" spans="1:8">
      <c r="A358" t="s">
        <v>169</v>
      </c>
      <c r="B358" t="s">
        <v>87</v>
      </c>
      <c r="C358">
        <v>100</v>
      </c>
      <c r="D358" t="s">
        <v>146</v>
      </c>
      <c r="E358" s="242">
        <v>42082.580555555556</v>
      </c>
      <c r="F358">
        <v>0</v>
      </c>
      <c r="G358" t="b">
        <v>0</v>
      </c>
      <c r="H358" t="s">
        <v>15</v>
      </c>
    </row>
    <row r="359" spans="1:8">
      <c r="A359" t="s">
        <v>170</v>
      </c>
      <c r="B359" t="s">
        <v>87</v>
      </c>
      <c r="C359">
        <v>100</v>
      </c>
      <c r="D359" t="s">
        <v>146</v>
      </c>
      <c r="E359" s="242">
        <v>42107</v>
      </c>
      <c r="F359">
        <v>0</v>
      </c>
      <c r="G359" t="b">
        <v>0</v>
      </c>
      <c r="H359" t="s">
        <v>15</v>
      </c>
    </row>
    <row r="360" spans="1:8">
      <c r="A360" t="s">
        <v>158</v>
      </c>
      <c r="B360" t="s">
        <v>87</v>
      </c>
      <c r="C360">
        <v>100</v>
      </c>
      <c r="D360" t="s">
        <v>146</v>
      </c>
      <c r="E360" s="242">
        <v>42089</v>
      </c>
      <c r="F360">
        <v>0</v>
      </c>
      <c r="G360" t="b">
        <v>0</v>
      </c>
      <c r="H360" t="s">
        <v>15</v>
      </c>
    </row>
    <row r="361" spans="1:8">
      <c r="A361" t="s">
        <v>159</v>
      </c>
      <c r="B361" t="s">
        <v>87</v>
      </c>
      <c r="C361">
        <v>100</v>
      </c>
      <c r="D361" t="s">
        <v>146</v>
      </c>
      <c r="E361" s="242">
        <v>42107.413194444445</v>
      </c>
      <c r="F361">
        <v>0</v>
      </c>
      <c r="G361" t="b">
        <v>0</v>
      </c>
      <c r="H361" t="s">
        <v>15</v>
      </c>
    </row>
    <row r="362" spans="1:8">
      <c r="A362" t="s">
        <v>160</v>
      </c>
      <c r="B362" t="s">
        <v>87</v>
      </c>
      <c r="C362">
        <v>100</v>
      </c>
      <c r="D362" t="s">
        <v>146</v>
      </c>
      <c r="E362" s="242">
        <v>42109.443749999999</v>
      </c>
      <c r="F362">
        <v>0</v>
      </c>
      <c r="G362" t="b">
        <v>0</v>
      </c>
      <c r="H362" t="s">
        <v>15</v>
      </c>
    </row>
    <row r="363" spans="1:8">
      <c r="A363" t="s">
        <v>161</v>
      </c>
      <c r="B363" t="s">
        <v>87</v>
      </c>
      <c r="C363">
        <v>100</v>
      </c>
      <c r="D363" t="s">
        <v>171</v>
      </c>
      <c r="E363" s="242">
        <v>42019.336111111108</v>
      </c>
      <c r="F363">
        <v>0</v>
      </c>
      <c r="G363" t="b">
        <v>0</v>
      </c>
      <c r="H363" t="s">
        <v>15</v>
      </c>
    </row>
    <row r="364" spans="1:8">
      <c r="A364" t="s">
        <v>164</v>
      </c>
      <c r="B364" t="s">
        <v>87</v>
      </c>
      <c r="C364">
        <v>101</v>
      </c>
      <c r="D364" t="s">
        <v>146</v>
      </c>
      <c r="E364" s="242">
        <v>42049.620833333334</v>
      </c>
      <c r="F364">
        <v>0</v>
      </c>
      <c r="G364" t="b">
        <v>0</v>
      </c>
      <c r="H364" t="s">
        <v>15</v>
      </c>
    </row>
    <row r="365" spans="1:8">
      <c r="A365" t="s">
        <v>165</v>
      </c>
      <c r="B365" t="s">
        <v>87</v>
      </c>
      <c r="C365">
        <v>101</v>
      </c>
      <c r="D365" t="s">
        <v>146</v>
      </c>
      <c r="E365" s="242">
        <v>42049.427083333336</v>
      </c>
      <c r="F365">
        <v>0</v>
      </c>
      <c r="G365" t="b">
        <v>0</v>
      </c>
      <c r="H365" t="s">
        <v>15</v>
      </c>
    </row>
    <row r="366" spans="1:8">
      <c r="A366" t="s">
        <v>148</v>
      </c>
      <c r="B366" t="s">
        <v>87</v>
      </c>
      <c r="C366">
        <v>101</v>
      </c>
      <c r="D366" t="s">
        <v>146</v>
      </c>
      <c r="E366" s="242">
        <v>42018</v>
      </c>
      <c r="F366">
        <v>0</v>
      </c>
      <c r="G366" t="b">
        <v>0</v>
      </c>
      <c r="H366" t="s">
        <v>15</v>
      </c>
    </row>
    <row r="367" spans="1:8">
      <c r="A367" t="s">
        <v>162</v>
      </c>
      <c r="B367" t="s">
        <v>87</v>
      </c>
      <c r="C367">
        <v>101</v>
      </c>
      <c r="D367" t="s">
        <v>146</v>
      </c>
      <c r="E367" s="242">
        <v>42046.661805555559</v>
      </c>
      <c r="F367">
        <v>0</v>
      </c>
      <c r="G367" t="b">
        <v>0</v>
      </c>
      <c r="H367" t="s">
        <v>15</v>
      </c>
    </row>
    <row r="368" spans="1:8">
      <c r="A368" t="s">
        <v>163</v>
      </c>
      <c r="B368" t="s">
        <v>87</v>
      </c>
      <c r="C368">
        <v>101</v>
      </c>
      <c r="D368" t="s">
        <v>146</v>
      </c>
      <c r="E368" s="242">
        <v>42046.635416666664</v>
      </c>
      <c r="F368">
        <v>0</v>
      </c>
      <c r="G368" t="b">
        <v>0</v>
      </c>
      <c r="H368" t="s">
        <v>15</v>
      </c>
    </row>
    <row r="369" spans="1:8">
      <c r="A369" t="s">
        <v>166</v>
      </c>
      <c r="B369" t="s">
        <v>87</v>
      </c>
      <c r="C369">
        <v>101</v>
      </c>
      <c r="D369" t="s">
        <v>146</v>
      </c>
      <c r="E369" s="242">
        <v>42047.651388888888</v>
      </c>
      <c r="F369">
        <v>0</v>
      </c>
      <c r="G369" t="b">
        <v>0</v>
      </c>
      <c r="H369" t="s">
        <v>15</v>
      </c>
    </row>
    <row r="370" spans="1:8">
      <c r="A370" t="s">
        <v>149</v>
      </c>
      <c r="B370" t="s">
        <v>87</v>
      </c>
      <c r="C370">
        <v>101</v>
      </c>
      <c r="D370" t="s">
        <v>146</v>
      </c>
      <c r="E370" s="242">
        <v>42052.585416666669</v>
      </c>
      <c r="F370">
        <v>0</v>
      </c>
      <c r="G370" t="b">
        <v>0</v>
      </c>
      <c r="H370" t="s">
        <v>15</v>
      </c>
    </row>
    <row r="371" spans="1:8">
      <c r="A371" t="s">
        <v>150</v>
      </c>
      <c r="B371" t="s">
        <v>87</v>
      </c>
      <c r="C371">
        <v>101</v>
      </c>
      <c r="D371" t="s">
        <v>146</v>
      </c>
      <c r="E371" s="242">
        <v>42046</v>
      </c>
      <c r="F371">
        <v>0</v>
      </c>
      <c r="G371" t="b">
        <v>0</v>
      </c>
      <c r="H371" t="s">
        <v>15</v>
      </c>
    </row>
    <row r="372" spans="1:8">
      <c r="A372" t="s">
        <v>151</v>
      </c>
      <c r="B372" t="s">
        <v>87</v>
      </c>
      <c r="C372">
        <v>101</v>
      </c>
      <c r="D372" t="s">
        <v>146</v>
      </c>
      <c r="E372" s="242">
        <v>42059</v>
      </c>
      <c r="F372">
        <v>0</v>
      </c>
      <c r="G372" t="b">
        <v>0</v>
      </c>
      <c r="H372" t="s">
        <v>15</v>
      </c>
    </row>
    <row r="373" spans="1:8">
      <c r="A373" t="s">
        <v>152</v>
      </c>
      <c r="B373" t="s">
        <v>87</v>
      </c>
      <c r="C373">
        <v>101</v>
      </c>
      <c r="D373" t="s">
        <v>146</v>
      </c>
      <c r="E373" s="242">
        <v>42075.322222222225</v>
      </c>
      <c r="F373">
        <v>0</v>
      </c>
      <c r="G373" t="b">
        <v>0</v>
      </c>
      <c r="H373" t="s">
        <v>15</v>
      </c>
    </row>
    <row r="374" spans="1:8">
      <c r="A374" t="s">
        <v>145</v>
      </c>
      <c r="B374" t="s">
        <v>87</v>
      </c>
      <c r="C374">
        <v>101</v>
      </c>
      <c r="D374" t="s">
        <v>146</v>
      </c>
      <c r="E374" s="242">
        <v>42046</v>
      </c>
      <c r="F374">
        <v>0</v>
      </c>
      <c r="G374" t="b">
        <v>0</v>
      </c>
      <c r="H374" t="s">
        <v>15</v>
      </c>
    </row>
    <row r="375" spans="1:8">
      <c r="A375" t="s">
        <v>167</v>
      </c>
      <c r="B375" t="s">
        <v>87</v>
      </c>
      <c r="C375">
        <v>101</v>
      </c>
      <c r="D375" t="s">
        <v>146</v>
      </c>
      <c r="E375" s="242">
        <v>42065.329861111109</v>
      </c>
      <c r="F375">
        <v>0</v>
      </c>
      <c r="G375" t="b">
        <v>0</v>
      </c>
      <c r="H375" t="s">
        <v>15</v>
      </c>
    </row>
    <row r="376" spans="1:8">
      <c r="A376" t="s">
        <v>153</v>
      </c>
      <c r="B376" t="s">
        <v>87</v>
      </c>
      <c r="C376">
        <v>101</v>
      </c>
      <c r="D376" t="s">
        <v>146</v>
      </c>
      <c r="E376" s="242">
        <v>42059</v>
      </c>
      <c r="F376">
        <v>0</v>
      </c>
      <c r="G376" t="b">
        <v>0</v>
      </c>
      <c r="H376" t="s">
        <v>15</v>
      </c>
    </row>
    <row r="377" spans="1:8">
      <c r="A377" t="s">
        <v>154</v>
      </c>
      <c r="B377" t="s">
        <v>87</v>
      </c>
      <c r="C377">
        <v>101</v>
      </c>
      <c r="D377" t="s">
        <v>146</v>
      </c>
      <c r="E377" s="242">
        <v>42048.660416666666</v>
      </c>
      <c r="F377">
        <v>0</v>
      </c>
      <c r="G377" t="b">
        <v>0</v>
      </c>
      <c r="H377" t="s">
        <v>15</v>
      </c>
    </row>
    <row r="378" spans="1:8">
      <c r="A378" t="s">
        <v>168</v>
      </c>
      <c r="B378" t="s">
        <v>87</v>
      </c>
      <c r="C378">
        <v>101</v>
      </c>
      <c r="D378" t="s">
        <v>146</v>
      </c>
      <c r="E378" s="242">
        <v>42048</v>
      </c>
      <c r="F378">
        <v>0</v>
      </c>
      <c r="G378" t="b">
        <v>0</v>
      </c>
      <c r="H378" t="s">
        <v>15</v>
      </c>
    </row>
    <row r="379" spans="1:8">
      <c r="A379" t="s">
        <v>155</v>
      </c>
      <c r="B379" t="s">
        <v>87</v>
      </c>
      <c r="C379">
        <v>101</v>
      </c>
      <c r="D379" t="s">
        <v>146</v>
      </c>
      <c r="E379" s="242">
        <v>42059</v>
      </c>
      <c r="F379">
        <v>0</v>
      </c>
      <c r="G379" t="b">
        <v>0</v>
      </c>
      <c r="H379" t="s">
        <v>15</v>
      </c>
    </row>
    <row r="380" spans="1:8">
      <c r="A380" t="s">
        <v>156</v>
      </c>
      <c r="B380" t="s">
        <v>87</v>
      </c>
      <c r="C380">
        <v>101</v>
      </c>
      <c r="D380" t="s">
        <v>146</v>
      </c>
      <c r="E380" s="242">
        <v>42059.466666666667</v>
      </c>
      <c r="F380">
        <v>0</v>
      </c>
      <c r="G380" t="b">
        <v>0</v>
      </c>
      <c r="H380" t="s">
        <v>15</v>
      </c>
    </row>
    <row r="381" spans="1:8">
      <c r="A381" t="s">
        <v>157</v>
      </c>
      <c r="B381" t="s">
        <v>87</v>
      </c>
      <c r="C381">
        <v>101</v>
      </c>
      <c r="D381" t="s">
        <v>146</v>
      </c>
      <c r="E381" s="242">
        <v>42048</v>
      </c>
      <c r="F381">
        <v>0</v>
      </c>
      <c r="G381" t="b">
        <v>0</v>
      </c>
      <c r="H381" t="s">
        <v>15</v>
      </c>
    </row>
    <row r="382" spans="1:8">
      <c r="A382" t="s">
        <v>169</v>
      </c>
      <c r="B382" t="s">
        <v>87</v>
      </c>
      <c r="C382">
        <v>101</v>
      </c>
      <c r="D382" t="s">
        <v>146</v>
      </c>
      <c r="E382" s="242">
        <v>42052.581250000003</v>
      </c>
      <c r="F382">
        <v>0</v>
      </c>
      <c r="G382" t="b">
        <v>0</v>
      </c>
      <c r="H382" t="s">
        <v>15</v>
      </c>
    </row>
    <row r="383" spans="1:8">
      <c r="A383" t="s">
        <v>170</v>
      </c>
      <c r="B383" t="s">
        <v>87</v>
      </c>
      <c r="C383">
        <v>101</v>
      </c>
      <c r="D383" t="s">
        <v>146</v>
      </c>
      <c r="E383" s="242">
        <v>42047</v>
      </c>
      <c r="F383">
        <v>0</v>
      </c>
      <c r="G383" t="b">
        <v>0</v>
      </c>
      <c r="H383" t="s">
        <v>15</v>
      </c>
    </row>
    <row r="384" spans="1:8">
      <c r="A384" t="s">
        <v>158</v>
      </c>
      <c r="B384" t="s">
        <v>87</v>
      </c>
      <c r="C384">
        <v>101</v>
      </c>
      <c r="D384" t="s">
        <v>146</v>
      </c>
      <c r="E384" s="242">
        <v>42059</v>
      </c>
      <c r="F384">
        <v>0</v>
      </c>
      <c r="G384" t="b">
        <v>0</v>
      </c>
      <c r="H384" t="s">
        <v>15</v>
      </c>
    </row>
    <row r="385" spans="1:8">
      <c r="A385" t="s">
        <v>159</v>
      </c>
      <c r="B385" t="s">
        <v>87</v>
      </c>
      <c r="C385">
        <v>101</v>
      </c>
      <c r="D385" t="s">
        <v>146</v>
      </c>
      <c r="E385" s="242">
        <v>42047.413888888892</v>
      </c>
      <c r="F385">
        <v>0</v>
      </c>
      <c r="G385" t="b">
        <v>0</v>
      </c>
      <c r="H385" t="s">
        <v>15</v>
      </c>
    </row>
    <row r="386" spans="1:8">
      <c r="A386" t="s">
        <v>160</v>
      </c>
      <c r="B386" t="s">
        <v>87</v>
      </c>
      <c r="C386">
        <v>101</v>
      </c>
      <c r="D386" t="s">
        <v>146</v>
      </c>
      <c r="E386" s="242">
        <v>42050.883333333331</v>
      </c>
      <c r="F386">
        <v>0</v>
      </c>
      <c r="G386" t="b">
        <v>0</v>
      </c>
      <c r="H386" t="s">
        <v>15</v>
      </c>
    </row>
    <row r="387" spans="1:8">
      <c r="A387" t="s">
        <v>161</v>
      </c>
      <c r="B387" t="s">
        <v>87</v>
      </c>
      <c r="C387">
        <v>101</v>
      </c>
      <c r="D387" t="s">
        <v>171</v>
      </c>
      <c r="E387" s="242">
        <v>42019.336805555555</v>
      </c>
      <c r="F387">
        <v>0</v>
      </c>
      <c r="G387" t="b">
        <v>0</v>
      </c>
      <c r="H387" t="s">
        <v>15</v>
      </c>
    </row>
    <row r="388" spans="1:8">
      <c r="A388" t="s">
        <v>164</v>
      </c>
      <c r="B388" t="s">
        <v>87</v>
      </c>
      <c r="C388">
        <v>102</v>
      </c>
      <c r="D388" t="s">
        <v>146</v>
      </c>
      <c r="E388" s="242">
        <v>42095.5625</v>
      </c>
      <c r="F388">
        <v>0</v>
      </c>
      <c r="G388" t="b">
        <v>0</v>
      </c>
      <c r="H388" t="s">
        <v>15</v>
      </c>
    </row>
    <row r="389" spans="1:8">
      <c r="A389" t="s">
        <v>161</v>
      </c>
      <c r="B389" t="s">
        <v>87</v>
      </c>
      <c r="C389">
        <v>102</v>
      </c>
      <c r="D389" t="s">
        <v>146</v>
      </c>
      <c r="E389" s="242">
        <v>42074.370138888888</v>
      </c>
      <c r="F389">
        <v>0</v>
      </c>
      <c r="G389" t="b">
        <v>0</v>
      </c>
      <c r="H389" t="s">
        <v>15</v>
      </c>
    </row>
    <row r="390" spans="1:8">
      <c r="A390" t="s">
        <v>165</v>
      </c>
      <c r="B390" t="s">
        <v>87</v>
      </c>
      <c r="C390">
        <v>102</v>
      </c>
      <c r="D390" t="s">
        <v>146</v>
      </c>
      <c r="E390" s="242">
        <v>42094.5625</v>
      </c>
      <c r="F390">
        <v>0</v>
      </c>
      <c r="G390" t="b">
        <v>0</v>
      </c>
      <c r="H390" t="s">
        <v>15</v>
      </c>
    </row>
    <row r="391" spans="1:8">
      <c r="A391" t="s">
        <v>148</v>
      </c>
      <c r="B391" t="s">
        <v>87</v>
      </c>
      <c r="C391">
        <v>102</v>
      </c>
      <c r="D391" t="s">
        <v>146</v>
      </c>
      <c r="E391" s="242">
        <v>42094.400000000001</v>
      </c>
      <c r="F391">
        <v>0</v>
      </c>
      <c r="G391" t="b">
        <v>0</v>
      </c>
      <c r="H391" t="s">
        <v>15</v>
      </c>
    </row>
    <row r="392" spans="1:8">
      <c r="A392" t="s">
        <v>162</v>
      </c>
      <c r="B392" t="s">
        <v>87</v>
      </c>
      <c r="C392">
        <v>102</v>
      </c>
      <c r="D392" t="s">
        <v>146</v>
      </c>
      <c r="E392" s="242">
        <v>42102.587500000001</v>
      </c>
      <c r="F392">
        <v>0</v>
      </c>
      <c r="G392" t="b">
        <v>0</v>
      </c>
      <c r="H392" t="s">
        <v>15</v>
      </c>
    </row>
    <row r="393" spans="1:8">
      <c r="A393" t="s">
        <v>163</v>
      </c>
      <c r="B393" t="s">
        <v>87</v>
      </c>
      <c r="C393">
        <v>102</v>
      </c>
      <c r="D393" t="s">
        <v>146</v>
      </c>
      <c r="E393" s="242">
        <v>42087.676388888889</v>
      </c>
      <c r="F393">
        <v>0</v>
      </c>
      <c r="G393" t="b">
        <v>0</v>
      </c>
      <c r="H393" t="s">
        <v>15</v>
      </c>
    </row>
    <row r="394" spans="1:8">
      <c r="A394" t="s">
        <v>166</v>
      </c>
      <c r="B394" t="s">
        <v>87</v>
      </c>
      <c r="C394">
        <v>102</v>
      </c>
      <c r="D394" t="s">
        <v>146</v>
      </c>
      <c r="E394" s="242">
        <v>42105.454861111109</v>
      </c>
      <c r="F394">
        <v>0</v>
      </c>
      <c r="G394" t="b">
        <v>0</v>
      </c>
      <c r="H394" t="s">
        <v>15</v>
      </c>
    </row>
    <row r="395" spans="1:8">
      <c r="A395" t="s">
        <v>149</v>
      </c>
      <c r="B395" t="s">
        <v>87</v>
      </c>
      <c r="C395">
        <v>102</v>
      </c>
      <c r="D395" t="s">
        <v>146</v>
      </c>
      <c r="E395" s="242">
        <v>42098.438888888886</v>
      </c>
      <c r="F395">
        <v>0</v>
      </c>
      <c r="G395" t="b">
        <v>0</v>
      </c>
      <c r="H395" t="s">
        <v>15</v>
      </c>
    </row>
    <row r="396" spans="1:8">
      <c r="A396" t="s">
        <v>150</v>
      </c>
      <c r="B396" t="s">
        <v>87</v>
      </c>
      <c r="C396">
        <v>102</v>
      </c>
      <c r="D396" t="s">
        <v>146</v>
      </c>
      <c r="E396" s="242">
        <v>42096.324999999997</v>
      </c>
      <c r="F396">
        <v>0</v>
      </c>
      <c r="G396" t="b">
        <v>0</v>
      </c>
      <c r="H396" t="s">
        <v>15</v>
      </c>
    </row>
    <row r="397" spans="1:8">
      <c r="A397" t="s">
        <v>151</v>
      </c>
      <c r="B397" t="s">
        <v>87</v>
      </c>
      <c r="C397">
        <v>102</v>
      </c>
      <c r="D397" t="s">
        <v>146</v>
      </c>
      <c r="E397" s="242">
        <v>42060.45416666667</v>
      </c>
      <c r="F397">
        <v>0</v>
      </c>
      <c r="G397" t="b">
        <v>0</v>
      </c>
      <c r="H397" t="s">
        <v>15</v>
      </c>
    </row>
    <row r="398" spans="1:8">
      <c r="A398" t="s">
        <v>152</v>
      </c>
      <c r="B398" t="s">
        <v>87</v>
      </c>
      <c r="C398">
        <v>102</v>
      </c>
      <c r="D398" t="s">
        <v>146</v>
      </c>
      <c r="E398" s="242">
        <v>42094</v>
      </c>
      <c r="F398">
        <v>0</v>
      </c>
      <c r="G398" t="b">
        <v>0</v>
      </c>
      <c r="H398" t="s">
        <v>15</v>
      </c>
    </row>
    <row r="399" spans="1:8">
      <c r="A399" t="s">
        <v>145</v>
      </c>
      <c r="B399" t="s">
        <v>87</v>
      </c>
      <c r="C399">
        <v>102</v>
      </c>
      <c r="D399" t="s">
        <v>146</v>
      </c>
      <c r="E399" s="242">
        <v>42105</v>
      </c>
      <c r="F399">
        <v>0</v>
      </c>
      <c r="G399" t="b">
        <v>0</v>
      </c>
      <c r="H399" t="s">
        <v>15</v>
      </c>
    </row>
    <row r="400" spans="1:8">
      <c r="A400" t="s">
        <v>167</v>
      </c>
      <c r="B400" t="s">
        <v>87</v>
      </c>
      <c r="C400">
        <v>102</v>
      </c>
      <c r="D400" t="s">
        <v>146</v>
      </c>
      <c r="E400" s="242">
        <v>42089.400694444441</v>
      </c>
      <c r="F400">
        <v>0</v>
      </c>
      <c r="G400" t="b">
        <v>0</v>
      </c>
      <c r="H400" t="s">
        <v>15</v>
      </c>
    </row>
    <row r="401" spans="1:8">
      <c r="A401" t="s">
        <v>153</v>
      </c>
      <c r="B401" t="s">
        <v>87</v>
      </c>
      <c r="C401">
        <v>102</v>
      </c>
      <c r="D401" t="s">
        <v>146</v>
      </c>
      <c r="E401" s="242">
        <v>42059.677083333336</v>
      </c>
      <c r="F401">
        <v>0</v>
      </c>
      <c r="G401" t="b">
        <v>0</v>
      </c>
      <c r="H401" t="s">
        <v>15</v>
      </c>
    </row>
    <row r="402" spans="1:8">
      <c r="A402" t="s">
        <v>154</v>
      </c>
      <c r="B402" t="s">
        <v>87</v>
      </c>
      <c r="C402">
        <v>102</v>
      </c>
      <c r="D402" t="s">
        <v>146</v>
      </c>
      <c r="E402" s="242">
        <v>42097.315972222219</v>
      </c>
      <c r="F402">
        <v>0</v>
      </c>
      <c r="G402" t="b">
        <v>0</v>
      </c>
      <c r="H402" t="s">
        <v>15</v>
      </c>
    </row>
    <row r="403" spans="1:8">
      <c r="A403" t="s">
        <v>168</v>
      </c>
      <c r="B403" t="s">
        <v>87</v>
      </c>
      <c r="C403">
        <v>102</v>
      </c>
      <c r="D403" t="s">
        <v>146</v>
      </c>
      <c r="E403" s="242">
        <v>42108.609722222223</v>
      </c>
      <c r="F403">
        <v>0</v>
      </c>
      <c r="G403" t="b">
        <v>0</v>
      </c>
      <c r="H403" t="s">
        <v>15</v>
      </c>
    </row>
    <row r="404" spans="1:8">
      <c r="A404" t="s">
        <v>155</v>
      </c>
      <c r="B404" t="s">
        <v>87</v>
      </c>
      <c r="C404">
        <v>102</v>
      </c>
      <c r="D404" t="s">
        <v>146</v>
      </c>
      <c r="E404" s="242">
        <v>42096.445138888892</v>
      </c>
      <c r="F404">
        <v>0</v>
      </c>
      <c r="G404" t="b">
        <v>0</v>
      </c>
      <c r="H404" t="s">
        <v>15</v>
      </c>
    </row>
    <row r="405" spans="1:8">
      <c r="A405" t="s">
        <v>156</v>
      </c>
      <c r="B405" t="s">
        <v>87</v>
      </c>
      <c r="C405">
        <v>102</v>
      </c>
      <c r="D405" t="s">
        <v>146</v>
      </c>
      <c r="E405" s="242">
        <v>42109.438888888886</v>
      </c>
      <c r="F405">
        <v>0</v>
      </c>
      <c r="G405" t="b">
        <v>0</v>
      </c>
      <c r="H405" t="s">
        <v>15</v>
      </c>
    </row>
    <row r="406" spans="1:8">
      <c r="A406" t="s">
        <v>157</v>
      </c>
      <c r="B406" t="s">
        <v>87</v>
      </c>
      <c r="C406">
        <v>102</v>
      </c>
      <c r="D406" t="s">
        <v>146</v>
      </c>
      <c r="E406" s="242">
        <v>42094.949305555558</v>
      </c>
      <c r="F406">
        <v>0</v>
      </c>
      <c r="G406" t="b">
        <v>0</v>
      </c>
      <c r="H406" t="s">
        <v>15</v>
      </c>
    </row>
    <row r="407" spans="1:8">
      <c r="A407" t="s">
        <v>169</v>
      </c>
      <c r="B407" t="s">
        <v>87</v>
      </c>
      <c r="C407">
        <v>102</v>
      </c>
      <c r="D407" t="s">
        <v>146</v>
      </c>
      <c r="E407" s="242">
        <v>42096.363888888889</v>
      </c>
      <c r="F407">
        <v>0</v>
      </c>
      <c r="G407" t="b">
        <v>0</v>
      </c>
      <c r="H407" t="s">
        <v>15</v>
      </c>
    </row>
    <row r="408" spans="1:8">
      <c r="A408" t="s">
        <v>170</v>
      </c>
      <c r="B408" t="s">
        <v>87</v>
      </c>
      <c r="C408">
        <v>102</v>
      </c>
      <c r="D408" t="s">
        <v>146</v>
      </c>
      <c r="E408" s="242">
        <v>42069.631944444445</v>
      </c>
      <c r="F408">
        <v>0</v>
      </c>
      <c r="G408" t="b">
        <v>0</v>
      </c>
      <c r="H408" t="s">
        <v>15</v>
      </c>
    </row>
    <row r="409" spans="1:8">
      <c r="A409" t="s">
        <v>158</v>
      </c>
      <c r="B409" t="s">
        <v>87</v>
      </c>
      <c r="C409">
        <v>102</v>
      </c>
      <c r="D409" t="s">
        <v>146</v>
      </c>
      <c r="E409" s="242">
        <v>42104.322222222225</v>
      </c>
      <c r="F409">
        <v>0</v>
      </c>
      <c r="G409" t="b">
        <v>0</v>
      </c>
      <c r="H409" t="s">
        <v>15</v>
      </c>
    </row>
    <row r="410" spans="1:8">
      <c r="A410" t="s">
        <v>159</v>
      </c>
      <c r="B410" t="s">
        <v>87</v>
      </c>
      <c r="C410">
        <v>102</v>
      </c>
      <c r="D410" t="s">
        <v>146</v>
      </c>
      <c r="E410" s="242">
        <v>42107.426388888889</v>
      </c>
      <c r="F410">
        <v>0</v>
      </c>
      <c r="G410" t="b">
        <v>0</v>
      </c>
      <c r="H410" t="s">
        <v>15</v>
      </c>
    </row>
    <row r="411" spans="1:8">
      <c r="A411" t="s">
        <v>160</v>
      </c>
      <c r="B411" t="s">
        <v>87</v>
      </c>
      <c r="C411">
        <v>102</v>
      </c>
      <c r="D411" t="s">
        <v>146</v>
      </c>
      <c r="E411" s="242">
        <v>42095.286805555559</v>
      </c>
      <c r="F411">
        <v>0</v>
      </c>
      <c r="G411" t="b">
        <v>0</v>
      </c>
      <c r="H411" t="s">
        <v>15</v>
      </c>
    </row>
    <row r="412" spans="1:8">
      <c r="A412" t="s">
        <v>164</v>
      </c>
      <c r="B412" t="s">
        <v>87</v>
      </c>
      <c r="C412">
        <v>103</v>
      </c>
      <c r="D412" t="s">
        <v>146</v>
      </c>
      <c r="E412" s="242">
        <v>42051.594444444447</v>
      </c>
      <c r="F412">
        <v>0</v>
      </c>
      <c r="G412" t="b">
        <v>0</v>
      </c>
      <c r="H412" t="s">
        <v>15</v>
      </c>
    </row>
    <row r="413" spans="1:8">
      <c r="A413" t="s">
        <v>161</v>
      </c>
      <c r="B413" t="s">
        <v>87</v>
      </c>
      <c r="C413">
        <v>103</v>
      </c>
      <c r="D413" t="s">
        <v>146</v>
      </c>
      <c r="E413" s="242">
        <v>42088.488888888889</v>
      </c>
      <c r="F413">
        <v>0</v>
      </c>
      <c r="G413" t="b">
        <v>0</v>
      </c>
      <c r="H413" t="s">
        <v>15</v>
      </c>
    </row>
    <row r="414" spans="1:8">
      <c r="A414" t="s">
        <v>165</v>
      </c>
      <c r="B414" t="s">
        <v>87</v>
      </c>
      <c r="C414">
        <v>103</v>
      </c>
      <c r="D414" t="s">
        <v>146</v>
      </c>
      <c r="E414" s="242">
        <v>42029.3125</v>
      </c>
      <c r="F414">
        <v>0</v>
      </c>
      <c r="G414" t="b">
        <v>0</v>
      </c>
      <c r="H414" t="s">
        <v>15</v>
      </c>
    </row>
    <row r="415" spans="1:8">
      <c r="A415" t="s">
        <v>148</v>
      </c>
      <c r="B415" t="s">
        <v>87</v>
      </c>
      <c r="C415">
        <v>103</v>
      </c>
      <c r="D415" t="s">
        <v>146</v>
      </c>
      <c r="E415" s="242">
        <v>42019.412499999999</v>
      </c>
      <c r="F415">
        <v>0</v>
      </c>
      <c r="G415" t="b">
        <v>0</v>
      </c>
      <c r="H415" t="s">
        <v>15</v>
      </c>
    </row>
    <row r="416" spans="1:8">
      <c r="A416" t="s">
        <v>162</v>
      </c>
      <c r="B416" t="s">
        <v>87</v>
      </c>
      <c r="C416">
        <v>103</v>
      </c>
      <c r="D416" t="s">
        <v>146</v>
      </c>
      <c r="E416" s="242">
        <v>42104</v>
      </c>
      <c r="F416">
        <v>0</v>
      </c>
      <c r="G416" t="b">
        <v>0</v>
      </c>
      <c r="H416" t="s">
        <v>15</v>
      </c>
    </row>
    <row r="417" spans="1:8">
      <c r="A417" t="s">
        <v>163</v>
      </c>
      <c r="B417" t="s">
        <v>87</v>
      </c>
      <c r="C417">
        <v>103</v>
      </c>
      <c r="D417" t="s">
        <v>146</v>
      </c>
      <c r="E417" s="242">
        <v>42098</v>
      </c>
      <c r="F417">
        <v>0</v>
      </c>
      <c r="G417" t="b">
        <v>0</v>
      </c>
      <c r="H417" t="s">
        <v>15</v>
      </c>
    </row>
    <row r="418" spans="1:8">
      <c r="A418" t="s">
        <v>166</v>
      </c>
      <c r="B418" t="s">
        <v>87</v>
      </c>
      <c r="C418">
        <v>103</v>
      </c>
      <c r="D418" t="s">
        <v>146</v>
      </c>
      <c r="E418" s="242">
        <v>42046.445138888892</v>
      </c>
      <c r="F418">
        <v>0</v>
      </c>
      <c r="G418" t="b">
        <v>0</v>
      </c>
      <c r="H418" t="s">
        <v>15</v>
      </c>
    </row>
    <row r="419" spans="1:8">
      <c r="A419" t="s">
        <v>149</v>
      </c>
      <c r="B419" t="s">
        <v>87</v>
      </c>
      <c r="C419">
        <v>103</v>
      </c>
      <c r="D419" t="s">
        <v>146</v>
      </c>
      <c r="E419" s="242">
        <v>42068.629861111112</v>
      </c>
      <c r="F419">
        <v>0</v>
      </c>
      <c r="G419" t="b">
        <v>0</v>
      </c>
      <c r="H419" t="s">
        <v>15</v>
      </c>
    </row>
    <row r="420" spans="1:8">
      <c r="A420" t="s">
        <v>150</v>
      </c>
      <c r="B420" t="s">
        <v>87</v>
      </c>
      <c r="C420">
        <v>103</v>
      </c>
      <c r="D420" t="s">
        <v>146</v>
      </c>
      <c r="E420" s="242">
        <v>42039.362500000003</v>
      </c>
      <c r="F420">
        <v>0</v>
      </c>
      <c r="G420" t="b">
        <v>0</v>
      </c>
      <c r="H420" t="s">
        <v>15</v>
      </c>
    </row>
    <row r="421" spans="1:8">
      <c r="A421" t="s">
        <v>151</v>
      </c>
      <c r="B421" t="s">
        <v>87</v>
      </c>
      <c r="C421">
        <v>103</v>
      </c>
      <c r="D421" t="s">
        <v>146</v>
      </c>
      <c r="E421" s="242">
        <v>41982.70208333333</v>
      </c>
      <c r="F421">
        <v>0</v>
      </c>
      <c r="G421" t="b">
        <v>0</v>
      </c>
      <c r="H421" t="s">
        <v>15</v>
      </c>
    </row>
    <row r="422" spans="1:8">
      <c r="A422" t="s">
        <v>152</v>
      </c>
      <c r="B422" t="s">
        <v>87</v>
      </c>
      <c r="C422">
        <v>103</v>
      </c>
      <c r="D422" t="s">
        <v>146</v>
      </c>
      <c r="E422" s="242">
        <v>42060.296527777777</v>
      </c>
      <c r="F422">
        <v>0</v>
      </c>
      <c r="G422" t="b">
        <v>0</v>
      </c>
      <c r="H422" t="s">
        <v>15</v>
      </c>
    </row>
    <row r="423" spans="1:8">
      <c r="A423" t="s">
        <v>145</v>
      </c>
      <c r="B423" t="s">
        <v>87</v>
      </c>
      <c r="C423">
        <v>103</v>
      </c>
      <c r="D423" t="s">
        <v>146</v>
      </c>
      <c r="E423" s="242">
        <v>42073.529861111114</v>
      </c>
      <c r="F423">
        <v>0</v>
      </c>
      <c r="G423" t="b">
        <v>0</v>
      </c>
      <c r="H423" t="s">
        <v>15</v>
      </c>
    </row>
    <row r="424" spans="1:8">
      <c r="A424" t="s">
        <v>167</v>
      </c>
      <c r="B424" t="s">
        <v>87</v>
      </c>
      <c r="C424">
        <v>103</v>
      </c>
      <c r="D424" t="s">
        <v>146</v>
      </c>
      <c r="E424" s="242">
        <v>42073.579861111109</v>
      </c>
      <c r="F424">
        <v>0</v>
      </c>
      <c r="G424" t="b">
        <v>0</v>
      </c>
      <c r="H424" t="s">
        <v>15</v>
      </c>
    </row>
    <row r="425" spans="1:8">
      <c r="A425" t="s">
        <v>153</v>
      </c>
      <c r="B425" t="s">
        <v>87</v>
      </c>
      <c r="C425">
        <v>103</v>
      </c>
      <c r="D425" t="s">
        <v>146</v>
      </c>
      <c r="E425" s="242">
        <v>41993.619444444441</v>
      </c>
      <c r="F425">
        <v>0</v>
      </c>
      <c r="G425" t="b">
        <v>0</v>
      </c>
      <c r="H425" t="s">
        <v>15</v>
      </c>
    </row>
    <row r="426" spans="1:8">
      <c r="A426" t="s">
        <v>154</v>
      </c>
      <c r="B426" t="s">
        <v>87</v>
      </c>
      <c r="C426">
        <v>103</v>
      </c>
      <c r="D426" t="s">
        <v>146</v>
      </c>
      <c r="E426" s="242">
        <v>42099.709027777775</v>
      </c>
      <c r="F426">
        <v>0</v>
      </c>
      <c r="G426" t="b">
        <v>0</v>
      </c>
      <c r="H426" t="s">
        <v>15</v>
      </c>
    </row>
    <row r="427" spans="1:8">
      <c r="A427" t="s">
        <v>168</v>
      </c>
      <c r="B427" t="s">
        <v>87</v>
      </c>
      <c r="C427">
        <v>103</v>
      </c>
      <c r="D427" t="s">
        <v>146</v>
      </c>
      <c r="E427" s="242">
        <v>42088</v>
      </c>
      <c r="F427">
        <v>0</v>
      </c>
      <c r="G427" t="b">
        <v>0</v>
      </c>
      <c r="H427" t="s">
        <v>15</v>
      </c>
    </row>
    <row r="428" spans="1:8">
      <c r="A428" t="s">
        <v>155</v>
      </c>
      <c r="B428" t="s">
        <v>87</v>
      </c>
      <c r="C428">
        <v>103</v>
      </c>
      <c r="D428" t="s">
        <v>146</v>
      </c>
      <c r="E428" s="242">
        <v>42066.443749999999</v>
      </c>
      <c r="F428">
        <v>0</v>
      </c>
      <c r="G428" t="b">
        <v>0</v>
      </c>
      <c r="H428" t="s">
        <v>15</v>
      </c>
    </row>
    <row r="429" spans="1:8">
      <c r="A429" t="s">
        <v>156</v>
      </c>
      <c r="B429" t="s">
        <v>87</v>
      </c>
      <c r="C429">
        <v>103</v>
      </c>
      <c r="D429" t="s">
        <v>146</v>
      </c>
      <c r="E429" s="242">
        <v>42040.448611111111</v>
      </c>
      <c r="F429">
        <v>0</v>
      </c>
      <c r="G429" t="b">
        <v>0</v>
      </c>
      <c r="H429" t="s">
        <v>15</v>
      </c>
    </row>
    <row r="430" spans="1:8">
      <c r="A430" t="s">
        <v>157</v>
      </c>
      <c r="B430" t="s">
        <v>87</v>
      </c>
      <c r="C430">
        <v>103</v>
      </c>
      <c r="D430" t="s">
        <v>146</v>
      </c>
      <c r="E430" s="242">
        <v>42080.431944444441</v>
      </c>
      <c r="F430">
        <v>0</v>
      </c>
      <c r="G430" t="b">
        <v>0</v>
      </c>
      <c r="H430" t="s">
        <v>15</v>
      </c>
    </row>
    <row r="431" spans="1:8">
      <c r="A431" t="s">
        <v>169</v>
      </c>
      <c r="B431" t="s">
        <v>87</v>
      </c>
      <c r="C431">
        <v>103</v>
      </c>
      <c r="D431" t="s">
        <v>146</v>
      </c>
      <c r="E431" s="242">
        <v>42072.704861111109</v>
      </c>
      <c r="F431">
        <v>0</v>
      </c>
      <c r="G431" t="b">
        <v>0</v>
      </c>
      <c r="H431" t="s">
        <v>15</v>
      </c>
    </row>
    <row r="432" spans="1:8">
      <c r="A432" t="s">
        <v>170</v>
      </c>
      <c r="B432" t="s">
        <v>87</v>
      </c>
      <c r="C432">
        <v>103</v>
      </c>
      <c r="D432" t="s">
        <v>146</v>
      </c>
      <c r="E432" s="242">
        <v>42036.45416666667</v>
      </c>
      <c r="F432">
        <v>0</v>
      </c>
      <c r="G432" t="b">
        <v>0</v>
      </c>
      <c r="H432" t="s">
        <v>15</v>
      </c>
    </row>
    <row r="433" spans="1:8">
      <c r="A433" t="s">
        <v>158</v>
      </c>
      <c r="B433" t="s">
        <v>87</v>
      </c>
      <c r="C433">
        <v>103</v>
      </c>
      <c r="D433" t="s">
        <v>146</v>
      </c>
      <c r="E433" s="242">
        <v>42041.089583333334</v>
      </c>
      <c r="F433">
        <v>0</v>
      </c>
      <c r="G433" t="b">
        <v>0</v>
      </c>
      <c r="H433" t="s">
        <v>15</v>
      </c>
    </row>
    <row r="434" spans="1:8">
      <c r="A434" t="s">
        <v>159</v>
      </c>
      <c r="B434" t="s">
        <v>87</v>
      </c>
      <c r="C434">
        <v>103</v>
      </c>
      <c r="D434" t="s">
        <v>146</v>
      </c>
      <c r="E434" s="242">
        <v>42058.863888888889</v>
      </c>
      <c r="F434">
        <v>0</v>
      </c>
      <c r="G434" t="b">
        <v>0</v>
      </c>
      <c r="H434" t="s">
        <v>15</v>
      </c>
    </row>
    <row r="435" spans="1:8">
      <c r="A435" t="s">
        <v>160</v>
      </c>
      <c r="B435" t="s">
        <v>87</v>
      </c>
      <c r="C435">
        <v>103</v>
      </c>
      <c r="D435" t="s">
        <v>146</v>
      </c>
      <c r="E435" s="242">
        <v>42093</v>
      </c>
      <c r="F435">
        <v>0</v>
      </c>
      <c r="G435" t="b">
        <v>0</v>
      </c>
      <c r="H435" t="s">
        <v>15</v>
      </c>
    </row>
    <row r="436" spans="1:8">
      <c r="A436" t="s">
        <v>150</v>
      </c>
      <c r="B436" t="s">
        <v>87</v>
      </c>
      <c r="C436">
        <v>116</v>
      </c>
      <c r="D436" t="s">
        <v>146</v>
      </c>
      <c r="E436" s="242">
        <v>42104.818055555559</v>
      </c>
      <c r="F436">
        <v>0</v>
      </c>
      <c r="G436" t="b">
        <v>0</v>
      </c>
      <c r="H436" t="s">
        <v>15</v>
      </c>
    </row>
    <row r="437" spans="1:8">
      <c r="A437" t="s">
        <v>164</v>
      </c>
      <c r="B437" t="s">
        <v>87</v>
      </c>
      <c r="C437">
        <v>130</v>
      </c>
      <c r="D437" t="s">
        <v>147</v>
      </c>
      <c r="E437" s="242"/>
      <c r="F437">
        <v>5409.39990234375</v>
      </c>
      <c r="G437" t="b">
        <v>0</v>
      </c>
      <c r="H437" t="s">
        <v>15</v>
      </c>
    </row>
    <row r="438" spans="1:8">
      <c r="A438" t="s">
        <v>161</v>
      </c>
      <c r="B438" t="s">
        <v>87</v>
      </c>
      <c r="C438">
        <v>130</v>
      </c>
      <c r="D438" t="s">
        <v>147</v>
      </c>
      <c r="E438" s="242"/>
      <c r="F438">
        <v>7194.89990234375</v>
      </c>
      <c r="G438" t="b">
        <v>0</v>
      </c>
      <c r="H438" t="s">
        <v>15</v>
      </c>
    </row>
    <row r="439" spans="1:8">
      <c r="A439" t="s">
        <v>165</v>
      </c>
      <c r="B439" t="s">
        <v>87</v>
      </c>
      <c r="C439">
        <v>130</v>
      </c>
      <c r="D439" t="s">
        <v>147</v>
      </c>
      <c r="E439" s="242"/>
      <c r="F439">
        <v>7787.2001953125</v>
      </c>
      <c r="G439" t="b">
        <v>0</v>
      </c>
      <c r="H439" t="s">
        <v>15</v>
      </c>
    </row>
    <row r="440" spans="1:8">
      <c r="A440" t="s">
        <v>148</v>
      </c>
      <c r="B440" t="s">
        <v>87</v>
      </c>
      <c r="C440">
        <v>130</v>
      </c>
      <c r="D440" t="s">
        <v>147</v>
      </c>
      <c r="E440" s="242"/>
      <c r="F440">
        <v>6747.2998046875</v>
      </c>
      <c r="G440" t="b">
        <v>0</v>
      </c>
      <c r="H440" t="s">
        <v>15</v>
      </c>
    </row>
    <row r="441" spans="1:8">
      <c r="A441" t="s">
        <v>162</v>
      </c>
      <c r="B441" t="s">
        <v>87</v>
      </c>
      <c r="C441">
        <v>130</v>
      </c>
      <c r="D441" t="s">
        <v>147</v>
      </c>
      <c r="E441" s="242"/>
      <c r="F441">
        <v>7483.10009765625</v>
      </c>
      <c r="G441" t="b">
        <v>0</v>
      </c>
      <c r="H441" t="s">
        <v>15</v>
      </c>
    </row>
    <row r="442" spans="1:8">
      <c r="A442" t="s">
        <v>163</v>
      </c>
      <c r="B442" t="s">
        <v>87</v>
      </c>
      <c r="C442">
        <v>130</v>
      </c>
      <c r="D442" t="s">
        <v>147</v>
      </c>
      <c r="E442" s="242"/>
      <c r="F442">
        <v>4799.5</v>
      </c>
      <c r="G442" t="b">
        <v>0</v>
      </c>
      <c r="H442" t="s">
        <v>15</v>
      </c>
    </row>
    <row r="443" spans="1:8">
      <c r="A443" t="s">
        <v>166</v>
      </c>
      <c r="B443" t="s">
        <v>87</v>
      </c>
      <c r="C443">
        <v>130</v>
      </c>
      <c r="D443" t="s">
        <v>147</v>
      </c>
      <c r="E443" s="242"/>
      <c r="F443">
        <v>3530</v>
      </c>
      <c r="G443" t="b">
        <v>0</v>
      </c>
      <c r="H443" t="s">
        <v>15</v>
      </c>
    </row>
    <row r="444" spans="1:8">
      <c r="A444" t="s">
        <v>149</v>
      </c>
      <c r="B444" t="s">
        <v>87</v>
      </c>
      <c r="C444">
        <v>130</v>
      </c>
      <c r="D444" t="s">
        <v>147</v>
      </c>
      <c r="E444" s="242"/>
      <c r="F444">
        <v>5157.5</v>
      </c>
      <c r="G444" t="b">
        <v>0</v>
      </c>
      <c r="H444" t="s">
        <v>15</v>
      </c>
    </row>
    <row r="445" spans="1:8">
      <c r="A445" t="s">
        <v>150</v>
      </c>
      <c r="B445" t="s">
        <v>87</v>
      </c>
      <c r="C445">
        <v>130</v>
      </c>
      <c r="D445" t="s">
        <v>147</v>
      </c>
      <c r="E445" s="242"/>
      <c r="F445">
        <v>4030</v>
      </c>
      <c r="G445" t="b">
        <v>0</v>
      </c>
      <c r="H445" t="s">
        <v>15</v>
      </c>
    </row>
    <row r="446" spans="1:8">
      <c r="A446" t="s">
        <v>151</v>
      </c>
      <c r="B446" t="s">
        <v>87</v>
      </c>
      <c r="C446">
        <v>130</v>
      </c>
      <c r="D446" t="s">
        <v>147</v>
      </c>
      <c r="E446" s="242"/>
      <c r="F446">
        <v>1966.40002441406</v>
      </c>
      <c r="G446" t="b">
        <v>0</v>
      </c>
      <c r="H446" t="s">
        <v>15</v>
      </c>
    </row>
    <row r="447" spans="1:8">
      <c r="A447" t="s">
        <v>152</v>
      </c>
      <c r="B447" t="s">
        <v>87</v>
      </c>
      <c r="C447">
        <v>130</v>
      </c>
      <c r="D447" t="s">
        <v>147</v>
      </c>
      <c r="E447" s="242"/>
      <c r="F447">
        <v>1817.90002441406</v>
      </c>
      <c r="G447" t="b">
        <v>0</v>
      </c>
      <c r="H447" t="s">
        <v>15</v>
      </c>
    </row>
    <row r="448" spans="1:8">
      <c r="A448" t="s">
        <v>145</v>
      </c>
      <c r="B448" t="s">
        <v>87</v>
      </c>
      <c r="C448">
        <v>130</v>
      </c>
      <c r="D448" t="s">
        <v>147</v>
      </c>
      <c r="E448" s="242"/>
      <c r="F448">
        <v>1790.59997558593</v>
      </c>
      <c r="G448" t="b">
        <v>0</v>
      </c>
      <c r="H448" t="s">
        <v>15</v>
      </c>
    </row>
    <row r="449" spans="1:8">
      <c r="A449" t="s">
        <v>167</v>
      </c>
      <c r="B449" t="s">
        <v>87</v>
      </c>
      <c r="C449">
        <v>130</v>
      </c>
      <c r="D449" t="s">
        <v>147</v>
      </c>
      <c r="E449" s="242"/>
      <c r="F449">
        <v>1934.69995117187</v>
      </c>
      <c r="G449" t="b">
        <v>0</v>
      </c>
      <c r="H449" t="s">
        <v>15</v>
      </c>
    </row>
    <row r="450" spans="1:8">
      <c r="A450" t="s">
        <v>153</v>
      </c>
      <c r="B450" t="s">
        <v>87</v>
      </c>
      <c r="C450">
        <v>130</v>
      </c>
      <c r="D450" t="s">
        <v>147</v>
      </c>
      <c r="E450" s="242"/>
      <c r="F450">
        <v>1628.09997558593</v>
      </c>
      <c r="G450" t="b">
        <v>0</v>
      </c>
      <c r="H450" t="s">
        <v>15</v>
      </c>
    </row>
    <row r="451" spans="1:8">
      <c r="A451" t="s">
        <v>154</v>
      </c>
      <c r="B451" t="s">
        <v>87</v>
      </c>
      <c r="C451">
        <v>130</v>
      </c>
      <c r="D451" t="s">
        <v>147</v>
      </c>
      <c r="E451" s="242"/>
      <c r="F451">
        <v>2812.80004882812</v>
      </c>
      <c r="G451" t="b">
        <v>0</v>
      </c>
      <c r="H451" t="s">
        <v>15</v>
      </c>
    </row>
    <row r="452" spans="1:8">
      <c r="A452" t="s">
        <v>168</v>
      </c>
      <c r="B452" t="s">
        <v>87</v>
      </c>
      <c r="C452">
        <v>130</v>
      </c>
      <c r="D452" t="s">
        <v>147</v>
      </c>
      <c r="E452" s="242"/>
      <c r="F452">
        <v>5291.2998046875</v>
      </c>
      <c r="G452" t="b">
        <v>0</v>
      </c>
      <c r="H452" t="s">
        <v>15</v>
      </c>
    </row>
    <row r="453" spans="1:8">
      <c r="A453" t="s">
        <v>155</v>
      </c>
      <c r="B453" t="s">
        <v>87</v>
      </c>
      <c r="C453">
        <v>130</v>
      </c>
      <c r="D453" t="s">
        <v>147</v>
      </c>
      <c r="E453" s="242"/>
      <c r="F453">
        <v>4420</v>
      </c>
      <c r="G453" t="b">
        <v>0</v>
      </c>
      <c r="H453" t="s">
        <v>15</v>
      </c>
    </row>
    <row r="454" spans="1:8">
      <c r="A454" t="s">
        <v>156</v>
      </c>
      <c r="B454" t="s">
        <v>87</v>
      </c>
      <c r="C454">
        <v>130</v>
      </c>
      <c r="D454" t="s">
        <v>147</v>
      </c>
      <c r="E454" s="242"/>
      <c r="F454">
        <v>4806.5</v>
      </c>
      <c r="G454" t="b">
        <v>0</v>
      </c>
      <c r="H454" t="s">
        <v>15</v>
      </c>
    </row>
    <row r="455" spans="1:8">
      <c r="A455" t="s">
        <v>157</v>
      </c>
      <c r="B455" t="s">
        <v>87</v>
      </c>
      <c r="C455">
        <v>130</v>
      </c>
      <c r="D455" t="s">
        <v>147</v>
      </c>
      <c r="E455" s="242"/>
      <c r="F455">
        <v>5268.7001953125</v>
      </c>
      <c r="G455" t="b">
        <v>0</v>
      </c>
      <c r="H455" t="s">
        <v>15</v>
      </c>
    </row>
    <row r="456" spans="1:8">
      <c r="A456" t="s">
        <v>169</v>
      </c>
      <c r="B456" t="s">
        <v>87</v>
      </c>
      <c r="C456">
        <v>130</v>
      </c>
      <c r="D456" t="s">
        <v>147</v>
      </c>
      <c r="E456" s="242"/>
      <c r="F456">
        <v>1586.40002441406</v>
      </c>
      <c r="G456" t="b">
        <v>0</v>
      </c>
      <c r="H456" t="s">
        <v>15</v>
      </c>
    </row>
    <row r="457" spans="1:8">
      <c r="A457" t="s">
        <v>170</v>
      </c>
      <c r="B457" t="s">
        <v>87</v>
      </c>
      <c r="C457">
        <v>130</v>
      </c>
      <c r="D457" t="s">
        <v>147</v>
      </c>
      <c r="E457" s="242"/>
      <c r="F457">
        <v>1500.09997558593</v>
      </c>
      <c r="G457" t="b">
        <v>0</v>
      </c>
      <c r="H457" t="s">
        <v>15</v>
      </c>
    </row>
    <row r="458" spans="1:8">
      <c r="A458" t="s">
        <v>158</v>
      </c>
      <c r="B458" t="s">
        <v>87</v>
      </c>
      <c r="C458">
        <v>130</v>
      </c>
      <c r="D458" t="s">
        <v>147</v>
      </c>
      <c r="E458" s="242"/>
      <c r="F458">
        <v>5405.10009765625</v>
      </c>
      <c r="G458" t="b">
        <v>0</v>
      </c>
      <c r="H458" t="s">
        <v>15</v>
      </c>
    </row>
    <row r="459" spans="1:8">
      <c r="A459" t="s">
        <v>159</v>
      </c>
      <c r="B459" t="s">
        <v>87</v>
      </c>
      <c r="C459">
        <v>130</v>
      </c>
      <c r="D459" t="s">
        <v>147</v>
      </c>
      <c r="E459" s="242"/>
      <c r="F459">
        <v>3205</v>
      </c>
      <c r="G459" t="b">
        <v>0</v>
      </c>
      <c r="H459" t="s">
        <v>15</v>
      </c>
    </row>
    <row r="460" spans="1:8">
      <c r="A460" t="s">
        <v>160</v>
      </c>
      <c r="B460" t="s">
        <v>87</v>
      </c>
      <c r="C460">
        <v>130</v>
      </c>
      <c r="D460" t="s">
        <v>147</v>
      </c>
      <c r="E460" s="242"/>
      <c r="F460">
        <v>3012.80004882812</v>
      </c>
      <c r="G460" t="b">
        <v>0</v>
      </c>
      <c r="H460" t="s">
        <v>15</v>
      </c>
    </row>
    <row r="461" spans="1:8">
      <c r="A461" t="s">
        <v>164</v>
      </c>
      <c r="B461" t="s">
        <v>87</v>
      </c>
      <c r="C461">
        <v>135</v>
      </c>
      <c r="D461" t="s">
        <v>147</v>
      </c>
      <c r="E461" s="242"/>
      <c r="F461">
        <v>5409.39990234375</v>
      </c>
      <c r="G461" t="b">
        <v>0</v>
      </c>
      <c r="H461" t="s">
        <v>15</v>
      </c>
    </row>
    <row r="462" spans="1:8">
      <c r="A462" t="s">
        <v>161</v>
      </c>
      <c r="B462" t="s">
        <v>87</v>
      </c>
      <c r="C462">
        <v>135</v>
      </c>
      <c r="D462" t="s">
        <v>147</v>
      </c>
      <c r="E462" s="242"/>
      <c r="F462">
        <v>7194.89990234375</v>
      </c>
      <c r="G462" t="b">
        <v>0</v>
      </c>
      <c r="H462" t="s">
        <v>15</v>
      </c>
    </row>
    <row r="463" spans="1:8">
      <c r="A463" t="s">
        <v>165</v>
      </c>
      <c r="B463" t="s">
        <v>87</v>
      </c>
      <c r="C463">
        <v>135</v>
      </c>
      <c r="D463" t="s">
        <v>147</v>
      </c>
      <c r="E463" s="242"/>
      <c r="F463">
        <v>7787.2001953125</v>
      </c>
      <c r="G463" t="b">
        <v>0</v>
      </c>
      <c r="H463" t="s">
        <v>15</v>
      </c>
    </row>
    <row r="464" spans="1:8">
      <c r="A464" t="s">
        <v>148</v>
      </c>
      <c r="B464" t="s">
        <v>87</v>
      </c>
      <c r="C464">
        <v>135</v>
      </c>
      <c r="D464" t="s">
        <v>147</v>
      </c>
      <c r="E464" s="242"/>
      <c r="F464">
        <v>6747.2998046875</v>
      </c>
      <c r="G464" t="b">
        <v>0</v>
      </c>
      <c r="H464" t="s">
        <v>15</v>
      </c>
    </row>
    <row r="465" spans="1:8">
      <c r="A465" t="s">
        <v>162</v>
      </c>
      <c r="B465" t="s">
        <v>87</v>
      </c>
      <c r="C465">
        <v>135</v>
      </c>
      <c r="D465" t="s">
        <v>147</v>
      </c>
      <c r="E465" s="242"/>
      <c r="F465">
        <v>7483.10009765625</v>
      </c>
      <c r="G465" t="b">
        <v>0</v>
      </c>
      <c r="H465" t="s">
        <v>15</v>
      </c>
    </row>
    <row r="466" spans="1:8">
      <c r="A466" t="s">
        <v>163</v>
      </c>
      <c r="B466" t="s">
        <v>87</v>
      </c>
      <c r="C466">
        <v>135</v>
      </c>
      <c r="D466" t="s">
        <v>147</v>
      </c>
      <c r="E466" s="242"/>
      <c r="F466">
        <v>4799.5</v>
      </c>
      <c r="G466" t="b">
        <v>0</v>
      </c>
      <c r="H466" t="s">
        <v>15</v>
      </c>
    </row>
    <row r="467" spans="1:8">
      <c r="A467" t="s">
        <v>166</v>
      </c>
      <c r="B467" t="s">
        <v>87</v>
      </c>
      <c r="C467">
        <v>135</v>
      </c>
      <c r="D467" t="s">
        <v>147</v>
      </c>
      <c r="E467" s="242"/>
      <c r="F467">
        <v>3530</v>
      </c>
      <c r="G467" t="b">
        <v>0</v>
      </c>
      <c r="H467" t="s">
        <v>15</v>
      </c>
    </row>
    <row r="468" spans="1:8">
      <c r="A468" t="s">
        <v>149</v>
      </c>
      <c r="B468" t="s">
        <v>87</v>
      </c>
      <c r="C468">
        <v>135</v>
      </c>
      <c r="D468" t="s">
        <v>147</v>
      </c>
      <c r="E468" s="242"/>
      <c r="F468">
        <v>5157.5</v>
      </c>
      <c r="G468" t="b">
        <v>0</v>
      </c>
      <c r="H468" t="s">
        <v>15</v>
      </c>
    </row>
    <row r="469" spans="1:8">
      <c r="A469" t="s">
        <v>150</v>
      </c>
      <c r="B469" t="s">
        <v>87</v>
      </c>
      <c r="C469">
        <v>135</v>
      </c>
      <c r="D469" t="s">
        <v>147</v>
      </c>
      <c r="E469" s="242"/>
      <c r="F469">
        <v>4030</v>
      </c>
      <c r="G469" t="b">
        <v>0</v>
      </c>
      <c r="H469" t="s">
        <v>15</v>
      </c>
    </row>
    <row r="470" spans="1:8">
      <c r="A470" t="s">
        <v>151</v>
      </c>
      <c r="B470" t="s">
        <v>87</v>
      </c>
      <c r="C470">
        <v>135</v>
      </c>
      <c r="D470" t="s">
        <v>147</v>
      </c>
      <c r="E470" s="242"/>
      <c r="F470">
        <v>1966.40002441406</v>
      </c>
      <c r="G470" t="b">
        <v>0</v>
      </c>
      <c r="H470" t="s">
        <v>15</v>
      </c>
    </row>
    <row r="471" spans="1:8">
      <c r="A471" t="s">
        <v>152</v>
      </c>
      <c r="B471" t="s">
        <v>87</v>
      </c>
      <c r="C471">
        <v>135</v>
      </c>
      <c r="D471" t="s">
        <v>147</v>
      </c>
      <c r="E471" s="242"/>
      <c r="F471">
        <v>1817.90002441406</v>
      </c>
      <c r="G471" t="b">
        <v>0</v>
      </c>
      <c r="H471" t="s">
        <v>15</v>
      </c>
    </row>
    <row r="472" spans="1:8">
      <c r="A472" t="s">
        <v>145</v>
      </c>
      <c r="B472" t="s">
        <v>87</v>
      </c>
      <c r="C472">
        <v>135</v>
      </c>
      <c r="D472" t="s">
        <v>147</v>
      </c>
      <c r="E472" s="242"/>
      <c r="F472">
        <v>1790.59997558593</v>
      </c>
      <c r="G472" t="b">
        <v>0</v>
      </c>
      <c r="H472" t="s">
        <v>15</v>
      </c>
    </row>
    <row r="473" spans="1:8">
      <c r="A473" t="s">
        <v>167</v>
      </c>
      <c r="B473" t="s">
        <v>87</v>
      </c>
      <c r="C473">
        <v>135</v>
      </c>
      <c r="D473" t="s">
        <v>147</v>
      </c>
      <c r="E473" s="242"/>
      <c r="F473">
        <v>1934.69995117187</v>
      </c>
      <c r="G473" t="b">
        <v>0</v>
      </c>
      <c r="H473" t="s">
        <v>15</v>
      </c>
    </row>
    <row r="474" spans="1:8">
      <c r="A474" t="s">
        <v>153</v>
      </c>
      <c r="B474" t="s">
        <v>87</v>
      </c>
      <c r="C474">
        <v>135</v>
      </c>
      <c r="D474" t="s">
        <v>147</v>
      </c>
      <c r="E474" s="242"/>
      <c r="F474">
        <v>1628.09997558593</v>
      </c>
      <c r="G474" t="b">
        <v>0</v>
      </c>
      <c r="H474" t="s">
        <v>15</v>
      </c>
    </row>
    <row r="475" spans="1:8">
      <c r="A475" t="s">
        <v>154</v>
      </c>
      <c r="B475" t="s">
        <v>87</v>
      </c>
      <c r="C475">
        <v>135</v>
      </c>
      <c r="D475" t="s">
        <v>147</v>
      </c>
      <c r="E475" s="242"/>
      <c r="F475">
        <v>2812.80004882812</v>
      </c>
      <c r="G475" t="b">
        <v>0</v>
      </c>
      <c r="H475" t="s">
        <v>15</v>
      </c>
    </row>
    <row r="476" spans="1:8">
      <c r="A476" t="s">
        <v>168</v>
      </c>
      <c r="B476" t="s">
        <v>87</v>
      </c>
      <c r="C476">
        <v>135</v>
      </c>
      <c r="D476" t="s">
        <v>147</v>
      </c>
      <c r="E476" s="242"/>
      <c r="F476">
        <v>5291.2998046875</v>
      </c>
      <c r="G476" t="b">
        <v>0</v>
      </c>
      <c r="H476" t="s">
        <v>15</v>
      </c>
    </row>
    <row r="477" spans="1:8">
      <c r="A477" t="s">
        <v>155</v>
      </c>
      <c r="B477" t="s">
        <v>87</v>
      </c>
      <c r="C477">
        <v>135</v>
      </c>
      <c r="D477" t="s">
        <v>147</v>
      </c>
      <c r="E477" s="242"/>
      <c r="F477">
        <v>4420</v>
      </c>
      <c r="G477" t="b">
        <v>0</v>
      </c>
      <c r="H477" t="s">
        <v>15</v>
      </c>
    </row>
    <row r="478" spans="1:8">
      <c r="A478" t="s">
        <v>156</v>
      </c>
      <c r="B478" t="s">
        <v>87</v>
      </c>
      <c r="C478">
        <v>135</v>
      </c>
      <c r="D478" t="s">
        <v>147</v>
      </c>
      <c r="E478" s="242"/>
      <c r="F478">
        <v>4806.5</v>
      </c>
      <c r="G478" t="b">
        <v>0</v>
      </c>
      <c r="H478" t="s">
        <v>15</v>
      </c>
    </row>
    <row r="479" spans="1:8">
      <c r="A479" t="s">
        <v>157</v>
      </c>
      <c r="B479" t="s">
        <v>87</v>
      </c>
      <c r="C479">
        <v>135</v>
      </c>
      <c r="D479" t="s">
        <v>147</v>
      </c>
      <c r="E479" s="242"/>
      <c r="F479">
        <v>5268.7001953125</v>
      </c>
      <c r="G479" t="b">
        <v>0</v>
      </c>
      <c r="H479" t="s">
        <v>15</v>
      </c>
    </row>
    <row r="480" spans="1:8">
      <c r="A480" t="s">
        <v>169</v>
      </c>
      <c r="B480" t="s">
        <v>87</v>
      </c>
      <c r="C480">
        <v>135</v>
      </c>
      <c r="D480" t="s">
        <v>147</v>
      </c>
      <c r="E480" s="242"/>
      <c r="F480">
        <v>1586.40002441406</v>
      </c>
      <c r="G480" t="b">
        <v>0</v>
      </c>
      <c r="H480" t="s">
        <v>15</v>
      </c>
    </row>
    <row r="481" spans="1:8">
      <c r="A481" t="s">
        <v>170</v>
      </c>
      <c r="B481" t="s">
        <v>87</v>
      </c>
      <c r="C481">
        <v>135</v>
      </c>
      <c r="D481" t="s">
        <v>147</v>
      </c>
      <c r="E481" s="242"/>
      <c r="F481">
        <v>1500.09997558593</v>
      </c>
      <c r="G481" t="b">
        <v>0</v>
      </c>
      <c r="H481" t="s">
        <v>15</v>
      </c>
    </row>
    <row r="482" spans="1:8">
      <c r="A482" t="s">
        <v>158</v>
      </c>
      <c r="B482" t="s">
        <v>87</v>
      </c>
      <c r="C482">
        <v>135</v>
      </c>
      <c r="D482" t="s">
        <v>147</v>
      </c>
      <c r="E482" s="242"/>
      <c r="F482">
        <v>5405.10009765625</v>
      </c>
      <c r="G482" t="b">
        <v>0</v>
      </c>
      <c r="H482" t="s">
        <v>15</v>
      </c>
    </row>
    <row r="483" spans="1:8">
      <c r="A483" t="s">
        <v>159</v>
      </c>
      <c r="B483" t="s">
        <v>87</v>
      </c>
      <c r="C483">
        <v>135</v>
      </c>
      <c r="D483" t="s">
        <v>147</v>
      </c>
      <c r="E483" s="242"/>
      <c r="F483">
        <v>3205</v>
      </c>
      <c r="G483" t="b">
        <v>0</v>
      </c>
      <c r="H483" t="s">
        <v>15</v>
      </c>
    </row>
    <row r="484" spans="1:8">
      <c r="A484" t="s">
        <v>160</v>
      </c>
      <c r="B484" t="s">
        <v>87</v>
      </c>
      <c r="C484">
        <v>135</v>
      </c>
      <c r="D484" t="s">
        <v>147</v>
      </c>
      <c r="E484" s="242"/>
      <c r="F484">
        <v>3012.80004882812</v>
      </c>
      <c r="G484" t="b">
        <v>0</v>
      </c>
      <c r="H484" t="s">
        <v>15</v>
      </c>
    </row>
    <row r="485" spans="1:8">
      <c r="A485" t="s">
        <v>161</v>
      </c>
      <c r="B485" t="s">
        <v>87</v>
      </c>
      <c r="C485">
        <v>140</v>
      </c>
      <c r="D485" t="s">
        <v>147</v>
      </c>
      <c r="E485" s="242"/>
      <c r="F485">
        <v>7194.89990234375</v>
      </c>
      <c r="G485" t="b">
        <v>0</v>
      </c>
      <c r="H485" t="s">
        <v>15</v>
      </c>
    </row>
    <row r="486" spans="1:8">
      <c r="A486" t="s">
        <v>164</v>
      </c>
      <c r="B486" t="s">
        <v>87</v>
      </c>
      <c r="C486">
        <v>145</v>
      </c>
      <c r="D486" t="s">
        <v>147</v>
      </c>
      <c r="E486" s="242"/>
      <c r="F486">
        <v>5409.39990234375</v>
      </c>
      <c r="G486" t="b">
        <v>0</v>
      </c>
      <c r="H486" t="s">
        <v>15</v>
      </c>
    </row>
    <row r="487" spans="1:8">
      <c r="A487" t="s">
        <v>161</v>
      </c>
      <c r="B487" t="s">
        <v>87</v>
      </c>
      <c r="C487">
        <v>145</v>
      </c>
      <c r="D487" t="s">
        <v>147</v>
      </c>
      <c r="E487" s="242"/>
      <c r="F487">
        <v>7194.89990234375</v>
      </c>
      <c r="G487" t="b">
        <v>0</v>
      </c>
      <c r="H487" t="s">
        <v>15</v>
      </c>
    </row>
    <row r="488" spans="1:8">
      <c r="A488" t="s">
        <v>165</v>
      </c>
      <c r="B488" t="s">
        <v>87</v>
      </c>
      <c r="C488">
        <v>145</v>
      </c>
      <c r="D488" t="s">
        <v>147</v>
      </c>
      <c r="E488" s="242"/>
      <c r="F488">
        <v>7787.2001953125</v>
      </c>
      <c r="G488" t="b">
        <v>0</v>
      </c>
      <c r="H488" t="s">
        <v>15</v>
      </c>
    </row>
    <row r="489" spans="1:8">
      <c r="A489" t="s">
        <v>148</v>
      </c>
      <c r="B489" t="s">
        <v>87</v>
      </c>
      <c r="C489">
        <v>145</v>
      </c>
      <c r="D489" t="s">
        <v>147</v>
      </c>
      <c r="E489" s="242"/>
      <c r="F489">
        <v>6747.2998046875</v>
      </c>
      <c r="G489" t="b">
        <v>0</v>
      </c>
      <c r="H489" t="s">
        <v>15</v>
      </c>
    </row>
    <row r="490" spans="1:8">
      <c r="A490" t="s">
        <v>162</v>
      </c>
      <c r="B490" t="s">
        <v>87</v>
      </c>
      <c r="C490">
        <v>145</v>
      </c>
      <c r="D490" t="s">
        <v>147</v>
      </c>
      <c r="E490" s="242"/>
      <c r="F490">
        <v>7483.10009765625</v>
      </c>
      <c r="G490" t="b">
        <v>0</v>
      </c>
      <c r="H490" t="s">
        <v>15</v>
      </c>
    </row>
    <row r="491" spans="1:8">
      <c r="A491" t="s">
        <v>163</v>
      </c>
      <c r="B491" t="s">
        <v>87</v>
      </c>
      <c r="C491">
        <v>145</v>
      </c>
      <c r="D491" t="s">
        <v>147</v>
      </c>
      <c r="E491" s="242"/>
      <c r="F491">
        <v>4799.5</v>
      </c>
      <c r="G491" t="b">
        <v>0</v>
      </c>
      <c r="H491" t="s">
        <v>15</v>
      </c>
    </row>
    <row r="492" spans="1:8">
      <c r="A492" t="s">
        <v>166</v>
      </c>
      <c r="B492" t="s">
        <v>87</v>
      </c>
      <c r="C492">
        <v>145</v>
      </c>
      <c r="D492" t="s">
        <v>147</v>
      </c>
      <c r="E492" s="242"/>
      <c r="F492">
        <v>3530</v>
      </c>
      <c r="G492" t="b">
        <v>0</v>
      </c>
      <c r="H492" t="s">
        <v>15</v>
      </c>
    </row>
    <row r="493" spans="1:8">
      <c r="A493" t="s">
        <v>149</v>
      </c>
      <c r="B493" t="s">
        <v>87</v>
      </c>
      <c r="C493">
        <v>145</v>
      </c>
      <c r="D493" t="s">
        <v>147</v>
      </c>
      <c r="E493" s="242"/>
      <c r="F493">
        <v>5157.5</v>
      </c>
      <c r="G493" t="b">
        <v>0</v>
      </c>
      <c r="H493" t="s">
        <v>15</v>
      </c>
    </row>
    <row r="494" spans="1:8">
      <c r="A494" t="s">
        <v>150</v>
      </c>
      <c r="B494" t="s">
        <v>87</v>
      </c>
      <c r="C494">
        <v>145</v>
      </c>
      <c r="D494" t="s">
        <v>147</v>
      </c>
      <c r="E494" s="242"/>
      <c r="F494">
        <v>4030</v>
      </c>
      <c r="G494" t="b">
        <v>0</v>
      </c>
      <c r="H494" t="s">
        <v>15</v>
      </c>
    </row>
    <row r="495" spans="1:8">
      <c r="A495" t="s">
        <v>151</v>
      </c>
      <c r="B495" t="s">
        <v>87</v>
      </c>
      <c r="C495">
        <v>145</v>
      </c>
      <c r="D495" t="s">
        <v>147</v>
      </c>
      <c r="E495" s="242"/>
      <c r="F495">
        <v>1966.40002441406</v>
      </c>
      <c r="G495" t="b">
        <v>0</v>
      </c>
      <c r="H495" t="s">
        <v>15</v>
      </c>
    </row>
    <row r="496" spans="1:8">
      <c r="A496" t="s">
        <v>152</v>
      </c>
      <c r="B496" t="s">
        <v>87</v>
      </c>
      <c r="C496">
        <v>145</v>
      </c>
      <c r="D496" t="s">
        <v>147</v>
      </c>
      <c r="E496" s="242"/>
      <c r="F496">
        <v>1817.90002441406</v>
      </c>
      <c r="G496" t="b">
        <v>0</v>
      </c>
      <c r="H496" t="s">
        <v>15</v>
      </c>
    </row>
    <row r="497" spans="1:8">
      <c r="A497" t="s">
        <v>145</v>
      </c>
      <c r="B497" t="s">
        <v>87</v>
      </c>
      <c r="C497">
        <v>145</v>
      </c>
      <c r="D497" t="s">
        <v>147</v>
      </c>
      <c r="E497" s="242"/>
      <c r="F497">
        <v>1790.59997558593</v>
      </c>
      <c r="G497" t="b">
        <v>0</v>
      </c>
      <c r="H497" t="s">
        <v>15</v>
      </c>
    </row>
    <row r="498" spans="1:8">
      <c r="A498" t="s">
        <v>167</v>
      </c>
      <c r="B498" t="s">
        <v>87</v>
      </c>
      <c r="C498">
        <v>145</v>
      </c>
      <c r="D498" t="s">
        <v>147</v>
      </c>
      <c r="E498" s="242"/>
      <c r="F498">
        <v>1934.69995117187</v>
      </c>
      <c r="G498" t="b">
        <v>0</v>
      </c>
      <c r="H498" t="s">
        <v>15</v>
      </c>
    </row>
    <row r="499" spans="1:8">
      <c r="A499" t="s">
        <v>153</v>
      </c>
      <c r="B499" t="s">
        <v>87</v>
      </c>
      <c r="C499">
        <v>145</v>
      </c>
      <c r="D499" t="s">
        <v>147</v>
      </c>
      <c r="E499" s="242"/>
      <c r="F499">
        <v>1628.09997558593</v>
      </c>
      <c r="G499" t="b">
        <v>0</v>
      </c>
      <c r="H499" t="s">
        <v>15</v>
      </c>
    </row>
    <row r="500" spans="1:8">
      <c r="A500" t="s">
        <v>154</v>
      </c>
      <c r="B500" t="s">
        <v>87</v>
      </c>
      <c r="C500">
        <v>145</v>
      </c>
      <c r="D500" t="s">
        <v>147</v>
      </c>
      <c r="E500" s="242"/>
      <c r="F500">
        <v>2812.80004882812</v>
      </c>
      <c r="G500" t="b">
        <v>0</v>
      </c>
      <c r="H500" t="s">
        <v>15</v>
      </c>
    </row>
    <row r="501" spans="1:8">
      <c r="A501" t="s">
        <v>168</v>
      </c>
      <c r="B501" t="s">
        <v>87</v>
      </c>
      <c r="C501">
        <v>145</v>
      </c>
      <c r="D501" t="s">
        <v>147</v>
      </c>
      <c r="E501" s="242"/>
      <c r="F501">
        <v>5291.2998046875</v>
      </c>
      <c r="G501" t="b">
        <v>0</v>
      </c>
      <c r="H501" t="s">
        <v>15</v>
      </c>
    </row>
    <row r="502" spans="1:8">
      <c r="A502" t="s">
        <v>155</v>
      </c>
      <c r="B502" t="s">
        <v>87</v>
      </c>
      <c r="C502">
        <v>145</v>
      </c>
      <c r="D502" t="s">
        <v>147</v>
      </c>
      <c r="E502" s="242"/>
      <c r="F502">
        <v>4420</v>
      </c>
      <c r="G502" t="b">
        <v>0</v>
      </c>
      <c r="H502" t="s">
        <v>15</v>
      </c>
    </row>
    <row r="503" spans="1:8">
      <c r="A503" t="s">
        <v>156</v>
      </c>
      <c r="B503" t="s">
        <v>87</v>
      </c>
      <c r="C503">
        <v>145</v>
      </c>
      <c r="D503" t="s">
        <v>147</v>
      </c>
      <c r="E503" s="242"/>
      <c r="F503">
        <v>4806.5</v>
      </c>
      <c r="G503" t="b">
        <v>0</v>
      </c>
      <c r="H503" t="s">
        <v>15</v>
      </c>
    </row>
    <row r="504" spans="1:8">
      <c r="A504" t="s">
        <v>157</v>
      </c>
      <c r="B504" t="s">
        <v>87</v>
      </c>
      <c r="C504">
        <v>145</v>
      </c>
      <c r="D504" t="s">
        <v>147</v>
      </c>
      <c r="E504" s="242"/>
      <c r="F504">
        <v>5268.7001953125</v>
      </c>
      <c r="G504" t="b">
        <v>0</v>
      </c>
      <c r="H504" t="s">
        <v>15</v>
      </c>
    </row>
    <row r="505" spans="1:8">
      <c r="A505" t="s">
        <v>169</v>
      </c>
      <c r="B505" t="s">
        <v>87</v>
      </c>
      <c r="C505">
        <v>145</v>
      </c>
      <c r="D505" t="s">
        <v>147</v>
      </c>
      <c r="E505" s="242"/>
      <c r="F505">
        <v>1586.40002441406</v>
      </c>
      <c r="G505" t="b">
        <v>0</v>
      </c>
      <c r="H505" t="s">
        <v>15</v>
      </c>
    </row>
    <row r="506" spans="1:8">
      <c r="A506" t="s">
        <v>170</v>
      </c>
      <c r="B506" t="s">
        <v>87</v>
      </c>
      <c r="C506">
        <v>145</v>
      </c>
      <c r="D506" t="s">
        <v>147</v>
      </c>
      <c r="E506" s="242"/>
      <c r="F506">
        <v>1500.09997558593</v>
      </c>
      <c r="G506" t="b">
        <v>0</v>
      </c>
      <c r="H506" t="s">
        <v>15</v>
      </c>
    </row>
    <row r="507" spans="1:8">
      <c r="A507" t="s">
        <v>158</v>
      </c>
      <c r="B507" t="s">
        <v>87</v>
      </c>
      <c r="C507">
        <v>145</v>
      </c>
      <c r="D507" t="s">
        <v>147</v>
      </c>
      <c r="E507" s="242"/>
      <c r="F507">
        <v>5405.10009765625</v>
      </c>
      <c r="G507" t="b">
        <v>0</v>
      </c>
      <c r="H507" t="s">
        <v>15</v>
      </c>
    </row>
    <row r="508" spans="1:8">
      <c r="A508" t="s">
        <v>159</v>
      </c>
      <c r="B508" t="s">
        <v>87</v>
      </c>
      <c r="C508">
        <v>145</v>
      </c>
      <c r="D508" t="s">
        <v>147</v>
      </c>
      <c r="E508" s="242"/>
      <c r="F508">
        <v>3205</v>
      </c>
      <c r="G508" t="b">
        <v>0</v>
      </c>
      <c r="H508" t="s">
        <v>15</v>
      </c>
    </row>
    <row r="509" spans="1:8">
      <c r="A509" t="s">
        <v>160</v>
      </c>
      <c r="B509" t="s">
        <v>87</v>
      </c>
      <c r="C509">
        <v>145</v>
      </c>
      <c r="D509" t="s">
        <v>147</v>
      </c>
      <c r="E509" s="242"/>
      <c r="F509">
        <v>3012.80004882812</v>
      </c>
      <c r="G509" t="b">
        <v>0</v>
      </c>
      <c r="H509" t="s">
        <v>15</v>
      </c>
    </row>
    <row r="510" spans="1:8">
      <c r="A510" t="s">
        <v>164</v>
      </c>
      <c r="B510" t="s">
        <v>87</v>
      </c>
      <c r="C510">
        <v>150</v>
      </c>
      <c r="D510" t="s">
        <v>147</v>
      </c>
      <c r="E510" s="242"/>
      <c r="F510">
        <v>5336.89990234375</v>
      </c>
      <c r="G510" t="b">
        <v>0</v>
      </c>
      <c r="H510" t="s">
        <v>15</v>
      </c>
    </row>
    <row r="511" spans="1:8">
      <c r="A511" t="s">
        <v>161</v>
      </c>
      <c r="B511" t="s">
        <v>87</v>
      </c>
      <c r="C511">
        <v>150</v>
      </c>
      <c r="D511" t="s">
        <v>147</v>
      </c>
      <c r="E511" s="242"/>
      <c r="F511">
        <v>7126</v>
      </c>
      <c r="G511" t="b">
        <v>0</v>
      </c>
      <c r="H511" t="s">
        <v>15</v>
      </c>
    </row>
    <row r="512" spans="1:8">
      <c r="A512" t="s">
        <v>165</v>
      </c>
      <c r="B512" t="s">
        <v>87</v>
      </c>
      <c r="C512">
        <v>150</v>
      </c>
      <c r="D512" t="s">
        <v>147</v>
      </c>
      <c r="E512" s="242"/>
      <c r="F512">
        <v>7703.7001953125</v>
      </c>
      <c r="G512" t="b">
        <v>0</v>
      </c>
      <c r="H512" t="s">
        <v>15</v>
      </c>
    </row>
    <row r="513" spans="1:8">
      <c r="A513" t="s">
        <v>148</v>
      </c>
      <c r="B513" t="s">
        <v>87</v>
      </c>
      <c r="C513">
        <v>150</v>
      </c>
      <c r="D513" t="s">
        <v>147</v>
      </c>
      <c r="E513" s="242"/>
      <c r="F513">
        <v>6703.39990234375</v>
      </c>
      <c r="G513" t="b">
        <v>0</v>
      </c>
      <c r="H513" t="s">
        <v>15</v>
      </c>
    </row>
    <row r="514" spans="1:8">
      <c r="A514" t="s">
        <v>162</v>
      </c>
      <c r="B514" t="s">
        <v>87</v>
      </c>
      <c r="C514">
        <v>150</v>
      </c>
      <c r="D514" t="s">
        <v>147</v>
      </c>
      <c r="E514" s="242"/>
      <c r="F514">
        <v>7383.10009765625</v>
      </c>
      <c r="G514" t="b">
        <v>0</v>
      </c>
      <c r="H514" t="s">
        <v>15</v>
      </c>
    </row>
    <row r="515" spans="1:8">
      <c r="A515" t="s">
        <v>163</v>
      </c>
      <c r="B515" t="s">
        <v>87</v>
      </c>
      <c r="C515">
        <v>150</v>
      </c>
      <c r="D515" t="s">
        <v>147</v>
      </c>
      <c r="E515" s="242"/>
      <c r="F515">
        <v>4812.2001953125</v>
      </c>
      <c r="G515" t="b">
        <v>0</v>
      </c>
      <c r="H515" t="s">
        <v>15</v>
      </c>
    </row>
    <row r="516" spans="1:8">
      <c r="A516" t="s">
        <v>166</v>
      </c>
      <c r="B516" t="s">
        <v>87</v>
      </c>
      <c r="C516">
        <v>150</v>
      </c>
      <c r="D516" t="s">
        <v>147</v>
      </c>
      <c r="E516" s="242"/>
      <c r="F516">
        <v>3465.19995117187</v>
      </c>
      <c r="G516" t="b">
        <v>0</v>
      </c>
      <c r="H516" t="s">
        <v>15</v>
      </c>
    </row>
    <row r="517" spans="1:8">
      <c r="A517" t="s">
        <v>149</v>
      </c>
      <c r="B517" t="s">
        <v>87</v>
      </c>
      <c r="C517">
        <v>150</v>
      </c>
      <c r="D517" t="s">
        <v>147</v>
      </c>
      <c r="E517" s="242"/>
      <c r="F517">
        <v>5078.7001953125</v>
      </c>
      <c r="G517" t="b">
        <v>0</v>
      </c>
      <c r="H517" t="s">
        <v>15</v>
      </c>
    </row>
    <row r="518" spans="1:8">
      <c r="A518" t="s">
        <v>150</v>
      </c>
      <c r="B518" t="s">
        <v>87</v>
      </c>
      <c r="C518">
        <v>150</v>
      </c>
      <c r="D518" t="s">
        <v>147</v>
      </c>
      <c r="E518" s="242"/>
      <c r="F518">
        <v>3985</v>
      </c>
      <c r="G518" t="b">
        <v>0</v>
      </c>
      <c r="H518" t="s">
        <v>15</v>
      </c>
    </row>
    <row r="519" spans="1:8">
      <c r="A519" t="s">
        <v>151</v>
      </c>
      <c r="B519" t="s">
        <v>87</v>
      </c>
      <c r="C519">
        <v>150</v>
      </c>
      <c r="D519" t="s">
        <v>147</v>
      </c>
      <c r="E519" s="242"/>
      <c r="F519">
        <v>1898.09997558593</v>
      </c>
      <c r="G519" t="b">
        <v>0</v>
      </c>
      <c r="H519" t="s">
        <v>15</v>
      </c>
    </row>
    <row r="520" spans="1:8">
      <c r="A520" t="s">
        <v>152</v>
      </c>
      <c r="B520" t="s">
        <v>87</v>
      </c>
      <c r="C520">
        <v>150</v>
      </c>
      <c r="D520" t="s">
        <v>147</v>
      </c>
      <c r="E520" s="242"/>
      <c r="F520">
        <v>1770.30004882812</v>
      </c>
      <c r="G520" t="b">
        <v>0</v>
      </c>
      <c r="H520" t="s">
        <v>15</v>
      </c>
    </row>
    <row r="521" spans="1:8">
      <c r="A521" t="s">
        <v>145</v>
      </c>
      <c r="B521" t="s">
        <v>87</v>
      </c>
      <c r="C521">
        <v>150</v>
      </c>
      <c r="D521" t="s">
        <v>147</v>
      </c>
      <c r="E521" s="242"/>
      <c r="F521">
        <v>1704.69995117187</v>
      </c>
      <c r="G521" t="b">
        <v>0</v>
      </c>
      <c r="H521" t="s">
        <v>15</v>
      </c>
    </row>
    <row r="522" spans="1:8">
      <c r="A522" t="s">
        <v>167</v>
      </c>
      <c r="B522" t="s">
        <v>87</v>
      </c>
      <c r="C522">
        <v>150</v>
      </c>
      <c r="D522" t="s">
        <v>147</v>
      </c>
      <c r="E522" s="242"/>
      <c r="F522">
        <v>1863.40002441406</v>
      </c>
      <c r="G522" t="b">
        <v>0</v>
      </c>
      <c r="H522" t="s">
        <v>15</v>
      </c>
    </row>
    <row r="523" spans="1:8">
      <c r="A523" t="s">
        <v>153</v>
      </c>
      <c r="B523" t="s">
        <v>87</v>
      </c>
      <c r="C523">
        <v>150</v>
      </c>
      <c r="D523" t="s">
        <v>147</v>
      </c>
      <c r="E523" s="242"/>
      <c r="F523">
        <v>1560</v>
      </c>
      <c r="G523" t="b">
        <v>0</v>
      </c>
      <c r="H523" t="s">
        <v>15</v>
      </c>
    </row>
    <row r="524" spans="1:8">
      <c r="A524" t="s">
        <v>154</v>
      </c>
      <c r="B524" t="s">
        <v>87</v>
      </c>
      <c r="C524">
        <v>150</v>
      </c>
      <c r="D524" t="s">
        <v>147</v>
      </c>
      <c r="E524" s="242"/>
      <c r="F524">
        <v>2795.80004882812</v>
      </c>
      <c r="G524" t="b">
        <v>0</v>
      </c>
      <c r="H524" t="s">
        <v>15</v>
      </c>
    </row>
    <row r="525" spans="1:8">
      <c r="A525" t="s">
        <v>168</v>
      </c>
      <c r="B525" t="s">
        <v>87</v>
      </c>
      <c r="C525">
        <v>150</v>
      </c>
      <c r="D525" t="s">
        <v>147</v>
      </c>
      <c r="E525" s="242"/>
      <c r="F525">
        <v>5199.39990234375</v>
      </c>
      <c r="G525" t="b">
        <v>0</v>
      </c>
      <c r="H525" t="s">
        <v>15</v>
      </c>
    </row>
    <row r="526" spans="1:8">
      <c r="A526" t="s">
        <v>155</v>
      </c>
      <c r="B526" t="s">
        <v>87</v>
      </c>
      <c r="C526">
        <v>150</v>
      </c>
      <c r="D526" t="s">
        <v>147</v>
      </c>
      <c r="E526" s="242"/>
      <c r="F526">
        <v>4369.7998046875</v>
      </c>
      <c r="G526" t="b">
        <v>0</v>
      </c>
      <c r="H526" t="s">
        <v>15</v>
      </c>
    </row>
    <row r="527" spans="1:8">
      <c r="A527" t="s">
        <v>156</v>
      </c>
      <c r="B527" t="s">
        <v>87</v>
      </c>
      <c r="C527">
        <v>150</v>
      </c>
      <c r="D527" t="s">
        <v>147</v>
      </c>
      <c r="E527" s="242"/>
      <c r="F527">
        <v>4756.5</v>
      </c>
      <c r="G527" t="b">
        <v>0</v>
      </c>
      <c r="H527" t="s">
        <v>15</v>
      </c>
    </row>
    <row r="528" spans="1:8">
      <c r="A528" t="s">
        <v>157</v>
      </c>
      <c r="B528" t="s">
        <v>87</v>
      </c>
      <c r="C528">
        <v>150</v>
      </c>
      <c r="D528" t="s">
        <v>147</v>
      </c>
      <c r="E528" s="242"/>
      <c r="F528">
        <v>5206</v>
      </c>
      <c r="G528" t="b">
        <v>0</v>
      </c>
      <c r="H528" t="s">
        <v>15</v>
      </c>
    </row>
    <row r="529" spans="1:8">
      <c r="A529" t="s">
        <v>169</v>
      </c>
      <c r="B529" t="s">
        <v>87</v>
      </c>
      <c r="C529">
        <v>150</v>
      </c>
      <c r="D529" t="s">
        <v>147</v>
      </c>
      <c r="E529" s="242"/>
      <c r="F529">
        <v>1492.69995117187</v>
      </c>
      <c r="G529" t="b">
        <v>0</v>
      </c>
      <c r="H529" t="s">
        <v>15</v>
      </c>
    </row>
    <row r="530" spans="1:8">
      <c r="A530" t="s">
        <v>170</v>
      </c>
      <c r="B530" t="s">
        <v>87</v>
      </c>
      <c r="C530">
        <v>150</v>
      </c>
      <c r="D530" t="s">
        <v>147</v>
      </c>
      <c r="E530" s="242"/>
      <c r="F530">
        <v>1450.09997558593</v>
      </c>
      <c r="G530" t="b">
        <v>0</v>
      </c>
      <c r="H530" t="s">
        <v>15</v>
      </c>
    </row>
    <row r="531" spans="1:8">
      <c r="A531" t="s">
        <v>158</v>
      </c>
      <c r="B531" t="s">
        <v>87</v>
      </c>
      <c r="C531">
        <v>150</v>
      </c>
      <c r="D531" t="s">
        <v>147</v>
      </c>
      <c r="E531" s="242"/>
      <c r="F531">
        <v>5360.10009765625</v>
      </c>
      <c r="G531" t="b">
        <v>0</v>
      </c>
      <c r="H531" t="s">
        <v>15</v>
      </c>
    </row>
    <row r="532" spans="1:8">
      <c r="A532" t="s">
        <v>159</v>
      </c>
      <c r="B532" t="s">
        <v>87</v>
      </c>
      <c r="C532">
        <v>150</v>
      </c>
      <c r="D532" t="s">
        <v>147</v>
      </c>
      <c r="E532" s="242"/>
      <c r="F532">
        <v>3155</v>
      </c>
      <c r="G532" t="b">
        <v>0</v>
      </c>
      <c r="H532" t="s">
        <v>15</v>
      </c>
    </row>
    <row r="533" spans="1:8">
      <c r="A533" t="s">
        <v>160</v>
      </c>
      <c r="B533" t="s">
        <v>87</v>
      </c>
      <c r="C533">
        <v>150</v>
      </c>
      <c r="D533" t="s">
        <v>147</v>
      </c>
      <c r="E533" s="242"/>
      <c r="F533">
        <v>2969.10009765625</v>
      </c>
      <c r="G533" t="b">
        <v>0</v>
      </c>
      <c r="H533" t="s">
        <v>15</v>
      </c>
    </row>
    <row r="534" spans="1:8">
      <c r="A534" t="s">
        <v>164</v>
      </c>
      <c r="B534" t="s">
        <v>87</v>
      </c>
      <c r="C534">
        <v>152</v>
      </c>
      <c r="D534" t="s">
        <v>147</v>
      </c>
      <c r="E534" s="242"/>
      <c r="F534">
        <v>5336.89990234375</v>
      </c>
      <c r="G534" t="b">
        <v>0</v>
      </c>
      <c r="H534" t="s">
        <v>15</v>
      </c>
    </row>
    <row r="535" spans="1:8">
      <c r="A535" t="s">
        <v>161</v>
      </c>
      <c r="B535" t="s">
        <v>87</v>
      </c>
      <c r="C535">
        <v>152</v>
      </c>
      <c r="D535" t="s">
        <v>147</v>
      </c>
      <c r="E535" s="242"/>
      <c r="F535">
        <v>7126</v>
      </c>
      <c r="G535" t="b">
        <v>0</v>
      </c>
      <c r="H535" t="s">
        <v>15</v>
      </c>
    </row>
    <row r="536" spans="1:8">
      <c r="A536" t="s">
        <v>165</v>
      </c>
      <c r="B536" t="s">
        <v>87</v>
      </c>
      <c r="C536">
        <v>152</v>
      </c>
      <c r="D536" t="s">
        <v>147</v>
      </c>
      <c r="E536" s="242"/>
      <c r="F536">
        <v>7703.7001953125</v>
      </c>
      <c r="G536" t="b">
        <v>0</v>
      </c>
      <c r="H536" t="s">
        <v>15</v>
      </c>
    </row>
    <row r="537" spans="1:8">
      <c r="A537" t="s">
        <v>148</v>
      </c>
      <c r="B537" t="s">
        <v>87</v>
      </c>
      <c r="C537">
        <v>152</v>
      </c>
      <c r="D537" t="s">
        <v>147</v>
      </c>
      <c r="E537" s="242"/>
      <c r="F537">
        <v>6703.39990234375</v>
      </c>
      <c r="G537" t="b">
        <v>0</v>
      </c>
      <c r="H537" t="s">
        <v>15</v>
      </c>
    </row>
    <row r="538" spans="1:8">
      <c r="A538" t="s">
        <v>162</v>
      </c>
      <c r="B538" t="s">
        <v>87</v>
      </c>
      <c r="C538">
        <v>152</v>
      </c>
      <c r="D538" t="s">
        <v>147</v>
      </c>
      <c r="E538" s="242"/>
      <c r="F538">
        <v>7383.10009765625</v>
      </c>
      <c r="G538" t="b">
        <v>0</v>
      </c>
      <c r="H538" t="s">
        <v>15</v>
      </c>
    </row>
    <row r="539" spans="1:8">
      <c r="A539" t="s">
        <v>163</v>
      </c>
      <c r="B539" t="s">
        <v>87</v>
      </c>
      <c r="C539">
        <v>152</v>
      </c>
      <c r="D539" t="s">
        <v>147</v>
      </c>
      <c r="E539" s="242"/>
      <c r="F539">
        <v>4812.2001953125</v>
      </c>
      <c r="G539" t="b">
        <v>0</v>
      </c>
      <c r="H539" t="s">
        <v>15</v>
      </c>
    </row>
    <row r="540" spans="1:8">
      <c r="A540" t="s">
        <v>166</v>
      </c>
      <c r="B540" t="s">
        <v>87</v>
      </c>
      <c r="C540">
        <v>152</v>
      </c>
      <c r="D540" t="s">
        <v>147</v>
      </c>
      <c r="E540" s="242"/>
      <c r="F540">
        <v>3465.19995117187</v>
      </c>
      <c r="G540" t="b">
        <v>0</v>
      </c>
      <c r="H540" t="s">
        <v>15</v>
      </c>
    </row>
    <row r="541" spans="1:8">
      <c r="A541" t="s">
        <v>149</v>
      </c>
      <c r="B541" t="s">
        <v>87</v>
      </c>
      <c r="C541">
        <v>152</v>
      </c>
      <c r="D541" t="s">
        <v>147</v>
      </c>
      <c r="E541" s="242"/>
      <c r="F541">
        <v>5078.7001953125</v>
      </c>
      <c r="G541" t="b">
        <v>0</v>
      </c>
      <c r="H541" t="s">
        <v>15</v>
      </c>
    </row>
    <row r="542" spans="1:8">
      <c r="A542" t="s">
        <v>150</v>
      </c>
      <c r="B542" t="s">
        <v>87</v>
      </c>
      <c r="C542">
        <v>152</v>
      </c>
      <c r="D542" t="s">
        <v>147</v>
      </c>
      <c r="E542" s="242"/>
      <c r="F542">
        <v>3985</v>
      </c>
      <c r="G542" t="b">
        <v>0</v>
      </c>
      <c r="H542" t="s">
        <v>15</v>
      </c>
    </row>
    <row r="543" spans="1:8">
      <c r="A543" t="s">
        <v>151</v>
      </c>
      <c r="B543" t="s">
        <v>87</v>
      </c>
      <c r="C543">
        <v>152</v>
      </c>
      <c r="D543" t="s">
        <v>147</v>
      </c>
      <c r="E543" s="242"/>
      <c r="F543">
        <v>1898.09997558593</v>
      </c>
      <c r="G543" t="b">
        <v>0</v>
      </c>
      <c r="H543" t="s">
        <v>15</v>
      </c>
    </row>
    <row r="544" spans="1:8">
      <c r="A544" t="s">
        <v>152</v>
      </c>
      <c r="B544" t="s">
        <v>87</v>
      </c>
      <c r="C544">
        <v>152</v>
      </c>
      <c r="D544" t="s">
        <v>147</v>
      </c>
      <c r="E544" s="242"/>
      <c r="F544">
        <v>1770.30004882812</v>
      </c>
      <c r="G544" t="b">
        <v>0</v>
      </c>
      <c r="H544" t="s">
        <v>15</v>
      </c>
    </row>
    <row r="545" spans="1:8">
      <c r="A545" t="s">
        <v>145</v>
      </c>
      <c r="B545" t="s">
        <v>87</v>
      </c>
      <c r="C545">
        <v>152</v>
      </c>
      <c r="D545" t="s">
        <v>147</v>
      </c>
      <c r="E545" s="242"/>
      <c r="F545">
        <v>1704.69995117187</v>
      </c>
      <c r="G545" t="b">
        <v>0</v>
      </c>
      <c r="H545" t="s">
        <v>15</v>
      </c>
    </row>
    <row r="546" spans="1:8">
      <c r="A546" t="s">
        <v>167</v>
      </c>
      <c r="B546" t="s">
        <v>87</v>
      </c>
      <c r="C546">
        <v>152</v>
      </c>
      <c r="D546" t="s">
        <v>147</v>
      </c>
      <c r="E546" s="242"/>
      <c r="F546">
        <v>1863.40002441406</v>
      </c>
      <c r="G546" t="b">
        <v>0</v>
      </c>
      <c r="H546" t="s">
        <v>15</v>
      </c>
    </row>
    <row r="547" spans="1:8">
      <c r="A547" t="s">
        <v>153</v>
      </c>
      <c r="B547" t="s">
        <v>87</v>
      </c>
      <c r="C547">
        <v>152</v>
      </c>
      <c r="D547" t="s">
        <v>147</v>
      </c>
      <c r="E547" s="242"/>
      <c r="F547">
        <v>1560</v>
      </c>
      <c r="G547" t="b">
        <v>0</v>
      </c>
      <c r="H547" t="s">
        <v>15</v>
      </c>
    </row>
    <row r="548" spans="1:8">
      <c r="A548" t="s">
        <v>154</v>
      </c>
      <c r="B548" t="s">
        <v>87</v>
      </c>
      <c r="C548">
        <v>152</v>
      </c>
      <c r="D548" t="s">
        <v>147</v>
      </c>
      <c r="E548" s="242"/>
      <c r="F548">
        <v>2795.80004882812</v>
      </c>
      <c r="G548" t="b">
        <v>0</v>
      </c>
      <c r="H548" t="s">
        <v>15</v>
      </c>
    </row>
    <row r="549" spans="1:8">
      <c r="A549" t="s">
        <v>168</v>
      </c>
      <c r="B549" t="s">
        <v>87</v>
      </c>
      <c r="C549">
        <v>152</v>
      </c>
      <c r="D549" t="s">
        <v>147</v>
      </c>
      <c r="E549" s="242"/>
      <c r="F549">
        <v>5199.39990234375</v>
      </c>
      <c r="G549" t="b">
        <v>0</v>
      </c>
      <c r="H549" t="s">
        <v>15</v>
      </c>
    </row>
    <row r="550" spans="1:8">
      <c r="A550" t="s">
        <v>155</v>
      </c>
      <c r="B550" t="s">
        <v>87</v>
      </c>
      <c r="C550">
        <v>152</v>
      </c>
      <c r="D550" t="s">
        <v>147</v>
      </c>
      <c r="E550" s="242"/>
      <c r="F550">
        <v>4369.7998046875</v>
      </c>
      <c r="G550" t="b">
        <v>0</v>
      </c>
      <c r="H550" t="s">
        <v>15</v>
      </c>
    </row>
    <row r="551" spans="1:8">
      <c r="A551" t="s">
        <v>156</v>
      </c>
      <c r="B551" t="s">
        <v>87</v>
      </c>
      <c r="C551">
        <v>152</v>
      </c>
      <c r="D551" t="s">
        <v>147</v>
      </c>
      <c r="E551" s="242"/>
      <c r="F551">
        <v>4756.5</v>
      </c>
      <c r="G551" t="b">
        <v>0</v>
      </c>
      <c r="H551" t="s">
        <v>15</v>
      </c>
    </row>
    <row r="552" spans="1:8">
      <c r="A552" t="s">
        <v>157</v>
      </c>
      <c r="B552" t="s">
        <v>87</v>
      </c>
      <c r="C552">
        <v>152</v>
      </c>
      <c r="D552" t="s">
        <v>147</v>
      </c>
      <c r="E552" s="242"/>
      <c r="F552">
        <v>5206</v>
      </c>
      <c r="G552" t="b">
        <v>0</v>
      </c>
      <c r="H552" t="s">
        <v>15</v>
      </c>
    </row>
    <row r="553" spans="1:8">
      <c r="A553" t="s">
        <v>169</v>
      </c>
      <c r="B553" t="s">
        <v>87</v>
      </c>
      <c r="C553">
        <v>152</v>
      </c>
      <c r="D553" t="s">
        <v>147</v>
      </c>
      <c r="E553" s="242"/>
      <c r="F553">
        <v>1492.69995117187</v>
      </c>
      <c r="G553" t="b">
        <v>0</v>
      </c>
      <c r="H553" t="s">
        <v>15</v>
      </c>
    </row>
    <row r="554" spans="1:8">
      <c r="A554" t="s">
        <v>170</v>
      </c>
      <c r="B554" t="s">
        <v>87</v>
      </c>
      <c r="C554">
        <v>152</v>
      </c>
      <c r="D554" t="s">
        <v>147</v>
      </c>
      <c r="E554" s="242"/>
      <c r="F554">
        <v>1450.09997558593</v>
      </c>
      <c r="G554" t="b">
        <v>0</v>
      </c>
      <c r="H554" t="s">
        <v>15</v>
      </c>
    </row>
    <row r="555" spans="1:8">
      <c r="A555" t="s">
        <v>158</v>
      </c>
      <c r="B555" t="s">
        <v>87</v>
      </c>
      <c r="C555">
        <v>152</v>
      </c>
      <c r="D555" t="s">
        <v>147</v>
      </c>
      <c r="E555" s="242"/>
      <c r="F555">
        <v>5360.10009765625</v>
      </c>
      <c r="G555" t="b">
        <v>0</v>
      </c>
      <c r="H555" t="s">
        <v>15</v>
      </c>
    </row>
    <row r="556" spans="1:8">
      <c r="A556" t="s">
        <v>159</v>
      </c>
      <c r="B556" t="s">
        <v>87</v>
      </c>
      <c r="C556">
        <v>152</v>
      </c>
      <c r="D556" t="s">
        <v>147</v>
      </c>
      <c r="E556" s="242"/>
      <c r="F556">
        <v>3155</v>
      </c>
      <c r="G556" t="b">
        <v>0</v>
      </c>
      <c r="H556" t="s">
        <v>15</v>
      </c>
    </row>
    <row r="557" spans="1:8">
      <c r="A557" t="s">
        <v>160</v>
      </c>
      <c r="B557" t="s">
        <v>87</v>
      </c>
      <c r="C557">
        <v>152</v>
      </c>
      <c r="D557" t="s">
        <v>147</v>
      </c>
      <c r="E557" s="242"/>
      <c r="F557">
        <v>2969.10009765625</v>
      </c>
      <c r="G557" t="b">
        <v>0</v>
      </c>
      <c r="H557" t="s">
        <v>15</v>
      </c>
    </row>
    <row r="558" spans="1:8">
      <c r="A558" t="s">
        <v>164</v>
      </c>
      <c r="B558" t="s">
        <v>87</v>
      </c>
      <c r="C558">
        <v>160</v>
      </c>
      <c r="D558" t="s">
        <v>146</v>
      </c>
      <c r="E558" s="242">
        <v>42109.52847222222</v>
      </c>
      <c r="F558">
        <v>0</v>
      </c>
      <c r="G558" t="b">
        <v>0</v>
      </c>
      <c r="H558" t="s">
        <v>15</v>
      </c>
    </row>
    <row r="559" spans="1:8">
      <c r="A559" t="s">
        <v>161</v>
      </c>
      <c r="B559" t="s">
        <v>87</v>
      </c>
      <c r="C559">
        <v>160</v>
      </c>
      <c r="D559" t="s">
        <v>146</v>
      </c>
      <c r="E559" s="242">
        <v>42074</v>
      </c>
      <c r="F559">
        <v>0</v>
      </c>
      <c r="G559" t="b">
        <v>0</v>
      </c>
      <c r="H559" t="s">
        <v>15</v>
      </c>
    </row>
    <row r="560" spans="1:8">
      <c r="A560" t="s">
        <v>165</v>
      </c>
      <c r="B560" t="s">
        <v>87</v>
      </c>
      <c r="C560">
        <v>160</v>
      </c>
      <c r="D560" t="s">
        <v>146</v>
      </c>
      <c r="E560" s="242">
        <v>42060</v>
      </c>
      <c r="F560">
        <v>0</v>
      </c>
      <c r="G560" t="b">
        <v>0</v>
      </c>
      <c r="H560" t="s">
        <v>15</v>
      </c>
    </row>
    <row r="561" spans="1:8">
      <c r="A561" t="s">
        <v>148</v>
      </c>
      <c r="B561" t="s">
        <v>87</v>
      </c>
      <c r="C561">
        <v>160</v>
      </c>
      <c r="D561" t="s">
        <v>146</v>
      </c>
      <c r="E561" s="242">
        <v>42081</v>
      </c>
      <c r="F561">
        <v>0</v>
      </c>
      <c r="G561" t="b">
        <v>0</v>
      </c>
      <c r="H561" t="s">
        <v>15</v>
      </c>
    </row>
    <row r="562" spans="1:8">
      <c r="A562" t="s">
        <v>162</v>
      </c>
      <c r="B562" t="s">
        <v>87</v>
      </c>
      <c r="C562">
        <v>160</v>
      </c>
      <c r="D562" t="s">
        <v>146</v>
      </c>
      <c r="E562" s="242">
        <v>42090.326388888891</v>
      </c>
      <c r="F562">
        <v>0</v>
      </c>
      <c r="G562" t="b">
        <v>0</v>
      </c>
      <c r="H562" t="s">
        <v>15</v>
      </c>
    </row>
    <row r="563" spans="1:8">
      <c r="A563" t="s">
        <v>163</v>
      </c>
      <c r="B563" t="s">
        <v>87</v>
      </c>
      <c r="C563">
        <v>160</v>
      </c>
      <c r="D563" t="s">
        <v>146</v>
      </c>
      <c r="E563" s="242">
        <v>42062.556250000001</v>
      </c>
      <c r="F563">
        <v>0</v>
      </c>
      <c r="G563" t="b">
        <v>0</v>
      </c>
      <c r="H563" t="s">
        <v>15</v>
      </c>
    </row>
    <row r="564" spans="1:8">
      <c r="A564" t="s">
        <v>166</v>
      </c>
      <c r="B564" t="s">
        <v>87</v>
      </c>
      <c r="C564">
        <v>160</v>
      </c>
      <c r="D564" t="s">
        <v>146</v>
      </c>
      <c r="E564" s="242">
        <v>42072.418749999997</v>
      </c>
      <c r="F564">
        <v>0</v>
      </c>
      <c r="G564" t="b">
        <v>0</v>
      </c>
      <c r="H564" t="s">
        <v>15</v>
      </c>
    </row>
    <row r="565" spans="1:8">
      <c r="A565" t="s">
        <v>149</v>
      </c>
      <c r="B565" t="s">
        <v>87</v>
      </c>
      <c r="C565">
        <v>160</v>
      </c>
      <c r="D565" t="s">
        <v>146</v>
      </c>
      <c r="E565" s="242">
        <v>42076.532638888886</v>
      </c>
      <c r="F565">
        <v>0</v>
      </c>
      <c r="G565" t="b">
        <v>0</v>
      </c>
      <c r="H565" t="s">
        <v>15</v>
      </c>
    </row>
    <row r="566" spans="1:8">
      <c r="A566" t="s">
        <v>150</v>
      </c>
      <c r="B566" t="s">
        <v>87</v>
      </c>
      <c r="C566">
        <v>160</v>
      </c>
      <c r="D566" t="s">
        <v>146</v>
      </c>
      <c r="E566" s="242">
        <v>42082.475694444445</v>
      </c>
      <c r="F566">
        <v>0</v>
      </c>
      <c r="G566" t="b">
        <v>0</v>
      </c>
      <c r="H566" t="s">
        <v>15</v>
      </c>
    </row>
    <row r="567" spans="1:8">
      <c r="A567" t="s">
        <v>151</v>
      </c>
      <c r="B567" t="s">
        <v>87</v>
      </c>
      <c r="C567">
        <v>160</v>
      </c>
      <c r="D567" t="s">
        <v>146</v>
      </c>
      <c r="E567" s="242">
        <v>42019.847916666666</v>
      </c>
      <c r="F567">
        <v>0</v>
      </c>
      <c r="G567" t="b">
        <v>0</v>
      </c>
      <c r="H567" t="s">
        <v>15</v>
      </c>
    </row>
    <row r="568" spans="1:8">
      <c r="A568" t="s">
        <v>152</v>
      </c>
      <c r="B568" t="s">
        <v>87</v>
      </c>
      <c r="C568">
        <v>160</v>
      </c>
      <c r="D568" t="s">
        <v>146</v>
      </c>
      <c r="E568" s="242">
        <v>42060.518750000003</v>
      </c>
      <c r="F568">
        <v>0</v>
      </c>
      <c r="G568" t="b">
        <v>0</v>
      </c>
      <c r="H568" t="s">
        <v>15</v>
      </c>
    </row>
    <row r="569" spans="1:8">
      <c r="A569" t="s">
        <v>145</v>
      </c>
      <c r="B569" t="s">
        <v>87</v>
      </c>
      <c r="C569">
        <v>160</v>
      </c>
      <c r="D569" t="s">
        <v>146</v>
      </c>
      <c r="E569" s="242">
        <v>42094.336111111108</v>
      </c>
      <c r="F569">
        <v>0</v>
      </c>
      <c r="G569" t="b">
        <v>0</v>
      </c>
      <c r="H569" t="s">
        <v>15</v>
      </c>
    </row>
    <row r="570" spans="1:8">
      <c r="A570" t="s">
        <v>167</v>
      </c>
      <c r="B570" t="s">
        <v>87</v>
      </c>
      <c r="C570">
        <v>160</v>
      </c>
      <c r="D570" t="s">
        <v>146</v>
      </c>
      <c r="E570" s="242">
        <v>42109.826388888891</v>
      </c>
      <c r="F570">
        <v>0</v>
      </c>
      <c r="G570" t="b">
        <v>0</v>
      </c>
      <c r="H570" t="s">
        <v>15</v>
      </c>
    </row>
    <row r="571" spans="1:8">
      <c r="A571" t="s">
        <v>153</v>
      </c>
      <c r="B571" t="s">
        <v>87</v>
      </c>
      <c r="C571">
        <v>160</v>
      </c>
      <c r="D571" t="s">
        <v>146</v>
      </c>
      <c r="E571" s="242">
        <v>42079.863888888889</v>
      </c>
      <c r="F571">
        <v>0</v>
      </c>
      <c r="G571" t="b">
        <v>0</v>
      </c>
      <c r="H571" t="s">
        <v>15</v>
      </c>
    </row>
    <row r="572" spans="1:8">
      <c r="A572" t="s">
        <v>154</v>
      </c>
      <c r="B572" t="s">
        <v>87</v>
      </c>
      <c r="C572">
        <v>160</v>
      </c>
      <c r="D572" t="s">
        <v>146</v>
      </c>
      <c r="E572" s="242">
        <v>42061.645138888889</v>
      </c>
      <c r="F572">
        <v>0</v>
      </c>
      <c r="G572" t="b">
        <v>0</v>
      </c>
      <c r="H572" t="s">
        <v>15</v>
      </c>
    </row>
    <row r="573" spans="1:8">
      <c r="A573" t="s">
        <v>168</v>
      </c>
      <c r="B573" t="s">
        <v>87</v>
      </c>
      <c r="C573">
        <v>160</v>
      </c>
      <c r="D573" t="s">
        <v>146</v>
      </c>
      <c r="E573" s="242">
        <v>42101.770138888889</v>
      </c>
      <c r="F573">
        <v>0</v>
      </c>
      <c r="G573" t="b">
        <v>0</v>
      </c>
      <c r="H573" t="s">
        <v>15</v>
      </c>
    </row>
    <row r="574" spans="1:8">
      <c r="A574" t="s">
        <v>155</v>
      </c>
      <c r="B574" t="s">
        <v>87</v>
      </c>
      <c r="C574">
        <v>160</v>
      </c>
      <c r="D574" t="s">
        <v>146</v>
      </c>
      <c r="E574" s="242">
        <v>42066.558333333334</v>
      </c>
      <c r="F574">
        <v>0</v>
      </c>
      <c r="G574" t="b">
        <v>0</v>
      </c>
      <c r="H574" t="s">
        <v>15</v>
      </c>
    </row>
    <row r="575" spans="1:8">
      <c r="A575" t="s">
        <v>156</v>
      </c>
      <c r="B575" t="s">
        <v>87</v>
      </c>
      <c r="C575">
        <v>160</v>
      </c>
      <c r="D575" t="s">
        <v>146</v>
      </c>
      <c r="E575" s="242">
        <v>42054.681944444441</v>
      </c>
      <c r="F575">
        <v>0</v>
      </c>
      <c r="G575" t="b">
        <v>0</v>
      </c>
      <c r="H575" t="s">
        <v>15</v>
      </c>
    </row>
    <row r="576" spans="1:8">
      <c r="A576" t="s">
        <v>157</v>
      </c>
      <c r="B576" t="s">
        <v>87</v>
      </c>
      <c r="C576">
        <v>160</v>
      </c>
      <c r="D576" t="s">
        <v>146</v>
      </c>
      <c r="E576" s="242">
        <v>42096.318749999999</v>
      </c>
      <c r="F576">
        <v>0</v>
      </c>
      <c r="G576" t="b">
        <v>0</v>
      </c>
      <c r="H576" t="s">
        <v>15</v>
      </c>
    </row>
    <row r="577" spans="1:8">
      <c r="A577" t="s">
        <v>169</v>
      </c>
      <c r="B577" t="s">
        <v>87</v>
      </c>
      <c r="C577">
        <v>160</v>
      </c>
      <c r="D577" t="s">
        <v>146</v>
      </c>
      <c r="E577" s="242">
        <v>42076.676388888889</v>
      </c>
      <c r="F577">
        <v>0</v>
      </c>
      <c r="G577" t="b">
        <v>0</v>
      </c>
      <c r="H577" t="s">
        <v>15</v>
      </c>
    </row>
    <row r="578" spans="1:8">
      <c r="A578" t="s">
        <v>170</v>
      </c>
      <c r="B578" t="s">
        <v>87</v>
      </c>
      <c r="C578">
        <v>160</v>
      </c>
      <c r="D578" t="s">
        <v>146</v>
      </c>
      <c r="E578" s="242">
        <v>42047.151388888888</v>
      </c>
      <c r="F578">
        <v>0</v>
      </c>
      <c r="G578" t="b">
        <v>0</v>
      </c>
      <c r="H578" t="s">
        <v>15</v>
      </c>
    </row>
    <row r="579" spans="1:8">
      <c r="A579" t="s">
        <v>158</v>
      </c>
      <c r="B579" t="s">
        <v>87</v>
      </c>
      <c r="C579">
        <v>160</v>
      </c>
      <c r="D579" t="s">
        <v>146</v>
      </c>
      <c r="E579" s="242">
        <v>42111.587500000001</v>
      </c>
      <c r="F579">
        <v>0</v>
      </c>
      <c r="G579" t="b">
        <v>0</v>
      </c>
      <c r="H579" t="s">
        <v>15</v>
      </c>
    </row>
    <row r="580" spans="1:8">
      <c r="A580" t="s">
        <v>159</v>
      </c>
      <c r="B580" t="s">
        <v>87</v>
      </c>
      <c r="C580">
        <v>160</v>
      </c>
      <c r="D580" t="s">
        <v>146</v>
      </c>
      <c r="E580" s="242">
        <v>42105</v>
      </c>
      <c r="F580">
        <v>0</v>
      </c>
      <c r="G580" t="b">
        <v>0</v>
      </c>
      <c r="H580" t="s">
        <v>15</v>
      </c>
    </row>
    <row r="581" spans="1:8">
      <c r="A581" t="s">
        <v>160</v>
      </c>
      <c r="B581" t="s">
        <v>87</v>
      </c>
      <c r="C581">
        <v>160</v>
      </c>
      <c r="D581" t="s">
        <v>146</v>
      </c>
      <c r="E581" s="242">
        <v>42104.711805555555</v>
      </c>
      <c r="F581">
        <v>0</v>
      </c>
      <c r="G581" t="b">
        <v>0</v>
      </c>
      <c r="H581" t="s">
        <v>15</v>
      </c>
    </row>
    <row r="582" spans="1:8">
      <c r="A582" t="s">
        <v>164</v>
      </c>
      <c r="B582" t="s">
        <v>87</v>
      </c>
      <c r="C582">
        <v>161</v>
      </c>
      <c r="D582" t="s">
        <v>146</v>
      </c>
      <c r="E582" s="242">
        <v>42109</v>
      </c>
      <c r="F582">
        <v>0</v>
      </c>
      <c r="G582" t="b">
        <v>0</v>
      </c>
      <c r="H582" t="s">
        <v>15</v>
      </c>
    </row>
    <row r="583" spans="1:8">
      <c r="A583" t="s">
        <v>165</v>
      </c>
      <c r="B583" t="s">
        <v>87</v>
      </c>
      <c r="C583">
        <v>161</v>
      </c>
      <c r="D583" t="s">
        <v>146</v>
      </c>
      <c r="E583" s="242">
        <v>42060</v>
      </c>
      <c r="F583">
        <v>0</v>
      </c>
      <c r="G583" t="b">
        <v>0</v>
      </c>
      <c r="H583" t="s">
        <v>15</v>
      </c>
    </row>
    <row r="584" spans="1:8">
      <c r="A584" t="s">
        <v>163</v>
      </c>
      <c r="B584" t="s">
        <v>87</v>
      </c>
      <c r="C584">
        <v>161</v>
      </c>
      <c r="D584" t="s">
        <v>146</v>
      </c>
      <c r="E584" s="242">
        <v>42062</v>
      </c>
      <c r="F584">
        <v>0</v>
      </c>
      <c r="G584" t="b">
        <v>0</v>
      </c>
      <c r="H584" t="s">
        <v>15</v>
      </c>
    </row>
    <row r="585" spans="1:8">
      <c r="A585" t="s">
        <v>166</v>
      </c>
      <c r="B585" t="s">
        <v>87</v>
      </c>
      <c r="C585">
        <v>161</v>
      </c>
      <c r="D585" t="s">
        <v>146</v>
      </c>
      <c r="E585" s="242">
        <v>42072</v>
      </c>
      <c r="F585">
        <v>0</v>
      </c>
      <c r="G585" t="b">
        <v>0</v>
      </c>
      <c r="H585" t="s">
        <v>15</v>
      </c>
    </row>
    <row r="586" spans="1:8">
      <c r="A586" t="s">
        <v>150</v>
      </c>
      <c r="B586" t="s">
        <v>87</v>
      </c>
      <c r="C586">
        <v>161</v>
      </c>
      <c r="D586" t="s">
        <v>146</v>
      </c>
      <c r="E586" s="242">
        <v>42082</v>
      </c>
      <c r="F586">
        <v>0</v>
      </c>
      <c r="G586" t="b">
        <v>0</v>
      </c>
      <c r="H586" t="s">
        <v>15</v>
      </c>
    </row>
    <row r="587" spans="1:8">
      <c r="A587" t="s">
        <v>145</v>
      </c>
      <c r="B587" t="s">
        <v>87</v>
      </c>
      <c r="C587">
        <v>161</v>
      </c>
      <c r="D587" t="s">
        <v>146</v>
      </c>
      <c r="E587" s="242">
        <v>42094</v>
      </c>
      <c r="F587">
        <v>0</v>
      </c>
      <c r="G587" t="b">
        <v>0</v>
      </c>
      <c r="H587" t="s">
        <v>15</v>
      </c>
    </row>
    <row r="588" spans="1:8">
      <c r="A588" t="s">
        <v>155</v>
      </c>
      <c r="B588" t="s">
        <v>87</v>
      </c>
      <c r="C588">
        <v>161</v>
      </c>
      <c r="D588" t="s">
        <v>146</v>
      </c>
      <c r="E588" s="242">
        <v>42066</v>
      </c>
      <c r="F588">
        <v>0</v>
      </c>
      <c r="G588" t="b">
        <v>0</v>
      </c>
      <c r="H588" t="s">
        <v>15</v>
      </c>
    </row>
    <row r="589" spans="1:8">
      <c r="A589" t="s">
        <v>158</v>
      </c>
      <c r="B589" t="s">
        <v>87</v>
      </c>
      <c r="C589">
        <v>161</v>
      </c>
      <c r="D589" t="s">
        <v>146</v>
      </c>
      <c r="E589" s="242">
        <v>42111</v>
      </c>
      <c r="F589">
        <v>0</v>
      </c>
      <c r="G589" t="b">
        <v>0</v>
      </c>
      <c r="H589" t="s">
        <v>15</v>
      </c>
    </row>
    <row r="590" spans="1:8">
      <c r="A590" t="s">
        <v>165</v>
      </c>
      <c r="B590" t="s">
        <v>87</v>
      </c>
      <c r="C590">
        <v>164</v>
      </c>
      <c r="D590" t="s">
        <v>147</v>
      </c>
      <c r="E590" s="242"/>
      <c r="F590">
        <v>7749.89990234375</v>
      </c>
      <c r="G590" t="b">
        <v>0</v>
      </c>
      <c r="H590" t="s">
        <v>15</v>
      </c>
    </row>
    <row r="591" spans="1:8">
      <c r="A591" t="s">
        <v>150</v>
      </c>
      <c r="B591" t="s">
        <v>87</v>
      </c>
      <c r="C591">
        <v>164</v>
      </c>
      <c r="D591" t="s">
        <v>147</v>
      </c>
      <c r="E591" s="242"/>
      <c r="F591">
        <v>3743.39990234375</v>
      </c>
      <c r="G591" t="b">
        <v>0</v>
      </c>
      <c r="H591" t="s">
        <v>15</v>
      </c>
    </row>
    <row r="592" spans="1:8">
      <c r="A592" t="s">
        <v>152</v>
      </c>
      <c r="B592" t="s">
        <v>87</v>
      </c>
      <c r="C592">
        <v>164</v>
      </c>
      <c r="D592" t="s">
        <v>147</v>
      </c>
      <c r="E592" s="242"/>
      <c r="F592">
        <v>1770.30004882812</v>
      </c>
      <c r="G592" t="b">
        <v>0</v>
      </c>
      <c r="H592" t="s">
        <v>15</v>
      </c>
    </row>
    <row r="593" spans="1:8">
      <c r="A593" t="s">
        <v>145</v>
      </c>
      <c r="B593" t="s">
        <v>87</v>
      </c>
      <c r="C593">
        <v>164</v>
      </c>
      <c r="D593" t="s">
        <v>147</v>
      </c>
      <c r="E593" s="242"/>
      <c r="F593">
        <v>1704.69995117187</v>
      </c>
      <c r="G593" t="b">
        <v>0</v>
      </c>
      <c r="H593" t="s">
        <v>15</v>
      </c>
    </row>
    <row r="594" spans="1:8">
      <c r="A594" t="s">
        <v>156</v>
      </c>
      <c r="B594" t="s">
        <v>87</v>
      </c>
      <c r="C594">
        <v>164</v>
      </c>
      <c r="D594" t="s">
        <v>147</v>
      </c>
      <c r="E594" s="242"/>
      <c r="F594">
        <v>4762.5</v>
      </c>
      <c r="G594" t="b">
        <v>0</v>
      </c>
      <c r="H594" t="s">
        <v>15</v>
      </c>
    </row>
    <row r="595" spans="1:8">
      <c r="A595" t="s">
        <v>170</v>
      </c>
      <c r="B595" t="s">
        <v>87</v>
      </c>
      <c r="C595">
        <v>164</v>
      </c>
      <c r="D595" t="s">
        <v>147</v>
      </c>
      <c r="E595" s="242"/>
      <c r="F595">
        <v>1325.59997558593</v>
      </c>
      <c r="G595" t="b">
        <v>0</v>
      </c>
      <c r="H595" t="s">
        <v>15</v>
      </c>
    </row>
    <row r="596" spans="1:8">
      <c r="A596" t="s">
        <v>164</v>
      </c>
      <c r="B596" t="s">
        <v>87</v>
      </c>
      <c r="C596">
        <v>177</v>
      </c>
      <c r="D596" t="s">
        <v>146</v>
      </c>
      <c r="E596" s="242">
        <v>42033.654861111114</v>
      </c>
      <c r="F596">
        <v>0</v>
      </c>
      <c r="G596" t="b">
        <v>0</v>
      </c>
      <c r="H596" t="s">
        <v>15</v>
      </c>
    </row>
    <row r="597" spans="1:8">
      <c r="A597" t="s">
        <v>161</v>
      </c>
      <c r="B597" t="s">
        <v>87</v>
      </c>
      <c r="C597">
        <v>177</v>
      </c>
      <c r="D597" t="s">
        <v>146</v>
      </c>
      <c r="E597" s="242">
        <v>42076.594444444447</v>
      </c>
      <c r="F597">
        <v>0</v>
      </c>
      <c r="G597" t="b">
        <v>0</v>
      </c>
      <c r="H597" t="s">
        <v>15</v>
      </c>
    </row>
    <row r="598" spans="1:8">
      <c r="A598" t="s">
        <v>165</v>
      </c>
      <c r="B598" t="s">
        <v>87</v>
      </c>
      <c r="C598">
        <v>177</v>
      </c>
      <c r="D598" t="s">
        <v>146</v>
      </c>
      <c r="E598" s="242">
        <v>42061</v>
      </c>
      <c r="F598">
        <v>0</v>
      </c>
      <c r="G598" t="b">
        <v>0</v>
      </c>
      <c r="H598" t="s">
        <v>15</v>
      </c>
    </row>
    <row r="599" spans="1:8">
      <c r="A599" t="s">
        <v>148</v>
      </c>
      <c r="B599" t="s">
        <v>87</v>
      </c>
      <c r="C599">
        <v>177</v>
      </c>
      <c r="D599" t="s">
        <v>146</v>
      </c>
      <c r="E599" s="242">
        <v>42081.535416666666</v>
      </c>
      <c r="F599">
        <v>0</v>
      </c>
      <c r="G599" t="b">
        <v>0</v>
      </c>
      <c r="H599" t="s">
        <v>15</v>
      </c>
    </row>
    <row r="600" spans="1:8">
      <c r="A600" t="s">
        <v>162</v>
      </c>
      <c r="B600" t="s">
        <v>87</v>
      </c>
      <c r="C600">
        <v>177</v>
      </c>
      <c r="D600" t="s">
        <v>146</v>
      </c>
      <c r="E600" s="242">
        <v>42053.449305555558</v>
      </c>
      <c r="F600">
        <v>0</v>
      </c>
      <c r="G600" t="b">
        <v>0</v>
      </c>
      <c r="H600" t="s">
        <v>15</v>
      </c>
    </row>
    <row r="601" spans="1:8">
      <c r="A601" t="s">
        <v>163</v>
      </c>
      <c r="B601" t="s">
        <v>87</v>
      </c>
      <c r="C601">
        <v>177</v>
      </c>
      <c r="D601" t="s">
        <v>146</v>
      </c>
      <c r="E601" s="242">
        <v>42060.530555555553</v>
      </c>
      <c r="F601">
        <v>0</v>
      </c>
      <c r="G601" t="b">
        <v>0</v>
      </c>
      <c r="H601" t="s">
        <v>15</v>
      </c>
    </row>
    <row r="602" spans="1:8">
      <c r="A602" t="s">
        <v>166</v>
      </c>
      <c r="B602" t="s">
        <v>87</v>
      </c>
      <c r="C602">
        <v>177</v>
      </c>
      <c r="D602" t="s">
        <v>146</v>
      </c>
      <c r="E602" s="242">
        <v>42074</v>
      </c>
      <c r="F602">
        <v>0</v>
      </c>
      <c r="G602" t="b">
        <v>0</v>
      </c>
      <c r="H602" t="s">
        <v>15</v>
      </c>
    </row>
    <row r="603" spans="1:8">
      <c r="A603" t="s">
        <v>149</v>
      </c>
      <c r="B603" t="s">
        <v>87</v>
      </c>
      <c r="C603">
        <v>177</v>
      </c>
      <c r="D603" t="s">
        <v>146</v>
      </c>
      <c r="E603" s="242">
        <v>42111</v>
      </c>
      <c r="F603">
        <v>0</v>
      </c>
      <c r="G603" t="b">
        <v>0</v>
      </c>
      <c r="H603" t="s">
        <v>15</v>
      </c>
    </row>
    <row r="604" spans="1:8">
      <c r="A604" t="s">
        <v>150</v>
      </c>
      <c r="B604" t="s">
        <v>87</v>
      </c>
      <c r="C604">
        <v>177</v>
      </c>
      <c r="D604" t="s">
        <v>146</v>
      </c>
      <c r="E604" s="242">
        <v>42082.592361111114</v>
      </c>
      <c r="F604">
        <v>0</v>
      </c>
      <c r="G604" t="b">
        <v>0</v>
      </c>
      <c r="H604" t="s">
        <v>15</v>
      </c>
    </row>
    <row r="605" spans="1:8">
      <c r="A605" t="s">
        <v>151</v>
      </c>
      <c r="B605" t="s">
        <v>87</v>
      </c>
      <c r="C605">
        <v>177</v>
      </c>
      <c r="D605" t="s">
        <v>146</v>
      </c>
      <c r="E605" s="242">
        <v>41991</v>
      </c>
      <c r="F605">
        <v>0</v>
      </c>
      <c r="G605" t="b">
        <v>0</v>
      </c>
      <c r="H605" t="s">
        <v>15</v>
      </c>
    </row>
    <row r="606" spans="1:8">
      <c r="A606" t="s">
        <v>152</v>
      </c>
      <c r="B606" t="s">
        <v>87</v>
      </c>
      <c r="C606">
        <v>177</v>
      </c>
      <c r="D606" t="s">
        <v>146</v>
      </c>
      <c r="E606" s="242">
        <v>42060.525694444441</v>
      </c>
      <c r="F606">
        <v>0</v>
      </c>
      <c r="G606" t="b">
        <v>0</v>
      </c>
      <c r="H606" t="s">
        <v>15</v>
      </c>
    </row>
    <row r="607" spans="1:8">
      <c r="A607" t="s">
        <v>145</v>
      </c>
      <c r="B607" t="s">
        <v>87</v>
      </c>
      <c r="C607">
        <v>177</v>
      </c>
      <c r="D607" t="s">
        <v>146</v>
      </c>
      <c r="E607" s="242">
        <v>42081.3125</v>
      </c>
      <c r="F607">
        <v>0</v>
      </c>
      <c r="G607" t="b">
        <v>0</v>
      </c>
      <c r="H607" t="s">
        <v>15</v>
      </c>
    </row>
    <row r="608" spans="1:8">
      <c r="A608" t="s">
        <v>167</v>
      </c>
      <c r="B608" t="s">
        <v>87</v>
      </c>
      <c r="C608">
        <v>177</v>
      </c>
      <c r="D608" t="s">
        <v>146</v>
      </c>
      <c r="E608" s="242">
        <v>42040.463888888888</v>
      </c>
      <c r="F608">
        <v>0</v>
      </c>
      <c r="G608" t="b">
        <v>0</v>
      </c>
      <c r="H608" t="s">
        <v>15</v>
      </c>
    </row>
    <row r="609" spans="1:8">
      <c r="A609" t="s">
        <v>153</v>
      </c>
      <c r="B609" t="s">
        <v>87</v>
      </c>
      <c r="C609">
        <v>177</v>
      </c>
      <c r="D609" t="s">
        <v>146</v>
      </c>
      <c r="E609" s="242">
        <v>42081.326388888891</v>
      </c>
      <c r="F609">
        <v>0</v>
      </c>
      <c r="G609" t="b">
        <v>0</v>
      </c>
      <c r="H609" t="s">
        <v>15</v>
      </c>
    </row>
    <row r="610" spans="1:8">
      <c r="A610" t="s">
        <v>154</v>
      </c>
      <c r="B610" t="s">
        <v>87</v>
      </c>
      <c r="C610">
        <v>177</v>
      </c>
      <c r="D610" t="s">
        <v>146</v>
      </c>
      <c r="E610" s="242">
        <v>42074.638194444444</v>
      </c>
      <c r="F610">
        <v>0</v>
      </c>
      <c r="G610" t="b">
        <v>0</v>
      </c>
      <c r="H610" t="s">
        <v>15</v>
      </c>
    </row>
    <row r="611" spans="1:8">
      <c r="A611" t="s">
        <v>168</v>
      </c>
      <c r="B611" t="s">
        <v>87</v>
      </c>
      <c r="C611">
        <v>177</v>
      </c>
      <c r="D611" t="s">
        <v>146</v>
      </c>
      <c r="E611" s="242">
        <v>42072.976388888892</v>
      </c>
      <c r="F611">
        <v>0</v>
      </c>
      <c r="G611" t="b">
        <v>0</v>
      </c>
      <c r="H611" t="s">
        <v>15</v>
      </c>
    </row>
    <row r="612" spans="1:8">
      <c r="A612" t="s">
        <v>155</v>
      </c>
      <c r="B612" t="s">
        <v>87</v>
      </c>
      <c r="C612">
        <v>177</v>
      </c>
      <c r="D612" t="s">
        <v>146</v>
      </c>
      <c r="E612" s="242">
        <v>42074</v>
      </c>
      <c r="F612">
        <v>0</v>
      </c>
      <c r="G612" t="b">
        <v>0</v>
      </c>
      <c r="H612" t="s">
        <v>15</v>
      </c>
    </row>
    <row r="613" spans="1:8">
      <c r="A613" t="s">
        <v>156</v>
      </c>
      <c r="B613" t="s">
        <v>87</v>
      </c>
      <c r="C613">
        <v>177</v>
      </c>
      <c r="D613" t="s">
        <v>146</v>
      </c>
      <c r="E613" s="242">
        <v>42033.354166666664</v>
      </c>
      <c r="F613">
        <v>0</v>
      </c>
      <c r="G613" t="b">
        <v>0</v>
      </c>
      <c r="H613" t="s">
        <v>15</v>
      </c>
    </row>
    <row r="614" spans="1:8">
      <c r="A614" t="s">
        <v>157</v>
      </c>
      <c r="B614" t="s">
        <v>87</v>
      </c>
      <c r="C614">
        <v>177</v>
      </c>
      <c r="D614" t="s">
        <v>146</v>
      </c>
      <c r="E614" s="242">
        <v>42072</v>
      </c>
      <c r="F614">
        <v>0</v>
      </c>
      <c r="G614" t="b">
        <v>0</v>
      </c>
      <c r="H614" t="s">
        <v>15</v>
      </c>
    </row>
    <row r="615" spans="1:8">
      <c r="A615" t="s">
        <v>169</v>
      </c>
      <c r="B615" t="s">
        <v>87</v>
      </c>
      <c r="C615">
        <v>177</v>
      </c>
      <c r="D615" t="s">
        <v>146</v>
      </c>
      <c r="E615" s="242">
        <v>42074.498611111114</v>
      </c>
      <c r="F615">
        <v>0</v>
      </c>
      <c r="G615" t="b">
        <v>0</v>
      </c>
      <c r="H615" t="s">
        <v>15</v>
      </c>
    </row>
    <row r="616" spans="1:8">
      <c r="A616" t="s">
        <v>170</v>
      </c>
      <c r="B616" t="s">
        <v>87</v>
      </c>
      <c r="C616">
        <v>177</v>
      </c>
      <c r="D616" t="s">
        <v>146</v>
      </c>
      <c r="E616" s="242">
        <v>42082.390277777777</v>
      </c>
      <c r="F616">
        <v>0</v>
      </c>
      <c r="G616" t="b">
        <v>0</v>
      </c>
      <c r="H616" t="s">
        <v>15</v>
      </c>
    </row>
    <row r="617" spans="1:8">
      <c r="A617" t="s">
        <v>158</v>
      </c>
      <c r="B617" t="s">
        <v>87</v>
      </c>
      <c r="C617">
        <v>177</v>
      </c>
      <c r="D617" t="s">
        <v>146</v>
      </c>
      <c r="E617" s="242">
        <v>42076.34375</v>
      </c>
      <c r="F617">
        <v>0</v>
      </c>
      <c r="G617" t="b">
        <v>0</v>
      </c>
      <c r="H617" t="s">
        <v>15</v>
      </c>
    </row>
    <row r="618" spans="1:8">
      <c r="A618" t="s">
        <v>159</v>
      </c>
      <c r="B618" t="s">
        <v>87</v>
      </c>
      <c r="C618">
        <v>177</v>
      </c>
      <c r="D618" t="s">
        <v>146</v>
      </c>
      <c r="E618" s="242">
        <v>42072</v>
      </c>
      <c r="F618">
        <v>0</v>
      </c>
      <c r="G618" t="b">
        <v>0</v>
      </c>
      <c r="H618" t="s">
        <v>15</v>
      </c>
    </row>
    <row r="619" spans="1:8">
      <c r="A619" t="s">
        <v>160</v>
      </c>
      <c r="B619" t="s">
        <v>87</v>
      </c>
      <c r="C619">
        <v>177</v>
      </c>
      <c r="D619" t="s">
        <v>146</v>
      </c>
      <c r="E619" s="242">
        <v>42087.313888888886</v>
      </c>
      <c r="F619">
        <v>0</v>
      </c>
      <c r="G619" t="b">
        <v>0</v>
      </c>
      <c r="H619" t="s">
        <v>15</v>
      </c>
    </row>
    <row r="620" spans="1:8">
      <c r="A620" t="s">
        <v>164</v>
      </c>
      <c r="B620" t="s">
        <v>87</v>
      </c>
      <c r="C620">
        <v>192</v>
      </c>
      <c r="D620" t="s">
        <v>147</v>
      </c>
      <c r="E620" s="242"/>
      <c r="F620">
        <v>5336.89990234375</v>
      </c>
      <c r="G620" t="b">
        <v>0</v>
      </c>
      <c r="H620" t="s">
        <v>15</v>
      </c>
    </row>
    <row r="621" spans="1:8">
      <c r="A621" t="s">
        <v>161</v>
      </c>
      <c r="B621" t="s">
        <v>87</v>
      </c>
      <c r="C621">
        <v>192</v>
      </c>
      <c r="D621" t="s">
        <v>147</v>
      </c>
      <c r="E621" s="242"/>
      <c r="F621">
        <v>7126</v>
      </c>
      <c r="G621" t="b">
        <v>0</v>
      </c>
      <c r="H621" t="s">
        <v>15</v>
      </c>
    </row>
    <row r="622" spans="1:8">
      <c r="A622" t="s">
        <v>165</v>
      </c>
      <c r="B622" t="s">
        <v>87</v>
      </c>
      <c r="C622">
        <v>192</v>
      </c>
      <c r="D622" t="s">
        <v>147</v>
      </c>
      <c r="E622" s="242"/>
      <c r="F622">
        <v>7703.7001953125</v>
      </c>
      <c r="G622" t="b">
        <v>0</v>
      </c>
      <c r="H622" t="s">
        <v>15</v>
      </c>
    </row>
    <row r="623" spans="1:8">
      <c r="A623" t="s">
        <v>148</v>
      </c>
      <c r="B623" t="s">
        <v>87</v>
      </c>
      <c r="C623">
        <v>192</v>
      </c>
      <c r="D623" t="s">
        <v>147</v>
      </c>
      <c r="E623" s="242"/>
      <c r="F623">
        <v>6703.39990234375</v>
      </c>
      <c r="G623" t="b">
        <v>0</v>
      </c>
      <c r="H623" t="s">
        <v>15</v>
      </c>
    </row>
    <row r="624" spans="1:8">
      <c r="A624" t="s">
        <v>162</v>
      </c>
      <c r="B624" t="s">
        <v>87</v>
      </c>
      <c r="C624">
        <v>192</v>
      </c>
      <c r="D624" t="s">
        <v>147</v>
      </c>
      <c r="E624" s="242"/>
      <c r="F624">
        <v>7383.10009765625</v>
      </c>
      <c r="G624" t="b">
        <v>0</v>
      </c>
      <c r="H624" t="s">
        <v>15</v>
      </c>
    </row>
    <row r="625" spans="1:8">
      <c r="A625" t="s">
        <v>163</v>
      </c>
      <c r="B625" t="s">
        <v>87</v>
      </c>
      <c r="C625">
        <v>192</v>
      </c>
      <c r="D625" t="s">
        <v>147</v>
      </c>
      <c r="E625" s="242"/>
      <c r="F625">
        <v>4818</v>
      </c>
      <c r="G625" t="b">
        <v>0</v>
      </c>
      <c r="H625" t="s">
        <v>15</v>
      </c>
    </row>
    <row r="626" spans="1:8">
      <c r="A626" t="s">
        <v>166</v>
      </c>
      <c r="B626" t="s">
        <v>87</v>
      </c>
      <c r="C626">
        <v>192</v>
      </c>
      <c r="D626" t="s">
        <v>147</v>
      </c>
      <c r="E626" s="242"/>
      <c r="F626">
        <v>3465.19995117187</v>
      </c>
      <c r="G626" t="b">
        <v>0</v>
      </c>
      <c r="H626" t="s">
        <v>15</v>
      </c>
    </row>
    <row r="627" spans="1:8">
      <c r="A627" t="s">
        <v>149</v>
      </c>
      <c r="B627" t="s">
        <v>87</v>
      </c>
      <c r="C627">
        <v>192</v>
      </c>
      <c r="D627" t="s">
        <v>147</v>
      </c>
      <c r="E627" s="242"/>
      <c r="F627">
        <v>5078.7001953125</v>
      </c>
      <c r="G627" t="b">
        <v>0</v>
      </c>
      <c r="H627" t="s">
        <v>15</v>
      </c>
    </row>
    <row r="628" spans="1:8">
      <c r="A628" t="s">
        <v>150</v>
      </c>
      <c r="B628" t="s">
        <v>87</v>
      </c>
      <c r="C628">
        <v>192</v>
      </c>
      <c r="D628" t="s">
        <v>147</v>
      </c>
      <c r="E628" s="242"/>
      <c r="F628">
        <v>3985</v>
      </c>
      <c r="G628" t="b">
        <v>0</v>
      </c>
      <c r="H628" t="s">
        <v>15</v>
      </c>
    </row>
    <row r="629" spans="1:8">
      <c r="A629" t="s">
        <v>151</v>
      </c>
      <c r="B629" t="s">
        <v>87</v>
      </c>
      <c r="C629">
        <v>192</v>
      </c>
      <c r="D629" t="s">
        <v>147</v>
      </c>
      <c r="E629" s="242"/>
      <c r="F629">
        <v>1898.09997558593</v>
      </c>
      <c r="G629" t="b">
        <v>0</v>
      </c>
      <c r="H629" t="s">
        <v>15</v>
      </c>
    </row>
    <row r="630" spans="1:8">
      <c r="A630" t="s">
        <v>152</v>
      </c>
      <c r="B630" t="s">
        <v>87</v>
      </c>
      <c r="C630">
        <v>192</v>
      </c>
      <c r="D630" t="s">
        <v>147</v>
      </c>
      <c r="E630" s="242"/>
      <c r="F630">
        <v>1770.30004882812</v>
      </c>
      <c r="G630" t="b">
        <v>0</v>
      </c>
      <c r="H630" t="s">
        <v>15</v>
      </c>
    </row>
    <row r="631" spans="1:8">
      <c r="A631" t="s">
        <v>145</v>
      </c>
      <c r="B631" t="s">
        <v>87</v>
      </c>
      <c r="C631">
        <v>192</v>
      </c>
      <c r="D631" t="s">
        <v>147</v>
      </c>
      <c r="E631" s="242"/>
      <c r="F631">
        <v>1704.69995117187</v>
      </c>
      <c r="G631" t="b">
        <v>0</v>
      </c>
      <c r="H631" t="s">
        <v>15</v>
      </c>
    </row>
    <row r="632" spans="1:8">
      <c r="A632" t="s">
        <v>167</v>
      </c>
      <c r="B632" t="s">
        <v>87</v>
      </c>
      <c r="C632">
        <v>192</v>
      </c>
      <c r="D632" t="s">
        <v>147</v>
      </c>
      <c r="E632" s="242"/>
      <c r="F632">
        <v>1863.40002441406</v>
      </c>
      <c r="G632" t="b">
        <v>0</v>
      </c>
      <c r="H632" t="s">
        <v>15</v>
      </c>
    </row>
    <row r="633" spans="1:8">
      <c r="A633" t="s">
        <v>153</v>
      </c>
      <c r="B633" t="s">
        <v>87</v>
      </c>
      <c r="C633">
        <v>192</v>
      </c>
      <c r="D633" t="s">
        <v>147</v>
      </c>
      <c r="E633" s="242"/>
      <c r="F633">
        <v>1560</v>
      </c>
      <c r="G633" t="b">
        <v>0</v>
      </c>
      <c r="H633" t="s">
        <v>15</v>
      </c>
    </row>
    <row r="634" spans="1:8">
      <c r="A634" t="s">
        <v>154</v>
      </c>
      <c r="B634" t="s">
        <v>87</v>
      </c>
      <c r="C634">
        <v>192</v>
      </c>
      <c r="D634" t="s">
        <v>147</v>
      </c>
      <c r="E634" s="242"/>
      <c r="F634">
        <v>2795.80004882812</v>
      </c>
      <c r="G634" t="b">
        <v>0</v>
      </c>
      <c r="H634" t="s">
        <v>15</v>
      </c>
    </row>
    <row r="635" spans="1:8">
      <c r="A635" t="s">
        <v>168</v>
      </c>
      <c r="B635" t="s">
        <v>87</v>
      </c>
      <c r="C635">
        <v>192</v>
      </c>
      <c r="D635" t="s">
        <v>147</v>
      </c>
      <c r="E635" s="242"/>
      <c r="F635">
        <v>5199.39990234375</v>
      </c>
      <c r="G635" t="b">
        <v>0</v>
      </c>
      <c r="H635" t="s">
        <v>15</v>
      </c>
    </row>
    <row r="636" spans="1:8">
      <c r="A636" t="s">
        <v>155</v>
      </c>
      <c r="B636" t="s">
        <v>87</v>
      </c>
      <c r="C636">
        <v>192</v>
      </c>
      <c r="D636" t="s">
        <v>147</v>
      </c>
      <c r="E636" s="242"/>
      <c r="F636">
        <v>4369.7998046875</v>
      </c>
      <c r="G636" t="b">
        <v>0</v>
      </c>
      <c r="H636" t="s">
        <v>15</v>
      </c>
    </row>
    <row r="637" spans="1:8">
      <c r="A637" t="s">
        <v>156</v>
      </c>
      <c r="B637" t="s">
        <v>87</v>
      </c>
      <c r="C637">
        <v>192</v>
      </c>
      <c r="D637" t="s">
        <v>147</v>
      </c>
      <c r="E637" s="242"/>
      <c r="F637">
        <v>4756.5</v>
      </c>
      <c r="G637" t="b">
        <v>0</v>
      </c>
      <c r="H637" t="s">
        <v>15</v>
      </c>
    </row>
    <row r="638" spans="1:8">
      <c r="A638" t="s">
        <v>157</v>
      </c>
      <c r="B638" t="s">
        <v>87</v>
      </c>
      <c r="C638">
        <v>192</v>
      </c>
      <c r="D638" t="s">
        <v>147</v>
      </c>
      <c r="E638" s="242"/>
      <c r="F638">
        <v>5206</v>
      </c>
      <c r="G638" t="b">
        <v>0</v>
      </c>
      <c r="H638" t="s">
        <v>15</v>
      </c>
    </row>
    <row r="639" spans="1:8">
      <c r="A639" t="s">
        <v>169</v>
      </c>
      <c r="B639" t="s">
        <v>87</v>
      </c>
      <c r="C639">
        <v>192</v>
      </c>
      <c r="D639" t="s">
        <v>147</v>
      </c>
      <c r="E639" s="242"/>
      <c r="F639">
        <v>1492.69995117187</v>
      </c>
      <c r="G639" t="b">
        <v>0</v>
      </c>
      <c r="H639" t="s">
        <v>15</v>
      </c>
    </row>
    <row r="640" spans="1:8">
      <c r="A640" t="s">
        <v>170</v>
      </c>
      <c r="B640" t="s">
        <v>87</v>
      </c>
      <c r="C640">
        <v>192</v>
      </c>
      <c r="D640" t="s">
        <v>147</v>
      </c>
      <c r="E640" s="242"/>
      <c r="F640">
        <v>1451.59997558593</v>
      </c>
      <c r="G640" t="b">
        <v>0</v>
      </c>
      <c r="H640" t="s">
        <v>15</v>
      </c>
    </row>
    <row r="641" spans="1:8">
      <c r="A641" t="s">
        <v>158</v>
      </c>
      <c r="B641" t="s">
        <v>87</v>
      </c>
      <c r="C641">
        <v>192</v>
      </c>
      <c r="D641" t="s">
        <v>147</v>
      </c>
      <c r="E641" s="242"/>
      <c r="F641">
        <v>5360.10009765625</v>
      </c>
      <c r="G641" t="b">
        <v>0</v>
      </c>
      <c r="H641" t="s">
        <v>15</v>
      </c>
    </row>
    <row r="642" spans="1:8">
      <c r="A642" t="s">
        <v>159</v>
      </c>
      <c r="B642" t="s">
        <v>87</v>
      </c>
      <c r="C642">
        <v>192</v>
      </c>
      <c r="D642" t="s">
        <v>147</v>
      </c>
      <c r="E642" s="242"/>
      <c r="F642">
        <v>3155</v>
      </c>
      <c r="G642" t="b">
        <v>0</v>
      </c>
      <c r="H642" t="s">
        <v>15</v>
      </c>
    </row>
    <row r="643" spans="1:8">
      <c r="A643" t="s">
        <v>160</v>
      </c>
      <c r="B643" t="s">
        <v>87</v>
      </c>
      <c r="C643">
        <v>192</v>
      </c>
      <c r="D643" t="s">
        <v>147</v>
      </c>
      <c r="E643" s="242"/>
      <c r="F643">
        <v>2969.10009765625</v>
      </c>
      <c r="G643" t="b">
        <v>0</v>
      </c>
      <c r="H643" t="s">
        <v>15</v>
      </c>
    </row>
    <row r="644" spans="1:8">
      <c r="A644" t="s">
        <v>164</v>
      </c>
      <c r="B644" t="s">
        <v>87</v>
      </c>
      <c r="C644">
        <v>195</v>
      </c>
      <c r="D644" t="s">
        <v>147</v>
      </c>
      <c r="E644" s="242"/>
      <c r="F644">
        <v>5336.89990234375</v>
      </c>
      <c r="G644" t="b">
        <v>0</v>
      </c>
      <c r="H644" t="s">
        <v>15</v>
      </c>
    </row>
    <row r="645" spans="1:8">
      <c r="A645" t="s">
        <v>161</v>
      </c>
      <c r="B645" t="s">
        <v>87</v>
      </c>
      <c r="C645">
        <v>195</v>
      </c>
      <c r="D645" t="s">
        <v>147</v>
      </c>
      <c r="E645" s="242"/>
      <c r="F645">
        <v>7126</v>
      </c>
      <c r="G645" t="b">
        <v>0</v>
      </c>
      <c r="H645" t="s">
        <v>15</v>
      </c>
    </row>
    <row r="646" spans="1:8">
      <c r="A646" t="s">
        <v>165</v>
      </c>
      <c r="B646" t="s">
        <v>87</v>
      </c>
      <c r="C646">
        <v>195</v>
      </c>
      <c r="D646" t="s">
        <v>147</v>
      </c>
      <c r="E646" s="242"/>
      <c r="F646">
        <v>7703.7001953125</v>
      </c>
      <c r="G646" t="b">
        <v>0</v>
      </c>
      <c r="H646" t="s">
        <v>15</v>
      </c>
    </row>
    <row r="647" spans="1:8">
      <c r="A647" t="s">
        <v>148</v>
      </c>
      <c r="B647" t="s">
        <v>87</v>
      </c>
      <c r="C647">
        <v>195</v>
      </c>
      <c r="D647" t="s">
        <v>147</v>
      </c>
      <c r="E647" s="242"/>
      <c r="F647">
        <v>6703.39990234375</v>
      </c>
      <c r="G647" t="b">
        <v>0</v>
      </c>
      <c r="H647" t="s">
        <v>15</v>
      </c>
    </row>
    <row r="648" spans="1:8">
      <c r="A648" t="s">
        <v>162</v>
      </c>
      <c r="B648" t="s">
        <v>87</v>
      </c>
      <c r="C648">
        <v>195</v>
      </c>
      <c r="D648" t="s">
        <v>147</v>
      </c>
      <c r="E648" s="242"/>
      <c r="F648">
        <v>7383.10009765625</v>
      </c>
      <c r="G648" t="b">
        <v>0</v>
      </c>
      <c r="H648" t="s">
        <v>15</v>
      </c>
    </row>
    <row r="649" spans="1:8">
      <c r="A649" t="s">
        <v>163</v>
      </c>
      <c r="B649" t="s">
        <v>87</v>
      </c>
      <c r="C649">
        <v>195</v>
      </c>
      <c r="D649" t="s">
        <v>147</v>
      </c>
      <c r="E649" s="242"/>
      <c r="F649">
        <v>4812.2001953125</v>
      </c>
      <c r="G649" t="b">
        <v>0</v>
      </c>
      <c r="H649" t="s">
        <v>15</v>
      </c>
    </row>
    <row r="650" spans="1:8">
      <c r="A650" t="s">
        <v>166</v>
      </c>
      <c r="B650" t="s">
        <v>87</v>
      </c>
      <c r="C650">
        <v>195</v>
      </c>
      <c r="D650" t="s">
        <v>147</v>
      </c>
      <c r="E650" s="242"/>
      <c r="F650">
        <v>3465.19995117187</v>
      </c>
      <c r="G650" t="b">
        <v>0</v>
      </c>
      <c r="H650" t="s">
        <v>15</v>
      </c>
    </row>
    <row r="651" spans="1:8">
      <c r="A651" t="s">
        <v>149</v>
      </c>
      <c r="B651" t="s">
        <v>87</v>
      </c>
      <c r="C651">
        <v>195</v>
      </c>
      <c r="D651" t="s">
        <v>147</v>
      </c>
      <c r="E651" s="242"/>
      <c r="F651">
        <v>5078.7001953125</v>
      </c>
      <c r="G651" t="b">
        <v>0</v>
      </c>
      <c r="H651" t="s">
        <v>15</v>
      </c>
    </row>
    <row r="652" spans="1:8">
      <c r="A652" t="s">
        <v>150</v>
      </c>
      <c r="B652" t="s">
        <v>87</v>
      </c>
      <c r="C652">
        <v>195</v>
      </c>
      <c r="D652" t="s">
        <v>147</v>
      </c>
      <c r="E652" s="242"/>
      <c r="F652">
        <v>3985</v>
      </c>
      <c r="G652" t="b">
        <v>0</v>
      </c>
      <c r="H652" t="s">
        <v>15</v>
      </c>
    </row>
    <row r="653" spans="1:8">
      <c r="A653" t="s">
        <v>151</v>
      </c>
      <c r="B653" t="s">
        <v>87</v>
      </c>
      <c r="C653">
        <v>195</v>
      </c>
      <c r="D653" t="s">
        <v>147</v>
      </c>
      <c r="E653" s="242"/>
      <c r="F653">
        <v>1898.09997558593</v>
      </c>
      <c r="G653" t="b">
        <v>0</v>
      </c>
      <c r="H653" t="s">
        <v>15</v>
      </c>
    </row>
    <row r="654" spans="1:8">
      <c r="A654" t="s">
        <v>152</v>
      </c>
      <c r="B654" t="s">
        <v>87</v>
      </c>
      <c r="C654">
        <v>195</v>
      </c>
      <c r="D654" t="s">
        <v>147</v>
      </c>
      <c r="E654" s="242"/>
      <c r="F654">
        <v>1770.30004882812</v>
      </c>
      <c r="G654" t="b">
        <v>0</v>
      </c>
      <c r="H654" t="s">
        <v>15</v>
      </c>
    </row>
    <row r="655" spans="1:8">
      <c r="A655" t="s">
        <v>145</v>
      </c>
      <c r="B655" t="s">
        <v>87</v>
      </c>
      <c r="C655">
        <v>195</v>
      </c>
      <c r="D655" t="s">
        <v>147</v>
      </c>
      <c r="E655" s="242"/>
      <c r="F655">
        <v>1704.69995117187</v>
      </c>
      <c r="G655" t="b">
        <v>0</v>
      </c>
      <c r="H655" t="s">
        <v>15</v>
      </c>
    </row>
    <row r="656" spans="1:8">
      <c r="A656" t="s">
        <v>167</v>
      </c>
      <c r="B656" t="s">
        <v>87</v>
      </c>
      <c r="C656">
        <v>195</v>
      </c>
      <c r="D656" t="s">
        <v>147</v>
      </c>
      <c r="E656" s="242"/>
      <c r="F656">
        <v>1863.40002441406</v>
      </c>
      <c r="G656" t="b">
        <v>0</v>
      </c>
      <c r="H656" t="s">
        <v>15</v>
      </c>
    </row>
    <row r="657" spans="1:8">
      <c r="A657" t="s">
        <v>153</v>
      </c>
      <c r="B657" t="s">
        <v>87</v>
      </c>
      <c r="C657">
        <v>195</v>
      </c>
      <c r="D657" t="s">
        <v>147</v>
      </c>
      <c r="E657" s="242"/>
      <c r="F657">
        <v>1560</v>
      </c>
      <c r="G657" t="b">
        <v>0</v>
      </c>
      <c r="H657" t="s">
        <v>15</v>
      </c>
    </row>
    <row r="658" spans="1:8">
      <c r="A658" t="s">
        <v>154</v>
      </c>
      <c r="B658" t="s">
        <v>87</v>
      </c>
      <c r="C658">
        <v>195</v>
      </c>
      <c r="D658" t="s">
        <v>147</v>
      </c>
      <c r="E658" s="242"/>
      <c r="F658">
        <v>2795.80004882812</v>
      </c>
      <c r="G658" t="b">
        <v>0</v>
      </c>
      <c r="H658" t="s">
        <v>15</v>
      </c>
    </row>
    <row r="659" spans="1:8">
      <c r="A659" t="s">
        <v>168</v>
      </c>
      <c r="B659" t="s">
        <v>87</v>
      </c>
      <c r="C659">
        <v>195</v>
      </c>
      <c r="D659" t="s">
        <v>147</v>
      </c>
      <c r="E659" s="242"/>
      <c r="F659">
        <v>5199.39990234375</v>
      </c>
      <c r="G659" t="b">
        <v>0</v>
      </c>
      <c r="H659" t="s">
        <v>15</v>
      </c>
    </row>
    <row r="660" spans="1:8">
      <c r="A660" t="s">
        <v>155</v>
      </c>
      <c r="B660" t="s">
        <v>87</v>
      </c>
      <c r="C660">
        <v>195</v>
      </c>
      <c r="D660" t="s">
        <v>147</v>
      </c>
      <c r="E660" s="242"/>
      <c r="F660">
        <v>4369.7998046875</v>
      </c>
      <c r="G660" t="b">
        <v>0</v>
      </c>
      <c r="H660" t="s">
        <v>15</v>
      </c>
    </row>
    <row r="661" spans="1:8">
      <c r="A661" t="s">
        <v>156</v>
      </c>
      <c r="B661" t="s">
        <v>87</v>
      </c>
      <c r="C661">
        <v>195</v>
      </c>
      <c r="D661" t="s">
        <v>147</v>
      </c>
      <c r="E661" s="242"/>
      <c r="F661">
        <v>4756.5</v>
      </c>
      <c r="G661" t="b">
        <v>0</v>
      </c>
      <c r="H661" t="s">
        <v>15</v>
      </c>
    </row>
    <row r="662" spans="1:8">
      <c r="A662" t="s">
        <v>157</v>
      </c>
      <c r="B662" t="s">
        <v>87</v>
      </c>
      <c r="C662">
        <v>195</v>
      </c>
      <c r="D662" t="s">
        <v>147</v>
      </c>
      <c r="E662" s="242"/>
      <c r="F662">
        <v>5206</v>
      </c>
      <c r="G662" t="b">
        <v>0</v>
      </c>
      <c r="H662" t="s">
        <v>15</v>
      </c>
    </row>
    <row r="663" spans="1:8">
      <c r="A663" t="s">
        <v>169</v>
      </c>
      <c r="B663" t="s">
        <v>87</v>
      </c>
      <c r="C663">
        <v>195</v>
      </c>
      <c r="D663" t="s">
        <v>147</v>
      </c>
      <c r="E663" s="242"/>
      <c r="F663">
        <v>1492.69995117187</v>
      </c>
      <c r="G663" t="b">
        <v>0</v>
      </c>
      <c r="H663" t="s">
        <v>15</v>
      </c>
    </row>
    <row r="664" spans="1:8">
      <c r="A664" t="s">
        <v>170</v>
      </c>
      <c r="B664" t="s">
        <v>87</v>
      </c>
      <c r="C664">
        <v>195</v>
      </c>
      <c r="D664" t="s">
        <v>147</v>
      </c>
      <c r="E664" s="242"/>
      <c r="F664">
        <v>1450.09997558593</v>
      </c>
      <c r="G664" t="b">
        <v>0</v>
      </c>
      <c r="H664" t="s">
        <v>15</v>
      </c>
    </row>
    <row r="665" spans="1:8">
      <c r="A665" t="s">
        <v>158</v>
      </c>
      <c r="B665" t="s">
        <v>87</v>
      </c>
      <c r="C665">
        <v>195</v>
      </c>
      <c r="D665" t="s">
        <v>147</v>
      </c>
      <c r="E665" s="242"/>
      <c r="F665">
        <v>5360.10009765625</v>
      </c>
      <c r="G665" t="b">
        <v>0</v>
      </c>
      <c r="H665" t="s">
        <v>15</v>
      </c>
    </row>
    <row r="666" spans="1:8">
      <c r="A666" t="s">
        <v>159</v>
      </c>
      <c r="B666" t="s">
        <v>87</v>
      </c>
      <c r="C666">
        <v>195</v>
      </c>
      <c r="D666" t="s">
        <v>147</v>
      </c>
      <c r="E666" s="242"/>
      <c r="F666">
        <v>3155</v>
      </c>
      <c r="G666" t="b">
        <v>0</v>
      </c>
      <c r="H666" t="s">
        <v>15</v>
      </c>
    </row>
    <row r="667" spans="1:8">
      <c r="A667" t="s">
        <v>160</v>
      </c>
      <c r="B667" t="s">
        <v>87</v>
      </c>
      <c r="C667">
        <v>195</v>
      </c>
      <c r="D667" t="s">
        <v>147</v>
      </c>
      <c r="E667" s="242"/>
      <c r="F667">
        <v>2969.10009765625</v>
      </c>
      <c r="G667" t="b">
        <v>0</v>
      </c>
      <c r="H667" t="s">
        <v>15</v>
      </c>
    </row>
    <row r="668" spans="1:8">
      <c r="A668" t="s">
        <v>164</v>
      </c>
      <c r="B668" t="s">
        <v>87</v>
      </c>
      <c r="C668">
        <v>198</v>
      </c>
      <c r="D668" t="s">
        <v>147</v>
      </c>
      <c r="E668" s="242"/>
      <c r="F668">
        <v>5336.89990234375</v>
      </c>
      <c r="G668" t="b">
        <v>0</v>
      </c>
      <c r="H668" t="s">
        <v>15</v>
      </c>
    </row>
    <row r="669" spans="1:8">
      <c r="A669" t="s">
        <v>165</v>
      </c>
      <c r="B669" t="s">
        <v>87</v>
      </c>
      <c r="C669">
        <v>198</v>
      </c>
      <c r="D669" t="s">
        <v>147</v>
      </c>
      <c r="E669" s="242"/>
      <c r="F669">
        <v>7703.7001953125</v>
      </c>
      <c r="G669" t="b">
        <v>0</v>
      </c>
      <c r="H669" t="s">
        <v>15</v>
      </c>
    </row>
    <row r="670" spans="1:8">
      <c r="A670" t="s">
        <v>148</v>
      </c>
      <c r="B670" t="s">
        <v>87</v>
      </c>
      <c r="C670">
        <v>198</v>
      </c>
      <c r="D670" t="s">
        <v>147</v>
      </c>
      <c r="E670" s="242"/>
      <c r="F670">
        <v>6703.39990234375</v>
      </c>
      <c r="G670" t="b">
        <v>0</v>
      </c>
      <c r="H670" t="s">
        <v>15</v>
      </c>
    </row>
    <row r="671" spans="1:8">
      <c r="A671" t="s">
        <v>162</v>
      </c>
      <c r="B671" t="s">
        <v>87</v>
      </c>
      <c r="C671">
        <v>198</v>
      </c>
      <c r="D671" t="s">
        <v>147</v>
      </c>
      <c r="E671" s="242"/>
      <c r="F671">
        <v>7383.10009765625</v>
      </c>
      <c r="G671" t="b">
        <v>0</v>
      </c>
      <c r="H671" t="s">
        <v>15</v>
      </c>
    </row>
    <row r="672" spans="1:8">
      <c r="A672" t="s">
        <v>163</v>
      </c>
      <c r="B672" t="s">
        <v>87</v>
      </c>
      <c r="C672">
        <v>198</v>
      </c>
      <c r="D672" t="s">
        <v>147</v>
      </c>
      <c r="E672" s="242"/>
      <c r="F672">
        <v>4693</v>
      </c>
      <c r="G672" t="b">
        <v>0</v>
      </c>
      <c r="H672" t="s">
        <v>15</v>
      </c>
    </row>
    <row r="673" spans="1:8">
      <c r="A673" t="s">
        <v>166</v>
      </c>
      <c r="B673" t="s">
        <v>87</v>
      </c>
      <c r="C673">
        <v>198</v>
      </c>
      <c r="D673" t="s">
        <v>147</v>
      </c>
      <c r="E673" s="242"/>
      <c r="F673">
        <v>3465.19995117187</v>
      </c>
      <c r="G673" t="b">
        <v>0</v>
      </c>
      <c r="H673" t="s">
        <v>15</v>
      </c>
    </row>
    <row r="674" spans="1:8">
      <c r="A674" t="s">
        <v>149</v>
      </c>
      <c r="B674" t="s">
        <v>87</v>
      </c>
      <c r="C674">
        <v>198</v>
      </c>
      <c r="D674" t="s">
        <v>147</v>
      </c>
      <c r="E674" s="242"/>
      <c r="F674">
        <v>5078.7001953125</v>
      </c>
      <c r="G674" t="b">
        <v>0</v>
      </c>
      <c r="H674" t="s">
        <v>15</v>
      </c>
    </row>
    <row r="675" spans="1:8">
      <c r="A675" t="s">
        <v>150</v>
      </c>
      <c r="B675" t="s">
        <v>87</v>
      </c>
      <c r="C675">
        <v>198</v>
      </c>
      <c r="D675" t="s">
        <v>147</v>
      </c>
      <c r="E675" s="242"/>
      <c r="F675">
        <v>3985</v>
      </c>
      <c r="G675" t="b">
        <v>0</v>
      </c>
      <c r="H675" t="s">
        <v>15</v>
      </c>
    </row>
    <row r="676" spans="1:8">
      <c r="A676" t="s">
        <v>151</v>
      </c>
      <c r="B676" t="s">
        <v>87</v>
      </c>
      <c r="C676">
        <v>198</v>
      </c>
      <c r="D676" t="s">
        <v>147</v>
      </c>
      <c r="E676" s="242"/>
      <c r="F676">
        <v>1898.09997558593</v>
      </c>
      <c r="G676" t="b">
        <v>0</v>
      </c>
      <c r="H676" t="s">
        <v>15</v>
      </c>
    </row>
    <row r="677" spans="1:8">
      <c r="A677" t="s">
        <v>152</v>
      </c>
      <c r="B677" t="s">
        <v>87</v>
      </c>
      <c r="C677">
        <v>198</v>
      </c>
      <c r="D677" t="s">
        <v>147</v>
      </c>
      <c r="E677" s="242"/>
      <c r="F677">
        <v>1770.30004882812</v>
      </c>
      <c r="G677" t="b">
        <v>0</v>
      </c>
      <c r="H677" t="s">
        <v>15</v>
      </c>
    </row>
    <row r="678" spans="1:8">
      <c r="A678" t="s">
        <v>167</v>
      </c>
      <c r="B678" t="s">
        <v>87</v>
      </c>
      <c r="C678">
        <v>198</v>
      </c>
      <c r="D678" t="s">
        <v>147</v>
      </c>
      <c r="E678" s="242"/>
      <c r="F678">
        <v>1863.40002441406</v>
      </c>
      <c r="G678" t="b">
        <v>0</v>
      </c>
      <c r="H678" t="s">
        <v>15</v>
      </c>
    </row>
    <row r="679" spans="1:8">
      <c r="A679" t="s">
        <v>153</v>
      </c>
      <c r="B679" t="s">
        <v>87</v>
      </c>
      <c r="C679">
        <v>198</v>
      </c>
      <c r="D679" t="s">
        <v>147</v>
      </c>
      <c r="E679" s="242"/>
      <c r="F679">
        <v>1560</v>
      </c>
      <c r="G679" t="b">
        <v>0</v>
      </c>
      <c r="H679" t="s">
        <v>15</v>
      </c>
    </row>
    <row r="680" spans="1:8">
      <c r="A680" t="s">
        <v>154</v>
      </c>
      <c r="B680" t="s">
        <v>87</v>
      </c>
      <c r="C680">
        <v>198</v>
      </c>
      <c r="D680" t="s">
        <v>147</v>
      </c>
      <c r="E680" s="242"/>
      <c r="F680">
        <v>2795.80004882812</v>
      </c>
      <c r="G680" t="b">
        <v>0</v>
      </c>
      <c r="H680" t="s">
        <v>15</v>
      </c>
    </row>
    <row r="681" spans="1:8">
      <c r="A681" t="s">
        <v>168</v>
      </c>
      <c r="B681" t="s">
        <v>87</v>
      </c>
      <c r="C681">
        <v>198</v>
      </c>
      <c r="D681" t="s">
        <v>147</v>
      </c>
      <c r="E681" s="242"/>
      <c r="F681">
        <v>5199.39990234375</v>
      </c>
      <c r="G681" t="b">
        <v>0</v>
      </c>
      <c r="H681" t="s">
        <v>15</v>
      </c>
    </row>
    <row r="682" spans="1:8">
      <c r="A682" t="s">
        <v>155</v>
      </c>
      <c r="B682" t="s">
        <v>87</v>
      </c>
      <c r="C682">
        <v>198</v>
      </c>
      <c r="D682" t="s">
        <v>147</v>
      </c>
      <c r="E682" s="242"/>
      <c r="F682">
        <v>4369.7998046875</v>
      </c>
      <c r="G682" t="b">
        <v>0</v>
      </c>
      <c r="H682" t="s">
        <v>15</v>
      </c>
    </row>
    <row r="683" spans="1:8">
      <c r="A683" t="s">
        <v>156</v>
      </c>
      <c r="B683" t="s">
        <v>87</v>
      </c>
      <c r="C683">
        <v>198</v>
      </c>
      <c r="D683" t="s">
        <v>147</v>
      </c>
      <c r="E683" s="242"/>
      <c r="F683">
        <v>4756.5</v>
      </c>
      <c r="G683" t="b">
        <v>0</v>
      </c>
      <c r="H683" t="s">
        <v>15</v>
      </c>
    </row>
    <row r="684" spans="1:8">
      <c r="A684" t="s">
        <v>157</v>
      </c>
      <c r="B684" t="s">
        <v>87</v>
      </c>
      <c r="C684">
        <v>198</v>
      </c>
      <c r="D684" t="s">
        <v>147</v>
      </c>
      <c r="E684" s="242"/>
      <c r="F684">
        <v>5206</v>
      </c>
      <c r="G684" t="b">
        <v>0</v>
      </c>
      <c r="H684" t="s">
        <v>15</v>
      </c>
    </row>
    <row r="685" spans="1:8">
      <c r="A685" t="s">
        <v>169</v>
      </c>
      <c r="B685" t="s">
        <v>87</v>
      </c>
      <c r="C685">
        <v>198</v>
      </c>
      <c r="D685" t="s">
        <v>147</v>
      </c>
      <c r="E685" s="242"/>
      <c r="F685">
        <v>1492.69995117187</v>
      </c>
      <c r="G685" t="b">
        <v>0</v>
      </c>
      <c r="H685" t="s">
        <v>15</v>
      </c>
    </row>
    <row r="686" spans="1:8">
      <c r="A686" t="s">
        <v>170</v>
      </c>
      <c r="B686" t="s">
        <v>87</v>
      </c>
      <c r="C686">
        <v>198</v>
      </c>
      <c r="D686" t="s">
        <v>147</v>
      </c>
      <c r="E686" s="242"/>
      <c r="F686">
        <v>1450.09997558593</v>
      </c>
      <c r="G686" t="b">
        <v>0</v>
      </c>
      <c r="H686" t="s">
        <v>15</v>
      </c>
    </row>
    <row r="687" spans="1:8">
      <c r="A687" t="s">
        <v>158</v>
      </c>
      <c r="B687" t="s">
        <v>87</v>
      </c>
      <c r="C687">
        <v>198</v>
      </c>
      <c r="D687" t="s">
        <v>147</v>
      </c>
      <c r="E687" s="242"/>
      <c r="F687">
        <v>5360.10009765625</v>
      </c>
      <c r="G687" t="b">
        <v>0</v>
      </c>
      <c r="H687" t="s">
        <v>15</v>
      </c>
    </row>
    <row r="688" spans="1:8">
      <c r="A688" t="s">
        <v>159</v>
      </c>
      <c r="B688" t="s">
        <v>87</v>
      </c>
      <c r="C688">
        <v>198</v>
      </c>
      <c r="D688" t="s">
        <v>147</v>
      </c>
      <c r="E688" s="242"/>
      <c r="F688">
        <v>3155</v>
      </c>
      <c r="G688" t="b">
        <v>0</v>
      </c>
      <c r="H688" t="s">
        <v>15</v>
      </c>
    </row>
    <row r="689" spans="1:8">
      <c r="A689" t="s">
        <v>160</v>
      </c>
      <c r="B689" t="s">
        <v>87</v>
      </c>
      <c r="C689">
        <v>198</v>
      </c>
      <c r="D689" t="s">
        <v>147</v>
      </c>
      <c r="E689" s="242"/>
      <c r="F689">
        <v>2969.10009765625</v>
      </c>
      <c r="G689" t="b">
        <v>0</v>
      </c>
      <c r="H689" t="s">
        <v>15</v>
      </c>
    </row>
    <row r="690" spans="1:8">
      <c r="A690" t="s">
        <v>164</v>
      </c>
      <c r="B690" t="s">
        <v>87</v>
      </c>
      <c r="C690">
        <v>200</v>
      </c>
      <c r="D690" t="s">
        <v>147</v>
      </c>
      <c r="E690" s="242"/>
      <c r="F690">
        <v>5336.89990234375</v>
      </c>
      <c r="G690" t="b">
        <v>0</v>
      </c>
      <c r="H690" t="s">
        <v>15</v>
      </c>
    </row>
    <row r="691" spans="1:8">
      <c r="A691" t="s">
        <v>161</v>
      </c>
      <c r="B691" t="s">
        <v>87</v>
      </c>
      <c r="C691">
        <v>200</v>
      </c>
      <c r="D691" t="s">
        <v>147</v>
      </c>
      <c r="E691" s="242"/>
      <c r="F691">
        <v>7126</v>
      </c>
      <c r="G691" t="b">
        <v>0</v>
      </c>
      <c r="H691" t="s">
        <v>15</v>
      </c>
    </row>
    <row r="692" spans="1:8">
      <c r="A692" t="s">
        <v>165</v>
      </c>
      <c r="B692" t="s">
        <v>87</v>
      </c>
      <c r="C692">
        <v>200</v>
      </c>
      <c r="D692" t="s">
        <v>147</v>
      </c>
      <c r="E692" s="242"/>
      <c r="F692">
        <v>7703.7001953125</v>
      </c>
      <c r="G692" t="b">
        <v>0</v>
      </c>
      <c r="H692" t="s">
        <v>15</v>
      </c>
    </row>
    <row r="693" spans="1:8">
      <c r="A693" t="s">
        <v>148</v>
      </c>
      <c r="B693" t="s">
        <v>87</v>
      </c>
      <c r="C693">
        <v>200</v>
      </c>
      <c r="D693" t="s">
        <v>147</v>
      </c>
      <c r="E693" s="242"/>
      <c r="F693">
        <v>6703.39990234375</v>
      </c>
      <c r="G693" t="b">
        <v>0</v>
      </c>
      <c r="H693" t="s">
        <v>15</v>
      </c>
    </row>
    <row r="694" spans="1:8">
      <c r="A694" t="s">
        <v>162</v>
      </c>
      <c r="B694" t="s">
        <v>87</v>
      </c>
      <c r="C694">
        <v>200</v>
      </c>
      <c r="D694" t="s">
        <v>147</v>
      </c>
      <c r="E694" s="242"/>
      <c r="F694">
        <v>7383.10009765625</v>
      </c>
      <c r="G694" t="b">
        <v>0</v>
      </c>
      <c r="H694" t="s">
        <v>15</v>
      </c>
    </row>
    <row r="695" spans="1:8">
      <c r="A695" t="s">
        <v>163</v>
      </c>
      <c r="B695" t="s">
        <v>87</v>
      </c>
      <c r="C695">
        <v>200</v>
      </c>
      <c r="D695" t="s">
        <v>147</v>
      </c>
      <c r="E695" s="242"/>
      <c r="F695">
        <v>4812.2001953125</v>
      </c>
      <c r="G695" t="b">
        <v>0</v>
      </c>
      <c r="H695" t="s">
        <v>15</v>
      </c>
    </row>
    <row r="696" spans="1:8">
      <c r="A696" t="s">
        <v>166</v>
      </c>
      <c r="B696" t="s">
        <v>87</v>
      </c>
      <c r="C696">
        <v>200</v>
      </c>
      <c r="D696" t="s">
        <v>147</v>
      </c>
      <c r="E696" s="242"/>
      <c r="F696">
        <v>3465.19995117187</v>
      </c>
      <c r="G696" t="b">
        <v>0</v>
      </c>
      <c r="H696" t="s">
        <v>15</v>
      </c>
    </row>
    <row r="697" spans="1:8">
      <c r="A697" t="s">
        <v>149</v>
      </c>
      <c r="B697" t="s">
        <v>87</v>
      </c>
      <c r="C697">
        <v>200</v>
      </c>
      <c r="D697" t="s">
        <v>147</v>
      </c>
      <c r="E697" s="242"/>
      <c r="F697">
        <v>5078.7001953125</v>
      </c>
      <c r="G697" t="b">
        <v>0</v>
      </c>
      <c r="H697" t="s">
        <v>15</v>
      </c>
    </row>
    <row r="698" spans="1:8">
      <c r="A698" t="s">
        <v>150</v>
      </c>
      <c r="B698" t="s">
        <v>87</v>
      </c>
      <c r="C698">
        <v>200</v>
      </c>
      <c r="D698" t="s">
        <v>147</v>
      </c>
      <c r="E698" s="242"/>
      <c r="F698">
        <v>3985</v>
      </c>
      <c r="G698" t="b">
        <v>0</v>
      </c>
      <c r="H698" t="s">
        <v>15</v>
      </c>
    </row>
    <row r="699" spans="1:8">
      <c r="A699" t="s">
        <v>151</v>
      </c>
      <c r="B699" t="s">
        <v>87</v>
      </c>
      <c r="C699">
        <v>200</v>
      </c>
      <c r="D699" t="s">
        <v>147</v>
      </c>
      <c r="E699" s="242"/>
      <c r="F699">
        <v>1898.09997558593</v>
      </c>
      <c r="G699" t="b">
        <v>0</v>
      </c>
      <c r="H699" t="s">
        <v>15</v>
      </c>
    </row>
    <row r="700" spans="1:8">
      <c r="A700" t="s">
        <v>152</v>
      </c>
      <c r="B700" t="s">
        <v>87</v>
      </c>
      <c r="C700">
        <v>200</v>
      </c>
      <c r="D700" t="s">
        <v>147</v>
      </c>
      <c r="E700" s="242"/>
      <c r="F700">
        <v>1770.30004882812</v>
      </c>
      <c r="G700" t="b">
        <v>0</v>
      </c>
      <c r="H700" t="s">
        <v>15</v>
      </c>
    </row>
    <row r="701" spans="1:8">
      <c r="A701" t="s">
        <v>167</v>
      </c>
      <c r="B701" t="s">
        <v>87</v>
      </c>
      <c r="C701">
        <v>200</v>
      </c>
      <c r="D701" t="s">
        <v>147</v>
      </c>
      <c r="E701" s="242"/>
      <c r="F701">
        <v>1863.40002441406</v>
      </c>
      <c r="G701" t="b">
        <v>0</v>
      </c>
      <c r="H701" t="s">
        <v>15</v>
      </c>
    </row>
    <row r="702" spans="1:8">
      <c r="A702" t="s">
        <v>153</v>
      </c>
      <c r="B702" t="s">
        <v>87</v>
      </c>
      <c r="C702">
        <v>200</v>
      </c>
      <c r="D702" t="s">
        <v>147</v>
      </c>
      <c r="E702" s="242"/>
      <c r="F702">
        <v>1560</v>
      </c>
      <c r="G702" t="b">
        <v>0</v>
      </c>
      <c r="H702" t="s">
        <v>15</v>
      </c>
    </row>
    <row r="703" spans="1:8">
      <c r="A703" t="s">
        <v>154</v>
      </c>
      <c r="B703" t="s">
        <v>87</v>
      </c>
      <c r="C703">
        <v>200</v>
      </c>
      <c r="D703" t="s">
        <v>147</v>
      </c>
      <c r="E703" s="242"/>
      <c r="F703">
        <v>2795.80004882812</v>
      </c>
      <c r="G703" t="b">
        <v>0</v>
      </c>
      <c r="H703" t="s">
        <v>15</v>
      </c>
    </row>
    <row r="704" spans="1:8">
      <c r="A704" t="s">
        <v>168</v>
      </c>
      <c r="B704" t="s">
        <v>87</v>
      </c>
      <c r="C704">
        <v>200</v>
      </c>
      <c r="D704" t="s">
        <v>147</v>
      </c>
      <c r="E704" s="242"/>
      <c r="F704">
        <v>5199.39990234375</v>
      </c>
      <c r="G704" t="b">
        <v>0</v>
      </c>
      <c r="H704" t="s">
        <v>15</v>
      </c>
    </row>
    <row r="705" spans="1:8">
      <c r="A705" t="s">
        <v>155</v>
      </c>
      <c r="B705" t="s">
        <v>87</v>
      </c>
      <c r="C705">
        <v>200</v>
      </c>
      <c r="D705" t="s">
        <v>147</v>
      </c>
      <c r="E705" s="242"/>
      <c r="F705">
        <v>4369.7998046875</v>
      </c>
      <c r="G705" t="b">
        <v>0</v>
      </c>
      <c r="H705" t="s">
        <v>15</v>
      </c>
    </row>
    <row r="706" spans="1:8">
      <c r="A706" t="s">
        <v>156</v>
      </c>
      <c r="B706" t="s">
        <v>87</v>
      </c>
      <c r="C706">
        <v>200</v>
      </c>
      <c r="D706" t="s">
        <v>147</v>
      </c>
      <c r="E706" s="242"/>
      <c r="F706">
        <v>4756.5</v>
      </c>
      <c r="G706" t="b">
        <v>0</v>
      </c>
      <c r="H706" t="s">
        <v>15</v>
      </c>
    </row>
    <row r="707" spans="1:8">
      <c r="A707" t="s">
        <v>157</v>
      </c>
      <c r="B707" t="s">
        <v>87</v>
      </c>
      <c r="C707">
        <v>200</v>
      </c>
      <c r="D707" t="s">
        <v>147</v>
      </c>
      <c r="E707" s="242"/>
      <c r="F707">
        <v>5206</v>
      </c>
      <c r="G707" t="b">
        <v>0</v>
      </c>
      <c r="H707" t="s">
        <v>15</v>
      </c>
    </row>
    <row r="708" spans="1:8">
      <c r="A708" t="s">
        <v>169</v>
      </c>
      <c r="B708" t="s">
        <v>87</v>
      </c>
      <c r="C708">
        <v>200</v>
      </c>
      <c r="D708" t="s">
        <v>147</v>
      </c>
      <c r="E708" s="242"/>
      <c r="F708">
        <v>1492.69995117187</v>
      </c>
      <c r="G708" t="b">
        <v>0</v>
      </c>
      <c r="H708" t="s">
        <v>15</v>
      </c>
    </row>
    <row r="709" spans="1:8">
      <c r="A709" t="s">
        <v>170</v>
      </c>
      <c r="B709" t="s">
        <v>87</v>
      </c>
      <c r="C709">
        <v>200</v>
      </c>
      <c r="D709" t="s">
        <v>147</v>
      </c>
      <c r="E709" s="242"/>
      <c r="F709">
        <v>1450.09997558593</v>
      </c>
      <c r="G709" t="b">
        <v>0</v>
      </c>
      <c r="H709" t="s">
        <v>15</v>
      </c>
    </row>
    <row r="710" spans="1:8">
      <c r="A710" t="s">
        <v>158</v>
      </c>
      <c r="B710" t="s">
        <v>87</v>
      </c>
      <c r="C710">
        <v>200</v>
      </c>
      <c r="D710" t="s">
        <v>147</v>
      </c>
      <c r="E710" s="242"/>
      <c r="F710">
        <v>5360.10009765625</v>
      </c>
      <c r="G710" t="b">
        <v>0</v>
      </c>
      <c r="H710" t="s">
        <v>15</v>
      </c>
    </row>
    <row r="711" spans="1:8">
      <c r="A711" t="s">
        <v>159</v>
      </c>
      <c r="B711" t="s">
        <v>87</v>
      </c>
      <c r="C711">
        <v>200</v>
      </c>
      <c r="D711" t="s">
        <v>147</v>
      </c>
      <c r="E711" s="242"/>
      <c r="F711">
        <v>3155</v>
      </c>
      <c r="G711" t="b">
        <v>0</v>
      </c>
      <c r="H711" t="s">
        <v>15</v>
      </c>
    </row>
    <row r="712" spans="1:8">
      <c r="A712" t="s">
        <v>160</v>
      </c>
      <c r="B712" t="s">
        <v>87</v>
      </c>
      <c r="C712">
        <v>200</v>
      </c>
      <c r="D712" t="s">
        <v>147</v>
      </c>
      <c r="E712" s="242"/>
      <c r="F712">
        <v>2969.10009765625</v>
      </c>
      <c r="G712" t="b">
        <v>0</v>
      </c>
      <c r="H712" t="s">
        <v>15</v>
      </c>
    </row>
    <row r="713" spans="1:8">
      <c r="A713" t="s">
        <v>164</v>
      </c>
      <c r="B713" t="s">
        <v>87</v>
      </c>
      <c r="C713">
        <v>222</v>
      </c>
      <c r="D713" t="s">
        <v>146</v>
      </c>
      <c r="E713" s="242">
        <v>41862</v>
      </c>
      <c r="F713">
        <v>0</v>
      </c>
      <c r="G713" t="b">
        <v>0</v>
      </c>
      <c r="H713" t="s">
        <v>15</v>
      </c>
    </row>
    <row r="714" spans="1:8">
      <c r="A714" t="s">
        <v>161</v>
      </c>
      <c r="B714" t="s">
        <v>87</v>
      </c>
      <c r="C714">
        <v>222</v>
      </c>
      <c r="D714" t="s">
        <v>146</v>
      </c>
      <c r="E714" s="242">
        <v>42074</v>
      </c>
      <c r="F714">
        <v>0</v>
      </c>
      <c r="G714" t="b">
        <v>0</v>
      </c>
      <c r="H714" t="s">
        <v>15</v>
      </c>
    </row>
    <row r="715" spans="1:8">
      <c r="A715" t="s">
        <v>165</v>
      </c>
      <c r="B715" t="s">
        <v>87</v>
      </c>
      <c r="C715">
        <v>222</v>
      </c>
      <c r="D715" t="s">
        <v>146</v>
      </c>
      <c r="E715" s="242">
        <v>41841.644444444442</v>
      </c>
      <c r="F715">
        <v>0</v>
      </c>
      <c r="G715" t="b">
        <v>0</v>
      </c>
      <c r="H715" t="s">
        <v>15</v>
      </c>
    </row>
    <row r="716" spans="1:8">
      <c r="A716" t="s">
        <v>148</v>
      </c>
      <c r="B716" t="s">
        <v>87</v>
      </c>
      <c r="C716">
        <v>222</v>
      </c>
      <c r="D716" t="s">
        <v>146</v>
      </c>
      <c r="E716" s="242">
        <v>42099</v>
      </c>
      <c r="F716">
        <v>0</v>
      </c>
      <c r="G716" t="b">
        <v>0</v>
      </c>
      <c r="H716" t="s">
        <v>15</v>
      </c>
    </row>
    <row r="717" spans="1:8">
      <c r="A717" t="s">
        <v>162</v>
      </c>
      <c r="B717" t="s">
        <v>87</v>
      </c>
      <c r="C717">
        <v>222</v>
      </c>
      <c r="D717" t="s">
        <v>146</v>
      </c>
      <c r="E717" s="242">
        <v>41843.568749999999</v>
      </c>
      <c r="F717">
        <v>0</v>
      </c>
      <c r="G717" t="b">
        <v>0</v>
      </c>
      <c r="H717" t="s">
        <v>15</v>
      </c>
    </row>
    <row r="718" spans="1:8">
      <c r="A718" t="s">
        <v>163</v>
      </c>
      <c r="B718" t="s">
        <v>87</v>
      </c>
      <c r="C718">
        <v>222</v>
      </c>
      <c r="D718" t="s">
        <v>146</v>
      </c>
      <c r="E718" s="242">
        <v>41809.729861111111</v>
      </c>
      <c r="F718">
        <v>0</v>
      </c>
      <c r="G718" t="b">
        <v>0</v>
      </c>
      <c r="H718" t="s">
        <v>15</v>
      </c>
    </row>
    <row r="719" spans="1:8">
      <c r="A719" t="s">
        <v>166</v>
      </c>
      <c r="B719" t="s">
        <v>87</v>
      </c>
      <c r="C719">
        <v>222</v>
      </c>
      <c r="D719" t="s">
        <v>146</v>
      </c>
      <c r="E719" s="242">
        <v>41825</v>
      </c>
      <c r="F719">
        <v>0</v>
      </c>
      <c r="G719" t="b">
        <v>0</v>
      </c>
      <c r="H719" t="s">
        <v>15</v>
      </c>
    </row>
    <row r="720" spans="1:8">
      <c r="A720" t="s">
        <v>149</v>
      </c>
      <c r="B720" t="s">
        <v>87</v>
      </c>
      <c r="C720">
        <v>222</v>
      </c>
      <c r="D720" t="s">
        <v>146</v>
      </c>
      <c r="E720" s="242">
        <v>41968</v>
      </c>
      <c r="F720">
        <v>0</v>
      </c>
      <c r="G720" t="b">
        <v>0</v>
      </c>
      <c r="H720" t="s">
        <v>15</v>
      </c>
    </row>
    <row r="721" spans="1:8">
      <c r="A721" t="s">
        <v>150</v>
      </c>
      <c r="B721" t="s">
        <v>87</v>
      </c>
      <c r="C721">
        <v>222</v>
      </c>
      <c r="D721" t="s">
        <v>146</v>
      </c>
      <c r="E721" s="242">
        <v>41949.581250000003</v>
      </c>
      <c r="F721">
        <v>0</v>
      </c>
      <c r="G721" t="b">
        <v>0</v>
      </c>
      <c r="H721" t="s">
        <v>15</v>
      </c>
    </row>
    <row r="722" spans="1:8">
      <c r="A722" t="s">
        <v>151</v>
      </c>
      <c r="B722" t="s">
        <v>87</v>
      </c>
      <c r="C722">
        <v>222</v>
      </c>
      <c r="D722" t="s">
        <v>146</v>
      </c>
      <c r="E722" s="242">
        <v>41968.538194444445</v>
      </c>
      <c r="F722">
        <v>0</v>
      </c>
      <c r="G722" t="b">
        <v>0</v>
      </c>
      <c r="H722" t="s">
        <v>15</v>
      </c>
    </row>
    <row r="723" spans="1:8">
      <c r="A723" t="s">
        <v>152</v>
      </c>
      <c r="B723" t="s">
        <v>87</v>
      </c>
      <c r="C723">
        <v>222</v>
      </c>
      <c r="D723" t="s">
        <v>146</v>
      </c>
      <c r="E723" s="242">
        <v>41825.52847222222</v>
      </c>
      <c r="F723">
        <v>0</v>
      </c>
      <c r="G723" t="b">
        <v>0</v>
      </c>
      <c r="H723" t="s">
        <v>15</v>
      </c>
    </row>
    <row r="724" spans="1:8">
      <c r="A724" t="s">
        <v>145</v>
      </c>
      <c r="B724" t="s">
        <v>87</v>
      </c>
      <c r="C724">
        <v>222</v>
      </c>
      <c r="D724" t="s">
        <v>146</v>
      </c>
      <c r="E724" s="242">
        <v>41841.430555555555</v>
      </c>
      <c r="F724">
        <v>0</v>
      </c>
      <c r="G724" t="b">
        <v>0</v>
      </c>
      <c r="H724" t="s">
        <v>15</v>
      </c>
    </row>
    <row r="725" spans="1:8">
      <c r="A725" t="s">
        <v>167</v>
      </c>
      <c r="B725" t="s">
        <v>87</v>
      </c>
      <c r="C725">
        <v>222</v>
      </c>
      <c r="D725" t="s">
        <v>146</v>
      </c>
      <c r="E725" s="242">
        <v>41967</v>
      </c>
      <c r="F725">
        <v>0</v>
      </c>
      <c r="G725" t="b">
        <v>0</v>
      </c>
      <c r="H725" t="s">
        <v>15</v>
      </c>
    </row>
    <row r="726" spans="1:8">
      <c r="A726" t="s">
        <v>153</v>
      </c>
      <c r="B726" t="s">
        <v>87</v>
      </c>
      <c r="C726">
        <v>222</v>
      </c>
      <c r="D726" t="s">
        <v>146</v>
      </c>
      <c r="E726" s="242">
        <v>41968.638888888891</v>
      </c>
      <c r="F726">
        <v>0</v>
      </c>
      <c r="G726" t="b">
        <v>0</v>
      </c>
      <c r="H726" t="s">
        <v>15</v>
      </c>
    </row>
    <row r="727" spans="1:8">
      <c r="A727" t="s">
        <v>154</v>
      </c>
      <c r="B727" t="s">
        <v>87</v>
      </c>
      <c r="C727">
        <v>222</v>
      </c>
      <c r="D727" t="s">
        <v>146</v>
      </c>
      <c r="E727" s="242">
        <v>41825.249305555553</v>
      </c>
      <c r="F727">
        <v>0</v>
      </c>
      <c r="G727" t="b">
        <v>0</v>
      </c>
      <c r="H727" t="s">
        <v>15</v>
      </c>
    </row>
    <row r="728" spans="1:8">
      <c r="A728" t="s">
        <v>168</v>
      </c>
      <c r="B728" t="s">
        <v>87</v>
      </c>
      <c r="C728">
        <v>222</v>
      </c>
      <c r="D728" t="s">
        <v>146</v>
      </c>
      <c r="E728" s="242">
        <v>41825</v>
      </c>
      <c r="F728">
        <v>0</v>
      </c>
      <c r="G728" t="b">
        <v>0</v>
      </c>
      <c r="H728" t="s">
        <v>15</v>
      </c>
    </row>
    <row r="729" spans="1:8">
      <c r="A729" t="s">
        <v>155</v>
      </c>
      <c r="B729" t="s">
        <v>87</v>
      </c>
      <c r="C729">
        <v>222</v>
      </c>
      <c r="D729" t="s">
        <v>146</v>
      </c>
      <c r="E729" s="242">
        <v>41968</v>
      </c>
      <c r="F729">
        <v>0</v>
      </c>
      <c r="G729" t="b">
        <v>0</v>
      </c>
      <c r="H729" t="s">
        <v>15</v>
      </c>
    </row>
    <row r="730" spans="1:8">
      <c r="A730" t="s">
        <v>156</v>
      </c>
      <c r="B730" t="s">
        <v>87</v>
      </c>
      <c r="C730">
        <v>222</v>
      </c>
      <c r="D730" t="s">
        <v>146</v>
      </c>
      <c r="E730" s="242">
        <v>41825</v>
      </c>
      <c r="F730">
        <v>0</v>
      </c>
      <c r="G730" t="b">
        <v>0</v>
      </c>
      <c r="H730" t="s">
        <v>15</v>
      </c>
    </row>
    <row r="731" spans="1:8">
      <c r="A731" t="s">
        <v>157</v>
      </c>
      <c r="B731" t="s">
        <v>87</v>
      </c>
      <c r="C731">
        <v>222</v>
      </c>
      <c r="D731" t="s">
        <v>146</v>
      </c>
      <c r="E731" s="242">
        <v>41825.3125</v>
      </c>
      <c r="F731">
        <v>0</v>
      </c>
      <c r="G731" t="b">
        <v>0</v>
      </c>
      <c r="H731" t="s">
        <v>15</v>
      </c>
    </row>
    <row r="732" spans="1:8">
      <c r="A732" t="s">
        <v>169</v>
      </c>
      <c r="B732" t="s">
        <v>87</v>
      </c>
      <c r="C732">
        <v>222</v>
      </c>
      <c r="D732" t="s">
        <v>146</v>
      </c>
      <c r="E732" s="242">
        <v>41968.642361111109</v>
      </c>
      <c r="F732">
        <v>0</v>
      </c>
      <c r="G732" t="b">
        <v>0</v>
      </c>
      <c r="H732" t="s">
        <v>15</v>
      </c>
    </row>
    <row r="733" spans="1:8">
      <c r="A733" t="s">
        <v>170</v>
      </c>
      <c r="B733" t="s">
        <v>87</v>
      </c>
      <c r="C733">
        <v>222</v>
      </c>
      <c r="D733" t="s">
        <v>146</v>
      </c>
      <c r="E733" s="242">
        <v>41856.54791666667</v>
      </c>
      <c r="F733">
        <v>0</v>
      </c>
      <c r="G733" t="b">
        <v>0</v>
      </c>
      <c r="H733" t="s">
        <v>15</v>
      </c>
    </row>
    <row r="734" spans="1:8">
      <c r="A734" t="s">
        <v>158</v>
      </c>
      <c r="B734" t="s">
        <v>87</v>
      </c>
      <c r="C734">
        <v>222</v>
      </c>
      <c r="D734" t="s">
        <v>146</v>
      </c>
      <c r="E734" s="242">
        <v>41968</v>
      </c>
      <c r="F734">
        <v>0</v>
      </c>
      <c r="G734" t="b">
        <v>0</v>
      </c>
      <c r="H734" t="s">
        <v>15</v>
      </c>
    </row>
    <row r="735" spans="1:8">
      <c r="A735" t="s">
        <v>159</v>
      </c>
      <c r="B735" t="s">
        <v>87</v>
      </c>
      <c r="C735">
        <v>222</v>
      </c>
      <c r="D735" t="s">
        <v>146</v>
      </c>
      <c r="E735" s="242">
        <v>41842.535416666666</v>
      </c>
      <c r="F735">
        <v>0</v>
      </c>
      <c r="G735" t="b">
        <v>0</v>
      </c>
      <c r="H735" t="s">
        <v>15</v>
      </c>
    </row>
    <row r="736" spans="1:8">
      <c r="A736" t="s">
        <v>160</v>
      </c>
      <c r="B736" t="s">
        <v>87</v>
      </c>
      <c r="C736">
        <v>222</v>
      </c>
      <c r="D736" t="s">
        <v>146</v>
      </c>
      <c r="E736" s="242">
        <v>41825</v>
      </c>
      <c r="F736">
        <v>0</v>
      </c>
      <c r="G736" t="b">
        <v>0</v>
      </c>
      <c r="H736" t="s">
        <v>15</v>
      </c>
    </row>
    <row r="737" spans="1:8">
      <c r="A737" t="s">
        <v>161</v>
      </c>
      <c r="B737" t="s">
        <v>87</v>
      </c>
      <c r="C737">
        <v>222</v>
      </c>
      <c r="D737" t="s">
        <v>171</v>
      </c>
      <c r="E737" s="242">
        <v>41738</v>
      </c>
      <c r="G737" t="b">
        <v>0</v>
      </c>
      <c r="H737" t="s">
        <v>15</v>
      </c>
    </row>
    <row r="738" spans="1:8">
      <c r="A738" t="s">
        <v>164</v>
      </c>
      <c r="B738" t="s">
        <v>87</v>
      </c>
      <c r="C738">
        <v>223</v>
      </c>
      <c r="D738" t="s">
        <v>147</v>
      </c>
      <c r="E738" s="242"/>
      <c r="F738">
        <v>5216.60009765625</v>
      </c>
      <c r="G738" t="b">
        <v>0</v>
      </c>
      <c r="H738" t="s">
        <v>15</v>
      </c>
    </row>
    <row r="739" spans="1:8">
      <c r="A739" t="s">
        <v>161</v>
      </c>
      <c r="B739" t="s">
        <v>87</v>
      </c>
      <c r="C739">
        <v>223</v>
      </c>
      <c r="D739" t="s">
        <v>147</v>
      </c>
      <c r="E739" s="242"/>
      <c r="F739">
        <v>7001</v>
      </c>
      <c r="G739" t="b">
        <v>0</v>
      </c>
      <c r="H739" t="s">
        <v>15</v>
      </c>
    </row>
    <row r="740" spans="1:8">
      <c r="A740" t="s">
        <v>165</v>
      </c>
      <c r="B740" t="s">
        <v>87</v>
      </c>
      <c r="C740">
        <v>223</v>
      </c>
      <c r="D740" t="s">
        <v>147</v>
      </c>
      <c r="E740" s="242"/>
      <c r="F740">
        <v>7703.7001953125</v>
      </c>
      <c r="G740" t="b">
        <v>0</v>
      </c>
      <c r="H740" t="s">
        <v>15</v>
      </c>
    </row>
    <row r="741" spans="1:8">
      <c r="A741" t="s">
        <v>148</v>
      </c>
      <c r="B741" t="s">
        <v>87</v>
      </c>
      <c r="C741">
        <v>223</v>
      </c>
      <c r="D741" t="s">
        <v>147</v>
      </c>
      <c r="E741" s="242"/>
      <c r="F741">
        <v>6703.39990234375</v>
      </c>
      <c r="G741" t="b">
        <v>0</v>
      </c>
      <c r="H741" t="s">
        <v>15</v>
      </c>
    </row>
    <row r="742" spans="1:8">
      <c r="A742" t="s">
        <v>162</v>
      </c>
      <c r="B742" t="s">
        <v>87</v>
      </c>
      <c r="C742">
        <v>223</v>
      </c>
      <c r="D742" t="s">
        <v>147</v>
      </c>
      <c r="E742" s="242"/>
      <c r="F742">
        <v>7383.10009765625</v>
      </c>
      <c r="G742" t="b">
        <v>0</v>
      </c>
      <c r="H742" t="s">
        <v>15</v>
      </c>
    </row>
    <row r="743" spans="1:8">
      <c r="A743" t="s">
        <v>163</v>
      </c>
      <c r="B743" t="s">
        <v>87</v>
      </c>
      <c r="C743">
        <v>223</v>
      </c>
      <c r="D743" t="s">
        <v>147</v>
      </c>
      <c r="E743" s="242"/>
      <c r="F743">
        <v>4812.2001953125</v>
      </c>
      <c r="G743" t="b">
        <v>0</v>
      </c>
      <c r="H743" t="s">
        <v>15</v>
      </c>
    </row>
    <row r="744" spans="1:8">
      <c r="A744" t="s">
        <v>166</v>
      </c>
      <c r="B744" t="s">
        <v>87</v>
      </c>
      <c r="C744">
        <v>223</v>
      </c>
      <c r="D744" t="s">
        <v>147</v>
      </c>
      <c r="E744" s="242"/>
      <c r="F744">
        <v>3340.5</v>
      </c>
      <c r="G744" t="b">
        <v>0</v>
      </c>
      <c r="H744" t="s">
        <v>15</v>
      </c>
    </row>
    <row r="745" spans="1:8">
      <c r="A745" t="s">
        <v>149</v>
      </c>
      <c r="B745" t="s">
        <v>87</v>
      </c>
      <c r="C745">
        <v>223</v>
      </c>
      <c r="D745" t="s">
        <v>147</v>
      </c>
      <c r="E745" s="242"/>
      <c r="F745">
        <v>4953.7001953125</v>
      </c>
      <c r="G745" t="b">
        <v>0</v>
      </c>
      <c r="H745" t="s">
        <v>15</v>
      </c>
    </row>
    <row r="746" spans="1:8">
      <c r="A746" t="s">
        <v>150</v>
      </c>
      <c r="B746" t="s">
        <v>87</v>
      </c>
      <c r="C746">
        <v>223</v>
      </c>
      <c r="D746" t="s">
        <v>147</v>
      </c>
      <c r="E746" s="242"/>
      <c r="F746">
        <v>3985</v>
      </c>
      <c r="G746" t="b">
        <v>0</v>
      </c>
      <c r="H746" t="s">
        <v>15</v>
      </c>
    </row>
    <row r="747" spans="1:8">
      <c r="A747" t="s">
        <v>151</v>
      </c>
      <c r="B747" t="s">
        <v>87</v>
      </c>
      <c r="C747">
        <v>223</v>
      </c>
      <c r="D747" t="s">
        <v>147</v>
      </c>
      <c r="E747" s="242"/>
      <c r="F747">
        <v>1781.80004882812</v>
      </c>
      <c r="G747" t="b">
        <v>0</v>
      </c>
      <c r="H747" t="s">
        <v>15</v>
      </c>
    </row>
    <row r="748" spans="1:8">
      <c r="A748" t="s">
        <v>152</v>
      </c>
      <c r="B748" t="s">
        <v>87</v>
      </c>
      <c r="C748">
        <v>223</v>
      </c>
      <c r="D748" t="s">
        <v>147</v>
      </c>
      <c r="E748" s="242"/>
      <c r="F748">
        <v>1770.30004882812</v>
      </c>
      <c r="G748" t="b">
        <v>0</v>
      </c>
      <c r="H748" t="s">
        <v>15</v>
      </c>
    </row>
    <row r="749" spans="1:8">
      <c r="A749" t="s">
        <v>145</v>
      </c>
      <c r="B749" t="s">
        <v>87</v>
      </c>
      <c r="C749">
        <v>223</v>
      </c>
      <c r="D749" t="s">
        <v>147</v>
      </c>
      <c r="E749" s="242"/>
      <c r="F749">
        <v>1704.69995117187</v>
      </c>
      <c r="G749" t="b">
        <v>0</v>
      </c>
      <c r="H749" t="s">
        <v>15</v>
      </c>
    </row>
    <row r="750" spans="1:8">
      <c r="A750" t="s">
        <v>167</v>
      </c>
      <c r="B750" t="s">
        <v>87</v>
      </c>
      <c r="C750">
        <v>223</v>
      </c>
      <c r="D750" t="s">
        <v>147</v>
      </c>
      <c r="E750" s="242"/>
      <c r="F750">
        <v>1751.5</v>
      </c>
      <c r="G750" t="b">
        <v>0</v>
      </c>
      <c r="H750" t="s">
        <v>15</v>
      </c>
    </row>
    <row r="751" spans="1:8">
      <c r="A751" t="s">
        <v>153</v>
      </c>
      <c r="B751" t="s">
        <v>87</v>
      </c>
      <c r="C751">
        <v>223</v>
      </c>
      <c r="D751" t="s">
        <v>147</v>
      </c>
      <c r="E751" s="242"/>
      <c r="F751">
        <v>1435</v>
      </c>
      <c r="G751" t="b">
        <v>0</v>
      </c>
      <c r="H751" t="s">
        <v>15</v>
      </c>
    </row>
    <row r="752" spans="1:8">
      <c r="A752" t="s">
        <v>154</v>
      </c>
      <c r="B752" t="s">
        <v>87</v>
      </c>
      <c r="C752">
        <v>223</v>
      </c>
      <c r="D752" t="s">
        <v>147</v>
      </c>
      <c r="E752" s="242"/>
      <c r="F752">
        <v>2670.80004882812</v>
      </c>
      <c r="G752" t="b">
        <v>0</v>
      </c>
      <c r="H752" t="s">
        <v>15</v>
      </c>
    </row>
    <row r="753" spans="1:8">
      <c r="A753" t="s">
        <v>168</v>
      </c>
      <c r="B753" t="s">
        <v>87</v>
      </c>
      <c r="C753">
        <v>223</v>
      </c>
      <c r="D753" t="s">
        <v>147</v>
      </c>
      <c r="E753" s="242"/>
      <c r="F753">
        <v>5199.39990234375</v>
      </c>
      <c r="G753" t="b">
        <v>0</v>
      </c>
      <c r="H753" t="s">
        <v>15</v>
      </c>
    </row>
    <row r="754" spans="1:8">
      <c r="A754" t="s">
        <v>155</v>
      </c>
      <c r="B754" t="s">
        <v>87</v>
      </c>
      <c r="C754">
        <v>223</v>
      </c>
      <c r="D754" t="s">
        <v>147</v>
      </c>
      <c r="E754" s="242"/>
      <c r="F754">
        <v>4244.7998046875</v>
      </c>
      <c r="G754" t="b">
        <v>0</v>
      </c>
      <c r="H754" t="s">
        <v>15</v>
      </c>
    </row>
    <row r="755" spans="1:8">
      <c r="A755" t="s">
        <v>156</v>
      </c>
      <c r="B755" t="s">
        <v>87</v>
      </c>
      <c r="C755">
        <v>223</v>
      </c>
      <c r="D755" t="s">
        <v>147</v>
      </c>
      <c r="E755" s="242"/>
      <c r="F755">
        <v>4756.5</v>
      </c>
      <c r="G755" t="b">
        <v>0</v>
      </c>
      <c r="H755" t="s">
        <v>15</v>
      </c>
    </row>
    <row r="756" spans="1:8">
      <c r="A756" t="s">
        <v>157</v>
      </c>
      <c r="B756" t="s">
        <v>87</v>
      </c>
      <c r="C756">
        <v>223</v>
      </c>
      <c r="D756" t="s">
        <v>147</v>
      </c>
      <c r="E756" s="242"/>
      <c r="F756">
        <v>5081</v>
      </c>
      <c r="G756" t="b">
        <v>0</v>
      </c>
      <c r="H756" t="s">
        <v>15</v>
      </c>
    </row>
    <row r="757" spans="1:8">
      <c r="A757" t="s">
        <v>169</v>
      </c>
      <c r="B757" t="s">
        <v>87</v>
      </c>
      <c r="C757">
        <v>223</v>
      </c>
      <c r="D757" t="s">
        <v>147</v>
      </c>
      <c r="E757" s="242"/>
      <c r="F757">
        <v>1492.69995117187</v>
      </c>
      <c r="G757" t="b">
        <v>0</v>
      </c>
      <c r="H757" t="s">
        <v>15</v>
      </c>
    </row>
    <row r="758" spans="1:8">
      <c r="A758" t="s">
        <v>170</v>
      </c>
      <c r="B758" t="s">
        <v>87</v>
      </c>
      <c r="C758">
        <v>223</v>
      </c>
      <c r="D758" t="s">
        <v>147</v>
      </c>
      <c r="E758" s="242"/>
      <c r="F758">
        <v>1325.40002441406</v>
      </c>
      <c r="G758" t="b">
        <v>0</v>
      </c>
      <c r="H758" t="s">
        <v>15</v>
      </c>
    </row>
    <row r="759" spans="1:8">
      <c r="A759" t="s">
        <v>158</v>
      </c>
      <c r="B759" t="s">
        <v>87</v>
      </c>
      <c r="C759">
        <v>223</v>
      </c>
      <c r="D759" t="s">
        <v>147</v>
      </c>
      <c r="E759" s="242"/>
      <c r="F759">
        <v>5235.10009765625</v>
      </c>
      <c r="G759" t="b">
        <v>0</v>
      </c>
      <c r="H759" t="s">
        <v>15</v>
      </c>
    </row>
    <row r="760" spans="1:8">
      <c r="A760" t="s">
        <v>159</v>
      </c>
      <c r="B760" t="s">
        <v>87</v>
      </c>
      <c r="C760">
        <v>223</v>
      </c>
      <c r="D760" t="s">
        <v>147</v>
      </c>
      <c r="E760" s="242"/>
      <c r="F760">
        <v>3158.19995117187</v>
      </c>
      <c r="G760" t="b">
        <v>0</v>
      </c>
      <c r="H760" t="s">
        <v>15</v>
      </c>
    </row>
    <row r="761" spans="1:8">
      <c r="A761" t="s">
        <v>160</v>
      </c>
      <c r="B761" t="s">
        <v>87</v>
      </c>
      <c r="C761">
        <v>223</v>
      </c>
      <c r="D761" t="s">
        <v>147</v>
      </c>
      <c r="E761" s="242"/>
      <c r="F761">
        <v>2969.10009765625</v>
      </c>
      <c r="G761" t="b">
        <v>0</v>
      </c>
      <c r="H761" t="s">
        <v>15</v>
      </c>
    </row>
    <row r="762" spans="1:8">
      <c r="A762" t="s">
        <v>164</v>
      </c>
      <c r="B762" t="s">
        <v>87</v>
      </c>
      <c r="C762">
        <v>224</v>
      </c>
      <c r="D762" t="s">
        <v>147</v>
      </c>
      <c r="E762" s="242"/>
      <c r="F762">
        <v>5336.89990234375</v>
      </c>
      <c r="G762" t="b">
        <v>0</v>
      </c>
      <c r="H762" t="s">
        <v>15</v>
      </c>
    </row>
    <row r="763" spans="1:8">
      <c r="A763" t="s">
        <v>161</v>
      </c>
      <c r="B763" t="s">
        <v>87</v>
      </c>
      <c r="C763">
        <v>224</v>
      </c>
      <c r="D763" t="s">
        <v>147</v>
      </c>
      <c r="E763" s="242"/>
      <c r="F763">
        <v>7126</v>
      </c>
      <c r="G763" t="b">
        <v>0</v>
      </c>
      <c r="H763" t="s">
        <v>15</v>
      </c>
    </row>
    <row r="764" spans="1:8">
      <c r="A764" t="s">
        <v>165</v>
      </c>
      <c r="B764" t="s">
        <v>87</v>
      </c>
      <c r="C764">
        <v>224</v>
      </c>
      <c r="D764" t="s">
        <v>147</v>
      </c>
      <c r="E764" s="242"/>
      <c r="F764">
        <v>7703.7001953125</v>
      </c>
      <c r="G764" t="b">
        <v>0</v>
      </c>
      <c r="H764" t="s">
        <v>15</v>
      </c>
    </row>
    <row r="765" spans="1:8">
      <c r="A765" t="s">
        <v>148</v>
      </c>
      <c r="B765" t="s">
        <v>87</v>
      </c>
      <c r="C765">
        <v>224</v>
      </c>
      <c r="D765" t="s">
        <v>147</v>
      </c>
      <c r="E765" s="242"/>
      <c r="F765">
        <v>6703.39990234375</v>
      </c>
      <c r="G765" t="b">
        <v>0</v>
      </c>
      <c r="H765" t="s">
        <v>15</v>
      </c>
    </row>
    <row r="766" spans="1:8">
      <c r="A766" t="s">
        <v>162</v>
      </c>
      <c r="B766" t="s">
        <v>87</v>
      </c>
      <c r="C766">
        <v>224</v>
      </c>
      <c r="D766" t="s">
        <v>147</v>
      </c>
      <c r="E766" s="242"/>
      <c r="F766">
        <v>7383.10009765625</v>
      </c>
      <c r="G766" t="b">
        <v>0</v>
      </c>
      <c r="H766" t="s">
        <v>15</v>
      </c>
    </row>
    <row r="767" spans="1:8">
      <c r="A767" t="s">
        <v>163</v>
      </c>
      <c r="B767" t="s">
        <v>87</v>
      </c>
      <c r="C767">
        <v>224</v>
      </c>
      <c r="D767" t="s">
        <v>147</v>
      </c>
      <c r="E767" s="242"/>
      <c r="F767">
        <v>4812.2001953125</v>
      </c>
      <c r="G767" t="b">
        <v>0</v>
      </c>
      <c r="H767" t="s">
        <v>15</v>
      </c>
    </row>
    <row r="768" spans="1:8">
      <c r="A768" t="s">
        <v>166</v>
      </c>
      <c r="B768" t="s">
        <v>87</v>
      </c>
      <c r="C768">
        <v>224</v>
      </c>
      <c r="D768" t="s">
        <v>147</v>
      </c>
      <c r="E768" s="242"/>
      <c r="F768">
        <v>3465.19995117187</v>
      </c>
      <c r="G768" t="b">
        <v>0</v>
      </c>
      <c r="H768" t="s">
        <v>15</v>
      </c>
    </row>
    <row r="769" spans="1:8">
      <c r="A769" t="s">
        <v>149</v>
      </c>
      <c r="B769" t="s">
        <v>87</v>
      </c>
      <c r="C769">
        <v>224</v>
      </c>
      <c r="D769" t="s">
        <v>147</v>
      </c>
      <c r="E769" s="242"/>
      <c r="F769">
        <v>5078.7001953125</v>
      </c>
      <c r="G769" t="b">
        <v>0</v>
      </c>
      <c r="H769" t="s">
        <v>15</v>
      </c>
    </row>
    <row r="770" spans="1:8">
      <c r="A770" t="s">
        <v>150</v>
      </c>
      <c r="B770" t="s">
        <v>87</v>
      </c>
      <c r="C770">
        <v>224</v>
      </c>
      <c r="D770" t="s">
        <v>147</v>
      </c>
      <c r="E770" s="242"/>
      <c r="F770">
        <v>3985</v>
      </c>
      <c r="G770" t="b">
        <v>0</v>
      </c>
      <c r="H770" t="s">
        <v>15</v>
      </c>
    </row>
    <row r="771" spans="1:8">
      <c r="A771" t="s">
        <v>151</v>
      </c>
      <c r="B771" t="s">
        <v>87</v>
      </c>
      <c r="C771">
        <v>224</v>
      </c>
      <c r="D771" t="s">
        <v>147</v>
      </c>
      <c r="E771" s="242"/>
      <c r="F771">
        <v>1898.09997558593</v>
      </c>
      <c r="G771" t="b">
        <v>0</v>
      </c>
      <c r="H771" t="s">
        <v>15</v>
      </c>
    </row>
    <row r="772" spans="1:8">
      <c r="A772" t="s">
        <v>152</v>
      </c>
      <c r="B772" t="s">
        <v>87</v>
      </c>
      <c r="C772">
        <v>224</v>
      </c>
      <c r="D772" t="s">
        <v>147</v>
      </c>
      <c r="E772" s="242"/>
      <c r="F772">
        <v>1770.30004882812</v>
      </c>
      <c r="G772" t="b">
        <v>0</v>
      </c>
      <c r="H772" t="s">
        <v>15</v>
      </c>
    </row>
    <row r="773" spans="1:8">
      <c r="A773" t="s">
        <v>145</v>
      </c>
      <c r="B773" t="s">
        <v>87</v>
      </c>
      <c r="C773">
        <v>224</v>
      </c>
      <c r="D773" t="s">
        <v>147</v>
      </c>
      <c r="E773" s="242"/>
      <c r="F773">
        <v>1704.69995117187</v>
      </c>
      <c r="G773" t="b">
        <v>0</v>
      </c>
      <c r="H773" t="s">
        <v>15</v>
      </c>
    </row>
    <row r="774" spans="1:8">
      <c r="A774" t="s">
        <v>167</v>
      </c>
      <c r="B774" t="s">
        <v>87</v>
      </c>
      <c r="C774">
        <v>224</v>
      </c>
      <c r="D774" t="s">
        <v>147</v>
      </c>
      <c r="E774" s="242"/>
      <c r="F774">
        <v>1863.40002441406</v>
      </c>
      <c r="G774" t="b">
        <v>0</v>
      </c>
      <c r="H774" t="s">
        <v>15</v>
      </c>
    </row>
    <row r="775" spans="1:8">
      <c r="A775" t="s">
        <v>153</v>
      </c>
      <c r="B775" t="s">
        <v>87</v>
      </c>
      <c r="C775">
        <v>224</v>
      </c>
      <c r="D775" t="s">
        <v>147</v>
      </c>
      <c r="E775" s="242"/>
      <c r="F775">
        <v>1560</v>
      </c>
      <c r="G775" t="b">
        <v>0</v>
      </c>
      <c r="H775" t="s">
        <v>15</v>
      </c>
    </row>
    <row r="776" spans="1:8">
      <c r="A776" t="s">
        <v>154</v>
      </c>
      <c r="B776" t="s">
        <v>87</v>
      </c>
      <c r="C776">
        <v>224</v>
      </c>
      <c r="D776" t="s">
        <v>147</v>
      </c>
      <c r="E776" s="242"/>
      <c r="F776">
        <v>2795.80004882812</v>
      </c>
      <c r="G776" t="b">
        <v>0</v>
      </c>
      <c r="H776" t="s">
        <v>15</v>
      </c>
    </row>
    <row r="777" spans="1:8">
      <c r="A777" t="s">
        <v>168</v>
      </c>
      <c r="B777" t="s">
        <v>87</v>
      </c>
      <c r="C777">
        <v>224</v>
      </c>
      <c r="D777" t="s">
        <v>147</v>
      </c>
      <c r="E777" s="242"/>
      <c r="F777">
        <v>5291.2998046875</v>
      </c>
      <c r="G777" t="b">
        <v>0</v>
      </c>
      <c r="H777" t="s">
        <v>15</v>
      </c>
    </row>
    <row r="778" spans="1:8">
      <c r="A778" t="s">
        <v>155</v>
      </c>
      <c r="B778" t="s">
        <v>87</v>
      </c>
      <c r="C778">
        <v>224</v>
      </c>
      <c r="D778" t="s">
        <v>147</v>
      </c>
      <c r="E778" s="242"/>
      <c r="F778">
        <v>4369.7998046875</v>
      </c>
      <c r="G778" t="b">
        <v>0</v>
      </c>
      <c r="H778" t="s">
        <v>15</v>
      </c>
    </row>
    <row r="779" spans="1:8">
      <c r="A779" t="s">
        <v>156</v>
      </c>
      <c r="B779" t="s">
        <v>87</v>
      </c>
      <c r="C779">
        <v>224</v>
      </c>
      <c r="D779" t="s">
        <v>147</v>
      </c>
      <c r="E779" s="242"/>
      <c r="F779">
        <v>4756.5</v>
      </c>
      <c r="G779" t="b">
        <v>0</v>
      </c>
      <c r="H779" t="s">
        <v>15</v>
      </c>
    </row>
    <row r="780" spans="1:8">
      <c r="A780" t="s">
        <v>157</v>
      </c>
      <c r="B780" t="s">
        <v>87</v>
      </c>
      <c r="C780">
        <v>224</v>
      </c>
      <c r="D780" t="s">
        <v>147</v>
      </c>
      <c r="E780" s="242"/>
      <c r="F780">
        <v>5206</v>
      </c>
      <c r="G780" t="b">
        <v>0</v>
      </c>
      <c r="H780" t="s">
        <v>15</v>
      </c>
    </row>
    <row r="781" spans="1:8">
      <c r="A781" t="s">
        <v>169</v>
      </c>
      <c r="B781" t="s">
        <v>87</v>
      </c>
      <c r="C781">
        <v>224</v>
      </c>
      <c r="D781" t="s">
        <v>147</v>
      </c>
      <c r="E781" s="242"/>
      <c r="F781">
        <v>1492.69995117187</v>
      </c>
      <c r="G781" t="b">
        <v>0</v>
      </c>
      <c r="H781" t="s">
        <v>15</v>
      </c>
    </row>
    <row r="782" spans="1:8">
      <c r="A782" t="s">
        <v>170</v>
      </c>
      <c r="B782" t="s">
        <v>87</v>
      </c>
      <c r="C782">
        <v>224</v>
      </c>
      <c r="D782" t="s">
        <v>147</v>
      </c>
      <c r="E782" s="242"/>
      <c r="F782">
        <v>1450.09997558593</v>
      </c>
      <c r="G782" t="b">
        <v>0</v>
      </c>
      <c r="H782" t="s">
        <v>15</v>
      </c>
    </row>
    <row r="783" spans="1:8">
      <c r="A783" t="s">
        <v>158</v>
      </c>
      <c r="B783" t="s">
        <v>87</v>
      </c>
      <c r="C783">
        <v>224</v>
      </c>
      <c r="D783" t="s">
        <v>147</v>
      </c>
      <c r="E783" s="242"/>
      <c r="F783">
        <v>5360.10009765625</v>
      </c>
      <c r="G783" t="b">
        <v>0</v>
      </c>
      <c r="H783" t="s">
        <v>15</v>
      </c>
    </row>
    <row r="784" spans="1:8">
      <c r="A784" t="s">
        <v>159</v>
      </c>
      <c r="B784" t="s">
        <v>87</v>
      </c>
      <c r="C784">
        <v>224</v>
      </c>
      <c r="D784" t="s">
        <v>147</v>
      </c>
      <c r="E784" s="242"/>
      <c r="F784">
        <v>3155</v>
      </c>
      <c r="G784" t="b">
        <v>0</v>
      </c>
      <c r="H784" t="s">
        <v>15</v>
      </c>
    </row>
    <row r="785" spans="1:8">
      <c r="A785" t="s">
        <v>160</v>
      </c>
      <c r="B785" t="s">
        <v>87</v>
      </c>
      <c r="C785">
        <v>224</v>
      </c>
      <c r="D785" t="s">
        <v>147</v>
      </c>
      <c r="E785" s="242"/>
      <c r="F785">
        <v>2969.10009765625</v>
      </c>
      <c r="G785" t="b">
        <v>0</v>
      </c>
      <c r="H785" t="s">
        <v>15</v>
      </c>
    </row>
    <row r="786" spans="1:8">
      <c r="A786" t="s">
        <v>165</v>
      </c>
      <c r="B786" t="s">
        <v>87</v>
      </c>
      <c r="C786">
        <v>225</v>
      </c>
      <c r="D786" t="s">
        <v>146</v>
      </c>
      <c r="E786" s="242">
        <v>41913</v>
      </c>
      <c r="F786">
        <v>0</v>
      </c>
      <c r="G786" t="b">
        <v>0</v>
      </c>
      <c r="H786" t="s">
        <v>15</v>
      </c>
    </row>
    <row r="787" spans="1:8">
      <c r="A787" t="s">
        <v>150</v>
      </c>
      <c r="B787" t="s">
        <v>87</v>
      </c>
      <c r="C787">
        <v>225</v>
      </c>
      <c r="D787" t="s">
        <v>146</v>
      </c>
      <c r="E787" s="242">
        <v>41857</v>
      </c>
      <c r="F787">
        <v>0</v>
      </c>
      <c r="G787" t="b">
        <v>0</v>
      </c>
      <c r="H787" t="s">
        <v>15</v>
      </c>
    </row>
    <row r="788" spans="1:8">
      <c r="A788" t="s">
        <v>152</v>
      </c>
      <c r="B788" t="s">
        <v>87</v>
      </c>
      <c r="C788">
        <v>225</v>
      </c>
      <c r="D788" t="s">
        <v>146</v>
      </c>
      <c r="E788" s="242">
        <v>41879.546527777777</v>
      </c>
      <c r="F788">
        <v>0</v>
      </c>
      <c r="G788" t="b">
        <v>0</v>
      </c>
      <c r="H788" t="s">
        <v>15</v>
      </c>
    </row>
    <row r="789" spans="1:8">
      <c r="A789" t="s">
        <v>145</v>
      </c>
      <c r="B789" t="s">
        <v>87</v>
      </c>
      <c r="C789">
        <v>225</v>
      </c>
      <c r="D789" t="s">
        <v>146</v>
      </c>
      <c r="E789" s="242">
        <v>41801</v>
      </c>
      <c r="F789">
        <v>0</v>
      </c>
      <c r="G789" t="b">
        <v>0</v>
      </c>
      <c r="H789" t="s">
        <v>15</v>
      </c>
    </row>
    <row r="790" spans="1:8">
      <c r="A790" t="s">
        <v>156</v>
      </c>
      <c r="B790" t="s">
        <v>87</v>
      </c>
      <c r="C790">
        <v>225</v>
      </c>
      <c r="D790" t="s">
        <v>146</v>
      </c>
      <c r="E790" s="242">
        <v>42026</v>
      </c>
      <c r="F790">
        <v>0</v>
      </c>
      <c r="G790" t="b">
        <v>0</v>
      </c>
      <c r="H790" t="s">
        <v>15</v>
      </c>
    </row>
    <row r="791" spans="1:8">
      <c r="A791" t="s">
        <v>170</v>
      </c>
      <c r="B791" t="s">
        <v>87</v>
      </c>
      <c r="C791">
        <v>225</v>
      </c>
      <c r="D791" t="s">
        <v>146</v>
      </c>
      <c r="E791" s="242">
        <v>41855.444444444445</v>
      </c>
      <c r="F791">
        <v>0</v>
      </c>
      <c r="G791" t="b">
        <v>0</v>
      </c>
      <c r="H791" t="s">
        <v>15</v>
      </c>
    </row>
    <row r="792" spans="1:8">
      <c r="A792" t="s">
        <v>165</v>
      </c>
      <c r="B792" t="s">
        <v>87</v>
      </c>
      <c r="C792">
        <v>225</v>
      </c>
      <c r="D792" t="s">
        <v>147</v>
      </c>
      <c r="E792" s="242"/>
      <c r="F792">
        <v>7703.2001953125</v>
      </c>
      <c r="G792" t="b">
        <v>0</v>
      </c>
      <c r="H792" t="s">
        <v>15</v>
      </c>
    </row>
    <row r="793" spans="1:8">
      <c r="A793" t="s">
        <v>150</v>
      </c>
      <c r="B793" t="s">
        <v>87</v>
      </c>
      <c r="C793">
        <v>225</v>
      </c>
      <c r="D793" t="s">
        <v>147</v>
      </c>
      <c r="E793" s="242"/>
      <c r="F793">
        <v>3985</v>
      </c>
      <c r="G793" t="b">
        <v>0</v>
      </c>
      <c r="H793" t="s">
        <v>15</v>
      </c>
    </row>
    <row r="794" spans="1:8">
      <c r="A794" t="s">
        <v>152</v>
      </c>
      <c r="B794" t="s">
        <v>87</v>
      </c>
      <c r="C794">
        <v>225</v>
      </c>
      <c r="D794" t="s">
        <v>147</v>
      </c>
      <c r="E794" s="242"/>
      <c r="F794">
        <v>1770.30004882812</v>
      </c>
      <c r="G794" t="b">
        <v>0</v>
      </c>
      <c r="H794" t="s">
        <v>15</v>
      </c>
    </row>
    <row r="795" spans="1:8">
      <c r="A795" t="s">
        <v>145</v>
      </c>
      <c r="B795" t="s">
        <v>87</v>
      </c>
      <c r="C795">
        <v>225</v>
      </c>
      <c r="D795" t="s">
        <v>147</v>
      </c>
      <c r="E795" s="242"/>
      <c r="F795">
        <v>1704.69995117187</v>
      </c>
      <c r="G795" t="b">
        <v>0</v>
      </c>
      <c r="H795" t="s">
        <v>15</v>
      </c>
    </row>
    <row r="796" spans="1:8">
      <c r="A796" t="s">
        <v>156</v>
      </c>
      <c r="B796" t="s">
        <v>87</v>
      </c>
      <c r="C796">
        <v>225</v>
      </c>
      <c r="D796" t="s">
        <v>147</v>
      </c>
      <c r="E796" s="242"/>
      <c r="F796">
        <v>4693.2001953125</v>
      </c>
      <c r="G796" t="b">
        <v>0</v>
      </c>
      <c r="H796" t="s">
        <v>15</v>
      </c>
    </row>
    <row r="797" spans="1:8">
      <c r="A797" t="s">
        <v>170</v>
      </c>
      <c r="B797" t="s">
        <v>87</v>
      </c>
      <c r="C797">
        <v>225</v>
      </c>
      <c r="D797" t="s">
        <v>147</v>
      </c>
      <c r="E797" s="242"/>
      <c r="F797">
        <v>1453.59997558593</v>
      </c>
      <c r="G797" t="b">
        <v>0</v>
      </c>
      <c r="H797" t="s">
        <v>15</v>
      </c>
    </row>
    <row r="798" spans="1:8">
      <c r="A798" t="s">
        <v>164</v>
      </c>
      <c r="B798" t="s">
        <v>87</v>
      </c>
      <c r="C798">
        <v>226</v>
      </c>
      <c r="D798" t="s">
        <v>147</v>
      </c>
      <c r="E798" s="242"/>
      <c r="F798">
        <v>5216.60009765625</v>
      </c>
      <c r="G798" t="b">
        <v>0</v>
      </c>
      <c r="H798" t="s">
        <v>15</v>
      </c>
    </row>
    <row r="799" spans="1:8">
      <c r="A799" t="s">
        <v>161</v>
      </c>
      <c r="B799" t="s">
        <v>87</v>
      </c>
      <c r="C799">
        <v>226</v>
      </c>
      <c r="D799" t="s">
        <v>147</v>
      </c>
      <c r="E799" s="242"/>
      <c r="F799">
        <v>6759.5</v>
      </c>
      <c r="G799" t="b">
        <v>0</v>
      </c>
      <c r="H799" t="s">
        <v>15</v>
      </c>
    </row>
    <row r="800" spans="1:8">
      <c r="A800" t="s">
        <v>165</v>
      </c>
      <c r="B800" t="s">
        <v>87</v>
      </c>
      <c r="C800">
        <v>226</v>
      </c>
      <c r="D800" t="s">
        <v>147</v>
      </c>
      <c r="E800" s="242"/>
      <c r="F800">
        <v>7458.7001953125</v>
      </c>
      <c r="G800" t="b">
        <v>0</v>
      </c>
      <c r="H800" t="s">
        <v>15</v>
      </c>
    </row>
    <row r="801" spans="1:8">
      <c r="A801" t="s">
        <v>148</v>
      </c>
      <c r="B801" t="s">
        <v>87</v>
      </c>
      <c r="C801">
        <v>226</v>
      </c>
      <c r="D801" t="s">
        <v>147</v>
      </c>
      <c r="E801" s="242"/>
      <c r="F801">
        <v>6461.39990234375</v>
      </c>
      <c r="G801" t="b">
        <v>0</v>
      </c>
      <c r="H801" t="s">
        <v>15</v>
      </c>
    </row>
    <row r="802" spans="1:8">
      <c r="A802" t="s">
        <v>162</v>
      </c>
      <c r="B802" t="s">
        <v>87</v>
      </c>
      <c r="C802">
        <v>226</v>
      </c>
      <c r="D802" t="s">
        <v>147</v>
      </c>
      <c r="E802" s="242"/>
      <c r="F802">
        <v>7383.10009765625</v>
      </c>
      <c r="G802" t="b">
        <v>0</v>
      </c>
      <c r="H802" t="s">
        <v>15</v>
      </c>
    </row>
    <row r="803" spans="1:8">
      <c r="A803" t="s">
        <v>163</v>
      </c>
      <c r="B803" t="s">
        <v>87</v>
      </c>
      <c r="C803">
        <v>226</v>
      </c>
      <c r="D803" t="s">
        <v>147</v>
      </c>
      <c r="E803" s="242"/>
      <c r="F803">
        <v>4578.7001953125</v>
      </c>
      <c r="G803" t="b">
        <v>0</v>
      </c>
      <c r="H803" t="s">
        <v>15</v>
      </c>
    </row>
    <row r="804" spans="1:8">
      <c r="A804" t="s">
        <v>166</v>
      </c>
      <c r="B804" t="s">
        <v>87</v>
      </c>
      <c r="C804">
        <v>226</v>
      </c>
      <c r="D804" t="s">
        <v>147</v>
      </c>
      <c r="E804" s="242"/>
      <c r="F804">
        <v>3113.30004882812</v>
      </c>
      <c r="G804" t="b">
        <v>0</v>
      </c>
      <c r="H804" t="s">
        <v>15</v>
      </c>
    </row>
    <row r="805" spans="1:8">
      <c r="A805" t="s">
        <v>149</v>
      </c>
      <c r="B805" t="s">
        <v>87</v>
      </c>
      <c r="C805">
        <v>226</v>
      </c>
      <c r="D805" t="s">
        <v>147</v>
      </c>
      <c r="E805" s="242"/>
      <c r="F805">
        <v>4706.39990234375</v>
      </c>
      <c r="G805" t="b">
        <v>0</v>
      </c>
      <c r="H805" t="s">
        <v>15</v>
      </c>
    </row>
    <row r="806" spans="1:8">
      <c r="A806" t="s">
        <v>150</v>
      </c>
      <c r="B806" t="s">
        <v>87</v>
      </c>
      <c r="C806">
        <v>226</v>
      </c>
      <c r="D806" t="s">
        <v>147</v>
      </c>
      <c r="E806" s="242"/>
      <c r="F806">
        <v>3743.39990234375</v>
      </c>
      <c r="G806" t="b">
        <v>0</v>
      </c>
      <c r="H806" t="s">
        <v>15</v>
      </c>
    </row>
    <row r="807" spans="1:8">
      <c r="A807" t="s">
        <v>151</v>
      </c>
      <c r="B807" t="s">
        <v>87</v>
      </c>
      <c r="C807">
        <v>226</v>
      </c>
      <c r="D807" t="s">
        <v>147</v>
      </c>
      <c r="E807" s="242"/>
      <c r="F807">
        <v>1526.90002441406</v>
      </c>
      <c r="G807" t="b">
        <v>0</v>
      </c>
      <c r="H807" t="s">
        <v>15</v>
      </c>
    </row>
    <row r="808" spans="1:8">
      <c r="A808" t="s">
        <v>152</v>
      </c>
      <c r="B808" t="s">
        <v>87</v>
      </c>
      <c r="C808">
        <v>226</v>
      </c>
      <c r="D808" t="s">
        <v>147</v>
      </c>
      <c r="E808" s="242"/>
      <c r="F808">
        <v>1770.30004882812</v>
      </c>
      <c r="G808" t="b">
        <v>0</v>
      </c>
      <c r="H808" t="s">
        <v>15</v>
      </c>
    </row>
    <row r="809" spans="1:8">
      <c r="A809" t="s">
        <v>145</v>
      </c>
      <c r="B809" t="s">
        <v>87</v>
      </c>
      <c r="C809">
        <v>226</v>
      </c>
      <c r="D809" t="s">
        <v>147</v>
      </c>
      <c r="E809" s="242"/>
      <c r="F809">
        <v>1704.69995117187</v>
      </c>
      <c r="G809" t="b">
        <v>0</v>
      </c>
      <c r="H809" t="s">
        <v>15</v>
      </c>
    </row>
    <row r="810" spans="1:8">
      <c r="A810" t="s">
        <v>167</v>
      </c>
      <c r="B810" t="s">
        <v>87</v>
      </c>
      <c r="C810">
        <v>226</v>
      </c>
      <c r="D810" t="s">
        <v>147</v>
      </c>
      <c r="E810" s="242"/>
      <c r="F810">
        <v>1518.80004882812</v>
      </c>
      <c r="G810" t="b">
        <v>0</v>
      </c>
      <c r="H810" t="s">
        <v>15</v>
      </c>
    </row>
    <row r="811" spans="1:8">
      <c r="A811" t="s">
        <v>153</v>
      </c>
      <c r="B811" t="s">
        <v>87</v>
      </c>
      <c r="C811">
        <v>226</v>
      </c>
      <c r="D811" t="s">
        <v>147</v>
      </c>
      <c r="E811" s="242"/>
      <c r="F811">
        <v>1191.19995117187</v>
      </c>
      <c r="G811" t="b">
        <v>0</v>
      </c>
      <c r="H811" t="s">
        <v>15</v>
      </c>
    </row>
    <row r="812" spans="1:8">
      <c r="A812" t="s">
        <v>154</v>
      </c>
      <c r="B812" t="s">
        <v>87</v>
      </c>
      <c r="C812">
        <v>226</v>
      </c>
      <c r="D812" t="s">
        <v>147</v>
      </c>
      <c r="E812" s="242"/>
      <c r="F812">
        <v>2670.80004882812</v>
      </c>
      <c r="G812" t="b">
        <v>0</v>
      </c>
      <c r="H812" t="s">
        <v>15</v>
      </c>
    </row>
    <row r="813" spans="1:8">
      <c r="A813" t="s">
        <v>168</v>
      </c>
      <c r="B813" t="s">
        <v>87</v>
      </c>
      <c r="C813">
        <v>226</v>
      </c>
      <c r="D813" t="s">
        <v>147</v>
      </c>
      <c r="E813" s="242"/>
      <c r="F813">
        <v>5199.39990234375</v>
      </c>
      <c r="G813" t="b">
        <v>0</v>
      </c>
      <c r="H813" t="s">
        <v>15</v>
      </c>
    </row>
    <row r="814" spans="1:8">
      <c r="A814" t="s">
        <v>155</v>
      </c>
      <c r="B814" t="s">
        <v>87</v>
      </c>
      <c r="C814">
        <v>226</v>
      </c>
      <c r="D814" t="s">
        <v>147</v>
      </c>
      <c r="E814" s="242"/>
      <c r="F814">
        <v>3998.60009765625</v>
      </c>
      <c r="G814" t="b">
        <v>0</v>
      </c>
      <c r="H814" t="s">
        <v>15</v>
      </c>
    </row>
    <row r="815" spans="1:8">
      <c r="A815" t="s">
        <v>156</v>
      </c>
      <c r="B815" t="s">
        <v>87</v>
      </c>
      <c r="C815">
        <v>226</v>
      </c>
      <c r="D815" t="s">
        <v>147</v>
      </c>
      <c r="E815" s="242"/>
      <c r="F815">
        <v>4756.5</v>
      </c>
      <c r="G815" t="b">
        <v>0</v>
      </c>
      <c r="H815" t="s">
        <v>15</v>
      </c>
    </row>
    <row r="816" spans="1:8">
      <c r="A816" t="s">
        <v>157</v>
      </c>
      <c r="B816" t="s">
        <v>87</v>
      </c>
      <c r="C816">
        <v>226</v>
      </c>
      <c r="D816" t="s">
        <v>147</v>
      </c>
      <c r="E816" s="242"/>
      <c r="F816">
        <v>5081</v>
      </c>
      <c r="G816" t="b">
        <v>0</v>
      </c>
      <c r="H816" t="s">
        <v>15</v>
      </c>
    </row>
    <row r="817" spans="1:8">
      <c r="A817" t="s">
        <v>169</v>
      </c>
      <c r="B817" t="s">
        <v>87</v>
      </c>
      <c r="C817">
        <v>226</v>
      </c>
      <c r="D817" t="s">
        <v>147</v>
      </c>
      <c r="E817" s="242"/>
      <c r="F817">
        <v>1247.90002441406</v>
      </c>
      <c r="G817" t="b">
        <v>0</v>
      </c>
      <c r="H817" t="s">
        <v>15</v>
      </c>
    </row>
    <row r="818" spans="1:8">
      <c r="A818" t="s">
        <v>170</v>
      </c>
      <c r="B818" t="s">
        <v>87</v>
      </c>
      <c r="C818">
        <v>226</v>
      </c>
      <c r="D818" t="s">
        <v>147</v>
      </c>
      <c r="E818" s="242"/>
      <c r="F818">
        <v>1325.40002441406</v>
      </c>
      <c r="G818" t="b">
        <v>0</v>
      </c>
      <c r="H818" t="s">
        <v>15</v>
      </c>
    </row>
    <row r="819" spans="1:8">
      <c r="A819" t="s">
        <v>158</v>
      </c>
      <c r="B819" t="s">
        <v>87</v>
      </c>
      <c r="C819">
        <v>226</v>
      </c>
      <c r="D819" t="s">
        <v>147</v>
      </c>
      <c r="E819" s="242"/>
      <c r="F819">
        <v>4990.10009765625</v>
      </c>
      <c r="G819" t="b">
        <v>0</v>
      </c>
      <c r="H819" t="s">
        <v>15</v>
      </c>
    </row>
    <row r="820" spans="1:8">
      <c r="A820" t="s">
        <v>159</v>
      </c>
      <c r="B820" t="s">
        <v>87</v>
      </c>
      <c r="C820">
        <v>226</v>
      </c>
      <c r="D820" t="s">
        <v>147</v>
      </c>
      <c r="E820" s="242"/>
      <c r="F820">
        <v>2918.19995117187</v>
      </c>
      <c r="G820" t="b">
        <v>0</v>
      </c>
      <c r="H820" t="s">
        <v>15</v>
      </c>
    </row>
    <row r="821" spans="1:8">
      <c r="A821" t="s">
        <v>160</v>
      </c>
      <c r="B821" t="s">
        <v>87</v>
      </c>
      <c r="C821">
        <v>226</v>
      </c>
      <c r="D821" t="s">
        <v>147</v>
      </c>
      <c r="E821" s="242"/>
      <c r="F821">
        <v>2969.10009765625</v>
      </c>
      <c r="G821" t="b">
        <v>0</v>
      </c>
      <c r="H821" t="s">
        <v>15</v>
      </c>
    </row>
    <row r="822" spans="1:8">
      <c r="A822" t="s">
        <v>164</v>
      </c>
      <c r="B822" t="s">
        <v>87</v>
      </c>
      <c r="C822">
        <v>230</v>
      </c>
      <c r="D822" t="s">
        <v>147</v>
      </c>
      <c r="E822" s="242"/>
      <c r="F822">
        <v>5216.60009765625</v>
      </c>
      <c r="G822" t="b">
        <v>0</v>
      </c>
      <c r="H822" t="s">
        <v>15</v>
      </c>
    </row>
    <row r="823" spans="1:8">
      <c r="A823" t="s">
        <v>161</v>
      </c>
      <c r="B823" t="s">
        <v>87</v>
      </c>
      <c r="C823">
        <v>230</v>
      </c>
      <c r="D823" t="s">
        <v>147</v>
      </c>
      <c r="E823" s="242"/>
      <c r="F823">
        <v>6759.5</v>
      </c>
      <c r="G823" t="b">
        <v>0</v>
      </c>
      <c r="H823" t="s">
        <v>15</v>
      </c>
    </row>
    <row r="824" spans="1:8">
      <c r="A824" t="s">
        <v>165</v>
      </c>
      <c r="B824" t="s">
        <v>87</v>
      </c>
      <c r="C824">
        <v>230</v>
      </c>
      <c r="D824" t="s">
        <v>147</v>
      </c>
      <c r="E824" s="242"/>
      <c r="F824">
        <v>7458.7001953125</v>
      </c>
      <c r="G824" t="b">
        <v>0</v>
      </c>
      <c r="H824" t="s">
        <v>15</v>
      </c>
    </row>
    <row r="825" spans="1:8">
      <c r="A825" t="s">
        <v>148</v>
      </c>
      <c r="B825" t="s">
        <v>87</v>
      </c>
      <c r="C825">
        <v>230</v>
      </c>
      <c r="D825" t="s">
        <v>147</v>
      </c>
      <c r="E825" s="242"/>
      <c r="F825">
        <v>6461.39990234375</v>
      </c>
      <c r="G825" t="b">
        <v>0</v>
      </c>
      <c r="H825" t="s">
        <v>15</v>
      </c>
    </row>
    <row r="826" spans="1:8">
      <c r="A826" t="s">
        <v>162</v>
      </c>
      <c r="B826" t="s">
        <v>87</v>
      </c>
      <c r="C826">
        <v>230</v>
      </c>
      <c r="D826" t="s">
        <v>147</v>
      </c>
      <c r="E826" s="242"/>
      <c r="F826">
        <v>7383.10009765625</v>
      </c>
      <c r="G826" t="b">
        <v>0</v>
      </c>
      <c r="H826" t="s">
        <v>15</v>
      </c>
    </row>
    <row r="827" spans="1:8">
      <c r="A827" t="s">
        <v>163</v>
      </c>
      <c r="B827" t="s">
        <v>87</v>
      </c>
      <c r="C827">
        <v>230</v>
      </c>
      <c r="D827" t="s">
        <v>147</v>
      </c>
      <c r="E827" s="242"/>
      <c r="F827">
        <v>4578.7001953125</v>
      </c>
      <c r="G827" t="b">
        <v>0</v>
      </c>
      <c r="H827" t="s">
        <v>15</v>
      </c>
    </row>
    <row r="828" spans="1:8">
      <c r="A828" t="s">
        <v>166</v>
      </c>
      <c r="B828" t="s">
        <v>87</v>
      </c>
      <c r="C828">
        <v>230</v>
      </c>
      <c r="D828" t="s">
        <v>147</v>
      </c>
      <c r="E828" s="242"/>
      <c r="F828">
        <v>3113.30004882812</v>
      </c>
      <c r="G828" t="b">
        <v>0</v>
      </c>
      <c r="H828" t="s">
        <v>15</v>
      </c>
    </row>
    <row r="829" spans="1:8">
      <c r="A829" t="s">
        <v>149</v>
      </c>
      <c r="B829" t="s">
        <v>87</v>
      </c>
      <c r="C829">
        <v>230</v>
      </c>
      <c r="D829" t="s">
        <v>147</v>
      </c>
      <c r="E829" s="242"/>
      <c r="F829">
        <v>4706.39990234375</v>
      </c>
      <c r="G829" t="b">
        <v>0</v>
      </c>
      <c r="H829" t="s">
        <v>15</v>
      </c>
    </row>
    <row r="830" spans="1:8">
      <c r="A830" t="s">
        <v>150</v>
      </c>
      <c r="B830" t="s">
        <v>87</v>
      </c>
      <c r="C830">
        <v>230</v>
      </c>
      <c r="D830" t="s">
        <v>147</v>
      </c>
      <c r="E830" s="242"/>
      <c r="F830">
        <v>3743.39990234375</v>
      </c>
      <c r="G830" t="b">
        <v>0</v>
      </c>
      <c r="H830" t="s">
        <v>15</v>
      </c>
    </row>
    <row r="831" spans="1:8">
      <c r="A831" t="s">
        <v>151</v>
      </c>
      <c r="B831" t="s">
        <v>87</v>
      </c>
      <c r="C831">
        <v>230</v>
      </c>
      <c r="D831" t="s">
        <v>147</v>
      </c>
      <c r="E831" s="242"/>
      <c r="F831">
        <v>1526.90002441406</v>
      </c>
      <c r="G831" t="b">
        <v>0</v>
      </c>
      <c r="H831" t="s">
        <v>15</v>
      </c>
    </row>
    <row r="832" spans="1:8">
      <c r="A832" t="s">
        <v>152</v>
      </c>
      <c r="B832" t="s">
        <v>87</v>
      </c>
      <c r="C832">
        <v>230</v>
      </c>
      <c r="D832" t="s">
        <v>147</v>
      </c>
      <c r="E832" s="242"/>
      <c r="F832">
        <v>1770.30004882812</v>
      </c>
      <c r="G832" t="b">
        <v>0</v>
      </c>
      <c r="H832" t="s">
        <v>15</v>
      </c>
    </row>
    <row r="833" spans="1:8">
      <c r="A833" t="s">
        <v>167</v>
      </c>
      <c r="B833" t="s">
        <v>87</v>
      </c>
      <c r="C833">
        <v>230</v>
      </c>
      <c r="D833" t="s">
        <v>147</v>
      </c>
      <c r="E833" s="242"/>
      <c r="F833">
        <v>1518.80004882812</v>
      </c>
      <c r="G833" t="b">
        <v>0</v>
      </c>
      <c r="H833" t="s">
        <v>15</v>
      </c>
    </row>
    <row r="834" spans="1:8">
      <c r="A834" t="s">
        <v>153</v>
      </c>
      <c r="B834" t="s">
        <v>87</v>
      </c>
      <c r="C834">
        <v>230</v>
      </c>
      <c r="D834" t="s">
        <v>147</v>
      </c>
      <c r="E834" s="242"/>
      <c r="F834">
        <v>1191.19995117187</v>
      </c>
      <c r="G834" t="b">
        <v>0</v>
      </c>
      <c r="H834" t="s">
        <v>15</v>
      </c>
    </row>
    <row r="835" spans="1:8">
      <c r="A835" t="s">
        <v>154</v>
      </c>
      <c r="B835" t="s">
        <v>87</v>
      </c>
      <c r="C835">
        <v>230</v>
      </c>
      <c r="D835" t="s">
        <v>147</v>
      </c>
      <c r="E835" s="242"/>
      <c r="F835">
        <v>2670.80004882812</v>
      </c>
      <c r="G835" t="b">
        <v>0</v>
      </c>
      <c r="H835" t="s">
        <v>15</v>
      </c>
    </row>
    <row r="836" spans="1:8">
      <c r="A836" t="s">
        <v>168</v>
      </c>
      <c r="B836" t="s">
        <v>87</v>
      </c>
      <c r="C836">
        <v>230</v>
      </c>
      <c r="D836" t="s">
        <v>147</v>
      </c>
      <c r="E836" s="242"/>
      <c r="F836">
        <v>5199.39990234375</v>
      </c>
      <c r="G836" t="b">
        <v>0</v>
      </c>
      <c r="H836" t="s">
        <v>15</v>
      </c>
    </row>
    <row r="837" spans="1:8">
      <c r="A837" t="s">
        <v>155</v>
      </c>
      <c r="B837" t="s">
        <v>87</v>
      </c>
      <c r="C837">
        <v>230</v>
      </c>
      <c r="D837" t="s">
        <v>147</v>
      </c>
      <c r="E837" s="242"/>
      <c r="F837">
        <v>3998.60009765625</v>
      </c>
      <c r="G837" t="b">
        <v>0</v>
      </c>
      <c r="H837" t="s">
        <v>15</v>
      </c>
    </row>
    <row r="838" spans="1:8">
      <c r="A838" t="s">
        <v>156</v>
      </c>
      <c r="B838" t="s">
        <v>87</v>
      </c>
      <c r="C838">
        <v>230</v>
      </c>
      <c r="D838" t="s">
        <v>147</v>
      </c>
      <c r="E838" s="242"/>
      <c r="F838">
        <v>4756.5</v>
      </c>
      <c r="G838" t="b">
        <v>0</v>
      </c>
      <c r="H838" t="s">
        <v>15</v>
      </c>
    </row>
    <row r="839" spans="1:8">
      <c r="A839" t="s">
        <v>157</v>
      </c>
      <c r="B839" t="s">
        <v>87</v>
      </c>
      <c r="C839">
        <v>230</v>
      </c>
      <c r="D839" t="s">
        <v>147</v>
      </c>
      <c r="E839" s="242"/>
      <c r="F839">
        <v>5081</v>
      </c>
      <c r="G839" t="b">
        <v>0</v>
      </c>
      <c r="H839" t="s">
        <v>15</v>
      </c>
    </row>
    <row r="840" spans="1:8">
      <c r="A840" t="s">
        <v>169</v>
      </c>
      <c r="B840" t="s">
        <v>87</v>
      </c>
      <c r="C840">
        <v>230</v>
      </c>
      <c r="D840" t="s">
        <v>147</v>
      </c>
      <c r="E840" s="242"/>
      <c r="F840">
        <v>1247.90002441406</v>
      </c>
      <c r="G840" t="b">
        <v>0</v>
      </c>
      <c r="H840" t="s">
        <v>15</v>
      </c>
    </row>
    <row r="841" spans="1:8">
      <c r="A841" t="s">
        <v>170</v>
      </c>
      <c r="B841" t="s">
        <v>87</v>
      </c>
      <c r="C841">
        <v>230</v>
      </c>
      <c r="D841" t="s">
        <v>147</v>
      </c>
      <c r="E841" s="242"/>
      <c r="F841">
        <v>1325.40002441406</v>
      </c>
      <c r="G841" t="b">
        <v>0</v>
      </c>
      <c r="H841" t="s">
        <v>15</v>
      </c>
    </row>
    <row r="842" spans="1:8">
      <c r="A842" t="s">
        <v>158</v>
      </c>
      <c r="B842" t="s">
        <v>87</v>
      </c>
      <c r="C842">
        <v>230</v>
      </c>
      <c r="D842" t="s">
        <v>147</v>
      </c>
      <c r="E842" s="242"/>
      <c r="F842">
        <v>4990.10009765625</v>
      </c>
      <c r="G842" t="b">
        <v>0</v>
      </c>
      <c r="H842" t="s">
        <v>15</v>
      </c>
    </row>
    <row r="843" spans="1:8">
      <c r="A843" t="s">
        <v>159</v>
      </c>
      <c r="B843" t="s">
        <v>87</v>
      </c>
      <c r="C843">
        <v>230</v>
      </c>
      <c r="D843" t="s">
        <v>147</v>
      </c>
      <c r="E843" s="242"/>
      <c r="F843">
        <v>2918.19995117187</v>
      </c>
      <c r="G843" t="b">
        <v>0</v>
      </c>
      <c r="H843" t="s">
        <v>15</v>
      </c>
    </row>
    <row r="844" spans="1:8">
      <c r="A844" t="s">
        <v>160</v>
      </c>
      <c r="B844" t="s">
        <v>87</v>
      </c>
      <c r="C844">
        <v>230</v>
      </c>
      <c r="D844" t="s">
        <v>147</v>
      </c>
      <c r="E844" s="242"/>
      <c r="F844">
        <v>2969.10009765625</v>
      </c>
      <c r="G844" t="b">
        <v>0</v>
      </c>
      <c r="H844" t="s">
        <v>15</v>
      </c>
    </row>
    <row r="845" spans="1:8">
      <c r="A845" t="s">
        <v>164</v>
      </c>
      <c r="B845" t="s">
        <v>87</v>
      </c>
      <c r="C845">
        <v>231</v>
      </c>
      <c r="D845" t="s">
        <v>147</v>
      </c>
      <c r="E845" s="242"/>
      <c r="F845">
        <v>5216.60009765625</v>
      </c>
      <c r="G845" t="b">
        <v>0</v>
      </c>
      <c r="H845" t="s">
        <v>15</v>
      </c>
    </row>
    <row r="846" spans="1:8">
      <c r="A846" t="s">
        <v>161</v>
      </c>
      <c r="B846" t="s">
        <v>87</v>
      </c>
      <c r="C846">
        <v>231</v>
      </c>
      <c r="D846" t="s">
        <v>147</v>
      </c>
      <c r="E846" s="242"/>
      <c r="F846">
        <v>7001</v>
      </c>
      <c r="G846" t="b">
        <v>0</v>
      </c>
      <c r="H846" t="s">
        <v>15</v>
      </c>
    </row>
    <row r="847" spans="1:8">
      <c r="A847" t="s">
        <v>165</v>
      </c>
      <c r="B847" t="s">
        <v>87</v>
      </c>
      <c r="C847">
        <v>231</v>
      </c>
      <c r="D847" t="s">
        <v>147</v>
      </c>
      <c r="E847" s="242"/>
      <c r="F847">
        <v>7703.7001953125</v>
      </c>
      <c r="G847" t="b">
        <v>0</v>
      </c>
      <c r="H847" t="s">
        <v>15</v>
      </c>
    </row>
    <row r="848" spans="1:8">
      <c r="A848" t="s">
        <v>148</v>
      </c>
      <c r="B848" t="s">
        <v>87</v>
      </c>
      <c r="C848">
        <v>231</v>
      </c>
      <c r="D848" t="s">
        <v>147</v>
      </c>
      <c r="E848" s="242"/>
      <c r="F848">
        <v>6703.39990234375</v>
      </c>
      <c r="G848" t="b">
        <v>0</v>
      </c>
      <c r="H848" t="s">
        <v>15</v>
      </c>
    </row>
    <row r="849" spans="1:8">
      <c r="A849" t="s">
        <v>162</v>
      </c>
      <c r="B849" t="s">
        <v>87</v>
      </c>
      <c r="C849">
        <v>231</v>
      </c>
      <c r="D849" t="s">
        <v>147</v>
      </c>
      <c r="E849" s="242"/>
      <c r="F849">
        <v>7383.10009765625</v>
      </c>
      <c r="G849" t="b">
        <v>0</v>
      </c>
      <c r="H849" t="s">
        <v>15</v>
      </c>
    </row>
    <row r="850" spans="1:8">
      <c r="A850" t="s">
        <v>163</v>
      </c>
      <c r="B850" t="s">
        <v>87</v>
      </c>
      <c r="C850">
        <v>231</v>
      </c>
      <c r="D850" t="s">
        <v>147</v>
      </c>
      <c r="E850" s="242"/>
      <c r="F850">
        <v>4812.2001953125</v>
      </c>
      <c r="G850" t="b">
        <v>0</v>
      </c>
      <c r="H850" t="s">
        <v>15</v>
      </c>
    </row>
    <row r="851" spans="1:8">
      <c r="A851" t="s">
        <v>166</v>
      </c>
      <c r="B851" t="s">
        <v>87</v>
      </c>
      <c r="C851">
        <v>231</v>
      </c>
      <c r="D851" t="s">
        <v>147</v>
      </c>
      <c r="E851" s="242"/>
      <c r="F851">
        <v>3340.19995117187</v>
      </c>
      <c r="G851" t="b">
        <v>0</v>
      </c>
      <c r="H851" t="s">
        <v>15</v>
      </c>
    </row>
    <row r="852" spans="1:8">
      <c r="A852" t="s">
        <v>149</v>
      </c>
      <c r="B852" t="s">
        <v>87</v>
      </c>
      <c r="C852">
        <v>231</v>
      </c>
      <c r="D852" t="s">
        <v>147</v>
      </c>
      <c r="E852" s="242"/>
      <c r="F852">
        <v>4953.7001953125</v>
      </c>
      <c r="G852" t="b">
        <v>0</v>
      </c>
      <c r="H852" t="s">
        <v>15</v>
      </c>
    </row>
    <row r="853" spans="1:8">
      <c r="A853" t="s">
        <v>150</v>
      </c>
      <c r="B853" t="s">
        <v>87</v>
      </c>
      <c r="C853">
        <v>231</v>
      </c>
      <c r="D853" t="s">
        <v>147</v>
      </c>
      <c r="E853" s="242"/>
      <c r="F853">
        <v>3985</v>
      </c>
      <c r="G853" t="b">
        <v>0</v>
      </c>
      <c r="H853" t="s">
        <v>15</v>
      </c>
    </row>
    <row r="854" spans="1:8">
      <c r="A854" t="s">
        <v>151</v>
      </c>
      <c r="B854" t="s">
        <v>87</v>
      </c>
      <c r="C854">
        <v>231</v>
      </c>
      <c r="D854" t="s">
        <v>147</v>
      </c>
      <c r="E854" s="242"/>
      <c r="F854">
        <v>1781.80004882812</v>
      </c>
      <c r="G854" t="b">
        <v>0</v>
      </c>
      <c r="H854" t="s">
        <v>15</v>
      </c>
    </row>
    <row r="855" spans="1:8">
      <c r="A855" t="s">
        <v>152</v>
      </c>
      <c r="B855" t="s">
        <v>87</v>
      </c>
      <c r="C855">
        <v>231</v>
      </c>
      <c r="D855" t="s">
        <v>147</v>
      </c>
      <c r="E855" s="242"/>
      <c r="F855">
        <v>1770.30004882812</v>
      </c>
      <c r="G855" t="b">
        <v>0</v>
      </c>
      <c r="H855" t="s">
        <v>15</v>
      </c>
    </row>
    <row r="856" spans="1:8">
      <c r="A856" t="s">
        <v>145</v>
      </c>
      <c r="B856" t="s">
        <v>87</v>
      </c>
      <c r="C856">
        <v>231</v>
      </c>
      <c r="D856" t="s">
        <v>147</v>
      </c>
      <c r="E856" s="242"/>
      <c r="F856">
        <v>1704.69995117187</v>
      </c>
      <c r="G856" t="b">
        <v>0</v>
      </c>
      <c r="H856" t="s">
        <v>15</v>
      </c>
    </row>
    <row r="857" spans="1:8">
      <c r="A857" t="s">
        <v>167</v>
      </c>
      <c r="B857" t="s">
        <v>87</v>
      </c>
      <c r="C857">
        <v>231</v>
      </c>
      <c r="D857" t="s">
        <v>147</v>
      </c>
      <c r="E857" s="242"/>
      <c r="F857">
        <v>1751.5</v>
      </c>
      <c r="G857" t="b">
        <v>0</v>
      </c>
      <c r="H857" t="s">
        <v>15</v>
      </c>
    </row>
    <row r="858" spans="1:8">
      <c r="A858" t="s">
        <v>153</v>
      </c>
      <c r="B858" t="s">
        <v>87</v>
      </c>
      <c r="C858">
        <v>231</v>
      </c>
      <c r="D858" t="s">
        <v>147</v>
      </c>
      <c r="E858" s="242"/>
      <c r="F858">
        <v>1435</v>
      </c>
      <c r="G858" t="b">
        <v>0</v>
      </c>
      <c r="H858" t="s">
        <v>15</v>
      </c>
    </row>
    <row r="859" spans="1:8">
      <c r="A859" t="s">
        <v>154</v>
      </c>
      <c r="B859" t="s">
        <v>87</v>
      </c>
      <c r="C859">
        <v>231</v>
      </c>
      <c r="D859" t="s">
        <v>147</v>
      </c>
      <c r="E859" s="242"/>
      <c r="F859">
        <v>2670.80004882812</v>
      </c>
      <c r="G859" t="b">
        <v>0</v>
      </c>
      <c r="H859" t="s">
        <v>15</v>
      </c>
    </row>
    <row r="860" spans="1:8">
      <c r="A860" t="s">
        <v>168</v>
      </c>
      <c r="B860" t="s">
        <v>87</v>
      </c>
      <c r="C860">
        <v>231</v>
      </c>
      <c r="D860" t="s">
        <v>147</v>
      </c>
      <c r="E860" s="242"/>
      <c r="F860">
        <v>5199.39990234375</v>
      </c>
      <c r="G860" t="b">
        <v>0</v>
      </c>
      <c r="H860" t="s">
        <v>15</v>
      </c>
    </row>
    <row r="861" spans="1:8">
      <c r="A861" t="s">
        <v>155</v>
      </c>
      <c r="B861" t="s">
        <v>87</v>
      </c>
      <c r="C861">
        <v>231</v>
      </c>
      <c r="D861" t="s">
        <v>147</v>
      </c>
      <c r="E861" s="242"/>
      <c r="F861">
        <v>4244.7998046875</v>
      </c>
      <c r="G861" t="b">
        <v>0</v>
      </c>
      <c r="H861" t="s">
        <v>15</v>
      </c>
    </row>
    <row r="862" spans="1:8">
      <c r="A862" t="s">
        <v>156</v>
      </c>
      <c r="B862" t="s">
        <v>87</v>
      </c>
      <c r="C862">
        <v>231</v>
      </c>
      <c r="D862" t="s">
        <v>147</v>
      </c>
      <c r="E862" s="242"/>
      <c r="F862">
        <v>4756.5</v>
      </c>
      <c r="G862" t="b">
        <v>0</v>
      </c>
      <c r="H862" t="s">
        <v>15</v>
      </c>
    </row>
    <row r="863" spans="1:8">
      <c r="A863" t="s">
        <v>157</v>
      </c>
      <c r="B863" t="s">
        <v>87</v>
      </c>
      <c r="C863">
        <v>231</v>
      </c>
      <c r="D863" t="s">
        <v>147</v>
      </c>
      <c r="E863" s="242"/>
      <c r="F863">
        <v>5081</v>
      </c>
      <c r="G863" t="b">
        <v>0</v>
      </c>
      <c r="H863" t="s">
        <v>15</v>
      </c>
    </row>
    <row r="864" spans="1:8">
      <c r="A864" t="s">
        <v>169</v>
      </c>
      <c r="B864" t="s">
        <v>87</v>
      </c>
      <c r="C864">
        <v>231</v>
      </c>
      <c r="D864" t="s">
        <v>147</v>
      </c>
      <c r="E864" s="242"/>
      <c r="F864">
        <v>1492.69995117187</v>
      </c>
      <c r="G864" t="b">
        <v>0</v>
      </c>
      <c r="H864" t="s">
        <v>15</v>
      </c>
    </row>
    <row r="865" spans="1:8">
      <c r="A865" t="s">
        <v>170</v>
      </c>
      <c r="B865" t="s">
        <v>87</v>
      </c>
      <c r="C865">
        <v>231</v>
      </c>
      <c r="D865" t="s">
        <v>147</v>
      </c>
      <c r="E865" s="242"/>
      <c r="F865">
        <v>1325.40002441406</v>
      </c>
      <c r="G865" t="b">
        <v>0</v>
      </c>
      <c r="H865" t="s">
        <v>15</v>
      </c>
    </row>
    <row r="866" spans="1:8">
      <c r="A866" t="s">
        <v>158</v>
      </c>
      <c r="B866" t="s">
        <v>87</v>
      </c>
      <c r="C866">
        <v>231</v>
      </c>
      <c r="D866" t="s">
        <v>147</v>
      </c>
      <c r="E866" s="242"/>
      <c r="F866">
        <v>5235.10009765625</v>
      </c>
      <c r="G866" t="b">
        <v>0</v>
      </c>
      <c r="H866" t="s">
        <v>15</v>
      </c>
    </row>
    <row r="867" spans="1:8">
      <c r="A867" t="s">
        <v>159</v>
      </c>
      <c r="B867" t="s">
        <v>87</v>
      </c>
      <c r="C867">
        <v>231</v>
      </c>
      <c r="D867" t="s">
        <v>147</v>
      </c>
      <c r="E867" s="242"/>
      <c r="F867">
        <v>3158.19995117187</v>
      </c>
      <c r="G867" t="b">
        <v>0</v>
      </c>
      <c r="H867" t="s">
        <v>15</v>
      </c>
    </row>
    <row r="868" spans="1:8">
      <c r="A868" t="s">
        <v>160</v>
      </c>
      <c r="B868" t="s">
        <v>87</v>
      </c>
      <c r="C868">
        <v>231</v>
      </c>
      <c r="D868" t="s">
        <v>147</v>
      </c>
      <c r="E868" s="242"/>
      <c r="F868">
        <v>2969.10009765625</v>
      </c>
      <c r="G868" t="b">
        <v>0</v>
      </c>
      <c r="H868" t="s">
        <v>15</v>
      </c>
    </row>
    <row r="869" spans="1:8">
      <c r="A869" t="s">
        <v>164</v>
      </c>
      <c r="B869" t="s">
        <v>87</v>
      </c>
      <c r="C869">
        <v>234</v>
      </c>
      <c r="D869" t="s">
        <v>147</v>
      </c>
      <c r="E869" s="242"/>
      <c r="F869">
        <v>5216.60009765625</v>
      </c>
      <c r="G869" t="b">
        <v>0</v>
      </c>
      <c r="H869" t="s">
        <v>15</v>
      </c>
    </row>
    <row r="870" spans="1:8">
      <c r="A870" t="s">
        <v>161</v>
      </c>
      <c r="B870" t="s">
        <v>87</v>
      </c>
      <c r="C870">
        <v>234</v>
      </c>
      <c r="D870" t="s">
        <v>147</v>
      </c>
      <c r="E870" s="242"/>
      <c r="F870">
        <v>7001</v>
      </c>
      <c r="G870" t="b">
        <v>0</v>
      </c>
      <c r="H870" t="s">
        <v>15</v>
      </c>
    </row>
    <row r="871" spans="1:8">
      <c r="A871" t="s">
        <v>165</v>
      </c>
      <c r="B871" t="s">
        <v>87</v>
      </c>
      <c r="C871">
        <v>234</v>
      </c>
      <c r="D871" t="s">
        <v>147</v>
      </c>
      <c r="E871" s="242"/>
      <c r="F871">
        <v>7703.7001953125</v>
      </c>
      <c r="G871" t="b">
        <v>0</v>
      </c>
      <c r="H871" t="s">
        <v>15</v>
      </c>
    </row>
    <row r="872" spans="1:8">
      <c r="A872" t="s">
        <v>148</v>
      </c>
      <c r="B872" t="s">
        <v>87</v>
      </c>
      <c r="C872">
        <v>234</v>
      </c>
      <c r="D872" t="s">
        <v>147</v>
      </c>
      <c r="E872" s="242"/>
      <c r="F872">
        <v>6703.39990234375</v>
      </c>
      <c r="G872" t="b">
        <v>0</v>
      </c>
      <c r="H872" t="s">
        <v>15</v>
      </c>
    </row>
    <row r="873" spans="1:8">
      <c r="A873" t="s">
        <v>162</v>
      </c>
      <c r="B873" t="s">
        <v>87</v>
      </c>
      <c r="C873">
        <v>234</v>
      </c>
      <c r="D873" t="s">
        <v>147</v>
      </c>
      <c r="E873" s="242"/>
      <c r="F873">
        <v>7383.10009765625</v>
      </c>
      <c r="G873" t="b">
        <v>0</v>
      </c>
      <c r="H873" t="s">
        <v>15</v>
      </c>
    </row>
    <row r="874" spans="1:8">
      <c r="A874" t="s">
        <v>163</v>
      </c>
      <c r="B874" t="s">
        <v>87</v>
      </c>
      <c r="C874">
        <v>234</v>
      </c>
      <c r="D874" t="s">
        <v>147</v>
      </c>
      <c r="E874" s="242"/>
      <c r="F874">
        <v>4812.2001953125</v>
      </c>
      <c r="G874" t="b">
        <v>0</v>
      </c>
      <c r="H874" t="s">
        <v>15</v>
      </c>
    </row>
    <row r="875" spans="1:8">
      <c r="A875" t="s">
        <v>166</v>
      </c>
      <c r="B875" t="s">
        <v>87</v>
      </c>
      <c r="C875">
        <v>234</v>
      </c>
      <c r="D875" t="s">
        <v>147</v>
      </c>
      <c r="E875" s="242"/>
      <c r="F875">
        <v>3340.19995117187</v>
      </c>
      <c r="G875" t="b">
        <v>0</v>
      </c>
      <c r="H875" t="s">
        <v>15</v>
      </c>
    </row>
    <row r="876" spans="1:8">
      <c r="A876" t="s">
        <v>149</v>
      </c>
      <c r="B876" t="s">
        <v>87</v>
      </c>
      <c r="C876">
        <v>234</v>
      </c>
      <c r="D876" t="s">
        <v>147</v>
      </c>
      <c r="E876" s="242"/>
      <c r="F876">
        <v>4953.7001953125</v>
      </c>
      <c r="G876" t="b">
        <v>0</v>
      </c>
      <c r="H876" t="s">
        <v>15</v>
      </c>
    </row>
    <row r="877" spans="1:8">
      <c r="A877" t="s">
        <v>150</v>
      </c>
      <c r="B877" t="s">
        <v>87</v>
      </c>
      <c r="C877">
        <v>234</v>
      </c>
      <c r="D877" t="s">
        <v>147</v>
      </c>
      <c r="E877" s="242"/>
      <c r="F877">
        <v>3985</v>
      </c>
      <c r="G877" t="b">
        <v>0</v>
      </c>
      <c r="H877" t="s">
        <v>15</v>
      </c>
    </row>
    <row r="878" spans="1:8">
      <c r="A878" t="s">
        <v>151</v>
      </c>
      <c r="B878" t="s">
        <v>87</v>
      </c>
      <c r="C878">
        <v>234</v>
      </c>
      <c r="D878" t="s">
        <v>147</v>
      </c>
      <c r="E878" s="242"/>
      <c r="F878">
        <v>1781.80004882812</v>
      </c>
      <c r="G878" t="b">
        <v>0</v>
      </c>
      <c r="H878" t="s">
        <v>15</v>
      </c>
    </row>
    <row r="879" spans="1:8">
      <c r="A879" t="s">
        <v>152</v>
      </c>
      <c r="B879" t="s">
        <v>87</v>
      </c>
      <c r="C879">
        <v>234</v>
      </c>
      <c r="D879" t="s">
        <v>147</v>
      </c>
      <c r="E879" s="242"/>
      <c r="F879">
        <v>1770.30004882812</v>
      </c>
      <c r="G879" t="b">
        <v>0</v>
      </c>
      <c r="H879" t="s">
        <v>15</v>
      </c>
    </row>
    <row r="880" spans="1:8">
      <c r="A880" t="s">
        <v>145</v>
      </c>
      <c r="B880" t="s">
        <v>87</v>
      </c>
      <c r="C880">
        <v>234</v>
      </c>
      <c r="D880" t="s">
        <v>147</v>
      </c>
      <c r="E880" s="242"/>
      <c r="F880">
        <v>1704.69995117187</v>
      </c>
      <c r="G880" t="b">
        <v>0</v>
      </c>
      <c r="H880" t="s">
        <v>15</v>
      </c>
    </row>
    <row r="881" spans="1:8">
      <c r="A881" t="s">
        <v>167</v>
      </c>
      <c r="B881" t="s">
        <v>87</v>
      </c>
      <c r="C881">
        <v>234</v>
      </c>
      <c r="D881" t="s">
        <v>147</v>
      </c>
      <c r="E881" s="242"/>
      <c r="F881">
        <v>1751.5</v>
      </c>
      <c r="G881" t="b">
        <v>0</v>
      </c>
      <c r="H881" t="s">
        <v>15</v>
      </c>
    </row>
    <row r="882" spans="1:8">
      <c r="A882" t="s">
        <v>153</v>
      </c>
      <c r="B882" t="s">
        <v>87</v>
      </c>
      <c r="C882">
        <v>234</v>
      </c>
      <c r="D882" t="s">
        <v>147</v>
      </c>
      <c r="E882" s="242"/>
      <c r="F882">
        <v>1435</v>
      </c>
      <c r="G882" t="b">
        <v>0</v>
      </c>
      <c r="H882" t="s">
        <v>15</v>
      </c>
    </row>
    <row r="883" spans="1:8">
      <c r="A883" t="s">
        <v>154</v>
      </c>
      <c r="B883" t="s">
        <v>87</v>
      </c>
      <c r="C883">
        <v>234</v>
      </c>
      <c r="D883" t="s">
        <v>147</v>
      </c>
      <c r="E883" s="242"/>
      <c r="F883">
        <v>2670.80004882812</v>
      </c>
      <c r="G883" t="b">
        <v>0</v>
      </c>
      <c r="H883" t="s">
        <v>15</v>
      </c>
    </row>
    <row r="884" spans="1:8">
      <c r="A884" t="s">
        <v>168</v>
      </c>
      <c r="B884" t="s">
        <v>87</v>
      </c>
      <c r="C884">
        <v>234</v>
      </c>
      <c r="D884" t="s">
        <v>147</v>
      </c>
      <c r="E884" s="242"/>
      <c r="F884">
        <v>5199.39990234375</v>
      </c>
      <c r="G884" t="b">
        <v>0</v>
      </c>
      <c r="H884" t="s">
        <v>15</v>
      </c>
    </row>
    <row r="885" spans="1:8">
      <c r="A885" t="s">
        <v>155</v>
      </c>
      <c r="B885" t="s">
        <v>87</v>
      </c>
      <c r="C885">
        <v>234</v>
      </c>
      <c r="D885" t="s">
        <v>147</v>
      </c>
      <c r="E885" s="242"/>
      <c r="F885">
        <v>4244.7998046875</v>
      </c>
      <c r="G885" t="b">
        <v>0</v>
      </c>
      <c r="H885" t="s">
        <v>15</v>
      </c>
    </row>
    <row r="886" spans="1:8">
      <c r="A886" t="s">
        <v>156</v>
      </c>
      <c r="B886" t="s">
        <v>87</v>
      </c>
      <c r="C886">
        <v>234</v>
      </c>
      <c r="D886" t="s">
        <v>147</v>
      </c>
      <c r="E886" s="242"/>
      <c r="F886">
        <v>4756.5</v>
      </c>
      <c r="G886" t="b">
        <v>0</v>
      </c>
      <c r="H886" t="s">
        <v>15</v>
      </c>
    </row>
    <row r="887" spans="1:8">
      <c r="A887" t="s">
        <v>157</v>
      </c>
      <c r="B887" t="s">
        <v>87</v>
      </c>
      <c r="C887">
        <v>234</v>
      </c>
      <c r="D887" t="s">
        <v>147</v>
      </c>
      <c r="E887" s="242"/>
      <c r="F887">
        <v>5081</v>
      </c>
      <c r="G887" t="b">
        <v>0</v>
      </c>
      <c r="H887" t="s">
        <v>15</v>
      </c>
    </row>
    <row r="888" spans="1:8">
      <c r="A888" t="s">
        <v>169</v>
      </c>
      <c r="B888" t="s">
        <v>87</v>
      </c>
      <c r="C888">
        <v>234</v>
      </c>
      <c r="D888" t="s">
        <v>147</v>
      </c>
      <c r="E888" s="242"/>
      <c r="F888">
        <v>1492.69995117187</v>
      </c>
      <c r="G888" t="b">
        <v>0</v>
      </c>
      <c r="H888" t="s">
        <v>15</v>
      </c>
    </row>
    <row r="889" spans="1:8">
      <c r="A889" t="s">
        <v>170</v>
      </c>
      <c r="B889" t="s">
        <v>87</v>
      </c>
      <c r="C889">
        <v>234</v>
      </c>
      <c r="D889" t="s">
        <v>147</v>
      </c>
      <c r="E889" s="242"/>
      <c r="F889">
        <v>1325.40002441406</v>
      </c>
      <c r="G889" t="b">
        <v>0</v>
      </c>
      <c r="H889" t="s">
        <v>15</v>
      </c>
    </row>
    <row r="890" spans="1:8">
      <c r="A890" t="s">
        <v>158</v>
      </c>
      <c r="B890" t="s">
        <v>87</v>
      </c>
      <c r="C890">
        <v>234</v>
      </c>
      <c r="D890" t="s">
        <v>147</v>
      </c>
      <c r="E890" s="242"/>
      <c r="F890">
        <v>5235.10009765625</v>
      </c>
      <c r="G890" t="b">
        <v>0</v>
      </c>
      <c r="H890" t="s">
        <v>15</v>
      </c>
    </row>
    <row r="891" spans="1:8">
      <c r="A891" t="s">
        <v>159</v>
      </c>
      <c r="B891" t="s">
        <v>87</v>
      </c>
      <c r="C891">
        <v>234</v>
      </c>
      <c r="D891" t="s">
        <v>147</v>
      </c>
      <c r="E891" s="242"/>
      <c r="F891">
        <v>3158.19995117187</v>
      </c>
      <c r="G891" t="b">
        <v>0</v>
      </c>
      <c r="H891" t="s">
        <v>15</v>
      </c>
    </row>
    <row r="892" spans="1:8">
      <c r="A892" t="s">
        <v>160</v>
      </c>
      <c r="B892" t="s">
        <v>87</v>
      </c>
      <c r="C892">
        <v>234</v>
      </c>
      <c r="D892" t="s">
        <v>147</v>
      </c>
      <c r="E892" s="242"/>
      <c r="F892">
        <v>2969.10009765625</v>
      </c>
      <c r="G892" t="b">
        <v>0</v>
      </c>
      <c r="H892" t="s">
        <v>15</v>
      </c>
    </row>
    <row r="893" spans="1:8">
      <c r="A893" t="s">
        <v>164</v>
      </c>
      <c r="B893" t="s">
        <v>87</v>
      </c>
      <c r="C893">
        <v>260</v>
      </c>
      <c r="D893" t="s">
        <v>146</v>
      </c>
      <c r="E893" s="242">
        <v>42068.481249999997</v>
      </c>
      <c r="F893">
        <v>0</v>
      </c>
      <c r="G893" t="b">
        <v>0</v>
      </c>
      <c r="H893" t="s">
        <v>15</v>
      </c>
    </row>
    <row r="894" spans="1:8">
      <c r="A894" t="s">
        <v>161</v>
      </c>
      <c r="B894" t="s">
        <v>87</v>
      </c>
      <c r="C894">
        <v>260</v>
      </c>
      <c r="D894" t="s">
        <v>146</v>
      </c>
      <c r="E894" s="242">
        <v>42074</v>
      </c>
      <c r="F894">
        <v>0</v>
      </c>
      <c r="G894" t="b">
        <v>0</v>
      </c>
      <c r="H894" t="s">
        <v>15</v>
      </c>
    </row>
    <row r="895" spans="1:8">
      <c r="A895" t="s">
        <v>165</v>
      </c>
      <c r="B895" t="s">
        <v>87</v>
      </c>
      <c r="C895">
        <v>260</v>
      </c>
      <c r="D895" t="s">
        <v>146</v>
      </c>
      <c r="E895" s="242">
        <v>41969</v>
      </c>
      <c r="F895">
        <v>0</v>
      </c>
      <c r="G895" t="b">
        <v>0</v>
      </c>
      <c r="H895" t="s">
        <v>15</v>
      </c>
    </row>
    <row r="896" spans="1:8">
      <c r="A896" t="s">
        <v>162</v>
      </c>
      <c r="B896" t="s">
        <v>87</v>
      </c>
      <c r="C896">
        <v>260</v>
      </c>
      <c r="D896" t="s">
        <v>146</v>
      </c>
      <c r="E896" s="242">
        <v>42038.350694444445</v>
      </c>
      <c r="F896">
        <v>0</v>
      </c>
      <c r="G896" t="b">
        <v>0</v>
      </c>
      <c r="H896" t="s">
        <v>15</v>
      </c>
    </row>
    <row r="897" spans="1:8">
      <c r="A897" t="s">
        <v>163</v>
      </c>
      <c r="B897" t="s">
        <v>87</v>
      </c>
      <c r="C897">
        <v>260</v>
      </c>
      <c r="D897" t="s">
        <v>146</v>
      </c>
      <c r="E897" s="242">
        <v>42053.390972222223</v>
      </c>
      <c r="F897">
        <v>0</v>
      </c>
      <c r="G897" t="b">
        <v>0</v>
      </c>
      <c r="H897" t="s">
        <v>15</v>
      </c>
    </row>
    <row r="898" spans="1:8">
      <c r="A898" t="s">
        <v>166</v>
      </c>
      <c r="B898" t="s">
        <v>87</v>
      </c>
      <c r="C898">
        <v>260</v>
      </c>
      <c r="D898" t="s">
        <v>146</v>
      </c>
      <c r="E898" s="242">
        <v>41872</v>
      </c>
      <c r="F898">
        <v>0</v>
      </c>
      <c r="G898" t="b">
        <v>0</v>
      </c>
      <c r="H898" t="s">
        <v>15</v>
      </c>
    </row>
    <row r="899" spans="1:8">
      <c r="A899" t="s">
        <v>149</v>
      </c>
      <c r="B899" t="s">
        <v>87</v>
      </c>
      <c r="C899">
        <v>260</v>
      </c>
      <c r="D899" t="s">
        <v>146</v>
      </c>
      <c r="E899" s="242">
        <v>41961.570138888892</v>
      </c>
      <c r="F899">
        <v>0</v>
      </c>
      <c r="G899" t="b">
        <v>0</v>
      </c>
      <c r="H899" t="s">
        <v>15</v>
      </c>
    </row>
    <row r="900" spans="1:8">
      <c r="A900" t="s">
        <v>150</v>
      </c>
      <c r="B900" t="s">
        <v>87</v>
      </c>
      <c r="C900">
        <v>260</v>
      </c>
      <c r="D900" t="s">
        <v>146</v>
      </c>
      <c r="E900" s="242">
        <v>41968</v>
      </c>
      <c r="F900">
        <v>0</v>
      </c>
      <c r="G900" t="b">
        <v>0</v>
      </c>
      <c r="H900" t="s">
        <v>15</v>
      </c>
    </row>
    <row r="901" spans="1:8">
      <c r="A901" t="s">
        <v>151</v>
      </c>
      <c r="B901" t="s">
        <v>87</v>
      </c>
      <c r="C901">
        <v>260</v>
      </c>
      <c r="D901" t="s">
        <v>146</v>
      </c>
      <c r="E901" s="242">
        <v>41983</v>
      </c>
      <c r="F901">
        <v>0</v>
      </c>
      <c r="G901" t="b">
        <v>0</v>
      </c>
      <c r="H901" t="s">
        <v>15</v>
      </c>
    </row>
    <row r="902" spans="1:8">
      <c r="A902" t="s">
        <v>152</v>
      </c>
      <c r="B902" t="s">
        <v>87</v>
      </c>
      <c r="C902">
        <v>260</v>
      </c>
      <c r="D902" t="s">
        <v>146</v>
      </c>
      <c r="E902" s="242">
        <v>41964</v>
      </c>
      <c r="F902">
        <v>0</v>
      </c>
      <c r="G902" t="b">
        <v>0</v>
      </c>
      <c r="H902" t="s">
        <v>15</v>
      </c>
    </row>
    <row r="903" spans="1:8">
      <c r="A903" t="s">
        <v>145</v>
      </c>
      <c r="B903" t="s">
        <v>87</v>
      </c>
      <c r="C903">
        <v>260</v>
      </c>
      <c r="D903" t="s">
        <v>146</v>
      </c>
      <c r="E903" s="242">
        <v>41969</v>
      </c>
      <c r="F903">
        <v>0</v>
      </c>
      <c r="G903" t="b">
        <v>0</v>
      </c>
      <c r="H903" t="s">
        <v>15</v>
      </c>
    </row>
    <row r="904" spans="1:8">
      <c r="A904" t="s">
        <v>167</v>
      </c>
      <c r="B904" t="s">
        <v>87</v>
      </c>
      <c r="C904">
        <v>260</v>
      </c>
      <c r="D904" t="s">
        <v>146</v>
      </c>
      <c r="E904" s="242">
        <v>42093.838888888888</v>
      </c>
      <c r="F904">
        <v>0</v>
      </c>
      <c r="G904" t="b">
        <v>0</v>
      </c>
      <c r="H904" t="s">
        <v>15</v>
      </c>
    </row>
    <row r="905" spans="1:8">
      <c r="A905" t="s">
        <v>153</v>
      </c>
      <c r="B905" t="s">
        <v>87</v>
      </c>
      <c r="C905">
        <v>260</v>
      </c>
      <c r="D905" t="s">
        <v>146</v>
      </c>
      <c r="E905" s="242">
        <v>41982.475694444445</v>
      </c>
      <c r="F905">
        <v>0</v>
      </c>
      <c r="G905" t="b">
        <v>0</v>
      </c>
      <c r="H905" t="s">
        <v>15</v>
      </c>
    </row>
    <row r="906" spans="1:8">
      <c r="A906" t="s">
        <v>154</v>
      </c>
      <c r="B906" t="s">
        <v>87</v>
      </c>
      <c r="C906">
        <v>260</v>
      </c>
      <c r="D906" t="s">
        <v>146</v>
      </c>
      <c r="E906" s="242">
        <v>41978.463888888888</v>
      </c>
      <c r="F906">
        <v>0</v>
      </c>
      <c r="G906" t="b">
        <v>0</v>
      </c>
      <c r="H906" t="s">
        <v>15</v>
      </c>
    </row>
    <row r="907" spans="1:8">
      <c r="A907" t="s">
        <v>168</v>
      </c>
      <c r="B907" t="s">
        <v>87</v>
      </c>
      <c r="C907">
        <v>260</v>
      </c>
      <c r="D907" t="s">
        <v>146</v>
      </c>
      <c r="E907" s="242">
        <v>42074.69027777778</v>
      </c>
      <c r="F907">
        <v>0</v>
      </c>
      <c r="G907" t="b">
        <v>0</v>
      </c>
      <c r="H907" t="s">
        <v>15</v>
      </c>
    </row>
    <row r="908" spans="1:8">
      <c r="A908" t="s">
        <v>155</v>
      </c>
      <c r="B908" t="s">
        <v>87</v>
      </c>
      <c r="C908">
        <v>260</v>
      </c>
      <c r="D908" t="s">
        <v>146</v>
      </c>
      <c r="E908" s="242">
        <v>42036.530555555553</v>
      </c>
      <c r="F908">
        <v>0</v>
      </c>
      <c r="G908" t="b">
        <v>0</v>
      </c>
      <c r="H908" t="s">
        <v>15</v>
      </c>
    </row>
    <row r="909" spans="1:8">
      <c r="A909" t="s">
        <v>156</v>
      </c>
      <c r="B909" t="s">
        <v>87</v>
      </c>
      <c r="C909">
        <v>260</v>
      </c>
      <c r="D909" t="s">
        <v>146</v>
      </c>
      <c r="E909" s="242">
        <v>42026</v>
      </c>
      <c r="F909">
        <v>0</v>
      </c>
      <c r="G909" t="b">
        <v>0</v>
      </c>
      <c r="H909" t="s">
        <v>15</v>
      </c>
    </row>
    <row r="910" spans="1:8">
      <c r="A910" t="s">
        <v>157</v>
      </c>
      <c r="B910" t="s">
        <v>87</v>
      </c>
      <c r="C910">
        <v>260</v>
      </c>
      <c r="D910" t="s">
        <v>146</v>
      </c>
      <c r="E910" s="242">
        <v>41999</v>
      </c>
      <c r="F910">
        <v>0</v>
      </c>
      <c r="G910" t="b">
        <v>0</v>
      </c>
      <c r="H910" t="s">
        <v>15</v>
      </c>
    </row>
    <row r="911" spans="1:8">
      <c r="A911" t="s">
        <v>169</v>
      </c>
      <c r="B911" t="s">
        <v>87</v>
      </c>
      <c r="C911">
        <v>260</v>
      </c>
      <c r="D911" t="s">
        <v>146</v>
      </c>
      <c r="E911" s="242">
        <v>41894</v>
      </c>
      <c r="F911">
        <v>0</v>
      </c>
      <c r="G911" t="b">
        <v>0</v>
      </c>
      <c r="H911" t="s">
        <v>15</v>
      </c>
    </row>
    <row r="912" spans="1:8">
      <c r="A912" t="s">
        <v>170</v>
      </c>
      <c r="B912" t="s">
        <v>87</v>
      </c>
      <c r="C912">
        <v>260</v>
      </c>
      <c r="D912" t="s">
        <v>146</v>
      </c>
      <c r="E912" s="242">
        <v>41969</v>
      </c>
      <c r="F912">
        <v>0</v>
      </c>
      <c r="G912" t="b">
        <v>0</v>
      </c>
      <c r="H912" t="s">
        <v>15</v>
      </c>
    </row>
    <row r="913" spans="1:8">
      <c r="A913" t="s">
        <v>158</v>
      </c>
      <c r="B913" t="s">
        <v>87</v>
      </c>
      <c r="C913">
        <v>260</v>
      </c>
      <c r="D913" t="s">
        <v>146</v>
      </c>
      <c r="E913" s="242">
        <v>41963.5625</v>
      </c>
      <c r="F913">
        <v>0</v>
      </c>
      <c r="G913" t="b">
        <v>0</v>
      </c>
      <c r="H913" t="s">
        <v>15</v>
      </c>
    </row>
    <row r="914" spans="1:8">
      <c r="A914" t="s">
        <v>159</v>
      </c>
      <c r="B914" t="s">
        <v>87</v>
      </c>
      <c r="C914">
        <v>260</v>
      </c>
      <c r="D914" t="s">
        <v>146</v>
      </c>
      <c r="E914" s="242">
        <v>41933.657638888886</v>
      </c>
      <c r="F914">
        <v>0</v>
      </c>
      <c r="G914" t="b">
        <v>0</v>
      </c>
      <c r="H914" t="s">
        <v>15</v>
      </c>
    </row>
    <row r="915" spans="1:8">
      <c r="A915" t="s">
        <v>160</v>
      </c>
      <c r="B915" t="s">
        <v>87</v>
      </c>
      <c r="C915">
        <v>260</v>
      </c>
      <c r="D915" t="s">
        <v>146</v>
      </c>
      <c r="E915" s="242">
        <v>41961</v>
      </c>
      <c r="F915">
        <v>0</v>
      </c>
      <c r="G915" t="b">
        <v>0</v>
      </c>
      <c r="H915" t="s">
        <v>15</v>
      </c>
    </row>
    <row r="916" spans="1:8">
      <c r="A916" t="s">
        <v>164</v>
      </c>
      <c r="B916" t="s">
        <v>87</v>
      </c>
      <c r="C916">
        <v>260</v>
      </c>
      <c r="D916" t="s">
        <v>147</v>
      </c>
      <c r="E916" s="242"/>
      <c r="F916">
        <v>5416</v>
      </c>
      <c r="G916" t="b">
        <v>0</v>
      </c>
      <c r="H916" t="s">
        <v>15</v>
      </c>
    </row>
    <row r="917" spans="1:8">
      <c r="A917" t="s">
        <v>161</v>
      </c>
      <c r="B917" t="s">
        <v>87</v>
      </c>
      <c r="C917">
        <v>260</v>
      </c>
      <c r="D917" t="s">
        <v>147</v>
      </c>
      <c r="E917" s="242"/>
      <c r="F917">
        <v>7126</v>
      </c>
      <c r="G917" t="b">
        <v>0</v>
      </c>
      <c r="H917" t="s">
        <v>15</v>
      </c>
    </row>
    <row r="918" spans="1:8">
      <c r="A918" t="s">
        <v>165</v>
      </c>
      <c r="B918" t="s">
        <v>87</v>
      </c>
      <c r="C918">
        <v>260</v>
      </c>
      <c r="D918" t="s">
        <v>147</v>
      </c>
      <c r="E918" s="242"/>
      <c r="F918">
        <v>7749.89990234375</v>
      </c>
      <c r="G918" t="b">
        <v>0</v>
      </c>
      <c r="H918" t="s">
        <v>15</v>
      </c>
    </row>
    <row r="919" spans="1:8">
      <c r="A919" t="s">
        <v>148</v>
      </c>
      <c r="B919" t="s">
        <v>87</v>
      </c>
      <c r="C919">
        <v>260</v>
      </c>
      <c r="D919" t="s">
        <v>147</v>
      </c>
      <c r="E919" s="242"/>
      <c r="F919">
        <v>6703.39990234375</v>
      </c>
      <c r="G919" t="b">
        <v>0</v>
      </c>
      <c r="H919" t="s">
        <v>15</v>
      </c>
    </row>
    <row r="920" spans="1:8">
      <c r="A920" t="s">
        <v>162</v>
      </c>
      <c r="B920" t="s">
        <v>87</v>
      </c>
      <c r="C920">
        <v>260</v>
      </c>
      <c r="D920" t="s">
        <v>147</v>
      </c>
      <c r="E920" s="242"/>
      <c r="F920">
        <v>7445.60009765625</v>
      </c>
      <c r="G920" t="b">
        <v>0</v>
      </c>
      <c r="H920" t="s">
        <v>15</v>
      </c>
    </row>
    <row r="921" spans="1:8">
      <c r="A921" t="s">
        <v>163</v>
      </c>
      <c r="B921" t="s">
        <v>87</v>
      </c>
      <c r="C921">
        <v>260</v>
      </c>
      <c r="D921" t="s">
        <v>147</v>
      </c>
      <c r="E921" s="242"/>
      <c r="F921">
        <v>4812.2001953125</v>
      </c>
      <c r="G921" t="b">
        <v>0</v>
      </c>
      <c r="H921" t="s">
        <v>15</v>
      </c>
    </row>
    <row r="922" spans="1:8">
      <c r="A922" t="s">
        <v>166</v>
      </c>
      <c r="B922" t="s">
        <v>87</v>
      </c>
      <c r="C922">
        <v>260</v>
      </c>
      <c r="D922" t="s">
        <v>147</v>
      </c>
      <c r="E922" s="242"/>
      <c r="F922">
        <v>3465.19995117187</v>
      </c>
      <c r="G922" t="b">
        <v>0</v>
      </c>
      <c r="H922" t="s">
        <v>15</v>
      </c>
    </row>
    <row r="923" spans="1:8">
      <c r="A923" t="s">
        <v>149</v>
      </c>
      <c r="B923" t="s">
        <v>87</v>
      </c>
      <c r="C923">
        <v>260</v>
      </c>
      <c r="D923" t="s">
        <v>147</v>
      </c>
      <c r="E923" s="242"/>
      <c r="F923">
        <v>5080</v>
      </c>
      <c r="G923" t="b">
        <v>0</v>
      </c>
      <c r="H923" t="s">
        <v>15</v>
      </c>
    </row>
    <row r="924" spans="1:8">
      <c r="A924" t="s">
        <v>150</v>
      </c>
      <c r="B924" t="s">
        <v>87</v>
      </c>
      <c r="C924">
        <v>260</v>
      </c>
      <c r="D924" t="s">
        <v>147</v>
      </c>
      <c r="E924" s="242"/>
      <c r="F924">
        <v>3985</v>
      </c>
      <c r="G924" t="b">
        <v>0</v>
      </c>
      <c r="H924" t="s">
        <v>15</v>
      </c>
    </row>
    <row r="925" spans="1:8">
      <c r="A925" t="s">
        <v>151</v>
      </c>
      <c r="B925" t="s">
        <v>87</v>
      </c>
      <c r="C925">
        <v>260</v>
      </c>
      <c r="D925" t="s">
        <v>147</v>
      </c>
      <c r="E925" s="242"/>
      <c r="F925">
        <v>1931.59997558593</v>
      </c>
      <c r="G925" t="b">
        <v>0</v>
      </c>
      <c r="H925" t="s">
        <v>15</v>
      </c>
    </row>
    <row r="926" spans="1:8">
      <c r="A926" t="s">
        <v>152</v>
      </c>
      <c r="B926" t="s">
        <v>87</v>
      </c>
      <c r="C926">
        <v>260</v>
      </c>
      <c r="D926" t="s">
        <v>147</v>
      </c>
      <c r="E926" s="242"/>
      <c r="F926">
        <v>1770.30004882812</v>
      </c>
      <c r="G926" t="b">
        <v>0</v>
      </c>
      <c r="H926" t="s">
        <v>15</v>
      </c>
    </row>
    <row r="927" spans="1:8">
      <c r="A927" t="s">
        <v>145</v>
      </c>
      <c r="B927" t="s">
        <v>87</v>
      </c>
      <c r="C927">
        <v>260</v>
      </c>
      <c r="D927" t="s">
        <v>147</v>
      </c>
      <c r="E927" s="242"/>
      <c r="F927">
        <v>1714.09997558593</v>
      </c>
      <c r="G927" t="b">
        <v>0</v>
      </c>
      <c r="H927" t="s">
        <v>15</v>
      </c>
    </row>
    <row r="928" spans="1:8">
      <c r="A928" t="s">
        <v>167</v>
      </c>
      <c r="B928" t="s">
        <v>87</v>
      </c>
      <c r="C928">
        <v>260</v>
      </c>
      <c r="D928" t="s">
        <v>147</v>
      </c>
      <c r="E928" s="242"/>
      <c r="F928">
        <v>1944.40002441406</v>
      </c>
      <c r="G928" t="b">
        <v>0</v>
      </c>
      <c r="H928" t="s">
        <v>15</v>
      </c>
    </row>
    <row r="929" spans="1:8">
      <c r="A929" t="s">
        <v>153</v>
      </c>
      <c r="B929" t="s">
        <v>87</v>
      </c>
      <c r="C929">
        <v>260</v>
      </c>
      <c r="D929" t="s">
        <v>147</v>
      </c>
      <c r="E929" s="242"/>
      <c r="F929">
        <v>1560</v>
      </c>
      <c r="G929" t="b">
        <v>0</v>
      </c>
      <c r="H929" t="s">
        <v>15</v>
      </c>
    </row>
    <row r="930" spans="1:8">
      <c r="A930" t="s">
        <v>154</v>
      </c>
      <c r="B930" t="s">
        <v>87</v>
      </c>
      <c r="C930">
        <v>260</v>
      </c>
      <c r="D930" t="s">
        <v>147</v>
      </c>
      <c r="E930" s="242"/>
      <c r="F930">
        <v>2795.80004882812</v>
      </c>
      <c r="G930" t="b">
        <v>0</v>
      </c>
      <c r="H930" t="s">
        <v>15</v>
      </c>
    </row>
    <row r="931" spans="1:8">
      <c r="A931" t="s">
        <v>168</v>
      </c>
      <c r="B931" t="s">
        <v>87</v>
      </c>
      <c r="C931">
        <v>260</v>
      </c>
      <c r="D931" t="s">
        <v>147</v>
      </c>
      <c r="E931" s="242"/>
      <c r="F931">
        <v>5288.7998046875</v>
      </c>
      <c r="G931" t="b">
        <v>0</v>
      </c>
      <c r="H931" t="s">
        <v>15</v>
      </c>
    </row>
    <row r="932" spans="1:8">
      <c r="A932" t="s">
        <v>155</v>
      </c>
      <c r="B932" t="s">
        <v>87</v>
      </c>
      <c r="C932">
        <v>260</v>
      </c>
      <c r="D932" t="s">
        <v>147</v>
      </c>
      <c r="E932" s="242"/>
      <c r="F932">
        <v>4369.7998046875</v>
      </c>
      <c r="G932" t="b">
        <v>0</v>
      </c>
      <c r="H932" t="s">
        <v>15</v>
      </c>
    </row>
    <row r="933" spans="1:8">
      <c r="A933" t="s">
        <v>156</v>
      </c>
      <c r="B933" t="s">
        <v>87</v>
      </c>
      <c r="C933">
        <v>260</v>
      </c>
      <c r="D933" t="s">
        <v>147</v>
      </c>
      <c r="E933" s="242"/>
      <c r="F933">
        <v>4756.5</v>
      </c>
      <c r="G933" t="b">
        <v>0</v>
      </c>
      <c r="H933" t="s">
        <v>15</v>
      </c>
    </row>
    <row r="934" spans="1:8">
      <c r="A934" t="s">
        <v>157</v>
      </c>
      <c r="B934" t="s">
        <v>87</v>
      </c>
      <c r="C934">
        <v>260</v>
      </c>
      <c r="D934" t="s">
        <v>147</v>
      </c>
      <c r="E934" s="242"/>
      <c r="F934">
        <v>5242.60009765625</v>
      </c>
      <c r="G934" t="b">
        <v>0</v>
      </c>
      <c r="H934" t="s">
        <v>15</v>
      </c>
    </row>
    <row r="935" spans="1:8">
      <c r="A935" t="s">
        <v>169</v>
      </c>
      <c r="B935" t="s">
        <v>87</v>
      </c>
      <c r="C935">
        <v>260</v>
      </c>
      <c r="D935" t="s">
        <v>147</v>
      </c>
      <c r="E935" s="242"/>
      <c r="F935">
        <v>1510.5</v>
      </c>
      <c r="G935" t="b">
        <v>0</v>
      </c>
      <c r="H935" t="s">
        <v>15</v>
      </c>
    </row>
    <row r="936" spans="1:8">
      <c r="A936" t="s">
        <v>170</v>
      </c>
      <c r="B936" t="s">
        <v>87</v>
      </c>
      <c r="C936">
        <v>260</v>
      </c>
      <c r="D936" t="s">
        <v>147</v>
      </c>
      <c r="E936" s="242"/>
      <c r="F936">
        <v>1453.59997558593</v>
      </c>
      <c r="G936" t="b">
        <v>0</v>
      </c>
      <c r="H936" t="s">
        <v>15</v>
      </c>
    </row>
    <row r="937" spans="1:8">
      <c r="A937" t="s">
        <v>158</v>
      </c>
      <c r="B937" t="s">
        <v>87</v>
      </c>
      <c r="C937">
        <v>260</v>
      </c>
      <c r="D937" t="s">
        <v>147</v>
      </c>
      <c r="E937" s="242"/>
      <c r="F937">
        <v>5360.10009765625</v>
      </c>
      <c r="G937" t="b">
        <v>0</v>
      </c>
      <c r="H937" t="s">
        <v>15</v>
      </c>
    </row>
    <row r="938" spans="1:8">
      <c r="A938" t="s">
        <v>159</v>
      </c>
      <c r="B938" t="s">
        <v>87</v>
      </c>
      <c r="C938">
        <v>260</v>
      </c>
      <c r="D938" t="s">
        <v>147</v>
      </c>
      <c r="E938" s="242"/>
      <c r="F938">
        <v>3155</v>
      </c>
      <c r="G938" t="b">
        <v>0</v>
      </c>
      <c r="H938" t="s">
        <v>15</v>
      </c>
    </row>
    <row r="939" spans="1:8">
      <c r="A939" t="s">
        <v>160</v>
      </c>
      <c r="B939" t="s">
        <v>87</v>
      </c>
      <c r="C939">
        <v>260</v>
      </c>
      <c r="D939" t="s">
        <v>147</v>
      </c>
      <c r="E939" s="242"/>
      <c r="F939">
        <v>2969.10009765625</v>
      </c>
      <c r="G939" t="b">
        <v>0</v>
      </c>
      <c r="H939" t="s">
        <v>15</v>
      </c>
    </row>
    <row r="940" spans="1:8">
      <c r="A940" t="s">
        <v>164</v>
      </c>
      <c r="B940" t="s">
        <v>87</v>
      </c>
      <c r="C940">
        <v>261</v>
      </c>
      <c r="D940" t="s">
        <v>146</v>
      </c>
      <c r="E940" s="242">
        <v>42038.625694444447</v>
      </c>
      <c r="F940">
        <v>0</v>
      </c>
      <c r="G940" t="b">
        <v>0</v>
      </c>
      <c r="H940" t="s">
        <v>15</v>
      </c>
    </row>
    <row r="941" spans="1:8">
      <c r="A941" t="s">
        <v>161</v>
      </c>
      <c r="B941" t="s">
        <v>87</v>
      </c>
      <c r="C941">
        <v>261</v>
      </c>
      <c r="D941" t="s">
        <v>146</v>
      </c>
      <c r="E941" s="242">
        <v>41935.375694444447</v>
      </c>
      <c r="F941">
        <v>0</v>
      </c>
      <c r="G941" t="b">
        <v>0</v>
      </c>
      <c r="H941" t="s">
        <v>15</v>
      </c>
    </row>
    <row r="942" spans="1:8">
      <c r="A942" t="s">
        <v>165</v>
      </c>
      <c r="B942" t="s">
        <v>87</v>
      </c>
      <c r="C942">
        <v>261</v>
      </c>
      <c r="D942" t="s">
        <v>146</v>
      </c>
      <c r="E942" s="242">
        <v>41969</v>
      </c>
      <c r="F942">
        <v>0</v>
      </c>
      <c r="G942" t="b">
        <v>0</v>
      </c>
      <c r="H942" t="s">
        <v>15</v>
      </c>
    </row>
    <row r="943" spans="1:8">
      <c r="A943" t="s">
        <v>162</v>
      </c>
      <c r="B943" t="s">
        <v>87</v>
      </c>
      <c r="C943">
        <v>261</v>
      </c>
      <c r="D943" t="s">
        <v>146</v>
      </c>
      <c r="E943" s="242">
        <v>42010</v>
      </c>
      <c r="F943">
        <v>0</v>
      </c>
      <c r="G943" t="b">
        <v>0</v>
      </c>
      <c r="H943" t="s">
        <v>15</v>
      </c>
    </row>
    <row r="944" spans="1:8">
      <c r="A944" t="s">
        <v>163</v>
      </c>
      <c r="B944" t="s">
        <v>87</v>
      </c>
      <c r="C944">
        <v>261</v>
      </c>
      <c r="D944" t="s">
        <v>146</v>
      </c>
      <c r="E944" s="242">
        <v>42053.394444444442</v>
      </c>
      <c r="F944">
        <v>0</v>
      </c>
      <c r="G944" t="b">
        <v>0</v>
      </c>
      <c r="H944" t="s">
        <v>15</v>
      </c>
    </row>
    <row r="945" spans="1:8">
      <c r="A945" t="s">
        <v>166</v>
      </c>
      <c r="B945" t="s">
        <v>87</v>
      </c>
      <c r="C945">
        <v>261</v>
      </c>
      <c r="D945" t="s">
        <v>146</v>
      </c>
      <c r="E945" s="242">
        <v>41872.781944444447</v>
      </c>
      <c r="F945">
        <v>0</v>
      </c>
      <c r="G945" t="b">
        <v>0</v>
      </c>
      <c r="H945" t="s">
        <v>15</v>
      </c>
    </row>
    <row r="946" spans="1:8">
      <c r="A946" t="s">
        <v>149</v>
      </c>
      <c r="B946" t="s">
        <v>87</v>
      </c>
      <c r="C946">
        <v>261</v>
      </c>
      <c r="D946" t="s">
        <v>146</v>
      </c>
      <c r="E946" s="242">
        <v>41865</v>
      </c>
      <c r="F946">
        <v>0</v>
      </c>
      <c r="G946" t="b">
        <v>0</v>
      </c>
      <c r="H946" t="s">
        <v>15</v>
      </c>
    </row>
    <row r="947" spans="1:8">
      <c r="A947" t="s">
        <v>150</v>
      </c>
      <c r="B947" t="s">
        <v>87</v>
      </c>
      <c r="C947">
        <v>261</v>
      </c>
      <c r="D947" t="s">
        <v>146</v>
      </c>
      <c r="E947" s="242">
        <v>41968</v>
      </c>
      <c r="F947">
        <v>0</v>
      </c>
      <c r="G947" t="b">
        <v>0</v>
      </c>
      <c r="H947" t="s">
        <v>15</v>
      </c>
    </row>
    <row r="948" spans="1:8">
      <c r="A948" t="s">
        <v>151</v>
      </c>
      <c r="B948" t="s">
        <v>87</v>
      </c>
      <c r="C948">
        <v>261</v>
      </c>
      <c r="D948" t="s">
        <v>146</v>
      </c>
      <c r="E948" s="242">
        <v>41983</v>
      </c>
      <c r="F948">
        <v>0</v>
      </c>
      <c r="G948" t="b">
        <v>0</v>
      </c>
      <c r="H948" t="s">
        <v>15</v>
      </c>
    </row>
    <row r="949" spans="1:8">
      <c r="A949" t="s">
        <v>152</v>
      </c>
      <c r="B949" t="s">
        <v>87</v>
      </c>
      <c r="C949">
        <v>261</v>
      </c>
      <c r="D949" t="s">
        <v>146</v>
      </c>
      <c r="E949" s="242">
        <v>41964</v>
      </c>
      <c r="F949">
        <v>0</v>
      </c>
      <c r="G949" t="b">
        <v>0</v>
      </c>
      <c r="H949" t="s">
        <v>15</v>
      </c>
    </row>
    <row r="950" spans="1:8">
      <c r="A950" t="s">
        <v>145</v>
      </c>
      <c r="B950" t="s">
        <v>87</v>
      </c>
      <c r="C950">
        <v>261</v>
      </c>
      <c r="D950" t="s">
        <v>146</v>
      </c>
      <c r="E950" s="242">
        <v>41969</v>
      </c>
      <c r="F950">
        <v>0</v>
      </c>
      <c r="G950" t="b">
        <v>0</v>
      </c>
      <c r="H950" t="s">
        <v>15</v>
      </c>
    </row>
    <row r="951" spans="1:8">
      <c r="A951" t="s">
        <v>167</v>
      </c>
      <c r="B951" t="s">
        <v>87</v>
      </c>
      <c r="C951">
        <v>261</v>
      </c>
      <c r="D951" t="s">
        <v>146</v>
      </c>
      <c r="E951" s="242">
        <v>42068.452777777777</v>
      </c>
      <c r="F951">
        <v>0</v>
      </c>
      <c r="G951" t="b">
        <v>0</v>
      </c>
      <c r="H951" t="s">
        <v>15</v>
      </c>
    </row>
    <row r="952" spans="1:8">
      <c r="A952" t="s">
        <v>153</v>
      </c>
      <c r="B952" t="s">
        <v>87</v>
      </c>
      <c r="C952">
        <v>261</v>
      </c>
      <c r="D952" t="s">
        <v>146</v>
      </c>
      <c r="E952" s="242">
        <v>41951</v>
      </c>
      <c r="F952">
        <v>0</v>
      </c>
      <c r="G952" t="b">
        <v>0</v>
      </c>
      <c r="H952" t="s">
        <v>15</v>
      </c>
    </row>
    <row r="953" spans="1:8">
      <c r="A953" t="s">
        <v>154</v>
      </c>
      <c r="B953" t="s">
        <v>87</v>
      </c>
      <c r="C953">
        <v>261</v>
      </c>
      <c r="D953" t="s">
        <v>146</v>
      </c>
      <c r="E953" s="242">
        <v>42029</v>
      </c>
      <c r="F953">
        <v>0</v>
      </c>
      <c r="G953" t="b">
        <v>0</v>
      </c>
      <c r="H953" t="s">
        <v>15</v>
      </c>
    </row>
    <row r="954" spans="1:8">
      <c r="A954" t="s">
        <v>168</v>
      </c>
      <c r="B954" t="s">
        <v>87</v>
      </c>
      <c r="C954">
        <v>261</v>
      </c>
      <c r="D954" t="s">
        <v>146</v>
      </c>
      <c r="E954" s="242">
        <v>42074.690972222219</v>
      </c>
      <c r="F954">
        <v>0</v>
      </c>
      <c r="G954" t="b">
        <v>0</v>
      </c>
      <c r="H954" t="s">
        <v>15</v>
      </c>
    </row>
    <row r="955" spans="1:8">
      <c r="A955" t="s">
        <v>155</v>
      </c>
      <c r="B955" t="s">
        <v>87</v>
      </c>
      <c r="C955">
        <v>261</v>
      </c>
      <c r="D955" t="s">
        <v>146</v>
      </c>
      <c r="E955" s="242">
        <v>41837</v>
      </c>
      <c r="F955">
        <v>0</v>
      </c>
      <c r="G955" t="b">
        <v>0</v>
      </c>
      <c r="H955" t="s">
        <v>15</v>
      </c>
    </row>
    <row r="956" spans="1:8">
      <c r="A956" t="s">
        <v>156</v>
      </c>
      <c r="B956" t="s">
        <v>87</v>
      </c>
      <c r="C956">
        <v>261</v>
      </c>
      <c r="D956" t="s">
        <v>146</v>
      </c>
      <c r="E956" s="242">
        <v>42026</v>
      </c>
      <c r="F956">
        <v>0</v>
      </c>
      <c r="G956" t="b">
        <v>0</v>
      </c>
      <c r="H956" t="s">
        <v>15</v>
      </c>
    </row>
    <row r="957" spans="1:8">
      <c r="A957" t="s">
        <v>157</v>
      </c>
      <c r="B957" t="s">
        <v>87</v>
      </c>
      <c r="C957">
        <v>261</v>
      </c>
      <c r="D957" t="s">
        <v>146</v>
      </c>
      <c r="E957" s="242">
        <v>41999</v>
      </c>
      <c r="F957">
        <v>0</v>
      </c>
      <c r="G957" t="b">
        <v>0</v>
      </c>
      <c r="H957" t="s">
        <v>15</v>
      </c>
    </row>
    <row r="958" spans="1:8">
      <c r="A958" t="s">
        <v>169</v>
      </c>
      <c r="B958" t="s">
        <v>87</v>
      </c>
      <c r="C958">
        <v>261</v>
      </c>
      <c r="D958" t="s">
        <v>146</v>
      </c>
      <c r="E958" s="242">
        <v>41894</v>
      </c>
      <c r="F958">
        <v>0</v>
      </c>
      <c r="G958" t="b">
        <v>0</v>
      </c>
      <c r="H958" t="s">
        <v>15</v>
      </c>
    </row>
    <row r="959" spans="1:8">
      <c r="A959" t="s">
        <v>170</v>
      </c>
      <c r="B959" t="s">
        <v>87</v>
      </c>
      <c r="C959">
        <v>261</v>
      </c>
      <c r="D959" t="s">
        <v>146</v>
      </c>
      <c r="E959" s="242">
        <v>41969</v>
      </c>
      <c r="F959">
        <v>0</v>
      </c>
      <c r="G959" t="b">
        <v>0</v>
      </c>
      <c r="H959" t="s">
        <v>15</v>
      </c>
    </row>
    <row r="960" spans="1:8">
      <c r="A960" t="s">
        <v>158</v>
      </c>
      <c r="B960" t="s">
        <v>87</v>
      </c>
      <c r="C960">
        <v>261</v>
      </c>
      <c r="D960" t="s">
        <v>146</v>
      </c>
      <c r="E960" s="242">
        <v>41873</v>
      </c>
      <c r="F960">
        <v>0</v>
      </c>
      <c r="G960" t="b">
        <v>0</v>
      </c>
      <c r="H960" t="s">
        <v>15</v>
      </c>
    </row>
    <row r="961" spans="1:8">
      <c r="A961" t="s">
        <v>159</v>
      </c>
      <c r="B961" t="s">
        <v>87</v>
      </c>
      <c r="C961">
        <v>261</v>
      </c>
      <c r="D961" t="s">
        <v>146</v>
      </c>
      <c r="E961" s="242">
        <v>41933</v>
      </c>
      <c r="F961">
        <v>0</v>
      </c>
      <c r="G961" t="b">
        <v>0</v>
      </c>
      <c r="H961" t="s">
        <v>15</v>
      </c>
    </row>
    <row r="962" spans="1:8">
      <c r="A962" t="s">
        <v>160</v>
      </c>
      <c r="B962" t="s">
        <v>87</v>
      </c>
      <c r="C962">
        <v>261</v>
      </c>
      <c r="D962" t="s">
        <v>146</v>
      </c>
      <c r="E962" s="242">
        <v>41961.656944444447</v>
      </c>
      <c r="F962">
        <v>0</v>
      </c>
      <c r="G962" t="b">
        <v>0</v>
      </c>
      <c r="H962" t="s">
        <v>15</v>
      </c>
    </row>
    <row r="963" spans="1:8">
      <c r="A963" t="s">
        <v>164</v>
      </c>
      <c r="B963" t="s">
        <v>87</v>
      </c>
      <c r="C963">
        <v>261</v>
      </c>
      <c r="D963" t="s">
        <v>147</v>
      </c>
      <c r="E963" s="242"/>
      <c r="F963">
        <v>5416</v>
      </c>
      <c r="G963" t="b">
        <v>0</v>
      </c>
      <c r="H963" t="s">
        <v>15</v>
      </c>
    </row>
    <row r="964" spans="1:8">
      <c r="A964" t="s">
        <v>161</v>
      </c>
      <c r="B964" t="s">
        <v>87</v>
      </c>
      <c r="C964">
        <v>261</v>
      </c>
      <c r="D964" t="s">
        <v>147</v>
      </c>
      <c r="E964" s="242"/>
      <c r="F964">
        <v>7001</v>
      </c>
      <c r="G964" t="b">
        <v>0</v>
      </c>
      <c r="H964" t="s">
        <v>15</v>
      </c>
    </row>
    <row r="965" spans="1:8">
      <c r="A965" t="s">
        <v>165</v>
      </c>
      <c r="B965" t="s">
        <v>87</v>
      </c>
      <c r="C965">
        <v>261</v>
      </c>
      <c r="D965" t="s">
        <v>147</v>
      </c>
      <c r="E965" s="242"/>
      <c r="F965">
        <v>7749.89990234375</v>
      </c>
      <c r="G965" t="b">
        <v>0</v>
      </c>
      <c r="H965" t="s">
        <v>15</v>
      </c>
    </row>
    <row r="966" spans="1:8">
      <c r="A966" t="s">
        <v>148</v>
      </c>
      <c r="B966" t="s">
        <v>87</v>
      </c>
      <c r="C966">
        <v>261</v>
      </c>
      <c r="D966" t="s">
        <v>147</v>
      </c>
      <c r="E966" s="242"/>
      <c r="F966">
        <v>6703.39990234375</v>
      </c>
      <c r="G966" t="b">
        <v>0</v>
      </c>
      <c r="H966" t="s">
        <v>15</v>
      </c>
    </row>
    <row r="967" spans="1:8">
      <c r="A967" t="s">
        <v>162</v>
      </c>
      <c r="B967" t="s">
        <v>87</v>
      </c>
      <c r="C967">
        <v>261</v>
      </c>
      <c r="D967" t="s">
        <v>147</v>
      </c>
      <c r="E967" s="242"/>
      <c r="F967">
        <v>7445.60009765625</v>
      </c>
      <c r="G967" t="b">
        <v>0</v>
      </c>
      <c r="H967" t="s">
        <v>15</v>
      </c>
    </row>
    <row r="968" spans="1:8">
      <c r="A968" t="s">
        <v>163</v>
      </c>
      <c r="B968" t="s">
        <v>87</v>
      </c>
      <c r="C968">
        <v>261</v>
      </c>
      <c r="D968" t="s">
        <v>147</v>
      </c>
      <c r="E968" s="242"/>
      <c r="F968">
        <v>4812.2001953125</v>
      </c>
      <c r="G968" t="b">
        <v>0</v>
      </c>
      <c r="H968" t="s">
        <v>15</v>
      </c>
    </row>
    <row r="969" spans="1:8">
      <c r="A969" t="s">
        <v>166</v>
      </c>
      <c r="B969" t="s">
        <v>87</v>
      </c>
      <c r="C969">
        <v>261</v>
      </c>
      <c r="D969" t="s">
        <v>147</v>
      </c>
      <c r="E969" s="242"/>
      <c r="F969">
        <v>3464.69995117187</v>
      </c>
      <c r="G969" t="b">
        <v>0</v>
      </c>
      <c r="H969" t="s">
        <v>15</v>
      </c>
    </row>
    <row r="970" spans="1:8">
      <c r="A970" t="s">
        <v>149</v>
      </c>
      <c r="B970" t="s">
        <v>87</v>
      </c>
      <c r="C970">
        <v>261</v>
      </c>
      <c r="D970" t="s">
        <v>147</v>
      </c>
      <c r="E970" s="242"/>
      <c r="F970">
        <v>5057.5</v>
      </c>
      <c r="G970" t="b">
        <v>0</v>
      </c>
      <c r="H970" t="s">
        <v>15</v>
      </c>
    </row>
    <row r="971" spans="1:8">
      <c r="A971" t="s">
        <v>150</v>
      </c>
      <c r="B971" t="s">
        <v>87</v>
      </c>
      <c r="C971">
        <v>261</v>
      </c>
      <c r="D971" t="s">
        <v>147</v>
      </c>
      <c r="E971" s="242"/>
      <c r="F971">
        <v>3985</v>
      </c>
      <c r="G971" t="b">
        <v>0</v>
      </c>
      <c r="H971" t="s">
        <v>15</v>
      </c>
    </row>
    <row r="972" spans="1:8">
      <c r="A972" t="s">
        <v>151</v>
      </c>
      <c r="B972" t="s">
        <v>87</v>
      </c>
      <c r="C972">
        <v>261</v>
      </c>
      <c r="D972" t="s">
        <v>147</v>
      </c>
      <c r="E972" s="242"/>
      <c r="F972">
        <v>1931.59997558593</v>
      </c>
      <c r="G972" t="b">
        <v>0</v>
      </c>
      <c r="H972" t="s">
        <v>15</v>
      </c>
    </row>
    <row r="973" spans="1:8">
      <c r="A973" t="s">
        <v>152</v>
      </c>
      <c r="B973" t="s">
        <v>87</v>
      </c>
      <c r="C973">
        <v>261</v>
      </c>
      <c r="D973" t="s">
        <v>147</v>
      </c>
      <c r="E973" s="242"/>
      <c r="F973">
        <v>1770.30004882812</v>
      </c>
      <c r="G973" t="b">
        <v>0</v>
      </c>
      <c r="H973" t="s">
        <v>15</v>
      </c>
    </row>
    <row r="974" spans="1:8">
      <c r="A974" t="s">
        <v>145</v>
      </c>
      <c r="B974" t="s">
        <v>87</v>
      </c>
      <c r="C974">
        <v>261</v>
      </c>
      <c r="D974" t="s">
        <v>147</v>
      </c>
      <c r="E974" s="242"/>
      <c r="F974">
        <v>1714.09997558593</v>
      </c>
      <c r="G974" t="b">
        <v>0</v>
      </c>
      <c r="H974" t="s">
        <v>15</v>
      </c>
    </row>
    <row r="975" spans="1:8">
      <c r="A975" t="s">
        <v>167</v>
      </c>
      <c r="B975" t="s">
        <v>87</v>
      </c>
      <c r="C975">
        <v>261</v>
      </c>
      <c r="D975" t="s">
        <v>147</v>
      </c>
      <c r="E975" s="242"/>
      <c r="F975">
        <v>1944.40002441406</v>
      </c>
      <c r="G975" t="b">
        <v>0</v>
      </c>
      <c r="H975" t="s">
        <v>15</v>
      </c>
    </row>
    <row r="976" spans="1:8">
      <c r="A976" t="s">
        <v>153</v>
      </c>
      <c r="B976" t="s">
        <v>87</v>
      </c>
      <c r="C976">
        <v>261</v>
      </c>
      <c r="D976" t="s">
        <v>147</v>
      </c>
      <c r="E976" s="242"/>
      <c r="F976">
        <v>1435</v>
      </c>
      <c r="G976" t="b">
        <v>0</v>
      </c>
      <c r="H976" t="s">
        <v>15</v>
      </c>
    </row>
    <row r="977" spans="1:8">
      <c r="A977" t="s">
        <v>154</v>
      </c>
      <c r="B977" t="s">
        <v>87</v>
      </c>
      <c r="C977">
        <v>261</v>
      </c>
      <c r="D977" t="s">
        <v>147</v>
      </c>
      <c r="E977" s="242"/>
      <c r="F977">
        <v>2792.89990234375</v>
      </c>
      <c r="G977" t="b">
        <v>0</v>
      </c>
      <c r="H977" t="s">
        <v>15</v>
      </c>
    </row>
    <row r="978" spans="1:8">
      <c r="A978" t="s">
        <v>168</v>
      </c>
      <c r="B978" t="s">
        <v>87</v>
      </c>
      <c r="C978">
        <v>261</v>
      </c>
      <c r="D978" t="s">
        <v>147</v>
      </c>
      <c r="E978" s="242"/>
      <c r="F978">
        <v>5288.7998046875</v>
      </c>
      <c r="G978" t="b">
        <v>0</v>
      </c>
      <c r="H978" t="s">
        <v>15</v>
      </c>
    </row>
    <row r="979" spans="1:8">
      <c r="A979" t="s">
        <v>155</v>
      </c>
      <c r="B979" t="s">
        <v>87</v>
      </c>
      <c r="C979">
        <v>261</v>
      </c>
      <c r="D979" t="s">
        <v>147</v>
      </c>
      <c r="E979" s="242"/>
      <c r="F979">
        <v>4244.7998046875</v>
      </c>
      <c r="G979" t="b">
        <v>0</v>
      </c>
      <c r="H979" t="s">
        <v>15</v>
      </c>
    </row>
    <row r="980" spans="1:8">
      <c r="A980" t="s">
        <v>156</v>
      </c>
      <c r="B980" t="s">
        <v>87</v>
      </c>
      <c r="C980">
        <v>261</v>
      </c>
      <c r="D980" t="s">
        <v>147</v>
      </c>
      <c r="E980" s="242"/>
      <c r="F980">
        <v>4756.5</v>
      </c>
      <c r="G980" t="b">
        <v>0</v>
      </c>
      <c r="H980" t="s">
        <v>15</v>
      </c>
    </row>
    <row r="981" spans="1:8">
      <c r="A981" t="s">
        <v>157</v>
      </c>
      <c r="B981" t="s">
        <v>87</v>
      </c>
      <c r="C981">
        <v>261</v>
      </c>
      <c r="D981" t="s">
        <v>147</v>
      </c>
      <c r="E981" s="242"/>
      <c r="F981">
        <v>5081</v>
      </c>
      <c r="G981" t="b">
        <v>0</v>
      </c>
      <c r="H981" t="s">
        <v>15</v>
      </c>
    </row>
    <row r="982" spans="1:8">
      <c r="A982" t="s">
        <v>169</v>
      </c>
      <c r="B982" t="s">
        <v>87</v>
      </c>
      <c r="C982">
        <v>261</v>
      </c>
      <c r="D982" t="s">
        <v>147</v>
      </c>
      <c r="E982" s="242"/>
      <c r="F982">
        <v>1494.19995117187</v>
      </c>
      <c r="G982" t="b">
        <v>0</v>
      </c>
      <c r="H982" t="s">
        <v>15</v>
      </c>
    </row>
    <row r="983" spans="1:8">
      <c r="A983" t="s">
        <v>170</v>
      </c>
      <c r="B983" t="s">
        <v>87</v>
      </c>
      <c r="C983">
        <v>261</v>
      </c>
      <c r="D983" t="s">
        <v>147</v>
      </c>
      <c r="E983" s="242"/>
      <c r="F983">
        <v>1453.59997558593</v>
      </c>
      <c r="G983" t="b">
        <v>0</v>
      </c>
      <c r="H983" t="s">
        <v>15</v>
      </c>
    </row>
    <row r="984" spans="1:8">
      <c r="A984" t="s">
        <v>158</v>
      </c>
      <c r="B984" t="s">
        <v>87</v>
      </c>
      <c r="C984">
        <v>261</v>
      </c>
      <c r="D984" t="s">
        <v>147</v>
      </c>
      <c r="E984" s="242"/>
      <c r="F984">
        <v>5235.10009765625</v>
      </c>
      <c r="G984" t="b">
        <v>0</v>
      </c>
      <c r="H984" t="s">
        <v>15</v>
      </c>
    </row>
    <row r="985" spans="1:8">
      <c r="A985" t="s">
        <v>159</v>
      </c>
      <c r="B985" t="s">
        <v>87</v>
      </c>
      <c r="C985">
        <v>261</v>
      </c>
      <c r="D985" t="s">
        <v>147</v>
      </c>
      <c r="E985" s="242"/>
      <c r="F985">
        <v>3155</v>
      </c>
      <c r="G985" t="b">
        <v>0</v>
      </c>
      <c r="H985" t="s">
        <v>15</v>
      </c>
    </row>
    <row r="986" spans="1:8">
      <c r="A986" t="s">
        <v>160</v>
      </c>
      <c r="B986" t="s">
        <v>87</v>
      </c>
      <c r="C986">
        <v>261</v>
      </c>
      <c r="D986" t="s">
        <v>147</v>
      </c>
      <c r="E986" s="242"/>
      <c r="F986">
        <v>2969.10009765625</v>
      </c>
      <c r="G986" t="b">
        <v>0</v>
      </c>
      <c r="H986" t="s">
        <v>15</v>
      </c>
    </row>
    <row r="987" spans="1:8">
      <c r="A987" t="s">
        <v>164</v>
      </c>
      <c r="B987" t="s">
        <v>87</v>
      </c>
      <c r="C987">
        <v>270</v>
      </c>
      <c r="D987" t="s">
        <v>147</v>
      </c>
      <c r="E987" s="242"/>
      <c r="F987">
        <v>5216.60009765625</v>
      </c>
      <c r="G987" t="b">
        <v>0</v>
      </c>
      <c r="H987" t="s">
        <v>15</v>
      </c>
    </row>
    <row r="988" spans="1:8">
      <c r="A988" t="s">
        <v>161</v>
      </c>
      <c r="B988" t="s">
        <v>87</v>
      </c>
      <c r="C988">
        <v>270</v>
      </c>
      <c r="D988" t="s">
        <v>147</v>
      </c>
      <c r="E988" s="242"/>
      <c r="F988">
        <v>7001</v>
      </c>
      <c r="G988" t="b">
        <v>0</v>
      </c>
      <c r="H988" t="s">
        <v>15</v>
      </c>
    </row>
    <row r="989" spans="1:8">
      <c r="A989" t="s">
        <v>165</v>
      </c>
      <c r="B989" t="s">
        <v>87</v>
      </c>
      <c r="C989">
        <v>270</v>
      </c>
      <c r="D989" t="s">
        <v>147</v>
      </c>
      <c r="E989" s="242"/>
      <c r="F989">
        <v>7703.7001953125</v>
      </c>
      <c r="G989" t="b">
        <v>0</v>
      </c>
      <c r="H989" t="s">
        <v>15</v>
      </c>
    </row>
    <row r="990" spans="1:8">
      <c r="A990" t="s">
        <v>148</v>
      </c>
      <c r="B990" t="s">
        <v>87</v>
      </c>
      <c r="C990">
        <v>270</v>
      </c>
      <c r="D990" t="s">
        <v>147</v>
      </c>
      <c r="E990" s="242"/>
      <c r="F990">
        <v>6703.39990234375</v>
      </c>
      <c r="G990" t="b">
        <v>0</v>
      </c>
      <c r="H990" t="s">
        <v>15</v>
      </c>
    </row>
    <row r="991" spans="1:8">
      <c r="A991" t="s">
        <v>162</v>
      </c>
      <c r="B991" t="s">
        <v>87</v>
      </c>
      <c r="C991">
        <v>270</v>
      </c>
      <c r="D991" t="s">
        <v>147</v>
      </c>
      <c r="E991" s="242"/>
      <c r="F991">
        <v>7383.10009765625</v>
      </c>
      <c r="G991" t="b">
        <v>0</v>
      </c>
      <c r="H991" t="s">
        <v>15</v>
      </c>
    </row>
    <row r="992" spans="1:8">
      <c r="A992" t="s">
        <v>163</v>
      </c>
      <c r="B992" t="s">
        <v>87</v>
      </c>
      <c r="C992">
        <v>270</v>
      </c>
      <c r="D992" t="s">
        <v>147</v>
      </c>
      <c r="E992" s="242"/>
      <c r="F992">
        <v>4812.2001953125</v>
      </c>
      <c r="G992" t="b">
        <v>0</v>
      </c>
      <c r="H992" t="s">
        <v>15</v>
      </c>
    </row>
    <row r="993" spans="1:8">
      <c r="A993" t="s">
        <v>166</v>
      </c>
      <c r="B993" t="s">
        <v>87</v>
      </c>
      <c r="C993">
        <v>270</v>
      </c>
      <c r="D993" t="s">
        <v>147</v>
      </c>
      <c r="E993" s="242"/>
      <c r="F993">
        <v>3340.19995117187</v>
      </c>
      <c r="G993" t="b">
        <v>0</v>
      </c>
      <c r="H993" t="s">
        <v>15</v>
      </c>
    </row>
    <row r="994" spans="1:8">
      <c r="A994" t="s">
        <v>149</v>
      </c>
      <c r="B994" t="s">
        <v>87</v>
      </c>
      <c r="C994">
        <v>270</v>
      </c>
      <c r="D994" t="s">
        <v>147</v>
      </c>
      <c r="E994" s="242"/>
      <c r="F994">
        <v>4953.7001953125</v>
      </c>
      <c r="G994" t="b">
        <v>0</v>
      </c>
      <c r="H994" t="s">
        <v>15</v>
      </c>
    </row>
    <row r="995" spans="1:8">
      <c r="A995" t="s">
        <v>150</v>
      </c>
      <c r="B995" t="s">
        <v>87</v>
      </c>
      <c r="C995">
        <v>270</v>
      </c>
      <c r="D995" t="s">
        <v>147</v>
      </c>
      <c r="E995" s="242"/>
      <c r="F995">
        <v>3985</v>
      </c>
      <c r="G995" t="b">
        <v>0</v>
      </c>
      <c r="H995" t="s">
        <v>15</v>
      </c>
    </row>
    <row r="996" spans="1:8">
      <c r="A996" t="s">
        <v>151</v>
      </c>
      <c r="B996" t="s">
        <v>87</v>
      </c>
      <c r="C996">
        <v>270</v>
      </c>
      <c r="D996" t="s">
        <v>147</v>
      </c>
      <c r="E996" s="242"/>
      <c r="F996">
        <v>1781.80004882812</v>
      </c>
      <c r="G996" t="b">
        <v>0</v>
      </c>
      <c r="H996" t="s">
        <v>15</v>
      </c>
    </row>
    <row r="997" spans="1:8">
      <c r="A997" t="s">
        <v>152</v>
      </c>
      <c r="B997" t="s">
        <v>87</v>
      </c>
      <c r="C997">
        <v>270</v>
      </c>
      <c r="D997" t="s">
        <v>147</v>
      </c>
      <c r="E997" s="242"/>
      <c r="F997">
        <v>1770.30004882812</v>
      </c>
      <c r="G997" t="b">
        <v>0</v>
      </c>
      <c r="H997" t="s">
        <v>15</v>
      </c>
    </row>
    <row r="998" spans="1:8">
      <c r="A998" t="s">
        <v>145</v>
      </c>
      <c r="B998" t="s">
        <v>87</v>
      </c>
      <c r="C998">
        <v>270</v>
      </c>
      <c r="D998" t="s">
        <v>147</v>
      </c>
      <c r="E998" s="242"/>
      <c r="F998">
        <v>1704.69995117187</v>
      </c>
      <c r="G998" t="b">
        <v>0</v>
      </c>
      <c r="H998" t="s">
        <v>15</v>
      </c>
    </row>
    <row r="999" spans="1:8">
      <c r="A999" t="s">
        <v>167</v>
      </c>
      <c r="B999" t="s">
        <v>87</v>
      </c>
      <c r="C999">
        <v>270</v>
      </c>
      <c r="D999" t="s">
        <v>147</v>
      </c>
      <c r="E999" s="242"/>
      <c r="F999">
        <v>1751.5</v>
      </c>
      <c r="G999" t="b">
        <v>0</v>
      </c>
      <c r="H999" t="s">
        <v>15</v>
      </c>
    </row>
    <row r="1000" spans="1:8">
      <c r="A1000" t="s">
        <v>153</v>
      </c>
      <c r="B1000" t="s">
        <v>87</v>
      </c>
      <c r="C1000">
        <v>270</v>
      </c>
      <c r="D1000" t="s">
        <v>147</v>
      </c>
      <c r="E1000" s="242"/>
      <c r="F1000">
        <v>1435</v>
      </c>
      <c r="G1000" t="b">
        <v>0</v>
      </c>
      <c r="H1000" t="s">
        <v>15</v>
      </c>
    </row>
    <row r="1001" spans="1:8">
      <c r="A1001" t="s">
        <v>154</v>
      </c>
      <c r="B1001" t="s">
        <v>87</v>
      </c>
      <c r="C1001">
        <v>270</v>
      </c>
      <c r="D1001" t="s">
        <v>147</v>
      </c>
      <c r="E1001" s="242"/>
      <c r="F1001">
        <v>2670.80004882812</v>
      </c>
      <c r="G1001" t="b">
        <v>0</v>
      </c>
      <c r="H1001" t="s">
        <v>15</v>
      </c>
    </row>
    <row r="1002" spans="1:8">
      <c r="A1002" t="s">
        <v>168</v>
      </c>
      <c r="B1002" t="s">
        <v>87</v>
      </c>
      <c r="C1002">
        <v>270</v>
      </c>
      <c r="D1002" t="s">
        <v>147</v>
      </c>
      <c r="E1002" s="242"/>
      <c r="F1002">
        <v>5199.39990234375</v>
      </c>
      <c r="G1002" t="b">
        <v>0</v>
      </c>
      <c r="H1002" t="s">
        <v>15</v>
      </c>
    </row>
    <row r="1003" spans="1:8">
      <c r="A1003" t="s">
        <v>155</v>
      </c>
      <c r="B1003" t="s">
        <v>87</v>
      </c>
      <c r="C1003">
        <v>270</v>
      </c>
      <c r="D1003" t="s">
        <v>147</v>
      </c>
      <c r="E1003" s="242"/>
      <c r="F1003">
        <v>4244.7998046875</v>
      </c>
      <c r="G1003" t="b">
        <v>0</v>
      </c>
      <c r="H1003" t="s">
        <v>15</v>
      </c>
    </row>
    <row r="1004" spans="1:8">
      <c r="A1004" t="s">
        <v>156</v>
      </c>
      <c r="B1004" t="s">
        <v>87</v>
      </c>
      <c r="C1004">
        <v>270</v>
      </c>
      <c r="D1004" t="s">
        <v>147</v>
      </c>
      <c r="E1004" s="242"/>
      <c r="F1004">
        <v>4756.5</v>
      </c>
      <c r="G1004" t="b">
        <v>0</v>
      </c>
      <c r="H1004" t="s">
        <v>15</v>
      </c>
    </row>
    <row r="1005" spans="1:8">
      <c r="A1005" t="s">
        <v>157</v>
      </c>
      <c r="B1005" t="s">
        <v>87</v>
      </c>
      <c r="C1005">
        <v>270</v>
      </c>
      <c r="D1005" t="s">
        <v>147</v>
      </c>
      <c r="E1005" s="242"/>
      <c r="F1005">
        <v>5081</v>
      </c>
      <c r="G1005" t="b">
        <v>0</v>
      </c>
      <c r="H1005" t="s">
        <v>15</v>
      </c>
    </row>
    <row r="1006" spans="1:8">
      <c r="A1006" t="s">
        <v>169</v>
      </c>
      <c r="B1006" t="s">
        <v>87</v>
      </c>
      <c r="C1006">
        <v>270</v>
      </c>
      <c r="D1006" t="s">
        <v>147</v>
      </c>
      <c r="E1006" s="242"/>
      <c r="F1006">
        <v>1492.69995117187</v>
      </c>
      <c r="G1006" t="b">
        <v>0</v>
      </c>
      <c r="H1006" t="s">
        <v>15</v>
      </c>
    </row>
    <row r="1007" spans="1:8">
      <c r="A1007" t="s">
        <v>170</v>
      </c>
      <c r="B1007" t="s">
        <v>87</v>
      </c>
      <c r="C1007">
        <v>270</v>
      </c>
      <c r="D1007" t="s">
        <v>147</v>
      </c>
      <c r="E1007" s="242"/>
      <c r="F1007">
        <v>1325.40002441406</v>
      </c>
      <c r="G1007" t="b">
        <v>0</v>
      </c>
      <c r="H1007" t="s">
        <v>15</v>
      </c>
    </row>
    <row r="1008" spans="1:8">
      <c r="A1008" t="s">
        <v>158</v>
      </c>
      <c r="B1008" t="s">
        <v>87</v>
      </c>
      <c r="C1008">
        <v>270</v>
      </c>
      <c r="D1008" t="s">
        <v>147</v>
      </c>
      <c r="E1008" s="242"/>
      <c r="F1008">
        <v>5235.10009765625</v>
      </c>
      <c r="G1008" t="b">
        <v>0</v>
      </c>
      <c r="H1008" t="s">
        <v>15</v>
      </c>
    </row>
    <row r="1009" spans="1:8">
      <c r="A1009" t="s">
        <v>159</v>
      </c>
      <c r="B1009" t="s">
        <v>87</v>
      </c>
      <c r="C1009">
        <v>270</v>
      </c>
      <c r="D1009" t="s">
        <v>147</v>
      </c>
      <c r="E1009" s="242"/>
      <c r="F1009">
        <v>3158.19995117187</v>
      </c>
      <c r="G1009" t="b">
        <v>0</v>
      </c>
      <c r="H1009" t="s">
        <v>15</v>
      </c>
    </row>
    <row r="1010" spans="1:8">
      <c r="A1010" t="s">
        <v>160</v>
      </c>
      <c r="B1010" t="s">
        <v>87</v>
      </c>
      <c r="C1010">
        <v>270</v>
      </c>
      <c r="D1010" t="s">
        <v>147</v>
      </c>
      <c r="E1010" s="242"/>
      <c r="F1010">
        <v>2969.10009765625</v>
      </c>
      <c r="G1010" t="b">
        <v>0</v>
      </c>
      <c r="H1010" t="s">
        <v>15</v>
      </c>
    </row>
    <row r="1011" spans="1:8">
      <c r="A1011" t="s">
        <v>164</v>
      </c>
      <c r="B1011" t="s">
        <v>87</v>
      </c>
      <c r="C1011">
        <v>275</v>
      </c>
      <c r="D1011" t="s">
        <v>147</v>
      </c>
      <c r="E1011" s="242"/>
      <c r="F1011">
        <v>5216.60009765625</v>
      </c>
      <c r="G1011" t="b">
        <v>0</v>
      </c>
      <c r="H1011" t="s">
        <v>15</v>
      </c>
    </row>
    <row r="1012" spans="1:8">
      <c r="A1012" t="s">
        <v>161</v>
      </c>
      <c r="B1012" t="s">
        <v>87</v>
      </c>
      <c r="C1012">
        <v>275</v>
      </c>
      <c r="D1012" t="s">
        <v>147</v>
      </c>
      <c r="E1012" s="242"/>
      <c r="F1012">
        <v>7001</v>
      </c>
      <c r="G1012" t="b">
        <v>0</v>
      </c>
      <c r="H1012" t="s">
        <v>15</v>
      </c>
    </row>
    <row r="1013" spans="1:8">
      <c r="A1013" t="s">
        <v>165</v>
      </c>
      <c r="B1013" t="s">
        <v>87</v>
      </c>
      <c r="C1013">
        <v>275</v>
      </c>
      <c r="D1013" t="s">
        <v>147</v>
      </c>
      <c r="E1013" s="242"/>
      <c r="F1013">
        <v>7703.7001953125</v>
      </c>
      <c r="G1013" t="b">
        <v>0</v>
      </c>
      <c r="H1013" t="s">
        <v>15</v>
      </c>
    </row>
    <row r="1014" spans="1:8">
      <c r="A1014" t="s">
        <v>148</v>
      </c>
      <c r="B1014" t="s">
        <v>87</v>
      </c>
      <c r="C1014">
        <v>275</v>
      </c>
      <c r="D1014" t="s">
        <v>147</v>
      </c>
      <c r="E1014" s="242"/>
      <c r="F1014">
        <v>6703.39990234375</v>
      </c>
      <c r="G1014" t="b">
        <v>0</v>
      </c>
      <c r="H1014" t="s">
        <v>15</v>
      </c>
    </row>
    <row r="1015" spans="1:8">
      <c r="A1015" t="s">
        <v>162</v>
      </c>
      <c r="B1015" t="s">
        <v>87</v>
      </c>
      <c r="C1015">
        <v>275</v>
      </c>
      <c r="D1015" t="s">
        <v>147</v>
      </c>
      <c r="E1015" s="242"/>
      <c r="F1015">
        <v>7383.10009765625</v>
      </c>
      <c r="G1015" t="b">
        <v>0</v>
      </c>
      <c r="H1015" t="s">
        <v>15</v>
      </c>
    </row>
    <row r="1016" spans="1:8">
      <c r="A1016" t="s">
        <v>163</v>
      </c>
      <c r="B1016" t="s">
        <v>87</v>
      </c>
      <c r="C1016">
        <v>275</v>
      </c>
      <c r="D1016" t="s">
        <v>147</v>
      </c>
      <c r="E1016" s="242"/>
      <c r="F1016">
        <v>4812.2001953125</v>
      </c>
      <c r="G1016" t="b">
        <v>0</v>
      </c>
      <c r="H1016" t="s">
        <v>15</v>
      </c>
    </row>
    <row r="1017" spans="1:8">
      <c r="A1017" t="s">
        <v>166</v>
      </c>
      <c r="B1017" t="s">
        <v>87</v>
      </c>
      <c r="C1017">
        <v>275</v>
      </c>
      <c r="D1017" t="s">
        <v>147</v>
      </c>
      <c r="E1017" s="242"/>
      <c r="F1017">
        <v>3340.5</v>
      </c>
      <c r="G1017" t="b">
        <v>0</v>
      </c>
      <c r="H1017" t="s">
        <v>15</v>
      </c>
    </row>
    <row r="1018" spans="1:8">
      <c r="A1018" t="s">
        <v>149</v>
      </c>
      <c r="B1018" t="s">
        <v>87</v>
      </c>
      <c r="C1018">
        <v>275</v>
      </c>
      <c r="D1018" t="s">
        <v>147</v>
      </c>
      <c r="E1018" s="242"/>
      <c r="F1018">
        <v>4953.7001953125</v>
      </c>
      <c r="G1018" t="b">
        <v>0</v>
      </c>
      <c r="H1018" t="s">
        <v>15</v>
      </c>
    </row>
    <row r="1019" spans="1:8">
      <c r="A1019" t="s">
        <v>150</v>
      </c>
      <c r="B1019" t="s">
        <v>87</v>
      </c>
      <c r="C1019">
        <v>275</v>
      </c>
      <c r="D1019" t="s">
        <v>147</v>
      </c>
      <c r="E1019" s="242"/>
      <c r="F1019">
        <v>3985</v>
      </c>
      <c r="G1019" t="b">
        <v>0</v>
      </c>
      <c r="H1019" t="s">
        <v>15</v>
      </c>
    </row>
    <row r="1020" spans="1:8">
      <c r="A1020" t="s">
        <v>151</v>
      </c>
      <c r="B1020" t="s">
        <v>87</v>
      </c>
      <c r="C1020">
        <v>275</v>
      </c>
      <c r="D1020" t="s">
        <v>147</v>
      </c>
      <c r="E1020" s="242"/>
      <c r="F1020">
        <v>1781.80004882812</v>
      </c>
      <c r="G1020" t="b">
        <v>0</v>
      </c>
      <c r="H1020" t="s">
        <v>15</v>
      </c>
    </row>
    <row r="1021" spans="1:8">
      <c r="A1021" t="s">
        <v>152</v>
      </c>
      <c r="B1021" t="s">
        <v>87</v>
      </c>
      <c r="C1021">
        <v>275</v>
      </c>
      <c r="D1021" t="s">
        <v>147</v>
      </c>
      <c r="E1021" s="242"/>
      <c r="F1021">
        <v>1770.30004882812</v>
      </c>
      <c r="G1021" t="b">
        <v>0</v>
      </c>
      <c r="H1021" t="s">
        <v>15</v>
      </c>
    </row>
    <row r="1022" spans="1:8">
      <c r="A1022" t="s">
        <v>145</v>
      </c>
      <c r="B1022" t="s">
        <v>87</v>
      </c>
      <c r="C1022">
        <v>275</v>
      </c>
      <c r="D1022" t="s">
        <v>147</v>
      </c>
      <c r="E1022" s="242"/>
      <c r="F1022">
        <v>1704.69995117187</v>
      </c>
      <c r="G1022" t="b">
        <v>0</v>
      </c>
      <c r="H1022" t="s">
        <v>15</v>
      </c>
    </row>
    <row r="1023" spans="1:8">
      <c r="A1023" t="s">
        <v>167</v>
      </c>
      <c r="B1023" t="s">
        <v>87</v>
      </c>
      <c r="C1023">
        <v>275</v>
      </c>
      <c r="D1023" t="s">
        <v>147</v>
      </c>
      <c r="E1023" s="242"/>
      <c r="F1023">
        <v>1751.5</v>
      </c>
      <c r="G1023" t="b">
        <v>0</v>
      </c>
      <c r="H1023" t="s">
        <v>15</v>
      </c>
    </row>
    <row r="1024" spans="1:8">
      <c r="A1024" t="s">
        <v>153</v>
      </c>
      <c r="B1024" t="s">
        <v>87</v>
      </c>
      <c r="C1024">
        <v>275</v>
      </c>
      <c r="D1024" t="s">
        <v>147</v>
      </c>
      <c r="E1024" s="242"/>
      <c r="F1024">
        <v>1435</v>
      </c>
      <c r="G1024" t="b">
        <v>0</v>
      </c>
      <c r="H1024" t="s">
        <v>15</v>
      </c>
    </row>
    <row r="1025" spans="1:8">
      <c r="A1025" t="s">
        <v>154</v>
      </c>
      <c r="B1025" t="s">
        <v>87</v>
      </c>
      <c r="C1025">
        <v>275</v>
      </c>
      <c r="D1025" t="s">
        <v>147</v>
      </c>
      <c r="E1025" s="242"/>
      <c r="F1025">
        <v>2670.80004882812</v>
      </c>
      <c r="G1025" t="b">
        <v>0</v>
      </c>
      <c r="H1025" t="s">
        <v>15</v>
      </c>
    </row>
    <row r="1026" spans="1:8">
      <c r="A1026" t="s">
        <v>168</v>
      </c>
      <c r="B1026" t="s">
        <v>87</v>
      </c>
      <c r="C1026">
        <v>275</v>
      </c>
      <c r="D1026" t="s">
        <v>147</v>
      </c>
      <c r="E1026" s="242"/>
      <c r="F1026">
        <v>5199.39990234375</v>
      </c>
      <c r="G1026" t="b">
        <v>0</v>
      </c>
      <c r="H1026" t="s">
        <v>15</v>
      </c>
    </row>
    <row r="1027" spans="1:8">
      <c r="A1027" t="s">
        <v>155</v>
      </c>
      <c r="B1027" t="s">
        <v>87</v>
      </c>
      <c r="C1027">
        <v>275</v>
      </c>
      <c r="D1027" t="s">
        <v>147</v>
      </c>
      <c r="E1027" s="242"/>
      <c r="F1027">
        <v>4244.7998046875</v>
      </c>
      <c r="G1027" t="b">
        <v>0</v>
      </c>
      <c r="H1027" t="s">
        <v>15</v>
      </c>
    </row>
    <row r="1028" spans="1:8">
      <c r="A1028" t="s">
        <v>156</v>
      </c>
      <c r="B1028" t="s">
        <v>87</v>
      </c>
      <c r="C1028">
        <v>275</v>
      </c>
      <c r="D1028" t="s">
        <v>147</v>
      </c>
      <c r="E1028" s="242"/>
      <c r="F1028">
        <v>4756.5</v>
      </c>
      <c r="G1028" t="b">
        <v>0</v>
      </c>
      <c r="H1028" t="s">
        <v>15</v>
      </c>
    </row>
    <row r="1029" spans="1:8">
      <c r="A1029" t="s">
        <v>157</v>
      </c>
      <c r="B1029" t="s">
        <v>87</v>
      </c>
      <c r="C1029">
        <v>275</v>
      </c>
      <c r="D1029" t="s">
        <v>147</v>
      </c>
      <c r="E1029" s="242"/>
      <c r="F1029">
        <v>5081</v>
      </c>
      <c r="G1029" t="b">
        <v>0</v>
      </c>
      <c r="H1029" t="s">
        <v>15</v>
      </c>
    </row>
    <row r="1030" spans="1:8">
      <c r="A1030" t="s">
        <v>169</v>
      </c>
      <c r="B1030" t="s">
        <v>87</v>
      </c>
      <c r="C1030">
        <v>275</v>
      </c>
      <c r="D1030" t="s">
        <v>147</v>
      </c>
      <c r="E1030" s="242"/>
      <c r="F1030">
        <v>1492.69995117187</v>
      </c>
      <c r="G1030" t="b">
        <v>0</v>
      </c>
      <c r="H1030" t="s">
        <v>15</v>
      </c>
    </row>
    <row r="1031" spans="1:8">
      <c r="A1031" t="s">
        <v>170</v>
      </c>
      <c r="B1031" t="s">
        <v>87</v>
      </c>
      <c r="C1031">
        <v>275</v>
      </c>
      <c r="D1031" t="s">
        <v>147</v>
      </c>
      <c r="E1031" s="242"/>
      <c r="F1031">
        <v>1325.40002441406</v>
      </c>
      <c r="G1031" t="b">
        <v>0</v>
      </c>
      <c r="H1031" t="s">
        <v>15</v>
      </c>
    </row>
    <row r="1032" spans="1:8">
      <c r="A1032" t="s">
        <v>158</v>
      </c>
      <c r="B1032" t="s">
        <v>87</v>
      </c>
      <c r="C1032">
        <v>275</v>
      </c>
      <c r="D1032" t="s">
        <v>147</v>
      </c>
      <c r="E1032" s="242"/>
      <c r="F1032">
        <v>5235.10009765625</v>
      </c>
      <c r="G1032" t="b">
        <v>0</v>
      </c>
      <c r="H1032" t="s">
        <v>15</v>
      </c>
    </row>
    <row r="1033" spans="1:8">
      <c r="A1033" t="s">
        <v>159</v>
      </c>
      <c r="B1033" t="s">
        <v>87</v>
      </c>
      <c r="C1033">
        <v>275</v>
      </c>
      <c r="D1033" t="s">
        <v>147</v>
      </c>
      <c r="E1033" s="242"/>
      <c r="F1033">
        <v>3158.19995117187</v>
      </c>
      <c r="G1033" t="b">
        <v>0</v>
      </c>
      <c r="H1033" t="s">
        <v>15</v>
      </c>
    </row>
    <row r="1034" spans="1:8">
      <c r="A1034" t="s">
        <v>160</v>
      </c>
      <c r="B1034" t="s">
        <v>87</v>
      </c>
      <c r="C1034">
        <v>275</v>
      </c>
      <c r="D1034" t="s">
        <v>147</v>
      </c>
      <c r="E1034" s="242"/>
      <c r="F1034">
        <v>2969.10009765625</v>
      </c>
      <c r="G1034" t="b">
        <v>0</v>
      </c>
      <c r="H1034" t="s">
        <v>15</v>
      </c>
    </row>
    <row r="1035" spans="1:8">
      <c r="A1035" t="s">
        <v>161</v>
      </c>
      <c r="B1035" t="s">
        <v>87</v>
      </c>
      <c r="C1035">
        <v>286</v>
      </c>
      <c r="D1035" t="s">
        <v>147</v>
      </c>
      <c r="E1035" s="242"/>
      <c r="F1035">
        <v>7001</v>
      </c>
      <c r="G1035" t="b">
        <v>0</v>
      </c>
      <c r="H1035" t="s">
        <v>15</v>
      </c>
    </row>
    <row r="1036" spans="1:8">
      <c r="A1036" t="s">
        <v>161</v>
      </c>
      <c r="B1036" t="s">
        <v>87</v>
      </c>
      <c r="C1036">
        <v>287</v>
      </c>
      <c r="D1036" t="s">
        <v>147</v>
      </c>
      <c r="E1036" s="242"/>
      <c r="F1036">
        <v>7001</v>
      </c>
      <c r="G1036" t="b">
        <v>0</v>
      </c>
      <c r="H1036" t="s">
        <v>15</v>
      </c>
    </row>
    <row r="1037" spans="1:8">
      <c r="A1037" t="s">
        <v>164</v>
      </c>
      <c r="B1037" t="s">
        <v>87</v>
      </c>
      <c r="C1037">
        <v>290</v>
      </c>
      <c r="D1037" t="s">
        <v>147</v>
      </c>
      <c r="E1037" s="242"/>
      <c r="F1037">
        <v>5216.60009765625</v>
      </c>
      <c r="G1037" t="b">
        <v>0</v>
      </c>
      <c r="H1037" t="s">
        <v>15</v>
      </c>
    </row>
    <row r="1038" spans="1:8">
      <c r="A1038" t="s">
        <v>161</v>
      </c>
      <c r="B1038" t="s">
        <v>87</v>
      </c>
      <c r="C1038">
        <v>290</v>
      </c>
      <c r="D1038" t="s">
        <v>147</v>
      </c>
      <c r="E1038" s="242"/>
      <c r="F1038">
        <v>7001</v>
      </c>
      <c r="G1038" t="b">
        <v>0</v>
      </c>
      <c r="H1038" t="s">
        <v>15</v>
      </c>
    </row>
    <row r="1039" spans="1:8">
      <c r="A1039" t="s">
        <v>165</v>
      </c>
      <c r="B1039" t="s">
        <v>87</v>
      </c>
      <c r="C1039">
        <v>290</v>
      </c>
      <c r="D1039" t="s">
        <v>147</v>
      </c>
      <c r="E1039" s="242"/>
      <c r="F1039">
        <v>7703.7001953125</v>
      </c>
      <c r="G1039" t="b">
        <v>0</v>
      </c>
      <c r="H1039" t="s">
        <v>15</v>
      </c>
    </row>
    <row r="1040" spans="1:8">
      <c r="A1040" t="s">
        <v>148</v>
      </c>
      <c r="B1040" t="s">
        <v>87</v>
      </c>
      <c r="C1040">
        <v>290</v>
      </c>
      <c r="D1040" t="s">
        <v>147</v>
      </c>
      <c r="E1040" s="242"/>
      <c r="F1040">
        <v>6703.39990234375</v>
      </c>
      <c r="G1040" t="b">
        <v>0</v>
      </c>
      <c r="H1040" t="s">
        <v>15</v>
      </c>
    </row>
    <row r="1041" spans="1:8">
      <c r="A1041" t="s">
        <v>162</v>
      </c>
      <c r="B1041" t="s">
        <v>87</v>
      </c>
      <c r="C1041">
        <v>290</v>
      </c>
      <c r="D1041" t="s">
        <v>147</v>
      </c>
      <c r="E1041" s="242"/>
      <c r="F1041">
        <v>7383.10009765625</v>
      </c>
      <c r="G1041" t="b">
        <v>0</v>
      </c>
      <c r="H1041" t="s">
        <v>15</v>
      </c>
    </row>
    <row r="1042" spans="1:8">
      <c r="A1042" t="s">
        <v>163</v>
      </c>
      <c r="B1042" t="s">
        <v>87</v>
      </c>
      <c r="C1042">
        <v>290</v>
      </c>
      <c r="D1042" t="s">
        <v>147</v>
      </c>
      <c r="E1042" s="242"/>
      <c r="F1042">
        <v>4812.2001953125</v>
      </c>
      <c r="G1042" t="b">
        <v>0</v>
      </c>
      <c r="H1042" t="s">
        <v>15</v>
      </c>
    </row>
    <row r="1043" spans="1:8">
      <c r="A1043" t="s">
        <v>166</v>
      </c>
      <c r="B1043" t="s">
        <v>87</v>
      </c>
      <c r="C1043">
        <v>290</v>
      </c>
      <c r="D1043" t="s">
        <v>147</v>
      </c>
      <c r="E1043" s="242"/>
      <c r="F1043">
        <v>3340.19995117187</v>
      </c>
      <c r="G1043" t="b">
        <v>0</v>
      </c>
      <c r="H1043" t="s">
        <v>15</v>
      </c>
    </row>
    <row r="1044" spans="1:8">
      <c r="A1044" t="s">
        <v>149</v>
      </c>
      <c r="B1044" t="s">
        <v>87</v>
      </c>
      <c r="C1044">
        <v>290</v>
      </c>
      <c r="D1044" t="s">
        <v>147</v>
      </c>
      <c r="E1044" s="242"/>
      <c r="F1044">
        <v>4953.7001953125</v>
      </c>
      <c r="G1044" t="b">
        <v>0</v>
      </c>
      <c r="H1044" t="s">
        <v>15</v>
      </c>
    </row>
    <row r="1045" spans="1:8">
      <c r="A1045" t="s">
        <v>150</v>
      </c>
      <c r="B1045" t="s">
        <v>87</v>
      </c>
      <c r="C1045">
        <v>290</v>
      </c>
      <c r="D1045" t="s">
        <v>147</v>
      </c>
      <c r="E1045" s="242"/>
      <c r="F1045">
        <v>3985</v>
      </c>
      <c r="G1045" t="b">
        <v>0</v>
      </c>
      <c r="H1045" t="s">
        <v>15</v>
      </c>
    </row>
    <row r="1046" spans="1:8">
      <c r="A1046" t="s">
        <v>151</v>
      </c>
      <c r="B1046" t="s">
        <v>87</v>
      </c>
      <c r="C1046">
        <v>290</v>
      </c>
      <c r="D1046" t="s">
        <v>147</v>
      </c>
      <c r="E1046" s="242"/>
      <c r="F1046">
        <v>1781.80004882812</v>
      </c>
      <c r="G1046" t="b">
        <v>0</v>
      </c>
      <c r="H1046" t="s">
        <v>15</v>
      </c>
    </row>
    <row r="1047" spans="1:8">
      <c r="A1047" t="s">
        <v>152</v>
      </c>
      <c r="B1047" t="s">
        <v>87</v>
      </c>
      <c r="C1047">
        <v>290</v>
      </c>
      <c r="D1047" t="s">
        <v>147</v>
      </c>
      <c r="E1047" s="242"/>
      <c r="F1047">
        <v>1770.30004882812</v>
      </c>
      <c r="G1047" t="b">
        <v>0</v>
      </c>
      <c r="H1047" t="s">
        <v>15</v>
      </c>
    </row>
    <row r="1048" spans="1:8">
      <c r="A1048" t="s">
        <v>145</v>
      </c>
      <c r="B1048" t="s">
        <v>87</v>
      </c>
      <c r="C1048">
        <v>290</v>
      </c>
      <c r="D1048" t="s">
        <v>147</v>
      </c>
      <c r="E1048" s="242"/>
      <c r="F1048">
        <v>1704.69995117187</v>
      </c>
      <c r="G1048" t="b">
        <v>0</v>
      </c>
      <c r="H1048" t="s">
        <v>15</v>
      </c>
    </row>
    <row r="1049" spans="1:8">
      <c r="A1049" t="s">
        <v>167</v>
      </c>
      <c r="B1049" t="s">
        <v>87</v>
      </c>
      <c r="C1049">
        <v>290</v>
      </c>
      <c r="D1049" t="s">
        <v>147</v>
      </c>
      <c r="E1049" s="242"/>
      <c r="F1049">
        <v>1751.5</v>
      </c>
      <c r="G1049" t="b">
        <v>0</v>
      </c>
      <c r="H1049" t="s">
        <v>15</v>
      </c>
    </row>
    <row r="1050" spans="1:8">
      <c r="A1050" t="s">
        <v>153</v>
      </c>
      <c r="B1050" t="s">
        <v>87</v>
      </c>
      <c r="C1050">
        <v>290</v>
      </c>
      <c r="D1050" t="s">
        <v>147</v>
      </c>
      <c r="E1050" s="242"/>
      <c r="F1050">
        <v>1435</v>
      </c>
      <c r="G1050" t="b">
        <v>0</v>
      </c>
      <c r="H1050" t="s">
        <v>15</v>
      </c>
    </row>
    <row r="1051" spans="1:8">
      <c r="A1051" t="s">
        <v>154</v>
      </c>
      <c r="B1051" t="s">
        <v>87</v>
      </c>
      <c r="C1051">
        <v>290</v>
      </c>
      <c r="D1051" t="s">
        <v>147</v>
      </c>
      <c r="E1051" s="242"/>
      <c r="F1051">
        <v>2670.80004882812</v>
      </c>
      <c r="G1051" t="b">
        <v>0</v>
      </c>
      <c r="H1051" t="s">
        <v>15</v>
      </c>
    </row>
    <row r="1052" spans="1:8">
      <c r="A1052" t="s">
        <v>168</v>
      </c>
      <c r="B1052" t="s">
        <v>87</v>
      </c>
      <c r="C1052">
        <v>290</v>
      </c>
      <c r="D1052" t="s">
        <v>147</v>
      </c>
      <c r="E1052" s="242"/>
      <c r="F1052">
        <v>5199.39990234375</v>
      </c>
      <c r="G1052" t="b">
        <v>0</v>
      </c>
      <c r="H1052" t="s">
        <v>15</v>
      </c>
    </row>
    <row r="1053" spans="1:8">
      <c r="A1053" t="s">
        <v>155</v>
      </c>
      <c r="B1053" t="s">
        <v>87</v>
      </c>
      <c r="C1053">
        <v>290</v>
      </c>
      <c r="D1053" t="s">
        <v>147</v>
      </c>
      <c r="E1053" s="242"/>
      <c r="F1053">
        <v>4244.7998046875</v>
      </c>
      <c r="G1053" t="b">
        <v>0</v>
      </c>
      <c r="H1053" t="s">
        <v>15</v>
      </c>
    </row>
    <row r="1054" spans="1:8">
      <c r="A1054" t="s">
        <v>156</v>
      </c>
      <c r="B1054" t="s">
        <v>87</v>
      </c>
      <c r="C1054">
        <v>290</v>
      </c>
      <c r="D1054" t="s">
        <v>147</v>
      </c>
      <c r="E1054" s="242"/>
      <c r="F1054">
        <v>4756.5</v>
      </c>
      <c r="G1054" t="b">
        <v>0</v>
      </c>
      <c r="H1054" t="s">
        <v>15</v>
      </c>
    </row>
    <row r="1055" spans="1:8">
      <c r="A1055" t="s">
        <v>157</v>
      </c>
      <c r="B1055" t="s">
        <v>87</v>
      </c>
      <c r="C1055">
        <v>290</v>
      </c>
      <c r="D1055" t="s">
        <v>147</v>
      </c>
      <c r="E1055" s="242"/>
      <c r="F1055">
        <v>5081</v>
      </c>
      <c r="G1055" t="b">
        <v>0</v>
      </c>
      <c r="H1055" t="s">
        <v>15</v>
      </c>
    </row>
    <row r="1056" spans="1:8">
      <c r="A1056" t="s">
        <v>169</v>
      </c>
      <c r="B1056" t="s">
        <v>87</v>
      </c>
      <c r="C1056">
        <v>290</v>
      </c>
      <c r="D1056" t="s">
        <v>147</v>
      </c>
      <c r="E1056" s="242"/>
      <c r="F1056">
        <v>1492.69995117187</v>
      </c>
      <c r="G1056" t="b">
        <v>0</v>
      </c>
      <c r="H1056" t="s">
        <v>15</v>
      </c>
    </row>
    <row r="1057" spans="1:8">
      <c r="A1057" t="s">
        <v>170</v>
      </c>
      <c r="B1057" t="s">
        <v>87</v>
      </c>
      <c r="C1057">
        <v>290</v>
      </c>
      <c r="D1057" t="s">
        <v>147</v>
      </c>
      <c r="E1057" s="242"/>
      <c r="F1057">
        <v>1325.40002441406</v>
      </c>
      <c r="G1057" t="b">
        <v>0</v>
      </c>
      <c r="H1057" t="s">
        <v>15</v>
      </c>
    </row>
    <row r="1058" spans="1:8">
      <c r="A1058" t="s">
        <v>158</v>
      </c>
      <c r="B1058" t="s">
        <v>87</v>
      </c>
      <c r="C1058">
        <v>290</v>
      </c>
      <c r="D1058" t="s">
        <v>147</v>
      </c>
      <c r="E1058" s="242"/>
      <c r="F1058">
        <v>5235.10009765625</v>
      </c>
      <c r="G1058" t="b">
        <v>0</v>
      </c>
      <c r="H1058" t="s">
        <v>15</v>
      </c>
    </row>
    <row r="1059" spans="1:8">
      <c r="A1059" t="s">
        <v>159</v>
      </c>
      <c r="B1059" t="s">
        <v>87</v>
      </c>
      <c r="C1059">
        <v>290</v>
      </c>
      <c r="D1059" t="s">
        <v>147</v>
      </c>
      <c r="E1059" s="242"/>
      <c r="F1059">
        <v>3158.19995117187</v>
      </c>
      <c r="G1059" t="b">
        <v>0</v>
      </c>
      <c r="H1059" t="s">
        <v>15</v>
      </c>
    </row>
    <row r="1060" spans="1:8">
      <c r="A1060" t="s">
        <v>160</v>
      </c>
      <c r="B1060" t="s">
        <v>87</v>
      </c>
      <c r="C1060">
        <v>290</v>
      </c>
      <c r="D1060" t="s">
        <v>147</v>
      </c>
      <c r="E1060" s="242"/>
      <c r="F1060">
        <v>2969.10009765625</v>
      </c>
      <c r="G1060" t="b">
        <v>0</v>
      </c>
      <c r="H1060" t="s">
        <v>15</v>
      </c>
    </row>
    <row r="1061" spans="1:8">
      <c r="A1061" t="s">
        <v>164</v>
      </c>
      <c r="B1061" t="s">
        <v>87</v>
      </c>
      <c r="C1061">
        <v>291</v>
      </c>
      <c r="D1061" t="s">
        <v>147</v>
      </c>
      <c r="E1061" s="242"/>
      <c r="F1061">
        <v>5216.60009765625</v>
      </c>
      <c r="G1061" t="b">
        <v>0</v>
      </c>
      <c r="H1061" t="s">
        <v>15</v>
      </c>
    </row>
    <row r="1062" spans="1:8">
      <c r="A1062" t="s">
        <v>161</v>
      </c>
      <c r="B1062" t="s">
        <v>87</v>
      </c>
      <c r="C1062">
        <v>291</v>
      </c>
      <c r="D1062" t="s">
        <v>147</v>
      </c>
      <c r="E1062" s="242"/>
      <c r="F1062">
        <v>7001</v>
      </c>
      <c r="G1062" t="b">
        <v>0</v>
      </c>
      <c r="H1062" t="s">
        <v>15</v>
      </c>
    </row>
    <row r="1063" spans="1:8">
      <c r="A1063" t="s">
        <v>165</v>
      </c>
      <c r="B1063" t="s">
        <v>87</v>
      </c>
      <c r="C1063">
        <v>291</v>
      </c>
      <c r="D1063" t="s">
        <v>147</v>
      </c>
      <c r="E1063" s="242"/>
      <c r="F1063">
        <v>7703.7001953125</v>
      </c>
      <c r="G1063" t="b">
        <v>0</v>
      </c>
      <c r="H1063" t="s">
        <v>15</v>
      </c>
    </row>
    <row r="1064" spans="1:8">
      <c r="A1064" t="s">
        <v>148</v>
      </c>
      <c r="B1064" t="s">
        <v>87</v>
      </c>
      <c r="C1064">
        <v>291</v>
      </c>
      <c r="D1064" t="s">
        <v>147</v>
      </c>
      <c r="E1064" s="242"/>
      <c r="F1064">
        <v>6703.39990234375</v>
      </c>
      <c r="G1064" t="b">
        <v>0</v>
      </c>
      <c r="H1064" t="s">
        <v>15</v>
      </c>
    </row>
    <row r="1065" spans="1:8">
      <c r="A1065" t="s">
        <v>162</v>
      </c>
      <c r="B1065" t="s">
        <v>87</v>
      </c>
      <c r="C1065">
        <v>291</v>
      </c>
      <c r="D1065" t="s">
        <v>147</v>
      </c>
      <c r="E1065" s="242"/>
      <c r="F1065">
        <v>7383.10009765625</v>
      </c>
      <c r="G1065" t="b">
        <v>0</v>
      </c>
      <c r="H1065" t="s">
        <v>15</v>
      </c>
    </row>
    <row r="1066" spans="1:8">
      <c r="A1066" t="s">
        <v>163</v>
      </c>
      <c r="B1066" t="s">
        <v>87</v>
      </c>
      <c r="C1066">
        <v>291</v>
      </c>
      <c r="D1066" t="s">
        <v>147</v>
      </c>
      <c r="E1066" s="242"/>
      <c r="F1066">
        <v>4812.2001953125</v>
      </c>
      <c r="G1066" t="b">
        <v>0</v>
      </c>
      <c r="H1066" t="s">
        <v>15</v>
      </c>
    </row>
    <row r="1067" spans="1:8">
      <c r="A1067" t="s">
        <v>166</v>
      </c>
      <c r="B1067" t="s">
        <v>87</v>
      </c>
      <c r="C1067">
        <v>291</v>
      </c>
      <c r="D1067" t="s">
        <v>147</v>
      </c>
      <c r="E1067" s="242"/>
      <c r="F1067">
        <v>3340.5</v>
      </c>
      <c r="G1067" t="b">
        <v>0</v>
      </c>
      <c r="H1067" t="s">
        <v>15</v>
      </c>
    </row>
    <row r="1068" spans="1:8">
      <c r="A1068" t="s">
        <v>149</v>
      </c>
      <c r="B1068" t="s">
        <v>87</v>
      </c>
      <c r="C1068">
        <v>291</v>
      </c>
      <c r="D1068" t="s">
        <v>147</v>
      </c>
      <c r="E1068" s="242"/>
      <c r="F1068">
        <v>4953.7001953125</v>
      </c>
      <c r="G1068" t="b">
        <v>0</v>
      </c>
      <c r="H1068" t="s">
        <v>15</v>
      </c>
    </row>
    <row r="1069" spans="1:8">
      <c r="A1069" t="s">
        <v>150</v>
      </c>
      <c r="B1069" t="s">
        <v>87</v>
      </c>
      <c r="C1069">
        <v>291</v>
      </c>
      <c r="D1069" t="s">
        <v>147</v>
      </c>
      <c r="E1069" s="242"/>
      <c r="F1069">
        <v>3985</v>
      </c>
      <c r="G1069" t="b">
        <v>0</v>
      </c>
      <c r="H1069" t="s">
        <v>15</v>
      </c>
    </row>
    <row r="1070" spans="1:8">
      <c r="A1070" t="s">
        <v>151</v>
      </c>
      <c r="B1070" t="s">
        <v>87</v>
      </c>
      <c r="C1070">
        <v>291</v>
      </c>
      <c r="D1070" t="s">
        <v>147</v>
      </c>
      <c r="E1070" s="242"/>
      <c r="F1070">
        <v>1781.80004882812</v>
      </c>
      <c r="G1070" t="b">
        <v>0</v>
      </c>
      <c r="H1070" t="s">
        <v>15</v>
      </c>
    </row>
    <row r="1071" spans="1:8">
      <c r="A1071" t="s">
        <v>152</v>
      </c>
      <c r="B1071" t="s">
        <v>87</v>
      </c>
      <c r="C1071">
        <v>291</v>
      </c>
      <c r="D1071" t="s">
        <v>147</v>
      </c>
      <c r="E1071" s="242"/>
      <c r="F1071">
        <v>1770.30004882812</v>
      </c>
      <c r="G1071" t="b">
        <v>0</v>
      </c>
      <c r="H1071" t="s">
        <v>15</v>
      </c>
    </row>
    <row r="1072" spans="1:8">
      <c r="A1072" t="s">
        <v>145</v>
      </c>
      <c r="B1072" t="s">
        <v>87</v>
      </c>
      <c r="C1072">
        <v>291</v>
      </c>
      <c r="D1072" t="s">
        <v>147</v>
      </c>
      <c r="E1072" s="242"/>
      <c r="F1072">
        <v>1704.69995117187</v>
      </c>
      <c r="G1072" t="b">
        <v>0</v>
      </c>
      <c r="H1072" t="s">
        <v>15</v>
      </c>
    </row>
    <row r="1073" spans="1:8">
      <c r="A1073" t="s">
        <v>167</v>
      </c>
      <c r="B1073" t="s">
        <v>87</v>
      </c>
      <c r="C1073">
        <v>291</v>
      </c>
      <c r="D1073" t="s">
        <v>147</v>
      </c>
      <c r="E1073" s="242"/>
      <c r="F1073">
        <v>1751.5</v>
      </c>
      <c r="G1073" t="b">
        <v>0</v>
      </c>
      <c r="H1073" t="s">
        <v>15</v>
      </c>
    </row>
    <row r="1074" spans="1:8">
      <c r="A1074" t="s">
        <v>153</v>
      </c>
      <c r="B1074" t="s">
        <v>87</v>
      </c>
      <c r="C1074">
        <v>291</v>
      </c>
      <c r="D1074" t="s">
        <v>147</v>
      </c>
      <c r="E1074" s="242"/>
      <c r="F1074">
        <v>1435</v>
      </c>
      <c r="G1074" t="b">
        <v>0</v>
      </c>
      <c r="H1074" t="s">
        <v>15</v>
      </c>
    </row>
    <row r="1075" spans="1:8">
      <c r="A1075" t="s">
        <v>154</v>
      </c>
      <c r="B1075" t="s">
        <v>87</v>
      </c>
      <c r="C1075">
        <v>291</v>
      </c>
      <c r="D1075" t="s">
        <v>147</v>
      </c>
      <c r="E1075" s="242"/>
      <c r="F1075">
        <v>2670.80004882812</v>
      </c>
      <c r="G1075" t="b">
        <v>0</v>
      </c>
      <c r="H1075" t="s">
        <v>15</v>
      </c>
    </row>
    <row r="1076" spans="1:8">
      <c r="A1076" t="s">
        <v>168</v>
      </c>
      <c r="B1076" t="s">
        <v>87</v>
      </c>
      <c r="C1076">
        <v>291</v>
      </c>
      <c r="D1076" t="s">
        <v>147</v>
      </c>
      <c r="E1076" s="242"/>
      <c r="F1076">
        <v>5199.39990234375</v>
      </c>
      <c r="G1076" t="b">
        <v>0</v>
      </c>
      <c r="H1076" t="s">
        <v>15</v>
      </c>
    </row>
    <row r="1077" spans="1:8">
      <c r="A1077" t="s">
        <v>155</v>
      </c>
      <c r="B1077" t="s">
        <v>87</v>
      </c>
      <c r="C1077">
        <v>291</v>
      </c>
      <c r="D1077" t="s">
        <v>147</v>
      </c>
      <c r="E1077" s="242"/>
      <c r="F1077">
        <v>4244.7998046875</v>
      </c>
      <c r="G1077" t="b">
        <v>0</v>
      </c>
      <c r="H1077" t="s">
        <v>15</v>
      </c>
    </row>
    <row r="1078" spans="1:8">
      <c r="A1078" t="s">
        <v>156</v>
      </c>
      <c r="B1078" t="s">
        <v>87</v>
      </c>
      <c r="C1078">
        <v>291</v>
      </c>
      <c r="D1078" t="s">
        <v>147</v>
      </c>
      <c r="E1078" s="242"/>
      <c r="F1078">
        <v>4756.5</v>
      </c>
      <c r="G1078" t="b">
        <v>0</v>
      </c>
      <c r="H1078" t="s">
        <v>15</v>
      </c>
    </row>
    <row r="1079" spans="1:8">
      <c r="A1079" t="s">
        <v>157</v>
      </c>
      <c r="B1079" t="s">
        <v>87</v>
      </c>
      <c r="C1079">
        <v>291</v>
      </c>
      <c r="D1079" t="s">
        <v>147</v>
      </c>
      <c r="E1079" s="242"/>
      <c r="F1079">
        <v>5081</v>
      </c>
      <c r="G1079" t="b">
        <v>0</v>
      </c>
      <c r="H1079" t="s">
        <v>15</v>
      </c>
    </row>
    <row r="1080" spans="1:8">
      <c r="A1080" t="s">
        <v>169</v>
      </c>
      <c r="B1080" t="s">
        <v>87</v>
      </c>
      <c r="C1080">
        <v>291</v>
      </c>
      <c r="D1080" t="s">
        <v>147</v>
      </c>
      <c r="E1080" s="242"/>
      <c r="F1080">
        <v>1492.69995117187</v>
      </c>
      <c r="G1080" t="b">
        <v>0</v>
      </c>
      <c r="H1080" t="s">
        <v>15</v>
      </c>
    </row>
    <row r="1081" spans="1:8">
      <c r="A1081" t="s">
        <v>170</v>
      </c>
      <c r="B1081" t="s">
        <v>87</v>
      </c>
      <c r="C1081">
        <v>291</v>
      </c>
      <c r="D1081" t="s">
        <v>147</v>
      </c>
      <c r="E1081" s="242"/>
      <c r="F1081">
        <v>1325.40002441406</v>
      </c>
      <c r="G1081" t="b">
        <v>0</v>
      </c>
      <c r="H1081" t="s">
        <v>15</v>
      </c>
    </row>
    <row r="1082" spans="1:8">
      <c r="A1082" t="s">
        <v>158</v>
      </c>
      <c r="B1082" t="s">
        <v>87</v>
      </c>
      <c r="C1082">
        <v>291</v>
      </c>
      <c r="D1082" t="s">
        <v>147</v>
      </c>
      <c r="E1082" s="242"/>
      <c r="F1082">
        <v>5235.10009765625</v>
      </c>
      <c r="G1082" t="b">
        <v>0</v>
      </c>
      <c r="H1082" t="s">
        <v>15</v>
      </c>
    </row>
    <row r="1083" spans="1:8">
      <c r="A1083" t="s">
        <v>159</v>
      </c>
      <c r="B1083" t="s">
        <v>87</v>
      </c>
      <c r="C1083">
        <v>291</v>
      </c>
      <c r="D1083" t="s">
        <v>147</v>
      </c>
      <c r="E1083" s="242"/>
      <c r="F1083">
        <v>3158.19995117187</v>
      </c>
      <c r="G1083" t="b">
        <v>0</v>
      </c>
      <c r="H1083" t="s">
        <v>15</v>
      </c>
    </row>
    <row r="1084" spans="1:8">
      <c r="A1084" t="s">
        <v>160</v>
      </c>
      <c r="B1084" t="s">
        <v>87</v>
      </c>
      <c r="C1084">
        <v>291</v>
      </c>
      <c r="D1084" t="s">
        <v>147</v>
      </c>
      <c r="E1084" s="242"/>
      <c r="F1084">
        <v>2969.10009765625</v>
      </c>
      <c r="G1084" t="b">
        <v>0</v>
      </c>
      <c r="H1084" t="s">
        <v>15</v>
      </c>
    </row>
    <row r="1085" spans="1:8">
      <c r="A1085" t="s">
        <v>164</v>
      </c>
      <c r="B1085" t="s">
        <v>87</v>
      </c>
      <c r="C1085">
        <v>295</v>
      </c>
      <c r="D1085" t="s">
        <v>147</v>
      </c>
      <c r="E1085" s="242"/>
      <c r="F1085">
        <v>5216.60009765625</v>
      </c>
      <c r="G1085" t="b">
        <v>0</v>
      </c>
      <c r="H1085" t="s">
        <v>15</v>
      </c>
    </row>
    <row r="1086" spans="1:8">
      <c r="A1086" t="s">
        <v>161</v>
      </c>
      <c r="B1086" t="s">
        <v>87</v>
      </c>
      <c r="C1086">
        <v>295</v>
      </c>
      <c r="D1086" t="s">
        <v>147</v>
      </c>
      <c r="E1086" s="242"/>
      <c r="F1086">
        <v>7001</v>
      </c>
      <c r="G1086" t="b">
        <v>0</v>
      </c>
      <c r="H1086" t="s">
        <v>15</v>
      </c>
    </row>
    <row r="1087" spans="1:8">
      <c r="A1087" t="s">
        <v>165</v>
      </c>
      <c r="B1087" t="s">
        <v>87</v>
      </c>
      <c r="C1087">
        <v>295</v>
      </c>
      <c r="D1087" t="s">
        <v>147</v>
      </c>
      <c r="E1087" s="242"/>
      <c r="F1087">
        <v>7703.7001953125</v>
      </c>
      <c r="G1087" t="b">
        <v>0</v>
      </c>
      <c r="H1087" t="s">
        <v>15</v>
      </c>
    </row>
    <row r="1088" spans="1:8">
      <c r="A1088" t="s">
        <v>148</v>
      </c>
      <c r="B1088" t="s">
        <v>87</v>
      </c>
      <c r="C1088">
        <v>295</v>
      </c>
      <c r="D1088" t="s">
        <v>147</v>
      </c>
      <c r="E1088" s="242"/>
      <c r="F1088">
        <v>6703.39990234375</v>
      </c>
      <c r="G1088" t="b">
        <v>0</v>
      </c>
      <c r="H1088" t="s">
        <v>15</v>
      </c>
    </row>
    <row r="1089" spans="1:8">
      <c r="A1089" t="s">
        <v>162</v>
      </c>
      <c r="B1089" t="s">
        <v>87</v>
      </c>
      <c r="C1089">
        <v>295</v>
      </c>
      <c r="D1089" t="s">
        <v>147</v>
      </c>
      <c r="E1089" s="242"/>
      <c r="F1089">
        <v>7383.10009765625</v>
      </c>
      <c r="G1089" t="b">
        <v>0</v>
      </c>
      <c r="H1089" t="s">
        <v>15</v>
      </c>
    </row>
    <row r="1090" spans="1:8">
      <c r="A1090" t="s">
        <v>163</v>
      </c>
      <c r="B1090" t="s">
        <v>87</v>
      </c>
      <c r="C1090">
        <v>295</v>
      </c>
      <c r="D1090" t="s">
        <v>147</v>
      </c>
      <c r="E1090" s="242"/>
      <c r="F1090">
        <v>4812.2001953125</v>
      </c>
      <c r="G1090" t="b">
        <v>0</v>
      </c>
      <c r="H1090" t="s">
        <v>15</v>
      </c>
    </row>
    <row r="1091" spans="1:8">
      <c r="A1091" t="s">
        <v>166</v>
      </c>
      <c r="B1091" t="s">
        <v>87</v>
      </c>
      <c r="C1091">
        <v>295</v>
      </c>
      <c r="D1091" t="s">
        <v>147</v>
      </c>
      <c r="E1091" s="242"/>
      <c r="F1091">
        <v>3340.5</v>
      </c>
      <c r="G1091" t="b">
        <v>0</v>
      </c>
      <c r="H1091" t="s">
        <v>15</v>
      </c>
    </row>
    <row r="1092" spans="1:8">
      <c r="A1092" t="s">
        <v>149</v>
      </c>
      <c r="B1092" t="s">
        <v>87</v>
      </c>
      <c r="C1092">
        <v>295</v>
      </c>
      <c r="D1092" t="s">
        <v>147</v>
      </c>
      <c r="E1092" s="242"/>
      <c r="F1092">
        <v>4953.7001953125</v>
      </c>
      <c r="G1092" t="b">
        <v>0</v>
      </c>
      <c r="H1092" t="s">
        <v>15</v>
      </c>
    </row>
    <row r="1093" spans="1:8">
      <c r="A1093" t="s">
        <v>150</v>
      </c>
      <c r="B1093" t="s">
        <v>87</v>
      </c>
      <c r="C1093">
        <v>295</v>
      </c>
      <c r="D1093" t="s">
        <v>147</v>
      </c>
      <c r="E1093" s="242"/>
      <c r="F1093">
        <v>3985</v>
      </c>
      <c r="G1093" t="b">
        <v>0</v>
      </c>
      <c r="H1093" t="s">
        <v>15</v>
      </c>
    </row>
    <row r="1094" spans="1:8">
      <c r="A1094" t="s">
        <v>151</v>
      </c>
      <c r="B1094" t="s">
        <v>87</v>
      </c>
      <c r="C1094">
        <v>295</v>
      </c>
      <c r="D1094" t="s">
        <v>147</v>
      </c>
      <c r="E1094" s="242"/>
      <c r="F1094">
        <v>1781.80004882812</v>
      </c>
      <c r="G1094" t="b">
        <v>0</v>
      </c>
      <c r="H1094" t="s">
        <v>15</v>
      </c>
    </row>
    <row r="1095" spans="1:8">
      <c r="A1095" t="s">
        <v>152</v>
      </c>
      <c r="B1095" t="s">
        <v>87</v>
      </c>
      <c r="C1095">
        <v>295</v>
      </c>
      <c r="D1095" t="s">
        <v>147</v>
      </c>
      <c r="E1095" s="242"/>
      <c r="F1095">
        <v>1770.30004882812</v>
      </c>
      <c r="G1095" t="b">
        <v>0</v>
      </c>
      <c r="H1095" t="s">
        <v>15</v>
      </c>
    </row>
    <row r="1096" spans="1:8">
      <c r="A1096" t="s">
        <v>145</v>
      </c>
      <c r="B1096" t="s">
        <v>87</v>
      </c>
      <c r="C1096">
        <v>295</v>
      </c>
      <c r="D1096" t="s">
        <v>147</v>
      </c>
      <c r="E1096" s="242"/>
      <c r="F1096">
        <v>1704.69995117187</v>
      </c>
      <c r="G1096" t="b">
        <v>0</v>
      </c>
      <c r="H1096" t="s">
        <v>15</v>
      </c>
    </row>
    <row r="1097" spans="1:8">
      <c r="A1097" t="s">
        <v>167</v>
      </c>
      <c r="B1097" t="s">
        <v>87</v>
      </c>
      <c r="C1097">
        <v>295</v>
      </c>
      <c r="D1097" t="s">
        <v>147</v>
      </c>
      <c r="E1097" s="242"/>
      <c r="F1097">
        <v>1751.5</v>
      </c>
      <c r="G1097" t="b">
        <v>0</v>
      </c>
      <c r="H1097" t="s">
        <v>15</v>
      </c>
    </row>
    <row r="1098" spans="1:8">
      <c r="A1098" t="s">
        <v>153</v>
      </c>
      <c r="B1098" t="s">
        <v>87</v>
      </c>
      <c r="C1098">
        <v>295</v>
      </c>
      <c r="D1098" t="s">
        <v>147</v>
      </c>
      <c r="E1098" s="242"/>
      <c r="F1098">
        <v>1435</v>
      </c>
      <c r="G1098" t="b">
        <v>0</v>
      </c>
      <c r="H1098" t="s">
        <v>15</v>
      </c>
    </row>
    <row r="1099" spans="1:8">
      <c r="A1099" t="s">
        <v>154</v>
      </c>
      <c r="B1099" t="s">
        <v>87</v>
      </c>
      <c r="C1099">
        <v>295</v>
      </c>
      <c r="D1099" t="s">
        <v>147</v>
      </c>
      <c r="E1099" s="242"/>
      <c r="F1099">
        <v>2670.80004882812</v>
      </c>
      <c r="G1099" t="b">
        <v>0</v>
      </c>
      <c r="H1099" t="s">
        <v>15</v>
      </c>
    </row>
    <row r="1100" spans="1:8">
      <c r="A1100" t="s">
        <v>168</v>
      </c>
      <c r="B1100" t="s">
        <v>87</v>
      </c>
      <c r="C1100">
        <v>295</v>
      </c>
      <c r="D1100" t="s">
        <v>147</v>
      </c>
      <c r="E1100" s="242"/>
      <c r="F1100">
        <v>5199.39990234375</v>
      </c>
      <c r="G1100" t="b">
        <v>0</v>
      </c>
      <c r="H1100" t="s">
        <v>15</v>
      </c>
    </row>
    <row r="1101" spans="1:8">
      <c r="A1101" t="s">
        <v>155</v>
      </c>
      <c r="B1101" t="s">
        <v>87</v>
      </c>
      <c r="C1101">
        <v>295</v>
      </c>
      <c r="D1101" t="s">
        <v>147</v>
      </c>
      <c r="E1101" s="242"/>
      <c r="F1101">
        <v>4244.7998046875</v>
      </c>
      <c r="G1101" t="b">
        <v>0</v>
      </c>
      <c r="H1101" t="s">
        <v>15</v>
      </c>
    </row>
    <row r="1102" spans="1:8">
      <c r="A1102" t="s">
        <v>156</v>
      </c>
      <c r="B1102" t="s">
        <v>87</v>
      </c>
      <c r="C1102">
        <v>295</v>
      </c>
      <c r="D1102" t="s">
        <v>147</v>
      </c>
      <c r="E1102" s="242"/>
      <c r="F1102">
        <v>4756.5</v>
      </c>
      <c r="G1102" t="b">
        <v>0</v>
      </c>
      <c r="H1102" t="s">
        <v>15</v>
      </c>
    </row>
    <row r="1103" spans="1:8">
      <c r="A1103" t="s">
        <v>157</v>
      </c>
      <c r="B1103" t="s">
        <v>87</v>
      </c>
      <c r="C1103">
        <v>295</v>
      </c>
      <c r="D1103" t="s">
        <v>147</v>
      </c>
      <c r="E1103" s="242"/>
      <c r="F1103">
        <v>5081</v>
      </c>
      <c r="G1103" t="b">
        <v>0</v>
      </c>
      <c r="H1103" t="s">
        <v>15</v>
      </c>
    </row>
    <row r="1104" spans="1:8">
      <c r="A1104" t="s">
        <v>169</v>
      </c>
      <c r="B1104" t="s">
        <v>87</v>
      </c>
      <c r="C1104">
        <v>295</v>
      </c>
      <c r="D1104" t="s">
        <v>147</v>
      </c>
      <c r="E1104" s="242"/>
      <c r="F1104">
        <v>1492.69995117187</v>
      </c>
      <c r="G1104" t="b">
        <v>0</v>
      </c>
      <c r="H1104" t="s">
        <v>15</v>
      </c>
    </row>
    <row r="1105" spans="1:8">
      <c r="A1105" t="s">
        <v>170</v>
      </c>
      <c r="B1105" t="s">
        <v>87</v>
      </c>
      <c r="C1105">
        <v>295</v>
      </c>
      <c r="D1105" t="s">
        <v>147</v>
      </c>
      <c r="E1105" s="242"/>
      <c r="F1105">
        <v>1325.40002441406</v>
      </c>
      <c r="G1105" t="b">
        <v>0</v>
      </c>
      <c r="H1105" t="s">
        <v>15</v>
      </c>
    </row>
    <row r="1106" spans="1:8">
      <c r="A1106" t="s">
        <v>158</v>
      </c>
      <c r="B1106" t="s">
        <v>87</v>
      </c>
      <c r="C1106">
        <v>295</v>
      </c>
      <c r="D1106" t="s">
        <v>147</v>
      </c>
      <c r="E1106" s="242"/>
      <c r="F1106">
        <v>5235.10009765625</v>
      </c>
      <c r="G1106" t="b">
        <v>0</v>
      </c>
      <c r="H1106" t="s">
        <v>15</v>
      </c>
    </row>
    <row r="1107" spans="1:8">
      <c r="A1107" t="s">
        <v>159</v>
      </c>
      <c r="B1107" t="s">
        <v>87</v>
      </c>
      <c r="C1107">
        <v>295</v>
      </c>
      <c r="D1107" t="s">
        <v>147</v>
      </c>
      <c r="E1107" s="242"/>
      <c r="F1107">
        <v>3158.19995117187</v>
      </c>
      <c r="G1107" t="b">
        <v>0</v>
      </c>
      <c r="H1107" t="s">
        <v>15</v>
      </c>
    </row>
    <row r="1108" spans="1:8">
      <c r="A1108" t="s">
        <v>160</v>
      </c>
      <c r="B1108" t="s">
        <v>87</v>
      </c>
      <c r="C1108">
        <v>295</v>
      </c>
      <c r="D1108" t="s">
        <v>147</v>
      </c>
      <c r="E1108" s="242"/>
      <c r="F1108">
        <v>2969.10009765625</v>
      </c>
      <c r="G1108" t="b">
        <v>0</v>
      </c>
      <c r="H1108" t="s">
        <v>15</v>
      </c>
    </row>
    <row r="1109" spans="1:8">
      <c r="A1109" t="s">
        <v>164</v>
      </c>
      <c r="B1109" t="s">
        <v>87</v>
      </c>
      <c r="C1109">
        <v>300</v>
      </c>
      <c r="D1109" t="s">
        <v>147</v>
      </c>
      <c r="E1109" s="242"/>
      <c r="F1109">
        <v>5216.60009765625</v>
      </c>
      <c r="G1109" t="b">
        <v>0</v>
      </c>
      <c r="H1109" t="s">
        <v>15</v>
      </c>
    </row>
    <row r="1110" spans="1:8">
      <c r="A1110" t="s">
        <v>161</v>
      </c>
      <c r="B1110" t="s">
        <v>87</v>
      </c>
      <c r="C1110">
        <v>300</v>
      </c>
      <c r="D1110" t="s">
        <v>147</v>
      </c>
      <c r="E1110" s="242"/>
      <c r="F1110">
        <v>7001</v>
      </c>
      <c r="G1110" t="b">
        <v>0</v>
      </c>
      <c r="H1110" t="s">
        <v>15</v>
      </c>
    </row>
    <row r="1111" spans="1:8">
      <c r="A1111" t="s">
        <v>165</v>
      </c>
      <c r="B1111" t="s">
        <v>87</v>
      </c>
      <c r="C1111">
        <v>300</v>
      </c>
      <c r="D1111" t="s">
        <v>147</v>
      </c>
      <c r="E1111" s="242"/>
      <c r="F1111">
        <v>7703.7001953125</v>
      </c>
      <c r="G1111" t="b">
        <v>0</v>
      </c>
      <c r="H1111" t="s">
        <v>15</v>
      </c>
    </row>
    <row r="1112" spans="1:8">
      <c r="A1112" t="s">
        <v>148</v>
      </c>
      <c r="B1112" t="s">
        <v>87</v>
      </c>
      <c r="C1112">
        <v>300</v>
      </c>
      <c r="D1112" t="s">
        <v>147</v>
      </c>
      <c r="E1112" s="242"/>
      <c r="F1112">
        <v>6703.39990234375</v>
      </c>
      <c r="G1112" t="b">
        <v>0</v>
      </c>
      <c r="H1112" t="s">
        <v>15</v>
      </c>
    </row>
    <row r="1113" spans="1:8">
      <c r="A1113" t="s">
        <v>162</v>
      </c>
      <c r="B1113" t="s">
        <v>87</v>
      </c>
      <c r="C1113">
        <v>300</v>
      </c>
      <c r="D1113" t="s">
        <v>147</v>
      </c>
      <c r="E1113" s="242"/>
      <c r="F1113">
        <v>7383.10009765625</v>
      </c>
      <c r="G1113" t="b">
        <v>0</v>
      </c>
      <c r="H1113" t="s">
        <v>15</v>
      </c>
    </row>
    <row r="1114" spans="1:8">
      <c r="A1114" t="s">
        <v>163</v>
      </c>
      <c r="B1114" t="s">
        <v>87</v>
      </c>
      <c r="C1114">
        <v>300</v>
      </c>
      <c r="D1114" t="s">
        <v>147</v>
      </c>
      <c r="E1114" s="242"/>
      <c r="F1114">
        <v>4812.2001953125</v>
      </c>
      <c r="G1114" t="b">
        <v>0</v>
      </c>
      <c r="H1114" t="s">
        <v>15</v>
      </c>
    </row>
    <row r="1115" spans="1:8">
      <c r="A1115" t="s">
        <v>166</v>
      </c>
      <c r="B1115" t="s">
        <v>87</v>
      </c>
      <c r="C1115">
        <v>300</v>
      </c>
      <c r="D1115" t="s">
        <v>147</v>
      </c>
      <c r="E1115" s="242"/>
      <c r="F1115">
        <v>3340.5</v>
      </c>
      <c r="G1115" t="b">
        <v>0</v>
      </c>
      <c r="H1115" t="s">
        <v>15</v>
      </c>
    </row>
    <row r="1116" spans="1:8">
      <c r="A1116" t="s">
        <v>149</v>
      </c>
      <c r="B1116" t="s">
        <v>87</v>
      </c>
      <c r="C1116">
        <v>300</v>
      </c>
      <c r="D1116" t="s">
        <v>147</v>
      </c>
      <c r="E1116" s="242"/>
      <c r="F1116">
        <v>4953.7001953125</v>
      </c>
      <c r="G1116" t="b">
        <v>0</v>
      </c>
      <c r="H1116" t="s">
        <v>15</v>
      </c>
    </row>
    <row r="1117" spans="1:8">
      <c r="A1117" t="s">
        <v>150</v>
      </c>
      <c r="B1117" t="s">
        <v>87</v>
      </c>
      <c r="C1117">
        <v>300</v>
      </c>
      <c r="D1117" t="s">
        <v>147</v>
      </c>
      <c r="E1117" s="242"/>
      <c r="F1117">
        <v>3985</v>
      </c>
      <c r="G1117" t="b">
        <v>0</v>
      </c>
      <c r="H1117" t="s">
        <v>15</v>
      </c>
    </row>
    <row r="1118" spans="1:8">
      <c r="A1118" t="s">
        <v>151</v>
      </c>
      <c r="B1118" t="s">
        <v>87</v>
      </c>
      <c r="C1118">
        <v>300</v>
      </c>
      <c r="D1118" t="s">
        <v>147</v>
      </c>
      <c r="E1118" s="242"/>
      <c r="F1118">
        <v>1781.80004882812</v>
      </c>
      <c r="G1118" t="b">
        <v>0</v>
      </c>
      <c r="H1118" t="s">
        <v>15</v>
      </c>
    </row>
    <row r="1119" spans="1:8">
      <c r="A1119" t="s">
        <v>152</v>
      </c>
      <c r="B1119" t="s">
        <v>87</v>
      </c>
      <c r="C1119">
        <v>300</v>
      </c>
      <c r="D1119" t="s">
        <v>147</v>
      </c>
      <c r="E1119" s="242"/>
      <c r="F1119">
        <v>1770.30004882812</v>
      </c>
      <c r="G1119" t="b">
        <v>0</v>
      </c>
      <c r="H1119" t="s">
        <v>15</v>
      </c>
    </row>
    <row r="1120" spans="1:8">
      <c r="A1120" t="s">
        <v>145</v>
      </c>
      <c r="B1120" t="s">
        <v>87</v>
      </c>
      <c r="C1120">
        <v>300</v>
      </c>
      <c r="D1120" t="s">
        <v>147</v>
      </c>
      <c r="E1120" s="242"/>
      <c r="F1120">
        <v>1704.69995117187</v>
      </c>
      <c r="G1120" t="b">
        <v>0</v>
      </c>
      <c r="H1120" t="s">
        <v>15</v>
      </c>
    </row>
    <row r="1121" spans="1:8">
      <c r="A1121" t="s">
        <v>167</v>
      </c>
      <c r="B1121" t="s">
        <v>87</v>
      </c>
      <c r="C1121">
        <v>300</v>
      </c>
      <c r="D1121" t="s">
        <v>147</v>
      </c>
      <c r="E1121" s="242"/>
      <c r="F1121">
        <v>1751.5</v>
      </c>
      <c r="G1121" t="b">
        <v>0</v>
      </c>
      <c r="H1121" t="s">
        <v>15</v>
      </c>
    </row>
    <row r="1122" spans="1:8">
      <c r="A1122" t="s">
        <v>153</v>
      </c>
      <c r="B1122" t="s">
        <v>87</v>
      </c>
      <c r="C1122">
        <v>300</v>
      </c>
      <c r="D1122" t="s">
        <v>147</v>
      </c>
      <c r="E1122" s="242"/>
      <c r="F1122">
        <v>1435</v>
      </c>
      <c r="G1122" t="b">
        <v>0</v>
      </c>
      <c r="H1122" t="s">
        <v>15</v>
      </c>
    </row>
    <row r="1123" spans="1:8">
      <c r="A1123" t="s">
        <v>154</v>
      </c>
      <c r="B1123" t="s">
        <v>87</v>
      </c>
      <c r="C1123">
        <v>300</v>
      </c>
      <c r="D1123" t="s">
        <v>147</v>
      </c>
      <c r="E1123" s="242"/>
      <c r="F1123">
        <v>2670.80004882812</v>
      </c>
      <c r="G1123" t="b">
        <v>0</v>
      </c>
      <c r="H1123" t="s">
        <v>15</v>
      </c>
    </row>
    <row r="1124" spans="1:8">
      <c r="A1124" t="s">
        <v>168</v>
      </c>
      <c r="B1124" t="s">
        <v>87</v>
      </c>
      <c r="C1124">
        <v>300</v>
      </c>
      <c r="D1124" t="s">
        <v>147</v>
      </c>
      <c r="E1124" s="242"/>
      <c r="F1124">
        <v>5199.39990234375</v>
      </c>
      <c r="G1124" t="b">
        <v>0</v>
      </c>
      <c r="H1124" t="s">
        <v>15</v>
      </c>
    </row>
    <row r="1125" spans="1:8">
      <c r="A1125" t="s">
        <v>155</v>
      </c>
      <c r="B1125" t="s">
        <v>87</v>
      </c>
      <c r="C1125">
        <v>300</v>
      </c>
      <c r="D1125" t="s">
        <v>147</v>
      </c>
      <c r="E1125" s="242"/>
      <c r="F1125">
        <v>4244.7998046875</v>
      </c>
      <c r="G1125" t="b">
        <v>0</v>
      </c>
      <c r="H1125" t="s">
        <v>15</v>
      </c>
    </row>
    <row r="1126" spans="1:8">
      <c r="A1126" t="s">
        <v>156</v>
      </c>
      <c r="B1126" t="s">
        <v>87</v>
      </c>
      <c r="C1126">
        <v>300</v>
      </c>
      <c r="D1126" t="s">
        <v>147</v>
      </c>
      <c r="E1126" s="242"/>
      <c r="F1126">
        <v>4756.5</v>
      </c>
      <c r="G1126" t="b">
        <v>0</v>
      </c>
      <c r="H1126" t="s">
        <v>15</v>
      </c>
    </row>
    <row r="1127" spans="1:8">
      <c r="A1127" t="s">
        <v>157</v>
      </c>
      <c r="B1127" t="s">
        <v>87</v>
      </c>
      <c r="C1127">
        <v>300</v>
      </c>
      <c r="D1127" t="s">
        <v>147</v>
      </c>
      <c r="E1127" s="242"/>
      <c r="F1127">
        <v>5081</v>
      </c>
      <c r="G1127" t="b">
        <v>0</v>
      </c>
      <c r="H1127" t="s">
        <v>15</v>
      </c>
    </row>
    <row r="1128" spans="1:8">
      <c r="A1128" t="s">
        <v>169</v>
      </c>
      <c r="B1128" t="s">
        <v>87</v>
      </c>
      <c r="C1128">
        <v>300</v>
      </c>
      <c r="D1128" t="s">
        <v>147</v>
      </c>
      <c r="E1128" s="242"/>
      <c r="F1128">
        <v>1492.69995117187</v>
      </c>
      <c r="G1128" t="b">
        <v>0</v>
      </c>
      <c r="H1128" t="s">
        <v>15</v>
      </c>
    </row>
    <row r="1129" spans="1:8">
      <c r="A1129" t="s">
        <v>170</v>
      </c>
      <c r="B1129" t="s">
        <v>87</v>
      </c>
      <c r="C1129">
        <v>300</v>
      </c>
      <c r="D1129" t="s">
        <v>147</v>
      </c>
      <c r="E1129" s="242"/>
      <c r="F1129">
        <v>1325.40002441406</v>
      </c>
      <c r="G1129" t="b">
        <v>0</v>
      </c>
      <c r="H1129" t="s">
        <v>15</v>
      </c>
    </row>
    <row r="1130" spans="1:8">
      <c r="A1130" t="s">
        <v>158</v>
      </c>
      <c r="B1130" t="s">
        <v>87</v>
      </c>
      <c r="C1130">
        <v>300</v>
      </c>
      <c r="D1130" t="s">
        <v>147</v>
      </c>
      <c r="E1130" s="242"/>
      <c r="F1130">
        <v>5235.10009765625</v>
      </c>
      <c r="G1130" t="b">
        <v>0</v>
      </c>
      <c r="H1130" t="s">
        <v>15</v>
      </c>
    </row>
    <row r="1131" spans="1:8">
      <c r="A1131" t="s">
        <v>159</v>
      </c>
      <c r="B1131" t="s">
        <v>87</v>
      </c>
      <c r="C1131">
        <v>300</v>
      </c>
      <c r="D1131" t="s">
        <v>147</v>
      </c>
      <c r="E1131" s="242"/>
      <c r="F1131">
        <v>3158.19995117187</v>
      </c>
      <c r="G1131" t="b">
        <v>0</v>
      </c>
      <c r="H1131" t="s">
        <v>15</v>
      </c>
    </row>
    <row r="1132" spans="1:8">
      <c r="A1132" t="s">
        <v>160</v>
      </c>
      <c r="B1132" t="s">
        <v>87</v>
      </c>
      <c r="C1132">
        <v>300</v>
      </c>
      <c r="D1132" t="s">
        <v>147</v>
      </c>
      <c r="E1132" s="242"/>
      <c r="F1132">
        <v>2969.10009765625</v>
      </c>
      <c r="G1132" t="b">
        <v>0</v>
      </c>
      <c r="H1132" t="s">
        <v>15</v>
      </c>
    </row>
    <row r="1133" spans="1:8">
      <c r="A1133" t="s">
        <v>148</v>
      </c>
      <c r="B1133" t="s">
        <v>87</v>
      </c>
      <c r="C1133">
        <v>310</v>
      </c>
      <c r="D1133" t="s">
        <v>147</v>
      </c>
      <c r="E1133" s="242"/>
      <c r="F1133">
        <v>6461.39990234375</v>
      </c>
      <c r="G1133" t="b">
        <v>0</v>
      </c>
      <c r="H1133" t="s">
        <v>15</v>
      </c>
    </row>
    <row r="1134" spans="1:8">
      <c r="A1134" t="s">
        <v>148</v>
      </c>
      <c r="B1134" t="s">
        <v>87</v>
      </c>
      <c r="C1134">
        <v>320</v>
      </c>
      <c r="D1134" t="s">
        <v>171</v>
      </c>
      <c r="E1134" s="242">
        <v>41955</v>
      </c>
      <c r="F1134">
        <v>0</v>
      </c>
      <c r="G1134" t="b">
        <v>0</v>
      </c>
      <c r="H1134" t="s">
        <v>15</v>
      </c>
    </row>
    <row r="1135" spans="1:8">
      <c r="A1135" t="s">
        <v>166</v>
      </c>
      <c r="B1135" t="s">
        <v>87</v>
      </c>
      <c r="C1135">
        <v>320</v>
      </c>
      <c r="D1135" t="s">
        <v>171</v>
      </c>
      <c r="E1135" s="242">
        <v>41865</v>
      </c>
      <c r="F1135">
        <v>0</v>
      </c>
      <c r="G1135" t="b">
        <v>0</v>
      </c>
      <c r="H1135" t="s">
        <v>15</v>
      </c>
    </row>
    <row r="1136" spans="1:8">
      <c r="A1136" t="s">
        <v>148</v>
      </c>
      <c r="B1136" t="s">
        <v>87</v>
      </c>
      <c r="C1136">
        <v>326</v>
      </c>
      <c r="D1136" t="s">
        <v>171</v>
      </c>
      <c r="E1136" s="242">
        <v>41955</v>
      </c>
      <c r="F1136">
        <v>0</v>
      </c>
      <c r="G1136" t="b">
        <v>0</v>
      </c>
      <c r="H1136" t="s">
        <v>15</v>
      </c>
    </row>
    <row r="1137" spans="1:8">
      <c r="A1137" t="s">
        <v>166</v>
      </c>
      <c r="B1137" t="s">
        <v>87</v>
      </c>
      <c r="C1137">
        <v>326</v>
      </c>
      <c r="D1137" t="s">
        <v>171</v>
      </c>
      <c r="E1137" s="242">
        <v>41865</v>
      </c>
      <c r="F1137">
        <v>0</v>
      </c>
      <c r="G1137" t="b">
        <v>0</v>
      </c>
      <c r="H1137" t="s">
        <v>15</v>
      </c>
    </row>
    <row r="1138" spans="1:8">
      <c r="A1138" t="s">
        <v>164</v>
      </c>
      <c r="B1138" t="s">
        <v>87</v>
      </c>
      <c r="C1138">
        <v>400</v>
      </c>
      <c r="D1138" t="s">
        <v>147</v>
      </c>
      <c r="E1138" s="242"/>
      <c r="F1138">
        <v>5211.60009765625</v>
      </c>
      <c r="G1138" t="b">
        <v>0</v>
      </c>
      <c r="H1138" t="s">
        <v>15</v>
      </c>
    </row>
    <row r="1139" spans="1:8">
      <c r="A1139" t="s">
        <v>161</v>
      </c>
      <c r="B1139" t="s">
        <v>87</v>
      </c>
      <c r="C1139">
        <v>400</v>
      </c>
      <c r="D1139" t="s">
        <v>147</v>
      </c>
      <c r="E1139" s="242"/>
      <c r="F1139">
        <v>6759.5</v>
      </c>
      <c r="G1139" t="b">
        <v>0</v>
      </c>
      <c r="H1139" t="s">
        <v>15</v>
      </c>
    </row>
    <row r="1140" spans="1:8">
      <c r="A1140" t="s">
        <v>165</v>
      </c>
      <c r="B1140" t="s">
        <v>87</v>
      </c>
      <c r="C1140">
        <v>400</v>
      </c>
      <c r="D1140" t="s">
        <v>147</v>
      </c>
      <c r="E1140" s="242"/>
      <c r="F1140">
        <v>7458.7001953125</v>
      </c>
      <c r="G1140" t="b">
        <v>0</v>
      </c>
      <c r="H1140" t="s">
        <v>15</v>
      </c>
    </row>
    <row r="1141" spans="1:8">
      <c r="A1141" t="s">
        <v>148</v>
      </c>
      <c r="B1141" t="s">
        <v>87</v>
      </c>
      <c r="C1141">
        <v>400</v>
      </c>
      <c r="D1141" t="s">
        <v>147</v>
      </c>
      <c r="E1141" s="242"/>
      <c r="F1141">
        <v>6461.39990234375</v>
      </c>
      <c r="G1141" t="b">
        <v>0</v>
      </c>
      <c r="H1141" t="s">
        <v>15</v>
      </c>
    </row>
    <row r="1142" spans="1:8">
      <c r="A1142" t="s">
        <v>162</v>
      </c>
      <c r="B1142" t="s">
        <v>87</v>
      </c>
      <c r="C1142">
        <v>400</v>
      </c>
      <c r="D1142" t="s">
        <v>147</v>
      </c>
      <c r="E1142" s="242"/>
      <c r="F1142">
        <v>7383.10009765625</v>
      </c>
      <c r="G1142" t="b">
        <v>0</v>
      </c>
      <c r="H1142" t="s">
        <v>15</v>
      </c>
    </row>
    <row r="1143" spans="1:8">
      <c r="A1143" t="s">
        <v>163</v>
      </c>
      <c r="B1143" t="s">
        <v>87</v>
      </c>
      <c r="C1143">
        <v>400</v>
      </c>
      <c r="D1143" t="s">
        <v>147</v>
      </c>
      <c r="E1143" s="242"/>
      <c r="F1143">
        <v>4578.7001953125</v>
      </c>
      <c r="G1143" t="b">
        <v>0</v>
      </c>
      <c r="H1143" t="s">
        <v>15</v>
      </c>
    </row>
    <row r="1144" spans="1:8">
      <c r="A1144" t="s">
        <v>166</v>
      </c>
      <c r="B1144" t="s">
        <v>87</v>
      </c>
      <c r="C1144">
        <v>400</v>
      </c>
      <c r="D1144" t="s">
        <v>147</v>
      </c>
      <c r="E1144" s="242"/>
      <c r="F1144">
        <v>3113.30004882812</v>
      </c>
      <c r="G1144" t="b">
        <v>0</v>
      </c>
      <c r="H1144" t="s">
        <v>15</v>
      </c>
    </row>
    <row r="1145" spans="1:8">
      <c r="A1145" t="s">
        <v>149</v>
      </c>
      <c r="B1145" t="s">
        <v>87</v>
      </c>
      <c r="C1145">
        <v>400</v>
      </c>
      <c r="D1145" t="s">
        <v>147</v>
      </c>
      <c r="E1145" s="242"/>
      <c r="F1145">
        <v>4706.39990234375</v>
      </c>
      <c r="G1145" t="b">
        <v>0</v>
      </c>
      <c r="H1145" t="s">
        <v>15</v>
      </c>
    </row>
    <row r="1146" spans="1:8">
      <c r="A1146" t="s">
        <v>150</v>
      </c>
      <c r="B1146" t="s">
        <v>87</v>
      </c>
      <c r="C1146">
        <v>400</v>
      </c>
      <c r="D1146" t="s">
        <v>147</v>
      </c>
      <c r="E1146" s="242"/>
      <c r="F1146">
        <v>3743.39990234375</v>
      </c>
      <c r="G1146" t="b">
        <v>0</v>
      </c>
      <c r="H1146" t="s">
        <v>15</v>
      </c>
    </row>
    <row r="1147" spans="1:8">
      <c r="A1147" t="s">
        <v>151</v>
      </c>
      <c r="B1147" t="s">
        <v>87</v>
      </c>
      <c r="C1147">
        <v>400</v>
      </c>
      <c r="D1147" t="s">
        <v>147</v>
      </c>
      <c r="E1147" s="242"/>
      <c r="F1147">
        <v>1526.90002441406</v>
      </c>
      <c r="G1147" t="b">
        <v>0</v>
      </c>
      <c r="H1147" t="s">
        <v>15</v>
      </c>
    </row>
    <row r="1148" spans="1:8">
      <c r="A1148" t="s">
        <v>152</v>
      </c>
      <c r="B1148" t="s">
        <v>87</v>
      </c>
      <c r="C1148">
        <v>400</v>
      </c>
      <c r="D1148" t="s">
        <v>147</v>
      </c>
      <c r="E1148" s="242"/>
      <c r="F1148">
        <v>1770.30004882812</v>
      </c>
      <c r="G1148" t="b">
        <v>0</v>
      </c>
      <c r="H1148" t="s">
        <v>15</v>
      </c>
    </row>
    <row r="1149" spans="1:8">
      <c r="A1149" t="s">
        <v>145</v>
      </c>
      <c r="B1149" t="s">
        <v>87</v>
      </c>
      <c r="C1149">
        <v>400</v>
      </c>
      <c r="D1149" t="s">
        <v>147</v>
      </c>
      <c r="E1149" s="242"/>
      <c r="F1149">
        <v>1704.69995117187</v>
      </c>
      <c r="G1149" t="b">
        <v>0</v>
      </c>
      <c r="H1149" t="s">
        <v>15</v>
      </c>
    </row>
    <row r="1150" spans="1:8">
      <c r="A1150" t="s">
        <v>167</v>
      </c>
      <c r="B1150" t="s">
        <v>87</v>
      </c>
      <c r="C1150">
        <v>400</v>
      </c>
      <c r="D1150" t="s">
        <v>147</v>
      </c>
      <c r="E1150" s="242"/>
      <c r="F1150">
        <v>1518.80004882812</v>
      </c>
      <c r="G1150" t="b">
        <v>0</v>
      </c>
      <c r="H1150" t="s">
        <v>15</v>
      </c>
    </row>
    <row r="1151" spans="1:8">
      <c r="A1151" t="s">
        <v>153</v>
      </c>
      <c r="B1151" t="s">
        <v>87</v>
      </c>
      <c r="C1151">
        <v>400</v>
      </c>
      <c r="D1151" t="s">
        <v>147</v>
      </c>
      <c r="E1151" s="242"/>
      <c r="F1151">
        <v>1191.19995117187</v>
      </c>
      <c r="G1151" t="b">
        <v>0</v>
      </c>
      <c r="H1151" t="s">
        <v>15</v>
      </c>
    </row>
    <row r="1152" spans="1:8">
      <c r="A1152" t="s">
        <v>154</v>
      </c>
      <c r="B1152" t="s">
        <v>87</v>
      </c>
      <c r="C1152">
        <v>400</v>
      </c>
      <c r="D1152" t="s">
        <v>147</v>
      </c>
      <c r="E1152" s="242"/>
      <c r="F1152">
        <v>2670.80004882812</v>
      </c>
      <c r="G1152" t="b">
        <v>0</v>
      </c>
      <c r="H1152" t="s">
        <v>15</v>
      </c>
    </row>
    <row r="1153" spans="1:8">
      <c r="A1153" t="s">
        <v>168</v>
      </c>
      <c r="B1153" t="s">
        <v>87</v>
      </c>
      <c r="C1153">
        <v>400</v>
      </c>
      <c r="D1153" t="s">
        <v>147</v>
      </c>
      <c r="E1153" s="242"/>
      <c r="F1153">
        <v>5199.39990234375</v>
      </c>
      <c r="G1153" t="b">
        <v>0</v>
      </c>
      <c r="H1153" t="s">
        <v>15</v>
      </c>
    </row>
    <row r="1154" spans="1:8">
      <c r="A1154" t="s">
        <v>155</v>
      </c>
      <c r="B1154" t="s">
        <v>87</v>
      </c>
      <c r="C1154">
        <v>400</v>
      </c>
      <c r="D1154" t="s">
        <v>147</v>
      </c>
      <c r="E1154" s="242"/>
      <c r="F1154">
        <v>3998.60009765625</v>
      </c>
      <c r="G1154" t="b">
        <v>0</v>
      </c>
      <c r="H1154" t="s">
        <v>15</v>
      </c>
    </row>
    <row r="1155" spans="1:8">
      <c r="A1155" t="s">
        <v>156</v>
      </c>
      <c r="B1155" t="s">
        <v>87</v>
      </c>
      <c r="C1155">
        <v>400</v>
      </c>
      <c r="D1155" t="s">
        <v>147</v>
      </c>
      <c r="E1155" s="242"/>
      <c r="F1155">
        <v>4756.5</v>
      </c>
      <c r="G1155" t="b">
        <v>0</v>
      </c>
      <c r="H1155" t="s">
        <v>15</v>
      </c>
    </row>
    <row r="1156" spans="1:8">
      <c r="A1156" t="s">
        <v>157</v>
      </c>
      <c r="B1156" t="s">
        <v>87</v>
      </c>
      <c r="C1156">
        <v>400</v>
      </c>
      <c r="D1156" t="s">
        <v>147</v>
      </c>
      <c r="E1156" s="242"/>
      <c r="F1156">
        <v>5081</v>
      </c>
      <c r="G1156" t="b">
        <v>0</v>
      </c>
      <c r="H1156" t="s">
        <v>15</v>
      </c>
    </row>
    <row r="1157" spans="1:8">
      <c r="A1157" t="s">
        <v>169</v>
      </c>
      <c r="B1157" t="s">
        <v>87</v>
      </c>
      <c r="C1157">
        <v>400</v>
      </c>
      <c r="D1157" t="s">
        <v>147</v>
      </c>
      <c r="E1157" s="242"/>
      <c r="F1157">
        <v>1247.90002441406</v>
      </c>
      <c r="G1157" t="b">
        <v>0</v>
      </c>
      <c r="H1157" t="s">
        <v>15</v>
      </c>
    </row>
    <row r="1158" spans="1:8">
      <c r="A1158" t="s">
        <v>170</v>
      </c>
      <c r="B1158" t="s">
        <v>87</v>
      </c>
      <c r="C1158">
        <v>400</v>
      </c>
      <c r="D1158" t="s">
        <v>147</v>
      </c>
      <c r="E1158" s="242"/>
      <c r="F1158">
        <v>1325.40002441406</v>
      </c>
      <c r="G1158" t="b">
        <v>0</v>
      </c>
      <c r="H1158" t="s">
        <v>15</v>
      </c>
    </row>
    <row r="1159" spans="1:8">
      <c r="A1159" t="s">
        <v>158</v>
      </c>
      <c r="B1159" t="s">
        <v>87</v>
      </c>
      <c r="C1159">
        <v>400</v>
      </c>
      <c r="D1159" t="s">
        <v>147</v>
      </c>
      <c r="E1159" s="242"/>
      <c r="F1159">
        <v>4990.10009765625</v>
      </c>
      <c r="G1159" t="b">
        <v>0</v>
      </c>
      <c r="H1159" t="s">
        <v>15</v>
      </c>
    </row>
    <row r="1160" spans="1:8">
      <c r="A1160" t="s">
        <v>159</v>
      </c>
      <c r="B1160" t="s">
        <v>87</v>
      </c>
      <c r="C1160">
        <v>400</v>
      </c>
      <c r="D1160" t="s">
        <v>147</v>
      </c>
      <c r="E1160" s="242"/>
      <c r="F1160">
        <v>2918.19995117187</v>
      </c>
      <c r="G1160" t="b">
        <v>0</v>
      </c>
      <c r="H1160" t="s">
        <v>15</v>
      </c>
    </row>
    <row r="1161" spans="1:8">
      <c r="A1161" t="s">
        <v>160</v>
      </c>
      <c r="B1161" t="s">
        <v>87</v>
      </c>
      <c r="C1161">
        <v>400</v>
      </c>
      <c r="D1161" t="s">
        <v>147</v>
      </c>
      <c r="E1161" s="242"/>
      <c r="F1161">
        <v>2969.10009765625</v>
      </c>
      <c r="G1161" t="b">
        <v>0</v>
      </c>
      <c r="H1161" t="s">
        <v>15</v>
      </c>
    </row>
    <row r="1162" spans="1:8">
      <c r="A1162" t="s">
        <v>164</v>
      </c>
      <c r="B1162" t="s">
        <v>87</v>
      </c>
      <c r="C1162">
        <v>465</v>
      </c>
      <c r="D1162" t="s">
        <v>147</v>
      </c>
      <c r="E1162" s="242"/>
      <c r="F1162">
        <v>5216.60009765625</v>
      </c>
      <c r="G1162" t="b">
        <v>0</v>
      </c>
      <c r="H1162" t="s">
        <v>15</v>
      </c>
    </row>
    <row r="1163" spans="1:8">
      <c r="A1163" t="s">
        <v>161</v>
      </c>
      <c r="B1163" t="s">
        <v>87</v>
      </c>
      <c r="C1163">
        <v>465</v>
      </c>
      <c r="D1163" t="s">
        <v>147</v>
      </c>
      <c r="E1163" s="242"/>
      <c r="F1163">
        <v>7001</v>
      </c>
      <c r="G1163" t="b">
        <v>0</v>
      </c>
      <c r="H1163" t="s">
        <v>15</v>
      </c>
    </row>
    <row r="1164" spans="1:8">
      <c r="A1164" t="s">
        <v>165</v>
      </c>
      <c r="B1164" t="s">
        <v>87</v>
      </c>
      <c r="C1164">
        <v>465</v>
      </c>
      <c r="D1164" t="s">
        <v>147</v>
      </c>
      <c r="E1164" s="242"/>
      <c r="F1164">
        <v>7703.7001953125</v>
      </c>
      <c r="G1164" t="b">
        <v>0</v>
      </c>
      <c r="H1164" t="s">
        <v>15</v>
      </c>
    </row>
    <row r="1165" spans="1:8">
      <c r="A1165" t="s">
        <v>148</v>
      </c>
      <c r="B1165" t="s">
        <v>87</v>
      </c>
      <c r="C1165">
        <v>465</v>
      </c>
      <c r="D1165" t="s">
        <v>147</v>
      </c>
      <c r="E1165" s="242"/>
      <c r="F1165">
        <v>6703.39990234375</v>
      </c>
      <c r="G1165" t="b">
        <v>0</v>
      </c>
      <c r="H1165" t="s">
        <v>15</v>
      </c>
    </row>
    <row r="1166" spans="1:8">
      <c r="A1166" t="s">
        <v>162</v>
      </c>
      <c r="B1166" t="s">
        <v>87</v>
      </c>
      <c r="C1166">
        <v>465</v>
      </c>
      <c r="D1166" t="s">
        <v>147</v>
      </c>
      <c r="E1166" s="242"/>
      <c r="F1166">
        <v>7383.10009765625</v>
      </c>
      <c r="G1166" t="b">
        <v>0</v>
      </c>
      <c r="H1166" t="s">
        <v>15</v>
      </c>
    </row>
    <row r="1167" spans="1:8">
      <c r="A1167" t="s">
        <v>163</v>
      </c>
      <c r="B1167" t="s">
        <v>87</v>
      </c>
      <c r="C1167">
        <v>465</v>
      </c>
      <c r="D1167" t="s">
        <v>147</v>
      </c>
      <c r="E1167" s="242"/>
      <c r="F1167">
        <v>4812.2001953125</v>
      </c>
      <c r="G1167" t="b">
        <v>0</v>
      </c>
      <c r="H1167" t="s">
        <v>15</v>
      </c>
    </row>
    <row r="1168" spans="1:8">
      <c r="A1168" t="s">
        <v>166</v>
      </c>
      <c r="B1168" t="s">
        <v>87</v>
      </c>
      <c r="C1168">
        <v>465</v>
      </c>
      <c r="D1168" t="s">
        <v>147</v>
      </c>
      <c r="E1168" s="242"/>
      <c r="F1168">
        <v>3340.19995117187</v>
      </c>
      <c r="G1168" t="b">
        <v>0</v>
      </c>
      <c r="H1168" t="s">
        <v>15</v>
      </c>
    </row>
    <row r="1169" spans="1:8">
      <c r="A1169" t="s">
        <v>149</v>
      </c>
      <c r="B1169" t="s">
        <v>87</v>
      </c>
      <c r="C1169">
        <v>465</v>
      </c>
      <c r="D1169" t="s">
        <v>147</v>
      </c>
      <c r="E1169" s="242"/>
      <c r="F1169">
        <v>4953.7001953125</v>
      </c>
      <c r="G1169" t="b">
        <v>0</v>
      </c>
      <c r="H1169" t="s">
        <v>15</v>
      </c>
    </row>
    <row r="1170" spans="1:8">
      <c r="A1170" t="s">
        <v>150</v>
      </c>
      <c r="B1170" t="s">
        <v>87</v>
      </c>
      <c r="C1170">
        <v>465</v>
      </c>
      <c r="D1170" t="s">
        <v>147</v>
      </c>
      <c r="E1170" s="242"/>
      <c r="F1170">
        <v>3985</v>
      </c>
      <c r="G1170" t="b">
        <v>0</v>
      </c>
      <c r="H1170" t="s">
        <v>15</v>
      </c>
    </row>
    <row r="1171" spans="1:8">
      <c r="A1171" t="s">
        <v>151</v>
      </c>
      <c r="B1171" t="s">
        <v>87</v>
      </c>
      <c r="C1171">
        <v>465</v>
      </c>
      <c r="D1171" t="s">
        <v>147</v>
      </c>
      <c r="E1171" s="242"/>
      <c r="F1171">
        <v>1781.80004882812</v>
      </c>
      <c r="G1171" t="b">
        <v>0</v>
      </c>
      <c r="H1171" t="s">
        <v>15</v>
      </c>
    </row>
    <row r="1172" spans="1:8">
      <c r="A1172" t="s">
        <v>152</v>
      </c>
      <c r="B1172" t="s">
        <v>87</v>
      </c>
      <c r="C1172">
        <v>465</v>
      </c>
      <c r="D1172" t="s">
        <v>147</v>
      </c>
      <c r="E1172" s="242"/>
      <c r="F1172">
        <v>1770.30004882812</v>
      </c>
      <c r="G1172" t="b">
        <v>0</v>
      </c>
      <c r="H1172" t="s">
        <v>15</v>
      </c>
    </row>
    <row r="1173" spans="1:8">
      <c r="A1173" t="s">
        <v>145</v>
      </c>
      <c r="B1173" t="s">
        <v>87</v>
      </c>
      <c r="C1173">
        <v>465</v>
      </c>
      <c r="D1173" t="s">
        <v>147</v>
      </c>
      <c r="E1173" s="242"/>
      <c r="F1173">
        <v>1704.69995117187</v>
      </c>
      <c r="G1173" t="b">
        <v>0</v>
      </c>
      <c r="H1173" t="s">
        <v>15</v>
      </c>
    </row>
    <row r="1174" spans="1:8">
      <c r="A1174" t="s">
        <v>167</v>
      </c>
      <c r="B1174" t="s">
        <v>87</v>
      </c>
      <c r="C1174">
        <v>465</v>
      </c>
      <c r="D1174" t="s">
        <v>147</v>
      </c>
      <c r="E1174" s="242"/>
      <c r="F1174">
        <v>1751.5</v>
      </c>
      <c r="G1174" t="b">
        <v>0</v>
      </c>
      <c r="H1174" t="s">
        <v>15</v>
      </c>
    </row>
    <row r="1175" spans="1:8">
      <c r="A1175" t="s">
        <v>153</v>
      </c>
      <c r="B1175" t="s">
        <v>87</v>
      </c>
      <c r="C1175">
        <v>465</v>
      </c>
      <c r="D1175" t="s">
        <v>147</v>
      </c>
      <c r="E1175" s="242"/>
      <c r="F1175">
        <v>1435</v>
      </c>
      <c r="G1175" t="b">
        <v>0</v>
      </c>
      <c r="H1175" t="s">
        <v>15</v>
      </c>
    </row>
    <row r="1176" spans="1:8">
      <c r="A1176" t="s">
        <v>154</v>
      </c>
      <c r="B1176" t="s">
        <v>87</v>
      </c>
      <c r="C1176">
        <v>465</v>
      </c>
      <c r="D1176" t="s">
        <v>147</v>
      </c>
      <c r="E1176" s="242"/>
      <c r="F1176">
        <v>2670.80004882812</v>
      </c>
      <c r="G1176" t="b">
        <v>0</v>
      </c>
      <c r="H1176" t="s">
        <v>15</v>
      </c>
    </row>
    <row r="1177" spans="1:8">
      <c r="A1177" t="s">
        <v>168</v>
      </c>
      <c r="B1177" t="s">
        <v>87</v>
      </c>
      <c r="C1177">
        <v>465</v>
      </c>
      <c r="D1177" t="s">
        <v>147</v>
      </c>
      <c r="E1177" s="242"/>
      <c r="F1177">
        <v>5199.39990234375</v>
      </c>
      <c r="G1177" t="b">
        <v>0</v>
      </c>
      <c r="H1177" t="s">
        <v>15</v>
      </c>
    </row>
    <row r="1178" spans="1:8">
      <c r="A1178" t="s">
        <v>155</v>
      </c>
      <c r="B1178" t="s">
        <v>87</v>
      </c>
      <c r="C1178">
        <v>465</v>
      </c>
      <c r="D1178" t="s">
        <v>147</v>
      </c>
      <c r="E1178" s="242"/>
      <c r="F1178">
        <v>4244.7998046875</v>
      </c>
      <c r="G1178" t="b">
        <v>0</v>
      </c>
      <c r="H1178" t="s">
        <v>15</v>
      </c>
    </row>
    <row r="1179" spans="1:8">
      <c r="A1179" t="s">
        <v>156</v>
      </c>
      <c r="B1179" t="s">
        <v>87</v>
      </c>
      <c r="C1179">
        <v>465</v>
      </c>
      <c r="D1179" t="s">
        <v>147</v>
      </c>
      <c r="E1179" s="242"/>
      <c r="F1179">
        <v>4756.5</v>
      </c>
      <c r="G1179" t="b">
        <v>0</v>
      </c>
      <c r="H1179" t="s">
        <v>15</v>
      </c>
    </row>
    <row r="1180" spans="1:8">
      <c r="A1180" t="s">
        <v>157</v>
      </c>
      <c r="B1180" t="s">
        <v>87</v>
      </c>
      <c r="C1180">
        <v>465</v>
      </c>
      <c r="D1180" t="s">
        <v>147</v>
      </c>
      <c r="E1180" s="242"/>
      <c r="F1180">
        <v>5081</v>
      </c>
      <c r="G1180" t="b">
        <v>0</v>
      </c>
      <c r="H1180" t="s">
        <v>15</v>
      </c>
    </row>
    <row r="1181" spans="1:8">
      <c r="A1181" t="s">
        <v>169</v>
      </c>
      <c r="B1181" t="s">
        <v>87</v>
      </c>
      <c r="C1181">
        <v>465</v>
      </c>
      <c r="D1181" t="s">
        <v>147</v>
      </c>
      <c r="E1181" s="242"/>
      <c r="F1181">
        <v>1492.69995117187</v>
      </c>
      <c r="G1181" t="b">
        <v>0</v>
      </c>
      <c r="H1181" t="s">
        <v>15</v>
      </c>
    </row>
    <row r="1182" spans="1:8">
      <c r="A1182" t="s">
        <v>170</v>
      </c>
      <c r="B1182" t="s">
        <v>87</v>
      </c>
      <c r="C1182">
        <v>465</v>
      </c>
      <c r="D1182" t="s">
        <v>147</v>
      </c>
      <c r="E1182" s="242"/>
      <c r="F1182">
        <v>1325.40002441406</v>
      </c>
      <c r="G1182" t="b">
        <v>0</v>
      </c>
      <c r="H1182" t="s">
        <v>15</v>
      </c>
    </row>
    <row r="1183" spans="1:8">
      <c r="A1183" t="s">
        <v>158</v>
      </c>
      <c r="B1183" t="s">
        <v>87</v>
      </c>
      <c r="C1183">
        <v>465</v>
      </c>
      <c r="D1183" t="s">
        <v>147</v>
      </c>
      <c r="E1183" s="242"/>
      <c r="F1183">
        <v>5235.10009765625</v>
      </c>
      <c r="G1183" t="b">
        <v>0</v>
      </c>
      <c r="H1183" t="s">
        <v>15</v>
      </c>
    </row>
    <row r="1184" spans="1:8">
      <c r="A1184" t="s">
        <v>159</v>
      </c>
      <c r="B1184" t="s">
        <v>87</v>
      </c>
      <c r="C1184">
        <v>465</v>
      </c>
      <c r="D1184" t="s">
        <v>147</v>
      </c>
      <c r="E1184" s="242"/>
      <c r="F1184">
        <v>3158.19995117187</v>
      </c>
      <c r="G1184" t="b">
        <v>0</v>
      </c>
      <c r="H1184" t="s">
        <v>15</v>
      </c>
    </row>
    <row r="1185" spans="1:8">
      <c r="A1185" t="s">
        <v>160</v>
      </c>
      <c r="B1185" t="s">
        <v>87</v>
      </c>
      <c r="C1185">
        <v>465</v>
      </c>
      <c r="D1185" t="s">
        <v>147</v>
      </c>
      <c r="E1185" s="242"/>
      <c r="F1185">
        <v>2969.10009765625</v>
      </c>
      <c r="G1185" t="b">
        <v>0</v>
      </c>
      <c r="H1185" t="s">
        <v>15</v>
      </c>
    </row>
    <row r="1186" spans="1:8">
      <c r="A1186" t="s">
        <v>148</v>
      </c>
      <c r="B1186" t="s">
        <v>87</v>
      </c>
      <c r="C1186">
        <v>470</v>
      </c>
      <c r="D1186" t="s">
        <v>147</v>
      </c>
      <c r="E1186" s="242"/>
      <c r="F1186">
        <v>6703.39990234375</v>
      </c>
      <c r="G1186" t="b">
        <v>0</v>
      </c>
      <c r="H1186" t="s">
        <v>15</v>
      </c>
    </row>
    <row r="1187" spans="1:8">
      <c r="A1187" t="s">
        <v>164</v>
      </c>
      <c r="B1187" t="s">
        <v>87</v>
      </c>
      <c r="C1187">
        <v>496</v>
      </c>
      <c r="D1187" t="s">
        <v>146</v>
      </c>
      <c r="E1187" s="242">
        <v>42071</v>
      </c>
      <c r="F1187">
        <v>0</v>
      </c>
      <c r="G1187" t="b">
        <v>0</v>
      </c>
      <c r="H1187" t="s">
        <v>15</v>
      </c>
    </row>
    <row r="1188" spans="1:8">
      <c r="A1188" t="s">
        <v>161</v>
      </c>
      <c r="B1188" t="s">
        <v>87</v>
      </c>
      <c r="C1188">
        <v>496</v>
      </c>
      <c r="D1188" t="s">
        <v>146</v>
      </c>
      <c r="E1188" s="242">
        <v>42088</v>
      </c>
      <c r="F1188">
        <v>0</v>
      </c>
      <c r="G1188" t="b">
        <v>0</v>
      </c>
      <c r="H1188" t="s">
        <v>15</v>
      </c>
    </row>
    <row r="1189" spans="1:8">
      <c r="A1189" t="s">
        <v>165</v>
      </c>
      <c r="B1189" t="s">
        <v>87</v>
      </c>
      <c r="C1189">
        <v>496</v>
      </c>
      <c r="D1189" t="s">
        <v>146</v>
      </c>
      <c r="E1189" s="242">
        <v>42021.472916666666</v>
      </c>
      <c r="F1189">
        <v>0</v>
      </c>
      <c r="G1189" t="b">
        <v>0</v>
      </c>
      <c r="H1189" t="s">
        <v>15</v>
      </c>
    </row>
    <row r="1190" spans="1:8">
      <c r="A1190" t="s">
        <v>148</v>
      </c>
      <c r="B1190" t="s">
        <v>87</v>
      </c>
      <c r="C1190">
        <v>496</v>
      </c>
      <c r="D1190" t="s">
        <v>146</v>
      </c>
      <c r="E1190" s="242">
        <v>41985</v>
      </c>
      <c r="F1190">
        <v>0</v>
      </c>
      <c r="G1190" t="b">
        <v>0</v>
      </c>
      <c r="H1190" t="s">
        <v>15</v>
      </c>
    </row>
    <row r="1191" spans="1:8">
      <c r="A1191" t="s">
        <v>162</v>
      </c>
      <c r="B1191" t="s">
        <v>87</v>
      </c>
      <c r="C1191">
        <v>496</v>
      </c>
      <c r="D1191" t="s">
        <v>146</v>
      </c>
      <c r="E1191" s="242">
        <v>42104</v>
      </c>
      <c r="F1191">
        <v>0</v>
      </c>
      <c r="G1191" t="b">
        <v>0</v>
      </c>
      <c r="H1191" t="s">
        <v>15</v>
      </c>
    </row>
    <row r="1192" spans="1:8">
      <c r="A1192" t="s">
        <v>163</v>
      </c>
      <c r="B1192" t="s">
        <v>87</v>
      </c>
      <c r="C1192">
        <v>496</v>
      </c>
      <c r="D1192" t="s">
        <v>146</v>
      </c>
      <c r="E1192" s="242">
        <v>42078</v>
      </c>
      <c r="F1192">
        <v>0</v>
      </c>
      <c r="G1192" t="b">
        <v>0</v>
      </c>
      <c r="H1192" t="s">
        <v>15</v>
      </c>
    </row>
    <row r="1193" spans="1:8">
      <c r="A1193" t="s">
        <v>166</v>
      </c>
      <c r="B1193" t="s">
        <v>87</v>
      </c>
      <c r="C1193">
        <v>496</v>
      </c>
      <c r="D1193" t="s">
        <v>146</v>
      </c>
      <c r="E1193" s="242">
        <v>42065</v>
      </c>
      <c r="F1193">
        <v>0</v>
      </c>
      <c r="G1193" t="b">
        <v>0</v>
      </c>
      <c r="H1193" t="s">
        <v>15</v>
      </c>
    </row>
    <row r="1194" spans="1:8">
      <c r="A1194" t="s">
        <v>149</v>
      </c>
      <c r="B1194" t="s">
        <v>87</v>
      </c>
      <c r="C1194">
        <v>496</v>
      </c>
      <c r="D1194" t="s">
        <v>146</v>
      </c>
      <c r="E1194" s="242">
        <v>42067</v>
      </c>
      <c r="F1194">
        <v>0</v>
      </c>
      <c r="G1194" t="b">
        <v>0</v>
      </c>
      <c r="H1194" t="s">
        <v>15</v>
      </c>
    </row>
    <row r="1195" spans="1:8">
      <c r="A1195" t="s">
        <v>150</v>
      </c>
      <c r="B1195" t="s">
        <v>87</v>
      </c>
      <c r="C1195">
        <v>496</v>
      </c>
      <c r="D1195" t="s">
        <v>146</v>
      </c>
      <c r="E1195" s="242">
        <v>41936.429861111108</v>
      </c>
      <c r="F1195">
        <v>0</v>
      </c>
      <c r="G1195" t="b">
        <v>0</v>
      </c>
      <c r="H1195" t="s">
        <v>15</v>
      </c>
    </row>
    <row r="1196" spans="1:8">
      <c r="A1196" t="s">
        <v>151</v>
      </c>
      <c r="B1196" t="s">
        <v>87</v>
      </c>
      <c r="C1196">
        <v>496</v>
      </c>
      <c r="D1196" t="s">
        <v>146</v>
      </c>
      <c r="E1196" s="242">
        <v>41987.955555555556</v>
      </c>
      <c r="F1196">
        <v>0</v>
      </c>
      <c r="G1196" t="b">
        <v>0</v>
      </c>
      <c r="H1196" t="s">
        <v>15</v>
      </c>
    </row>
    <row r="1197" spans="1:8">
      <c r="A1197" t="s">
        <v>152</v>
      </c>
      <c r="B1197" t="s">
        <v>87</v>
      </c>
      <c r="C1197">
        <v>496</v>
      </c>
      <c r="D1197" t="s">
        <v>146</v>
      </c>
      <c r="E1197" s="242">
        <v>42045.323611111111</v>
      </c>
      <c r="F1197">
        <v>0</v>
      </c>
      <c r="G1197" t="b">
        <v>0</v>
      </c>
      <c r="H1197" t="s">
        <v>15</v>
      </c>
    </row>
    <row r="1198" spans="1:8">
      <c r="A1198" t="s">
        <v>145</v>
      </c>
      <c r="B1198" t="s">
        <v>87</v>
      </c>
      <c r="C1198">
        <v>496</v>
      </c>
      <c r="D1198" t="s">
        <v>146</v>
      </c>
      <c r="E1198" s="242">
        <v>41939.415277777778</v>
      </c>
      <c r="F1198">
        <v>0</v>
      </c>
      <c r="G1198" t="b">
        <v>0</v>
      </c>
      <c r="H1198" t="s">
        <v>15</v>
      </c>
    </row>
    <row r="1199" spans="1:8">
      <c r="A1199" t="s">
        <v>167</v>
      </c>
      <c r="B1199" t="s">
        <v>87</v>
      </c>
      <c r="C1199">
        <v>496</v>
      </c>
      <c r="D1199" t="s">
        <v>146</v>
      </c>
      <c r="E1199" s="242">
        <v>42099</v>
      </c>
      <c r="F1199">
        <v>0</v>
      </c>
      <c r="G1199" t="b">
        <v>0</v>
      </c>
      <c r="H1199" t="s">
        <v>15</v>
      </c>
    </row>
    <row r="1200" spans="1:8">
      <c r="A1200" t="s">
        <v>153</v>
      </c>
      <c r="B1200" t="s">
        <v>87</v>
      </c>
      <c r="C1200">
        <v>496</v>
      </c>
      <c r="D1200" t="s">
        <v>146</v>
      </c>
      <c r="E1200" s="242">
        <v>42015.361111111109</v>
      </c>
      <c r="F1200">
        <v>0</v>
      </c>
      <c r="G1200" t="b">
        <v>0</v>
      </c>
      <c r="H1200" t="s">
        <v>15</v>
      </c>
    </row>
    <row r="1201" spans="1:8">
      <c r="A1201" t="s">
        <v>154</v>
      </c>
      <c r="B1201" t="s">
        <v>87</v>
      </c>
      <c r="C1201">
        <v>496</v>
      </c>
      <c r="D1201" t="s">
        <v>146</v>
      </c>
      <c r="E1201" s="242">
        <v>42099.208333333336</v>
      </c>
      <c r="F1201">
        <v>0</v>
      </c>
      <c r="G1201" t="b">
        <v>0</v>
      </c>
      <c r="H1201" t="s">
        <v>15</v>
      </c>
    </row>
    <row r="1202" spans="1:8">
      <c r="A1202" t="s">
        <v>168</v>
      </c>
      <c r="B1202" t="s">
        <v>87</v>
      </c>
      <c r="C1202">
        <v>496</v>
      </c>
      <c r="D1202" t="s">
        <v>146</v>
      </c>
      <c r="E1202" s="242">
        <v>42066.583333333336</v>
      </c>
      <c r="F1202">
        <v>0</v>
      </c>
      <c r="G1202" t="b">
        <v>0</v>
      </c>
      <c r="H1202" t="s">
        <v>15</v>
      </c>
    </row>
    <row r="1203" spans="1:8">
      <c r="A1203" t="s">
        <v>155</v>
      </c>
      <c r="B1203" t="s">
        <v>87</v>
      </c>
      <c r="C1203">
        <v>496</v>
      </c>
      <c r="D1203" t="s">
        <v>146</v>
      </c>
      <c r="E1203" s="242">
        <v>42076.413888888892</v>
      </c>
      <c r="F1203">
        <v>0</v>
      </c>
      <c r="G1203" t="b">
        <v>0</v>
      </c>
      <c r="H1203" t="s">
        <v>15</v>
      </c>
    </row>
    <row r="1204" spans="1:8">
      <c r="A1204" t="s">
        <v>156</v>
      </c>
      <c r="B1204" t="s">
        <v>87</v>
      </c>
      <c r="C1204">
        <v>496</v>
      </c>
      <c r="D1204" t="s">
        <v>146</v>
      </c>
      <c r="E1204" s="242">
        <v>42108.409722222219</v>
      </c>
      <c r="F1204">
        <v>0</v>
      </c>
      <c r="G1204" t="b">
        <v>0</v>
      </c>
      <c r="H1204" t="s">
        <v>15</v>
      </c>
    </row>
    <row r="1205" spans="1:8">
      <c r="A1205" t="s">
        <v>157</v>
      </c>
      <c r="B1205" t="s">
        <v>87</v>
      </c>
      <c r="C1205">
        <v>496</v>
      </c>
      <c r="D1205" t="s">
        <v>146</v>
      </c>
      <c r="E1205" s="242">
        <v>42058.469444444447</v>
      </c>
      <c r="F1205">
        <v>0</v>
      </c>
      <c r="G1205" t="b">
        <v>0</v>
      </c>
      <c r="H1205" t="s">
        <v>15</v>
      </c>
    </row>
    <row r="1206" spans="1:8">
      <c r="A1206" t="s">
        <v>169</v>
      </c>
      <c r="B1206" t="s">
        <v>87</v>
      </c>
      <c r="C1206">
        <v>496</v>
      </c>
      <c r="D1206" t="s">
        <v>146</v>
      </c>
      <c r="E1206" s="242">
        <v>42009.542361111111</v>
      </c>
      <c r="F1206">
        <v>0</v>
      </c>
      <c r="G1206" t="b">
        <v>0</v>
      </c>
      <c r="H1206" t="s">
        <v>15</v>
      </c>
    </row>
    <row r="1207" spans="1:8">
      <c r="A1207" t="s">
        <v>170</v>
      </c>
      <c r="B1207" t="s">
        <v>87</v>
      </c>
      <c r="C1207">
        <v>496</v>
      </c>
      <c r="D1207" t="s">
        <v>146</v>
      </c>
      <c r="E1207" s="242">
        <v>41955.321527777778</v>
      </c>
      <c r="F1207">
        <v>0</v>
      </c>
      <c r="G1207" t="b">
        <v>0</v>
      </c>
      <c r="H1207" t="s">
        <v>15</v>
      </c>
    </row>
    <row r="1208" spans="1:8">
      <c r="A1208" t="s">
        <v>158</v>
      </c>
      <c r="B1208" t="s">
        <v>87</v>
      </c>
      <c r="C1208">
        <v>496</v>
      </c>
      <c r="D1208" t="s">
        <v>146</v>
      </c>
      <c r="E1208" s="242">
        <v>42103.545138888891</v>
      </c>
      <c r="F1208">
        <v>0</v>
      </c>
      <c r="G1208" t="b">
        <v>0</v>
      </c>
      <c r="H1208" t="s">
        <v>15</v>
      </c>
    </row>
    <row r="1209" spans="1:8">
      <c r="A1209" t="s">
        <v>159</v>
      </c>
      <c r="B1209" t="s">
        <v>87</v>
      </c>
      <c r="C1209">
        <v>496</v>
      </c>
      <c r="D1209" t="s">
        <v>146</v>
      </c>
      <c r="E1209" s="242">
        <v>42081.367361111108</v>
      </c>
      <c r="F1209">
        <v>0</v>
      </c>
      <c r="G1209" t="b">
        <v>0</v>
      </c>
      <c r="H1209" t="s">
        <v>15</v>
      </c>
    </row>
    <row r="1210" spans="1:8">
      <c r="A1210" t="s">
        <v>160</v>
      </c>
      <c r="B1210" t="s">
        <v>87</v>
      </c>
      <c r="C1210">
        <v>496</v>
      </c>
      <c r="D1210" t="s">
        <v>146</v>
      </c>
      <c r="E1210" s="242">
        <v>41982.675000000003</v>
      </c>
      <c r="F1210">
        <v>0</v>
      </c>
      <c r="G1210" t="b">
        <v>0</v>
      </c>
      <c r="H1210" t="s">
        <v>15</v>
      </c>
    </row>
    <row r="1211" spans="1:8">
      <c r="A1211" t="s">
        <v>161</v>
      </c>
      <c r="B1211" t="s">
        <v>87</v>
      </c>
      <c r="C1211">
        <v>496</v>
      </c>
      <c r="D1211" t="s">
        <v>171</v>
      </c>
      <c r="E1211" s="242">
        <v>41870.306944444441</v>
      </c>
      <c r="F1211">
        <v>0</v>
      </c>
      <c r="G1211" t="b">
        <v>0</v>
      </c>
      <c r="H1211" t="s">
        <v>15</v>
      </c>
    </row>
    <row r="1212" spans="1:8">
      <c r="A1212" t="s">
        <v>164</v>
      </c>
      <c r="B1212" t="s">
        <v>87</v>
      </c>
      <c r="C1212">
        <v>500</v>
      </c>
      <c r="D1212" t="s">
        <v>171</v>
      </c>
      <c r="E1212" s="242">
        <v>42090.443749999999</v>
      </c>
      <c r="F1212">
        <v>0</v>
      </c>
      <c r="G1212" t="b">
        <v>0</v>
      </c>
      <c r="H1212" t="s">
        <v>15</v>
      </c>
    </row>
    <row r="1213" spans="1:8">
      <c r="A1213" t="s">
        <v>161</v>
      </c>
      <c r="B1213" t="s">
        <v>87</v>
      </c>
      <c r="C1213">
        <v>500</v>
      </c>
      <c r="D1213" t="s">
        <v>171</v>
      </c>
      <c r="E1213" s="242">
        <v>41909.025694444441</v>
      </c>
      <c r="F1213">
        <v>0</v>
      </c>
      <c r="G1213" t="b">
        <v>0</v>
      </c>
      <c r="H1213" t="s">
        <v>15</v>
      </c>
    </row>
    <row r="1214" spans="1:8">
      <c r="A1214" t="s">
        <v>165</v>
      </c>
      <c r="B1214" t="s">
        <v>87</v>
      </c>
      <c r="C1214">
        <v>500</v>
      </c>
      <c r="D1214" t="s">
        <v>171</v>
      </c>
      <c r="E1214" s="242">
        <v>42013.493055555555</v>
      </c>
      <c r="F1214">
        <v>0</v>
      </c>
      <c r="G1214" t="b">
        <v>0</v>
      </c>
      <c r="H1214" t="s">
        <v>15</v>
      </c>
    </row>
    <row r="1215" spans="1:8">
      <c r="A1215" t="s">
        <v>148</v>
      </c>
      <c r="B1215" t="s">
        <v>87</v>
      </c>
      <c r="C1215">
        <v>500</v>
      </c>
      <c r="D1215" t="s">
        <v>171</v>
      </c>
      <c r="E1215" s="242">
        <v>42107.565972222219</v>
      </c>
      <c r="F1215">
        <v>0</v>
      </c>
      <c r="G1215" t="b">
        <v>0</v>
      </c>
      <c r="H1215" t="s">
        <v>15</v>
      </c>
    </row>
    <row r="1216" spans="1:8">
      <c r="A1216" t="s">
        <v>162</v>
      </c>
      <c r="B1216" t="s">
        <v>87</v>
      </c>
      <c r="C1216">
        <v>500</v>
      </c>
      <c r="D1216" t="s">
        <v>171</v>
      </c>
      <c r="E1216" s="242">
        <v>41937</v>
      </c>
      <c r="F1216">
        <v>0</v>
      </c>
      <c r="G1216" t="b">
        <v>0</v>
      </c>
      <c r="H1216" t="s">
        <v>15</v>
      </c>
    </row>
    <row r="1217" spans="1:8">
      <c r="A1217" t="s">
        <v>163</v>
      </c>
      <c r="B1217" t="s">
        <v>87</v>
      </c>
      <c r="C1217">
        <v>500</v>
      </c>
      <c r="D1217" t="s">
        <v>171</v>
      </c>
      <c r="E1217" s="242">
        <v>42020</v>
      </c>
      <c r="F1217">
        <v>0</v>
      </c>
      <c r="G1217" t="b">
        <v>0</v>
      </c>
      <c r="H1217" t="s">
        <v>15</v>
      </c>
    </row>
    <row r="1218" spans="1:8">
      <c r="A1218" t="s">
        <v>166</v>
      </c>
      <c r="B1218" t="s">
        <v>87</v>
      </c>
      <c r="C1218">
        <v>500</v>
      </c>
      <c r="D1218" t="s">
        <v>171</v>
      </c>
      <c r="E1218" s="242">
        <v>42089.597916666666</v>
      </c>
      <c r="F1218">
        <v>0</v>
      </c>
      <c r="G1218" t="b">
        <v>0</v>
      </c>
      <c r="H1218" t="s">
        <v>15</v>
      </c>
    </row>
    <row r="1219" spans="1:8">
      <c r="A1219" t="s">
        <v>149</v>
      </c>
      <c r="B1219" t="s">
        <v>87</v>
      </c>
      <c r="C1219">
        <v>500</v>
      </c>
      <c r="D1219" t="s">
        <v>171</v>
      </c>
      <c r="E1219" s="242">
        <v>42080.661805555559</v>
      </c>
      <c r="F1219">
        <v>0</v>
      </c>
      <c r="G1219" t="b">
        <v>0</v>
      </c>
      <c r="H1219" t="s">
        <v>15</v>
      </c>
    </row>
    <row r="1220" spans="1:8">
      <c r="A1220" t="s">
        <v>150</v>
      </c>
      <c r="B1220" t="s">
        <v>87</v>
      </c>
      <c r="C1220">
        <v>500</v>
      </c>
      <c r="D1220" t="s">
        <v>171</v>
      </c>
      <c r="E1220" s="242">
        <v>42049.664583333331</v>
      </c>
      <c r="F1220">
        <v>0</v>
      </c>
      <c r="G1220" t="b">
        <v>0</v>
      </c>
      <c r="H1220" t="s">
        <v>15</v>
      </c>
    </row>
    <row r="1221" spans="1:8">
      <c r="A1221" t="s">
        <v>151</v>
      </c>
      <c r="B1221" t="s">
        <v>87</v>
      </c>
      <c r="C1221">
        <v>500</v>
      </c>
      <c r="D1221" t="s">
        <v>171</v>
      </c>
      <c r="E1221" s="242">
        <v>42040.648611111108</v>
      </c>
      <c r="F1221">
        <v>0</v>
      </c>
      <c r="G1221" t="b">
        <v>0</v>
      </c>
      <c r="H1221" t="s">
        <v>15</v>
      </c>
    </row>
    <row r="1222" spans="1:8">
      <c r="A1222" t="s">
        <v>152</v>
      </c>
      <c r="B1222" t="s">
        <v>87</v>
      </c>
      <c r="C1222">
        <v>500</v>
      </c>
      <c r="D1222" t="s">
        <v>171</v>
      </c>
      <c r="E1222" s="242">
        <v>42045.324305555558</v>
      </c>
      <c r="F1222">
        <v>0</v>
      </c>
      <c r="G1222" t="b">
        <v>0</v>
      </c>
      <c r="H1222" t="s">
        <v>15</v>
      </c>
    </row>
    <row r="1223" spans="1:8">
      <c r="A1223" t="s">
        <v>145</v>
      </c>
      <c r="B1223" t="s">
        <v>87</v>
      </c>
      <c r="C1223">
        <v>500</v>
      </c>
      <c r="D1223" t="s">
        <v>171</v>
      </c>
      <c r="E1223" s="242">
        <v>41984.519444444442</v>
      </c>
      <c r="F1223">
        <v>0</v>
      </c>
      <c r="G1223" t="b">
        <v>0</v>
      </c>
      <c r="H1223" t="s">
        <v>15</v>
      </c>
    </row>
    <row r="1224" spans="1:8">
      <c r="A1224" t="s">
        <v>167</v>
      </c>
      <c r="B1224" t="s">
        <v>87</v>
      </c>
      <c r="C1224">
        <v>500</v>
      </c>
      <c r="D1224" t="s">
        <v>171</v>
      </c>
      <c r="E1224" s="242">
        <v>42112.038194444445</v>
      </c>
      <c r="F1224">
        <v>0</v>
      </c>
      <c r="G1224" t="b">
        <v>0</v>
      </c>
      <c r="H1224" t="s">
        <v>15</v>
      </c>
    </row>
    <row r="1225" spans="1:8">
      <c r="A1225" t="s">
        <v>153</v>
      </c>
      <c r="B1225" t="s">
        <v>87</v>
      </c>
      <c r="C1225">
        <v>500</v>
      </c>
      <c r="D1225" t="s">
        <v>171</v>
      </c>
      <c r="E1225" s="242">
        <v>41907.109722222223</v>
      </c>
      <c r="F1225">
        <v>0</v>
      </c>
      <c r="G1225" t="b">
        <v>0</v>
      </c>
      <c r="H1225" t="s">
        <v>15</v>
      </c>
    </row>
    <row r="1226" spans="1:8">
      <c r="A1226" t="s">
        <v>154</v>
      </c>
      <c r="B1226" t="s">
        <v>87</v>
      </c>
      <c r="C1226">
        <v>500</v>
      </c>
      <c r="D1226" t="s">
        <v>171</v>
      </c>
      <c r="E1226" s="242">
        <v>42104</v>
      </c>
      <c r="F1226">
        <v>0</v>
      </c>
      <c r="G1226" t="b">
        <v>0</v>
      </c>
      <c r="H1226" t="s">
        <v>15</v>
      </c>
    </row>
    <row r="1227" spans="1:8">
      <c r="A1227" t="s">
        <v>168</v>
      </c>
      <c r="B1227" t="s">
        <v>87</v>
      </c>
      <c r="C1227">
        <v>500</v>
      </c>
      <c r="D1227" t="s">
        <v>171</v>
      </c>
      <c r="E1227" s="242">
        <v>42094.709722222222</v>
      </c>
      <c r="F1227">
        <v>0</v>
      </c>
      <c r="G1227" t="b">
        <v>0</v>
      </c>
      <c r="H1227" t="s">
        <v>15</v>
      </c>
    </row>
    <row r="1228" spans="1:8">
      <c r="A1228" t="s">
        <v>155</v>
      </c>
      <c r="B1228" t="s">
        <v>87</v>
      </c>
      <c r="C1228">
        <v>500</v>
      </c>
      <c r="D1228" t="s">
        <v>171</v>
      </c>
      <c r="E1228" s="242">
        <v>41929.134027777778</v>
      </c>
      <c r="F1228">
        <v>0</v>
      </c>
      <c r="G1228" t="b">
        <v>0</v>
      </c>
      <c r="H1228" t="s">
        <v>15</v>
      </c>
    </row>
    <row r="1229" spans="1:8">
      <c r="A1229" t="s">
        <v>156</v>
      </c>
      <c r="B1229" t="s">
        <v>87</v>
      </c>
      <c r="C1229">
        <v>500</v>
      </c>
      <c r="D1229" t="s">
        <v>171</v>
      </c>
      <c r="E1229" s="242">
        <v>42026</v>
      </c>
      <c r="F1229">
        <v>0</v>
      </c>
      <c r="G1229" t="b">
        <v>0</v>
      </c>
      <c r="H1229" t="s">
        <v>15</v>
      </c>
    </row>
    <row r="1230" spans="1:8">
      <c r="A1230" t="s">
        <v>157</v>
      </c>
      <c r="B1230" t="s">
        <v>87</v>
      </c>
      <c r="C1230">
        <v>500</v>
      </c>
      <c r="D1230" t="s">
        <v>171</v>
      </c>
      <c r="E1230" s="242">
        <v>42093</v>
      </c>
      <c r="F1230">
        <v>0</v>
      </c>
      <c r="G1230" t="b">
        <v>0</v>
      </c>
      <c r="H1230" t="s">
        <v>15</v>
      </c>
    </row>
    <row r="1231" spans="1:8">
      <c r="A1231" t="s">
        <v>169</v>
      </c>
      <c r="B1231" t="s">
        <v>87</v>
      </c>
      <c r="C1231">
        <v>500</v>
      </c>
      <c r="D1231" t="s">
        <v>171</v>
      </c>
      <c r="E1231" s="242">
        <v>42083.347916666666</v>
      </c>
      <c r="F1231">
        <v>0</v>
      </c>
      <c r="G1231" t="b">
        <v>0</v>
      </c>
      <c r="H1231" t="s">
        <v>15</v>
      </c>
    </row>
    <row r="1232" spans="1:8">
      <c r="A1232" t="s">
        <v>170</v>
      </c>
      <c r="B1232" t="s">
        <v>87</v>
      </c>
      <c r="C1232">
        <v>500</v>
      </c>
      <c r="D1232" t="s">
        <v>171</v>
      </c>
      <c r="E1232" s="242">
        <v>42073.394444444442</v>
      </c>
      <c r="F1232">
        <v>0</v>
      </c>
      <c r="G1232" t="b">
        <v>0</v>
      </c>
      <c r="H1232" t="s">
        <v>15</v>
      </c>
    </row>
    <row r="1233" spans="1:8">
      <c r="A1233" t="s">
        <v>158</v>
      </c>
      <c r="B1233" t="s">
        <v>87</v>
      </c>
      <c r="C1233">
        <v>500</v>
      </c>
      <c r="D1233" t="s">
        <v>171</v>
      </c>
      <c r="E1233" s="242">
        <v>41948.435416666667</v>
      </c>
      <c r="F1233">
        <v>0</v>
      </c>
      <c r="G1233" t="b">
        <v>0</v>
      </c>
      <c r="H1233" t="s">
        <v>15</v>
      </c>
    </row>
    <row r="1234" spans="1:8">
      <c r="A1234" t="s">
        <v>159</v>
      </c>
      <c r="B1234" t="s">
        <v>87</v>
      </c>
      <c r="C1234">
        <v>500</v>
      </c>
      <c r="D1234" t="s">
        <v>171</v>
      </c>
      <c r="E1234" s="242">
        <v>41958.711805555555</v>
      </c>
      <c r="F1234">
        <v>0</v>
      </c>
      <c r="G1234" t="b">
        <v>0</v>
      </c>
      <c r="H1234" t="s">
        <v>15</v>
      </c>
    </row>
    <row r="1235" spans="1:8">
      <c r="A1235" t="s">
        <v>160</v>
      </c>
      <c r="B1235" t="s">
        <v>87</v>
      </c>
      <c r="C1235">
        <v>500</v>
      </c>
      <c r="D1235" t="s">
        <v>171</v>
      </c>
      <c r="E1235" s="242">
        <v>42056</v>
      </c>
      <c r="F1235">
        <v>0</v>
      </c>
      <c r="G1235" t="b">
        <v>0</v>
      </c>
      <c r="H1235" t="s">
        <v>15</v>
      </c>
    </row>
    <row r="1236" spans="1:8">
      <c r="A1236" t="s">
        <v>164</v>
      </c>
      <c r="B1236" t="s">
        <v>87</v>
      </c>
      <c r="C1236">
        <v>530</v>
      </c>
      <c r="D1236" t="s">
        <v>171</v>
      </c>
      <c r="E1236" s="242">
        <v>41832</v>
      </c>
      <c r="F1236">
        <v>0</v>
      </c>
      <c r="G1236" t="b">
        <v>0</v>
      </c>
      <c r="H1236" t="s">
        <v>15</v>
      </c>
    </row>
    <row r="1237" spans="1:8">
      <c r="A1237" t="s">
        <v>161</v>
      </c>
      <c r="B1237" t="s">
        <v>87</v>
      </c>
      <c r="C1237">
        <v>530</v>
      </c>
      <c r="D1237" t="s">
        <v>171</v>
      </c>
      <c r="E1237" s="242">
        <v>41812.32916666667</v>
      </c>
      <c r="F1237">
        <v>0</v>
      </c>
      <c r="G1237" t="b">
        <v>0</v>
      </c>
      <c r="H1237" t="s">
        <v>15</v>
      </c>
    </row>
    <row r="1238" spans="1:8">
      <c r="A1238" t="s">
        <v>165</v>
      </c>
      <c r="B1238" t="s">
        <v>87</v>
      </c>
      <c r="C1238">
        <v>530</v>
      </c>
      <c r="D1238" t="s">
        <v>171</v>
      </c>
      <c r="E1238" s="242">
        <v>41953.57916666667</v>
      </c>
      <c r="F1238">
        <v>0</v>
      </c>
      <c r="G1238" t="b">
        <v>0</v>
      </c>
      <c r="H1238" t="s">
        <v>15</v>
      </c>
    </row>
    <row r="1239" spans="1:8">
      <c r="A1239" t="s">
        <v>148</v>
      </c>
      <c r="B1239" t="s">
        <v>87</v>
      </c>
      <c r="C1239">
        <v>530</v>
      </c>
      <c r="D1239" t="s">
        <v>171</v>
      </c>
      <c r="E1239" s="242">
        <v>41972</v>
      </c>
      <c r="F1239">
        <v>0</v>
      </c>
      <c r="G1239" t="b">
        <v>0</v>
      </c>
      <c r="H1239" t="s">
        <v>15</v>
      </c>
    </row>
    <row r="1240" spans="1:8">
      <c r="A1240" t="s">
        <v>162</v>
      </c>
      <c r="B1240" t="s">
        <v>87</v>
      </c>
      <c r="C1240">
        <v>530</v>
      </c>
      <c r="D1240" t="s">
        <v>171</v>
      </c>
      <c r="E1240" s="242">
        <v>42056</v>
      </c>
      <c r="F1240">
        <v>0</v>
      </c>
      <c r="G1240" t="b">
        <v>0</v>
      </c>
      <c r="H1240" t="s">
        <v>15</v>
      </c>
    </row>
    <row r="1241" spans="1:8">
      <c r="A1241" t="s">
        <v>163</v>
      </c>
      <c r="B1241" t="s">
        <v>87</v>
      </c>
      <c r="C1241">
        <v>530</v>
      </c>
      <c r="D1241" t="s">
        <v>171</v>
      </c>
      <c r="E1241" s="242">
        <v>42074.42291666667</v>
      </c>
      <c r="F1241">
        <v>0</v>
      </c>
      <c r="G1241" t="b">
        <v>0</v>
      </c>
      <c r="H1241" t="s">
        <v>15</v>
      </c>
    </row>
    <row r="1242" spans="1:8">
      <c r="A1242" t="s">
        <v>166</v>
      </c>
      <c r="B1242" t="s">
        <v>87</v>
      </c>
      <c r="C1242">
        <v>530</v>
      </c>
      <c r="D1242" t="s">
        <v>171</v>
      </c>
      <c r="E1242" s="242">
        <v>41912</v>
      </c>
      <c r="F1242">
        <v>0</v>
      </c>
      <c r="G1242" t="b">
        <v>0</v>
      </c>
      <c r="H1242" t="s">
        <v>15</v>
      </c>
    </row>
    <row r="1243" spans="1:8">
      <c r="A1243" t="s">
        <v>149</v>
      </c>
      <c r="B1243" t="s">
        <v>87</v>
      </c>
      <c r="C1243">
        <v>530</v>
      </c>
      <c r="D1243" t="s">
        <v>171</v>
      </c>
      <c r="E1243" s="242">
        <v>41869.271527777775</v>
      </c>
      <c r="F1243">
        <v>0</v>
      </c>
      <c r="G1243" t="b">
        <v>0</v>
      </c>
      <c r="H1243" t="s">
        <v>15</v>
      </c>
    </row>
    <row r="1244" spans="1:8">
      <c r="A1244" t="s">
        <v>150</v>
      </c>
      <c r="B1244" t="s">
        <v>87</v>
      </c>
      <c r="C1244">
        <v>530</v>
      </c>
      <c r="D1244" t="s">
        <v>171</v>
      </c>
      <c r="E1244" s="242">
        <v>41956.486111111109</v>
      </c>
      <c r="F1244">
        <v>0</v>
      </c>
      <c r="G1244" t="b">
        <v>0</v>
      </c>
      <c r="H1244" t="s">
        <v>15</v>
      </c>
    </row>
    <row r="1245" spans="1:8">
      <c r="A1245" t="s">
        <v>151</v>
      </c>
      <c r="B1245" t="s">
        <v>87</v>
      </c>
      <c r="C1245">
        <v>530</v>
      </c>
      <c r="D1245" t="s">
        <v>171</v>
      </c>
      <c r="E1245" s="242">
        <v>41869.380555555559</v>
      </c>
      <c r="F1245">
        <v>0</v>
      </c>
      <c r="G1245" t="b">
        <v>0</v>
      </c>
      <c r="H1245" t="s">
        <v>15</v>
      </c>
    </row>
    <row r="1246" spans="1:8">
      <c r="A1246" t="s">
        <v>152</v>
      </c>
      <c r="B1246" t="s">
        <v>87</v>
      </c>
      <c r="C1246">
        <v>530</v>
      </c>
      <c r="D1246" t="s">
        <v>171</v>
      </c>
      <c r="E1246" s="242">
        <v>42052.445833333331</v>
      </c>
      <c r="F1246">
        <v>0</v>
      </c>
      <c r="G1246" t="b">
        <v>0</v>
      </c>
      <c r="H1246" t="s">
        <v>15</v>
      </c>
    </row>
    <row r="1247" spans="1:8">
      <c r="A1247" t="s">
        <v>145</v>
      </c>
      <c r="B1247" t="s">
        <v>87</v>
      </c>
      <c r="C1247">
        <v>530</v>
      </c>
      <c r="D1247" t="s">
        <v>171</v>
      </c>
      <c r="E1247" s="242">
        <v>41960.423611111109</v>
      </c>
      <c r="F1247">
        <v>0</v>
      </c>
      <c r="G1247" t="b">
        <v>0</v>
      </c>
      <c r="H1247" t="s">
        <v>15</v>
      </c>
    </row>
    <row r="1248" spans="1:8">
      <c r="A1248" t="s">
        <v>167</v>
      </c>
      <c r="B1248" t="s">
        <v>87</v>
      </c>
      <c r="C1248">
        <v>530</v>
      </c>
      <c r="D1248" t="s">
        <v>171</v>
      </c>
      <c r="E1248" s="242">
        <v>41877</v>
      </c>
      <c r="F1248">
        <v>0</v>
      </c>
      <c r="G1248" t="b">
        <v>0</v>
      </c>
      <c r="H1248" t="s">
        <v>15</v>
      </c>
    </row>
    <row r="1249" spans="1:8">
      <c r="A1249" t="s">
        <v>153</v>
      </c>
      <c r="B1249" t="s">
        <v>87</v>
      </c>
      <c r="C1249">
        <v>530</v>
      </c>
      <c r="D1249" t="s">
        <v>171</v>
      </c>
      <c r="E1249" s="242">
        <v>42021.45</v>
      </c>
      <c r="F1249">
        <v>0</v>
      </c>
      <c r="G1249" t="b">
        <v>0</v>
      </c>
      <c r="H1249" t="s">
        <v>15</v>
      </c>
    </row>
    <row r="1250" spans="1:8">
      <c r="A1250" t="s">
        <v>154</v>
      </c>
      <c r="B1250" t="s">
        <v>87</v>
      </c>
      <c r="C1250">
        <v>530</v>
      </c>
      <c r="D1250" t="s">
        <v>171</v>
      </c>
      <c r="E1250" s="242">
        <v>41933</v>
      </c>
      <c r="F1250">
        <v>0</v>
      </c>
      <c r="G1250" t="b">
        <v>0</v>
      </c>
      <c r="H1250" t="s">
        <v>15</v>
      </c>
    </row>
    <row r="1251" spans="1:8">
      <c r="A1251" t="s">
        <v>168</v>
      </c>
      <c r="B1251" t="s">
        <v>87</v>
      </c>
      <c r="C1251">
        <v>530</v>
      </c>
      <c r="D1251" t="s">
        <v>171</v>
      </c>
      <c r="E1251" s="242">
        <v>41912</v>
      </c>
      <c r="F1251">
        <v>0</v>
      </c>
      <c r="G1251" t="b">
        <v>0</v>
      </c>
      <c r="H1251" t="s">
        <v>15</v>
      </c>
    </row>
    <row r="1252" spans="1:8">
      <c r="A1252" t="s">
        <v>155</v>
      </c>
      <c r="B1252" t="s">
        <v>87</v>
      </c>
      <c r="C1252">
        <v>530</v>
      </c>
      <c r="D1252" t="s">
        <v>171</v>
      </c>
      <c r="E1252" s="242">
        <v>41976.704861111109</v>
      </c>
      <c r="F1252">
        <v>0</v>
      </c>
      <c r="G1252" t="b">
        <v>0</v>
      </c>
      <c r="H1252" t="s">
        <v>15</v>
      </c>
    </row>
    <row r="1253" spans="1:8">
      <c r="A1253" t="s">
        <v>156</v>
      </c>
      <c r="B1253" t="s">
        <v>87</v>
      </c>
      <c r="C1253">
        <v>530</v>
      </c>
      <c r="D1253" t="s">
        <v>171</v>
      </c>
      <c r="E1253" s="242">
        <v>41870</v>
      </c>
      <c r="F1253">
        <v>0</v>
      </c>
      <c r="G1253" t="b">
        <v>0</v>
      </c>
      <c r="H1253" t="s">
        <v>15</v>
      </c>
    </row>
    <row r="1254" spans="1:8">
      <c r="A1254" t="s">
        <v>157</v>
      </c>
      <c r="B1254" t="s">
        <v>87</v>
      </c>
      <c r="C1254">
        <v>530</v>
      </c>
      <c r="D1254" t="s">
        <v>171</v>
      </c>
      <c r="E1254" s="242">
        <v>41764.504166666666</v>
      </c>
      <c r="F1254">
        <v>0</v>
      </c>
      <c r="G1254" t="b">
        <v>0</v>
      </c>
      <c r="H1254" t="s">
        <v>15</v>
      </c>
    </row>
    <row r="1255" spans="1:8">
      <c r="A1255" t="s">
        <v>169</v>
      </c>
      <c r="B1255" t="s">
        <v>87</v>
      </c>
      <c r="C1255">
        <v>530</v>
      </c>
      <c r="D1255" t="s">
        <v>171</v>
      </c>
      <c r="E1255" s="242">
        <v>41870.258333333331</v>
      </c>
      <c r="F1255">
        <v>0</v>
      </c>
      <c r="G1255" t="b">
        <v>0</v>
      </c>
      <c r="H1255" t="s">
        <v>15</v>
      </c>
    </row>
    <row r="1256" spans="1:8">
      <c r="A1256" t="s">
        <v>170</v>
      </c>
      <c r="B1256" t="s">
        <v>87</v>
      </c>
      <c r="C1256">
        <v>530</v>
      </c>
      <c r="D1256" t="s">
        <v>171</v>
      </c>
      <c r="E1256" s="242">
        <v>42083.695138888892</v>
      </c>
      <c r="F1256">
        <v>0</v>
      </c>
      <c r="G1256" t="b">
        <v>0</v>
      </c>
      <c r="H1256" t="s">
        <v>15</v>
      </c>
    </row>
    <row r="1257" spans="1:8">
      <c r="A1257" t="s">
        <v>158</v>
      </c>
      <c r="B1257" t="s">
        <v>87</v>
      </c>
      <c r="C1257">
        <v>530</v>
      </c>
      <c r="D1257" t="s">
        <v>171</v>
      </c>
      <c r="E1257" s="242">
        <v>41870</v>
      </c>
      <c r="F1257">
        <v>0</v>
      </c>
      <c r="G1257" t="b">
        <v>0</v>
      </c>
      <c r="H1257" t="s">
        <v>15</v>
      </c>
    </row>
    <row r="1258" spans="1:8">
      <c r="A1258" t="s">
        <v>159</v>
      </c>
      <c r="B1258" t="s">
        <v>87</v>
      </c>
      <c r="C1258">
        <v>530</v>
      </c>
      <c r="D1258" t="s">
        <v>171</v>
      </c>
      <c r="E1258" s="242">
        <v>41901</v>
      </c>
      <c r="F1258">
        <v>0</v>
      </c>
      <c r="G1258" t="b">
        <v>0</v>
      </c>
      <c r="H1258" t="s">
        <v>15</v>
      </c>
    </row>
    <row r="1259" spans="1:8">
      <c r="A1259" t="s">
        <v>160</v>
      </c>
      <c r="B1259" t="s">
        <v>87</v>
      </c>
      <c r="C1259">
        <v>530</v>
      </c>
      <c r="D1259" t="s">
        <v>171</v>
      </c>
      <c r="E1259" s="242">
        <v>41914</v>
      </c>
      <c r="F1259">
        <v>0</v>
      </c>
      <c r="G1259" t="b">
        <v>0</v>
      </c>
      <c r="H1259" t="s">
        <v>15</v>
      </c>
    </row>
    <row r="1260" spans="1:8">
      <c r="A1260" t="s">
        <v>164</v>
      </c>
      <c r="B1260" t="s">
        <v>87</v>
      </c>
      <c r="C1260">
        <v>531</v>
      </c>
      <c r="D1260" t="s">
        <v>171</v>
      </c>
      <c r="E1260" s="242">
        <v>42067</v>
      </c>
      <c r="F1260">
        <v>0</v>
      </c>
      <c r="G1260" t="b">
        <v>0</v>
      </c>
      <c r="H1260" t="s">
        <v>15</v>
      </c>
    </row>
    <row r="1261" spans="1:8">
      <c r="A1261" t="s">
        <v>161</v>
      </c>
      <c r="B1261" t="s">
        <v>87</v>
      </c>
      <c r="C1261">
        <v>531</v>
      </c>
      <c r="D1261" t="s">
        <v>171</v>
      </c>
      <c r="E1261" s="242">
        <v>41703</v>
      </c>
      <c r="F1261">
        <v>0</v>
      </c>
      <c r="G1261" t="b">
        <v>0</v>
      </c>
      <c r="H1261" t="s">
        <v>15</v>
      </c>
    </row>
    <row r="1262" spans="1:8">
      <c r="A1262" t="s">
        <v>165</v>
      </c>
      <c r="B1262" t="s">
        <v>87</v>
      </c>
      <c r="C1262">
        <v>531</v>
      </c>
      <c r="D1262" t="s">
        <v>171</v>
      </c>
      <c r="E1262" s="242">
        <v>42039.972916666666</v>
      </c>
      <c r="F1262">
        <v>0</v>
      </c>
      <c r="G1262" t="b">
        <v>0</v>
      </c>
      <c r="H1262" t="s">
        <v>15</v>
      </c>
    </row>
    <row r="1263" spans="1:8">
      <c r="A1263" t="s">
        <v>148</v>
      </c>
      <c r="B1263" t="s">
        <v>87</v>
      </c>
      <c r="C1263">
        <v>531</v>
      </c>
      <c r="D1263" t="s">
        <v>171</v>
      </c>
      <c r="E1263" s="242">
        <v>42009</v>
      </c>
      <c r="F1263">
        <v>0</v>
      </c>
      <c r="G1263" t="b">
        <v>0</v>
      </c>
      <c r="H1263" t="s">
        <v>15</v>
      </c>
    </row>
    <row r="1264" spans="1:8">
      <c r="A1264" t="s">
        <v>162</v>
      </c>
      <c r="B1264" t="s">
        <v>87</v>
      </c>
      <c r="C1264">
        <v>531</v>
      </c>
      <c r="D1264" t="s">
        <v>171</v>
      </c>
      <c r="E1264" s="242">
        <v>41984</v>
      </c>
      <c r="F1264">
        <v>0</v>
      </c>
      <c r="G1264" t="b">
        <v>0</v>
      </c>
      <c r="H1264" t="s">
        <v>15</v>
      </c>
    </row>
    <row r="1265" spans="1:8">
      <c r="A1265" t="s">
        <v>163</v>
      </c>
      <c r="B1265" t="s">
        <v>87</v>
      </c>
      <c r="C1265">
        <v>531</v>
      </c>
      <c r="D1265" t="s">
        <v>171</v>
      </c>
      <c r="E1265" s="242">
        <v>41746.654861111114</v>
      </c>
      <c r="F1265">
        <v>0</v>
      </c>
      <c r="G1265" t="b">
        <v>0</v>
      </c>
      <c r="H1265" t="s">
        <v>15</v>
      </c>
    </row>
    <row r="1266" spans="1:8">
      <c r="A1266" t="s">
        <v>166</v>
      </c>
      <c r="B1266" t="s">
        <v>87</v>
      </c>
      <c r="C1266">
        <v>531</v>
      </c>
      <c r="D1266" t="s">
        <v>171</v>
      </c>
      <c r="E1266" s="242">
        <v>42059.585416666669</v>
      </c>
      <c r="F1266">
        <v>0</v>
      </c>
      <c r="G1266" t="b">
        <v>0</v>
      </c>
      <c r="H1266" t="s">
        <v>15</v>
      </c>
    </row>
    <row r="1267" spans="1:8">
      <c r="A1267" t="s">
        <v>149</v>
      </c>
      <c r="B1267" t="s">
        <v>87</v>
      </c>
      <c r="C1267">
        <v>531</v>
      </c>
      <c r="D1267" t="s">
        <v>171</v>
      </c>
      <c r="E1267" s="242">
        <v>42087.394444444442</v>
      </c>
      <c r="F1267">
        <v>0</v>
      </c>
      <c r="G1267" t="b">
        <v>0</v>
      </c>
      <c r="H1267" t="s">
        <v>15</v>
      </c>
    </row>
    <row r="1268" spans="1:8">
      <c r="A1268" t="s">
        <v>150</v>
      </c>
      <c r="B1268" t="s">
        <v>87</v>
      </c>
      <c r="C1268">
        <v>531</v>
      </c>
      <c r="D1268" t="s">
        <v>171</v>
      </c>
      <c r="E1268" s="242">
        <v>42059.914583333331</v>
      </c>
      <c r="F1268">
        <v>0</v>
      </c>
      <c r="G1268" t="b">
        <v>0</v>
      </c>
      <c r="H1268" t="s">
        <v>15</v>
      </c>
    </row>
    <row r="1269" spans="1:8">
      <c r="A1269" t="s">
        <v>151</v>
      </c>
      <c r="B1269" t="s">
        <v>87</v>
      </c>
      <c r="C1269">
        <v>531</v>
      </c>
      <c r="D1269" t="s">
        <v>171</v>
      </c>
      <c r="E1269" s="242">
        <v>41984.777777777781</v>
      </c>
      <c r="F1269">
        <v>0</v>
      </c>
      <c r="G1269" t="b">
        <v>0</v>
      </c>
      <c r="H1269" t="s">
        <v>15</v>
      </c>
    </row>
    <row r="1270" spans="1:8">
      <c r="A1270" t="s">
        <v>152</v>
      </c>
      <c r="B1270" t="s">
        <v>87</v>
      </c>
      <c r="C1270">
        <v>531</v>
      </c>
      <c r="D1270" t="s">
        <v>171</v>
      </c>
      <c r="E1270" s="242">
        <v>42060.513194444444</v>
      </c>
      <c r="F1270">
        <v>0</v>
      </c>
      <c r="G1270" t="b">
        <v>0</v>
      </c>
      <c r="H1270" t="s">
        <v>15</v>
      </c>
    </row>
    <row r="1271" spans="1:8">
      <c r="A1271" t="s">
        <v>167</v>
      </c>
      <c r="B1271" t="s">
        <v>87</v>
      </c>
      <c r="C1271">
        <v>531</v>
      </c>
      <c r="D1271" t="s">
        <v>171</v>
      </c>
      <c r="E1271" s="242">
        <v>41984.736111111109</v>
      </c>
      <c r="F1271">
        <v>0</v>
      </c>
      <c r="G1271" t="b">
        <v>0</v>
      </c>
      <c r="H1271" t="s">
        <v>15</v>
      </c>
    </row>
    <row r="1272" spans="1:8">
      <c r="A1272" t="s">
        <v>153</v>
      </c>
      <c r="B1272" t="s">
        <v>87</v>
      </c>
      <c r="C1272">
        <v>531</v>
      </c>
      <c r="D1272" t="s">
        <v>171</v>
      </c>
      <c r="E1272" s="242">
        <v>41731.965277777781</v>
      </c>
      <c r="F1272">
        <v>0</v>
      </c>
      <c r="G1272" t="b">
        <v>0</v>
      </c>
      <c r="H1272" t="s">
        <v>15</v>
      </c>
    </row>
    <row r="1273" spans="1:8">
      <c r="A1273" t="s">
        <v>154</v>
      </c>
      <c r="B1273" t="s">
        <v>87</v>
      </c>
      <c r="C1273">
        <v>531</v>
      </c>
      <c r="D1273" t="s">
        <v>171</v>
      </c>
      <c r="E1273" s="242">
        <v>41739.25</v>
      </c>
      <c r="F1273">
        <v>0</v>
      </c>
      <c r="G1273" t="b">
        <v>0</v>
      </c>
      <c r="H1273" t="s">
        <v>15</v>
      </c>
    </row>
    <row r="1274" spans="1:8">
      <c r="A1274" t="s">
        <v>168</v>
      </c>
      <c r="B1274" t="s">
        <v>87</v>
      </c>
      <c r="C1274">
        <v>531</v>
      </c>
      <c r="D1274" t="s">
        <v>171</v>
      </c>
      <c r="E1274" s="242">
        <v>41723</v>
      </c>
      <c r="F1274">
        <v>0</v>
      </c>
      <c r="G1274" t="b">
        <v>0</v>
      </c>
      <c r="H1274" t="s">
        <v>15</v>
      </c>
    </row>
    <row r="1275" spans="1:8">
      <c r="A1275" t="s">
        <v>155</v>
      </c>
      <c r="B1275" t="s">
        <v>87</v>
      </c>
      <c r="C1275">
        <v>531</v>
      </c>
      <c r="D1275" t="s">
        <v>171</v>
      </c>
      <c r="E1275" s="242">
        <v>41744.567361111112</v>
      </c>
      <c r="F1275">
        <v>0</v>
      </c>
      <c r="G1275" t="b">
        <v>0</v>
      </c>
      <c r="H1275" t="s">
        <v>15</v>
      </c>
    </row>
    <row r="1276" spans="1:8">
      <c r="A1276" t="s">
        <v>156</v>
      </c>
      <c r="B1276" t="s">
        <v>87</v>
      </c>
      <c r="C1276">
        <v>531</v>
      </c>
      <c r="D1276" t="s">
        <v>171</v>
      </c>
      <c r="E1276" s="242">
        <v>41943.251388888886</v>
      </c>
      <c r="F1276">
        <v>0</v>
      </c>
      <c r="G1276" t="b">
        <v>0</v>
      </c>
      <c r="H1276" t="s">
        <v>15</v>
      </c>
    </row>
    <row r="1277" spans="1:8">
      <c r="A1277" t="s">
        <v>157</v>
      </c>
      <c r="B1277" t="s">
        <v>87</v>
      </c>
      <c r="C1277">
        <v>531</v>
      </c>
      <c r="D1277" t="s">
        <v>171</v>
      </c>
      <c r="E1277" s="242">
        <v>41729</v>
      </c>
      <c r="F1277">
        <v>0</v>
      </c>
      <c r="G1277" t="b">
        <v>0</v>
      </c>
      <c r="H1277" t="s">
        <v>15</v>
      </c>
    </row>
    <row r="1278" spans="1:8">
      <c r="A1278" t="s">
        <v>169</v>
      </c>
      <c r="B1278" t="s">
        <v>87</v>
      </c>
      <c r="C1278">
        <v>531</v>
      </c>
      <c r="D1278" t="s">
        <v>171</v>
      </c>
      <c r="E1278" s="242">
        <v>41985</v>
      </c>
      <c r="F1278">
        <v>0</v>
      </c>
      <c r="G1278" t="b">
        <v>0</v>
      </c>
      <c r="H1278" t="s">
        <v>15</v>
      </c>
    </row>
    <row r="1279" spans="1:8">
      <c r="A1279" t="s">
        <v>170</v>
      </c>
      <c r="B1279" t="s">
        <v>87</v>
      </c>
      <c r="C1279">
        <v>531</v>
      </c>
      <c r="D1279" t="s">
        <v>171</v>
      </c>
      <c r="E1279" s="242">
        <v>42073.394444444442</v>
      </c>
      <c r="F1279">
        <v>0</v>
      </c>
      <c r="G1279" t="b">
        <v>0</v>
      </c>
      <c r="H1279" t="s">
        <v>15</v>
      </c>
    </row>
    <row r="1280" spans="1:8">
      <c r="A1280" t="s">
        <v>158</v>
      </c>
      <c r="B1280" t="s">
        <v>87</v>
      </c>
      <c r="C1280">
        <v>531</v>
      </c>
      <c r="D1280" t="s">
        <v>171</v>
      </c>
      <c r="E1280" s="242">
        <v>41774.617361111108</v>
      </c>
      <c r="F1280">
        <v>0</v>
      </c>
      <c r="G1280" t="b">
        <v>0</v>
      </c>
      <c r="H1280" t="s">
        <v>15</v>
      </c>
    </row>
    <row r="1281" spans="1:8">
      <c r="A1281" t="s">
        <v>159</v>
      </c>
      <c r="B1281" t="s">
        <v>87</v>
      </c>
      <c r="C1281">
        <v>531</v>
      </c>
      <c r="D1281" t="s">
        <v>171</v>
      </c>
      <c r="E1281" s="242">
        <v>41989</v>
      </c>
      <c r="F1281">
        <v>0</v>
      </c>
      <c r="G1281" t="b">
        <v>0</v>
      </c>
      <c r="H1281" t="s">
        <v>15</v>
      </c>
    </row>
    <row r="1282" spans="1:8">
      <c r="A1282" t="s">
        <v>160</v>
      </c>
      <c r="B1282" t="s">
        <v>87</v>
      </c>
      <c r="C1282">
        <v>531</v>
      </c>
      <c r="D1282" t="s">
        <v>171</v>
      </c>
      <c r="E1282" s="242">
        <v>41964.625</v>
      </c>
      <c r="F1282">
        <v>0</v>
      </c>
      <c r="G1282" t="b">
        <v>0</v>
      </c>
      <c r="H1282" t="s">
        <v>15</v>
      </c>
    </row>
    <row r="1283" spans="1:8">
      <c r="A1283" t="s">
        <v>164</v>
      </c>
      <c r="B1283" t="s">
        <v>87</v>
      </c>
      <c r="C1283">
        <v>532</v>
      </c>
      <c r="D1283" t="s">
        <v>171</v>
      </c>
      <c r="E1283" s="242">
        <v>41865</v>
      </c>
      <c r="F1283">
        <v>0</v>
      </c>
      <c r="G1283" t="b">
        <v>0</v>
      </c>
      <c r="H1283" t="s">
        <v>15</v>
      </c>
    </row>
    <row r="1284" spans="1:8">
      <c r="A1284" t="s">
        <v>161</v>
      </c>
      <c r="B1284" t="s">
        <v>87</v>
      </c>
      <c r="C1284">
        <v>532</v>
      </c>
      <c r="D1284" t="s">
        <v>171</v>
      </c>
      <c r="E1284" s="242">
        <v>41937.623611111114</v>
      </c>
      <c r="F1284">
        <v>0</v>
      </c>
      <c r="G1284" t="b">
        <v>0</v>
      </c>
      <c r="H1284" t="s">
        <v>15</v>
      </c>
    </row>
    <row r="1285" spans="1:8">
      <c r="A1285" t="s">
        <v>165</v>
      </c>
      <c r="B1285" t="s">
        <v>87</v>
      </c>
      <c r="C1285">
        <v>532</v>
      </c>
      <c r="D1285" t="s">
        <v>171</v>
      </c>
      <c r="E1285" s="242">
        <v>41844.524305555555</v>
      </c>
      <c r="F1285">
        <v>0</v>
      </c>
      <c r="G1285" t="b">
        <v>0</v>
      </c>
      <c r="H1285" t="s">
        <v>15</v>
      </c>
    </row>
    <row r="1286" spans="1:8">
      <c r="A1286" t="s">
        <v>148</v>
      </c>
      <c r="B1286" t="s">
        <v>87</v>
      </c>
      <c r="C1286">
        <v>532</v>
      </c>
      <c r="D1286" t="s">
        <v>171</v>
      </c>
      <c r="E1286" s="242">
        <v>42109.740277777775</v>
      </c>
      <c r="F1286">
        <v>0</v>
      </c>
      <c r="G1286" t="b">
        <v>0</v>
      </c>
      <c r="H1286" t="s">
        <v>15</v>
      </c>
    </row>
    <row r="1287" spans="1:8">
      <c r="A1287" t="s">
        <v>162</v>
      </c>
      <c r="B1287" t="s">
        <v>87</v>
      </c>
      <c r="C1287">
        <v>532</v>
      </c>
      <c r="D1287" t="s">
        <v>171</v>
      </c>
      <c r="E1287" s="242">
        <v>41814.561805555553</v>
      </c>
      <c r="F1287">
        <v>0</v>
      </c>
      <c r="G1287" t="b">
        <v>0</v>
      </c>
      <c r="H1287" t="s">
        <v>15</v>
      </c>
    </row>
    <row r="1288" spans="1:8">
      <c r="A1288" t="s">
        <v>163</v>
      </c>
      <c r="B1288" t="s">
        <v>87</v>
      </c>
      <c r="C1288">
        <v>532</v>
      </c>
      <c r="D1288" t="s">
        <v>171</v>
      </c>
      <c r="E1288" s="242">
        <v>41814.210416666669</v>
      </c>
      <c r="F1288">
        <v>0</v>
      </c>
      <c r="G1288" t="b">
        <v>0</v>
      </c>
      <c r="H1288" t="s">
        <v>15</v>
      </c>
    </row>
    <row r="1289" spans="1:8">
      <c r="A1289" t="s">
        <v>166</v>
      </c>
      <c r="B1289" t="s">
        <v>87</v>
      </c>
      <c r="C1289">
        <v>532</v>
      </c>
      <c r="D1289" t="s">
        <v>171</v>
      </c>
      <c r="E1289" s="242">
        <v>41776</v>
      </c>
      <c r="F1289">
        <v>0</v>
      </c>
      <c r="G1289" t="b">
        <v>0</v>
      </c>
      <c r="H1289" t="s">
        <v>15</v>
      </c>
    </row>
    <row r="1290" spans="1:8">
      <c r="A1290" t="s">
        <v>149</v>
      </c>
      <c r="B1290" t="s">
        <v>87</v>
      </c>
      <c r="C1290">
        <v>532</v>
      </c>
      <c r="D1290" t="s">
        <v>171</v>
      </c>
      <c r="E1290" s="242">
        <v>42068.572916666664</v>
      </c>
      <c r="F1290">
        <v>0</v>
      </c>
      <c r="G1290" t="b">
        <v>0</v>
      </c>
      <c r="H1290" t="s">
        <v>15</v>
      </c>
    </row>
    <row r="1291" spans="1:8">
      <c r="A1291" t="s">
        <v>150</v>
      </c>
      <c r="B1291" t="s">
        <v>87</v>
      </c>
      <c r="C1291">
        <v>532</v>
      </c>
      <c r="D1291" t="s">
        <v>171</v>
      </c>
      <c r="E1291" s="242">
        <v>41772.415277777778</v>
      </c>
      <c r="F1291">
        <v>0</v>
      </c>
      <c r="G1291" t="b">
        <v>0</v>
      </c>
      <c r="H1291" t="s">
        <v>15</v>
      </c>
    </row>
    <row r="1292" spans="1:8">
      <c r="A1292" t="s">
        <v>151</v>
      </c>
      <c r="B1292" t="s">
        <v>87</v>
      </c>
      <c r="C1292">
        <v>532</v>
      </c>
      <c r="D1292" t="s">
        <v>171</v>
      </c>
      <c r="E1292" s="242">
        <v>41984</v>
      </c>
      <c r="F1292">
        <v>0</v>
      </c>
      <c r="G1292" t="b">
        <v>0</v>
      </c>
      <c r="H1292" t="s">
        <v>15</v>
      </c>
    </row>
    <row r="1293" spans="1:8">
      <c r="A1293" t="s">
        <v>152</v>
      </c>
      <c r="B1293" t="s">
        <v>87</v>
      </c>
      <c r="C1293">
        <v>532</v>
      </c>
      <c r="D1293" t="s">
        <v>171</v>
      </c>
      <c r="E1293" s="242">
        <v>42073.552777777775</v>
      </c>
      <c r="F1293">
        <v>0</v>
      </c>
      <c r="G1293" t="b">
        <v>0</v>
      </c>
      <c r="H1293" t="s">
        <v>15</v>
      </c>
    </row>
    <row r="1294" spans="1:8">
      <c r="A1294" t="s">
        <v>145</v>
      </c>
      <c r="B1294" t="s">
        <v>87</v>
      </c>
      <c r="C1294">
        <v>532</v>
      </c>
      <c r="D1294" t="s">
        <v>171</v>
      </c>
      <c r="E1294" s="242">
        <v>41997</v>
      </c>
      <c r="F1294">
        <v>0</v>
      </c>
      <c r="G1294" t="b">
        <v>0</v>
      </c>
      <c r="H1294" t="s">
        <v>15</v>
      </c>
    </row>
    <row r="1295" spans="1:8">
      <c r="A1295" t="s">
        <v>167</v>
      </c>
      <c r="B1295" t="s">
        <v>87</v>
      </c>
      <c r="C1295">
        <v>532</v>
      </c>
      <c r="D1295" t="s">
        <v>171</v>
      </c>
      <c r="E1295" s="242">
        <v>41979.611111111109</v>
      </c>
      <c r="F1295">
        <v>0</v>
      </c>
      <c r="G1295" t="b">
        <v>0</v>
      </c>
      <c r="H1295" t="s">
        <v>15</v>
      </c>
    </row>
    <row r="1296" spans="1:8">
      <c r="A1296" t="s">
        <v>153</v>
      </c>
      <c r="B1296" t="s">
        <v>87</v>
      </c>
      <c r="C1296">
        <v>532</v>
      </c>
      <c r="D1296" t="s">
        <v>171</v>
      </c>
      <c r="E1296" s="242">
        <v>41724.681944444441</v>
      </c>
      <c r="F1296">
        <v>0</v>
      </c>
      <c r="G1296" t="b">
        <v>0</v>
      </c>
      <c r="H1296" t="s">
        <v>15</v>
      </c>
    </row>
    <row r="1297" spans="1:8">
      <c r="A1297" t="s">
        <v>154</v>
      </c>
      <c r="B1297" t="s">
        <v>87</v>
      </c>
      <c r="C1297">
        <v>532</v>
      </c>
      <c r="D1297" t="s">
        <v>171</v>
      </c>
      <c r="E1297" s="242">
        <v>41743.34097222222</v>
      </c>
      <c r="F1297">
        <v>0</v>
      </c>
      <c r="G1297" t="b">
        <v>0</v>
      </c>
      <c r="H1297" t="s">
        <v>15</v>
      </c>
    </row>
    <row r="1298" spans="1:8">
      <c r="A1298" t="s">
        <v>168</v>
      </c>
      <c r="B1298" t="s">
        <v>87</v>
      </c>
      <c r="C1298">
        <v>532</v>
      </c>
      <c r="D1298" t="s">
        <v>171</v>
      </c>
      <c r="E1298" s="242">
        <v>42075.527083333334</v>
      </c>
      <c r="F1298">
        <v>0</v>
      </c>
      <c r="G1298" t="b">
        <v>0</v>
      </c>
      <c r="H1298" t="s">
        <v>15</v>
      </c>
    </row>
    <row r="1299" spans="1:8">
      <c r="A1299" t="s">
        <v>155</v>
      </c>
      <c r="B1299" t="s">
        <v>87</v>
      </c>
      <c r="C1299">
        <v>532</v>
      </c>
      <c r="D1299" t="s">
        <v>171</v>
      </c>
      <c r="E1299" s="242">
        <v>41749.707638888889</v>
      </c>
      <c r="F1299">
        <v>0</v>
      </c>
      <c r="G1299" t="b">
        <v>0</v>
      </c>
      <c r="H1299" t="s">
        <v>15</v>
      </c>
    </row>
    <row r="1300" spans="1:8">
      <c r="A1300" t="s">
        <v>156</v>
      </c>
      <c r="B1300" t="s">
        <v>87</v>
      </c>
      <c r="C1300">
        <v>532</v>
      </c>
      <c r="D1300" t="s">
        <v>171</v>
      </c>
      <c r="E1300" s="242">
        <v>42044.335416666669</v>
      </c>
      <c r="F1300">
        <v>0</v>
      </c>
      <c r="G1300" t="b">
        <v>0</v>
      </c>
      <c r="H1300" t="s">
        <v>15</v>
      </c>
    </row>
    <row r="1301" spans="1:8">
      <c r="A1301" t="s">
        <v>157</v>
      </c>
      <c r="B1301" t="s">
        <v>87</v>
      </c>
      <c r="C1301">
        <v>532</v>
      </c>
      <c r="D1301" t="s">
        <v>171</v>
      </c>
      <c r="E1301" s="242">
        <v>41730</v>
      </c>
      <c r="F1301">
        <v>0</v>
      </c>
      <c r="G1301" t="b">
        <v>0</v>
      </c>
      <c r="H1301" t="s">
        <v>15</v>
      </c>
    </row>
    <row r="1302" spans="1:8">
      <c r="A1302" t="s">
        <v>169</v>
      </c>
      <c r="B1302" t="s">
        <v>87</v>
      </c>
      <c r="C1302">
        <v>532</v>
      </c>
      <c r="D1302" t="s">
        <v>171</v>
      </c>
      <c r="E1302" s="242">
        <v>41725.486805555556</v>
      </c>
      <c r="F1302">
        <v>0</v>
      </c>
      <c r="G1302" t="b">
        <v>0</v>
      </c>
      <c r="H1302" t="s">
        <v>15</v>
      </c>
    </row>
    <row r="1303" spans="1:8">
      <c r="A1303" t="s">
        <v>170</v>
      </c>
      <c r="B1303" t="s">
        <v>87</v>
      </c>
      <c r="C1303">
        <v>532</v>
      </c>
      <c r="D1303" t="s">
        <v>171</v>
      </c>
      <c r="E1303" s="242">
        <v>42043.270138888889</v>
      </c>
      <c r="F1303">
        <v>0</v>
      </c>
      <c r="G1303" t="b">
        <v>0</v>
      </c>
      <c r="H1303" t="s">
        <v>15</v>
      </c>
    </row>
    <row r="1304" spans="1:8">
      <c r="A1304" t="s">
        <v>158</v>
      </c>
      <c r="B1304" t="s">
        <v>87</v>
      </c>
      <c r="C1304">
        <v>532</v>
      </c>
      <c r="D1304" t="s">
        <v>171</v>
      </c>
      <c r="E1304" s="242">
        <v>41779</v>
      </c>
      <c r="F1304">
        <v>0</v>
      </c>
      <c r="G1304" t="b">
        <v>0</v>
      </c>
      <c r="H1304" t="s">
        <v>15</v>
      </c>
    </row>
    <row r="1305" spans="1:8">
      <c r="A1305" t="s">
        <v>159</v>
      </c>
      <c r="B1305" t="s">
        <v>87</v>
      </c>
      <c r="C1305">
        <v>532</v>
      </c>
      <c r="D1305" t="s">
        <v>171</v>
      </c>
      <c r="E1305" s="242">
        <v>41789.46875</v>
      </c>
      <c r="F1305">
        <v>0</v>
      </c>
      <c r="G1305" t="b">
        <v>0</v>
      </c>
      <c r="H1305" t="s">
        <v>15</v>
      </c>
    </row>
    <row r="1306" spans="1:8">
      <c r="A1306" t="s">
        <v>160</v>
      </c>
      <c r="B1306" t="s">
        <v>87</v>
      </c>
      <c r="C1306">
        <v>532</v>
      </c>
      <c r="D1306" t="s">
        <v>171</v>
      </c>
      <c r="E1306" s="242">
        <v>41739.625</v>
      </c>
      <c r="F1306">
        <v>0</v>
      </c>
      <c r="G1306" t="b">
        <v>0</v>
      </c>
      <c r="H1306" t="s">
        <v>15</v>
      </c>
    </row>
    <row r="1307" spans="1:8">
      <c r="A1307" t="s">
        <v>164</v>
      </c>
      <c r="B1307" t="s">
        <v>87</v>
      </c>
      <c r="C1307">
        <v>533</v>
      </c>
      <c r="D1307" t="s">
        <v>171</v>
      </c>
      <c r="E1307" s="242">
        <v>42067</v>
      </c>
      <c r="F1307">
        <v>0</v>
      </c>
      <c r="G1307" t="b">
        <v>0</v>
      </c>
      <c r="H1307" t="s">
        <v>15</v>
      </c>
    </row>
    <row r="1308" spans="1:8">
      <c r="A1308" t="s">
        <v>161</v>
      </c>
      <c r="B1308" t="s">
        <v>87</v>
      </c>
      <c r="C1308">
        <v>533</v>
      </c>
      <c r="D1308" t="s">
        <v>171</v>
      </c>
      <c r="E1308" s="242">
        <v>41728</v>
      </c>
      <c r="F1308">
        <v>0</v>
      </c>
      <c r="G1308" t="b">
        <v>0</v>
      </c>
      <c r="H1308" t="s">
        <v>15</v>
      </c>
    </row>
    <row r="1309" spans="1:8">
      <c r="A1309" t="s">
        <v>165</v>
      </c>
      <c r="B1309" t="s">
        <v>87</v>
      </c>
      <c r="C1309">
        <v>533</v>
      </c>
      <c r="D1309" t="s">
        <v>171</v>
      </c>
      <c r="E1309" s="242">
        <v>42039.974999999999</v>
      </c>
      <c r="F1309">
        <v>0</v>
      </c>
      <c r="G1309" t="b">
        <v>0</v>
      </c>
      <c r="H1309" t="s">
        <v>15</v>
      </c>
    </row>
    <row r="1310" spans="1:8">
      <c r="A1310" t="s">
        <v>148</v>
      </c>
      <c r="B1310" t="s">
        <v>87</v>
      </c>
      <c r="C1310">
        <v>533</v>
      </c>
      <c r="D1310" t="s">
        <v>171</v>
      </c>
      <c r="E1310" s="242">
        <v>42009</v>
      </c>
      <c r="F1310">
        <v>0</v>
      </c>
      <c r="G1310" t="b">
        <v>0</v>
      </c>
      <c r="H1310" t="s">
        <v>15</v>
      </c>
    </row>
    <row r="1311" spans="1:8">
      <c r="A1311" t="s">
        <v>162</v>
      </c>
      <c r="B1311" t="s">
        <v>87</v>
      </c>
      <c r="C1311">
        <v>533</v>
      </c>
      <c r="D1311" t="s">
        <v>171</v>
      </c>
      <c r="E1311" s="242">
        <v>41984</v>
      </c>
      <c r="F1311">
        <v>0</v>
      </c>
      <c r="G1311" t="b">
        <v>0</v>
      </c>
      <c r="H1311" t="s">
        <v>15</v>
      </c>
    </row>
    <row r="1312" spans="1:8">
      <c r="A1312" t="s">
        <v>163</v>
      </c>
      <c r="B1312" t="s">
        <v>87</v>
      </c>
      <c r="C1312">
        <v>533</v>
      </c>
      <c r="D1312" t="s">
        <v>171</v>
      </c>
      <c r="E1312" s="242">
        <v>41746.65347222222</v>
      </c>
      <c r="F1312">
        <v>0</v>
      </c>
      <c r="G1312" t="b">
        <v>0</v>
      </c>
      <c r="H1312" t="s">
        <v>15</v>
      </c>
    </row>
    <row r="1313" spans="1:8">
      <c r="A1313" t="s">
        <v>166</v>
      </c>
      <c r="B1313" t="s">
        <v>87</v>
      </c>
      <c r="C1313">
        <v>533</v>
      </c>
      <c r="D1313" t="s">
        <v>171</v>
      </c>
      <c r="E1313" s="242">
        <v>42059.582638888889</v>
      </c>
      <c r="F1313">
        <v>0</v>
      </c>
      <c r="G1313" t="b">
        <v>0</v>
      </c>
      <c r="H1313" t="s">
        <v>15</v>
      </c>
    </row>
    <row r="1314" spans="1:8">
      <c r="A1314" t="s">
        <v>149</v>
      </c>
      <c r="B1314" t="s">
        <v>87</v>
      </c>
      <c r="C1314">
        <v>533</v>
      </c>
      <c r="D1314" t="s">
        <v>171</v>
      </c>
      <c r="E1314" s="242">
        <v>41989</v>
      </c>
      <c r="F1314">
        <v>0</v>
      </c>
      <c r="G1314" t="b">
        <v>0</v>
      </c>
      <c r="H1314" t="s">
        <v>15</v>
      </c>
    </row>
    <row r="1315" spans="1:8">
      <c r="A1315" t="s">
        <v>150</v>
      </c>
      <c r="B1315" t="s">
        <v>87</v>
      </c>
      <c r="C1315">
        <v>533</v>
      </c>
      <c r="D1315" t="s">
        <v>171</v>
      </c>
      <c r="E1315" s="242">
        <v>42059.913888888892</v>
      </c>
      <c r="F1315">
        <v>0</v>
      </c>
      <c r="G1315" t="b">
        <v>0</v>
      </c>
      <c r="H1315" t="s">
        <v>15</v>
      </c>
    </row>
    <row r="1316" spans="1:8">
      <c r="A1316" t="s">
        <v>151</v>
      </c>
      <c r="B1316" t="s">
        <v>87</v>
      </c>
      <c r="C1316">
        <v>533</v>
      </c>
      <c r="D1316" t="s">
        <v>171</v>
      </c>
      <c r="E1316" s="242">
        <v>41984</v>
      </c>
      <c r="F1316">
        <v>0</v>
      </c>
      <c r="G1316" t="b">
        <v>0</v>
      </c>
      <c r="H1316" t="s">
        <v>15</v>
      </c>
    </row>
    <row r="1317" spans="1:8">
      <c r="A1317" t="s">
        <v>152</v>
      </c>
      <c r="B1317" t="s">
        <v>87</v>
      </c>
      <c r="C1317">
        <v>533</v>
      </c>
      <c r="D1317" t="s">
        <v>171</v>
      </c>
      <c r="E1317" s="242">
        <v>42052.350694444445</v>
      </c>
      <c r="F1317">
        <v>0</v>
      </c>
      <c r="G1317" t="b">
        <v>0</v>
      </c>
      <c r="H1317" t="s">
        <v>15</v>
      </c>
    </row>
    <row r="1318" spans="1:8">
      <c r="A1318" t="s">
        <v>145</v>
      </c>
      <c r="B1318" t="s">
        <v>87</v>
      </c>
      <c r="C1318">
        <v>533</v>
      </c>
      <c r="D1318" t="s">
        <v>171</v>
      </c>
      <c r="E1318" s="242">
        <v>41977.825694444444</v>
      </c>
      <c r="F1318">
        <v>0</v>
      </c>
      <c r="G1318" t="b">
        <v>0</v>
      </c>
      <c r="H1318" t="s">
        <v>15</v>
      </c>
    </row>
    <row r="1319" spans="1:8">
      <c r="A1319" t="s">
        <v>167</v>
      </c>
      <c r="B1319" t="s">
        <v>87</v>
      </c>
      <c r="C1319">
        <v>533</v>
      </c>
      <c r="D1319" t="s">
        <v>171</v>
      </c>
      <c r="E1319" s="242">
        <v>41984.737500000003</v>
      </c>
      <c r="F1319">
        <v>0</v>
      </c>
      <c r="G1319" t="b">
        <v>0</v>
      </c>
      <c r="H1319" t="s">
        <v>15</v>
      </c>
    </row>
    <row r="1320" spans="1:8">
      <c r="A1320" t="s">
        <v>153</v>
      </c>
      <c r="B1320" t="s">
        <v>87</v>
      </c>
      <c r="C1320">
        <v>533</v>
      </c>
      <c r="D1320" t="s">
        <v>171</v>
      </c>
      <c r="E1320" s="242">
        <v>41731.986111111109</v>
      </c>
      <c r="F1320">
        <v>0</v>
      </c>
      <c r="G1320" t="b">
        <v>0</v>
      </c>
      <c r="H1320" t="s">
        <v>15</v>
      </c>
    </row>
    <row r="1321" spans="1:8">
      <c r="A1321" t="s">
        <v>154</v>
      </c>
      <c r="B1321" t="s">
        <v>87</v>
      </c>
      <c r="C1321">
        <v>533</v>
      </c>
      <c r="D1321" t="s">
        <v>171</v>
      </c>
      <c r="E1321" s="242">
        <v>42104.25</v>
      </c>
      <c r="F1321">
        <v>0</v>
      </c>
      <c r="G1321" t="b">
        <v>0</v>
      </c>
      <c r="H1321" t="s">
        <v>15</v>
      </c>
    </row>
    <row r="1322" spans="1:8">
      <c r="A1322" t="s">
        <v>168</v>
      </c>
      <c r="B1322" t="s">
        <v>87</v>
      </c>
      <c r="C1322">
        <v>533</v>
      </c>
      <c r="D1322" t="s">
        <v>171</v>
      </c>
      <c r="E1322" s="242">
        <v>42103.737500000003</v>
      </c>
      <c r="F1322">
        <v>0</v>
      </c>
      <c r="G1322" t="b">
        <v>0</v>
      </c>
      <c r="H1322" t="s">
        <v>15</v>
      </c>
    </row>
    <row r="1323" spans="1:8">
      <c r="A1323" t="s">
        <v>155</v>
      </c>
      <c r="B1323" t="s">
        <v>87</v>
      </c>
      <c r="C1323">
        <v>533</v>
      </c>
      <c r="D1323" t="s">
        <v>171</v>
      </c>
      <c r="E1323" s="242">
        <v>41744.70416666667</v>
      </c>
      <c r="F1323">
        <v>0</v>
      </c>
      <c r="G1323" t="b">
        <v>0</v>
      </c>
      <c r="H1323" t="s">
        <v>15</v>
      </c>
    </row>
    <row r="1324" spans="1:8">
      <c r="A1324" t="s">
        <v>156</v>
      </c>
      <c r="B1324" t="s">
        <v>87</v>
      </c>
      <c r="C1324">
        <v>533</v>
      </c>
      <c r="D1324" t="s">
        <v>171</v>
      </c>
      <c r="E1324" s="242">
        <v>42026</v>
      </c>
      <c r="F1324">
        <v>0</v>
      </c>
      <c r="G1324" t="b">
        <v>0</v>
      </c>
      <c r="H1324" t="s">
        <v>15</v>
      </c>
    </row>
    <row r="1325" spans="1:8">
      <c r="A1325" t="s">
        <v>157</v>
      </c>
      <c r="B1325" t="s">
        <v>87</v>
      </c>
      <c r="C1325">
        <v>533</v>
      </c>
      <c r="D1325" t="s">
        <v>171</v>
      </c>
      <c r="E1325" s="242">
        <v>41729.313888888886</v>
      </c>
      <c r="F1325">
        <v>0</v>
      </c>
      <c r="G1325" t="b">
        <v>0</v>
      </c>
      <c r="H1325" t="s">
        <v>15</v>
      </c>
    </row>
    <row r="1326" spans="1:8">
      <c r="A1326" t="s">
        <v>169</v>
      </c>
      <c r="B1326" t="s">
        <v>87</v>
      </c>
      <c r="C1326">
        <v>533</v>
      </c>
      <c r="D1326" t="s">
        <v>171</v>
      </c>
      <c r="E1326" s="242">
        <v>41985.717361111114</v>
      </c>
      <c r="F1326">
        <v>0</v>
      </c>
      <c r="G1326" t="b">
        <v>0</v>
      </c>
      <c r="H1326" t="s">
        <v>15</v>
      </c>
    </row>
    <row r="1327" spans="1:8">
      <c r="A1327" t="s">
        <v>170</v>
      </c>
      <c r="B1327" t="s">
        <v>87</v>
      </c>
      <c r="C1327">
        <v>533</v>
      </c>
      <c r="D1327" t="s">
        <v>171</v>
      </c>
      <c r="E1327" s="242">
        <v>42073.849305555559</v>
      </c>
      <c r="F1327">
        <v>0</v>
      </c>
      <c r="G1327" t="b">
        <v>0</v>
      </c>
      <c r="H1327" t="s">
        <v>15</v>
      </c>
    </row>
    <row r="1328" spans="1:8">
      <c r="A1328" t="s">
        <v>158</v>
      </c>
      <c r="B1328" t="s">
        <v>87</v>
      </c>
      <c r="C1328">
        <v>533</v>
      </c>
      <c r="D1328" t="s">
        <v>171</v>
      </c>
      <c r="E1328" s="242">
        <v>41774.618055555555</v>
      </c>
      <c r="F1328">
        <v>0</v>
      </c>
      <c r="G1328" t="b">
        <v>0</v>
      </c>
      <c r="H1328" t="s">
        <v>15</v>
      </c>
    </row>
    <row r="1329" spans="1:8">
      <c r="A1329" t="s">
        <v>159</v>
      </c>
      <c r="B1329" t="s">
        <v>87</v>
      </c>
      <c r="C1329">
        <v>533</v>
      </c>
      <c r="D1329" t="s">
        <v>171</v>
      </c>
      <c r="E1329" s="242">
        <v>41989</v>
      </c>
      <c r="F1329">
        <v>0</v>
      </c>
      <c r="G1329" t="b">
        <v>0</v>
      </c>
      <c r="H1329" t="s">
        <v>15</v>
      </c>
    </row>
    <row r="1330" spans="1:8">
      <c r="A1330" t="s">
        <v>160</v>
      </c>
      <c r="B1330" t="s">
        <v>87</v>
      </c>
      <c r="C1330">
        <v>533</v>
      </c>
      <c r="D1330" t="s">
        <v>171</v>
      </c>
      <c r="E1330" s="242">
        <v>41964.625</v>
      </c>
      <c r="F1330">
        <v>0</v>
      </c>
      <c r="G1330" t="b">
        <v>0</v>
      </c>
      <c r="H1330" t="s">
        <v>15</v>
      </c>
    </row>
    <row r="1331" spans="1:8">
      <c r="A1331" t="s">
        <v>164</v>
      </c>
      <c r="B1331" t="s">
        <v>87</v>
      </c>
      <c r="C1331">
        <v>534</v>
      </c>
      <c r="D1331" t="s">
        <v>171</v>
      </c>
      <c r="E1331" s="242">
        <v>42067</v>
      </c>
      <c r="F1331">
        <v>0</v>
      </c>
      <c r="G1331" t="b">
        <v>0</v>
      </c>
      <c r="H1331" t="s">
        <v>15</v>
      </c>
    </row>
    <row r="1332" spans="1:8">
      <c r="A1332" t="s">
        <v>161</v>
      </c>
      <c r="B1332" t="s">
        <v>87</v>
      </c>
      <c r="C1332">
        <v>534</v>
      </c>
      <c r="D1332" t="s">
        <v>171</v>
      </c>
      <c r="E1332" s="242">
        <v>41728</v>
      </c>
      <c r="F1332">
        <v>0</v>
      </c>
      <c r="G1332" t="b">
        <v>0</v>
      </c>
      <c r="H1332" t="s">
        <v>15</v>
      </c>
    </row>
    <row r="1333" spans="1:8">
      <c r="A1333" t="s">
        <v>165</v>
      </c>
      <c r="B1333" t="s">
        <v>87</v>
      </c>
      <c r="C1333">
        <v>534</v>
      </c>
      <c r="D1333" t="s">
        <v>171</v>
      </c>
      <c r="E1333" s="242">
        <v>42039.972916666666</v>
      </c>
      <c r="F1333">
        <v>0</v>
      </c>
      <c r="G1333" t="b">
        <v>0</v>
      </c>
      <c r="H1333" t="s">
        <v>15</v>
      </c>
    </row>
    <row r="1334" spans="1:8">
      <c r="A1334" t="s">
        <v>148</v>
      </c>
      <c r="B1334" t="s">
        <v>87</v>
      </c>
      <c r="C1334">
        <v>534</v>
      </c>
      <c r="D1334" t="s">
        <v>171</v>
      </c>
      <c r="E1334" s="242">
        <v>42009</v>
      </c>
      <c r="F1334">
        <v>0</v>
      </c>
      <c r="G1334" t="b">
        <v>0</v>
      </c>
      <c r="H1334" t="s">
        <v>15</v>
      </c>
    </row>
    <row r="1335" spans="1:8">
      <c r="A1335" t="s">
        <v>162</v>
      </c>
      <c r="B1335" t="s">
        <v>87</v>
      </c>
      <c r="C1335">
        <v>534</v>
      </c>
      <c r="D1335" t="s">
        <v>171</v>
      </c>
      <c r="E1335" s="242">
        <v>41984</v>
      </c>
      <c r="F1335">
        <v>0</v>
      </c>
      <c r="G1335" t="b">
        <v>0</v>
      </c>
      <c r="H1335" t="s">
        <v>15</v>
      </c>
    </row>
    <row r="1336" spans="1:8">
      <c r="A1336" t="s">
        <v>163</v>
      </c>
      <c r="B1336" t="s">
        <v>87</v>
      </c>
      <c r="C1336">
        <v>534</v>
      </c>
      <c r="D1336" t="s">
        <v>171</v>
      </c>
      <c r="E1336" s="242">
        <v>41746</v>
      </c>
      <c r="F1336">
        <v>0</v>
      </c>
      <c r="G1336" t="b">
        <v>0</v>
      </c>
      <c r="H1336" t="s">
        <v>15</v>
      </c>
    </row>
    <row r="1337" spans="1:8">
      <c r="A1337" t="s">
        <v>166</v>
      </c>
      <c r="B1337" t="s">
        <v>87</v>
      </c>
      <c r="C1337">
        <v>534</v>
      </c>
      <c r="D1337" t="s">
        <v>171</v>
      </c>
      <c r="E1337" s="242">
        <v>42059.584027777775</v>
      </c>
      <c r="F1337">
        <v>0</v>
      </c>
      <c r="G1337" t="b">
        <v>0</v>
      </c>
      <c r="H1337" t="s">
        <v>15</v>
      </c>
    </row>
    <row r="1338" spans="1:8">
      <c r="A1338" t="s">
        <v>149</v>
      </c>
      <c r="B1338" t="s">
        <v>87</v>
      </c>
      <c r="C1338">
        <v>534</v>
      </c>
      <c r="D1338" t="s">
        <v>171</v>
      </c>
      <c r="E1338" s="242">
        <v>41989</v>
      </c>
      <c r="F1338">
        <v>0</v>
      </c>
      <c r="G1338" t="b">
        <v>0</v>
      </c>
      <c r="H1338" t="s">
        <v>15</v>
      </c>
    </row>
    <row r="1339" spans="1:8">
      <c r="A1339" t="s">
        <v>150</v>
      </c>
      <c r="B1339" t="s">
        <v>87</v>
      </c>
      <c r="C1339">
        <v>534</v>
      </c>
      <c r="D1339" t="s">
        <v>171</v>
      </c>
      <c r="E1339" s="242">
        <v>42059.910416666666</v>
      </c>
      <c r="F1339">
        <v>0</v>
      </c>
      <c r="G1339" t="b">
        <v>0</v>
      </c>
      <c r="H1339" t="s">
        <v>15</v>
      </c>
    </row>
    <row r="1340" spans="1:8">
      <c r="A1340" t="s">
        <v>151</v>
      </c>
      <c r="B1340" t="s">
        <v>87</v>
      </c>
      <c r="C1340">
        <v>534</v>
      </c>
      <c r="D1340" t="s">
        <v>171</v>
      </c>
      <c r="E1340" s="242">
        <v>41984</v>
      </c>
      <c r="F1340">
        <v>0</v>
      </c>
      <c r="G1340" t="b">
        <v>0</v>
      </c>
      <c r="H1340" t="s">
        <v>15</v>
      </c>
    </row>
    <row r="1341" spans="1:8">
      <c r="A1341" t="s">
        <v>152</v>
      </c>
      <c r="B1341" t="s">
        <v>87</v>
      </c>
      <c r="C1341">
        <v>534</v>
      </c>
      <c r="D1341" t="s">
        <v>171</v>
      </c>
      <c r="E1341" s="242">
        <v>42060.515972222223</v>
      </c>
      <c r="F1341">
        <v>0</v>
      </c>
      <c r="G1341" t="b">
        <v>0</v>
      </c>
      <c r="H1341" t="s">
        <v>15</v>
      </c>
    </row>
    <row r="1342" spans="1:8">
      <c r="A1342" t="s">
        <v>145</v>
      </c>
      <c r="B1342" t="s">
        <v>87</v>
      </c>
      <c r="C1342">
        <v>534</v>
      </c>
      <c r="D1342" t="s">
        <v>171</v>
      </c>
      <c r="E1342" s="242">
        <v>41977.829861111109</v>
      </c>
      <c r="F1342">
        <v>0</v>
      </c>
      <c r="G1342" t="b">
        <v>0</v>
      </c>
      <c r="H1342" t="s">
        <v>15</v>
      </c>
    </row>
    <row r="1343" spans="1:8">
      <c r="A1343" t="s">
        <v>167</v>
      </c>
      <c r="B1343" t="s">
        <v>87</v>
      </c>
      <c r="C1343">
        <v>534</v>
      </c>
      <c r="D1343" t="s">
        <v>171</v>
      </c>
      <c r="E1343" s="242">
        <v>41984.736805555556</v>
      </c>
      <c r="F1343">
        <v>0</v>
      </c>
      <c r="G1343" t="b">
        <v>0</v>
      </c>
      <c r="H1343" t="s">
        <v>15</v>
      </c>
    </row>
    <row r="1344" spans="1:8">
      <c r="A1344" t="s">
        <v>153</v>
      </c>
      <c r="B1344" t="s">
        <v>87</v>
      </c>
      <c r="C1344">
        <v>534</v>
      </c>
      <c r="D1344" t="s">
        <v>171</v>
      </c>
      <c r="E1344" s="242">
        <v>41731.96597222222</v>
      </c>
      <c r="F1344">
        <v>0</v>
      </c>
      <c r="G1344" t="b">
        <v>0</v>
      </c>
      <c r="H1344" t="s">
        <v>15</v>
      </c>
    </row>
    <row r="1345" spans="1:8">
      <c r="A1345" t="s">
        <v>154</v>
      </c>
      <c r="B1345" t="s">
        <v>87</v>
      </c>
      <c r="C1345">
        <v>534</v>
      </c>
      <c r="D1345" t="s">
        <v>171</v>
      </c>
      <c r="E1345" s="242">
        <v>42104.25</v>
      </c>
      <c r="F1345">
        <v>0</v>
      </c>
      <c r="G1345" t="b">
        <v>0</v>
      </c>
      <c r="H1345" t="s">
        <v>15</v>
      </c>
    </row>
    <row r="1346" spans="1:8">
      <c r="A1346" t="s">
        <v>168</v>
      </c>
      <c r="B1346" t="s">
        <v>87</v>
      </c>
      <c r="C1346">
        <v>534</v>
      </c>
      <c r="D1346" t="s">
        <v>171</v>
      </c>
      <c r="E1346" s="242">
        <v>42103.740277777775</v>
      </c>
      <c r="F1346">
        <v>0</v>
      </c>
      <c r="G1346" t="b">
        <v>0</v>
      </c>
      <c r="H1346" t="s">
        <v>15</v>
      </c>
    </row>
    <row r="1347" spans="1:8">
      <c r="A1347" t="s">
        <v>155</v>
      </c>
      <c r="B1347" t="s">
        <v>87</v>
      </c>
      <c r="C1347">
        <v>534</v>
      </c>
      <c r="D1347" t="s">
        <v>171</v>
      </c>
      <c r="E1347" s="242">
        <v>41744.568055555559</v>
      </c>
      <c r="F1347">
        <v>0</v>
      </c>
      <c r="G1347" t="b">
        <v>0</v>
      </c>
      <c r="H1347" t="s">
        <v>15</v>
      </c>
    </row>
    <row r="1348" spans="1:8">
      <c r="A1348" t="s">
        <v>156</v>
      </c>
      <c r="B1348" t="s">
        <v>87</v>
      </c>
      <c r="C1348">
        <v>534</v>
      </c>
      <c r="D1348" t="s">
        <v>171</v>
      </c>
      <c r="E1348" s="242">
        <v>42026</v>
      </c>
      <c r="F1348">
        <v>0</v>
      </c>
      <c r="G1348" t="b">
        <v>0</v>
      </c>
      <c r="H1348" t="s">
        <v>15</v>
      </c>
    </row>
    <row r="1349" spans="1:8">
      <c r="A1349" t="s">
        <v>157</v>
      </c>
      <c r="B1349" t="s">
        <v>87</v>
      </c>
      <c r="C1349">
        <v>534</v>
      </c>
      <c r="D1349" t="s">
        <v>171</v>
      </c>
      <c r="E1349" s="242">
        <v>41729.313888888886</v>
      </c>
      <c r="F1349">
        <v>0</v>
      </c>
      <c r="G1349" t="b">
        <v>0</v>
      </c>
      <c r="H1349" t="s">
        <v>15</v>
      </c>
    </row>
    <row r="1350" spans="1:8">
      <c r="A1350" t="s">
        <v>169</v>
      </c>
      <c r="B1350" t="s">
        <v>87</v>
      </c>
      <c r="C1350">
        <v>534</v>
      </c>
      <c r="D1350" t="s">
        <v>171</v>
      </c>
      <c r="E1350" s="242">
        <v>41985</v>
      </c>
      <c r="F1350">
        <v>0</v>
      </c>
      <c r="G1350" t="b">
        <v>0</v>
      </c>
      <c r="H1350" t="s">
        <v>15</v>
      </c>
    </row>
    <row r="1351" spans="1:8">
      <c r="A1351" t="s">
        <v>170</v>
      </c>
      <c r="B1351" t="s">
        <v>87</v>
      </c>
      <c r="C1351">
        <v>534</v>
      </c>
      <c r="D1351" t="s">
        <v>171</v>
      </c>
      <c r="E1351" s="242">
        <v>42114.559027777781</v>
      </c>
      <c r="F1351">
        <v>0</v>
      </c>
      <c r="G1351" t="b">
        <v>0</v>
      </c>
      <c r="H1351" t="s">
        <v>15</v>
      </c>
    </row>
    <row r="1352" spans="1:8">
      <c r="A1352" t="s">
        <v>158</v>
      </c>
      <c r="B1352" t="s">
        <v>87</v>
      </c>
      <c r="C1352">
        <v>534</v>
      </c>
      <c r="D1352" t="s">
        <v>171</v>
      </c>
      <c r="E1352" s="242">
        <v>41774.618055555555</v>
      </c>
      <c r="F1352">
        <v>0</v>
      </c>
      <c r="G1352" t="b">
        <v>0</v>
      </c>
      <c r="H1352" t="s">
        <v>15</v>
      </c>
    </row>
    <row r="1353" spans="1:8">
      <c r="A1353" t="s">
        <v>159</v>
      </c>
      <c r="B1353" t="s">
        <v>87</v>
      </c>
      <c r="C1353">
        <v>534</v>
      </c>
      <c r="D1353" t="s">
        <v>171</v>
      </c>
      <c r="E1353" s="242">
        <v>41989</v>
      </c>
      <c r="F1353">
        <v>0</v>
      </c>
      <c r="G1353" t="b">
        <v>0</v>
      </c>
      <c r="H1353" t="s">
        <v>15</v>
      </c>
    </row>
    <row r="1354" spans="1:8">
      <c r="A1354" t="s">
        <v>160</v>
      </c>
      <c r="B1354" t="s">
        <v>87</v>
      </c>
      <c r="C1354">
        <v>534</v>
      </c>
      <c r="D1354" t="s">
        <v>171</v>
      </c>
      <c r="E1354" s="242">
        <v>41964.625</v>
      </c>
      <c r="F1354">
        <v>0</v>
      </c>
      <c r="G1354" t="b">
        <v>0</v>
      </c>
      <c r="H1354" t="s">
        <v>15</v>
      </c>
    </row>
    <row r="1355" spans="1:8">
      <c r="A1355" t="s">
        <v>164</v>
      </c>
      <c r="B1355" t="s">
        <v>87</v>
      </c>
      <c r="C1355">
        <v>535</v>
      </c>
      <c r="D1355" t="s">
        <v>171</v>
      </c>
      <c r="E1355" s="242">
        <v>41836</v>
      </c>
      <c r="F1355">
        <v>0</v>
      </c>
      <c r="G1355" t="b">
        <v>0</v>
      </c>
      <c r="H1355" t="s">
        <v>15</v>
      </c>
    </row>
    <row r="1356" spans="1:8">
      <c r="A1356" t="s">
        <v>161</v>
      </c>
      <c r="B1356" t="s">
        <v>87</v>
      </c>
      <c r="C1356">
        <v>535</v>
      </c>
      <c r="D1356" t="s">
        <v>171</v>
      </c>
      <c r="E1356" s="242">
        <v>42003.354166666664</v>
      </c>
      <c r="F1356">
        <v>0</v>
      </c>
      <c r="G1356" t="b">
        <v>0</v>
      </c>
      <c r="H1356" t="s">
        <v>15</v>
      </c>
    </row>
    <row r="1357" spans="1:8">
      <c r="A1357" t="s">
        <v>165</v>
      </c>
      <c r="B1357" t="s">
        <v>87</v>
      </c>
      <c r="C1357">
        <v>535</v>
      </c>
      <c r="D1357" t="s">
        <v>171</v>
      </c>
      <c r="E1357" s="242">
        <v>42004</v>
      </c>
      <c r="F1357">
        <v>0</v>
      </c>
      <c r="G1357" t="b">
        <v>0</v>
      </c>
      <c r="H1357" t="s">
        <v>15</v>
      </c>
    </row>
    <row r="1358" spans="1:8">
      <c r="A1358" t="s">
        <v>148</v>
      </c>
      <c r="B1358" t="s">
        <v>87</v>
      </c>
      <c r="C1358">
        <v>535</v>
      </c>
      <c r="D1358" t="s">
        <v>171</v>
      </c>
      <c r="E1358" s="242">
        <v>42107.575694444444</v>
      </c>
      <c r="F1358">
        <v>0</v>
      </c>
      <c r="G1358" t="b">
        <v>0</v>
      </c>
      <c r="H1358" t="s">
        <v>15</v>
      </c>
    </row>
    <row r="1359" spans="1:8">
      <c r="A1359" t="s">
        <v>162</v>
      </c>
      <c r="B1359" t="s">
        <v>87</v>
      </c>
      <c r="C1359">
        <v>535</v>
      </c>
      <c r="D1359" t="s">
        <v>171</v>
      </c>
      <c r="E1359" s="242">
        <v>41914.492361111108</v>
      </c>
      <c r="F1359">
        <v>0</v>
      </c>
      <c r="G1359" t="b">
        <v>0</v>
      </c>
      <c r="H1359" t="s">
        <v>15</v>
      </c>
    </row>
    <row r="1360" spans="1:8">
      <c r="A1360" t="s">
        <v>163</v>
      </c>
      <c r="B1360" t="s">
        <v>87</v>
      </c>
      <c r="C1360">
        <v>535</v>
      </c>
      <c r="D1360" t="s">
        <v>171</v>
      </c>
      <c r="E1360" s="242">
        <v>41973</v>
      </c>
      <c r="F1360">
        <v>0</v>
      </c>
      <c r="G1360" t="b">
        <v>0</v>
      </c>
      <c r="H1360" t="s">
        <v>15</v>
      </c>
    </row>
    <row r="1361" spans="1:8">
      <c r="A1361" t="s">
        <v>166</v>
      </c>
      <c r="B1361" t="s">
        <v>87</v>
      </c>
      <c r="C1361">
        <v>535</v>
      </c>
      <c r="D1361" t="s">
        <v>171</v>
      </c>
      <c r="E1361" s="242">
        <v>41805.629861111112</v>
      </c>
      <c r="F1361">
        <v>0</v>
      </c>
      <c r="G1361" t="b">
        <v>0</v>
      </c>
      <c r="H1361" t="s">
        <v>15</v>
      </c>
    </row>
    <row r="1362" spans="1:8">
      <c r="A1362" t="s">
        <v>149</v>
      </c>
      <c r="B1362" t="s">
        <v>87</v>
      </c>
      <c r="C1362">
        <v>535</v>
      </c>
      <c r="D1362" t="s">
        <v>171</v>
      </c>
      <c r="E1362" s="242">
        <v>41969</v>
      </c>
      <c r="F1362">
        <v>0</v>
      </c>
      <c r="G1362" t="b">
        <v>0</v>
      </c>
      <c r="H1362" t="s">
        <v>15</v>
      </c>
    </row>
    <row r="1363" spans="1:8">
      <c r="A1363" t="s">
        <v>150</v>
      </c>
      <c r="B1363" t="s">
        <v>87</v>
      </c>
      <c r="C1363">
        <v>535</v>
      </c>
      <c r="D1363" t="s">
        <v>171</v>
      </c>
      <c r="E1363" s="242">
        <v>42003</v>
      </c>
      <c r="F1363">
        <v>0</v>
      </c>
      <c r="G1363" t="b">
        <v>0</v>
      </c>
      <c r="H1363" t="s">
        <v>15</v>
      </c>
    </row>
    <row r="1364" spans="1:8">
      <c r="A1364" t="s">
        <v>151</v>
      </c>
      <c r="B1364" t="s">
        <v>87</v>
      </c>
      <c r="C1364">
        <v>535</v>
      </c>
      <c r="D1364" t="s">
        <v>171</v>
      </c>
      <c r="E1364" s="242">
        <v>41703</v>
      </c>
      <c r="F1364">
        <v>0</v>
      </c>
      <c r="G1364" t="b">
        <v>0</v>
      </c>
      <c r="H1364" t="s">
        <v>15</v>
      </c>
    </row>
    <row r="1365" spans="1:8">
      <c r="A1365" t="s">
        <v>152</v>
      </c>
      <c r="B1365" t="s">
        <v>87</v>
      </c>
      <c r="C1365">
        <v>535</v>
      </c>
      <c r="D1365" t="s">
        <v>171</v>
      </c>
      <c r="E1365" s="242">
        <v>42065</v>
      </c>
      <c r="F1365">
        <v>0</v>
      </c>
      <c r="G1365" t="b">
        <v>0</v>
      </c>
      <c r="H1365" t="s">
        <v>15</v>
      </c>
    </row>
    <row r="1366" spans="1:8">
      <c r="A1366" t="s">
        <v>145</v>
      </c>
      <c r="B1366" t="s">
        <v>87</v>
      </c>
      <c r="C1366">
        <v>535</v>
      </c>
      <c r="D1366" t="s">
        <v>171</v>
      </c>
      <c r="E1366" s="242">
        <v>42004.415277777778</v>
      </c>
      <c r="F1366">
        <v>0</v>
      </c>
      <c r="G1366" t="b">
        <v>0</v>
      </c>
      <c r="H1366" t="s">
        <v>15</v>
      </c>
    </row>
    <row r="1367" spans="1:8">
      <c r="A1367" t="s">
        <v>167</v>
      </c>
      <c r="B1367" t="s">
        <v>87</v>
      </c>
      <c r="C1367">
        <v>535</v>
      </c>
      <c r="D1367" t="s">
        <v>171</v>
      </c>
      <c r="E1367" s="242">
        <v>41901</v>
      </c>
      <c r="F1367">
        <v>0</v>
      </c>
      <c r="G1367" t="b">
        <v>0</v>
      </c>
      <c r="H1367" t="s">
        <v>15</v>
      </c>
    </row>
    <row r="1368" spans="1:8">
      <c r="A1368" t="s">
        <v>153</v>
      </c>
      <c r="B1368" t="s">
        <v>87</v>
      </c>
      <c r="C1368">
        <v>535</v>
      </c>
      <c r="D1368" t="s">
        <v>171</v>
      </c>
      <c r="E1368" s="242">
        <v>42079.669444444444</v>
      </c>
      <c r="F1368">
        <v>0</v>
      </c>
      <c r="G1368" t="b">
        <v>0</v>
      </c>
      <c r="H1368" t="s">
        <v>15</v>
      </c>
    </row>
    <row r="1369" spans="1:8">
      <c r="A1369" t="s">
        <v>154</v>
      </c>
      <c r="B1369" t="s">
        <v>87</v>
      </c>
      <c r="C1369">
        <v>535</v>
      </c>
      <c r="D1369" t="s">
        <v>171</v>
      </c>
      <c r="E1369" s="242">
        <v>41808</v>
      </c>
      <c r="F1369">
        <v>0</v>
      </c>
      <c r="G1369" t="b">
        <v>0</v>
      </c>
      <c r="H1369" t="s">
        <v>15</v>
      </c>
    </row>
    <row r="1370" spans="1:8">
      <c r="A1370" t="s">
        <v>168</v>
      </c>
      <c r="B1370" t="s">
        <v>87</v>
      </c>
      <c r="C1370">
        <v>535</v>
      </c>
      <c r="D1370" t="s">
        <v>171</v>
      </c>
      <c r="E1370" s="242">
        <v>41893</v>
      </c>
      <c r="F1370">
        <v>0</v>
      </c>
      <c r="G1370" t="b">
        <v>0</v>
      </c>
      <c r="H1370" t="s">
        <v>15</v>
      </c>
    </row>
    <row r="1371" spans="1:8">
      <c r="A1371" t="s">
        <v>155</v>
      </c>
      <c r="B1371" t="s">
        <v>87</v>
      </c>
      <c r="C1371">
        <v>535</v>
      </c>
      <c r="D1371" t="s">
        <v>171</v>
      </c>
      <c r="E1371" s="242">
        <v>41891.453472222223</v>
      </c>
      <c r="F1371">
        <v>0</v>
      </c>
      <c r="G1371" t="b">
        <v>0</v>
      </c>
      <c r="H1371" t="s">
        <v>15</v>
      </c>
    </row>
    <row r="1372" spans="1:8">
      <c r="A1372" t="s">
        <v>156</v>
      </c>
      <c r="B1372" t="s">
        <v>87</v>
      </c>
      <c r="C1372">
        <v>535</v>
      </c>
      <c r="D1372" t="s">
        <v>171</v>
      </c>
      <c r="E1372" s="242">
        <v>42081.359722222223</v>
      </c>
      <c r="F1372">
        <v>0</v>
      </c>
      <c r="G1372" t="b">
        <v>0</v>
      </c>
      <c r="H1372" t="s">
        <v>15</v>
      </c>
    </row>
    <row r="1373" spans="1:8">
      <c r="A1373" t="s">
        <v>157</v>
      </c>
      <c r="B1373" t="s">
        <v>87</v>
      </c>
      <c r="C1373">
        <v>535</v>
      </c>
      <c r="D1373" t="s">
        <v>171</v>
      </c>
      <c r="E1373" s="242">
        <v>41973</v>
      </c>
      <c r="F1373">
        <v>0</v>
      </c>
      <c r="G1373" t="b">
        <v>0</v>
      </c>
      <c r="H1373" t="s">
        <v>15</v>
      </c>
    </row>
    <row r="1374" spans="1:8">
      <c r="A1374" t="s">
        <v>169</v>
      </c>
      <c r="B1374" t="s">
        <v>87</v>
      </c>
      <c r="C1374">
        <v>535</v>
      </c>
      <c r="D1374" t="s">
        <v>171</v>
      </c>
      <c r="E1374" s="242">
        <v>42083.347916666666</v>
      </c>
      <c r="F1374">
        <v>0</v>
      </c>
      <c r="G1374" t="b">
        <v>0</v>
      </c>
      <c r="H1374" t="s">
        <v>15</v>
      </c>
    </row>
    <row r="1375" spans="1:8">
      <c r="A1375" t="s">
        <v>170</v>
      </c>
      <c r="B1375" t="s">
        <v>87</v>
      </c>
      <c r="C1375">
        <v>535</v>
      </c>
      <c r="D1375" t="s">
        <v>171</v>
      </c>
      <c r="E1375" s="242">
        <v>42004.347222222219</v>
      </c>
      <c r="F1375">
        <v>0</v>
      </c>
      <c r="G1375" t="b">
        <v>0</v>
      </c>
      <c r="H1375" t="s">
        <v>15</v>
      </c>
    </row>
    <row r="1376" spans="1:8">
      <c r="A1376" t="s">
        <v>158</v>
      </c>
      <c r="B1376" t="s">
        <v>87</v>
      </c>
      <c r="C1376">
        <v>535</v>
      </c>
      <c r="D1376" t="s">
        <v>171</v>
      </c>
      <c r="E1376" s="242">
        <v>42075.397916666669</v>
      </c>
      <c r="F1376">
        <v>0</v>
      </c>
      <c r="G1376" t="b">
        <v>0</v>
      </c>
      <c r="H1376" t="s">
        <v>15</v>
      </c>
    </row>
    <row r="1377" spans="1:8">
      <c r="A1377" t="s">
        <v>159</v>
      </c>
      <c r="B1377" t="s">
        <v>87</v>
      </c>
      <c r="C1377">
        <v>535</v>
      </c>
      <c r="D1377" t="s">
        <v>171</v>
      </c>
      <c r="E1377" s="242">
        <v>41907</v>
      </c>
      <c r="F1377">
        <v>0</v>
      </c>
      <c r="G1377" t="b">
        <v>0</v>
      </c>
      <c r="H1377" t="s">
        <v>15</v>
      </c>
    </row>
    <row r="1378" spans="1:8">
      <c r="A1378" t="s">
        <v>160</v>
      </c>
      <c r="B1378" t="s">
        <v>87</v>
      </c>
      <c r="C1378">
        <v>535</v>
      </c>
      <c r="D1378" t="s">
        <v>171</v>
      </c>
      <c r="E1378" s="242">
        <v>41832</v>
      </c>
      <c r="F1378">
        <v>0</v>
      </c>
      <c r="G1378" t="b">
        <v>0</v>
      </c>
      <c r="H1378" t="s">
        <v>15</v>
      </c>
    </row>
    <row r="1379" spans="1:8">
      <c r="A1379" t="s">
        <v>164</v>
      </c>
      <c r="B1379" t="s">
        <v>87</v>
      </c>
      <c r="C1379">
        <v>542</v>
      </c>
      <c r="D1379" t="s">
        <v>171</v>
      </c>
      <c r="E1379" s="242">
        <v>42067</v>
      </c>
      <c r="F1379">
        <v>0</v>
      </c>
      <c r="G1379" t="b">
        <v>0</v>
      </c>
      <c r="H1379" t="s">
        <v>15</v>
      </c>
    </row>
    <row r="1380" spans="1:8">
      <c r="A1380" t="s">
        <v>161</v>
      </c>
      <c r="B1380" t="s">
        <v>87</v>
      </c>
      <c r="C1380">
        <v>542</v>
      </c>
      <c r="D1380" t="s">
        <v>171</v>
      </c>
      <c r="E1380" s="242">
        <v>41728</v>
      </c>
      <c r="G1380" t="b">
        <v>0</v>
      </c>
      <c r="H1380" t="s">
        <v>15</v>
      </c>
    </row>
    <row r="1381" spans="1:8">
      <c r="A1381" t="s">
        <v>165</v>
      </c>
      <c r="B1381" t="s">
        <v>87</v>
      </c>
      <c r="C1381">
        <v>542</v>
      </c>
      <c r="D1381" t="s">
        <v>171</v>
      </c>
      <c r="E1381" s="242">
        <v>42039.975694444445</v>
      </c>
      <c r="F1381">
        <v>0</v>
      </c>
      <c r="G1381" t="b">
        <v>0</v>
      </c>
      <c r="H1381" t="s">
        <v>15</v>
      </c>
    </row>
    <row r="1382" spans="1:8">
      <c r="A1382" t="s">
        <v>148</v>
      </c>
      <c r="B1382" t="s">
        <v>87</v>
      </c>
      <c r="C1382">
        <v>542</v>
      </c>
      <c r="D1382" t="s">
        <v>171</v>
      </c>
      <c r="E1382" s="242">
        <v>42009</v>
      </c>
      <c r="F1382">
        <v>0</v>
      </c>
      <c r="G1382" t="b">
        <v>0</v>
      </c>
      <c r="H1382" t="s">
        <v>15</v>
      </c>
    </row>
    <row r="1383" spans="1:8">
      <c r="A1383" t="s">
        <v>162</v>
      </c>
      <c r="B1383" t="s">
        <v>87</v>
      </c>
      <c r="C1383">
        <v>542</v>
      </c>
      <c r="D1383" t="s">
        <v>171</v>
      </c>
      <c r="E1383" s="242">
        <v>41984</v>
      </c>
      <c r="F1383">
        <v>0</v>
      </c>
      <c r="G1383" t="b">
        <v>0</v>
      </c>
      <c r="H1383" t="s">
        <v>15</v>
      </c>
    </row>
    <row r="1384" spans="1:8">
      <c r="A1384" t="s">
        <v>163</v>
      </c>
      <c r="B1384" t="s">
        <v>87</v>
      </c>
      <c r="C1384">
        <v>542</v>
      </c>
      <c r="D1384" t="s">
        <v>171</v>
      </c>
      <c r="E1384" s="242">
        <v>41746</v>
      </c>
      <c r="F1384">
        <v>0</v>
      </c>
      <c r="G1384" t="b">
        <v>0</v>
      </c>
      <c r="H1384" t="s">
        <v>15</v>
      </c>
    </row>
    <row r="1385" spans="1:8">
      <c r="A1385" t="s">
        <v>166</v>
      </c>
      <c r="B1385" t="s">
        <v>87</v>
      </c>
      <c r="C1385">
        <v>542</v>
      </c>
      <c r="D1385" t="s">
        <v>171</v>
      </c>
      <c r="E1385" s="242">
        <v>42059.586805555555</v>
      </c>
      <c r="F1385">
        <v>0</v>
      </c>
      <c r="G1385" t="b">
        <v>0</v>
      </c>
      <c r="H1385" t="s">
        <v>15</v>
      </c>
    </row>
    <row r="1386" spans="1:8">
      <c r="A1386" t="s">
        <v>149</v>
      </c>
      <c r="B1386" t="s">
        <v>87</v>
      </c>
      <c r="C1386">
        <v>542</v>
      </c>
      <c r="D1386" t="s">
        <v>171</v>
      </c>
      <c r="E1386" s="242">
        <v>41989</v>
      </c>
      <c r="F1386">
        <v>0</v>
      </c>
      <c r="G1386" t="b">
        <v>0</v>
      </c>
      <c r="H1386" t="s">
        <v>15</v>
      </c>
    </row>
    <row r="1387" spans="1:8">
      <c r="A1387" t="s">
        <v>150</v>
      </c>
      <c r="B1387" t="s">
        <v>87</v>
      </c>
      <c r="C1387">
        <v>542</v>
      </c>
      <c r="D1387" t="s">
        <v>171</v>
      </c>
      <c r="E1387" s="242">
        <v>42059.911805555559</v>
      </c>
      <c r="F1387">
        <v>0</v>
      </c>
      <c r="G1387" t="b">
        <v>0</v>
      </c>
      <c r="H1387" t="s">
        <v>15</v>
      </c>
    </row>
    <row r="1388" spans="1:8">
      <c r="A1388" t="s">
        <v>151</v>
      </c>
      <c r="B1388" t="s">
        <v>87</v>
      </c>
      <c r="C1388">
        <v>542</v>
      </c>
      <c r="D1388" t="s">
        <v>171</v>
      </c>
      <c r="E1388" s="242">
        <v>41984</v>
      </c>
      <c r="F1388">
        <v>0</v>
      </c>
      <c r="G1388" t="b">
        <v>0</v>
      </c>
      <c r="H1388" t="s">
        <v>15</v>
      </c>
    </row>
    <row r="1389" spans="1:8">
      <c r="A1389" t="s">
        <v>152</v>
      </c>
      <c r="B1389" t="s">
        <v>87</v>
      </c>
      <c r="C1389">
        <v>542</v>
      </c>
      <c r="D1389" t="s">
        <v>171</v>
      </c>
      <c r="E1389" s="242">
        <v>42060.51458333333</v>
      </c>
      <c r="F1389">
        <v>0</v>
      </c>
      <c r="G1389" t="b">
        <v>0</v>
      </c>
      <c r="H1389" t="s">
        <v>15</v>
      </c>
    </row>
    <row r="1390" spans="1:8">
      <c r="A1390" t="s">
        <v>145</v>
      </c>
      <c r="B1390" t="s">
        <v>87</v>
      </c>
      <c r="C1390">
        <v>542</v>
      </c>
      <c r="D1390" t="s">
        <v>171</v>
      </c>
      <c r="E1390" s="242">
        <v>41977.826388888891</v>
      </c>
      <c r="F1390">
        <v>0</v>
      </c>
      <c r="G1390" t="b">
        <v>0</v>
      </c>
      <c r="H1390" t="s">
        <v>15</v>
      </c>
    </row>
    <row r="1391" spans="1:8">
      <c r="A1391" t="s">
        <v>167</v>
      </c>
      <c r="B1391" t="s">
        <v>87</v>
      </c>
      <c r="C1391">
        <v>542</v>
      </c>
      <c r="D1391" t="s">
        <v>171</v>
      </c>
      <c r="E1391" s="242">
        <v>41984.738194444442</v>
      </c>
      <c r="F1391">
        <v>0</v>
      </c>
      <c r="G1391" t="b">
        <v>0</v>
      </c>
      <c r="H1391" t="s">
        <v>15</v>
      </c>
    </row>
    <row r="1392" spans="1:8">
      <c r="A1392" t="s">
        <v>153</v>
      </c>
      <c r="B1392" t="s">
        <v>87</v>
      </c>
      <c r="C1392">
        <v>542</v>
      </c>
      <c r="D1392" t="s">
        <v>171</v>
      </c>
      <c r="E1392" s="242">
        <v>41731.96597222222</v>
      </c>
      <c r="F1392">
        <v>0</v>
      </c>
      <c r="G1392" t="b">
        <v>0</v>
      </c>
      <c r="H1392" t="s">
        <v>15</v>
      </c>
    </row>
    <row r="1393" spans="1:8">
      <c r="A1393" t="s">
        <v>154</v>
      </c>
      <c r="B1393" t="s">
        <v>87</v>
      </c>
      <c r="C1393">
        <v>542</v>
      </c>
      <c r="D1393" t="s">
        <v>171</v>
      </c>
      <c r="E1393" s="242">
        <v>41739.25</v>
      </c>
      <c r="F1393">
        <v>0</v>
      </c>
      <c r="G1393" t="b">
        <v>0</v>
      </c>
      <c r="H1393" t="s">
        <v>15</v>
      </c>
    </row>
    <row r="1394" spans="1:8">
      <c r="A1394" t="s">
        <v>168</v>
      </c>
      <c r="B1394" t="s">
        <v>87</v>
      </c>
      <c r="C1394">
        <v>542</v>
      </c>
      <c r="D1394" t="s">
        <v>171</v>
      </c>
      <c r="E1394" s="242">
        <v>41723</v>
      </c>
      <c r="F1394">
        <v>0</v>
      </c>
      <c r="G1394" t="b">
        <v>0</v>
      </c>
      <c r="H1394" t="s">
        <v>15</v>
      </c>
    </row>
    <row r="1395" spans="1:8">
      <c r="A1395" t="s">
        <v>155</v>
      </c>
      <c r="B1395" t="s">
        <v>87</v>
      </c>
      <c r="C1395">
        <v>542</v>
      </c>
      <c r="D1395" t="s">
        <v>171</v>
      </c>
      <c r="E1395" s="242">
        <v>41744.706250000003</v>
      </c>
      <c r="F1395">
        <v>0</v>
      </c>
      <c r="G1395" t="b">
        <v>0</v>
      </c>
      <c r="H1395" t="s">
        <v>15</v>
      </c>
    </row>
    <row r="1396" spans="1:8">
      <c r="A1396" t="s">
        <v>156</v>
      </c>
      <c r="B1396" t="s">
        <v>87</v>
      </c>
      <c r="C1396">
        <v>542</v>
      </c>
      <c r="D1396" t="s">
        <v>171</v>
      </c>
      <c r="E1396" s="242">
        <v>42026</v>
      </c>
      <c r="F1396">
        <v>0</v>
      </c>
      <c r="G1396" t="b">
        <v>0</v>
      </c>
      <c r="H1396" t="s">
        <v>15</v>
      </c>
    </row>
    <row r="1397" spans="1:8">
      <c r="A1397" t="s">
        <v>157</v>
      </c>
      <c r="B1397" t="s">
        <v>87</v>
      </c>
      <c r="C1397">
        <v>542</v>
      </c>
      <c r="D1397" t="s">
        <v>171</v>
      </c>
      <c r="E1397" s="242">
        <v>41729.314583333333</v>
      </c>
      <c r="F1397">
        <v>0</v>
      </c>
      <c r="G1397" t="b">
        <v>0</v>
      </c>
      <c r="H1397" t="s">
        <v>15</v>
      </c>
    </row>
    <row r="1398" spans="1:8">
      <c r="A1398" t="s">
        <v>169</v>
      </c>
      <c r="B1398" t="s">
        <v>87</v>
      </c>
      <c r="C1398">
        <v>542</v>
      </c>
      <c r="D1398" t="s">
        <v>171</v>
      </c>
      <c r="E1398" s="242">
        <v>41985</v>
      </c>
      <c r="F1398">
        <v>0</v>
      </c>
      <c r="G1398" t="b">
        <v>0</v>
      </c>
      <c r="H1398" t="s">
        <v>15</v>
      </c>
    </row>
    <row r="1399" spans="1:8">
      <c r="A1399" t="s">
        <v>170</v>
      </c>
      <c r="B1399" t="s">
        <v>87</v>
      </c>
      <c r="C1399">
        <v>542</v>
      </c>
      <c r="D1399" t="s">
        <v>171</v>
      </c>
      <c r="E1399" s="242">
        <v>42073.4</v>
      </c>
      <c r="F1399">
        <v>0</v>
      </c>
      <c r="G1399" t="b">
        <v>0</v>
      </c>
      <c r="H1399" t="s">
        <v>15</v>
      </c>
    </row>
    <row r="1400" spans="1:8">
      <c r="A1400" t="s">
        <v>158</v>
      </c>
      <c r="B1400" t="s">
        <v>87</v>
      </c>
      <c r="C1400">
        <v>542</v>
      </c>
      <c r="D1400" t="s">
        <v>171</v>
      </c>
      <c r="E1400" s="242">
        <v>41774.618750000001</v>
      </c>
      <c r="F1400">
        <v>0</v>
      </c>
      <c r="G1400" t="b">
        <v>0</v>
      </c>
      <c r="H1400" t="s">
        <v>15</v>
      </c>
    </row>
    <row r="1401" spans="1:8">
      <c r="A1401" t="s">
        <v>159</v>
      </c>
      <c r="B1401" t="s">
        <v>87</v>
      </c>
      <c r="C1401">
        <v>542</v>
      </c>
      <c r="D1401" t="s">
        <v>171</v>
      </c>
      <c r="E1401" s="242">
        <v>41989</v>
      </c>
      <c r="F1401">
        <v>0</v>
      </c>
      <c r="G1401" t="b">
        <v>0</v>
      </c>
      <c r="H1401" t="s">
        <v>15</v>
      </c>
    </row>
    <row r="1402" spans="1:8">
      <c r="A1402" t="s">
        <v>160</v>
      </c>
      <c r="B1402" t="s">
        <v>87</v>
      </c>
      <c r="C1402">
        <v>542</v>
      </c>
      <c r="D1402" t="s">
        <v>171</v>
      </c>
      <c r="E1402" s="242">
        <v>41964.625</v>
      </c>
      <c r="F1402">
        <v>0</v>
      </c>
      <c r="G1402" t="b">
        <v>0</v>
      </c>
      <c r="H1402" t="s">
        <v>15</v>
      </c>
    </row>
    <row r="1403" spans="1:8">
      <c r="A1403" t="s">
        <v>164</v>
      </c>
      <c r="B1403" t="s">
        <v>87</v>
      </c>
      <c r="C1403">
        <v>551</v>
      </c>
      <c r="D1403" t="s">
        <v>171</v>
      </c>
      <c r="E1403" s="242">
        <v>41794.522222222222</v>
      </c>
      <c r="F1403">
        <v>0</v>
      </c>
      <c r="G1403" t="b">
        <v>0</v>
      </c>
      <c r="H1403" t="s">
        <v>15</v>
      </c>
    </row>
    <row r="1404" spans="1:8">
      <c r="A1404" t="s">
        <v>161</v>
      </c>
      <c r="B1404" t="s">
        <v>87</v>
      </c>
      <c r="C1404">
        <v>551</v>
      </c>
      <c r="D1404" t="s">
        <v>171</v>
      </c>
      <c r="E1404" s="242">
        <v>41986</v>
      </c>
      <c r="F1404">
        <v>0</v>
      </c>
      <c r="G1404" t="b">
        <v>0</v>
      </c>
      <c r="H1404" t="s">
        <v>15</v>
      </c>
    </row>
    <row r="1405" spans="1:8">
      <c r="A1405" t="s">
        <v>165</v>
      </c>
      <c r="B1405" t="s">
        <v>87</v>
      </c>
      <c r="C1405">
        <v>551</v>
      </c>
      <c r="D1405" t="s">
        <v>171</v>
      </c>
      <c r="E1405" s="242">
        <v>42040.446527777778</v>
      </c>
      <c r="F1405">
        <v>0</v>
      </c>
      <c r="G1405" t="b">
        <v>0</v>
      </c>
      <c r="H1405" t="s">
        <v>15</v>
      </c>
    </row>
    <row r="1406" spans="1:8">
      <c r="A1406" t="s">
        <v>148</v>
      </c>
      <c r="B1406" t="s">
        <v>87</v>
      </c>
      <c r="C1406">
        <v>551</v>
      </c>
      <c r="D1406" t="s">
        <v>171</v>
      </c>
      <c r="E1406" s="242">
        <v>41769</v>
      </c>
      <c r="F1406">
        <v>0</v>
      </c>
      <c r="G1406" t="b">
        <v>0</v>
      </c>
      <c r="H1406" t="s">
        <v>15</v>
      </c>
    </row>
    <row r="1407" spans="1:8">
      <c r="A1407" t="s">
        <v>162</v>
      </c>
      <c r="B1407" t="s">
        <v>87</v>
      </c>
      <c r="C1407">
        <v>551</v>
      </c>
      <c r="D1407" t="s">
        <v>171</v>
      </c>
      <c r="E1407" s="242">
        <v>41940</v>
      </c>
      <c r="F1407">
        <v>0</v>
      </c>
      <c r="G1407" t="b">
        <v>0</v>
      </c>
      <c r="H1407" t="s">
        <v>15</v>
      </c>
    </row>
    <row r="1408" spans="1:8">
      <c r="A1408" t="s">
        <v>163</v>
      </c>
      <c r="B1408" t="s">
        <v>87</v>
      </c>
      <c r="C1408">
        <v>551</v>
      </c>
      <c r="D1408" t="s">
        <v>171</v>
      </c>
      <c r="E1408" s="242">
        <v>41809.627083333333</v>
      </c>
      <c r="F1408">
        <v>0</v>
      </c>
      <c r="G1408" t="b">
        <v>0</v>
      </c>
      <c r="H1408" t="s">
        <v>15</v>
      </c>
    </row>
    <row r="1409" spans="1:8">
      <c r="A1409" t="s">
        <v>166</v>
      </c>
      <c r="B1409" t="s">
        <v>87</v>
      </c>
      <c r="C1409">
        <v>551</v>
      </c>
      <c r="D1409" t="s">
        <v>171</v>
      </c>
      <c r="E1409" s="242">
        <v>41908</v>
      </c>
      <c r="F1409">
        <v>0</v>
      </c>
      <c r="G1409" t="b">
        <v>0</v>
      </c>
      <c r="H1409" t="s">
        <v>15</v>
      </c>
    </row>
    <row r="1410" spans="1:8">
      <c r="A1410" t="s">
        <v>149</v>
      </c>
      <c r="B1410" t="s">
        <v>87</v>
      </c>
      <c r="C1410">
        <v>551</v>
      </c>
      <c r="D1410" t="s">
        <v>171</v>
      </c>
      <c r="E1410" s="242">
        <v>42067.704861111109</v>
      </c>
      <c r="F1410">
        <v>0</v>
      </c>
      <c r="G1410" t="b">
        <v>0</v>
      </c>
      <c r="H1410" t="s">
        <v>15</v>
      </c>
    </row>
    <row r="1411" spans="1:8">
      <c r="A1411" t="s">
        <v>150</v>
      </c>
      <c r="B1411" t="s">
        <v>87</v>
      </c>
      <c r="C1411">
        <v>551</v>
      </c>
      <c r="D1411" t="s">
        <v>171</v>
      </c>
      <c r="E1411" s="242">
        <v>42060.9</v>
      </c>
      <c r="F1411">
        <v>0</v>
      </c>
      <c r="G1411" t="b">
        <v>0</v>
      </c>
      <c r="H1411" t="s">
        <v>15</v>
      </c>
    </row>
    <row r="1412" spans="1:8">
      <c r="A1412" t="s">
        <v>151</v>
      </c>
      <c r="B1412" t="s">
        <v>87</v>
      </c>
      <c r="C1412">
        <v>551</v>
      </c>
      <c r="D1412" t="s">
        <v>171</v>
      </c>
      <c r="E1412" s="242">
        <v>41984</v>
      </c>
      <c r="F1412">
        <v>0</v>
      </c>
      <c r="G1412" t="b">
        <v>0</v>
      </c>
      <c r="H1412" t="s">
        <v>15</v>
      </c>
    </row>
    <row r="1413" spans="1:8">
      <c r="A1413" t="s">
        <v>152</v>
      </c>
      <c r="B1413" t="s">
        <v>87</v>
      </c>
      <c r="C1413">
        <v>551</v>
      </c>
      <c r="D1413" t="s">
        <v>171</v>
      </c>
      <c r="E1413" s="242">
        <v>42045.631944444445</v>
      </c>
      <c r="F1413">
        <v>0</v>
      </c>
      <c r="G1413" t="b">
        <v>0</v>
      </c>
      <c r="H1413" t="s">
        <v>15</v>
      </c>
    </row>
    <row r="1414" spans="1:8">
      <c r="A1414" t="s">
        <v>145</v>
      </c>
      <c r="B1414" t="s">
        <v>87</v>
      </c>
      <c r="C1414">
        <v>551</v>
      </c>
      <c r="D1414" t="s">
        <v>171</v>
      </c>
      <c r="E1414" s="242">
        <v>41978.031944444447</v>
      </c>
      <c r="F1414">
        <v>0</v>
      </c>
      <c r="G1414" t="b">
        <v>0</v>
      </c>
      <c r="H1414" t="s">
        <v>15</v>
      </c>
    </row>
    <row r="1415" spans="1:8">
      <c r="A1415" t="s">
        <v>167</v>
      </c>
      <c r="B1415" t="s">
        <v>87</v>
      </c>
      <c r="C1415">
        <v>551</v>
      </c>
      <c r="D1415" t="s">
        <v>171</v>
      </c>
      <c r="E1415" s="242">
        <v>41942</v>
      </c>
      <c r="F1415">
        <v>0</v>
      </c>
      <c r="G1415" t="b">
        <v>0</v>
      </c>
      <c r="H1415" t="s">
        <v>15</v>
      </c>
    </row>
    <row r="1416" spans="1:8">
      <c r="A1416" t="s">
        <v>153</v>
      </c>
      <c r="B1416" t="s">
        <v>87</v>
      </c>
      <c r="C1416">
        <v>551</v>
      </c>
      <c r="D1416" t="s">
        <v>171</v>
      </c>
      <c r="E1416" s="242">
        <v>41731.966666666667</v>
      </c>
      <c r="F1416">
        <v>0</v>
      </c>
      <c r="G1416" t="b">
        <v>0</v>
      </c>
      <c r="H1416" t="s">
        <v>15</v>
      </c>
    </row>
    <row r="1417" spans="1:8">
      <c r="A1417" t="s">
        <v>154</v>
      </c>
      <c r="B1417" t="s">
        <v>87</v>
      </c>
      <c r="C1417">
        <v>551</v>
      </c>
      <c r="D1417" t="s">
        <v>171</v>
      </c>
      <c r="E1417" s="242">
        <v>42104</v>
      </c>
      <c r="F1417">
        <v>0</v>
      </c>
      <c r="G1417" t="b">
        <v>0</v>
      </c>
      <c r="H1417" t="s">
        <v>15</v>
      </c>
    </row>
    <row r="1418" spans="1:8">
      <c r="A1418" t="s">
        <v>168</v>
      </c>
      <c r="B1418" t="s">
        <v>87</v>
      </c>
      <c r="C1418">
        <v>551</v>
      </c>
      <c r="D1418" t="s">
        <v>171</v>
      </c>
      <c r="E1418" s="242">
        <v>42090</v>
      </c>
      <c r="F1418">
        <v>0</v>
      </c>
      <c r="G1418" t="b">
        <v>0</v>
      </c>
      <c r="H1418" t="s">
        <v>15</v>
      </c>
    </row>
    <row r="1419" spans="1:8">
      <c r="A1419" t="s">
        <v>155</v>
      </c>
      <c r="B1419" t="s">
        <v>87</v>
      </c>
      <c r="C1419">
        <v>551</v>
      </c>
      <c r="D1419" t="s">
        <v>171</v>
      </c>
      <c r="E1419" s="242">
        <v>41750.538194444445</v>
      </c>
      <c r="F1419">
        <v>0</v>
      </c>
      <c r="G1419" t="b">
        <v>0</v>
      </c>
      <c r="H1419" t="s">
        <v>15</v>
      </c>
    </row>
    <row r="1420" spans="1:8">
      <c r="A1420" t="s">
        <v>156</v>
      </c>
      <c r="B1420" t="s">
        <v>87</v>
      </c>
      <c r="C1420">
        <v>551</v>
      </c>
      <c r="D1420" t="s">
        <v>171</v>
      </c>
      <c r="E1420" s="242">
        <v>42026</v>
      </c>
      <c r="F1420">
        <v>0</v>
      </c>
      <c r="G1420" t="b">
        <v>0</v>
      </c>
      <c r="H1420" t="s">
        <v>15</v>
      </c>
    </row>
    <row r="1421" spans="1:8">
      <c r="A1421" t="s">
        <v>157</v>
      </c>
      <c r="B1421" t="s">
        <v>87</v>
      </c>
      <c r="C1421">
        <v>551</v>
      </c>
      <c r="D1421" t="s">
        <v>171</v>
      </c>
      <c r="E1421" s="242">
        <v>41729</v>
      </c>
      <c r="F1421">
        <v>0</v>
      </c>
      <c r="G1421" t="b">
        <v>0</v>
      </c>
      <c r="H1421" t="s">
        <v>15</v>
      </c>
    </row>
    <row r="1422" spans="1:8">
      <c r="A1422" t="s">
        <v>169</v>
      </c>
      <c r="B1422" t="s">
        <v>87</v>
      </c>
      <c r="C1422">
        <v>551</v>
      </c>
      <c r="D1422" t="s">
        <v>171</v>
      </c>
      <c r="E1422" s="242">
        <v>42083.348611111112</v>
      </c>
      <c r="F1422">
        <v>0</v>
      </c>
      <c r="G1422" t="b">
        <v>0</v>
      </c>
      <c r="H1422" t="s">
        <v>15</v>
      </c>
    </row>
    <row r="1423" spans="1:8">
      <c r="A1423" t="s">
        <v>170</v>
      </c>
      <c r="B1423" t="s">
        <v>87</v>
      </c>
      <c r="C1423">
        <v>551</v>
      </c>
      <c r="D1423" t="s">
        <v>171</v>
      </c>
      <c r="E1423" s="242">
        <v>42070.330555555556</v>
      </c>
      <c r="F1423">
        <v>0</v>
      </c>
      <c r="G1423" t="b">
        <v>0</v>
      </c>
      <c r="H1423" t="s">
        <v>15</v>
      </c>
    </row>
    <row r="1424" spans="1:8">
      <c r="A1424" t="s">
        <v>158</v>
      </c>
      <c r="B1424" t="s">
        <v>87</v>
      </c>
      <c r="C1424">
        <v>551</v>
      </c>
      <c r="D1424" t="s">
        <v>171</v>
      </c>
      <c r="E1424" s="242">
        <v>41772.508333333331</v>
      </c>
      <c r="F1424">
        <v>0</v>
      </c>
      <c r="G1424" t="b">
        <v>0</v>
      </c>
      <c r="H1424" t="s">
        <v>15</v>
      </c>
    </row>
    <row r="1425" spans="1:8">
      <c r="A1425" t="s">
        <v>159</v>
      </c>
      <c r="B1425" t="s">
        <v>87</v>
      </c>
      <c r="C1425">
        <v>551</v>
      </c>
      <c r="D1425" t="s">
        <v>171</v>
      </c>
      <c r="E1425" s="242">
        <v>41779.730555555558</v>
      </c>
      <c r="F1425">
        <v>0</v>
      </c>
      <c r="G1425" t="b">
        <v>0</v>
      </c>
      <c r="H1425" t="s">
        <v>15</v>
      </c>
    </row>
    <row r="1426" spans="1:8">
      <c r="A1426" t="s">
        <v>160</v>
      </c>
      <c r="B1426" t="s">
        <v>87</v>
      </c>
      <c r="C1426">
        <v>551</v>
      </c>
      <c r="D1426" t="s">
        <v>171</v>
      </c>
      <c r="E1426" s="242">
        <v>42053</v>
      </c>
      <c r="F1426">
        <v>0</v>
      </c>
      <c r="G1426" t="b">
        <v>0</v>
      </c>
      <c r="H1426" t="s">
        <v>15</v>
      </c>
    </row>
    <row r="1427" spans="1:8">
      <c r="A1427" t="s">
        <v>164</v>
      </c>
      <c r="B1427" t="s">
        <v>87</v>
      </c>
      <c r="C1427">
        <v>553</v>
      </c>
      <c r="D1427" t="s">
        <v>171</v>
      </c>
      <c r="E1427" s="242">
        <v>41767.456944444442</v>
      </c>
      <c r="F1427">
        <v>0</v>
      </c>
      <c r="G1427" t="b">
        <v>0</v>
      </c>
      <c r="H1427" t="s">
        <v>15</v>
      </c>
    </row>
    <row r="1428" spans="1:8">
      <c r="A1428" t="s">
        <v>161</v>
      </c>
      <c r="B1428" t="s">
        <v>87</v>
      </c>
      <c r="C1428">
        <v>553</v>
      </c>
      <c r="D1428" t="s">
        <v>171</v>
      </c>
      <c r="E1428" s="242">
        <v>41980</v>
      </c>
      <c r="F1428">
        <v>0</v>
      </c>
      <c r="G1428" t="b">
        <v>0</v>
      </c>
      <c r="H1428" t="s">
        <v>15</v>
      </c>
    </row>
    <row r="1429" spans="1:8">
      <c r="A1429" t="s">
        <v>165</v>
      </c>
      <c r="B1429" t="s">
        <v>87</v>
      </c>
      <c r="C1429">
        <v>553</v>
      </c>
      <c r="D1429" t="s">
        <v>171</v>
      </c>
      <c r="E1429" s="242">
        <v>42061</v>
      </c>
      <c r="F1429">
        <v>0</v>
      </c>
      <c r="G1429" t="b">
        <v>0</v>
      </c>
      <c r="H1429" t="s">
        <v>15</v>
      </c>
    </row>
    <row r="1430" spans="1:8">
      <c r="A1430" t="s">
        <v>148</v>
      </c>
      <c r="B1430" t="s">
        <v>87</v>
      </c>
      <c r="C1430">
        <v>553</v>
      </c>
      <c r="D1430" t="s">
        <v>171</v>
      </c>
      <c r="E1430" s="242">
        <v>42081</v>
      </c>
      <c r="F1430">
        <v>0</v>
      </c>
      <c r="G1430" t="b">
        <v>0</v>
      </c>
      <c r="H1430" t="s">
        <v>15</v>
      </c>
    </row>
    <row r="1431" spans="1:8">
      <c r="A1431" t="s">
        <v>162</v>
      </c>
      <c r="B1431" t="s">
        <v>87</v>
      </c>
      <c r="C1431">
        <v>553</v>
      </c>
      <c r="D1431" t="s">
        <v>171</v>
      </c>
      <c r="E1431" s="242">
        <v>42027.533333333333</v>
      </c>
      <c r="F1431">
        <v>0</v>
      </c>
      <c r="G1431" t="b">
        <v>0</v>
      </c>
      <c r="H1431" t="s">
        <v>15</v>
      </c>
    </row>
    <row r="1432" spans="1:8">
      <c r="A1432" t="s">
        <v>163</v>
      </c>
      <c r="B1432" t="s">
        <v>87</v>
      </c>
      <c r="C1432">
        <v>553</v>
      </c>
      <c r="D1432" t="s">
        <v>171</v>
      </c>
      <c r="E1432" s="242">
        <v>42027.535416666666</v>
      </c>
      <c r="F1432">
        <v>0</v>
      </c>
      <c r="G1432" t="b">
        <v>0</v>
      </c>
      <c r="H1432" t="s">
        <v>15</v>
      </c>
    </row>
    <row r="1433" spans="1:8">
      <c r="A1433" t="s">
        <v>166</v>
      </c>
      <c r="B1433" t="s">
        <v>87</v>
      </c>
      <c r="C1433">
        <v>553</v>
      </c>
      <c r="D1433" t="s">
        <v>171</v>
      </c>
      <c r="E1433" s="242">
        <v>41775.323611111111</v>
      </c>
      <c r="F1433">
        <v>0</v>
      </c>
      <c r="G1433" t="b">
        <v>0</v>
      </c>
      <c r="H1433" t="s">
        <v>15</v>
      </c>
    </row>
    <row r="1434" spans="1:8">
      <c r="A1434" t="s">
        <v>149</v>
      </c>
      <c r="B1434" t="s">
        <v>87</v>
      </c>
      <c r="C1434">
        <v>553</v>
      </c>
      <c r="D1434" t="s">
        <v>171</v>
      </c>
      <c r="E1434" s="242">
        <v>42111</v>
      </c>
      <c r="F1434">
        <v>0</v>
      </c>
      <c r="G1434" t="b">
        <v>0</v>
      </c>
      <c r="H1434" t="s">
        <v>15</v>
      </c>
    </row>
    <row r="1435" spans="1:8">
      <c r="A1435" t="s">
        <v>150</v>
      </c>
      <c r="B1435" t="s">
        <v>87</v>
      </c>
      <c r="C1435">
        <v>553</v>
      </c>
      <c r="D1435" t="s">
        <v>171</v>
      </c>
      <c r="E1435" s="242">
        <v>42079.594444444447</v>
      </c>
      <c r="F1435">
        <v>0</v>
      </c>
      <c r="G1435" t="b">
        <v>0</v>
      </c>
      <c r="H1435" t="s">
        <v>15</v>
      </c>
    </row>
    <row r="1436" spans="1:8">
      <c r="A1436" t="s">
        <v>151</v>
      </c>
      <c r="B1436" t="s">
        <v>87</v>
      </c>
      <c r="C1436">
        <v>553</v>
      </c>
      <c r="D1436" t="s">
        <v>171</v>
      </c>
      <c r="E1436" s="242">
        <v>41862</v>
      </c>
      <c r="F1436">
        <v>0</v>
      </c>
      <c r="G1436" t="b">
        <v>0</v>
      </c>
      <c r="H1436" t="s">
        <v>15</v>
      </c>
    </row>
    <row r="1437" spans="1:8">
      <c r="A1437" t="s">
        <v>152</v>
      </c>
      <c r="B1437" t="s">
        <v>87</v>
      </c>
      <c r="C1437">
        <v>553</v>
      </c>
      <c r="D1437" t="s">
        <v>171</v>
      </c>
      <c r="E1437" s="242">
        <v>42060.51666666667</v>
      </c>
      <c r="F1437">
        <v>0</v>
      </c>
      <c r="G1437" t="b">
        <v>0</v>
      </c>
      <c r="H1437" t="s">
        <v>15</v>
      </c>
    </row>
    <row r="1438" spans="1:8">
      <c r="A1438" t="s">
        <v>145</v>
      </c>
      <c r="B1438" t="s">
        <v>87</v>
      </c>
      <c r="C1438">
        <v>553</v>
      </c>
      <c r="D1438" t="s">
        <v>171</v>
      </c>
      <c r="E1438" s="242">
        <v>41984.474305555559</v>
      </c>
      <c r="F1438">
        <v>0</v>
      </c>
      <c r="G1438" t="b">
        <v>0</v>
      </c>
      <c r="H1438" t="s">
        <v>15</v>
      </c>
    </row>
    <row r="1439" spans="1:8">
      <c r="A1439" t="s">
        <v>167</v>
      </c>
      <c r="B1439" t="s">
        <v>87</v>
      </c>
      <c r="C1439">
        <v>553</v>
      </c>
      <c r="D1439" t="s">
        <v>171</v>
      </c>
      <c r="E1439" s="242">
        <v>41858.382638888892</v>
      </c>
      <c r="F1439">
        <v>0</v>
      </c>
      <c r="G1439" t="b">
        <v>0</v>
      </c>
      <c r="H1439" t="s">
        <v>15</v>
      </c>
    </row>
    <row r="1440" spans="1:8">
      <c r="A1440" t="s">
        <v>153</v>
      </c>
      <c r="B1440" t="s">
        <v>87</v>
      </c>
      <c r="C1440">
        <v>553</v>
      </c>
      <c r="D1440" t="s">
        <v>171</v>
      </c>
      <c r="E1440" s="242">
        <v>42080.779166666667</v>
      </c>
      <c r="F1440">
        <v>0</v>
      </c>
      <c r="G1440" t="b">
        <v>0</v>
      </c>
      <c r="H1440" t="s">
        <v>15</v>
      </c>
    </row>
    <row r="1441" spans="1:8">
      <c r="A1441" t="s">
        <v>154</v>
      </c>
      <c r="B1441" t="s">
        <v>87</v>
      </c>
      <c r="C1441">
        <v>553</v>
      </c>
      <c r="D1441" t="s">
        <v>171</v>
      </c>
      <c r="E1441" s="242">
        <v>41752</v>
      </c>
      <c r="F1441">
        <v>0</v>
      </c>
      <c r="G1441" t="b">
        <v>0</v>
      </c>
      <c r="H1441" t="s">
        <v>15</v>
      </c>
    </row>
    <row r="1442" spans="1:8">
      <c r="A1442" t="s">
        <v>168</v>
      </c>
      <c r="B1442" t="s">
        <v>87</v>
      </c>
      <c r="C1442">
        <v>553</v>
      </c>
      <c r="D1442" t="s">
        <v>171</v>
      </c>
      <c r="E1442" s="242">
        <v>42090.699305555558</v>
      </c>
      <c r="F1442">
        <v>0</v>
      </c>
      <c r="G1442" t="b">
        <v>0</v>
      </c>
      <c r="H1442" t="s">
        <v>15</v>
      </c>
    </row>
    <row r="1443" spans="1:8">
      <c r="A1443" t="s">
        <v>155</v>
      </c>
      <c r="B1443" t="s">
        <v>87</v>
      </c>
      <c r="C1443">
        <v>553</v>
      </c>
      <c r="D1443" t="s">
        <v>171</v>
      </c>
      <c r="E1443" s="242">
        <v>41745.449999999997</v>
      </c>
      <c r="F1443">
        <v>0</v>
      </c>
      <c r="G1443" t="b">
        <v>0</v>
      </c>
      <c r="H1443" t="s">
        <v>15</v>
      </c>
    </row>
    <row r="1444" spans="1:8">
      <c r="A1444" t="s">
        <v>156</v>
      </c>
      <c r="B1444" t="s">
        <v>87</v>
      </c>
      <c r="C1444">
        <v>553</v>
      </c>
      <c r="D1444" t="s">
        <v>171</v>
      </c>
      <c r="E1444" s="242">
        <v>41963.647222222222</v>
      </c>
      <c r="F1444">
        <v>0</v>
      </c>
      <c r="G1444" t="b">
        <v>0</v>
      </c>
      <c r="H1444" t="s">
        <v>15</v>
      </c>
    </row>
    <row r="1445" spans="1:8">
      <c r="A1445" t="s">
        <v>157</v>
      </c>
      <c r="B1445" t="s">
        <v>87</v>
      </c>
      <c r="C1445">
        <v>553</v>
      </c>
      <c r="D1445" t="s">
        <v>171</v>
      </c>
      <c r="E1445" s="242">
        <v>42097.29791666667</v>
      </c>
      <c r="F1445">
        <v>0</v>
      </c>
      <c r="G1445" t="b">
        <v>0</v>
      </c>
      <c r="H1445" t="s">
        <v>15</v>
      </c>
    </row>
    <row r="1446" spans="1:8">
      <c r="A1446" t="s">
        <v>169</v>
      </c>
      <c r="B1446" t="s">
        <v>87</v>
      </c>
      <c r="C1446">
        <v>553</v>
      </c>
      <c r="D1446" t="s">
        <v>171</v>
      </c>
      <c r="E1446" s="242">
        <v>42110.498611111114</v>
      </c>
      <c r="F1446">
        <v>0</v>
      </c>
      <c r="G1446" t="b">
        <v>0</v>
      </c>
      <c r="H1446" t="s">
        <v>15</v>
      </c>
    </row>
    <row r="1447" spans="1:8">
      <c r="A1447" t="s">
        <v>170</v>
      </c>
      <c r="B1447" t="s">
        <v>87</v>
      </c>
      <c r="C1447">
        <v>553</v>
      </c>
      <c r="D1447" t="s">
        <v>171</v>
      </c>
      <c r="E1447" s="242">
        <v>41984.494444444441</v>
      </c>
      <c r="F1447">
        <v>0</v>
      </c>
      <c r="G1447" t="b">
        <v>0</v>
      </c>
      <c r="H1447" t="s">
        <v>15</v>
      </c>
    </row>
    <row r="1448" spans="1:8">
      <c r="A1448" t="s">
        <v>158</v>
      </c>
      <c r="B1448" t="s">
        <v>87</v>
      </c>
      <c r="C1448">
        <v>553</v>
      </c>
      <c r="D1448" t="s">
        <v>171</v>
      </c>
      <c r="E1448" s="242">
        <v>41857.602777777778</v>
      </c>
      <c r="F1448">
        <v>0</v>
      </c>
      <c r="G1448" t="b">
        <v>0</v>
      </c>
      <c r="H1448" t="s">
        <v>15</v>
      </c>
    </row>
    <row r="1449" spans="1:8">
      <c r="A1449" t="s">
        <v>159</v>
      </c>
      <c r="B1449" t="s">
        <v>87</v>
      </c>
      <c r="C1449">
        <v>553</v>
      </c>
      <c r="D1449" t="s">
        <v>171</v>
      </c>
      <c r="E1449" s="242">
        <v>41787</v>
      </c>
      <c r="F1449">
        <v>0</v>
      </c>
      <c r="G1449" t="b">
        <v>0</v>
      </c>
      <c r="H1449" t="s">
        <v>15</v>
      </c>
    </row>
    <row r="1450" spans="1:8">
      <c r="A1450" t="s">
        <v>160</v>
      </c>
      <c r="B1450" t="s">
        <v>87</v>
      </c>
      <c r="C1450">
        <v>553</v>
      </c>
      <c r="D1450" t="s">
        <v>171</v>
      </c>
      <c r="E1450" s="242">
        <v>42095.363888888889</v>
      </c>
      <c r="F1450">
        <v>0</v>
      </c>
      <c r="G1450" t="b">
        <v>0</v>
      </c>
      <c r="H1450" t="s">
        <v>15</v>
      </c>
    </row>
    <row r="1451" spans="1:8">
      <c r="A1451" t="s">
        <v>164</v>
      </c>
      <c r="B1451" t="s">
        <v>87</v>
      </c>
      <c r="C1451">
        <v>570</v>
      </c>
      <c r="D1451" t="s">
        <v>171</v>
      </c>
      <c r="E1451" s="242">
        <v>42090.513194444444</v>
      </c>
      <c r="F1451">
        <v>0</v>
      </c>
      <c r="G1451" t="b">
        <v>0</v>
      </c>
      <c r="H1451" t="s">
        <v>15</v>
      </c>
    </row>
    <row r="1452" spans="1:8">
      <c r="A1452" t="s">
        <v>161</v>
      </c>
      <c r="B1452" t="s">
        <v>87</v>
      </c>
      <c r="C1452">
        <v>570</v>
      </c>
      <c r="D1452" t="s">
        <v>171</v>
      </c>
      <c r="E1452" s="242">
        <v>41924.477777777778</v>
      </c>
      <c r="F1452">
        <v>0</v>
      </c>
      <c r="G1452" t="b">
        <v>0</v>
      </c>
      <c r="H1452" t="s">
        <v>15</v>
      </c>
    </row>
    <row r="1453" spans="1:8">
      <c r="A1453" t="s">
        <v>165</v>
      </c>
      <c r="B1453" t="s">
        <v>87</v>
      </c>
      <c r="C1453">
        <v>570</v>
      </c>
      <c r="D1453" t="s">
        <v>171</v>
      </c>
      <c r="E1453" s="242">
        <v>42040.445138888892</v>
      </c>
      <c r="F1453">
        <v>0</v>
      </c>
      <c r="G1453" t="b">
        <v>0</v>
      </c>
      <c r="H1453" t="s">
        <v>15</v>
      </c>
    </row>
    <row r="1454" spans="1:8">
      <c r="A1454" t="s">
        <v>148</v>
      </c>
      <c r="B1454" t="s">
        <v>87</v>
      </c>
      <c r="C1454">
        <v>570</v>
      </c>
      <c r="D1454" t="s">
        <v>171</v>
      </c>
      <c r="E1454" s="242">
        <v>42009</v>
      </c>
      <c r="F1454">
        <v>0</v>
      </c>
      <c r="G1454" t="b">
        <v>0</v>
      </c>
      <c r="H1454" t="s">
        <v>15</v>
      </c>
    </row>
    <row r="1455" spans="1:8">
      <c r="A1455" t="s">
        <v>162</v>
      </c>
      <c r="B1455" t="s">
        <v>87</v>
      </c>
      <c r="C1455">
        <v>570</v>
      </c>
      <c r="D1455" t="s">
        <v>171</v>
      </c>
      <c r="E1455" s="242">
        <v>41787.081250000003</v>
      </c>
      <c r="F1455">
        <v>0</v>
      </c>
      <c r="G1455" t="b">
        <v>0</v>
      </c>
      <c r="H1455" t="s">
        <v>15</v>
      </c>
    </row>
    <row r="1456" spans="1:8">
      <c r="A1456" t="s">
        <v>163</v>
      </c>
      <c r="B1456" t="s">
        <v>87</v>
      </c>
      <c r="C1456">
        <v>570</v>
      </c>
      <c r="D1456" t="s">
        <v>171</v>
      </c>
      <c r="E1456" s="242">
        <v>41928</v>
      </c>
      <c r="F1456">
        <v>0</v>
      </c>
      <c r="G1456" t="b">
        <v>0</v>
      </c>
      <c r="H1456" t="s">
        <v>15</v>
      </c>
    </row>
    <row r="1457" spans="1:8">
      <c r="A1457" t="s">
        <v>166</v>
      </c>
      <c r="B1457" t="s">
        <v>87</v>
      </c>
      <c r="C1457">
        <v>570</v>
      </c>
      <c r="D1457" t="s">
        <v>171</v>
      </c>
      <c r="E1457" s="242">
        <v>42115.575694444444</v>
      </c>
      <c r="F1457">
        <v>0</v>
      </c>
      <c r="G1457" t="b">
        <v>0</v>
      </c>
      <c r="H1457" t="s">
        <v>15</v>
      </c>
    </row>
    <row r="1458" spans="1:8">
      <c r="A1458" t="s">
        <v>149</v>
      </c>
      <c r="B1458" t="s">
        <v>87</v>
      </c>
      <c r="C1458">
        <v>570</v>
      </c>
      <c r="D1458" t="s">
        <v>171</v>
      </c>
      <c r="E1458" s="242">
        <v>42069.568749999999</v>
      </c>
      <c r="F1458">
        <v>0</v>
      </c>
      <c r="G1458" t="b">
        <v>0</v>
      </c>
      <c r="H1458" t="s">
        <v>15</v>
      </c>
    </row>
    <row r="1459" spans="1:8">
      <c r="A1459" t="s">
        <v>150</v>
      </c>
      <c r="B1459" t="s">
        <v>87</v>
      </c>
      <c r="C1459">
        <v>570</v>
      </c>
      <c r="D1459" t="s">
        <v>171</v>
      </c>
      <c r="E1459" s="242">
        <v>42007.479166666664</v>
      </c>
      <c r="F1459">
        <v>0</v>
      </c>
      <c r="G1459" t="b">
        <v>0</v>
      </c>
      <c r="H1459" t="s">
        <v>15</v>
      </c>
    </row>
    <row r="1460" spans="1:8">
      <c r="A1460" t="s">
        <v>151</v>
      </c>
      <c r="B1460" t="s">
        <v>87</v>
      </c>
      <c r="C1460">
        <v>570</v>
      </c>
      <c r="D1460" t="s">
        <v>171</v>
      </c>
      <c r="E1460" s="242">
        <v>42031.496527777781</v>
      </c>
      <c r="F1460">
        <v>0</v>
      </c>
      <c r="G1460" t="b">
        <v>0</v>
      </c>
      <c r="H1460" t="s">
        <v>15</v>
      </c>
    </row>
    <row r="1461" spans="1:8">
      <c r="A1461" t="s">
        <v>152</v>
      </c>
      <c r="B1461" t="s">
        <v>87</v>
      </c>
      <c r="C1461">
        <v>570</v>
      </c>
      <c r="D1461" t="s">
        <v>171</v>
      </c>
      <c r="E1461" s="242">
        <v>42045.324999999997</v>
      </c>
      <c r="F1461">
        <v>0</v>
      </c>
      <c r="G1461" t="b">
        <v>0</v>
      </c>
      <c r="H1461" t="s">
        <v>15</v>
      </c>
    </row>
    <row r="1462" spans="1:8">
      <c r="A1462" t="s">
        <v>145</v>
      </c>
      <c r="B1462" t="s">
        <v>87</v>
      </c>
      <c r="C1462">
        <v>570</v>
      </c>
      <c r="D1462" t="s">
        <v>171</v>
      </c>
      <c r="E1462" s="242">
        <v>41977.927777777775</v>
      </c>
      <c r="F1462">
        <v>0</v>
      </c>
      <c r="G1462" t="b">
        <v>0</v>
      </c>
      <c r="H1462" t="s">
        <v>15</v>
      </c>
    </row>
    <row r="1463" spans="1:8">
      <c r="A1463" t="s">
        <v>167</v>
      </c>
      <c r="B1463" t="s">
        <v>87</v>
      </c>
      <c r="C1463">
        <v>570</v>
      </c>
      <c r="D1463" t="s">
        <v>171</v>
      </c>
      <c r="E1463" s="242">
        <v>41962</v>
      </c>
      <c r="F1463">
        <v>0</v>
      </c>
      <c r="G1463" t="b">
        <v>0</v>
      </c>
      <c r="H1463" t="s">
        <v>15</v>
      </c>
    </row>
    <row r="1464" spans="1:8">
      <c r="A1464" t="s">
        <v>153</v>
      </c>
      <c r="B1464" t="s">
        <v>87</v>
      </c>
      <c r="C1464">
        <v>570</v>
      </c>
      <c r="D1464" t="s">
        <v>171</v>
      </c>
      <c r="E1464" s="242">
        <v>41856.474999999999</v>
      </c>
      <c r="F1464">
        <v>0</v>
      </c>
      <c r="G1464" t="b">
        <v>0</v>
      </c>
      <c r="H1464" t="s">
        <v>15</v>
      </c>
    </row>
    <row r="1465" spans="1:8">
      <c r="A1465" t="s">
        <v>154</v>
      </c>
      <c r="B1465" t="s">
        <v>87</v>
      </c>
      <c r="C1465">
        <v>570</v>
      </c>
      <c r="D1465" t="s">
        <v>171</v>
      </c>
      <c r="E1465" s="242">
        <v>42104.25</v>
      </c>
      <c r="F1465">
        <v>0</v>
      </c>
      <c r="G1465" t="b">
        <v>0</v>
      </c>
      <c r="H1465" t="s">
        <v>15</v>
      </c>
    </row>
    <row r="1466" spans="1:8">
      <c r="A1466" t="s">
        <v>168</v>
      </c>
      <c r="B1466" t="s">
        <v>87</v>
      </c>
      <c r="C1466">
        <v>570</v>
      </c>
      <c r="D1466" t="s">
        <v>171</v>
      </c>
      <c r="E1466" s="242">
        <v>42088</v>
      </c>
      <c r="F1466">
        <v>0</v>
      </c>
      <c r="G1466" t="b">
        <v>0</v>
      </c>
      <c r="H1466" t="s">
        <v>15</v>
      </c>
    </row>
    <row r="1467" spans="1:8">
      <c r="A1467" t="s">
        <v>155</v>
      </c>
      <c r="B1467" t="s">
        <v>87</v>
      </c>
      <c r="C1467">
        <v>570</v>
      </c>
      <c r="D1467" t="s">
        <v>171</v>
      </c>
      <c r="E1467" s="242">
        <v>41747.609027777777</v>
      </c>
      <c r="F1467">
        <v>0</v>
      </c>
      <c r="G1467" t="b">
        <v>0</v>
      </c>
      <c r="H1467" t="s">
        <v>15</v>
      </c>
    </row>
    <row r="1468" spans="1:8">
      <c r="A1468" t="s">
        <v>156</v>
      </c>
      <c r="B1468" t="s">
        <v>87</v>
      </c>
      <c r="C1468">
        <v>570</v>
      </c>
      <c r="D1468" t="s">
        <v>171</v>
      </c>
      <c r="E1468" s="242">
        <v>42026</v>
      </c>
      <c r="F1468">
        <v>0</v>
      </c>
      <c r="G1468" t="b">
        <v>0</v>
      </c>
      <c r="H1468" t="s">
        <v>15</v>
      </c>
    </row>
    <row r="1469" spans="1:8">
      <c r="A1469" t="s">
        <v>157</v>
      </c>
      <c r="B1469" t="s">
        <v>87</v>
      </c>
      <c r="C1469">
        <v>570</v>
      </c>
      <c r="D1469" t="s">
        <v>171</v>
      </c>
      <c r="E1469" s="242">
        <v>42094</v>
      </c>
      <c r="F1469">
        <v>0</v>
      </c>
      <c r="G1469" t="b">
        <v>0</v>
      </c>
      <c r="H1469" t="s">
        <v>15</v>
      </c>
    </row>
    <row r="1470" spans="1:8">
      <c r="A1470" t="s">
        <v>169</v>
      </c>
      <c r="B1470" t="s">
        <v>87</v>
      </c>
      <c r="C1470">
        <v>570</v>
      </c>
      <c r="D1470" t="s">
        <v>171</v>
      </c>
      <c r="E1470" s="242">
        <v>42083.347222222219</v>
      </c>
      <c r="F1470">
        <v>0</v>
      </c>
      <c r="G1470" t="b">
        <v>0</v>
      </c>
      <c r="H1470" t="s">
        <v>15</v>
      </c>
    </row>
    <row r="1471" spans="1:8">
      <c r="A1471" t="s">
        <v>170</v>
      </c>
      <c r="B1471" t="s">
        <v>87</v>
      </c>
      <c r="C1471">
        <v>570</v>
      </c>
      <c r="D1471" t="s">
        <v>171</v>
      </c>
      <c r="E1471" s="242">
        <v>41977</v>
      </c>
      <c r="F1471">
        <v>0</v>
      </c>
      <c r="G1471" t="b">
        <v>0</v>
      </c>
      <c r="H1471" t="s">
        <v>15</v>
      </c>
    </row>
    <row r="1472" spans="1:8">
      <c r="A1472" t="s">
        <v>158</v>
      </c>
      <c r="B1472" t="s">
        <v>87</v>
      </c>
      <c r="C1472">
        <v>570</v>
      </c>
      <c r="D1472" t="s">
        <v>171</v>
      </c>
      <c r="E1472" s="242">
        <v>42091.416666666664</v>
      </c>
      <c r="F1472">
        <v>0</v>
      </c>
      <c r="G1472" t="b">
        <v>0</v>
      </c>
      <c r="H1472" t="s">
        <v>15</v>
      </c>
    </row>
    <row r="1473" spans="1:8">
      <c r="A1473" t="s">
        <v>159</v>
      </c>
      <c r="B1473" t="s">
        <v>87</v>
      </c>
      <c r="C1473">
        <v>570</v>
      </c>
      <c r="D1473" t="s">
        <v>171</v>
      </c>
      <c r="E1473" s="242">
        <v>41789.671527777777</v>
      </c>
      <c r="F1473">
        <v>0</v>
      </c>
      <c r="G1473" t="b">
        <v>0</v>
      </c>
      <c r="H1473" t="s">
        <v>15</v>
      </c>
    </row>
    <row r="1474" spans="1:8">
      <c r="A1474" t="s">
        <v>160</v>
      </c>
      <c r="B1474" t="s">
        <v>87</v>
      </c>
      <c r="C1474">
        <v>570</v>
      </c>
      <c r="D1474" t="s">
        <v>171</v>
      </c>
      <c r="E1474" s="242">
        <v>42067</v>
      </c>
      <c r="F1474">
        <v>0</v>
      </c>
      <c r="G1474" t="b">
        <v>0</v>
      </c>
      <c r="H1474" t="s">
        <v>15</v>
      </c>
    </row>
    <row r="1475" spans="1:8">
      <c r="A1475" t="s">
        <v>164</v>
      </c>
      <c r="B1475" t="s">
        <v>87</v>
      </c>
      <c r="C1475">
        <v>580</v>
      </c>
      <c r="D1475" t="s">
        <v>171</v>
      </c>
      <c r="E1475" s="242">
        <v>42090.51458333333</v>
      </c>
      <c r="F1475">
        <v>0</v>
      </c>
      <c r="G1475" t="b">
        <v>0</v>
      </c>
      <c r="H1475" t="s">
        <v>15</v>
      </c>
    </row>
    <row r="1476" spans="1:8">
      <c r="A1476" t="s">
        <v>161</v>
      </c>
      <c r="B1476" t="s">
        <v>87</v>
      </c>
      <c r="C1476">
        <v>580</v>
      </c>
      <c r="D1476" t="s">
        <v>171</v>
      </c>
      <c r="E1476" s="242">
        <v>41924.479166666664</v>
      </c>
      <c r="F1476">
        <v>0</v>
      </c>
      <c r="G1476" t="b">
        <v>0</v>
      </c>
      <c r="H1476" t="s">
        <v>15</v>
      </c>
    </row>
    <row r="1477" spans="1:8">
      <c r="A1477" t="s">
        <v>165</v>
      </c>
      <c r="B1477" t="s">
        <v>87</v>
      </c>
      <c r="C1477">
        <v>580</v>
      </c>
      <c r="D1477" t="s">
        <v>171</v>
      </c>
      <c r="E1477" s="242">
        <v>42040.447916666664</v>
      </c>
      <c r="F1477">
        <v>0</v>
      </c>
      <c r="G1477" t="b">
        <v>0</v>
      </c>
      <c r="H1477" t="s">
        <v>15</v>
      </c>
    </row>
    <row r="1478" spans="1:8">
      <c r="A1478" t="s">
        <v>148</v>
      </c>
      <c r="B1478" t="s">
        <v>87</v>
      </c>
      <c r="C1478">
        <v>580</v>
      </c>
      <c r="D1478" t="s">
        <v>171</v>
      </c>
      <c r="E1478" s="242">
        <v>42009</v>
      </c>
      <c r="F1478">
        <v>0</v>
      </c>
      <c r="G1478" t="b">
        <v>0</v>
      </c>
      <c r="H1478" t="s">
        <v>15</v>
      </c>
    </row>
    <row r="1479" spans="1:8">
      <c r="A1479" t="s">
        <v>162</v>
      </c>
      <c r="B1479" t="s">
        <v>87</v>
      </c>
      <c r="C1479">
        <v>580</v>
      </c>
      <c r="D1479" t="s">
        <v>171</v>
      </c>
      <c r="E1479" s="242">
        <v>41787.081250000003</v>
      </c>
      <c r="F1479">
        <v>0</v>
      </c>
      <c r="G1479" t="b">
        <v>0</v>
      </c>
      <c r="H1479" t="s">
        <v>15</v>
      </c>
    </row>
    <row r="1480" spans="1:8">
      <c r="A1480" t="s">
        <v>163</v>
      </c>
      <c r="B1480" t="s">
        <v>87</v>
      </c>
      <c r="C1480">
        <v>580</v>
      </c>
      <c r="D1480" t="s">
        <v>171</v>
      </c>
      <c r="E1480" s="242">
        <v>41928</v>
      </c>
      <c r="F1480">
        <v>0</v>
      </c>
      <c r="G1480" t="b">
        <v>0</v>
      </c>
      <c r="H1480" t="s">
        <v>15</v>
      </c>
    </row>
    <row r="1481" spans="1:8">
      <c r="A1481" t="s">
        <v>166</v>
      </c>
      <c r="B1481" t="s">
        <v>87</v>
      </c>
      <c r="C1481">
        <v>580</v>
      </c>
      <c r="D1481" t="s">
        <v>171</v>
      </c>
      <c r="E1481" s="242">
        <v>42115.577777777777</v>
      </c>
      <c r="F1481">
        <v>0</v>
      </c>
      <c r="G1481" t="b">
        <v>0</v>
      </c>
      <c r="H1481" t="s">
        <v>15</v>
      </c>
    </row>
    <row r="1482" spans="1:8">
      <c r="A1482" t="s">
        <v>149</v>
      </c>
      <c r="B1482" t="s">
        <v>87</v>
      </c>
      <c r="C1482">
        <v>580</v>
      </c>
      <c r="D1482" t="s">
        <v>171</v>
      </c>
      <c r="E1482" s="242">
        <v>42069.569444444445</v>
      </c>
      <c r="F1482">
        <v>0</v>
      </c>
      <c r="G1482" t="b">
        <v>0</v>
      </c>
      <c r="H1482" t="s">
        <v>15</v>
      </c>
    </row>
    <row r="1483" spans="1:8">
      <c r="A1483" t="s">
        <v>150</v>
      </c>
      <c r="B1483" t="s">
        <v>87</v>
      </c>
      <c r="C1483">
        <v>580</v>
      </c>
      <c r="D1483" t="s">
        <v>171</v>
      </c>
      <c r="E1483" s="242">
        <v>42008.474305555559</v>
      </c>
      <c r="F1483">
        <v>0</v>
      </c>
      <c r="G1483" t="b">
        <v>0</v>
      </c>
      <c r="H1483" t="s">
        <v>15</v>
      </c>
    </row>
    <row r="1484" spans="1:8">
      <c r="A1484" t="s">
        <v>151</v>
      </c>
      <c r="B1484" t="s">
        <v>87</v>
      </c>
      <c r="C1484">
        <v>580</v>
      </c>
      <c r="D1484" t="s">
        <v>171</v>
      </c>
      <c r="E1484" s="242">
        <v>42031.497916666667</v>
      </c>
      <c r="F1484">
        <v>0</v>
      </c>
      <c r="G1484" t="b">
        <v>0</v>
      </c>
      <c r="H1484" t="s">
        <v>15</v>
      </c>
    </row>
    <row r="1485" spans="1:8">
      <c r="A1485" t="s">
        <v>152</v>
      </c>
      <c r="B1485" t="s">
        <v>87</v>
      </c>
      <c r="C1485">
        <v>580</v>
      </c>
      <c r="D1485" t="s">
        <v>171</v>
      </c>
      <c r="E1485" s="242">
        <v>42047.323611111111</v>
      </c>
      <c r="F1485">
        <v>0</v>
      </c>
      <c r="G1485" t="b">
        <v>0</v>
      </c>
      <c r="H1485" t="s">
        <v>15</v>
      </c>
    </row>
    <row r="1486" spans="1:8">
      <c r="A1486" t="s">
        <v>145</v>
      </c>
      <c r="B1486" t="s">
        <v>87</v>
      </c>
      <c r="C1486">
        <v>580</v>
      </c>
      <c r="D1486" t="s">
        <v>171</v>
      </c>
      <c r="E1486" s="242">
        <v>41969</v>
      </c>
      <c r="F1486">
        <v>0</v>
      </c>
      <c r="G1486" t="b">
        <v>0</v>
      </c>
      <c r="H1486" t="s">
        <v>15</v>
      </c>
    </row>
    <row r="1487" spans="1:8">
      <c r="A1487" t="s">
        <v>167</v>
      </c>
      <c r="B1487" t="s">
        <v>87</v>
      </c>
      <c r="C1487">
        <v>580</v>
      </c>
      <c r="D1487" t="s">
        <v>171</v>
      </c>
      <c r="E1487" s="242">
        <v>41962</v>
      </c>
      <c r="F1487">
        <v>0</v>
      </c>
      <c r="G1487" t="b">
        <v>0</v>
      </c>
      <c r="H1487" t="s">
        <v>15</v>
      </c>
    </row>
    <row r="1488" spans="1:8">
      <c r="A1488" t="s">
        <v>153</v>
      </c>
      <c r="B1488" t="s">
        <v>87</v>
      </c>
      <c r="C1488">
        <v>580</v>
      </c>
      <c r="D1488" t="s">
        <v>171</v>
      </c>
      <c r="E1488" s="242">
        <v>41856.45416666667</v>
      </c>
      <c r="F1488">
        <v>0</v>
      </c>
      <c r="G1488" t="b">
        <v>0</v>
      </c>
      <c r="H1488" t="s">
        <v>15</v>
      </c>
    </row>
    <row r="1489" spans="1:8">
      <c r="A1489" t="s">
        <v>154</v>
      </c>
      <c r="B1489" t="s">
        <v>87</v>
      </c>
      <c r="C1489">
        <v>580</v>
      </c>
      <c r="D1489" t="s">
        <v>171</v>
      </c>
      <c r="E1489" s="242">
        <v>42104.25</v>
      </c>
      <c r="F1489">
        <v>0</v>
      </c>
      <c r="G1489" t="b">
        <v>0</v>
      </c>
      <c r="H1489" t="s">
        <v>15</v>
      </c>
    </row>
    <row r="1490" spans="1:8">
      <c r="A1490" t="s">
        <v>168</v>
      </c>
      <c r="B1490" t="s">
        <v>87</v>
      </c>
      <c r="C1490">
        <v>580</v>
      </c>
      <c r="D1490" t="s">
        <v>171</v>
      </c>
      <c r="E1490" s="242">
        <v>42088</v>
      </c>
      <c r="F1490">
        <v>0</v>
      </c>
      <c r="G1490" t="b">
        <v>0</v>
      </c>
      <c r="H1490" t="s">
        <v>15</v>
      </c>
    </row>
    <row r="1491" spans="1:8">
      <c r="A1491" t="s">
        <v>155</v>
      </c>
      <c r="B1491" t="s">
        <v>87</v>
      </c>
      <c r="C1491">
        <v>580</v>
      </c>
      <c r="D1491" t="s">
        <v>171</v>
      </c>
      <c r="E1491" s="242">
        <v>41747.613888888889</v>
      </c>
      <c r="F1491">
        <v>0</v>
      </c>
      <c r="G1491" t="b">
        <v>0</v>
      </c>
      <c r="H1491" t="s">
        <v>15</v>
      </c>
    </row>
    <row r="1492" spans="1:8">
      <c r="A1492" t="s">
        <v>156</v>
      </c>
      <c r="B1492" t="s">
        <v>87</v>
      </c>
      <c r="C1492">
        <v>580</v>
      </c>
      <c r="D1492" t="s">
        <v>171</v>
      </c>
      <c r="E1492" s="242">
        <v>42026</v>
      </c>
      <c r="F1492">
        <v>0</v>
      </c>
      <c r="G1492" t="b">
        <v>0</v>
      </c>
      <c r="H1492" t="s">
        <v>15</v>
      </c>
    </row>
    <row r="1493" spans="1:8">
      <c r="A1493" t="s">
        <v>157</v>
      </c>
      <c r="B1493" t="s">
        <v>87</v>
      </c>
      <c r="C1493">
        <v>580</v>
      </c>
      <c r="D1493" t="s">
        <v>171</v>
      </c>
      <c r="E1493" s="242">
        <v>42094</v>
      </c>
      <c r="F1493">
        <v>0</v>
      </c>
      <c r="G1493" t="b">
        <v>0</v>
      </c>
      <c r="H1493" t="s">
        <v>15</v>
      </c>
    </row>
    <row r="1494" spans="1:8">
      <c r="A1494" t="s">
        <v>169</v>
      </c>
      <c r="B1494" t="s">
        <v>87</v>
      </c>
      <c r="C1494">
        <v>580</v>
      </c>
      <c r="D1494" t="s">
        <v>171</v>
      </c>
      <c r="E1494" s="242">
        <v>42083.34652777778</v>
      </c>
      <c r="F1494">
        <v>0</v>
      </c>
      <c r="G1494" t="b">
        <v>0</v>
      </c>
      <c r="H1494" t="s">
        <v>15</v>
      </c>
    </row>
    <row r="1495" spans="1:8">
      <c r="A1495" t="s">
        <v>170</v>
      </c>
      <c r="B1495" t="s">
        <v>87</v>
      </c>
      <c r="C1495">
        <v>580</v>
      </c>
      <c r="D1495" t="s">
        <v>171</v>
      </c>
      <c r="E1495" s="242">
        <v>41977</v>
      </c>
      <c r="F1495">
        <v>0</v>
      </c>
      <c r="G1495" t="b">
        <v>0</v>
      </c>
      <c r="H1495" t="s">
        <v>15</v>
      </c>
    </row>
    <row r="1496" spans="1:8">
      <c r="A1496" t="s">
        <v>158</v>
      </c>
      <c r="B1496" t="s">
        <v>87</v>
      </c>
      <c r="C1496">
        <v>580</v>
      </c>
      <c r="D1496" t="s">
        <v>171</v>
      </c>
      <c r="E1496" s="242">
        <v>42091.417361111111</v>
      </c>
      <c r="F1496">
        <v>0</v>
      </c>
      <c r="G1496" t="b">
        <v>0</v>
      </c>
      <c r="H1496" t="s">
        <v>15</v>
      </c>
    </row>
    <row r="1497" spans="1:8">
      <c r="A1497" t="s">
        <v>159</v>
      </c>
      <c r="B1497" t="s">
        <v>87</v>
      </c>
      <c r="C1497">
        <v>580</v>
      </c>
      <c r="D1497" t="s">
        <v>171</v>
      </c>
      <c r="E1497" s="242">
        <v>41789.673611111109</v>
      </c>
      <c r="F1497">
        <v>0</v>
      </c>
      <c r="G1497" t="b">
        <v>0</v>
      </c>
      <c r="H1497" t="s">
        <v>15</v>
      </c>
    </row>
    <row r="1498" spans="1:8">
      <c r="A1498" t="s">
        <v>160</v>
      </c>
      <c r="B1498" t="s">
        <v>87</v>
      </c>
      <c r="C1498">
        <v>580</v>
      </c>
      <c r="D1498" t="s">
        <v>171</v>
      </c>
      <c r="E1498" s="242">
        <v>42067</v>
      </c>
      <c r="F1498">
        <v>0</v>
      </c>
      <c r="G1498" t="b">
        <v>0</v>
      </c>
      <c r="H1498" t="s">
        <v>15</v>
      </c>
    </row>
    <row r="1499" spans="1:8">
      <c r="A1499" t="s">
        <v>150</v>
      </c>
      <c r="B1499" t="s">
        <v>87</v>
      </c>
      <c r="C1499">
        <v>590</v>
      </c>
      <c r="D1499" t="s">
        <v>171</v>
      </c>
      <c r="E1499" s="242">
        <v>41968</v>
      </c>
      <c r="F1499">
        <v>0</v>
      </c>
      <c r="G1499" t="b">
        <v>0</v>
      </c>
      <c r="H1499" t="s">
        <v>15</v>
      </c>
    </row>
    <row r="1500" spans="1:8">
      <c r="A1500" t="s">
        <v>164</v>
      </c>
      <c r="B1500" t="s">
        <v>87</v>
      </c>
      <c r="C1500">
        <v>591</v>
      </c>
      <c r="D1500" t="s">
        <v>171</v>
      </c>
      <c r="E1500" s="242">
        <v>41944</v>
      </c>
      <c r="F1500">
        <v>0</v>
      </c>
      <c r="G1500" t="b">
        <v>0</v>
      </c>
      <c r="H1500" t="s">
        <v>15</v>
      </c>
    </row>
    <row r="1501" spans="1:8">
      <c r="A1501" t="s">
        <v>161</v>
      </c>
      <c r="B1501" t="s">
        <v>87</v>
      </c>
      <c r="C1501">
        <v>591</v>
      </c>
      <c r="D1501" t="s">
        <v>171</v>
      </c>
      <c r="E1501" s="242">
        <v>42074</v>
      </c>
      <c r="F1501">
        <v>0</v>
      </c>
      <c r="G1501" t="b">
        <v>0</v>
      </c>
      <c r="H1501" t="s">
        <v>15</v>
      </c>
    </row>
    <row r="1502" spans="1:8">
      <c r="A1502" t="s">
        <v>162</v>
      </c>
      <c r="B1502" t="s">
        <v>87</v>
      </c>
      <c r="C1502">
        <v>591</v>
      </c>
      <c r="D1502" t="s">
        <v>171</v>
      </c>
      <c r="E1502" s="242">
        <v>41901</v>
      </c>
      <c r="F1502">
        <v>0</v>
      </c>
      <c r="G1502" t="b">
        <v>0</v>
      </c>
      <c r="H1502" t="s">
        <v>15</v>
      </c>
    </row>
    <row r="1503" spans="1:8">
      <c r="A1503" t="s">
        <v>163</v>
      </c>
      <c r="B1503" t="s">
        <v>87</v>
      </c>
      <c r="C1503">
        <v>591</v>
      </c>
      <c r="D1503" t="s">
        <v>171</v>
      </c>
      <c r="E1503" s="242">
        <v>41913</v>
      </c>
      <c r="F1503">
        <v>0</v>
      </c>
      <c r="G1503" t="b">
        <v>0</v>
      </c>
      <c r="H1503" t="s">
        <v>15</v>
      </c>
    </row>
    <row r="1504" spans="1:8">
      <c r="A1504" t="s">
        <v>149</v>
      </c>
      <c r="B1504" t="s">
        <v>87</v>
      </c>
      <c r="C1504">
        <v>591</v>
      </c>
      <c r="D1504" t="s">
        <v>171</v>
      </c>
      <c r="E1504" s="242">
        <v>41901</v>
      </c>
      <c r="F1504">
        <v>0</v>
      </c>
      <c r="G1504" t="b">
        <v>0</v>
      </c>
      <c r="H1504" t="s">
        <v>15</v>
      </c>
    </row>
    <row r="1505" spans="1:8">
      <c r="A1505" t="s">
        <v>150</v>
      </c>
      <c r="B1505" t="s">
        <v>87</v>
      </c>
      <c r="C1505">
        <v>591</v>
      </c>
      <c r="D1505" t="s">
        <v>171</v>
      </c>
      <c r="E1505" s="242">
        <v>41968</v>
      </c>
      <c r="F1505">
        <v>0</v>
      </c>
      <c r="G1505" t="b">
        <v>0</v>
      </c>
      <c r="H1505" t="s">
        <v>15</v>
      </c>
    </row>
    <row r="1506" spans="1:8">
      <c r="A1506" t="s">
        <v>151</v>
      </c>
      <c r="B1506" t="s">
        <v>87</v>
      </c>
      <c r="C1506">
        <v>591</v>
      </c>
      <c r="D1506" t="s">
        <v>171</v>
      </c>
      <c r="E1506" s="242">
        <v>41901</v>
      </c>
      <c r="F1506">
        <v>0</v>
      </c>
      <c r="G1506" t="b">
        <v>0</v>
      </c>
      <c r="H1506" t="s">
        <v>15</v>
      </c>
    </row>
    <row r="1507" spans="1:8">
      <c r="A1507" t="s">
        <v>167</v>
      </c>
      <c r="B1507" t="s">
        <v>87</v>
      </c>
      <c r="C1507">
        <v>591</v>
      </c>
      <c r="D1507" t="s">
        <v>171</v>
      </c>
      <c r="E1507" s="242">
        <v>41901</v>
      </c>
      <c r="F1507">
        <v>0</v>
      </c>
      <c r="G1507" t="b">
        <v>0</v>
      </c>
      <c r="H1507" t="s">
        <v>15</v>
      </c>
    </row>
    <row r="1508" spans="1:8">
      <c r="A1508" t="s">
        <v>153</v>
      </c>
      <c r="B1508" t="s">
        <v>87</v>
      </c>
      <c r="C1508">
        <v>591</v>
      </c>
      <c r="D1508" t="s">
        <v>171</v>
      </c>
      <c r="E1508" s="242">
        <v>41901</v>
      </c>
      <c r="F1508">
        <v>0</v>
      </c>
      <c r="G1508" t="b">
        <v>0</v>
      </c>
      <c r="H1508" t="s">
        <v>15</v>
      </c>
    </row>
    <row r="1509" spans="1:8">
      <c r="A1509" t="s">
        <v>154</v>
      </c>
      <c r="B1509" t="s">
        <v>87</v>
      </c>
      <c r="C1509">
        <v>591</v>
      </c>
      <c r="D1509" t="s">
        <v>171</v>
      </c>
      <c r="E1509" s="242">
        <v>41759</v>
      </c>
      <c r="F1509">
        <v>0</v>
      </c>
      <c r="G1509" t="b">
        <v>0</v>
      </c>
      <c r="H1509" t="s">
        <v>15</v>
      </c>
    </row>
    <row r="1510" spans="1:8">
      <c r="A1510" t="s">
        <v>168</v>
      </c>
      <c r="B1510" t="s">
        <v>87</v>
      </c>
      <c r="C1510">
        <v>591</v>
      </c>
      <c r="D1510" t="s">
        <v>171</v>
      </c>
      <c r="E1510" s="242">
        <v>41901</v>
      </c>
      <c r="F1510">
        <v>0</v>
      </c>
      <c r="G1510" t="b">
        <v>0</v>
      </c>
      <c r="H1510" t="s">
        <v>15</v>
      </c>
    </row>
    <row r="1511" spans="1:8">
      <c r="A1511" t="s">
        <v>155</v>
      </c>
      <c r="B1511" t="s">
        <v>87</v>
      </c>
      <c r="C1511">
        <v>591</v>
      </c>
      <c r="D1511" t="s">
        <v>171</v>
      </c>
      <c r="E1511" s="242">
        <v>41901</v>
      </c>
      <c r="F1511">
        <v>0</v>
      </c>
      <c r="G1511" t="b">
        <v>0</v>
      </c>
      <c r="H1511" t="s">
        <v>15</v>
      </c>
    </row>
    <row r="1512" spans="1:8">
      <c r="A1512" t="s">
        <v>157</v>
      </c>
      <c r="B1512" t="s">
        <v>87</v>
      </c>
      <c r="C1512">
        <v>591</v>
      </c>
      <c r="D1512" t="s">
        <v>171</v>
      </c>
      <c r="E1512" s="242">
        <v>41901</v>
      </c>
      <c r="F1512">
        <v>0</v>
      </c>
      <c r="G1512" t="b">
        <v>0</v>
      </c>
      <c r="H1512" t="s">
        <v>15</v>
      </c>
    </row>
    <row r="1513" spans="1:8">
      <c r="A1513" t="s">
        <v>170</v>
      </c>
      <c r="B1513" t="s">
        <v>87</v>
      </c>
      <c r="C1513">
        <v>591</v>
      </c>
      <c r="D1513" t="s">
        <v>171</v>
      </c>
      <c r="E1513" s="242">
        <v>41969</v>
      </c>
      <c r="F1513">
        <v>0</v>
      </c>
      <c r="G1513" t="b">
        <v>0</v>
      </c>
      <c r="H1513" t="s">
        <v>15</v>
      </c>
    </row>
    <row r="1514" spans="1:8">
      <c r="A1514" t="s">
        <v>158</v>
      </c>
      <c r="B1514" t="s">
        <v>87</v>
      </c>
      <c r="C1514">
        <v>591</v>
      </c>
      <c r="D1514" t="s">
        <v>171</v>
      </c>
      <c r="E1514" s="242">
        <v>41901</v>
      </c>
      <c r="F1514">
        <v>0</v>
      </c>
      <c r="G1514" t="b">
        <v>0</v>
      </c>
      <c r="H1514" t="s">
        <v>15</v>
      </c>
    </row>
    <row r="1515" spans="1:8">
      <c r="A1515" t="s">
        <v>159</v>
      </c>
      <c r="B1515" t="s">
        <v>87</v>
      </c>
      <c r="C1515">
        <v>591</v>
      </c>
      <c r="D1515" t="s">
        <v>171</v>
      </c>
      <c r="E1515" s="242">
        <v>41901</v>
      </c>
      <c r="F1515">
        <v>0</v>
      </c>
      <c r="G1515" t="b">
        <v>0</v>
      </c>
      <c r="H1515" t="s">
        <v>15</v>
      </c>
    </row>
    <row r="1516" spans="1:8">
      <c r="A1516" t="s">
        <v>160</v>
      </c>
      <c r="B1516" t="s">
        <v>87</v>
      </c>
      <c r="C1516">
        <v>591</v>
      </c>
      <c r="D1516" t="s">
        <v>171</v>
      </c>
      <c r="E1516" s="242">
        <v>41901</v>
      </c>
      <c r="F1516">
        <v>0</v>
      </c>
      <c r="G1516" t="b">
        <v>0</v>
      </c>
      <c r="H1516" t="s">
        <v>15</v>
      </c>
    </row>
    <row r="1517" spans="1:8">
      <c r="A1517" t="s">
        <v>164</v>
      </c>
      <c r="B1517" t="s">
        <v>87</v>
      </c>
      <c r="C1517">
        <v>649</v>
      </c>
      <c r="D1517" t="s">
        <v>171</v>
      </c>
      <c r="E1517" s="242">
        <v>41767.676388888889</v>
      </c>
      <c r="F1517">
        <v>0</v>
      </c>
      <c r="G1517" t="b">
        <v>0</v>
      </c>
      <c r="H1517" t="s">
        <v>15</v>
      </c>
    </row>
    <row r="1518" spans="1:8">
      <c r="A1518" t="s">
        <v>161</v>
      </c>
      <c r="B1518" t="s">
        <v>87</v>
      </c>
      <c r="C1518">
        <v>649</v>
      </c>
      <c r="D1518" t="s">
        <v>171</v>
      </c>
      <c r="E1518" s="242">
        <v>41730</v>
      </c>
      <c r="F1518">
        <v>0</v>
      </c>
      <c r="G1518" t="b">
        <v>0</v>
      </c>
      <c r="H1518" t="s">
        <v>15</v>
      </c>
    </row>
    <row r="1519" spans="1:8">
      <c r="A1519" t="s">
        <v>165</v>
      </c>
      <c r="B1519" t="s">
        <v>87</v>
      </c>
      <c r="C1519">
        <v>649</v>
      </c>
      <c r="D1519" t="s">
        <v>171</v>
      </c>
      <c r="E1519" s="242">
        <v>42061</v>
      </c>
      <c r="F1519">
        <v>0</v>
      </c>
      <c r="G1519" t="b">
        <v>0</v>
      </c>
      <c r="H1519" t="s">
        <v>15</v>
      </c>
    </row>
    <row r="1520" spans="1:8">
      <c r="A1520" t="s">
        <v>148</v>
      </c>
      <c r="B1520" t="s">
        <v>87</v>
      </c>
      <c r="C1520">
        <v>649</v>
      </c>
      <c r="D1520" t="s">
        <v>171</v>
      </c>
      <c r="E1520" s="242">
        <v>41446</v>
      </c>
      <c r="G1520" t="b">
        <v>0</v>
      </c>
      <c r="H1520" t="s">
        <v>15</v>
      </c>
    </row>
    <row r="1521" spans="1:8">
      <c r="A1521" t="s">
        <v>162</v>
      </c>
      <c r="B1521" t="s">
        <v>87</v>
      </c>
      <c r="C1521">
        <v>649</v>
      </c>
      <c r="D1521" t="s">
        <v>171</v>
      </c>
      <c r="E1521" s="242">
        <v>41386</v>
      </c>
      <c r="F1521">
        <v>0</v>
      </c>
      <c r="G1521" t="b">
        <v>0</v>
      </c>
      <c r="H1521" t="s">
        <v>15</v>
      </c>
    </row>
    <row r="1522" spans="1:8">
      <c r="A1522" t="s">
        <v>163</v>
      </c>
      <c r="B1522" t="s">
        <v>87</v>
      </c>
      <c r="C1522">
        <v>649</v>
      </c>
      <c r="D1522" t="s">
        <v>171</v>
      </c>
      <c r="E1522" s="242">
        <v>41495</v>
      </c>
      <c r="G1522" t="b">
        <v>0</v>
      </c>
      <c r="H1522" t="s">
        <v>15</v>
      </c>
    </row>
    <row r="1523" spans="1:8">
      <c r="A1523" t="s">
        <v>166</v>
      </c>
      <c r="B1523" t="s">
        <v>87</v>
      </c>
      <c r="C1523">
        <v>649</v>
      </c>
      <c r="D1523" t="s">
        <v>171</v>
      </c>
      <c r="E1523" s="242">
        <v>41775</v>
      </c>
      <c r="F1523">
        <v>0</v>
      </c>
      <c r="G1523" t="b">
        <v>0</v>
      </c>
      <c r="H1523" t="s">
        <v>15</v>
      </c>
    </row>
    <row r="1524" spans="1:8">
      <c r="A1524" t="s">
        <v>149</v>
      </c>
      <c r="B1524" t="s">
        <v>87</v>
      </c>
      <c r="C1524">
        <v>649</v>
      </c>
      <c r="D1524" t="s">
        <v>171</v>
      </c>
      <c r="E1524" s="242">
        <v>42112.022916666669</v>
      </c>
      <c r="F1524">
        <v>0</v>
      </c>
      <c r="G1524" t="b">
        <v>0</v>
      </c>
      <c r="H1524" t="s">
        <v>15</v>
      </c>
    </row>
    <row r="1525" spans="1:8">
      <c r="A1525" t="s">
        <v>150</v>
      </c>
      <c r="B1525" t="s">
        <v>87</v>
      </c>
      <c r="C1525">
        <v>649</v>
      </c>
      <c r="D1525" t="s">
        <v>171</v>
      </c>
      <c r="E1525" s="242">
        <v>42082.648611111108</v>
      </c>
      <c r="F1525">
        <v>0</v>
      </c>
      <c r="G1525" t="b">
        <v>0</v>
      </c>
      <c r="H1525" t="s">
        <v>15</v>
      </c>
    </row>
    <row r="1526" spans="1:8">
      <c r="A1526" t="s">
        <v>151</v>
      </c>
      <c r="B1526" t="s">
        <v>87</v>
      </c>
      <c r="C1526">
        <v>649</v>
      </c>
      <c r="D1526" t="s">
        <v>171</v>
      </c>
      <c r="E1526" s="242">
        <v>41312</v>
      </c>
      <c r="F1526">
        <v>0</v>
      </c>
      <c r="G1526" t="b">
        <v>0</v>
      </c>
      <c r="H1526" t="s">
        <v>15</v>
      </c>
    </row>
    <row r="1527" spans="1:8">
      <c r="A1527" t="s">
        <v>152</v>
      </c>
      <c r="B1527" t="s">
        <v>87</v>
      </c>
      <c r="C1527">
        <v>649</v>
      </c>
      <c r="D1527" t="s">
        <v>171</v>
      </c>
      <c r="E1527" s="242">
        <v>42060.520138888889</v>
      </c>
      <c r="F1527">
        <v>0</v>
      </c>
      <c r="G1527" t="b">
        <v>0</v>
      </c>
      <c r="H1527" t="s">
        <v>15</v>
      </c>
    </row>
    <row r="1528" spans="1:8">
      <c r="A1528" t="s">
        <v>145</v>
      </c>
      <c r="B1528" t="s">
        <v>87</v>
      </c>
      <c r="C1528">
        <v>649</v>
      </c>
      <c r="D1528" t="s">
        <v>171</v>
      </c>
      <c r="E1528" s="242">
        <v>41977</v>
      </c>
      <c r="F1528">
        <v>0</v>
      </c>
      <c r="G1528" t="b">
        <v>0</v>
      </c>
      <c r="H1528" t="s">
        <v>15</v>
      </c>
    </row>
    <row r="1529" spans="1:8">
      <c r="A1529" t="s">
        <v>167</v>
      </c>
      <c r="B1529" t="s">
        <v>87</v>
      </c>
      <c r="C1529">
        <v>649</v>
      </c>
      <c r="D1529" t="s">
        <v>171</v>
      </c>
      <c r="E1529" s="242">
        <v>41984</v>
      </c>
      <c r="F1529">
        <v>0</v>
      </c>
      <c r="G1529" t="b">
        <v>0</v>
      </c>
      <c r="H1529" t="s">
        <v>15</v>
      </c>
    </row>
    <row r="1530" spans="1:8">
      <c r="A1530" t="s">
        <v>153</v>
      </c>
      <c r="B1530" t="s">
        <v>87</v>
      </c>
      <c r="C1530">
        <v>649</v>
      </c>
      <c r="D1530" t="s">
        <v>171</v>
      </c>
      <c r="E1530" s="242">
        <v>41353</v>
      </c>
      <c r="F1530">
        <v>0</v>
      </c>
      <c r="G1530" t="b">
        <v>0</v>
      </c>
      <c r="H1530" t="s">
        <v>15</v>
      </c>
    </row>
    <row r="1531" spans="1:8">
      <c r="A1531" t="s">
        <v>154</v>
      </c>
      <c r="B1531" t="s">
        <v>87</v>
      </c>
      <c r="C1531">
        <v>649</v>
      </c>
      <c r="D1531" t="s">
        <v>171</v>
      </c>
      <c r="E1531" s="242">
        <v>41752</v>
      </c>
      <c r="F1531">
        <v>0</v>
      </c>
      <c r="G1531" t="b">
        <v>0</v>
      </c>
      <c r="H1531" t="s">
        <v>15</v>
      </c>
    </row>
    <row r="1532" spans="1:8">
      <c r="A1532" t="s">
        <v>168</v>
      </c>
      <c r="B1532" t="s">
        <v>87</v>
      </c>
      <c r="C1532">
        <v>649</v>
      </c>
      <c r="D1532" t="s">
        <v>171</v>
      </c>
      <c r="E1532" s="242">
        <v>41726</v>
      </c>
      <c r="G1532" t="b">
        <v>0</v>
      </c>
      <c r="H1532" t="s">
        <v>15</v>
      </c>
    </row>
    <row r="1533" spans="1:8">
      <c r="A1533" t="s">
        <v>155</v>
      </c>
      <c r="B1533" t="s">
        <v>87</v>
      </c>
      <c r="C1533">
        <v>649</v>
      </c>
      <c r="D1533" t="s">
        <v>171</v>
      </c>
      <c r="E1533" s="242">
        <v>41379</v>
      </c>
      <c r="F1533">
        <v>0</v>
      </c>
      <c r="G1533" t="b">
        <v>0</v>
      </c>
      <c r="H1533" t="s">
        <v>15</v>
      </c>
    </row>
    <row r="1534" spans="1:8">
      <c r="A1534" t="s">
        <v>156</v>
      </c>
      <c r="B1534" t="s">
        <v>87</v>
      </c>
      <c r="C1534">
        <v>649</v>
      </c>
      <c r="D1534" t="s">
        <v>171</v>
      </c>
      <c r="E1534" s="242">
        <v>42026</v>
      </c>
      <c r="F1534">
        <v>0</v>
      </c>
      <c r="G1534" t="b">
        <v>0</v>
      </c>
      <c r="H1534" t="s">
        <v>15</v>
      </c>
    </row>
    <row r="1535" spans="1:8">
      <c r="A1535" t="s">
        <v>157</v>
      </c>
      <c r="B1535" t="s">
        <v>87</v>
      </c>
      <c r="C1535">
        <v>649</v>
      </c>
      <c r="D1535" t="s">
        <v>171</v>
      </c>
      <c r="E1535" s="242">
        <v>41733</v>
      </c>
      <c r="F1535">
        <v>0</v>
      </c>
      <c r="G1535" t="b">
        <v>0</v>
      </c>
      <c r="H1535" t="s">
        <v>15</v>
      </c>
    </row>
    <row r="1536" spans="1:8">
      <c r="A1536" t="s">
        <v>169</v>
      </c>
      <c r="B1536" t="s">
        <v>87</v>
      </c>
      <c r="C1536">
        <v>649</v>
      </c>
      <c r="D1536" t="s">
        <v>171</v>
      </c>
      <c r="E1536" s="242">
        <v>42091</v>
      </c>
      <c r="F1536">
        <v>0</v>
      </c>
      <c r="G1536" t="b">
        <v>0</v>
      </c>
      <c r="H1536" t="s">
        <v>15</v>
      </c>
    </row>
    <row r="1537" spans="1:8">
      <c r="A1537" t="s">
        <v>170</v>
      </c>
      <c r="B1537" t="s">
        <v>87</v>
      </c>
      <c r="C1537">
        <v>649</v>
      </c>
      <c r="D1537" t="s">
        <v>171</v>
      </c>
      <c r="E1537" s="242">
        <v>42007</v>
      </c>
      <c r="F1537">
        <v>0</v>
      </c>
      <c r="G1537" t="b">
        <v>0</v>
      </c>
      <c r="H1537" t="s">
        <v>15</v>
      </c>
    </row>
    <row r="1538" spans="1:8">
      <c r="A1538" t="s">
        <v>158</v>
      </c>
      <c r="B1538" t="s">
        <v>87</v>
      </c>
      <c r="C1538">
        <v>649</v>
      </c>
      <c r="D1538" t="s">
        <v>171</v>
      </c>
      <c r="E1538" s="242">
        <v>41402</v>
      </c>
      <c r="F1538">
        <v>0</v>
      </c>
      <c r="G1538" t="b">
        <v>0</v>
      </c>
      <c r="H1538" t="s">
        <v>15</v>
      </c>
    </row>
    <row r="1539" spans="1:8">
      <c r="A1539" t="s">
        <v>159</v>
      </c>
      <c r="B1539" t="s">
        <v>87</v>
      </c>
      <c r="C1539">
        <v>649</v>
      </c>
      <c r="D1539" t="s">
        <v>171</v>
      </c>
      <c r="E1539" s="242">
        <v>41414</v>
      </c>
      <c r="F1539">
        <v>0</v>
      </c>
      <c r="G1539" t="b">
        <v>0</v>
      </c>
      <c r="H1539" t="s">
        <v>15</v>
      </c>
    </row>
    <row r="1540" spans="1:8">
      <c r="A1540" t="s">
        <v>160</v>
      </c>
      <c r="B1540" t="s">
        <v>87</v>
      </c>
      <c r="C1540">
        <v>649</v>
      </c>
      <c r="D1540" t="s">
        <v>171</v>
      </c>
      <c r="E1540" s="242">
        <v>41733</v>
      </c>
      <c r="F1540">
        <v>0</v>
      </c>
      <c r="G1540" t="b">
        <v>0</v>
      </c>
      <c r="H1540" t="s">
        <v>15</v>
      </c>
    </row>
    <row r="1541" spans="1:8">
      <c r="A1541" t="s">
        <v>165</v>
      </c>
      <c r="B1541" t="s">
        <v>87</v>
      </c>
      <c r="C1541">
        <v>674</v>
      </c>
      <c r="D1541" t="s">
        <v>171</v>
      </c>
      <c r="E1541" s="242">
        <v>41969</v>
      </c>
      <c r="F1541">
        <v>0</v>
      </c>
      <c r="G1541" t="b">
        <v>0</v>
      </c>
      <c r="H1541" t="s">
        <v>15</v>
      </c>
    </row>
    <row r="1542" spans="1:8">
      <c r="A1542" t="s">
        <v>148</v>
      </c>
      <c r="B1542" t="s">
        <v>87</v>
      </c>
      <c r="C1542">
        <v>674</v>
      </c>
      <c r="D1542" t="s">
        <v>171</v>
      </c>
      <c r="E1542" s="242">
        <v>41214</v>
      </c>
      <c r="G1542" t="b">
        <v>0</v>
      </c>
      <c r="H1542" t="s">
        <v>15</v>
      </c>
    </row>
    <row r="1543" spans="1:8">
      <c r="A1543" t="s">
        <v>166</v>
      </c>
      <c r="B1543" t="s">
        <v>87</v>
      </c>
      <c r="C1543">
        <v>674</v>
      </c>
      <c r="D1543" t="s">
        <v>171</v>
      </c>
      <c r="E1543" s="242">
        <v>41793</v>
      </c>
      <c r="F1543">
        <v>0</v>
      </c>
      <c r="G1543" t="b">
        <v>0</v>
      </c>
      <c r="H1543" t="s">
        <v>15</v>
      </c>
    </row>
    <row r="1544" spans="1:8">
      <c r="A1544" t="s">
        <v>145</v>
      </c>
      <c r="B1544" t="s">
        <v>87</v>
      </c>
      <c r="C1544">
        <v>674</v>
      </c>
      <c r="D1544" t="s">
        <v>171</v>
      </c>
      <c r="E1544" s="242">
        <v>41969</v>
      </c>
      <c r="F1544">
        <v>0</v>
      </c>
      <c r="G1544" t="b">
        <v>0</v>
      </c>
      <c r="H1544" t="s">
        <v>15</v>
      </c>
    </row>
    <row r="1545" spans="1:8">
      <c r="A1545" t="s">
        <v>154</v>
      </c>
      <c r="B1545" t="s">
        <v>87</v>
      </c>
      <c r="C1545">
        <v>674</v>
      </c>
      <c r="D1545" t="s">
        <v>171</v>
      </c>
      <c r="E1545" s="242">
        <v>41759</v>
      </c>
      <c r="F1545">
        <v>0</v>
      </c>
      <c r="G1545" t="b">
        <v>0</v>
      </c>
      <c r="H1545" t="s">
        <v>15</v>
      </c>
    </row>
    <row r="1546" spans="1:8">
      <c r="A1546" t="s">
        <v>168</v>
      </c>
      <c r="B1546" t="s">
        <v>87</v>
      </c>
      <c r="C1546">
        <v>674</v>
      </c>
      <c r="D1546" t="s">
        <v>171</v>
      </c>
      <c r="E1546" s="242">
        <v>41793</v>
      </c>
      <c r="F1546">
        <v>0</v>
      </c>
      <c r="G1546" t="b">
        <v>0</v>
      </c>
      <c r="H1546" t="s">
        <v>15</v>
      </c>
    </row>
    <row r="1547" spans="1:8">
      <c r="A1547" t="s">
        <v>157</v>
      </c>
      <c r="B1547" t="s">
        <v>87</v>
      </c>
      <c r="C1547">
        <v>674</v>
      </c>
      <c r="D1547" t="s">
        <v>171</v>
      </c>
      <c r="E1547" s="242">
        <v>41758</v>
      </c>
      <c r="F1547">
        <v>0</v>
      </c>
      <c r="G1547" t="b">
        <v>0</v>
      </c>
      <c r="H1547" t="s">
        <v>15</v>
      </c>
    </row>
    <row r="1548" spans="1:8">
      <c r="A1548" t="s">
        <v>160</v>
      </c>
      <c r="B1548" t="s">
        <v>87</v>
      </c>
      <c r="C1548">
        <v>674</v>
      </c>
      <c r="D1548" t="s">
        <v>171</v>
      </c>
      <c r="E1548" s="242">
        <v>41757</v>
      </c>
      <c r="F1548">
        <v>0</v>
      </c>
      <c r="G1548" t="b">
        <v>0</v>
      </c>
      <c r="H1548" t="s">
        <v>15</v>
      </c>
    </row>
    <row r="1549" spans="1:8">
      <c r="A1549" t="s">
        <v>165</v>
      </c>
      <c r="B1549" t="s">
        <v>87</v>
      </c>
      <c r="C1549">
        <v>675</v>
      </c>
      <c r="D1549" t="s">
        <v>171</v>
      </c>
      <c r="E1549" s="242">
        <v>41969</v>
      </c>
      <c r="F1549">
        <v>0</v>
      </c>
      <c r="G1549" t="b">
        <v>0</v>
      </c>
      <c r="H1549" t="s">
        <v>15</v>
      </c>
    </row>
    <row r="1550" spans="1:8">
      <c r="A1550" t="s">
        <v>148</v>
      </c>
      <c r="B1550" t="s">
        <v>87</v>
      </c>
      <c r="C1550">
        <v>675</v>
      </c>
      <c r="D1550" t="s">
        <v>171</v>
      </c>
      <c r="E1550" s="242">
        <v>41214</v>
      </c>
      <c r="G1550" t="b">
        <v>0</v>
      </c>
      <c r="H1550" t="s">
        <v>15</v>
      </c>
    </row>
    <row r="1551" spans="1:8">
      <c r="A1551" t="s">
        <v>166</v>
      </c>
      <c r="B1551" t="s">
        <v>87</v>
      </c>
      <c r="C1551">
        <v>675</v>
      </c>
      <c r="D1551" t="s">
        <v>171</v>
      </c>
      <c r="E1551" s="242">
        <v>41793</v>
      </c>
      <c r="F1551">
        <v>0</v>
      </c>
      <c r="G1551" t="b">
        <v>0</v>
      </c>
      <c r="H1551" t="s">
        <v>15</v>
      </c>
    </row>
    <row r="1552" spans="1:8">
      <c r="A1552" t="s">
        <v>145</v>
      </c>
      <c r="B1552" t="s">
        <v>87</v>
      </c>
      <c r="C1552">
        <v>675</v>
      </c>
      <c r="D1552" t="s">
        <v>171</v>
      </c>
      <c r="E1552" s="242">
        <v>41969</v>
      </c>
      <c r="F1552">
        <v>0</v>
      </c>
      <c r="G1552" t="b">
        <v>0</v>
      </c>
      <c r="H1552" t="s">
        <v>15</v>
      </c>
    </row>
    <row r="1553" spans="1:8">
      <c r="A1553" t="s">
        <v>154</v>
      </c>
      <c r="B1553" t="s">
        <v>87</v>
      </c>
      <c r="C1553">
        <v>675</v>
      </c>
      <c r="D1553" t="s">
        <v>171</v>
      </c>
      <c r="E1553" s="242">
        <v>41759</v>
      </c>
      <c r="F1553">
        <v>0</v>
      </c>
      <c r="G1553" t="b">
        <v>0</v>
      </c>
      <c r="H1553" t="s">
        <v>15</v>
      </c>
    </row>
    <row r="1554" spans="1:8">
      <c r="A1554" t="s">
        <v>168</v>
      </c>
      <c r="B1554" t="s">
        <v>87</v>
      </c>
      <c r="C1554">
        <v>675</v>
      </c>
      <c r="D1554" t="s">
        <v>171</v>
      </c>
      <c r="E1554" s="242">
        <v>41793</v>
      </c>
      <c r="F1554">
        <v>0</v>
      </c>
      <c r="G1554" t="b">
        <v>0</v>
      </c>
      <c r="H1554" t="s">
        <v>15</v>
      </c>
    </row>
    <row r="1555" spans="1:8">
      <c r="A1555" t="s">
        <v>157</v>
      </c>
      <c r="B1555" t="s">
        <v>87</v>
      </c>
      <c r="C1555">
        <v>675</v>
      </c>
      <c r="D1555" t="s">
        <v>171</v>
      </c>
      <c r="E1555" s="242">
        <v>41758</v>
      </c>
      <c r="F1555">
        <v>0</v>
      </c>
      <c r="G1555" t="b">
        <v>0</v>
      </c>
      <c r="H1555" t="s">
        <v>15</v>
      </c>
    </row>
    <row r="1556" spans="1:8">
      <c r="A1556" t="s">
        <v>160</v>
      </c>
      <c r="B1556" t="s">
        <v>87</v>
      </c>
      <c r="C1556">
        <v>675</v>
      </c>
      <c r="D1556" t="s">
        <v>171</v>
      </c>
      <c r="E1556" s="242">
        <v>41757</v>
      </c>
      <c r="F1556">
        <v>0</v>
      </c>
      <c r="G1556" t="b">
        <v>0</v>
      </c>
      <c r="H1556" t="s">
        <v>15</v>
      </c>
    </row>
    <row r="1557" spans="1:8">
      <c r="A1557" t="s">
        <v>165</v>
      </c>
      <c r="B1557" t="s">
        <v>87</v>
      </c>
      <c r="C1557">
        <v>676</v>
      </c>
      <c r="D1557" t="s">
        <v>171</v>
      </c>
      <c r="E1557" s="242">
        <v>41969</v>
      </c>
      <c r="F1557">
        <v>0</v>
      </c>
      <c r="G1557" t="b">
        <v>0</v>
      </c>
      <c r="H1557" t="s">
        <v>15</v>
      </c>
    </row>
    <row r="1558" spans="1:8">
      <c r="A1558" t="s">
        <v>148</v>
      </c>
      <c r="B1558" t="s">
        <v>87</v>
      </c>
      <c r="C1558">
        <v>676</v>
      </c>
      <c r="D1558" t="s">
        <v>171</v>
      </c>
      <c r="E1558" s="242">
        <v>41214</v>
      </c>
      <c r="G1558" t="b">
        <v>0</v>
      </c>
      <c r="H1558" t="s">
        <v>15</v>
      </c>
    </row>
    <row r="1559" spans="1:8">
      <c r="A1559" t="s">
        <v>166</v>
      </c>
      <c r="B1559" t="s">
        <v>87</v>
      </c>
      <c r="C1559">
        <v>676</v>
      </c>
      <c r="D1559" t="s">
        <v>171</v>
      </c>
      <c r="E1559" s="242">
        <v>41793</v>
      </c>
      <c r="F1559">
        <v>0</v>
      </c>
      <c r="G1559" t="b">
        <v>0</v>
      </c>
      <c r="H1559" t="s">
        <v>15</v>
      </c>
    </row>
    <row r="1560" spans="1:8">
      <c r="A1560" t="s">
        <v>145</v>
      </c>
      <c r="B1560" t="s">
        <v>87</v>
      </c>
      <c r="C1560">
        <v>676</v>
      </c>
      <c r="D1560" t="s">
        <v>171</v>
      </c>
      <c r="E1560" s="242">
        <v>41969</v>
      </c>
      <c r="F1560">
        <v>0</v>
      </c>
      <c r="G1560" t="b">
        <v>0</v>
      </c>
      <c r="H1560" t="s">
        <v>15</v>
      </c>
    </row>
    <row r="1561" spans="1:8">
      <c r="A1561" t="s">
        <v>154</v>
      </c>
      <c r="B1561" t="s">
        <v>87</v>
      </c>
      <c r="C1561">
        <v>676</v>
      </c>
      <c r="D1561" t="s">
        <v>171</v>
      </c>
      <c r="E1561" s="242">
        <v>41759</v>
      </c>
      <c r="F1561">
        <v>0</v>
      </c>
      <c r="G1561" t="b">
        <v>0</v>
      </c>
      <c r="H1561" t="s">
        <v>15</v>
      </c>
    </row>
    <row r="1562" spans="1:8">
      <c r="A1562" t="s">
        <v>168</v>
      </c>
      <c r="B1562" t="s">
        <v>87</v>
      </c>
      <c r="C1562">
        <v>676</v>
      </c>
      <c r="D1562" t="s">
        <v>171</v>
      </c>
      <c r="E1562" s="242">
        <v>41793</v>
      </c>
      <c r="F1562">
        <v>0</v>
      </c>
      <c r="G1562" t="b">
        <v>0</v>
      </c>
      <c r="H1562" t="s">
        <v>15</v>
      </c>
    </row>
    <row r="1563" spans="1:8">
      <c r="A1563" t="s">
        <v>157</v>
      </c>
      <c r="B1563" t="s">
        <v>87</v>
      </c>
      <c r="C1563">
        <v>676</v>
      </c>
      <c r="D1563" t="s">
        <v>171</v>
      </c>
      <c r="E1563" s="242">
        <v>41758</v>
      </c>
      <c r="F1563">
        <v>0</v>
      </c>
      <c r="G1563" t="b">
        <v>0</v>
      </c>
      <c r="H1563" t="s">
        <v>15</v>
      </c>
    </row>
    <row r="1564" spans="1:8">
      <c r="A1564" t="s">
        <v>160</v>
      </c>
      <c r="B1564" t="s">
        <v>87</v>
      </c>
      <c r="C1564">
        <v>676</v>
      </c>
      <c r="D1564" t="s">
        <v>171</v>
      </c>
      <c r="E1564" s="242">
        <v>41757</v>
      </c>
      <c r="F1564">
        <v>0</v>
      </c>
      <c r="G1564" t="b">
        <v>0</v>
      </c>
      <c r="H1564" t="s">
        <v>15</v>
      </c>
    </row>
    <row r="1565" spans="1:8">
      <c r="A1565" t="s">
        <v>165</v>
      </c>
      <c r="B1565" t="s">
        <v>87</v>
      </c>
      <c r="C1565">
        <v>677</v>
      </c>
      <c r="D1565" t="s">
        <v>171</v>
      </c>
      <c r="E1565" s="242">
        <v>41969</v>
      </c>
      <c r="F1565">
        <v>0</v>
      </c>
      <c r="G1565" t="b">
        <v>0</v>
      </c>
      <c r="H1565" t="s">
        <v>15</v>
      </c>
    </row>
    <row r="1566" spans="1:8">
      <c r="A1566" t="s">
        <v>148</v>
      </c>
      <c r="B1566" t="s">
        <v>87</v>
      </c>
      <c r="C1566">
        <v>677</v>
      </c>
      <c r="D1566" t="s">
        <v>171</v>
      </c>
      <c r="E1566" s="242">
        <v>41214</v>
      </c>
      <c r="G1566" t="b">
        <v>0</v>
      </c>
      <c r="H1566" t="s">
        <v>15</v>
      </c>
    </row>
    <row r="1567" spans="1:8">
      <c r="A1567" t="s">
        <v>166</v>
      </c>
      <c r="B1567" t="s">
        <v>87</v>
      </c>
      <c r="C1567">
        <v>677</v>
      </c>
      <c r="D1567" t="s">
        <v>171</v>
      </c>
      <c r="E1567" s="242">
        <v>41793</v>
      </c>
      <c r="F1567">
        <v>0</v>
      </c>
      <c r="G1567" t="b">
        <v>0</v>
      </c>
      <c r="H1567" t="s">
        <v>15</v>
      </c>
    </row>
    <row r="1568" spans="1:8">
      <c r="A1568" t="s">
        <v>145</v>
      </c>
      <c r="B1568" t="s">
        <v>87</v>
      </c>
      <c r="C1568">
        <v>677</v>
      </c>
      <c r="D1568" t="s">
        <v>171</v>
      </c>
      <c r="E1568" s="242">
        <v>41969</v>
      </c>
      <c r="F1568">
        <v>0</v>
      </c>
      <c r="G1568" t="b">
        <v>0</v>
      </c>
      <c r="H1568" t="s">
        <v>15</v>
      </c>
    </row>
    <row r="1569" spans="1:8">
      <c r="A1569" t="s">
        <v>154</v>
      </c>
      <c r="B1569" t="s">
        <v>87</v>
      </c>
      <c r="C1569">
        <v>677</v>
      </c>
      <c r="D1569" t="s">
        <v>171</v>
      </c>
      <c r="E1569" s="242">
        <v>41759</v>
      </c>
      <c r="F1569">
        <v>0</v>
      </c>
      <c r="G1569" t="b">
        <v>0</v>
      </c>
      <c r="H1569" t="s">
        <v>15</v>
      </c>
    </row>
    <row r="1570" spans="1:8">
      <c r="A1570" t="s">
        <v>168</v>
      </c>
      <c r="B1570" t="s">
        <v>87</v>
      </c>
      <c r="C1570">
        <v>677</v>
      </c>
      <c r="D1570" t="s">
        <v>171</v>
      </c>
      <c r="E1570" s="242">
        <v>41793</v>
      </c>
      <c r="F1570">
        <v>0</v>
      </c>
      <c r="G1570" t="b">
        <v>0</v>
      </c>
      <c r="H1570" t="s">
        <v>15</v>
      </c>
    </row>
    <row r="1571" spans="1:8">
      <c r="A1571" t="s">
        <v>157</v>
      </c>
      <c r="B1571" t="s">
        <v>87</v>
      </c>
      <c r="C1571">
        <v>677</v>
      </c>
      <c r="D1571" t="s">
        <v>171</v>
      </c>
      <c r="E1571" s="242">
        <v>41758</v>
      </c>
      <c r="F1571">
        <v>0</v>
      </c>
      <c r="G1571" t="b">
        <v>0</v>
      </c>
      <c r="H1571" t="s">
        <v>15</v>
      </c>
    </row>
    <row r="1572" spans="1:8">
      <c r="A1572" t="s">
        <v>160</v>
      </c>
      <c r="B1572" t="s">
        <v>87</v>
      </c>
      <c r="C1572">
        <v>677</v>
      </c>
      <c r="D1572" t="s">
        <v>171</v>
      </c>
      <c r="E1572" s="242">
        <v>41757</v>
      </c>
      <c r="F1572">
        <v>0</v>
      </c>
      <c r="G1572" t="b">
        <v>0</v>
      </c>
      <c r="H1572" t="s">
        <v>15</v>
      </c>
    </row>
    <row r="1573" spans="1:8">
      <c r="A1573" t="s">
        <v>165</v>
      </c>
      <c r="B1573" t="s">
        <v>87</v>
      </c>
      <c r="C1573">
        <v>678</v>
      </c>
      <c r="D1573" t="s">
        <v>171</v>
      </c>
      <c r="E1573" s="242">
        <v>41969</v>
      </c>
      <c r="F1573">
        <v>0</v>
      </c>
      <c r="G1573" t="b">
        <v>0</v>
      </c>
      <c r="H1573" t="s">
        <v>15</v>
      </c>
    </row>
    <row r="1574" spans="1:8">
      <c r="A1574" t="s">
        <v>148</v>
      </c>
      <c r="B1574" t="s">
        <v>87</v>
      </c>
      <c r="C1574">
        <v>678</v>
      </c>
      <c r="D1574" t="s">
        <v>171</v>
      </c>
      <c r="E1574" s="242">
        <v>41214</v>
      </c>
      <c r="G1574" t="b">
        <v>0</v>
      </c>
      <c r="H1574" t="s">
        <v>15</v>
      </c>
    </row>
    <row r="1575" spans="1:8">
      <c r="A1575" t="s">
        <v>166</v>
      </c>
      <c r="B1575" t="s">
        <v>87</v>
      </c>
      <c r="C1575">
        <v>678</v>
      </c>
      <c r="D1575" t="s">
        <v>171</v>
      </c>
      <c r="E1575" s="242">
        <v>41793</v>
      </c>
      <c r="F1575">
        <v>0</v>
      </c>
      <c r="G1575" t="b">
        <v>0</v>
      </c>
      <c r="H1575" t="s">
        <v>15</v>
      </c>
    </row>
    <row r="1576" spans="1:8">
      <c r="A1576" t="s">
        <v>145</v>
      </c>
      <c r="B1576" t="s">
        <v>87</v>
      </c>
      <c r="C1576">
        <v>678</v>
      </c>
      <c r="D1576" t="s">
        <v>171</v>
      </c>
      <c r="E1576" s="242">
        <v>41969</v>
      </c>
      <c r="F1576">
        <v>0</v>
      </c>
      <c r="G1576" t="b">
        <v>0</v>
      </c>
      <c r="H1576" t="s">
        <v>15</v>
      </c>
    </row>
    <row r="1577" spans="1:8">
      <c r="A1577" t="s">
        <v>154</v>
      </c>
      <c r="B1577" t="s">
        <v>87</v>
      </c>
      <c r="C1577">
        <v>678</v>
      </c>
      <c r="D1577" t="s">
        <v>171</v>
      </c>
      <c r="E1577" s="242">
        <v>41759</v>
      </c>
      <c r="F1577">
        <v>0</v>
      </c>
      <c r="G1577" t="b">
        <v>0</v>
      </c>
      <c r="H1577" t="s">
        <v>15</v>
      </c>
    </row>
    <row r="1578" spans="1:8">
      <c r="A1578" t="s">
        <v>168</v>
      </c>
      <c r="B1578" t="s">
        <v>87</v>
      </c>
      <c r="C1578">
        <v>678</v>
      </c>
      <c r="D1578" t="s">
        <v>171</v>
      </c>
      <c r="E1578" s="242">
        <v>41793</v>
      </c>
      <c r="F1578">
        <v>0</v>
      </c>
      <c r="G1578" t="b">
        <v>0</v>
      </c>
      <c r="H1578" t="s">
        <v>15</v>
      </c>
    </row>
    <row r="1579" spans="1:8">
      <c r="A1579" t="s">
        <v>157</v>
      </c>
      <c r="B1579" t="s">
        <v>87</v>
      </c>
      <c r="C1579">
        <v>678</v>
      </c>
      <c r="D1579" t="s">
        <v>171</v>
      </c>
      <c r="E1579" s="242">
        <v>41758</v>
      </c>
      <c r="F1579">
        <v>0</v>
      </c>
      <c r="G1579" t="b">
        <v>0</v>
      </c>
      <c r="H1579" t="s">
        <v>15</v>
      </c>
    </row>
    <row r="1580" spans="1:8">
      <c r="A1580" t="s">
        <v>160</v>
      </c>
      <c r="B1580" t="s">
        <v>87</v>
      </c>
      <c r="C1580">
        <v>678</v>
      </c>
      <c r="D1580" t="s">
        <v>171</v>
      </c>
      <c r="E1580" s="242">
        <v>41757</v>
      </c>
      <c r="F1580">
        <v>0</v>
      </c>
      <c r="G1580" t="b">
        <v>0</v>
      </c>
      <c r="H1580" t="s">
        <v>15</v>
      </c>
    </row>
    <row r="1581" spans="1:8">
      <c r="A1581" t="s">
        <v>165</v>
      </c>
      <c r="B1581" t="s">
        <v>87</v>
      </c>
      <c r="C1581">
        <v>679</v>
      </c>
      <c r="D1581" t="s">
        <v>171</v>
      </c>
      <c r="E1581" s="242">
        <v>41969</v>
      </c>
      <c r="F1581">
        <v>0</v>
      </c>
      <c r="G1581" t="b">
        <v>0</v>
      </c>
      <c r="H1581" t="s">
        <v>15</v>
      </c>
    </row>
    <row r="1582" spans="1:8">
      <c r="A1582" t="s">
        <v>148</v>
      </c>
      <c r="B1582" t="s">
        <v>87</v>
      </c>
      <c r="C1582">
        <v>679</v>
      </c>
      <c r="D1582" t="s">
        <v>171</v>
      </c>
      <c r="E1582" s="242">
        <v>41214</v>
      </c>
      <c r="G1582" t="b">
        <v>0</v>
      </c>
      <c r="H1582" t="s">
        <v>15</v>
      </c>
    </row>
    <row r="1583" spans="1:8">
      <c r="A1583" t="s">
        <v>166</v>
      </c>
      <c r="B1583" t="s">
        <v>87</v>
      </c>
      <c r="C1583">
        <v>679</v>
      </c>
      <c r="D1583" t="s">
        <v>171</v>
      </c>
      <c r="E1583" s="242">
        <v>41793</v>
      </c>
      <c r="F1583">
        <v>0</v>
      </c>
      <c r="G1583" t="b">
        <v>0</v>
      </c>
      <c r="H1583" t="s">
        <v>15</v>
      </c>
    </row>
    <row r="1584" spans="1:8">
      <c r="A1584" t="s">
        <v>145</v>
      </c>
      <c r="B1584" t="s">
        <v>87</v>
      </c>
      <c r="C1584">
        <v>679</v>
      </c>
      <c r="D1584" t="s">
        <v>171</v>
      </c>
      <c r="E1584" s="242">
        <v>41969</v>
      </c>
      <c r="F1584">
        <v>0</v>
      </c>
      <c r="G1584" t="b">
        <v>0</v>
      </c>
      <c r="H1584" t="s">
        <v>15</v>
      </c>
    </row>
    <row r="1585" spans="1:8">
      <c r="A1585" t="s">
        <v>154</v>
      </c>
      <c r="B1585" t="s">
        <v>87</v>
      </c>
      <c r="C1585">
        <v>679</v>
      </c>
      <c r="D1585" t="s">
        <v>171</v>
      </c>
      <c r="E1585" s="242">
        <v>41759</v>
      </c>
      <c r="F1585">
        <v>0</v>
      </c>
      <c r="G1585" t="b">
        <v>0</v>
      </c>
      <c r="H1585" t="s">
        <v>15</v>
      </c>
    </row>
    <row r="1586" spans="1:8">
      <c r="A1586" t="s">
        <v>168</v>
      </c>
      <c r="B1586" t="s">
        <v>87</v>
      </c>
      <c r="C1586">
        <v>679</v>
      </c>
      <c r="D1586" t="s">
        <v>171</v>
      </c>
      <c r="E1586" s="242">
        <v>41793</v>
      </c>
      <c r="F1586">
        <v>0</v>
      </c>
      <c r="G1586" t="b">
        <v>0</v>
      </c>
      <c r="H1586" t="s">
        <v>15</v>
      </c>
    </row>
    <row r="1587" spans="1:8">
      <c r="A1587" t="s">
        <v>157</v>
      </c>
      <c r="B1587" t="s">
        <v>87</v>
      </c>
      <c r="C1587">
        <v>679</v>
      </c>
      <c r="D1587" t="s">
        <v>171</v>
      </c>
      <c r="E1587" s="242">
        <v>41758</v>
      </c>
      <c r="F1587">
        <v>0</v>
      </c>
      <c r="G1587" t="b">
        <v>0</v>
      </c>
      <c r="H1587" t="s">
        <v>15</v>
      </c>
    </row>
    <row r="1588" spans="1:8">
      <c r="A1588" t="s">
        <v>160</v>
      </c>
      <c r="B1588" t="s">
        <v>87</v>
      </c>
      <c r="C1588">
        <v>679</v>
      </c>
      <c r="D1588" t="s">
        <v>171</v>
      </c>
      <c r="E1588" s="242">
        <v>41757</v>
      </c>
      <c r="F1588">
        <v>0</v>
      </c>
      <c r="G1588" t="b">
        <v>0</v>
      </c>
      <c r="H1588" t="s">
        <v>15</v>
      </c>
    </row>
    <row r="1589" spans="1:8">
      <c r="A1589" t="s">
        <v>164</v>
      </c>
      <c r="B1589" t="s">
        <v>87</v>
      </c>
      <c r="C1589">
        <v>680</v>
      </c>
      <c r="D1589" t="s">
        <v>171</v>
      </c>
      <c r="E1589" s="242">
        <v>41759</v>
      </c>
      <c r="F1589">
        <v>0</v>
      </c>
      <c r="G1589" t="b">
        <v>0</v>
      </c>
      <c r="H1589" t="s">
        <v>15</v>
      </c>
    </row>
    <row r="1590" spans="1:8">
      <c r="A1590" t="s">
        <v>161</v>
      </c>
      <c r="B1590" t="s">
        <v>87</v>
      </c>
      <c r="C1590">
        <v>680</v>
      </c>
      <c r="D1590" t="s">
        <v>171</v>
      </c>
      <c r="E1590" s="242">
        <v>41306</v>
      </c>
      <c r="G1590" t="b">
        <v>0</v>
      </c>
      <c r="H1590" t="s">
        <v>15</v>
      </c>
    </row>
    <row r="1591" spans="1:8">
      <c r="A1591" t="s">
        <v>165</v>
      </c>
      <c r="B1591" t="s">
        <v>87</v>
      </c>
      <c r="C1591">
        <v>680</v>
      </c>
      <c r="D1591" t="s">
        <v>171</v>
      </c>
      <c r="E1591" s="242">
        <v>40513</v>
      </c>
      <c r="G1591" t="b">
        <v>0</v>
      </c>
      <c r="H1591" t="s">
        <v>15</v>
      </c>
    </row>
    <row r="1592" spans="1:8">
      <c r="A1592" t="s">
        <v>162</v>
      </c>
      <c r="B1592" t="s">
        <v>87</v>
      </c>
      <c r="C1592">
        <v>680</v>
      </c>
      <c r="D1592" t="s">
        <v>171</v>
      </c>
      <c r="E1592" s="242">
        <v>41781</v>
      </c>
      <c r="F1592">
        <v>0</v>
      </c>
      <c r="G1592" t="b">
        <v>0</v>
      </c>
      <c r="H1592" t="s">
        <v>15</v>
      </c>
    </row>
    <row r="1593" spans="1:8">
      <c r="A1593" t="s">
        <v>163</v>
      </c>
      <c r="B1593" t="s">
        <v>87</v>
      </c>
      <c r="C1593">
        <v>680</v>
      </c>
      <c r="D1593" t="s">
        <v>171</v>
      </c>
      <c r="E1593" s="242">
        <v>41759</v>
      </c>
      <c r="F1593">
        <v>0</v>
      </c>
      <c r="G1593" t="b">
        <v>0</v>
      </c>
      <c r="H1593" t="s">
        <v>15</v>
      </c>
    </row>
    <row r="1594" spans="1:8">
      <c r="A1594" t="s">
        <v>166</v>
      </c>
      <c r="B1594" t="s">
        <v>87</v>
      </c>
      <c r="C1594">
        <v>680</v>
      </c>
      <c r="D1594" t="s">
        <v>171</v>
      </c>
      <c r="E1594" s="242">
        <v>41793</v>
      </c>
      <c r="F1594">
        <v>0</v>
      </c>
      <c r="G1594" t="b">
        <v>0</v>
      </c>
      <c r="H1594" t="s">
        <v>15</v>
      </c>
    </row>
    <row r="1595" spans="1:8">
      <c r="A1595" t="s">
        <v>149</v>
      </c>
      <c r="B1595" t="s">
        <v>87</v>
      </c>
      <c r="C1595">
        <v>680</v>
      </c>
      <c r="D1595" t="s">
        <v>171</v>
      </c>
      <c r="E1595" s="242">
        <v>40087</v>
      </c>
      <c r="G1595" t="b">
        <v>0</v>
      </c>
      <c r="H1595" t="s">
        <v>15</v>
      </c>
    </row>
    <row r="1596" spans="1:8">
      <c r="A1596" t="s">
        <v>150</v>
      </c>
      <c r="B1596" t="s">
        <v>87</v>
      </c>
      <c r="C1596">
        <v>680</v>
      </c>
      <c r="D1596" t="s">
        <v>171</v>
      </c>
      <c r="E1596" s="242">
        <v>39995</v>
      </c>
      <c r="G1596" t="b">
        <v>0</v>
      </c>
      <c r="H1596" t="s">
        <v>15</v>
      </c>
    </row>
    <row r="1597" spans="1:8">
      <c r="A1597" t="s">
        <v>151</v>
      </c>
      <c r="B1597" t="s">
        <v>87</v>
      </c>
      <c r="C1597">
        <v>680</v>
      </c>
      <c r="D1597" t="s">
        <v>171</v>
      </c>
      <c r="E1597" s="242">
        <v>39995</v>
      </c>
      <c r="G1597" t="b">
        <v>0</v>
      </c>
      <c r="H1597" t="s">
        <v>15</v>
      </c>
    </row>
    <row r="1598" spans="1:8">
      <c r="A1598" t="s">
        <v>152</v>
      </c>
      <c r="B1598" t="s">
        <v>87</v>
      </c>
      <c r="C1598">
        <v>680</v>
      </c>
      <c r="D1598" t="s">
        <v>171</v>
      </c>
      <c r="E1598" s="242">
        <v>40026</v>
      </c>
      <c r="G1598" t="b">
        <v>0</v>
      </c>
      <c r="H1598" t="s">
        <v>15</v>
      </c>
    </row>
    <row r="1599" spans="1:8">
      <c r="A1599" t="s">
        <v>145</v>
      </c>
      <c r="B1599" t="s">
        <v>87</v>
      </c>
      <c r="C1599">
        <v>680</v>
      </c>
      <c r="D1599" t="s">
        <v>171</v>
      </c>
      <c r="E1599" s="242">
        <v>40087</v>
      </c>
      <c r="G1599" t="b">
        <v>0</v>
      </c>
      <c r="H1599" t="s">
        <v>15</v>
      </c>
    </row>
    <row r="1600" spans="1:8">
      <c r="A1600" t="s">
        <v>167</v>
      </c>
      <c r="B1600" t="s">
        <v>87</v>
      </c>
      <c r="C1600">
        <v>680</v>
      </c>
      <c r="D1600" t="s">
        <v>171</v>
      </c>
      <c r="E1600" s="242">
        <v>40118</v>
      </c>
      <c r="G1600" t="b">
        <v>0</v>
      </c>
      <c r="H1600" t="s">
        <v>15</v>
      </c>
    </row>
    <row r="1601" spans="1:8">
      <c r="A1601" t="s">
        <v>153</v>
      </c>
      <c r="B1601" t="s">
        <v>87</v>
      </c>
      <c r="C1601">
        <v>680</v>
      </c>
      <c r="D1601" t="s">
        <v>171</v>
      </c>
      <c r="E1601" s="242">
        <v>40148</v>
      </c>
      <c r="G1601" t="b">
        <v>0</v>
      </c>
      <c r="H1601" t="s">
        <v>15</v>
      </c>
    </row>
    <row r="1602" spans="1:8">
      <c r="A1602" t="s">
        <v>154</v>
      </c>
      <c r="B1602" t="s">
        <v>87</v>
      </c>
      <c r="C1602">
        <v>680</v>
      </c>
      <c r="D1602" t="s">
        <v>171</v>
      </c>
      <c r="E1602" s="242">
        <v>41759</v>
      </c>
      <c r="F1602">
        <v>0</v>
      </c>
      <c r="G1602" t="b">
        <v>0</v>
      </c>
      <c r="H1602" t="s">
        <v>15</v>
      </c>
    </row>
    <row r="1603" spans="1:8">
      <c r="A1603" t="s">
        <v>168</v>
      </c>
      <c r="B1603" t="s">
        <v>87</v>
      </c>
      <c r="C1603">
        <v>680</v>
      </c>
      <c r="D1603" t="s">
        <v>171</v>
      </c>
      <c r="E1603" s="242">
        <v>40210</v>
      </c>
      <c r="G1603" t="b">
        <v>0</v>
      </c>
      <c r="H1603" t="s">
        <v>15</v>
      </c>
    </row>
    <row r="1604" spans="1:8">
      <c r="A1604" t="s">
        <v>155</v>
      </c>
      <c r="B1604" t="s">
        <v>87</v>
      </c>
      <c r="C1604">
        <v>680</v>
      </c>
      <c r="D1604" t="s">
        <v>171</v>
      </c>
      <c r="E1604" s="242">
        <v>40057</v>
      </c>
      <c r="G1604" t="b">
        <v>0</v>
      </c>
      <c r="H1604" t="s">
        <v>15</v>
      </c>
    </row>
    <row r="1605" spans="1:8">
      <c r="A1605" t="s">
        <v>156</v>
      </c>
      <c r="B1605" t="s">
        <v>87</v>
      </c>
      <c r="C1605">
        <v>680</v>
      </c>
      <c r="D1605" t="s">
        <v>171</v>
      </c>
      <c r="E1605" s="242">
        <v>40057</v>
      </c>
      <c r="G1605" t="b">
        <v>0</v>
      </c>
      <c r="H1605" t="s">
        <v>15</v>
      </c>
    </row>
    <row r="1606" spans="1:8">
      <c r="A1606" t="s">
        <v>157</v>
      </c>
      <c r="B1606" t="s">
        <v>87</v>
      </c>
      <c r="C1606">
        <v>680</v>
      </c>
      <c r="D1606" t="s">
        <v>171</v>
      </c>
      <c r="E1606" s="242">
        <v>41758</v>
      </c>
      <c r="F1606">
        <v>0</v>
      </c>
      <c r="G1606" t="b">
        <v>0</v>
      </c>
      <c r="H1606" t="s">
        <v>15</v>
      </c>
    </row>
    <row r="1607" spans="1:8">
      <c r="A1607" t="s">
        <v>169</v>
      </c>
      <c r="B1607" t="s">
        <v>87</v>
      </c>
      <c r="C1607">
        <v>680</v>
      </c>
      <c r="D1607" t="s">
        <v>171</v>
      </c>
      <c r="E1607" s="242">
        <v>40391</v>
      </c>
      <c r="G1607" t="b">
        <v>0</v>
      </c>
      <c r="H1607" t="s">
        <v>15</v>
      </c>
    </row>
    <row r="1608" spans="1:8">
      <c r="A1608" t="s">
        <v>170</v>
      </c>
      <c r="B1608" t="s">
        <v>87</v>
      </c>
      <c r="C1608">
        <v>680</v>
      </c>
      <c r="D1608" t="s">
        <v>171</v>
      </c>
      <c r="E1608" s="242">
        <v>40422</v>
      </c>
      <c r="G1608" t="b">
        <v>0</v>
      </c>
      <c r="H1608" t="s">
        <v>15</v>
      </c>
    </row>
    <row r="1609" spans="1:8">
      <c r="A1609" t="s">
        <v>158</v>
      </c>
      <c r="B1609" t="s">
        <v>87</v>
      </c>
      <c r="C1609">
        <v>680</v>
      </c>
      <c r="D1609" t="s">
        <v>171</v>
      </c>
      <c r="E1609" s="242">
        <v>40360</v>
      </c>
      <c r="G1609" t="b">
        <v>0</v>
      </c>
      <c r="H1609" t="s">
        <v>15</v>
      </c>
    </row>
    <row r="1610" spans="1:8">
      <c r="A1610" t="s">
        <v>159</v>
      </c>
      <c r="B1610" t="s">
        <v>87</v>
      </c>
      <c r="C1610">
        <v>680</v>
      </c>
      <c r="D1610" t="s">
        <v>171</v>
      </c>
      <c r="E1610" s="242">
        <v>40391</v>
      </c>
      <c r="G1610" t="b">
        <v>0</v>
      </c>
      <c r="H1610" t="s">
        <v>15</v>
      </c>
    </row>
    <row r="1611" spans="1:8">
      <c r="A1611" t="s">
        <v>160</v>
      </c>
      <c r="B1611" t="s">
        <v>87</v>
      </c>
      <c r="C1611">
        <v>680</v>
      </c>
      <c r="D1611" t="s">
        <v>171</v>
      </c>
      <c r="E1611" s="242">
        <v>40513</v>
      </c>
      <c r="F1611">
        <v>0</v>
      </c>
      <c r="G1611" t="b">
        <v>0</v>
      </c>
      <c r="H1611" t="s">
        <v>15</v>
      </c>
    </row>
    <row r="1612" spans="1:8">
      <c r="A1612" t="s">
        <v>164</v>
      </c>
      <c r="B1612" t="s">
        <v>87</v>
      </c>
      <c r="C1612">
        <v>681</v>
      </c>
      <c r="D1612" t="s">
        <v>171</v>
      </c>
      <c r="E1612" s="242">
        <v>41759</v>
      </c>
      <c r="F1612">
        <v>0</v>
      </c>
      <c r="G1612" t="b">
        <v>0</v>
      </c>
      <c r="H1612" t="s">
        <v>15</v>
      </c>
    </row>
    <row r="1613" spans="1:8">
      <c r="A1613" t="s">
        <v>161</v>
      </c>
      <c r="B1613" t="s">
        <v>87</v>
      </c>
      <c r="C1613">
        <v>681</v>
      </c>
      <c r="D1613" t="s">
        <v>171</v>
      </c>
      <c r="E1613" s="242">
        <v>41306</v>
      </c>
      <c r="G1613" t="b">
        <v>0</v>
      </c>
      <c r="H1613" t="s">
        <v>15</v>
      </c>
    </row>
    <row r="1614" spans="1:8">
      <c r="A1614" t="s">
        <v>165</v>
      </c>
      <c r="B1614" t="s">
        <v>87</v>
      </c>
      <c r="C1614">
        <v>681</v>
      </c>
      <c r="D1614" t="s">
        <v>171</v>
      </c>
      <c r="E1614" s="242">
        <v>40513</v>
      </c>
      <c r="G1614" t="b">
        <v>0</v>
      </c>
      <c r="H1614" t="s">
        <v>15</v>
      </c>
    </row>
    <row r="1615" spans="1:8">
      <c r="A1615" t="s">
        <v>162</v>
      </c>
      <c r="B1615" t="s">
        <v>87</v>
      </c>
      <c r="C1615">
        <v>681</v>
      </c>
      <c r="D1615" t="s">
        <v>171</v>
      </c>
      <c r="E1615" s="242">
        <v>41781</v>
      </c>
      <c r="F1615">
        <v>0</v>
      </c>
      <c r="G1615" t="b">
        <v>0</v>
      </c>
      <c r="H1615" t="s">
        <v>15</v>
      </c>
    </row>
    <row r="1616" spans="1:8">
      <c r="A1616" t="s">
        <v>163</v>
      </c>
      <c r="B1616" t="s">
        <v>87</v>
      </c>
      <c r="C1616">
        <v>681</v>
      </c>
      <c r="D1616" t="s">
        <v>171</v>
      </c>
      <c r="E1616" s="242">
        <v>41091</v>
      </c>
      <c r="G1616" t="b">
        <v>0</v>
      </c>
      <c r="H1616" t="s">
        <v>15</v>
      </c>
    </row>
    <row r="1617" spans="1:8">
      <c r="A1617" t="s">
        <v>166</v>
      </c>
      <c r="B1617" t="s">
        <v>87</v>
      </c>
      <c r="C1617">
        <v>681</v>
      </c>
      <c r="D1617" t="s">
        <v>171</v>
      </c>
      <c r="E1617" s="242">
        <v>41793</v>
      </c>
      <c r="F1617">
        <v>0</v>
      </c>
      <c r="G1617" t="b">
        <v>0</v>
      </c>
      <c r="H1617" t="s">
        <v>15</v>
      </c>
    </row>
    <row r="1618" spans="1:8">
      <c r="A1618" t="s">
        <v>149</v>
      </c>
      <c r="B1618" t="s">
        <v>87</v>
      </c>
      <c r="C1618">
        <v>681</v>
      </c>
      <c r="D1618" t="s">
        <v>171</v>
      </c>
      <c r="E1618" s="242">
        <v>40087</v>
      </c>
      <c r="G1618" t="b">
        <v>0</v>
      </c>
      <c r="H1618" t="s">
        <v>15</v>
      </c>
    </row>
    <row r="1619" spans="1:8">
      <c r="A1619" t="s">
        <v>150</v>
      </c>
      <c r="B1619" t="s">
        <v>87</v>
      </c>
      <c r="C1619">
        <v>681</v>
      </c>
      <c r="D1619" t="s">
        <v>171</v>
      </c>
      <c r="E1619" s="242">
        <v>39995</v>
      </c>
      <c r="G1619" t="b">
        <v>0</v>
      </c>
      <c r="H1619" t="s">
        <v>15</v>
      </c>
    </row>
    <row r="1620" spans="1:8">
      <c r="A1620" t="s">
        <v>151</v>
      </c>
      <c r="B1620" t="s">
        <v>87</v>
      </c>
      <c r="C1620">
        <v>681</v>
      </c>
      <c r="D1620" t="s">
        <v>171</v>
      </c>
      <c r="E1620" s="242">
        <v>39995</v>
      </c>
      <c r="G1620" t="b">
        <v>0</v>
      </c>
      <c r="H1620" t="s">
        <v>15</v>
      </c>
    </row>
    <row r="1621" spans="1:8">
      <c r="A1621" t="s">
        <v>152</v>
      </c>
      <c r="B1621" t="s">
        <v>87</v>
      </c>
      <c r="C1621">
        <v>681</v>
      </c>
      <c r="D1621" t="s">
        <v>171</v>
      </c>
      <c r="E1621" s="242">
        <v>40026</v>
      </c>
      <c r="G1621" t="b">
        <v>0</v>
      </c>
      <c r="H1621" t="s">
        <v>15</v>
      </c>
    </row>
    <row r="1622" spans="1:8">
      <c r="A1622" t="s">
        <v>145</v>
      </c>
      <c r="B1622" t="s">
        <v>87</v>
      </c>
      <c r="C1622">
        <v>681</v>
      </c>
      <c r="D1622" t="s">
        <v>171</v>
      </c>
      <c r="E1622" s="242">
        <v>40087</v>
      </c>
      <c r="G1622" t="b">
        <v>0</v>
      </c>
      <c r="H1622" t="s">
        <v>15</v>
      </c>
    </row>
    <row r="1623" spans="1:8">
      <c r="A1623" t="s">
        <v>167</v>
      </c>
      <c r="B1623" t="s">
        <v>87</v>
      </c>
      <c r="C1623">
        <v>681</v>
      </c>
      <c r="D1623" t="s">
        <v>171</v>
      </c>
      <c r="E1623" s="242">
        <v>40118</v>
      </c>
      <c r="G1623" t="b">
        <v>0</v>
      </c>
      <c r="H1623" t="s">
        <v>15</v>
      </c>
    </row>
    <row r="1624" spans="1:8">
      <c r="A1624" t="s">
        <v>153</v>
      </c>
      <c r="B1624" t="s">
        <v>87</v>
      </c>
      <c r="C1624">
        <v>681</v>
      </c>
      <c r="D1624" t="s">
        <v>171</v>
      </c>
      <c r="E1624" s="242">
        <v>40148</v>
      </c>
      <c r="G1624" t="b">
        <v>0</v>
      </c>
      <c r="H1624" t="s">
        <v>15</v>
      </c>
    </row>
    <row r="1625" spans="1:8">
      <c r="A1625" t="s">
        <v>154</v>
      </c>
      <c r="B1625" t="s">
        <v>87</v>
      </c>
      <c r="C1625">
        <v>681</v>
      </c>
      <c r="D1625" t="s">
        <v>171</v>
      </c>
      <c r="E1625" s="242">
        <v>41759</v>
      </c>
      <c r="F1625">
        <v>0</v>
      </c>
      <c r="G1625" t="b">
        <v>0</v>
      </c>
      <c r="H1625" t="s">
        <v>15</v>
      </c>
    </row>
    <row r="1626" spans="1:8">
      <c r="A1626" t="s">
        <v>168</v>
      </c>
      <c r="B1626" t="s">
        <v>87</v>
      </c>
      <c r="C1626">
        <v>681</v>
      </c>
      <c r="D1626" t="s">
        <v>171</v>
      </c>
      <c r="E1626" s="242">
        <v>40210</v>
      </c>
      <c r="G1626" t="b">
        <v>0</v>
      </c>
      <c r="H1626" t="s">
        <v>15</v>
      </c>
    </row>
    <row r="1627" spans="1:8">
      <c r="A1627" t="s">
        <v>155</v>
      </c>
      <c r="B1627" t="s">
        <v>87</v>
      </c>
      <c r="C1627">
        <v>681</v>
      </c>
      <c r="D1627" t="s">
        <v>171</v>
      </c>
      <c r="E1627" s="242">
        <v>40057</v>
      </c>
      <c r="G1627" t="b">
        <v>0</v>
      </c>
      <c r="H1627" t="s">
        <v>15</v>
      </c>
    </row>
    <row r="1628" spans="1:8">
      <c r="A1628" t="s">
        <v>156</v>
      </c>
      <c r="B1628" t="s">
        <v>87</v>
      </c>
      <c r="C1628">
        <v>681</v>
      </c>
      <c r="D1628" t="s">
        <v>171</v>
      </c>
      <c r="E1628" s="242">
        <v>40057</v>
      </c>
      <c r="G1628" t="b">
        <v>0</v>
      </c>
      <c r="H1628" t="s">
        <v>15</v>
      </c>
    </row>
    <row r="1629" spans="1:8">
      <c r="A1629" t="s">
        <v>157</v>
      </c>
      <c r="B1629" t="s">
        <v>87</v>
      </c>
      <c r="C1629">
        <v>681</v>
      </c>
      <c r="D1629" t="s">
        <v>171</v>
      </c>
      <c r="E1629" s="242">
        <v>41758</v>
      </c>
      <c r="F1629">
        <v>0</v>
      </c>
      <c r="G1629" t="b">
        <v>0</v>
      </c>
      <c r="H1629" t="s">
        <v>15</v>
      </c>
    </row>
    <row r="1630" spans="1:8">
      <c r="A1630" t="s">
        <v>169</v>
      </c>
      <c r="B1630" t="s">
        <v>87</v>
      </c>
      <c r="C1630">
        <v>681</v>
      </c>
      <c r="D1630" t="s">
        <v>171</v>
      </c>
      <c r="E1630" s="242">
        <v>40391</v>
      </c>
      <c r="G1630" t="b">
        <v>0</v>
      </c>
      <c r="H1630" t="s">
        <v>15</v>
      </c>
    </row>
    <row r="1631" spans="1:8">
      <c r="A1631" t="s">
        <v>170</v>
      </c>
      <c r="B1631" t="s">
        <v>87</v>
      </c>
      <c r="C1631">
        <v>681</v>
      </c>
      <c r="D1631" t="s">
        <v>171</v>
      </c>
      <c r="E1631" s="242">
        <v>40422</v>
      </c>
      <c r="G1631" t="b">
        <v>0</v>
      </c>
      <c r="H1631" t="s">
        <v>15</v>
      </c>
    </row>
    <row r="1632" spans="1:8">
      <c r="A1632" t="s">
        <v>158</v>
      </c>
      <c r="B1632" t="s">
        <v>87</v>
      </c>
      <c r="C1632">
        <v>681</v>
      </c>
      <c r="D1632" t="s">
        <v>171</v>
      </c>
      <c r="E1632" s="242">
        <v>40360</v>
      </c>
      <c r="G1632" t="b">
        <v>0</v>
      </c>
      <c r="H1632" t="s">
        <v>15</v>
      </c>
    </row>
    <row r="1633" spans="1:8">
      <c r="A1633" t="s">
        <v>159</v>
      </c>
      <c r="B1633" t="s">
        <v>87</v>
      </c>
      <c r="C1633">
        <v>681</v>
      </c>
      <c r="D1633" t="s">
        <v>171</v>
      </c>
      <c r="E1633" s="242">
        <v>40391</v>
      </c>
      <c r="G1633" t="b">
        <v>0</v>
      </c>
      <c r="H1633" t="s">
        <v>15</v>
      </c>
    </row>
    <row r="1634" spans="1:8">
      <c r="A1634" t="s">
        <v>160</v>
      </c>
      <c r="B1634" t="s">
        <v>87</v>
      </c>
      <c r="C1634">
        <v>681</v>
      </c>
      <c r="D1634" t="s">
        <v>171</v>
      </c>
      <c r="E1634" s="242">
        <v>40513</v>
      </c>
      <c r="F1634">
        <v>0</v>
      </c>
      <c r="G1634" t="b">
        <v>0</v>
      </c>
      <c r="H1634" t="s">
        <v>15</v>
      </c>
    </row>
    <row r="1635" spans="1:8">
      <c r="A1635" t="s">
        <v>164</v>
      </c>
      <c r="B1635" t="s">
        <v>87</v>
      </c>
      <c r="C1635">
        <v>682</v>
      </c>
      <c r="D1635" t="s">
        <v>171</v>
      </c>
      <c r="E1635" s="242">
        <v>41122</v>
      </c>
      <c r="G1635" t="b">
        <v>0</v>
      </c>
      <c r="H1635" t="s">
        <v>15</v>
      </c>
    </row>
    <row r="1636" spans="1:8">
      <c r="A1636" t="s">
        <v>161</v>
      </c>
      <c r="B1636" t="s">
        <v>87</v>
      </c>
      <c r="C1636">
        <v>682</v>
      </c>
      <c r="D1636" t="s">
        <v>171</v>
      </c>
      <c r="E1636" s="242">
        <v>41306</v>
      </c>
      <c r="G1636" t="b">
        <v>0</v>
      </c>
      <c r="H1636" t="s">
        <v>15</v>
      </c>
    </row>
    <row r="1637" spans="1:8">
      <c r="A1637" t="s">
        <v>165</v>
      </c>
      <c r="B1637" t="s">
        <v>87</v>
      </c>
      <c r="C1637">
        <v>682</v>
      </c>
      <c r="D1637" t="s">
        <v>171</v>
      </c>
      <c r="E1637" s="242">
        <v>40513</v>
      </c>
      <c r="G1637" t="b">
        <v>0</v>
      </c>
      <c r="H1637" t="s">
        <v>15</v>
      </c>
    </row>
    <row r="1638" spans="1:8">
      <c r="A1638" t="s">
        <v>162</v>
      </c>
      <c r="B1638" t="s">
        <v>87</v>
      </c>
      <c r="C1638">
        <v>682</v>
      </c>
      <c r="D1638" t="s">
        <v>171</v>
      </c>
      <c r="E1638" s="242">
        <v>41091</v>
      </c>
      <c r="G1638" t="b">
        <v>0</v>
      </c>
      <c r="H1638" t="s">
        <v>15</v>
      </c>
    </row>
    <row r="1639" spans="1:8">
      <c r="A1639" t="s">
        <v>163</v>
      </c>
      <c r="B1639" t="s">
        <v>87</v>
      </c>
      <c r="C1639">
        <v>682</v>
      </c>
      <c r="D1639" t="s">
        <v>171</v>
      </c>
      <c r="E1639" s="242">
        <v>41091</v>
      </c>
      <c r="G1639" t="b">
        <v>0</v>
      </c>
      <c r="H1639" t="s">
        <v>15</v>
      </c>
    </row>
    <row r="1640" spans="1:8">
      <c r="A1640" t="s">
        <v>166</v>
      </c>
      <c r="B1640" t="s">
        <v>87</v>
      </c>
      <c r="C1640">
        <v>682</v>
      </c>
      <c r="D1640" t="s">
        <v>171</v>
      </c>
      <c r="E1640" s="242">
        <v>39508</v>
      </c>
      <c r="G1640" t="b">
        <v>0</v>
      </c>
      <c r="H1640" t="s">
        <v>15</v>
      </c>
    </row>
    <row r="1641" spans="1:8">
      <c r="A1641" t="s">
        <v>149</v>
      </c>
      <c r="B1641" t="s">
        <v>87</v>
      </c>
      <c r="C1641">
        <v>682</v>
      </c>
      <c r="D1641" t="s">
        <v>171</v>
      </c>
      <c r="E1641" s="242">
        <v>40087</v>
      </c>
      <c r="G1641" t="b">
        <v>0</v>
      </c>
      <c r="H1641" t="s">
        <v>15</v>
      </c>
    </row>
    <row r="1642" spans="1:8">
      <c r="A1642" t="s">
        <v>150</v>
      </c>
      <c r="B1642" t="s">
        <v>87</v>
      </c>
      <c r="C1642">
        <v>682</v>
      </c>
      <c r="D1642" t="s">
        <v>171</v>
      </c>
      <c r="E1642" s="242">
        <v>39995</v>
      </c>
      <c r="G1642" t="b">
        <v>0</v>
      </c>
      <c r="H1642" t="s">
        <v>15</v>
      </c>
    </row>
    <row r="1643" spans="1:8">
      <c r="A1643" t="s">
        <v>151</v>
      </c>
      <c r="B1643" t="s">
        <v>87</v>
      </c>
      <c r="C1643">
        <v>682</v>
      </c>
      <c r="D1643" t="s">
        <v>171</v>
      </c>
      <c r="E1643" s="242">
        <v>39995</v>
      </c>
      <c r="G1643" t="b">
        <v>0</v>
      </c>
      <c r="H1643" t="s">
        <v>15</v>
      </c>
    </row>
    <row r="1644" spans="1:8">
      <c r="A1644" t="s">
        <v>152</v>
      </c>
      <c r="B1644" t="s">
        <v>87</v>
      </c>
      <c r="C1644">
        <v>682</v>
      </c>
      <c r="D1644" t="s">
        <v>171</v>
      </c>
      <c r="E1644" s="242">
        <v>40026</v>
      </c>
      <c r="G1644" t="b">
        <v>0</v>
      </c>
      <c r="H1644" t="s">
        <v>15</v>
      </c>
    </row>
    <row r="1645" spans="1:8">
      <c r="A1645" t="s">
        <v>145</v>
      </c>
      <c r="B1645" t="s">
        <v>87</v>
      </c>
      <c r="C1645">
        <v>682</v>
      </c>
      <c r="D1645" t="s">
        <v>171</v>
      </c>
      <c r="E1645" s="242">
        <v>40087</v>
      </c>
      <c r="G1645" t="b">
        <v>0</v>
      </c>
      <c r="H1645" t="s">
        <v>15</v>
      </c>
    </row>
    <row r="1646" spans="1:8">
      <c r="A1646" t="s">
        <v>167</v>
      </c>
      <c r="B1646" t="s">
        <v>87</v>
      </c>
      <c r="C1646">
        <v>682</v>
      </c>
      <c r="D1646" t="s">
        <v>171</v>
      </c>
      <c r="E1646" s="242">
        <v>40118</v>
      </c>
      <c r="G1646" t="b">
        <v>0</v>
      </c>
      <c r="H1646" t="s">
        <v>15</v>
      </c>
    </row>
    <row r="1647" spans="1:8">
      <c r="A1647" t="s">
        <v>153</v>
      </c>
      <c r="B1647" t="s">
        <v>87</v>
      </c>
      <c r="C1647">
        <v>682</v>
      </c>
      <c r="D1647" t="s">
        <v>171</v>
      </c>
      <c r="E1647" s="242">
        <v>40148</v>
      </c>
      <c r="G1647" t="b">
        <v>0</v>
      </c>
      <c r="H1647" t="s">
        <v>15</v>
      </c>
    </row>
    <row r="1648" spans="1:8">
      <c r="A1648" t="s">
        <v>154</v>
      </c>
      <c r="B1648" t="s">
        <v>87</v>
      </c>
      <c r="C1648">
        <v>682</v>
      </c>
      <c r="D1648" t="s">
        <v>171</v>
      </c>
      <c r="E1648" s="242">
        <v>40179</v>
      </c>
      <c r="G1648" t="b">
        <v>0</v>
      </c>
      <c r="H1648" t="s">
        <v>15</v>
      </c>
    </row>
    <row r="1649" spans="1:8">
      <c r="A1649" t="s">
        <v>168</v>
      </c>
      <c r="B1649" t="s">
        <v>87</v>
      </c>
      <c r="C1649">
        <v>682</v>
      </c>
      <c r="D1649" t="s">
        <v>171</v>
      </c>
      <c r="E1649" s="242">
        <v>40210</v>
      </c>
      <c r="G1649" t="b">
        <v>0</v>
      </c>
      <c r="H1649" t="s">
        <v>15</v>
      </c>
    </row>
    <row r="1650" spans="1:8">
      <c r="A1650" t="s">
        <v>155</v>
      </c>
      <c r="B1650" t="s">
        <v>87</v>
      </c>
      <c r="C1650">
        <v>682</v>
      </c>
      <c r="D1650" t="s">
        <v>171</v>
      </c>
      <c r="E1650" s="242">
        <v>40057</v>
      </c>
      <c r="G1650" t="b">
        <v>0</v>
      </c>
      <c r="H1650" t="s">
        <v>15</v>
      </c>
    </row>
    <row r="1651" spans="1:8">
      <c r="A1651" t="s">
        <v>156</v>
      </c>
      <c r="B1651" t="s">
        <v>87</v>
      </c>
      <c r="C1651">
        <v>682</v>
      </c>
      <c r="D1651" t="s">
        <v>171</v>
      </c>
      <c r="E1651" s="242">
        <v>40057</v>
      </c>
      <c r="G1651" t="b">
        <v>0</v>
      </c>
      <c r="H1651" t="s">
        <v>15</v>
      </c>
    </row>
    <row r="1652" spans="1:8">
      <c r="A1652" t="s">
        <v>157</v>
      </c>
      <c r="B1652" t="s">
        <v>87</v>
      </c>
      <c r="C1652">
        <v>682</v>
      </c>
      <c r="D1652" t="s">
        <v>171</v>
      </c>
      <c r="E1652" s="242">
        <v>40148</v>
      </c>
      <c r="G1652" t="b">
        <v>0</v>
      </c>
      <c r="H1652" t="s">
        <v>15</v>
      </c>
    </row>
    <row r="1653" spans="1:8">
      <c r="A1653" t="s">
        <v>169</v>
      </c>
      <c r="B1653" t="s">
        <v>87</v>
      </c>
      <c r="C1653">
        <v>682</v>
      </c>
      <c r="D1653" t="s">
        <v>171</v>
      </c>
      <c r="E1653" s="242">
        <v>40391</v>
      </c>
      <c r="G1653" t="b">
        <v>0</v>
      </c>
      <c r="H1653" t="s">
        <v>15</v>
      </c>
    </row>
    <row r="1654" spans="1:8">
      <c r="A1654" t="s">
        <v>170</v>
      </c>
      <c r="B1654" t="s">
        <v>87</v>
      </c>
      <c r="C1654">
        <v>682</v>
      </c>
      <c r="D1654" t="s">
        <v>171</v>
      </c>
      <c r="E1654" s="242">
        <v>40695</v>
      </c>
      <c r="G1654" t="b">
        <v>0</v>
      </c>
      <c r="H1654" t="s">
        <v>15</v>
      </c>
    </row>
    <row r="1655" spans="1:8">
      <c r="A1655" t="s">
        <v>158</v>
      </c>
      <c r="B1655" t="s">
        <v>87</v>
      </c>
      <c r="C1655">
        <v>682</v>
      </c>
      <c r="D1655" t="s">
        <v>171</v>
      </c>
      <c r="E1655" s="242">
        <v>40360</v>
      </c>
      <c r="G1655" t="b">
        <v>0</v>
      </c>
      <c r="H1655" t="s">
        <v>15</v>
      </c>
    </row>
    <row r="1656" spans="1:8">
      <c r="A1656" t="s">
        <v>159</v>
      </c>
      <c r="B1656" t="s">
        <v>87</v>
      </c>
      <c r="C1656">
        <v>682</v>
      </c>
      <c r="D1656" t="s">
        <v>171</v>
      </c>
      <c r="E1656" s="242">
        <v>40391</v>
      </c>
      <c r="G1656" t="b">
        <v>0</v>
      </c>
      <c r="H1656" t="s">
        <v>15</v>
      </c>
    </row>
    <row r="1657" spans="1:8">
      <c r="A1657" t="s">
        <v>160</v>
      </c>
      <c r="B1657" t="s">
        <v>87</v>
      </c>
      <c r="C1657">
        <v>682</v>
      </c>
      <c r="D1657" t="s">
        <v>171</v>
      </c>
      <c r="E1657" s="242">
        <v>40575</v>
      </c>
      <c r="G1657" t="b">
        <v>0</v>
      </c>
      <c r="H1657" t="s">
        <v>15</v>
      </c>
    </row>
    <row r="1658" spans="1:8">
      <c r="A1658" t="s">
        <v>164</v>
      </c>
      <c r="B1658" t="s">
        <v>87</v>
      </c>
      <c r="C1658">
        <v>683</v>
      </c>
      <c r="D1658" t="s">
        <v>171</v>
      </c>
      <c r="E1658" s="242">
        <v>41122</v>
      </c>
      <c r="G1658" t="b">
        <v>0</v>
      </c>
      <c r="H1658" t="s">
        <v>15</v>
      </c>
    </row>
    <row r="1659" spans="1:8">
      <c r="A1659" t="s">
        <v>161</v>
      </c>
      <c r="B1659" t="s">
        <v>87</v>
      </c>
      <c r="C1659">
        <v>683</v>
      </c>
      <c r="D1659" t="s">
        <v>171</v>
      </c>
      <c r="E1659" s="242">
        <v>41306</v>
      </c>
      <c r="G1659" t="b">
        <v>0</v>
      </c>
      <c r="H1659" t="s">
        <v>15</v>
      </c>
    </row>
    <row r="1660" spans="1:8">
      <c r="A1660" t="s">
        <v>165</v>
      </c>
      <c r="B1660" t="s">
        <v>87</v>
      </c>
      <c r="C1660">
        <v>683</v>
      </c>
      <c r="D1660" t="s">
        <v>171</v>
      </c>
      <c r="E1660" s="242">
        <v>40513</v>
      </c>
      <c r="G1660" t="b">
        <v>0</v>
      </c>
      <c r="H1660" t="s">
        <v>15</v>
      </c>
    </row>
    <row r="1661" spans="1:8">
      <c r="A1661" t="s">
        <v>162</v>
      </c>
      <c r="B1661" t="s">
        <v>87</v>
      </c>
      <c r="C1661">
        <v>683</v>
      </c>
      <c r="D1661" t="s">
        <v>171</v>
      </c>
      <c r="E1661" s="242">
        <v>41091</v>
      </c>
      <c r="G1661" t="b">
        <v>0</v>
      </c>
      <c r="H1661" t="s">
        <v>15</v>
      </c>
    </row>
    <row r="1662" spans="1:8">
      <c r="A1662" t="s">
        <v>163</v>
      </c>
      <c r="B1662" t="s">
        <v>87</v>
      </c>
      <c r="C1662">
        <v>683</v>
      </c>
      <c r="D1662" t="s">
        <v>171</v>
      </c>
      <c r="E1662" s="242">
        <v>41091</v>
      </c>
      <c r="G1662" t="b">
        <v>0</v>
      </c>
      <c r="H1662" t="s">
        <v>15</v>
      </c>
    </row>
    <row r="1663" spans="1:8">
      <c r="A1663" t="s">
        <v>166</v>
      </c>
      <c r="B1663" t="s">
        <v>87</v>
      </c>
      <c r="C1663">
        <v>683</v>
      </c>
      <c r="D1663" t="s">
        <v>171</v>
      </c>
      <c r="E1663" s="242">
        <v>40522</v>
      </c>
      <c r="G1663" t="b">
        <v>0</v>
      </c>
      <c r="H1663" t="s">
        <v>15</v>
      </c>
    </row>
    <row r="1664" spans="1:8">
      <c r="A1664" t="s">
        <v>149</v>
      </c>
      <c r="B1664" t="s">
        <v>87</v>
      </c>
      <c r="C1664">
        <v>683</v>
      </c>
      <c r="D1664" t="s">
        <v>171</v>
      </c>
      <c r="E1664" s="242">
        <v>40087</v>
      </c>
      <c r="G1664" t="b">
        <v>0</v>
      </c>
      <c r="H1664" t="s">
        <v>15</v>
      </c>
    </row>
    <row r="1665" spans="1:8">
      <c r="A1665" t="s">
        <v>150</v>
      </c>
      <c r="B1665" t="s">
        <v>87</v>
      </c>
      <c r="C1665">
        <v>683</v>
      </c>
      <c r="D1665" t="s">
        <v>171</v>
      </c>
      <c r="E1665" s="242">
        <v>39995</v>
      </c>
      <c r="G1665" t="b">
        <v>0</v>
      </c>
      <c r="H1665" t="s">
        <v>15</v>
      </c>
    </row>
    <row r="1666" spans="1:8">
      <c r="A1666" t="s">
        <v>151</v>
      </c>
      <c r="B1666" t="s">
        <v>87</v>
      </c>
      <c r="C1666">
        <v>683</v>
      </c>
      <c r="D1666" t="s">
        <v>171</v>
      </c>
      <c r="E1666" s="242">
        <v>39995</v>
      </c>
      <c r="G1666" t="b">
        <v>0</v>
      </c>
      <c r="H1666" t="s">
        <v>15</v>
      </c>
    </row>
    <row r="1667" spans="1:8">
      <c r="A1667" t="s">
        <v>152</v>
      </c>
      <c r="B1667" t="s">
        <v>87</v>
      </c>
      <c r="C1667">
        <v>683</v>
      </c>
      <c r="D1667" t="s">
        <v>171</v>
      </c>
      <c r="E1667" s="242">
        <v>40026</v>
      </c>
      <c r="G1667" t="b">
        <v>0</v>
      </c>
      <c r="H1667" t="s">
        <v>15</v>
      </c>
    </row>
    <row r="1668" spans="1:8">
      <c r="A1668" t="s">
        <v>145</v>
      </c>
      <c r="B1668" t="s">
        <v>87</v>
      </c>
      <c r="C1668">
        <v>683</v>
      </c>
      <c r="D1668" t="s">
        <v>171</v>
      </c>
      <c r="E1668" s="242">
        <v>40087</v>
      </c>
      <c r="G1668" t="b">
        <v>0</v>
      </c>
      <c r="H1668" t="s">
        <v>15</v>
      </c>
    </row>
    <row r="1669" spans="1:8">
      <c r="A1669" t="s">
        <v>167</v>
      </c>
      <c r="B1669" t="s">
        <v>87</v>
      </c>
      <c r="C1669">
        <v>683</v>
      </c>
      <c r="D1669" t="s">
        <v>171</v>
      </c>
      <c r="E1669" s="242">
        <v>40118</v>
      </c>
      <c r="G1669" t="b">
        <v>0</v>
      </c>
      <c r="H1669" t="s">
        <v>15</v>
      </c>
    </row>
    <row r="1670" spans="1:8">
      <c r="A1670" t="s">
        <v>153</v>
      </c>
      <c r="B1670" t="s">
        <v>87</v>
      </c>
      <c r="C1670">
        <v>683</v>
      </c>
      <c r="D1670" t="s">
        <v>171</v>
      </c>
      <c r="E1670" s="242">
        <v>40148</v>
      </c>
      <c r="G1670" t="b">
        <v>0</v>
      </c>
      <c r="H1670" t="s">
        <v>15</v>
      </c>
    </row>
    <row r="1671" spans="1:8">
      <c r="A1671" t="s">
        <v>154</v>
      </c>
      <c r="B1671" t="s">
        <v>87</v>
      </c>
      <c r="C1671">
        <v>683</v>
      </c>
      <c r="D1671" t="s">
        <v>171</v>
      </c>
      <c r="E1671" s="242">
        <v>40210</v>
      </c>
      <c r="G1671" t="b">
        <v>0</v>
      </c>
      <c r="H1671" t="s">
        <v>15</v>
      </c>
    </row>
    <row r="1672" spans="1:8">
      <c r="A1672" t="s">
        <v>168</v>
      </c>
      <c r="B1672" t="s">
        <v>87</v>
      </c>
      <c r="C1672">
        <v>683</v>
      </c>
      <c r="D1672" t="s">
        <v>171</v>
      </c>
      <c r="E1672" s="242">
        <v>40210</v>
      </c>
      <c r="G1672" t="b">
        <v>0</v>
      </c>
      <c r="H1672" t="s">
        <v>15</v>
      </c>
    </row>
    <row r="1673" spans="1:8">
      <c r="A1673" t="s">
        <v>155</v>
      </c>
      <c r="B1673" t="s">
        <v>87</v>
      </c>
      <c r="C1673">
        <v>683</v>
      </c>
      <c r="D1673" t="s">
        <v>171</v>
      </c>
      <c r="E1673" s="242">
        <v>40057</v>
      </c>
      <c r="G1673" t="b">
        <v>0</v>
      </c>
      <c r="H1673" t="s">
        <v>15</v>
      </c>
    </row>
    <row r="1674" spans="1:8">
      <c r="A1674" t="s">
        <v>156</v>
      </c>
      <c r="B1674" t="s">
        <v>87</v>
      </c>
      <c r="C1674">
        <v>683</v>
      </c>
      <c r="D1674" t="s">
        <v>171</v>
      </c>
      <c r="E1674" s="242">
        <v>40057</v>
      </c>
      <c r="G1674" t="b">
        <v>0</v>
      </c>
      <c r="H1674" t="s">
        <v>15</v>
      </c>
    </row>
    <row r="1675" spans="1:8">
      <c r="A1675" t="s">
        <v>157</v>
      </c>
      <c r="B1675" t="s">
        <v>87</v>
      </c>
      <c r="C1675">
        <v>683</v>
      </c>
      <c r="D1675" t="s">
        <v>171</v>
      </c>
      <c r="E1675" s="242">
        <v>40148</v>
      </c>
      <c r="G1675" t="b">
        <v>0</v>
      </c>
      <c r="H1675" t="s">
        <v>15</v>
      </c>
    </row>
    <row r="1676" spans="1:8">
      <c r="A1676" t="s">
        <v>169</v>
      </c>
      <c r="B1676" t="s">
        <v>87</v>
      </c>
      <c r="C1676">
        <v>683</v>
      </c>
      <c r="D1676" t="s">
        <v>171</v>
      </c>
      <c r="E1676" s="242">
        <v>40391</v>
      </c>
      <c r="G1676" t="b">
        <v>0</v>
      </c>
      <c r="H1676" t="s">
        <v>15</v>
      </c>
    </row>
    <row r="1677" spans="1:8">
      <c r="A1677" t="s">
        <v>170</v>
      </c>
      <c r="B1677" t="s">
        <v>87</v>
      </c>
      <c r="C1677">
        <v>683</v>
      </c>
      <c r="D1677" t="s">
        <v>171</v>
      </c>
      <c r="E1677" s="242">
        <v>40422</v>
      </c>
      <c r="G1677" t="b">
        <v>0</v>
      </c>
      <c r="H1677" t="s">
        <v>15</v>
      </c>
    </row>
    <row r="1678" spans="1:8">
      <c r="A1678" t="s">
        <v>158</v>
      </c>
      <c r="B1678" t="s">
        <v>87</v>
      </c>
      <c r="C1678">
        <v>683</v>
      </c>
      <c r="D1678" t="s">
        <v>171</v>
      </c>
      <c r="E1678" s="242">
        <v>40360</v>
      </c>
      <c r="G1678" t="b">
        <v>0</v>
      </c>
      <c r="H1678" t="s">
        <v>15</v>
      </c>
    </row>
    <row r="1679" spans="1:8">
      <c r="A1679" t="s">
        <v>159</v>
      </c>
      <c r="B1679" t="s">
        <v>87</v>
      </c>
      <c r="C1679">
        <v>683</v>
      </c>
      <c r="D1679" t="s">
        <v>171</v>
      </c>
      <c r="E1679" s="242">
        <v>40391</v>
      </c>
      <c r="G1679" t="b">
        <v>0</v>
      </c>
      <c r="H1679" t="s">
        <v>15</v>
      </c>
    </row>
    <row r="1680" spans="1:8">
      <c r="A1680" t="s">
        <v>160</v>
      </c>
      <c r="B1680" t="s">
        <v>87</v>
      </c>
      <c r="C1680">
        <v>683</v>
      </c>
      <c r="D1680" t="s">
        <v>171</v>
      </c>
      <c r="E1680" s="242">
        <v>40513</v>
      </c>
      <c r="G1680" t="b">
        <v>0</v>
      </c>
      <c r="H1680" t="s">
        <v>15</v>
      </c>
    </row>
    <row r="1681" spans="1:8">
      <c r="A1681" t="s">
        <v>164</v>
      </c>
      <c r="B1681" t="s">
        <v>87</v>
      </c>
      <c r="C1681">
        <v>684</v>
      </c>
      <c r="D1681" t="s">
        <v>171</v>
      </c>
      <c r="E1681" s="242">
        <v>41122</v>
      </c>
      <c r="G1681" t="b">
        <v>0</v>
      </c>
      <c r="H1681" t="s">
        <v>15</v>
      </c>
    </row>
    <row r="1682" spans="1:8">
      <c r="A1682" t="s">
        <v>161</v>
      </c>
      <c r="B1682" t="s">
        <v>87</v>
      </c>
      <c r="C1682">
        <v>684</v>
      </c>
      <c r="D1682" t="s">
        <v>171</v>
      </c>
      <c r="E1682" s="242">
        <v>41306</v>
      </c>
      <c r="G1682" t="b">
        <v>0</v>
      </c>
      <c r="H1682" t="s">
        <v>15</v>
      </c>
    </row>
    <row r="1683" spans="1:8">
      <c r="A1683" t="s">
        <v>165</v>
      </c>
      <c r="B1683" t="s">
        <v>87</v>
      </c>
      <c r="C1683">
        <v>684</v>
      </c>
      <c r="D1683" t="s">
        <v>171</v>
      </c>
      <c r="E1683" s="242">
        <v>40513</v>
      </c>
      <c r="G1683" t="b">
        <v>0</v>
      </c>
      <c r="H1683" t="s">
        <v>15</v>
      </c>
    </row>
    <row r="1684" spans="1:8">
      <c r="A1684" t="s">
        <v>162</v>
      </c>
      <c r="B1684" t="s">
        <v>87</v>
      </c>
      <c r="C1684">
        <v>684</v>
      </c>
      <c r="D1684" t="s">
        <v>171</v>
      </c>
      <c r="E1684" s="242">
        <v>41091</v>
      </c>
      <c r="G1684" t="b">
        <v>0</v>
      </c>
      <c r="H1684" t="s">
        <v>15</v>
      </c>
    </row>
    <row r="1685" spans="1:8">
      <c r="A1685" t="s">
        <v>163</v>
      </c>
      <c r="B1685" t="s">
        <v>87</v>
      </c>
      <c r="C1685">
        <v>684</v>
      </c>
      <c r="D1685" t="s">
        <v>171</v>
      </c>
      <c r="E1685" s="242">
        <v>41091</v>
      </c>
      <c r="G1685" t="b">
        <v>0</v>
      </c>
      <c r="H1685" t="s">
        <v>15</v>
      </c>
    </row>
    <row r="1686" spans="1:8">
      <c r="A1686" t="s">
        <v>166</v>
      </c>
      <c r="B1686" t="s">
        <v>87</v>
      </c>
      <c r="C1686">
        <v>684</v>
      </c>
      <c r="D1686" t="s">
        <v>171</v>
      </c>
      <c r="E1686" s="242">
        <v>40522</v>
      </c>
      <c r="G1686" t="b">
        <v>0</v>
      </c>
      <c r="H1686" t="s">
        <v>15</v>
      </c>
    </row>
    <row r="1687" spans="1:8">
      <c r="A1687" t="s">
        <v>149</v>
      </c>
      <c r="B1687" t="s">
        <v>87</v>
      </c>
      <c r="C1687">
        <v>684</v>
      </c>
      <c r="D1687" t="s">
        <v>171</v>
      </c>
      <c r="E1687" s="242">
        <v>40087</v>
      </c>
      <c r="G1687" t="b">
        <v>0</v>
      </c>
      <c r="H1687" t="s">
        <v>15</v>
      </c>
    </row>
    <row r="1688" spans="1:8">
      <c r="A1688" t="s">
        <v>150</v>
      </c>
      <c r="B1688" t="s">
        <v>87</v>
      </c>
      <c r="C1688">
        <v>684</v>
      </c>
      <c r="D1688" t="s">
        <v>171</v>
      </c>
      <c r="E1688" s="242">
        <v>39995</v>
      </c>
      <c r="G1688" t="b">
        <v>0</v>
      </c>
      <c r="H1688" t="s">
        <v>15</v>
      </c>
    </row>
    <row r="1689" spans="1:8">
      <c r="A1689" t="s">
        <v>151</v>
      </c>
      <c r="B1689" t="s">
        <v>87</v>
      </c>
      <c r="C1689">
        <v>684</v>
      </c>
      <c r="D1689" t="s">
        <v>171</v>
      </c>
      <c r="E1689" s="242">
        <v>39995</v>
      </c>
      <c r="G1689" t="b">
        <v>0</v>
      </c>
      <c r="H1689" t="s">
        <v>15</v>
      </c>
    </row>
    <row r="1690" spans="1:8">
      <c r="A1690" t="s">
        <v>152</v>
      </c>
      <c r="B1690" t="s">
        <v>87</v>
      </c>
      <c r="C1690">
        <v>684</v>
      </c>
      <c r="D1690" t="s">
        <v>171</v>
      </c>
      <c r="E1690" s="242">
        <v>40026</v>
      </c>
      <c r="G1690" t="b">
        <v>0</v>
      </c>
      <c r="H1690" t="s">
        <v>15</v>
      </c>
    </row>
    <row r="1691" spans="1:8">
      <c r="A1691" t="s">
        <v>145</v>
      </c>
      <c r="B1691" t="s">
        <v>87</v>
      </c>
      <c r="C1691">
        <v>684</v>
      </c>
      <c r="D1691" t="s">
        <v>171</v>
      </c>
      <c r="E1691" s="242">
        <v>40087</v>
      </c>
      <c r="G1691" t="b">
        <v>0</v>
      </c>
      <c r="H1691" t="s">
        <v>15</v>
      </c>
    </row>
    <row r="1692" spans="1:8">
      <c r="A1692" t="s">
        <v>167</v>
      </c>
      <c r="B1692" t="s">
        <v>87</v>
      </c>
      <c r="C1692">
        <v>684</v>
      </c>
      <c r="D1692" t="s">
        <v>171</v>
      </c>
      <c r="E1692" s="242">
        <v>40118</v>
      </c>
      <c r="G1692" t="b">
        <v>0</v>
      </c>
      <c r="H1692" t="s">
        <v>15</v>
      </c>
    </row>
    <row r="1693" spans="1:8">
      <c r="A1693" t="s">
        <v>153</v>
      </c>
      <c r="B1693" t="s">
        <v>87</v>
      </c>
      <c r="C1693">
        <v>684</v>
      </c>
      <c r="D1693" t="s">
        <v>171</v>
      </c>
      <c r="E1693" s="242">
        <v>40148</v>
      </c>
      <c r="G1693" t="b">
        <v>0</v>
      </c>
      <c r="H1693" t="s">
        <v>15</v>
      </c>
    </row>
    <row r="1694" spans="1:8">
      <c r="A1694" t="s">
        <v>154</v>
      </c>
      <c r="B1694" t="s">
        <v>87</v>
      </c>
      <c r="C1694">
        <v>684</v>
      </c>
      <c r="D1694" t="s">
        <v>171</v>
      </c>
      <c r="E1694" s="242">
        <v>40210</v>
      </c>
      <c r="G1694" t="b">
        <v>0</v>
      </c>
      <c r="H1694" t="s">
        <v>15</v>
      </c>
    </row>
    <row r="1695" spans="1:8">
      <c r="A1695" t="s">
        <v>168</v>
      </c>
      <c r="B1695" t="s">
        <v>87</v>
      </c>
      <c r="C1695">
        <v>684</v>
      </c>
      <c r="D1695" t="s">
        <v>171</v>
      </c>
      <c r="E1695" s="242">
        <v>40210</v>
      </c>
      <c r="G1695" t="b">
        <v>0</v>
      </c>
      <c r="H1695" t="s">
        <v>15</v>
      </c>
    </row>
    <row r="1696" spans="1:8">
      <c r="A1696" t="s">
        <v>155</v>
      </c>
      <c r="B1696" t="s">
        <v>87</v>
      </c>
      <c r="C1696">
        <v>684</v>
      </c>
      <c r="D1696" t="s">
        <v>171</v>
      </c>
      <c r="E1696" s="242">
        <v>40057</v>
      </c>
      <c r="G1696" t="b">
        <v>0</v>
      </c>
      <c r="H1696" t="s">
        <v>15</v>
      </c>
    </row>
    <row r="1697" spans="1:8">
      <c r="A1697" t="s">
        <v>156</v>
      </c>
      <c r="B1697" t="s">
        <v>87</v>
      </c>
      <c r="C1697">
        <v>684</v>
      </c>
      <c r="D1697" t="s">
        <v>171</v>
      </c>
      <c r="E1697" s="242">
        <v>40057</v>
      </c>
      <c r="G1697" t="b">
        <v>0</v>
      </c>
      <c r="H1697" t="s">
        <v>15</v>
      </c>
    </row>
    <row r="1698" spans="1:8">
      <c r="A1698" t="s">
        <v>157</v>
      </c>
      <c r="B1698" t="s">
        <v>87</v>
      </c>
      <c r="C1698">
        <v>684</v>
      </c>
      <c r="D1698" t="s">
        <v>171</v>
      </c>
      <c r="E1698" s="242">
        <v>40148</v>
      </c>
      <c r="G1698" t="b">
        <v>0</v>
      </c>
      <c r="H1698" t="s">
        <v>15</v>
      </c>
    </row>
    <row r="1699" spans="1:8">
      <c r="A1699" t="s">
        <v>169</v>
      </c>
      <c r="B1699" t="s">
        <v>87</v>
      </c>
      <c r="C1699">
        <v>684</v>
      </c>
      <c r="D1699" t="s">
        <v>171</v>
      </c>
      <c r="E1699" s="242">
        <v>40391</v>
      </c>
      <c r="G1699" t="b">
        <v>0</v>
      </c>
      <c r="H1699" t="s">
        <v>15</v>
      </c>
    </row>
    <row r="1700" spans="1:8">
      <c r="A1700" t="s">
        <v>170</v>
      </c>
      <c r="B1700" t="s">
        <v>87</v>
      </c>
      <c r="C1700">
        <v>684</v>
      </c>
      <c r="D1700" t="s">
        <v>171</v>
      </c>
      <c r="E1700" s="242">
        <v>40422</v>
      </c>
      <c r="G1700" t="b">
        <v>0</v>
      </c>
      <c r="H1700" t="s">
        <v>15</v>
      </c>
    </row>
    <row r="1701" spans="1:8">
      <c r="A1701" t="s">
        <v>158</v>
      </c>
      <c r="B1701" t="s">
        <v>87</v>
      </c>
      <c r="C1701">
        <v>684</v>
      </c>
      <c r="D1701" t="s">
        <v>171</v>
      </c>
      <c r="E1701" s="242">
        <v>40360</v>
      </c>
      <c r="G1701" t="b">
        <v>0</v>
      </c>
      <c r="H1701" t="s">
        <v>15</v>
      </c>
    </row>
    <row r="1702" spans="1:8">
      <c r="A1702" t="s">
        <v>159</v>
      </c>
      <c r="B1702" t="s">
        <v>87</v>
      </c>
      <c r="C1702">
        <v>684</v>
      </c>
      <c r="D1702" t="s">
        <v>171</v>
      </c>
      <c r="E1702" s="242">
        <v>40391</v>
      </c>
      <c r="G1702" t="b">
        <v>0</v>
      </c>
      <c r="H1702" t="s">
        <v>15</v>
      </c>
    </row>
    <row r="1703" spans="1:8">
      <c r="A1703" t="s">
        <v>160</v>
      </c>
      <c r="B1703" t="s">
        <v>87</v>
      </c>
      <c r="C1703">
        <v>684</v>
      </c>
      <c r="D1703" t="s">
        <v>171</v>
      </c>
      <c r="E1703" s="242">
        <v>40513</v>
      </c>
      <c r="G1703" t="b">
        <v>0</v>
      </c>
      <c r="H1703" t="s">
        <v>15</v>
      </c>
    </row>
    <row r="1704" spans="1:8">
      <c r="A1704" t="s">
        <v>164</v>
      </c>
      <c r="B1704" t="s">
        <v>87</v>
      </c>
      <c r="C1704">
        <v>685</v>
      </c>
      <c r="D1704" t="s">
        <v>171</v>
      </c>
      <c r="E1704" s="242">
        <v>41122</v>
      </c>
      <c r="G1704" t="b">
        <v>0</v>
      </c>
      <c r="H1704" t="s">
        <v>15</v>
      </c>
    </row>
    <row r="1705" spans="1:8">
      <c r="A1705" t="s">
        <v>161</v>
      </c>
      <c r="B1705" t="s">
        <v>87</v>
      </c>
      <c r="C1705">
        <v>685</v>
      </c>
      <c r="D1705" t="s">
        <v>171</v>
      </c>
      <c r="E1705" s="242">
        <v>41306</v>
      </c>
      <c r="G1705" t="b">
        <v>0</v>
      </c>
      <c r="H1705" t="s">
        <v>15</v>
      </c>
    </row>
    <row r="1706" spans="1:8">
      <c r="A1706" t="s">
        <v>165</v>
      </c>
      <c r="B1706" t="s">
        <v>87</v>
      </c>
      <c r="C1706">
        <v>685</v>
      </c>
      <c r="D1706" t="s">
        <v>171</v>
      </c>
      <c r="E1706" s="242">
        <v>40513</v>
      </c>
      <c r="G1706" t="b">
        <v>0</v>
      </c>
      <c r="H1706" t="s">
        <v>15</v>
      </c>
    </row>
    <row r="1707" spans="1:8">
      <c r="A1707" t="s">
        <v>162</v>
      </c>
      <c r="B1707" t="s">
        <v>87</v>
      </c>
      <c r="C1707">
        <v>685</v>
      </c>
      <c r="D1707" t="s">
        <v>171</v>
      </c>
      <c r="E1707" s="242">
        <v>41091</v>
      </c>
      <c r="G1707" t="b">
        <v>0</v>
      </c>
      <c r="H1707" t="s">
        <v>15</v>
      </c>
    </row>
    <row r="1708" spans="1:8">
      <c r="A1708" t="s">
        <v>163</v>
      </c>
      <c r="B1708" t="s">
        <v>87</v>
      </c>
      <c r="C1708">
        <v>685</v>
      </c>
      <c r="D1708" t="s">
        <v>171</v>
      </c>
      <c r="E1708" s="242">
        <v>41091</v>
      </c>
      <c r="G1708" t="b">
        <v>0</v>
      </c>
      <c r="H1708" t="s">
        <v>15</v>
      </c>
    </row>
    <row r="1709" spans="1:8">
      <c r="A1709" t="s">
        <v>166</v>
      </c>
      <c r="B1709" t="s">
        <v>87</v>
      </c>
      <c r="C1709">
        <v>685</v>
      </c>
      <c r="D1709" t="s">
        <v>171</v>
      </c>
      <c r="E1709" s="242">
        <v>40522</v>
      </c>
      <c r="G1709" t="b">
        <v>0</v>
      </c>
      <c r="H1709" t="s">
        <v>15</v>
      </c>
    </row>
    <row r="1710" spans="1:8">
      <c r="A1710" t="s">
        <v>149</v>
      </c>
      <c r="B1710" t="s">
        <v>87</v>
      </c>
      <c r="C1710">
        <v>685</v>
      </c>
      <c r="D1710" t="s">
        <v>171</v>
      </c>
      <c r="E1710" s="242">
        <v>40087</v>
      </c>
      <c r="G1710" t="b">
        <v>0</v>
      </c>
      <c r="H1710" t="s">
        <v>15</v>
      </c>
    </row>
    <row r="1711" spans="1:8">
      <c r="A1711" t="s">
        <v>150</v>
      </c>
      <c r="B1711" t="s">
        <v>87</v>
      </c>
      <c r="C1711">
        <v>685</v>
      </c>
      <c r="D1711" t="s">
        <v>171</v>
      </c>
      <c r="E1711" s="242">
        <v>39995</v>
      </c>
      <c r="G1711" t="b">
        <v>0</v>
      </c>
      <c r="H1711" t="s">
        <v>15</v>
      </c>
    </row>
    <row r="1712" spans="1:8">
      <c r="A1712" t="s">
        <v>151</v>
      </c>
      <c r="B1712" t="s">
        <v>87</v>
      </c>
      <c r="C1712">
        <v>685</v>
      </c>
      <c r="D1712" t="s">
        <v>171</v>
      </c>
      <c r="E1712" s="242">
        <v>39995</v>
      </c>
      <c r="G1712" t="b">
        <v>0</v>
      </c>
      <c r="H1712" t="s">
        <v>15</v>
      </c>
    </row>
    <row r="1713" spans="1:8">
      <c r="A1713" t="s">
        <v>152</v>
      </c>
      <c r="B1713" t="s">
        <v>87</v>
      </c>
      <c r="C1713">
        <v>685</v>
      </c>
      <c r="D1713" t="s">
        <v>171</v>
      </c>
      <c r="E1713" s="242">
        <v>40026</v>
      </c>
      <c r="G1713" t="b">
        <v>0</v>
      </c>
      <c r="H1713" t="s">
        <v>15</v>
      </c>
    </row>
    <row r="1714" spans="1:8">
      <c r="A1714" t="s">
        <v>145</v>
      </c>
      <c r="B1714" t="s">
        <v>87</v>
      </c>
      <c r="C1714">
        <v>685</v>
      </c>
      <c r="D1714" t="s">
        <v>171</v>
      </c>
      <c r="E1714" s="242">
        <v>40087</v>
      </c>
      <c r="G1714" t="b">
        <v>0</v>
      </c>
      <c r="H1714" t="s">
        <v>15</v>
      </c>
    </row>
    <row r="1715" spans="1:8">
      <c r="A1715" t="s">
        <v>167</v>
      </c>
      <c r="B1715" t="s">
        <v>87</v>
      </c>
      <c r="C1715">
        <v>685</v>
      </c>
      <c r="D1715" t="s">
        <v>171</v>
      </c>
      <c r="E1715" s="242">
        <v>40118</v>
      </c>
      <c r="G1715" t="b">
        <v>0</v>
      </c>
      <c r="H1715" t="s">
        <v>15</v>
      </c>
    </row>
    <row r="1716" spans="1:8">
      <c r="A1716" t="s">
        <v>153</v>
      </c>
      <c r="B1716" t="s">
        <v>87</v>
      </c>
      <c r="C1716">
        <v>685</v>
      </c>
      <c r="D1716" t="s">
        <v>171</v>
      </c>
      <c r="E1716" s="242">
        <v>40148</v>
      </c>
      <c r="G1716" t="b">
        <v>0</v>
      </c>
      <c r="H1716" t="s">
        <v>15</v>
      </c>
    </row>
    <row r="1717" spans="1:8">
      <c r="A1717" t="s">
        <v>154</v>
      </c>
      <c r="B1717" t="s">
        <v>87</v>
      </c>
      <c r="C1717">
        <v>685</v>
      </c>
      <c r="D1717" t="s">
        <v>171</v>
      </c>
      <c r="E1717" s="242">
        <v>40210</v>
      </c>
      <c r="G1717" t="b">
        <v>0</v>
      </c>
      <c r="H1717" t="s">
        <v>15</v>
      </c>
    </row>
    <row r="1718" spans="1:8">
      <c r="A1718" t="s">
        <v>168</v>
      </c>
      <c r="B1718" t="s">
        <v>87</v>
      </c>
      <c r="C1718">
        <v>685</v>
      </c>
      <c r="D1718" t="s">
        <v>171</v>
      </c>
      <c r="E1718" s="242">
        <v>40210</v>
      </c>
      <c r="G1718" t="b">
        <v>0</v>
      </c>
      <c r="H1718" t="s">
        <v>15</v>
      </c>
    </row>
    <row r="1719" spans="1:8">
      <c r="A1719" t="s">
        <v>155</v>
      </c>
      <c r="B1719" t="s">
        <v>87</v>
      </c>
      <c r="C1719">
        <v>685</v>
      </c>
      <c r="D1719" t="s">
        <v>171</v>
      </c>
      <c r="E1719" s="242">
        <v>40057</v>
      </c>
      <c r="G1719" t="b">
        <v>0</v>
      </c>
      <c r="H1719" t="s">
        <v>15</v>
      </c>
    </row>
    <row r="1720" spans="1:8">
      <c r="A1720" t="s">
        <v>156</v>
      </c>
      <c r="B1720" t="s">
        <v>87</v>
      </c>
      <c r="C1720">
        <v>685</v>
      </c>
      <c r="D1720" t="s">
        <v>171</v>
      </c>
      <c r="E1720" s="242">
        <v>40057</v>
      </c>
      <c r="G1720" t="b">
        <v>0</v>
      </c>
      <c r="H1720" t="s">
        <v>15</v>
      </c>
    </row>
    <row r="1721" spans="1:8">
      <c r="A1721" t="s">
        <v>157</v>
      </c>
      <c r="B1721" t="s">
        <v>87</v>
      </c>
      <c r="C1721">
        <v>685</v>
      </c>
      <c r="D1721" t="s">
        <v>171</v>
      </c>
      <c r="E1721" s="242">
        <v>40148</v>
      </c>
      <c r="G1721" t="b">
        <v>0</v>
      </c>
      <c r="H1721" t="s">
        <v>15</v>
      </c>
    </row>
    <row r="1722" spans="1:8">
      <c r="A1722" t="s">
        <v>169</v>
      </c>
      <c r="B1722" t="s">
        <v>87</v>
      </c>
      <c r="C1722">
        <v>685</v>
      </c>
      <c r="D1722" t="s">
        <v>171</v>
      </c>
      <c r="E1722" s="242">
        <v>40391</v>
      </c>
      <c r="G1722" t="b">
        <v>0</v>
      </c>
      <c r="H1722" t="s">
        <v>15</v>
      </c>
    </row>
    <row r="1723" spans="1:8">
      <c r="A1723" t="s">
        <v>170</v>
      </c>
      <c r="B1723" t="s">
        <v>87</v>
      </c>
      <c r="C1723">
        <v>685</v>
      </c>
      <c r="D1723" t="s">
        <v>171</v>
      </c>
      <c r="E1723" s="242">
        <v>40695</v>
      </c>
      <c r="G1723" t="b">
        <v>0</v>
      </c>
      <c r="H1723" t="s">
        <v>15</v>
      </c>
    </row>
    <row r="1724" spans="1:8">
      <c r="A1724" t="s">
        <v>158</v>
      </c>
      <c r="B1724" t="s">
        <v>87</v>
      </c>
      <c r="C1724">
        <v>685</v>
      </c>
      <c r="D1724" t="s">
        <v>171</v>
      </c>
      <c r="E1724" s="242">
        <v>40360</v>
      </c>
      <c r="G1724" t="b">
        <v>0</v>
      </c>
      <c r="H1724" t="s">
        <v>15</v>
      </c>
    </row>
    <row r="1725" spans="1:8">
      <c r="A1725" t="s">
        <v>159</v>
      </c>
      <c r="B1725" t="s">
        <v>87</v>
      </c>
      <c r="C1725">
        <v>685</v>
      </c>
      <c r="D1725" t="s">
        <v>171</v>
      </c>
      <c r="E1725" s="242">
        <v>40391</v>
      </c>
      <c r="G1725" t="b">
        <v>0</v>
      </c>
      <c r="H1725" t="s">
        <v>15</v>
      </c>
    </row>
    <row r="1726" spans="1:8">
      <c r="A1726" t="s">
        <v>160</v>
      </c>
      <c r="B1726" t="s">
        <v>87</v>
      </c>
      <c r="C1726">
        <v>685</v>
      </c>
      <c r="D1726" t="s">
        <v>171</v>
      </c>
      <c r="E1726" s="242">
        <v>40513</v>
      </c>
      <c r="G1726" t="b">
        <v>0</v>
      </c>
      <c r="H1726" t="s">
        <v>15</v>
      </c>
    </row>
    <row r="1727" spans="1:8">
      <c r="A1727" t="s">
        <v>164</v>
      </c>
      <c r="B1727" t="s">
        <v>87</v>
      </c>
      <c r="C1727">
        <v>700</v>
      </c>
      <c r="D1727" t="s">
        <v>171</v>
      </c>
      <c r="E1727" s="242">
        <v>39264</v>
      </c>
      <c r="G1727" t="b">
        <v>0</v>
      </c>
      <c r="H1727" t="s">
        <v>15</v>
      </c>
    </row>
    <row r="1728" spans="1:8">
      <c r="A1728" t="s">
        <v>161</v>
      </c>
      <c r="B1728" t="s">
        <v>87</v>
      </c>
      <c r="C1728">
        <v>700</v>
      </c>
      <c r="D1728" t="s">
        <v>171</v>
      </c>
      <c r="E1728" s="242">
        <v>39295</v>
      </c>
      <c r="G1728" t="b">
        <v>0</v>
      </c>
      <c r="H1728" t="s">
        <v>15</v>
      </c>
    </row>
    <row r="1729" spans="1:8">
      <c r="A1729" t="s">
        <v>165</v>
      </c>
      <c r="B1729" t="s">
        <v>87</v>
      </c>
      <c r="C1729">
        <v>700</v>
      </c>
      <c r="D1729" t="s">
        <v>171</v>
      </c>
      <c r="E1729" s="242">
        <v>40483</v>
      </c>
      <c r="G1729" t="b">
        <v>0</v>
      </c>
      <c r="H1729" t="s">
        <v>15</v>
      </c>
    </row>
    <row r="1730" spans="1:8">
      <c r="A1730" t="s">
        <v>148</v>
      </c>
      <c r="B1730" t="s">
        <v>87</v>
      </c>
      <c r="C1730">
        <v>700</v>
      </c>
      <c r="D1730" t="s">
        <v>171</v>
      </c>
      <c r="E1730" s="242">
        <v>39814</v>
      </c>
      <c r="G1730" t="b">
        <v>0</v>
      </c>
      <c r="H1730" t="s">
        <v>15</v>
      </c>
    </row>
    <row r="1731" spans="1:8">
      <c r="A1731" t="s">
        <v>162</v>
      </c>
      <c r="B1731" t="s">
        <v>87</v>
      </c>
      <c r="C1731">
        <v>700</v>
      </c>
      <c r="D1731" t="s">
        <v>171</v>
      </c>
      <c r="E1731" s="242">
        <v>41821.560416666667</v>
      </c>
      <c r="F1731">
        <v>0</v>
      </c>
      <c r="G1731" t="b">
        <v>0</v>
      </c>
      <c r="H1731" t="s">
        <v>15</v>
      </c>
    </row>
    <row r="1732" spans="1:8">
      <c r="A1732" t="s">
        <v>163</v>
      </c>
      <c r="B1732" t="s">
        <v>87</v>
      </c>
      <c r="C1732">
        <v>700</v>
      </c>
      <c r="D1732" t="s">
        <v>171</v>
      </c>
      <c r="E1732" s="242">
        <v>39873</v>
      </c>
      <c r="G1732" t="b">
        <v>0</v>
      </c>
      <c r="H1732" t="s">
        <v>15</v>
      </c>
    </row>
    <row r="1733" spans="1:8">
      <c r="A1733" t="s">
        <v>166</v>
      </c>
      <c r="B1733" t="s">
        <v>87</v>
      </c>
      <c r="C1733">
        <v>700</v>
      </c>
      <c r="D1733" t="s">
        <v>171</v>
      </c>
      <c r="E1733" s="242">
        <v>39507</v>
      </c>
      <c r="G1733" t="b">
        <v>0</v>
      </c>
      <c r="H1733" t="s">
        <v>15</v>
      </c>
    </row>
    <row r="1734" spans="1:8">
      <c r="A1734" t="s">
        <v>149</v>
      </c>
      <c r="B1734" t="s">
        <v>87</v>
      </c>
      <c r="C1734">
        <v>700</v>
      </c>
      <c r="D1734" t="s">
        <v>171</v>
      </c>
      <c r="E1734" s="242">
        <v>42109.396527777775</v>
      </c>
      <c r="F1734">
        <v>0</v>
      </c>
      <c r="G1734" t="b">
        <v>0</v>
      </c>
      <c r="H1734" t="s">
        <v>15</v>
      </c>
    </row>
    <row r="1735" spans="1:8">
      <c r="A1735" t="s">
        <v>150</v>
      </c>
      <c r="B1735" t="s">
        <v>87</v>
      </c>
      <c r="C1735">
        <v>700</v>
      </c>
      <c r="D1735" t="s">
        <v>171</v>
      </c>
      <c r="E1735" s="242">
        <v>42095</v>
      </c>
      <c r="F1735">
        <v>0</v>
      </c>
      <c r="G1735" t="b">
        <v>0</v>
      </c>
      <c r="H1735" t="s">
        <v>15</v>
      </c>
    </row>
    <row r="1736" spans="1:8">
      <c r="A1736" t="s">
        <v>151</v>
      </c>
      <c r="B1736" t="s">
        <v>87</v>
      </c>
      <c r="C1736">
        <v>700</v>
      </c>
      <c r="D1736" t="s">
        <v>171</v>
      </c>
      <c r="E1736" s="242">
        <v>39934</v>
      </c>
      <c r="G1736" t="b">
        <v>0</v>
      </c>
      <c r="H1736" t="s">
        <v>15</v>
      </c>
    </row>
    <row r="1737" spans="1:8">
      <c r="A1737" t="s">
        <v>152</v>
      </c>
      <c r="B1737" t="s">
        <v>87</v>
      </c>
      <c r="C1737">
        <v>700</v>
      </c>
      <c r="D1737" t="s">
        <v>171</v>
      </c>
      <c r="E1737" s="242">
        <v>39904</v>
      </c>
      <c r="G1737" t="b">
        <v>0</v>
      </c>
      <c r="H1737" t="s">
        <v>15</v>
      </c>
    </row>
    <row r="1738" spans="1:8">
      <c r="A1738" t="s">
        <v>145</v>
      </c>
      <c r="B1738" t="s">
        <v>87</v>
      </c>
      <c r="C1738">
        <v>700</v>
      </c>
      <c r="D1738" t="s">
        <v>171</v>
      </c>
      <c r="E1738" s="242">
        <v>40087</v>
      </c>
      <c r="G1738" t="b">
        <v>0</v>
      </c>
      <c r="H1738" t="s">
        <v>15</v>
      </c>
    </row>
    <row r="1739" spans="1:8">
      <c r="A1739" t="s">
        <v>167</v>
      </c>
      <c r="B1739" t="s">
        <v>87</v>
      </c>
      <c r="C1739">
        <v>700</v>
      </c>
      <c r="D1739" t="s">
        <v>171</v>
      </c>
      <c r="E1739" s="242">
        <v>40179</v>
      </c>
      <c r="G1739" t="b">
        <v>0</v>
      </c>
      <c r="H1739" t="s">
        <v>15</v>
      </c>
    </row>
    <row r="1740" spans="1:8">
      <c r="A1740" t="s">
        <v>153</v>
      </c>
      <c r="B1740" t="s">
        <v>87</v>
      </c>
      <c r="C1740">
        <v>700</v>
      </c>
      <c r="D1740" t="s">
        <v>171</v>
      </c>
      <c r="E1740" s="242">
        <v>39934</v>
      </c>
      <c r="G1740" t="b">
        <v>0</v>
      </c>
      <c r="H1740" t="s">
        <v>15</v>
      </c>
    </row>
    <row r="1741" spans="1:8">
      <c r="A1741" t="s">
        <v>154</v>
      </c>
      <c r="B1741" t="s">
        <v>87</v>
      </c>
      <c r="C1741">
        <v>700</v>
      </c>
      <c r="D1741" t="s">
        <v>171</v>
      </c>
      <c r="E1741" s="242">
        <v>40238</v>
      </c>
      <c r="G1741" t="b">
        <v>0</v>
      </c>
      <c r="H1741" t="s">
        <v>15</v>
      </c>
    </row>
    <row r="1742" spans="1:8">
      <c r="A1742" t="s">
        <v>168</v>
      </c>
      <c r="B1742" t="s">
        <v>87</v>
      </c>
      <c r="C1742">
        <v>700</v>
      </c>
      <c r="D1742" t="s">
        <v>171</v>
      </c>
      <c r="E1742" s="242">
        <v>40238</v>
      </c>
      <c r="G1742" t="b">
        <v>0</v>
      </c>
      <c r="H1742" t="s">
        <v>15</v>
      </c>
    </row>
    <row r="1743" spans="1:8">
      <c r="A1743" t="s">
        <v>155</v>
      </c>
      <c r="B1743" t="s">
        <v>87</v>
      </c>
      <c r="C1743">
        <v>700</v>
      </c>
      <c r="D1743" t="s">
        <v>171</v>
      </c>
      <c r="E1743" s="242">
        <v>42109.402777777781</v>
      </c>
      <c r="F1743">
        <v>0</v>
      </c>
      <c r="G1743" t="b">
        <v>0</v>
      </c>
      <c r="H1743" t="s">
        <v>15</v>
      </c>
    </row>
    <row r="1744" spans="1:8">
      <c r="A1744" t="s">
        <v>156</v>
      </c>
      <c r="B1744" t="s">
        <v>87</v>
      </c>
      <c r="C1744">
        <v>700</v>
      </c>
      <c r="D1744" t="s">
        <v>171</v>
      </c>
      <c r="E1744" s="242">
        <v>42111.106249999997</v>
      </c>
      <c r="F1744">
        <v>0</v>
      </c>
      <c r="G1744" t="b">
        <v>0</v>
      </c>
      <c r="H1744" t="s">
        <v>15</v>
      </c>
    </row>
    <row r="1745" spans="1:8">
      <c r="A1745" t="s">
        <v>157</v>
      </c>
      <c r="B1745" t="s">
        <v>87</v>
      </c>
      <c r="C1745">
        <v>700</v>
      </c>
      <c r="D1745" t="s">
        <v>171</v>
      </c>
      <c r="E1745" s="242">
        <v>40269</v>
      </c>
      <c r="G1745" t="b">
        <v>0</v>
      </c>
      <c r="H1745" t="s">
        <v>15</v>
      </c>
    </row>
    <row r="1746" spans="1:8">
      <c r="A1746" t="s">
        <v>169</v>
      </c>
      <c r="B1746" t="s">
        <v>87</v>
      </c>
      <c r="C1746">
        <v>700</v>
      </c>
      <c r="D1746" t="s">
        <v>171</v>
      </c>
      <c r="E1746" s="242">
        <v>40451</v>
      </c>
      <c r="G1746" t="b">
        <v>0</v>
      </c>
      <c r="H1746" t="s">
        <v>15</v>
      </c>
    </row>
    <row r="1747" spans="1:8">
      <c r="A1747" t="s">
        <v>170</v>
      </c>
      <c r="B1747" t="s">
        <v>87</v>
      </c>
      <c r="C1747">
        <v>700</v>
      </c>
      <c r="D1747" t="s">
        <v>171</v>
      </c>
      <c r="E1747" s="242">
        <v>39934</v>
      </c>
      <c r="G1747" t="b">
        <v>0</v>
      </c>
      <c r="H1747" t="s">
        <v>15</v>
      </c>
    </row>
    <row r="1748" spans="1:8">
      <c r="A1748" t="s">
        <v>158</v>
      </c>
      <c r="B1748" t="s">
        <v>87</v>
      </c>
      <c r="C1748">
        <v>700</v>
      </c>
      <c r="D1748" t="s">
        <v>171</v>
      </c>
      <c r="E1748" s="242">
        <v>40391</v>
      </c>
      <c r="G1748" t="b">
        <v>0</v>
      </c>
      <c r="H1748" t="s">
        <v>15</v>
      </c>
    </row>
    <row r="1749" spans="1:8">
      <c r="A1749" t="s">
        <v>159</v>
      </c>
      <c r="B1749" t="s">
        <v>87</v>
      </c>
      <c r="C1749">
        <v>700</v>
      </c>
      <c r="D1749" t="s">
        <v>171</v>
      </c>
      <c r="E1749" s="242">
        <v>40422</v>
      </c>
      <c r="G1749" t="b">
        <v>0</v>
      </c>
      <c r="H1749" t="s">
        <v>15</v>
      </c>
    </row>
    <row r="1750" spans="1:8">
      <c r="A1750" t="s">
        <v>160</v>
      </c>
      <c r="B1750" t="s">
        <v>87</v>
      </c>
      <c r="C1750">
        <v>700</v>
      </c>
      <c r="D1750" t="s">
        <v>171</v>
      </c>
      <c r="E1750" s="242">
        <v>40544</v>
      </c>
      <c r="G1750" t="b">
        <v>0</v>
      </c>
      <c r="H1750" t="s">
        <v>15</v>
      </c>
    </row>
    <row r="1751" spans="1:8">
      <c r="A1751" t="s">
        <v>164</v>
      </c>
      <c r="B1751" t="s">
        <v>87</v>
      </c>
      <c r="C1751">
        <v>703</v>
      </c>
      <c r="D1751" t="s">
        <v>171</v>
      </c>
      <c r="E1751" s="242">
        <v>40391</v>
      </c>
      <c r="G1751" t="b">
        <v>0</v>
      </c>
      <c r="H1751" t="s">
        <v>15</v>
      </c>
    </row>
    <row r="1752" spans="1:8">
      <c r="A1752" t="s">
        <v>161</v>
      </c>
      <c r="B1752" t="s">
        <v>87</v>
      </c>
      <c r="C1752">
        <v>703</v>
      </c>
      <c r="D1752" t="s">
        <v>171</v>
      </c>
      <c r="E1752" s="242">
        <v>41030</v>
      </c>
      <c r="G1752" t="b">
        <v>0</v>
      </c>
      <c r="H1752" t="s">
        <v>15</v>
      </c>
    </row>
    <row r="1753" spans="1:8">
      <c r="A1753" t="s">
        <v>165</v>
      </c>
      <c r="B1753" t="s">
        <v>87</v>
      </c>
      <c r="C1753">
        <v>703</v>
      </c>
      <c r="D1753" t="s">
        <v>171</v>
      </c>
      <c r="E1753" s="242">
        <v>40483</v>
      </c>
      <c r="G1753" t="b">
        <v>0</v>
      </c>
      <c r="H1753" t="s">
        <v>15</v>
      </c>
    </row>
    <row r="1754" spans="1:8">
      <c r="A1754" t="s">
        <v>148</v>
      </c>
      <c r="B1754" t="s">
        <v>87</v>
      </c>
      <c r="C1754">
        <v>703</v>
      </c>
      <c r="D1754" t="s">
        <v>171</v>
      </c>
      <c r="E1754" s="242">
        <v>40544</v>
      </c>
      <c r="G1754" t="b">
        <v>0</v>
      </c>
      <c r="H1754" t="s">
        <v>15</v>
      </c>
    </row>
    <row r="1755" spans="1:8">
      <c r="A1755" t="s">
        <v>162</v>
      </c>
      <c r="B1755" t="s">
        <v>87</v>
      </c>
      <c r="C1755">
        <v>703</v>
      </c>
      <c r="D1755" t="s">
        <v>171</v>
      </c>
      <c r="E1755" s="242">
        <v>41830.486111111109</v>
      </c>
      <c r="F1755">
        <v>0</v>
      </c>
      <c r="G1755" t="b">
        <v>0</v>
      </c>
      <c r="H1755" t="s">
        <v>15</v>
      </c>
    </row>
    <row r="1756" spans="1:8">
      <c r="A1756" t="s">
        <v>163</v>
      </c>
      <c r="B1756" t="s">
        <v>87</v>
      </c>
      <c r="C1756">
        <v>703</v>
      </c>
      <c r="D1756" t="s">
        <v>171</v>
      </c>
      <c r="E1756" s="242">
        <v>39203</v>
      </c>
      <c r="F1756">
        <v>0</v>
      </c>
      <c r="G1756" t="b">
        <v>0</v>
      </c>
      <c r="H1756" t="s">
        <v>15</v>
      </c>
    </row>
    <row r="1757" spans="1:8">
      <c r="A1757" t="s">
        <v>166</v>
      </c>
      <c r="B1757" t="s">
        <v>87</v>
      </c>
      <c r="C1757">
        <v>703</v>
      </c>
      <c r="D1757" t="s">
        <v>171</v>
      </c>
      <c r="E1757" s="242">
        <v>39172</v>
      </c>
      <c r="F1757">
        <v>0</v>
      </c>
      <c r="G1757" t="b">
        <v>0</v>
      </c>
      <c r="H1757" t="s">
        <v>15</v>
      </c>
    </row>
    <row r="1758" spans="1:8">
      <c r="A1758" t="s">
        <v>149</v>
      </c>
      <c r="B1758" t="s">
        <v>87</v>
      </c>
      <c r="C1758">
        <v>703</v>
      </c>
      <c r="D1758" t="s">
        <v>171</v>
      </c>
      <c r="E1758" s="242">
        <v>40330</v>
      </c>
      <c r="G1758" t="b">
        <v>0</v>
      </c>
      <c r="H1758" t="s">
        <v>15</v>
      </c>
    </row>
    <row r="1759" spans="1:8">
      <c r="A1759" t="s">
        <v>150</v>
      </c>
      <c r="B1759" t="s">
        <v>87</v>
      </c>
      <c r="C1759">
        <v>703</v>
      </c>
      <c r="D1759" t="s">
        <v>171</v>
      </c>
      <c r="E1759" s="242">
        <v>40695</v>
      </c>
      <c r="G1759" t="b">
        <v>0</v>
      </c>
      <c r="H1759" t="s">
        <v>15</v>
      </c>
    </row>
    <row r="1760" spans="1:8">
      <c r="A1760" t="s">
        <v>151</v>
      </c>
      <c r="B1760" t="s">
        <v>87</v>
      </c>
      <c r="C1760">
        <v>703</v>
      </c>
      <c r="D1760" t="s">
        <v>171</v>
      </c>
      <c r="E1760" s="242">
        <v>41976.629861111112</v>
      </c>
      <c r="F1760">
        <v>0</v>
      </c>
      <c r="G1760" t="b">
        <v>0</v>
      </c>
      <c r="H1760" t="s">
        <v>15</v>
      </c>
    </row>
    <row r="1761" spans="1:8">
      <c r="A1761" t="s">
        <v>152</v>
      </c>
      <c r="B1761" t="s">
        <v>87</v>
      </c>
      <c r="C1761">
        <v>703</v>
      </c>
      <c r="D1761" t="s">
        <v>171</v>
      </c>
      <c r="E1761" s="242">
        <v>42046.351388888892</v>
      </c>
      <c r="F1761">
        <v>0</v>
      </c>
      <c r="G1761" t="b">
        <v>0</v>
      </c>
      <c r="H1761" t="s">
        <v>15</v>
      </c>
    </row>
    <row r="1762" spans="1:8">
      <c r="A1762" t="s">
        <v>145</v>
      </c>
      <c r="B1762" t="s">
        <v>87</v>
      </c>
      <c r="C1762">
        <v>703</v>
      </c>
      <c r="D1762" t="s">
        <v>171</v>
      </c>
      <c r="E1762" s="242">
        <v>40299</v>
      </c>
      <c r="G1762" t="b">
        <v>0</v>
      </c>
      <c r="H1762" t="s">
        <v>15</v>
      </c>
    </row>
    <row r="1763" spans="1:8">
      <c r="A1763" t="s">
        <v>167</v>
      </c>
      <c r="B1763" t="s">
        <v>87</v>
      </c>
      <c r="C1763">
        <v>703</v>
      </c>
      <c r="D1763" t="s">
        <v>171</v>
      </c>
      <c r="E1763" s="242">
        <v>40179</v>
      </c>
      <c r="G1763" t="b">
        <v>0</v>
      </c>
      <c r="H1763" t="s">
        <v>15</v>
      </c>
    </row>
    <row r="1764" spans="1:8">
      <c r="A1764" t="s">
        <v>153</v>
      </c>
      <c r="B1764" t="s">
        <v>87</v>
      </c>
      <c r="C1764">
        <v>703</v>
      </c>
      <c r="D1764" t="s">
        <v>171</v>
      </c>
      <c r="E1764" s="242">
        <v>40209</v>
      </c>
      <c r="G1764" t="b">
        <v>0</v>
      </c>
      <c r="H1764" t="s">
        <v>15</v>
      </c>
    </row>
    <row r="1765" spans="1:8">
      <c r="A1765" t="s">
        <v>154</v>
      </c>
      <c r="B1765" t="s">
        <v>87</v>
      </c>
      <c r="C1765">
        <v>703</v>
      </c>
      <c r="D1765" t="s">
        <v>171</v>
      </c>
      <c r="E1765" s="242">
        <v>40238</v>
      </c>
      <c r="G1765" t="b">
        <v>0</v>
      </c>
      <c r="H1765" t="s">
        <v>15</v>
      </c>
    </row>
    <row r="1766" spans="1:8">
      <c r="A1766" t="s">
        <v>168</v>
      </c>
      <c r="B1766" t="s">
        <v>87</v>
      </c>
      <c r="C1766">
        <v>703</v>
      </c>
      <c r="D1766" t="s">
        <v>171</v>
      </c>
      <c r="E1766" s="242">
        <v>39753</v>
      </c>
      <c r="G1766" t="b">
        <v>0</v>
      </c>
      <c r="H1766" t="s">
        <v>15</v>
      </c>
    </row>
    <row r="1767" spans="1:8">
      <c r="A1767" t="s">
        <v>155</v>
      </c>
      <c r="B1767" t="s">
        <v>87</v>
      </c>
      <c r="C1767">
        <v>703</v>
      </c>
      <c r="D1767" t="s">
        <v>171</v>
      </c>
      <c r="E1767" s="242">
        <v>40179</v>
      </c>
      <c r="G1767" t="b">
        <v>0</v>
      </c>
      <c r="H1767" t="s">
        <v>15</v>
      </c>
    </row>
    <row r="1768" spans="1:8">
      <c r="A1768" t="s">
        <v>156</v>
      </c>
      <c r="B1768" t="s">
        <v>87</v>
      </c>
      <c r="C1768">
        <v>703</v>
      </c>
      <c r="D1768" t="s">
        <v>171</v>
      </c>
      <c r="E1768" s="242">
        <v>40664</v>
      </c>
      <c r="G1768" t="b">
        <v>0</v>
      </c>
      <c r="H1768" t="s">
        <v>15</v>
      </c>
    </row>
    <row r="1769" spans="1:8">
      <c r="A1769" t="s">
        <v>157</v>
      </c>
      <c r="B1769" t="s">
        <v>87</v>
      </c>
      <c r="C1769">
        <v>703</v>
      </c>
      <c r="D1769" t="s">
        <v>171</v>
      </c>
      <c r="E1769" s="242">
        <v>40756</v>
      </c>
      <c r="G1769" t="b">
        <v>0</v>
      </c>
      <c r="H1769" t="s">
        <v>15</v>
      </c>
    </row>
    <row r="1770" spans="1:8">
      <c r="A1770" t="s">
        <v>169</v>
      </c>
      <c r="B1770" t="s">
        <v>87</v>
      </c>
      <c r="C1770">
        <v>703</v>
      </c>
      <c r="D1770" t="s">
        <v>171</v>
      </c>
      <c r="E1770" s="242">
        <v>40451</v>
      </c>
      <c r="G1770" t="b">
        <v>0</v>
      </c>
      <c r="H1770" t="s">
        <v>15</v>
      </c>
    </row>
    <row r="1771" spans="1:8">
      <c r="A1771" t="s">
        <v>170</v>
      </c>
      <c r="B1771" t="s">
        <v>87</v>
      </c>
      <c r="C1771">
        <v>703</v>
      </c>
      <c r="D1771" t="s">
        <v>171</v>
      </c>
      <c r="E1771" s="242">
        <v>40452</v>
      </c>
      <c r="G1771" t="b">
        <v>0</v>
      </c>
      <c r="H1771" t="s">
        <v>15</v>
      </c>
    </row>
    <row r="1772" spans="1:8">
      <c r="A1772" t="s">
        <v>158</v>
      </c>
      <c r="B1772" t="s">
        <v>87</v>
      </c>
      <c r="C1772">
        <v>703</v>
      </c>
      <c r="D1772" t="s">
        <v>171</v>
      </c>
      <c r="E1772" s="242">
        <v>40422</v>
      </c>
      <c r="G1772" t="b">
        <v>0</v>
      </c>
      <c r="H1772" t="s">
        <v>15</v>
      </c>
    </row>
    <row r="1773" spans="1:8">
      <c r="A1773" t="s">
        <v>159</v>
      </c>
      <c r="B1773" t="s">
        <v>87</v>
      </c>
      <c r="C1773">
        <v>703</v>
      </c>
      <c r="D1773" t="s">
        <v>171</v>
      </c>
      <c r="E1773" s="242">
        <v>40422</v>
      </c>
      <c r="G1773" t="b">
        <v>0</v>
      </c>
      <c r="H1773" t="s">
        <v>15</v>
      </c>
    </row>
    <row r="1774" spans="1:8">
      <c r="A1774" t="s">
        <v>160</v>
      </c>
      <c r="B1774" t="s">
        <v>87</v>
      </c>
      <c r="C1774">
        <v>703</v>
      </c>
      <c r="D1774" t="s">
        <v>171</v>
      </c>
      <c r="E1774" s="242">
        <v>40544</v>
      </c>
      <c r="G1774" t="b">
        <v>0</v>
      </c>
      <c r="H1774" t="s">
        <v>15</v>
      </c>
    </row>
    <row r="1775" spans="1:8">
      <c r="A1775" t="s">
        <v>164</v>
      </c>
      <c r="B1775" t="s">
        <v>87</v>
      </c>
      <c r="C1775">
        <v>705</v>
      </c>
      <c r="D1775" t="s">
        <v>171</v>
      </c>
      <c r="E1775" s="242">
        <v>39264</v>
      </c>
      <c r="G1775" t="b">
        <v>0</v>
      </c>
      <c r="H1775" t="s">
        <v>15</v>
      </c>
    </row>
    <row r="1776" spans="1:8">
      <c r="A1776" t="s">
        <v>161</v>
      </c>
      <c r="B1776" t="s">
        <v>87</v>
      </c>
      <c r="C1776">
        <v>705</v>
      </c>
      <c r="D1776" t="s">
        <v>171</v>
      </c>
      <c r="E1776" s="242">
        <v>41000</v>
      </c>
      <c r="G1776" t="b">
        <v>0</v>
      </c>
      <c r="H1776" t="s">
        <v>15</v>
      </c>
    </row>
    <row r="1777" spans="1:8">
      <c r="A1777" t="s">
        <v>165</v>
      </c>
      <c r="B1777" t="s">
        <v>87</v>
      </c>
      <c r="C1777">
        <v>705</v>
      </c>
      <c r="D1777" t="s">
        <v>171</v>
      </c>
      <c r="E1777" s="242">
        <v>42109</v>
      </c>
      <c r="F1777">
        <v>0</v>
      </c>
      <c r="G1777" t="b">
        <v>0</v>
      </c>
      <c r="H1777" t="s">
        <v>15</v>
      </c>
    </row>
    <row r="1778" spans="1:8">
      <c r="A1778" t="s">
        <v>148</v>
      </c>
      <c r="B1778" t="s">
        <v>87</v>
      </c>
      <c r="C1778">
        <v>705</v>
      </c>
      <c r="D1778" t="s">
        <v>171</v>
      </c>
      <c r="E1778" s="242">
        <v>39264</v>
      </c>
      <c r="G1778" t="b">
        <v>0</v>
      </c>
      <c r="H1778" t="s">
        <v>15</v>
      </c>
    </row>
    <row r="1779" spans="1:8">
      <c r="A1779" t="s">
        <v>162</v>
      </c>
      <c r="B1779" t="s">
        <v>87</v>
      </c>
      <c r="C1779">
        <v>705</v>
      </c>
      <c r="D1779" t="s">
        <v>171</v>
      </c>
      <c r="E1779" s="242">
        <v>40269</v>
      </c>
      <c r="G1779" t="b">
        <v>0</v>
      </c>
      <c r="H1779" t="s">
        <v>15</v>
      </c>
    </row>
    <row r="1780" spans="1:8">
      <c r="A1780" t="s">
        <v>163</v>
      </c>
      <c r="B1780" t="s">
        <v>87</v>
      </c>
      <c r="C1780">
        <v>705</v>
      </c>
      <c r="D1780" t="s">
        <v>171</v>
      </c>
      <c r="E1780" s="242">
        <v>42109</v>
      </c>
      <c r="F1780">
        <v>0</v>
      </c>
      <c r="G1780" t="b">
        <v>0</v>
      </c>
      <c r="H1780" t="s">
        <v>15</v>
      </c>
    </row>
    <row r="1781" spans="1:8">
      <c r="A1781" t="s">
        <v>166</v>
      </c>
      <c r="B1781" t="s">
        <v>87</v>
      </c>
      <c r="C1781">
        <v>705</v>
      </c>
      <c r="D1781" t="s">
        <v>171</v>
      </c>
      <c r="E1781" s="242">
        <v>39507</v>
      </c>
      <c r="G1781" t="b">
        <v>0</v>
      </c>
      <c r="H1781" t="s">
        <v>15</v>
      </c>
    </row>
    <row r="1782" spans="1:8">
      <c r="A1782" t="s">
        <v>149</v>
      </c>
      <c r="B1782" t="s">
        <v>87</v>
      </c>
      <c r="C1782">
        <v>705</v>
      </c>
      <c r="D1782" t="s">
        <v>171</v>
      </c>
      <c r="E1782" s="242">
        <v>39753</v>
      </c>
      <c r="G1782" t="b">
        <v>0</v>
      </c>
      <c r="H1782" t="s">
        <v>15</v>
      </c>
    </row>
    <row r="1783" spans="1:8">
      <c r="A1783" t="s">
        <v>150</v>
      </c>
      <c r="B1783" t="s">
        <v>87</v>
      </c>
      <c r="C1783">
        <v>705</v>
      </c>
      <c r="D1783" t="s">
        <v>171</v>
      </c>
      <c r="E1783" s="242">
        <v>39661</v>
      </c>
      <c r="G1783" t="b">
        <v>0</v>
      </c>
      <c r="H1783" t="s">
        <v>15</v>
      </c>
    </row>
    <row r="1784" spans="1:8">
      <c r="A1784" t="s">
        <v>151</v>
      </c>
      <c r="B1784" t="s">
        <v>87</v>
      </c>
      <c r="C1784">
        <v>705</v>
      </c>
      <c r="D1784" t="s">
        <v>171</v>
      </c>
      <c r="E1784" s="242">
        <v>39661</v>
      </c>
      <c r="G1784" t="b">
        <v>0</v>
      </c>
      <c r="H1784" t="s">
        <v>15</v>
      </c>
    </row>
    <row r="1785" spans="1:8">
      <c r="A1785" t="s">
        <v>152</v>
      </c>
      <c r="B1785" t="s">
        <v>87</v>
      </c>
      <c r="C1785">
        <v>705</v>
      </c>
      <c r="D1785" t="s">
        <v>171</v>
      </c>
      <c r="E1785" s="242">
        <v>40057</v>
      </c>
      <c r="G1785" t="b">
        <v>0</v>
      </c>
      <c r="H1785" t="s">
        <v>15</v>
      </c>
    </row>
    <row r="1786" spans="1:8">
      <c r="A1786" t="s">
        <v>145</v>
      </c>
      <c r="B1786" t="s">
        <v>87</v>
      </c>
      <c r="C1786">
        <v>705</v>
      </c>
      <c r="D1786" t="s">
        <v>171</v>
      </c>
      <c r="E1786" s="242">
        <v>40179</v>
      </c>
      <c r="G1786" t="b">
        <v>0</v>
      </c>
      <c r="H1786" t="s">
        <v>15</v>
      </c>
    </row>
    <row r="1787" spans="1:8">
      <c r="A1787" t="s">
        <v>167</v>
      </c>
      <c r="B1787" t="s">
        <v>87</v>
      </c>
      <c r="C1787">
        <v>705</v>
      </c>
      <c r="D1787" t="s">
        <v>171</v>
      </c>
      <c r="E1787" s="242">
        <v>39814</v>
      </c>
      <c r="G1787" t="b">
        <v>0</v>
      </c>
      <c r="H1787" t="s">
        <v>15</v>
      </c>
    </row>
    <row r="1788" spans="1:8">
      <c r="A1788" t="s">
        <v>153</v>
      </c>
      <c r="B1788" t="s">
        <v>87</v>
      </c>
      <c r="C1788">
        <v>705</v>
      </c>
      <c r="D1788" t="s">
        <v>171</v>
      </c>
      <c r="E1788" s="242">
        <v>40756</v>
      </c>
      <c r="G1788" t="b">
        <v>0</v>
      </c>
      <c r="H1788" t="s">
        <v>15</v>
      </c>
    </row>
    <row r="1789" spans="1:8">
      <c r="A1789" t="s">
        <v>154</v>
      </c>
      <c r="B1789" t="s">
        <v>87</v>
      </c>
      <c r="C1789">
        <v>705</v>
      </c>
      <c r="D1789" t="s">
        <v>171</v>
      </c>
      <c r="E1789" s="242">
        <v>39203</v>
      </c>
      <c r="F1789">
        <v>0</v>
      </c>
      <c r="G1789" t="b">
        <v>0</v>
      </c>
      <c r="H1789" t="s">
        <v>15</v>
      </c>
    </row>
    <row r="1790" spans="1:8">
      <c r="A1790" t="s">
        <v>168</v>
      </c>
      <c r="B1790" t="s">
        <v>87</v>
      </c>
      <c r="C1790">
        <v>705</v>
      </c>
      <c r="D1790" t="s">
        <v>171</v>
      </c>
      <c r="E1790" s="242">
        <v>39661</v>
      </c>
      <c r="G1790" t="b">
        <v>0</v>
      </c>
      <c r="H1790" t="s">
        <v>15</v>
      </c>
    </row>
    <row r="1791" spans="1:8">
      <c r="A1791" t="s">
        <v>155</v>
      </c>
      <c r="B1791" t="s">
        <v>87</v>
      </c>
      <c r="C1791">
        <v>705</v>
      </c>
      <c r="D1791" t="s">
        <v>171</v>
      </c>
      <c r="E1791" s="242">
        <v>39904</v>
      </c>
      <c r="G1791" t="b">
        <v>0</v>
      </c>
      <c r="H1791" t="s">
        <v>15</v>
      </c>
    </row>
    <row r="1792" spans="1:8">
      <c r="A1792" t="s">
        <v>156</v>
      </c>
      <c r="B1792" t="s">
        <v>87</v>
      </c>
      <c r="C1792">
        <v>705</v>
      </c>
      <c r="D1792" t="s">
        <v>171</v>
      </c>
      <c r="E1792" s="242">
        <v>39904</v>
      </c>
      <c r="G1792" t="b">
        <v>0</v>
      </c>
      <c r="H1792" t="s">
        <v>15</v>
      </c>
    </row>
    <row r="1793" spans="1:8">
      <c r="A1793" t="s">
        <v>157</v>
      </c>
      <c r="B1793" t="s">
        <v>87</v>
      </c>
      <c r="C1793">
        <v>705</v>
      </c>
      <c r="D1793" t="s">
        <v>171</v>
      </c>
      <c r="E1793" s="242">
        <v>40269</v>
      </c>
      <c r="G1793" t="b">
        <v>0</v>
      </c>
      <c r="H1793" t="s">
        <v>15</v>
      </c>
    </row>
    <row r="1794" spans="1:8">
      <c r="A1794" t="s">
        <v>169</v>
      </c>
      <c r="B1794" t="s">
        <v>87</v>
      </c>
      <c r="C1794">
        <v>705</v>
      </c>
      <c r="D1794" t="s">
        <v>171</v>
      </c>
      <c r="E1794" s="242">
        <v>40148</v>
      </c>
      <c r="G1794" t="b">
        <v>0</v>
      </c>
      <c r="H1794" t="s">
        <v>15</v>
      </c>
    </row>
    <row r="1795" spans="1:8">
      <c r="A1795" t="s">
        <v>170</v>
      </c>
      <c r="B1795" t="s">
        <v>87</v>
      </c>
      <c r="C1795">
        <v>705</v>
      </c>
      <c r="D1795" t="s">
        <v>171</v>
      </c>
      <c r="E1795" s="242">
        <v>40452</v>
      </c>
      <c r="G1795" t="b">
        <v>0</v>
      </c>
      <c r="H1795" t="s">
        <v>15</v>
      </c>
    </row>
    <row r="1796" spans="1:8">
      <c r="A1796" t="s">
        <v>158</v>
      </c>
      <c r="B1796" t="s">
        <v>87</v>
      </c>
      <c r="C1796">
        <v>705</v>
      </c>
      <c r="D1796" t="s">
        <v>171</v>
      </c>
      <c r="E1796" s="242">
        <v>40422</v>
      </c>
      <c r="G1796" t="b">
        <v>0</v>
      </c>
      <c r="H1796" t="s">
        <v>15</v>
      </c>
    </row>
    <row r="1797" spans="1:8">
      <c r="A1797" t="s">
        <v>159</v>
      </c>
      <c r="B1797" t="s">
        <v>87</v>
      </c>
      <c r="C1797">
        <v>705</v>
      </c>
      <c r="D1797" t="s">
        <v>171</v>
      </c>
      <c r="E1797" s="242">
        <v>39722</v>
      </c>
      <c r="G1797" t="b">
        <v>0</v>
      </c>
      <c r="H1797" t="s">
        <v>15</v>
      </c>
    </row>
    <row r="1798" spans="1:8">
      <c r="A1798" t="s">
        <v>160</v>
      </c>
      <c r="B1798" t="s">
        <v>87</v>
      </c>
      <c r="C1798">
        <v>705</v>
      </c>
      <c r="D1798" t="s">
        <v>171</v>
      </c>
      <c r="E1798" s="242">
        <v>39722</v>
      </c>
      <c r="G1798" t="b">
        <v>0</v>
      </c>
      <c r="H1798" t="s">
        <v>15</v>
      </c>
    </row>
    <row r="1799" spans="1:8">
      <c r="A1799" t="s">
        <v>164</v>
      </c>
      <c r="B1799" t="s">
        <v>87</v>
      </c>
      <c r="C1799">
        <v>708</v>
      </c>
      <c r="D1799" t="s">
        <v>171</v>
      </c>
      <c r="E1799" s="242">
        <v>40210</v>
      </c>
      <c r="G1799" t="b">
        <v>0</v>
      </c>
      <c r="H1799" t="s">
        <v>15</v>
      </c>
    </row>
    <row r="1800" spans="1:8">
      <c r="A1800" t="s">
        <v>161</v>
      </c>
      <c r="B1800" t="s">
        <v>87</v>
      </c>
      <c r="C1800">
        <v>708</v>
      </c>
      <c r="D1800" t="s">
        <v>171</v>
      </c>
      <c r="E1800" s="242">
        <v>40787</v>
      </c>
      <c r="G1800" t="b">
        <v>0</v>
      </c>
      <c r="H1800" t="s">
        <v>15</v>
      </c>
    </row>
    <row r="1801" spans="1:8">
      <c r="A1801" t="s">
        <v>165</v>
      </c>
      <c r="B1801" t="s">
        <v>87</v>
      </c>
      <c r="C1801">
        <v>708</v>
      </c>
      <c r="D1801" t="s">
        <v>171</v>
      </c>
      <c r="E1801" s="242">
        <v>39264</v>
      </c>
      <c r="G1801" t="b">
        <v>0</v>
      </c>
      <c r="H1801" t="s">
        <v>15</v>
      </c>
    </row>
    <row r="1802" spans="1:8">
      <c r="A1802" t="s">
        <v>148</v>
      </c>
      <c r="B1802" t="s">
        <v>87</v>
      </c>
      <c r="C1802">
        <v>708</v>
      </c>
      <c r="D1802" t="s">
        <v>171</v>
      </c>
      <c r="E1802" s="242">
        <v>40603</v>
      </c>
      <c r="G1802" t="b">
        <v>0</v>
      </c>
      <c r="H1802" t="s">
        <v>15</v>
      </c>
    </row>
    <row r="1803" spans="1:8">
      <c r="A1803" t="s">
        <v>162</v>
      </c>
      <c r="B1803" t="s">
        <v>87</v>
      </c>
      <c r="C1803">
        <v>708</v>
      </c>
      <c r="D1803" t="s">
        <v>171</v>
      </c>
      <c r="E1803" s="242">
        <v>39539</v>
      </c>
      <c r="G1803" t="b">
        <v>0</v>
      </c>
      <c r="H1803" t="s">
        <v>15</v>
      </c>
    </row>
    <row r="1804" spans="1:8">
      <c r="A1804" t="s">
        <v>163</v>
      </c>
      <c r="B1804" t="s">
        <v>87</v>
      </c>
      <c r="C1804">
        <v>708</v>
      </c>
      <c r="D1804" t="s">
        <v>171</v>
      </c>
      <c r="E1804" s="242">
        <v>39203</v>
      </c>
      <c r="F1804">
        <v>0</v>
      </c>
      <c r="G1804" t="b">
        <v>0</v>
      </c>
      <c r="H1804" t="s">
        <v>15</v>
      </c>
    </row>
    <row r="1805" spans="1:8">
      <c r="A1805" t="s">
        <v>166</v>
      </c>
      <c r="B1805" t="s">
        <v>87</v>
      </c>
      <c r="C1805">
        <v>708</v>
      </c>
      <c r="D1805" t="s">
        <v>171</v>
      </c>
      <c r="E1805" s="242">
        <v>39507</v>
      </c>
      <c r="G1805" t="b">
        <v>0</v>
      </c>
      <c r="H1805" t="s">
        <v>15</v>
      </c>
    </row>
    <row r="1806" spans="1:8">
      <c r="A1806" t="s">
        <v>149</v>
      </c>
      <c r="B1806" t="s">
        <v>87</v>
      </c>
      <c r="C1806">
        <v>708</v>
      </c>
      <c r="D1806" t="s">
        <v>171</v>
      </c>
      <c r="E1806" s="242">
        <v>40452</v>
      </c>
      <c r="G1806" t="b">
        <v>0</v>
      </c>
      <c r="H1806" t="s">
        <v>15</v>
      </c>
    </row>
    <row r="1807" spans="1:8">
      <c r="A1807" t="s">
        <v>150</v>
      </c>
      <c r="B1807" t="s">
        <v>87</v>
      </c>
      <c r="C1807">
        <v>708</v>
      </c>
      <c r="D1807" t="s">
        <v>171</v>
      </c>
      <c r="E1807" s="242">
        <v>40026</v>
      </c>
      <c r="G1807" t="b">
        <v>0</v>
      </c>
      <c r="H1807" t="s">
        <v>15</v>
      </c>
    </row>
    <row r="1808" spans="1:8">
      <c r="A1808" t="s">
        <v>151</v>
      </c>
      <c r="B1808" t="s">
        <v>87</v>
      </c>
      <c r="C1808">
        <v>708</v>
      </c>
      <c r="D1808" t="s">
        <v>171</v>
      </c>
      <c r="E1808" s="242">
        <v>40238</v>
      </c>
      <c r="G1808" t="b">
        <v>0</v>
      </c>
      <c r="H1808" t="s">
        <v>15</v>
      </c>
    </row>
    <row r="1809" spans="1:8">
      <c r="A1809" t="s">
        <v>152</v>
      </c>
      <c r="B1809" t="s">
        <v>87</v>
      </c>
      <c r="C1809">
        <v>708</v>
      </c>
      <c r="D1809" t="s">
        <v>171</v>
      </c>
      <c r="E1809" s="242">
        <v>40057</v>
      </c>
      <c r="G1809" t="b">
        <v>0</v>
      </c>
      <c r="H1809" t="s">
        <v>15</v>
      </c>
    </row>
    <row r="1810" spans="1:8">
      <c r="A1810" t="s">
        <v>145</v>
      </c>
      <c r="B1810" t="s">
        <v>87</v>
      </c>
      <c r="C1810">
        <v>708</v>
      </c>
      <c r="D1810" t="s">
        <v>171</v>
      </c>
      <c r="E1810" s="242">
        <v>39661</v>
      </c>
      <c r="G1810" t="b">
        <v>0</v>
      </c>
      <c r="H1810" t="s">
        <v>15</v>
      </c>
    </row>
    <row r="1811" spans="1:8">
      <c r="A1811" t="s">
        <v>167</v>
      </c>
      <c r="B1811" t="s">
        <v>87</v>
      </c>
      <c r="C1811">
        <v>708</v>
      </c>
      <c r="D1811" t="s">
        <v>171</v>
      </c>
      <c r="E1811" s="242">
        <v>40391</v>
      </c>
      <c r="G1811" t="b">
        <v>0</v>
      </c>
      <c r="H1811" t="s">
        <v>15</v>
      </c>
    </row>
    <row r="1812" spans="1:8">
      <c r="A1812" t="s">
        <v>153</v>
      </c>
      <c r="B1812" t="s">
        <v>87</v>
      </c>
      <c r="C1812">
        <v>708</v>
      </c>
      <c r="D1812" t="s">
        <v>171</v>
      </c>
      <c r="E1812" s="242">
        <v>40452</v>
      </c>
      <c r="G1812" t="b">
        <v>0</v>
      </c>
      <c r="H1812" t="s">
        <v>15</v>
      </c>
    </row>
    <row r="1813" spans="1:8">
      <c r="A1813" t="s">
        <v>154</v>
      </c>
      <c r="B1813" t="s">
        <v>87</v>
      </c>
      <c r="C1813">
        <v>708</v>
      </c>
      <c r="D1813" t="s">
        <v>171</v>
      </c>
      <c r="E1813" s="242">
        <v>39687</v>
      </c>
      <c r="G1813" t="b">
        <v>0</v>
      </c>
      <c r="H1813" t="s">
        <v>15</v>
      </c>
    </row>
    <row r="1814" spans="1:8">
      <c r="A1814" t="s">
        <v>168</v>
      </c>
      <c r="B1814" t="s">
        <v>87</v>
      </c>
      <c r="C1814">
        <v>708</v>
      </c>
      <c r="D1814" t="s">
        <v>171</v>
      </c>
      <c r="E1814" s="242">
        <v>39661</v>
      </c>
      <c r="G1814" t="b">
        <v>0</v>
      </c>
      <c r="H1814" t="s">
        <v>15</v>
      </c>
    </row>
    <row r="1815" spans="1:8">
      <c r="A1815" t="s">
        <v>155</v>
      </c>
      <c r="B1815" t="s">
        <v>87</v>
      </c>
      <c r="C1815">
        <v>708</v>
      </c>
      <c r="D1815" t="s">
        <v>171</v>
      </c>
      <c r="E1815" s="242">
        <v>41976.720833333333</v>
      </c>
      <c r="F1815">
        <v>0</v>
      </c>
      <c r="G1815" t="b">
        <v>0</v>
      </c>
      <c r="H1815" t="s">
        <v>15</v>
      </c>
    </row>
    <row r="1816" spans="1:8">
      <c r="A1816" t="s">
        <v>156</v>
      </c>
      <c r="B1816" t="s">
        <v>87</v>
      </c>
      <c r="C1816">
        <v>708</v>
      </c>
      <c r="D1816" t="s">
        <v>171</v>
      </c>
      <c r="E1816" s="242">
        <v>40118</v>
      </c>
      <c r="G1816" t="b">
        <v>0</v>
      </c>
      <c r="H1816" t="s">
        <v>15</v>
      </c>
    </row>
    <row r="1817" spans="1:8">
      <c r="A1817" t="s">
        <v>157</v>
      </c>
      <c r="B1817" t="s">
        <v>87</v>
      </c>
      <c r="C1817">
        <v>708</v>
      </c>
      <c r="D1817" t="s">
        <v>171</v>
      </c>
      <c r="E1817" s="242">
        <v>39840</v>
      </c>
      <c r="G1817" t="b">
        <v>0</v>
      </c>
      <c r="H1817" t="s">
        <v>15</v>
      </c>
    </row>
    <row r="1818" spans="1:8">
      <c r="A1818" t="s">
        <v>169</v>
      </c>
      <c r="B1818" t="s">
        <v>87</v>
      </c>
      <c r="C1818">
        <v>708</v>
      </c>
      <c r="D1818" t="s">
        <v>171</v>
      </c>
      <c r="E1818" s="242">
        <v>40422</v>
      </c>
      <c r="G1818" t="b">
        <v>0</v>
      </c>
      <c r="H1818" t="s">
        <v>15</v>
      </c>
    </row>
    <row r="1819" spans="1:8">
      <c r="A1819" t="s">
        <v>170</v>
      </c>
      <c r="B1819" t="s">
        <v>87</v>
      </c>
      <c r="C1819">
        <v>708</v>
      </c>
      <c r="D1819" t="s">
        <v>171</v>
      </c>
      <c r="E1819" s="242">
        <v>40483</v>
      </c>
      <c r="G1819" t="b">
        <v>0</v>
      </c>
      <c r="H1819" t="s">
        <v>15</v>
      </c>
    </row>
    <row r="1820" spans="1:8">
      <c r="A1820" t="s">
        <v>158</v>
      </c>
      <c r="B1820" t="s">
        <v>87</v>
      </c>
      <c r="C1820">
        <v>708</v>
      </c>
      <c r="D1820" t="s">
        <v>171</v>
      </c>
      <c r="E1820" s="242">
        <v>40422</v>
      </c>
      <c r="G1820" t="b">
        <v>0</v>
      </c>
      <c r="H1820" t="s">
        <v>15</v>
      </c>
    </row>
    <row r="1821" spans="1:8">
      <c r="A1821" t="s">
        <v>159</v>
      </c>
      <c r="B1821" t="s">
        <v>87</v>
      </c>
      <c r="C1821">
        <v>708</v>
      </c>
      <c r="D1821" t="s">
        <v>171</v>
      </c>
      <c r="E1821" s="242">
        <v>40452</v>
      </c>
      <c r="G1821" t="b">
        <v>0</v>
      </c>
      <c r="H1821" t="s">
        <v>15</v>
      </c>
    </row>
    <row r="1822" spans="1:8">
      <c r="A1822" t="s">
        <v>160</v>
      </c>
      <c r="B1822" t="s">
        <v>87</v>
      </c>
      <c r="C1822">
        <v>708</v>
      </c>
      <c r="D1822" t="s">
        <v>171</v>
      </c>
      <c r="E1822" s="242">
        <v>40575</v>
      </c>
      <c r="G1822" t="b">
        <v>0</v>
      </c>
      <c r="H1822" t="s">
        <v>15</v>
      </c>
    </row>
    <row r="1823" spans="1:8">
      <c r="A1823" t="s">
        <v>164</v>
      </c>
      <c r="B1823" t="s">
        <v>87</v>
      </c>
      <c r="C1823">
        <v>709</v>
      </c>
      <c r="D1823" t="s">
        <v>171</v>
      </c>
      <c r="E1823" s="242">
        <v>39692</v>
      </c>
      <c r="G1823" t="b">
        <v>0</v>
      </c>
      <c r="H1823" t="s">
        <v>15</v>
      </c>
    </row>
    <row r="1824" spans="1:8">
      <c r="A1824" t="s">
        <v>161</v>
      </c>
      <c r="B1824" t="s">
        <v>87</v>
      </c>
      <c r="C1824">
        <v>709</v>
      </c>
      <c r="D1824" t="s">
        <v>171</v>
      </c>
      <c r="E1824" s="242">
        <v>40118</v>
      </c>
      <c r="G1824" t="b">
        <v>0</v>
      </c>
      <c r="H1824" t="s">
        <v>15</v>
      </c>
    </row>
    <row r="1825" spans="1:8">
      <c r="A1825" t="s">
        <v>165</v>
      </c>
      <c r="B1825" t="s">
        <v>87</v>
      </c>
      <c r="C1825">
        <v>709</v>
      </c>
      <c r="D1825" t="s">
        <v>171</v>
      </c>
      <c r="E1825" s="242">
        <v>41061</v>
      </c>
      <c r="G1825" t="b">
        <v>0</v>
      </c>
      <c r="H1825" t="s">
        <v>15</v>
      </c>
    </row>
    <row r="1826" spans="1:8">
      <c r="A1826" t="s">
        <v>148</v>
      </c>
      <c r="B1826" t="s">
        <v>87</v>
      </c>
      <c r="C1826">
        <v>709</v>
      </c>
      <c r="D1826" t="s">
        <v>171</v>
      </c>
      <c r="E1826" s="242">
        <v>40603</v>
      </c>
      <c r="G1826" t="b">
        <v>0</v>
      </c>
      <c r="H1826" t="s">
        <v>15</v>
      </c>
    </row>
    <row r="1827" spans="1:8">
      <c r="A1827" t="s">
        <v>162</v>
      </c>
      <c r="B1827" t="s">
        <v>87</v>
      </c>
      <c r="C1827">
        <v>709</v>
      </c>
      <c r="D1827" t="s">
        <v>171</v>
      </c>
      <c r="E1827" s="242">
        <v>39873</v>
      </c>
      <c r="G1827" t="b">
        <v>0</v>
      </c>
      <c r="H1827" t="s">
        <v>15</v>
      </c>
    </row>
    <row r="1828" spans="1:8">
      <c r="A1828" t="s">
        <v>163</v>
      </c>
      <c r="B1828" t="s">
        <v>87</v>
      </c>
      <c r="C1828">
        <v>709</v>
      </c>
      <c r="D1828" t="s">
        <v>171</v>
      </c>
      <c r="E1828" s="242">
        <v>39600</v>
      </c>
      <c r="G1828" t="b">
        <v>0</v>
      </c>
      <c r="H1828" t="s">
        <v>15</v>
      </c>
    </row>
    <row r="1829" spans="1:8">
      <c r="A1829" t="s">
        <v>166</v>
      </c>
      <c r="B1829" t="s">
        <v>87</v>
      </c>
      <c r="C1829">
        <v>709</v>
      </c>
      <c r="D1829" t="s">
        <v>171</v>
      </c>
      <c r="E1829" s="242">
        <v>39113</v>
      </c>
      <c r="G1829" t="b">
        <v>0</v>
      </c>
      <c r="H1829" t="s">
        <v>15</v>
      </c>
    </row>
    <row r="1830" spans="1:8">
      <c r="A1830" t="s">
        <v>149</v>
      </c>
      <c r="B1830" t="s">
        <v>87</v>
      </c>
      <c r="C1830">
        <v>709</v>
      </c>
      <c r="D1830" t="s">
        <v>171</v>
      </c>
      <c r="E1830" s="242">
        <v>41061</v>
      </c>
      <c r="G1830" t="b">
        <v>0</v>
      </c>
      <c r="H1830" t="s">
        <v>15</v>
      </c>
    </row>
    <row r="1831" spans="1:8">
      <c r="A1831" t="s">
        <v>150</v>
      </c>
      <c r="B1831" t="s">
        <v>87</v>
      </c>
      <c r="C1831">
        <v>709</v>
      </c>
      <c r="D1831" t="s">
        <v>171</v>
      </c>
      <c r="E1831" s="242">
        <v>39995</v>
      </c>
      <c r="G1831" t="b">
        <v>0</v>
      </c>
      <c r="H1831" t="s">
        <v>15</v>
      </c>
    </row>
    <row r="1832" spans="1:8">
      <c r="A1832" t="s">
        <v>151</v>
      </c>
      <c r="B1832" t="s">
        <v>87</v>
      </c>
      <c r="C1832">
        <v>709</v>
      </c>
      <c r="D1832" t="s">
        <v>171</v>
      </c>
      <c r="E1832" s="242">
        <v>39995</v>
      </c>
      <c r="G1832" t="b">
        <v>0</v>
      </c>
      <c r="H1832" t="s">
        <v>15</v>
      </c>
    </row>
    <row r="1833" spans="1:8">
      <c r="A1833" t="s">
        <v>152</v>
      </c>
      <c r="B1833" t="s">
        <v>87</v>
      </c>
      <c r="C1833">
        <v>709</v>
      </c>
      <c r="D1833" t="s">
        <v>171</v>
      </c>
      <c r="E1833" s="242">
        <v>40026</v>
      </c>
      <c r="G1833" t="b">
        <v>0</v>
      </c>
      <c r="H1833" t="s">
        <v>15</v>
      </c>
    </row>
    <row r="1834" spans="1:8">
      <c r="A1834" t="s">
        <v>145</v>
      </c>
      <c r="B1834" t="s">
        <v>87</v>
      </c>
      <c r="C1834">
        <v>709</v>
      </c>
      <c r="D1834" t="s">
        <v>171</v>
      </c>
      <c r="E1834" s="242">
        <v>40087</v>
      </c>
      <c r="G1834" t="b">
        <v>0</v>
      </c>
      <c r="H1834" t="s">
        <v>15</v>
      </c>
    </row>
    <row r="1835" spans="1:8">
      <c r="A1835" t="s">
        <v>167</v>
      </c>
      <c r="B1835" t="s">
        <v>87</v>
      </c>
      <c r="C1835">
        <v>709</v>
      </c>
      <c r="D1835" t="s">
        <v>171</v>
      </c>
      <c r="E1835" s="242">
        <v>40118</v>
      </c>
      <c r="G1835" t="b">
        <v>0</v>
      </c>
      <c r="H1835" t="s">
        <v>15</v>
      </c>
    </row>
    <row r="1836" spans="1:8">
      <c r="A1836" t="s">
        <v>153</v>
      </c>
      <c r="B1836" t="s">
        <v>87</v>
      </c>
      <c r="C1836">
        <v>709</v>
      </c>
      <c r="D1836" t="s">
        <v>171</v>
      </c>
      <c r="E1836" s="242">
        <v>40148</v>
      </c>
      <c r="G1836" t="b">
        <v>0</v>
      </c>
      <c r="H1836" t="s">
        <v>15</v>
      </c>
    </row>
    <row r="1837" spans="1:8">
      <c r="A1837" t="s">
        <v>154</v>
      </c>
      <c r="B1837" t="s">
        <v>87</v>
      </c>
      <c r="C1837">
        <v>709</v>
      </c>
      <c r="D1837" t="s">
        <v>171</v>
      </c>
      <c r="E1837" s="242">
        <v>40179</v>
      </c>
      <c r="G1837" t="b">
        <v>0</v>
      </c>
      <c r="H1837" t="s">
        <v>15</v>
      </c>
    </row>
    <row r="1838" spans="1:8">
      <c r="A1838" t="s">
        <v>168</v>
      </c>
      <c r="B1838" t="s">
        <v>87</v>
      </c>
      <c r="C1838">
        <v>709</v>
      </c>
      <c r="D1838" t="s">
        <v>171</v>
      </c>
      <c r="E1838" s="242">
        <v>40026</v>
      </c>
      <c r="G1838" t="b">
        <v>0</v>
      </c>
      <c r="H1838" t="s">
        <v>15</v>
      </c>
    </row>
    <row r="1839" spans="1:8">
      <c r="A1839" t="s">
        <v>155</v>
      </c>
      <c r="B1839" t="s">
        <v>87</v>
      </c>
      <c r="C1839">
        <v>709</v>
      </c>
      <c r="D1839" t="s">
        <v>171</v>
      </c>
      <c r="E1839" s="242">
        <v>40848</v>
      </c>
      <c r="G1839" t="b">
        <v>0</v>
      </c>
      <c r="H1839" t="s">
        <v>15</v>
      </c>
    </row>
    <row r="1840" spans="1:8">
      <c r="A1840" t="s">
        <v>156</v>
      </c>
      <c r="B1840" t="s">
        <v>87</v>
      </c>
      <c r="C1840">
        <v>709</v>
      </c>
      <c r="D1840" t="s">
        <v>171</v>
      </c>
      <c r="E1840" s="242">
        <v>41214</v>
      </c>
      <c r="G1840" t="b">
        <v>0</v>
      </c>
      <c r="H1840" t="s">
        <v>15</v>
      </c>
    </row>
    <row r="1841" spans="1:8">
      <c r="A1841" t="s">
        <v>157</v>
      </c>
      <c r="B1841" t="s">
        <v>87</v>
      </c>
      <c r="C1841">
        <v>709</v>
      </c>
      <c r="D1841" t="s">
        <v>171</v>
      </c>
      <c r="E1841" s="242">
        <v>39995</v>
      </c>
      <c r="G1841" t="b">
        <v>0</v>
      </c>
      <c r="H1841" t="s">
        <v>15</v>
      </c>
    </row>
    <row r="1842" spans="1:8">
      <c r="A1842" t="s">
        <v>169</v>
      </c>
      <c r="B1842" t="s">
        <v>87</v>
      </c>
      <c r="C1842">
        <v>709</v>
      </c>
      <c r="D1842" t="s">
        <v>171</v>
      </c>
      <c r="E1842" s="242">
        <v>40391</v>
      </c>
      <c r="G1842" t="b">
        <v>0</v>
      </c>
      <c r="H1842" t="s">
        <v>15</v>
      </c>
    </row>
    <row r="1843" spans="1:8">
      <c r="A1843" t="s">
        <v>170</v>
      </c>
      <c r="B1843" t="s">
        <v>87</v>
      </c>
      <c r="C1843">
        <v>709</v>
      </c>
      <c r="D1843" t="s">
        <v>171</v>
      </c>
      <c r="E1843" s="242">
        <v>40422</v>
      </c>
      <c r="G1843" t="b">
        <v>0</v>
      </c>
      <c r="H1843" t="s">
        <v>15</v>
      </c>
    </row>
    <row r="1844" spans="1:8">
      <c r="A1844" t="s">
        <v>158</v>
      </c>
      <c r="B1844" t="s">
        <v>87</v>
      </c>
      <c r="C1844">
        <v>709</v>
      </c>
      <c r="D1844" t="s">
        <v>171</v>
      </c>
      <c r="E1844" s="242">
        <v>40391</v>
      </c>
      <c r="G1844" t="b">
        <v>0</v>
      </c>
      <c r="H1844" t="s">
        <v>15</v>
      </c>
    </row>
    <row r="1845" spans="1:8">
      <c r="A1845" t="s">
        <v>159</v>
      </c>
      <c r="B1845" t="s">
        <v>87</v>
      </c>
      <c r="C1845">
        <v>709</v>
      </c>
      <c r="D1845" t="s">
        <v>171</v>
      </c>
      <c r="E1845" s="242">
        <v>40422</v>
      </c>
      <c r="G1845" t="b">
        <v>0</v>
      </c>
      <c r="H1845" t="s">
        <v>15</v>
      </c>
    </row>
    <row r="1846" spans="1:8">
      <c r="A1846" t="s">
        <v>160</v>
      </c>
      <c r="B1846" t="s">
        <v>87</v>
      </c>
      <c r="C1846">
        <v>709</v>
      </c>
      <c r="D1846" t="s">
        <v>171</v>
      </c>
      <c r="E1846" s="242">
        <v>40513</v>
      </c>
      <c r="G1846" t="b">
        <v>0</v>
      </c>
      <c r="H1846" t="s">
        <v>15</v>
      </c>
    </row>
    <row r="1847" spans="1:8">
      <c r="A1847" t="s">
        <v>164</v>
      </c>
      <c r="B1847" t="s">
        <v>87</v>
      </c>
      <c r="C1847">
        <v>710</v>
      </c>
      <c r="D1847" t="s">
        <v>171</v>
      </c>
      <c r="E1847" s="242">
        <v>39692</v>
      </c>
      <c r="G1847" t="b">
        <v>0</v>
      </c>
      <c r="H1847" t="s">
        <v>15</v>
      </c>
    </row>
    <row r="1848" spans="1:8">
      <c r="A1848" t="s">
        <v>161</v>
      </c>
      <c r="B1848" t="s">
        <v>87</v>
      </c>
      <c r="C1848">
        <v>710</v>
      </c>
      <c r="D1848" t="s">
        <v>171</v>
      </c>
      <c r="E1848" s="242">
        <v>40118</v>
      </c>
      <c r="G1848" t="b">
        <v>0</v>
      </c>
      <c r="H1848" t="s">
        <v>15</v>
      </c>
    </row>
    <row r="1849" spans="1:8">
      <c r="A1849" t="s">
        <v>165</v>
      </c>
      <c r="B1849" t="s">
        <v>87</v>
      </c>
      <c r="C1849">
        <v>710</v>
      </c>
      <c r="D1849" t="s">
        <v>171</v>
      </c>
      <c r="E1849" s="242">
        <v>41061</v>
      </c>
      <c r="G1849" t="b">
        <v>0</v>
      </c>
      <c r="H1849" t="s">
        <v>15</v>
      </c>
    </row>
    <row r="1850" spans="1:8">
      <c r="A1850" t="s">
        <v>148</v>
      </c>
      <c r="B1850" t="s">
        <v>87</v>
      </c>
      <c r="C1850">
        <v>710</v>
      </c>
      <c r="D1850" t="s">
        <v>171</v>
      </c>
      <c r="E1850" s="242">
        <v>40603</v>
      </c>
      <c r="G1850" t="b">
        <v>0</v>
      </c>
      <c r="H1850" t="s">
        <v>15</v>
      </c>
    </row>
    <row r="1851" spans="1:8">
      <c r="A1851" t="s">
        <v>162</v>
      </c>
      <c r="B1851" t="s">
        <v>87</v>
      </c>
      <c r="C1851">
        <v>710</v>
      </c>
      <c r="D1851" t="s">
        <v>171</v>
      </c>
      <c r="E1851" s="242">
        <v>39873</v>
      </c>
      <c r="G1851" t="b">
        <v>0</v>
      </c>
      <c r="H1851" t="s">
        <v>15</v>
      </c>
    </row>
    <row r="1852" spans="1:8">
      <c r="A1852" t="s">
        <v>163</v>
      </c>
      <c r="B1852" t="s">
        <v>87</v>
      </c>
      <c r="C1852">
        <v>710</v>
      </c>
      <c r="D1852" t="s">
        <v>171</v>
      </c>
      <c r="E1852" s="242">
        <v>39600</v>
      </c>
      <c r="G1852" t="b">
        <v>0</v>
      </c>
      <c r="H1852" t="s">
        <v>15</v>
      </c>
    </row>
    <row r="1853" spans="1:8">
      <c r="A1853" t="s">
        <v>166</v>
      </c>
      <c r="B1853" t="s">
        <v>87</v>
      </c>
      <c r="C1853">
        <v>710</v>
      </c>
      <c r="D1853" t="s">
        <v>171</v>
      </c>
      <c r="E1853" s="242">
        <v>39507</v>
      </c>
      <c r="G1853" t="b">
        <v>0</v>
      </c>
      <c r="H1853" t="s">
        <v>15</v>
      </c>
    </row>
    <row r="1854" spans="1:8">
      <c r="A1854" t="s">
        <v>149</v>
      </c>
      <c r="B1854" t="s">
        <v>87</v>
      </c>
      <c r="C1854">
        <v>710</v>
      </c>
      <c r="D1854" t="s">
        <v>171</v>
      </c>
      <c r="E1854" s="242">
        <v>41061</v>
      </c>
      <c r="G1854" t="b">
        <v>0</v>
      </c>
      <c r="H1854" t="s">
        <v>15</v>
      </c>
    </row>
    <row r="1855" spans="1:8">
      <c r="A1855" t="s">
        <v>150</v>
      </c>
      <c r="B1855" t="s">
        <v>87</v>
      </c>
      <c r="C1855">
        <v>710</v>
      </c>
      <c r="D1855" t="s">
        <v>171</v>
      </c>
      <c r="E1855" s="242">
        <v>39873</v>
      </c>
      <c r="G1855" t="b">
        <v>0</v>
      </c>
      <c r="H1855" t="s">
        <v>15</v>
      </c>
    </row>
    <row r="1856" spans="1:8">
      <c r="A1856" t="s">
        <v>151</v>
      </c>
      <c r="B1856" t="s">
        <v>87</v>
      </c>
      <c r="C1856">
        <v>710</v>
      </c>
      <c r="D1856" t="s">
        <v>171</v>
      </c>
      <c r="E1856" s="242">
        <v>39995</v>
      </c>
      <c r="G1856" t="b">
        <v>0</v>
      </c>
      <c r="H1856" t="s">
        <v>15</v>
      </c>
    </row>
    <row r="1857" spans="1:8">
      <c r="A1857" t="s">
        <v>152</v>
      </c>
      <c r="B1857" t="s">
        <v>87</v>
      </c>
      <c r="C1857">
        <v>710</v>
      </c>
      <c r="D1857" t="s">
        <v>171</v>
      </c>
      <c r="E1857" s="242">
        <v>40026</v>
      </c>
      <c r="G1857" t="b">
        <v>0</v>
      </c>
      <c r="H1857" t="s">
        <v>15</v>
      </c>
    </row>
    <row r="1858" spans="1:8">
      <c r="A1858" t="s">
        <v>145</v>
      </c>
      <c r="B1858" t="s">
        <v>87</v>
      </c>
      <c r="C1858">
        <v>710</v>
      </c>
      <c r="D1858" t="s">
        <v>171</v>
      </c>
      <c r="E1858" s="242">
        <v>40087</v>
      </c>
      <c r="G1858" t="b">
        <v>0</v>
      </c>
      <c r="H1858" t="s">
        <v>15</v>
      </c>
    </row>
    <row r="1859" spans="1:8">
      <c r="A1859" t="s">
        <v>167</v>
      </c>
      <c r="B1859" t="s">
        <v>87</v>
      </c>
      <c r="C1859">
        <v>710</v>
      </c>
      <c r="D1859" t="s">
        <v>171</v>
      </c>
      <c r="E1859" s="242">
        <v>40118</v>
      </c>
      <c r="G1859" t="b">
        <v>0</v>
      </c>
      <c r="H1859" t="s">
        <v>15</v>
      </c>
    </row>
    <row r="1860" spans="1:8">
      <c r="A1860" t="s">
        <v>153</v>
      </c>
      <c r="B1860" t="s">
        <v>87</v>
      </c>
      <c r="C1860">
        <v>710</v>
      </c>
      <c r="D1860" t="s">
        <v>171</v>
      </c>
      <c r="E1860" s="242">
        <v>40148</v>
      </c>
      <c r="G1860" t="b">
        <v>0</v>
      </c>
      <c r="H1860" t="s">
        <v>15</v>
      </c>
    </row>
    <row r="1861" spans="1:8">
      <c r="A1861" t="s">
        <v>154</v>
      </c>
      <c r="B1861" t="s">
        <v>87</v>
      </c>
      <c r="C1861">
        <v>710</v>
      </c>
      <c r="D1861" t="s">
        <v>171</v>
      </c>
      <c r="E1861" s="242">
        <v>40179</v>
      </c>
      <c r="G1861" t="b">
        <v>0</v>
      </c>
      <c r="H1861" t="s">
        <v>15</v>
      </c>
    </row>
    <row r="1862" spans="1:8">
      <c r="A1862" t="s">
        <v>168</v>
      </c>
      <c r="B1862" t="s">
        <v>87</v>
      </c>
      <c r="C1862">
        <v>710</v>
      </c>
      <c r="D1862" t="s">
        <v>171</v>
      </c>
      <c r="E1862" s="242">
        <v>39873</v>
      </c>
      <c r="G1862" t="b">
        <v>0</v>
      </c>
      <c r="H1862" t="s">
        <v>15</v>
      </c>
    </row>
    <row r="1863" spans="1:8">
      <c r="A1863" t="s">
        <v>155</v>
      </c>
      <c r="B1863" t="s">
        <v>87</v>
      </c>
      <c r="C1863">
        <v>710</v>
      </c>
      <c r="D1863" t="s">
        <v>171</v>
      </c>
      <c r="E1863" s="242">
        <v>40848</v>
      </c>
      <c r="G1863" t="b">
        <v>0</v>
      </c>
      <c r="H1863" t="s">
        <v>15</v>
      </c>
    </row>
    <row r="1864" spans="1:8">
      <c r="A1864" t="s">
        <v>156</v>
      </c>
      <c r="B1864" t="s">
        <v>87</v>
      </c>
      <c r="C1864">
        <v>710</v>
      </c>
      <c r="D1864" t="s">
        <v>171</v>
      </c>
      <c r="E1864" s="242">
        <v>41214</v>
      </c>
      <c r="G1864" t="b">
        <v>0</v>
      </c>
      <c r="H1864" t="s">
        <v>15</v>
      </c>
    </row>
    <row r="1865" spans="1:8">
      <c r="A1865" t="s">
        <v>157</v>
      </c>
      <c r="B1865" t="s">
        <v>87</v>
      </c>
      <c r="C1865">
        <v>710</v>
      </c>
      <c r="D1865" t="s">
        <v>171</v>
      </c>
      <c r="E1865" s="242">
        <v>41183</v>
      </c>
      <c r="G1865" t="b">
        <v>0</v>
      </c>
      <c r="H1865" t="s">
        <v>15</v>
      </c>
    </row>
    <row r="1866" spans="1:8">
      <c r="A1866" t="s">
        <v>169</v>
      </c>
      <c r="B1866" t="s">
        <v>87</v>
      </c>
      <c r="C1866">
        <v>710</v>
      </c>
      <c r="D1866" t="s">
        <v>171</v>
      </c>
      <c r="E1866" s="242">
        <v>40391</v>
      </c>
      <c r="G1866" t="b">
        <v>0</v>
      </c>
      <c r="H1866" t="s">
        <v>15</v>
      </c>
    </row>
    <row r="1867" spans="1:8">
      <c r="A1867" t="s">
        <v>170</v>
      </c>
      <c r="B1867" t="s">
        <v>87</v>
      </c>
      <c r="C1867">
        <v>710</v>
      </c>
      <c r="D1867" t="s">
        <v>171</v>
      </c>
      <c r="E1867" s="242">
        <v>40422</v>
      </c>
      <c r="G1867" t="b">
        <v>0</v>
      </c>
      <c r="H1867" t="s">
        <v>15</v>
      </c>
    </row>
    <row r="1868" spans="1:8">
      <c r="A1868" t="s">
        <v>158</v>
      </c>
      <c r="B1868" t="s">
        <v>87</v>
      </c>
      <c r="C1868">
        <v>710</v>
      </c>
      <c r="D1868" t="s">
        <v>171</v>
      </c>
      <c r="E1868" s="242">
        <v>40391</v>
      </c>
      <c r="G1868" t="b">
        <v>0</v>
      </c>
      <c r="H1868" t="s">
        <v>15</v>
      </c>
    </row>
    <row r="1869" spans="1:8">
      <c r="A1869" t="s">
        <v>159</v>
      </c>
      <c r="B1869" t="s">
        <v>87</v>
      </c>
      <c r="C1869">
        <v>710</v>
      </c>
      <c r="D1869" t="s">
        <v>171</v>
      </c>
      <c r="E1869" s="242">
        <v>40422</v>
      </c>
      <c r="G1869" t="b">
        <v>0</v>
      </c>
      <c r="H1869" t="s">
        <v>15</v>
      </c>
    </row>
    <row r="1870" spans="1:8">
      <c r="A1870" t="s">
        <v>160</v>
      </c>
      <c r="B1870" t="s">
        <v>87</v>
      </c>
      <c r="C1870">
        <v>710</v>
      </c>
      <c r="D1870" t="s">
        <v>171</v>
      </c>
      <c r="E1870" s="242">
        <v>40513</v>
      </c>
      <c r="G1870" t="b">
        <v>0</v>
      </c>
      <c r="H1870" t="s">
        <v>15</v>
      </c>
    </row>
    <row r="1871" spans="1:8">
      <c r="A1871" t="s">
        <v>164</v>
      </c>
      <c r="B1871" t="s">
        <v>87</v>
      </c>
      <c r="C1871">
        <v>711</v>
      </c>
      <c r="D1871" t="s">
        <v>171</v>
      </c>
      <c r="E1871" s="242">
        <v>39692</v>
      </c>
      <c r="G1871" t="b">
        <v>0</v>
      </c>
      <c r="H1871" t="s">
        <v>15</v>
      </c>
    </row>
    <row r="1872" spans="1:8">
      <c r="A1872" t="s">
        <v>161</v>
      </c>
      <c r="B1872" t="s">
        <v>87</v>
      </c>
      <c r="C1872">
        <v>711</v>
      </c>
      <c r="D1872" t="s">
        <v>171</v>
      </c>
      <c r="E1872" s="242">
        <v>40330</v>
      </c>
      <c r="G1872" t="b">
        <v>0</v>
      </c>
      <c r="H1872" t="s">
        <v>15</v>
      </c>
    </row>
    <row r="1873" spans="1:8">
      <c r="A1873" t="s">
        <v>165</v>
      </c>
      <c r="B1873" t="s">
        <v>87</v>
      </c>
      <c r="C1873">
        <v>711</v>
      </c>
      <c r="D1873" t="s">
        <v>171</v>
      </c>
      <c r="E1873" s="242">
        <v>39448</v>
      </c>
      <c r="F1873">
        <v>0</v>
      </c>
      <c r="G1873" t="b">
        <v>0</v>
      </c>
      <c r="H1873" t="s">
        <v>15</v>
      </c>
    </row>
    <row r="1874" spans="1:8">
      <c r="A1874" t="s">
        <v>148</v>
      </c>
      <c r="B1874" t="s">
        <v>87</v>
      </c>
      <c r="C1874">
        <v>711</v>
      </c>
      <c r="D1874" t="s">
        <v>171</v>
      </c>
      <c r="E1874" s="242">
        <v>40603</v>
      </c>
      <c r="G1874" t="b">
        <v>0</v>
      </c>
      <c r="H1874" t="s">
        <v>15</v>
      </c>
    </row>
    <row r="1875" spans="1:8">
      <c r="A1875" t="s">
        <v>162</v>
      </c>
      <c r="B1875" t="s">
        <v>87</v>
      </c>
      <c r="C1875">
        <v>711</v>
      </c>
      <c r="D1875" t="s">
        <v>171</v>
      </c>
      <c r="E1875" s="242">
        <v>39904</v>
      </c>
      <c r="G1875" t="b">
        <v>0</v>
      </c>
      <c r="H1875" t="s">
        <v>15</v>
      </c>
    </row>
    <row r="1876" spans="1:8">
      <c r="A1876" t="s">
        <v>163</v>
      </c>
      <c r="B1876" t="s">
        <v>87</v>
      </c>
      <c r="C1876">
        <v>711</v>
      </c>
      <c r="D1876" t="s">
        <v>171</v>
      </c>
      <c r="E1876" s="242">
        <v>39600</v>
      </c>
      <c r="G1876" t="b">
        <v>0</v>
      </c>
      <c r="H1876" t="s">
        <v>15</v>
      </c>
    </row>
    <row r="1877" spans="1:8">
      <c r="A1877" t="s">
        <v>166</v>
      </c>
      <c r="B1877" t="s">
        <v>87</v>
      </c>
      <c r="C1877">
        <v>711</v>
      </c>
      <c r="D1877" t="s">
        <v>171</v>
      </c>
      <c r="E1877" s="242">
        <v>39478</v>
      </c>
      <c r="G1877" t="b">
        <v>0</v>
      </c>
      <c r="H1877" t="s">
        <v>15</v>
      </c>
    </row>
    <row r="1878" spans="1:8">
      <c r="A1878" t="s">
        <v>149</v>
      </c>
      <c r="B1878" t="s">
        <v>87</v>
      </c>
      <c r="C1878">
        <v>711</v>
      </c>
      <c r="D1878" t="s">
        <v>171</v>
      </c>
      <c r="E1878" s="242">
        <v>39600</v>
      </c>
      <c r="G1878" t="b">
        <v>0</v>
      </c>
      <c r="H1878" t="s">
        <v>15</v>
      </c>
    </row>
    <row r="1879" spans="1:8">
      <c r="A1879" t="s">
        <v>150</v>
      </c>
      <c r="B1879" t="s">
        <v>87</v>
      </c>
      <c r="C1879">
        <v>711</v>
      </c>
      <c r="D1879" t="s">
        <v>171</v>
      </c>
      <c r="E1879" s="242">
        <v>39995</v>
      </c>
      <c r="G1879" t="b">
        <v>0</v>
      </c>
      <c r="H1879" t="s">
        <v>15</v>
      </c>
    </row>
    <row r="1880" spans="1:8">
      <c r="A1880" t="s">
        <v>151</v>
      </c>
      <c r="B1880" t="s">
        <v>87</v>
      </c>
      <c r="C1880">
        <v>711</v>
      </c>
      <c r="D1880" t="s">
        <v>171</v>
      </c>
      <c r="E1880" s="242">
        <v>39995</v>
      </c>
      <c r="G1880" t="b">
        <v>0</v>
      </c>
      <c r="H1880" t="s">
        <v>15</v>
      </c>
    </row>
    <row r="1881" spans="1:8">
      <c r="A1881" t="s">
        <v>152</v>
      </c>
      <c r="B1881" t="s">
        <v>87</v>
      </c>
      <c r="C1881">
        <v>711</v>
      </c>
      <c r="D1881" t="s">
        <v>171</v>
      </c>
      <c r="E1881" s="242">
        <v>40026</v>
      </c>
      <c r="G1881" t="b">
        <v>0</v>
      </c>
      <c r="H1881" t="s">
        <v>15</v>
      </c>
    </row>
    <row r="1882" spans="1:8">
      <c r="A1882" t="s">
        <v>145</v>
      </c>
      <c r="B1882" t="s">
        <v>87</v>
      </c>
      <c r="C1882">
        <v>711</v>
      </c>
      <c r="D1882" t="s">
        <v>171</v>
      </c>
      <c r="E1882" s="242">
        <v>40087</v>
      </c>
      <c r="G1882" t="b">
        <v>0</v>
      </c>
      <c r="H1882" t="s">
        <v>15</v>
      </c>
    </row>
    <row r="1883" spans="1:8">
      <c r="A1883" t="s">
        <v>167</v>
      </c>
      <c r="B1883" t="s">
        <v>87</v>
      </c>
      <c r="C1883">
        <v>711</v>
      </c>
      <c r="D1883" t="s">
        <v>171</v>
      </c>
      <c r="E1883" s="242">
        <v>40118</v>
      </c>
      <c r="G1883" t="b">
        <v>0</v>
      </c>
      <c r="H1883" t="s">
        <v>15</v>
      </c>
    </row>
    <row r="1884" spans="1:8">
      <c r="A1884" t="s">
        <v>153</v>
      </c>
      <c r="B1884" t="s">
        <v>87</v>
      </c>
      <c r="C1884">
        <v>711</v>
      </c>
      <c r="D1884" t="s">
        <v>171</v>
      </c>
      <c r="E1884" s="242">
        <v>40148</v>
      </c>
      <c r="G1884" t="b">
        <v>0</v>
      </c>
      <c r="H1884" t="s">
        <v>15</v>
      </c>
    </row>
    <row r="1885" spans="1:8">
      <c r="A1885" t="s">
        <v>154</v>
      </c>
      <c r="B1885" t="s">
        <v>87</v>
      </c>
      <c r="C1885">
        <v>711</v>
      </c>
      <c r="D1885" t="s">
        <v>171</v>
      </c>
      <c r="E1885" s="242">
        <v>40179</v>
      </c>
      <c r="G1885" t="b">
        <v>0</v>
      </c>
      <c r="H1885" t="s">
        <v>15</v>
      </c>
    </row>
    <row r="1886" spans="1:8">
      <c r="A1886" t="s">
        <v>168</v>
      </c>
      <c r="B1886" t="s">
        <v>87</v>
      </c>
      <c r="C1886">
        <v>711</v>
      </c>
      <c r="D1886" t="s">
        <v>171</v>
      </c>
      <c r="E1886" s="242">
        <v>39873</v>
      </c>
      <c r="G1886" t="b">
        <v>0</v>
      </c>
      <c r="H1886" t="s">
        <v>15</v>
      </c>
    </row>
    <row r="1887" spans="1:8">
      <c r="A1887" t="s">
        <v>155</v>
      </c>
      <c r="B1887" t="s">
        <v>87</v>
      </c>
      <c r="C1887">
        <v>711</v>
      </c>
      <c r="D1887" t="s">
        <v>171</v>
      </c>
      <c r="E1887" s="242">
        <v>39692</v>
      </c>
      <c r="G1887" t="b">
        <v>0</v>
      </c>
      <c r="H1887" t="s">
        <v>15</v>
      </c>
    </row>
    <row r="1888" spans="1:8">
      <c r="A1888" t="s">
        <v>156</v>
      </c>
      <c r="B1888" t="s">
        <v>87</v>
      </c>
      <c r="C1888">
        <v>711</v>
      </c>
      <c r="D1888" t="s">
        <v>171</v>
      </c>
      <c r="E1888" s="242">
        <v>39873</v>
      </c>
      <c r="G1888" t="b">
        <v>0</v>
      </c>
      <c r="H1888" t="s">
        <v>15</v>
      </c>
    </row>
    <row r="1889" spans="1:8">
      <c r="A1889" t="s">
        <v>157</v>
      </c>
      <c r="B1889" t="s">
        <v>87</v>
      </c>
      <c r="C1889">
        <v>711</v>
      </c>
      <c r="D1889" t="s">
        <v>171</v>
      </c>
      <c r="E1889" s="242">
        <v>39692</v>
      </c>
      <c r="G1889" t="b">
        <v>0</v>
      </c>
      <c r="H1889" t="s">
        <v>15</v>
      </c>
    </row>
    <row r="1890" spans="1:8">
      <c r="A1890" t="s">
        <v>169</v>
      </c>
      <c r="B1890" t="s">
        <v>87</v>
      </c>
      <c r="C1890">
        <v>711</v>
      </c>
      <c r="D1890" t="s">
        <v>171</v>
      </c>
      <c r="E1890" s="242">
        <v>40421</v>
      </c>
      <c r="G1890" t="b">
        <v>0</v>
      </c>
      <c r="H1890" t="s">
        <v>15</v>
      </c>
    </row>
    <row r="1891" spans="1:8">
      <c r="A1891" t="s">
        <v>170</v>
      </c>
      <c r="B1891" t="s">
        <v>87</v>
      </c>
      <c r="C1891">
        <v>711</v>
      </c>
      <c r="D1891" t="s">
        <v>171</v>
      </c>
      <c r="E1891" s="242">
        <v>40422</v>
      </c>
      <c r="G1891" t="b">
        <v>0</v>
      </c>
      <c r="H1891" t="s">
        <v>15</v>
      </c>
    </row>
    <row r="1892" spans="1:8">
      <c r="A1892" t="s">
        <v>158</v>
      </c>
      <c r="B1892" t="s">
        <v>87</v>
      </c>
      <c r="C1892">
        <v>711</v>
      </c>
      <c r="D1892" t="s">
        <v>171</v>
      </c>
      <c r="E1892" s="242">
        <v>40391</v>
      </c>
      <c r="G1892" t="b">
        <v>0</v>
      </c>
      <c r="H1892" t="s">
        <v>15</v>
      </c>
    </row>
    <row r="1893" spans="1:8">
      <c r="A1893" t="s">
        <v>159</v>
      </c>
      <c r="B1893" t="s">
        <v>87</v>
      </c>
      <c r="C1893">
        <v>711</v>
      </c>
      <c r="D1893" t="s">
        <v>171</v>
      </c>
      <c r="E1893" s="242">
        <v>40422</v>
      </c>
      <c r="G1893" t="b">
        <v>0</v>
      </c>
      <c r="H1893" t="s">
        <v>15</v>
      </c>
    </row>
    <row r="1894" spans="1:8">
      <c r="A1894" t="s">
        <v>160</v>
      </c>
      <c r="B1894" t="s">
        <v>87</v>
      </c>
      <c r="C1894">
        <v>711</v>
      </c>
      <c r="D1894" t="s">
        <v>171</v>
      </c>
      <c r="E1894" s="242">
        <v>40513</v>
      </c>
      <c r="G1894" t="b">
        <v>0</v>
      </c>
      <c r="H1894" t="s">
        <v>15</v>
      </c>
    </row>
    <row r="1895" spans="1:8">
      <c r="A1895" t="s">
        <v>164</v>
      </c>
      <c r="B1895" t="s">
        <v>87</v>
      </c>
      <c r="C1895">
        <v>712</v>
      </c>
      <c r="D1895" t="s">
        <v>171</v>
      </c>
      <c r="E1895" s="242">
        <v>39692</v>
      </c>
      <c r="G1895" t="b">
        <v>0</v>
      </c>
      <c r="H1895" t="s">
        <v>15</v>
      </c>
    </row>
    <row r="1896" spans="1:8">
      <c r="A1896" t="s">
        <v>161</v>
      </c>
      <c r="B1896" t="s">
        <v>87</v>
      </c>
      <c r="C1896">
        <v>712</v>
      </c>
      <c r="D1896" t="s">
        <v>171</v>
      </c>
      <c r="E1896" s="242">
        <v>40330</v>
      </c>
      <c r="G1896" t="b">
        <v>0</v>
      </c>
      <c r="H1896" t="s">
        <v>15</v>
      </c>
    </row>
    <row r="1897" spans="1:8">
      <c r="A1897" t="s">
        <v>165</v>
      </c>
      <c r="B1897" t="s">
        <v>87</v>
      </c>
      <c r="C1897">
        <v>712</v>
      </c>
      <c r="D1897" t="s">
        <v>171</v>
      </c>
      <c r="E1897" s="242">
        <v>39722</v>
      </c>
      <c r="G1897" t="b">
        <v>0</v>
      </c>
      <c r="H1897" t="s">
        <v>15</v>
      </c>
    </row>
    <row r="1898" spans="1:8">
      <c r="A1898" t="s">
        <v>148</v>
      </c>
      <c r="B1898" t="s">
        <v>87</v>
      </c>
      <c r="C1898">
        <v>712</v>
      </c>
      <c r="D1898" t="s">
        <v>171</v>
      </c>
      <c r="E1898" s="242">
        <v>40603</v>
      </c>
      <c r="G1898" t="b">
        <v>0</v>
      </c>
      <c r="H1898" t="s">
        <v>15</v>
      </c>
    </row>
    <row r="1899" spans="1:8">
      <c r="A1899" t="s">
        <v>162</v>
      </c>
      <c r="B1899" t="s">
        <v>87</v>
      </c>
      <c r="C1899">
        <v>712</v>
      </c>
      <c r="D1899" t="s">
        <v>171</v>
      </c>
      <c r="E1899" s="242">
        <v>39692</v>
      </c>
      <c r="G1899" t="b">
        <v>0</v>
      </c>
      <c r="H1899" t="s">
        <v>15</v>
      </c>
    </row>
    <row r="1900" spans="1:8">
      <c r="A1900" t="s">
        <v>163</v>
      </c>
      <c r="B1900" t="s">
        <v>87</v>
      </c>
      <c r="C1900">
        <v>712</v>
      </c>
      <c r="D1900" t="s">
        <v>171</v>
      </c>
      <c r="E1900" s="242">
        <v>39264</v>
      </c>
      <c r="G1900" t="b">
        <v>0</v>
      </c>
      <c r="H1900" t="s">
        <v>15</v>
      </c>
    </row>
    <row r="1901" spans="1:8">
      <c r="A1901" t="s">
        <v>166</v>
      </c>
      <c r="B1901" t="s">
        <v>87</v>
      </c>
      <c r="C1901">
        <v>712</v>
      </c>
      <c r="D1901" t="s">
        <v>171</v>
      </c>
      <c r="E1901" s="242">
        <v>39507</v>
      </c>
      <c r="G1901" t="b">
        <v>0</v>
      </c>
      <c r="H1901" t="s">
        <v>15</v>
      </c>
    </row>
    <row r="1902" spans="1:8">
      <c r="A1902" t="s">
        <v>149</v>
      </c>
      <c r="B1902" t="s">
        <v>87</v>
      </c>
      <c r="C1902">
        <v>712</v>
      </c>
      <c r="D1902" t="s">
        <v>171</v>
      </c>
      <c r="E1902" s="242">
        <v>39600</v>
      </c>
      <c r="G1902" t="b">
        <v>0</v>
      </c>
      <c r="H1902" t="s">
        <v>15</v>
      </c>
    </row>
    <row r="1903" spans="1:8">
      <c r="A1903" t="s">
        <v>150</v>
      </c>
      <c r="B1903" t="s">
        <v>87</v>
      </c>
      <c r="C1903">
        <v>712</v>
      </c>
      <c r="D1903" t="s">
        <v>171</v>
      </c>
      <c r="E1903" s="242">
        <v>39995</v>
      </c>
      <c r="G1903" t="b">
        <v>0</v>
      </c>
      <c r="H1903" t="s">
        <v>15</v>
      </c>
    </row>
    <row r="1904" spans="1:8">
      <c r="A1904" t="s">
        <v>151</v>
      </c>
      <c r="B1904" t="s">
        <v>87</v>
      </c>
      <c r="C1904">
        <v>712</v>
      </c>
      <c r="D1904" t="s">
        <v>171</v>
      </c>
      <c r="E1904" s="242">
        <v>39995</v>
      </c>
      <c r="G1904" t="b">
        <v>0</v>
      </c>
      <c r="H1904" t="s">
        <v>15</v>
      </c>
    </row>
    <row r="1905" spans="1:8">
      <c r="A1905" t="s">
        <v>152</v>
      </c>
      <c r="B1905" t="s">
        <v>87</v>
      </c>
      <c r="C1905">
        <v>712</v>
      </c>
      <c r="D1905" t="s">
        <v>171</v>
      </c>
      <c r="E1905" s="242">
        <v>40026</v>
      </c>
      <c r="G1905" t="b">
        <v>0</v>
      </c>
      <c r="H1905" t="s">
        <v>15</v>
      </c>
    </row>
    <row r="1906" spans="1:8">
      <c r="A1906" t="s">
        <v>145</v>
      </c>
      <c r="B1906" t="s">
        <v>87</v>
      </c>
      <c r="C1906">
        <v>712</v>
      </c>
      <c r="D1906" t="s">
        <v>171</v>
      </c>
      <c r="E1906" s="242">
        <v>40087</v>
      </c>
      <c r="G1906" t="b">
        <v>0</v>
      </c>
      <c r="H1906" t="s">
        <v>15</v>
      </c>
    </row>
    <row r="1907" spans="1:8">
      <c r="A1907" t="s">
        <v>167</v>
      </c>
      <c r="B1907" t="s">
        <v>87</v>
      </c>
      <c r="C1907">
        <v>712</v>
      </c>
      <c r="D1907" t="s">
        <v>171</v>
      </c>
      <c r="E1907" s="242">
        <v>40118</v>
      </c>
      <c r="G1907" t="b">
        <v>0</v>
      </c>
      <c r="H1907" t="s">
        <v>15</v>
      </c>
    </row>
    <row r="1908" spans="1:8">
      <c r="A1908" t="s">
        <v>153</v>
      </c>
      <c r="B1908" t="s">
        <v>87</v>
      </c>
      <c r="C1908">
        <v>712</v>
      </c>
      <c r="D1908" t="s">
        <v>171</v>
      </c>
      <c r="E1908" s="242">
        <v>40148</v>
      </c>
      <c r="G1908" t="b">
        <v>0</v>
      </c>
      <c r="H1908" t="s">
        <v>15</v>
      </c>
    </row>
    <row r="1909" spans="1:8">
      <c r="A1909" t="s">
        <v>154</v>
      </c>
      <c r="B1909" t="s">
        <v>87</v>
      </c>
      <c r="C1909">
        <v>712</v>
      </c>
      <c r="D1909" t="s">
        <v>171</v>
      </c>
      <c r="E1909" s="242">
        <v>40179</v>
      </c>
      <c r="G1909" t="b">
        <v>0</v>
      </c>
      <c r="H1909" t="s">
        <v>15</v>
      </c>
    </row>
    <row r="1910" spans="1:8">
      <c r="A1910" t="s">
        <v>168</v>
      </c>
      <c r="B1910" t="s">
        <v>87</v>
      </c>
      <c r="C1910">
        <v>712</v>
      </c>
      <c r="D1910" t="s">
        <v>171</v>
      </c>
      <c r="E1910" s="242">
        <v>39600</v>
      </c>
      <c r="G1910" t="b">
        <v>0</v>
      </c>
      <c r="H1910" t="s">
        <v>15</v>
      </c>
    </row>
    <row r="1911" spans="1:8">
      <c r="A1911" t="s">
        <v>155</v>
      </c>
      <c r="B1911" t="s">
        <v>87</v>
      </c>
      <c r="C1911">
        <v>712</v>
      </c>
      <c r="D1911" t="s">
        <v>171</v>
      </c>
      <c r="E1911" s="242">
        <v>39692</v>
      </c>
      <c r="G1911" t="b">
        <v>0</v>
      </c>
      <c r="H1911" t="s">
        <v>15</v>
      </c>
    </row>
    <row r="1912" spans="1:8">
      <c r="A1912" t="s">
        <v>156</v>
      </c>
      <c r="B1912" t="s">
        <v>87</v>
      </c>
      <c r="C1912">
        <v>712</v>
      </c>
      <c r="D1912" t="s">
        <v>171</v>
      </c>
      <c r="E1912" s="242">
        <v>39873</v>
      </c>
      <c r="G1912" t="b">
        <v>0</v>
      </c>
      <c r="H1912" t="s">
        <v>15</v>
      </c>
    </row>
    <row r="1913" spans="1:8">
      <c r="A1913" t="s">
        <v>157</v>
      </c>
      <c r="B1913" t="s">
        <v>87</v>
      </c>
      <c r="C1913">
        <v>712</v>
      </c>
      <c r="D1913" t="s">
        <v>171</v>
      </c>
      <c r="E1913" s="242">
        <v>39692</v>
      </c>
      <c r="G1913" t="b">
        <v>0</v>
      </c>
      <c r="H1913" t="s">
        <v>15</v>
      </c>
    </row>
    <row r="1914" spans="1:8">
      <c r="A1914" t="s">
        <v>169</v>
      </c>
      <c r="B1914" t="s">
        <v>87</v>
      </c>
      <c r="C1914">
        <v>712</v>
      </c>
      <c r="D1914" t="s">
        <v>171</v>
      </c>
      <c r="E1914" s="242">
        <v>40421</v>
      </c>
      <c r="G1914" t="b">
        <v>0</v>
      </c>
      <c r="H1914" t="s">
        <v>15</v>
      </c>
    </row>
    <row r="1915" spans="1:8">
      <c r="A1915" t="s">
        <v>170</v>
      </c>
      <c r="B1915" t="s">
        <v>87</v>
      </c>
      <c r="C1915">
        <v>712</v>
      </c>
      <c r="D1915" t="s">
        <v>171</v>
      </c>
      <c r="E1915" s="242">
        <v>40422</v>
      </c>
      <c r="G1915" t="b">
        <v>0</v>
      </c>
      <c r="H1915" t="s">
        <v>15</v>
      </c>
    </row>
    <row r="1916" spans="1:8">
      <c r="A1916" t="s">
        <v>158</v>
      </c>
      <c r="B1916" t="s">
        <v>87</v>
      </c>
      <c r="C1916">
        <v>712</v>
      </c>
      <c r="D1916" t="s">
        <v>171</v>
      </c>
      <c r="E1916" s="242">
        <v>40391</v>
      </c>
      <c r="G1916" t="b">
        <v>0</v>
      </c>
      <c r="H1916" t="s">
        <v>15</v>
      </c>
    </row>
    <row r="1917" spans="1:8">
      <c r="A1917" t="s">
        <v>159</v>
      </c>
      <c r="B1917" t="s">
        <v>87</v>
      </c>
      <c r="C1917">
        <v>712</v>
      </c>
      <c r="D1917" t="s">
        <v>171</v>
      </c>
      <c r="E1917" s="242">
        <v>40422</v>
      </c>
      <c r="G1917" t="b">
        <v>0</v>
      </c>
      <c r="H1917" t="s">
        <v>15</v>
      </c>
    </row>
    <row r="1918" spans="1:8">
      <c r="A1918" t="s">
        <v>160</v>
      </c>
      <c r="B1918" t="s">
        <v>87</v>
      </c>
      <c r="C1918">
        <v>712</v>
      </c>
      <c r="D1918" t="s">
        <v>171</v>
      </c>
      <c r="E1918" s="242">
        <v>40513</v>
      </c>
      <c r="G1918" t="b">
        <v>0</v>
      </c>
      <c r="H1918" t="s">
        <v>15</v>
      </c>
    </row>
    <row r="1919" spans="1:8">
      <c r="A1919" t="s">
        <v>164</v>
      </c>
      <c r="B1919" t="s">
        <v>87</v>
      </c>
      <c r="C1919">
        <v>714</v>
      </c>
      <c r="D1919" t="s">
        <v>171</v>
      </c>
      <c r="E1919" s="242">
        <v>41834</v>
      </c>
      <c r="F1919">
        <v>0</v>
      </c>
      <c r="G1919" t="b">
        <v>0</v>
      </c>
      <c r="H1919" t="s">
        <v>15</v>
      </c>
    </row>
    <row r="1920" spans="1:8">
      <c r="A1920" t="s">
        <v>161</v>
      </c>
      <c r="B1920" t="s">
        <v>87</v>
      </c>
      <c r="C1920">
        <v>714</v>
      </c>
      <c r="D1920" t="s">
        <v>171</v>
      </c>
      <c r="E1920" s="242">
        <v>41030</v>
      </c>
      <c r="G1920" t="b">
        <v>0</v>
      </c>
      <c r="H1920" t="s">
        <v>15</v>
      </c>
    </row>
    <row r="1921" spans="1:8">
      <c r="A1921" t="s">
        <v>165</v>
      </c>
      <c r="B1921" t="s">
        <v>87</v>
      </c>
      <c r="C1921">
        <v>714</v>
      </c>
      <c r="D1921" t="s">
        <v>171</v>
      </c>
      <c r="E1921" s="242">
        <v>41061</v>
      </c>
      <c r="G1921" t="b">
        <v>0</v>
      </c>
      <c r="H1921" t="s">
        <v>15</v>
      </c>
    </row>
    <row r="1922" spans="1:8">
      <c r="A1922" t="s">
        <v>148</v>
      </c>
      <c r="B1922" t="s">
        <v>87</v>
      </c>
      <c r="C1922">
        <v>714</v>
      </c>
      <c r="D1922" t="s">
        <v>171</v>
      </c>
      <c r="E1922" s="242">
        <v>41365</v>
      </c>
      <c r="G1922" t="b">
        <v>0</v>
      </c>
      <c r="H1922" t="s">
        <v>15</v>
      </c>
    </row>
    <row r="1923" spans="1:8">
      <c r="A1923" t="s">
        <v>162</v>
      </c>
      <c r="B1923" t="s">
        <v>87</v>
      </c>
      <c r="C1923">
        <v>714</v>
      </c>
      <c r="D1923" t="s">
        <v>171</v>
      </c>
      <c r="E1923" s="242">
        <v>40210</v>
      </c>
      <c r="G1923" t="b">
        <v>0</v>
      </c>
      <c r="H1923" t="s">
        <v>15</v>
      </c>
    </row>
    <row r="1924" spans="1:8">
      <c r="A1924" t="s">
        <v>163</v>
      </c>
      <c r="B1924" t="s">
        <v>87</v>
      </c>
      <c r="C1924">
        <v>714</v>
      </c>
      <c r="D1924" t="s">
        <v>171</v>
      </c>
      <c r="E1924" s="242">
        <v>39203</v>
      </c>
      <c r="F1924">
        <v>0</v>
      </c>
      <c r="G1924" t="b">
        <v>0</v>
      </c>
      <c r="H1924" t="s">
        <v>15</v>
      </c>
    </row>
    <row r="1925" spans="1:8">
      <c r="A1925" t="s">
        <v>166</v>
      </c>
      <c r="B1925" t="s">
        <v>87</v>
      </c>
      <c r="C1925">
        <v>714</v>
      </c>
      <c r="D1925" t="s">
        <v>171</v>
      </c>
      <c r="E1925" s="242">
        <v>41081</v>
      </c>
      <c r="G1925" t="b">
        <v>0</v>
      </c>
      <c r="H1925" t="s">
        <v>15</v>
      </c>
    </row>
    <row r="1926" spans="1:8">
      <c r="A1926" t="s">
        <v>149</v>
      </c>
      <c r="B1926" t="s">
        <v>87</v>
      </c>
      <c r="C1926">
        <v>714</v>
      </c>
      <c r="D1926" t="s">
        <v>171</v>
      </c>
      <c r="E1926" s="242">
        <v>41864.416666666664</v>
      </c>
      <c r="F1926">
        <v>0</v>
      </c>
      <c r="G1926" t="b">
        <v>0</v>
      </c>
      <c r="H1926" t="s">
        <v>15</v>
      </c>
    </row>
    <row r="1927" spans="1:8">
      <c r="A1927" t="s">
        <v>150</v>
      </c>
      <c r="B1927" t="s">
        <v>87</v>
      </c>
      <c r="C1927">
        <v>714</v>
      </c>
      <c r="D1927" t="s">
        <v>171</v>
      </c>
      <c r="E1927" s="242">
        <v>39995</v>
      </c>
      <c r="G1927" t="b">
        <v>0</v>
      </c>
      <c r="H1927" t="s">
        <v>15</v>
      </c>
    </row>
    <row r="1928" spans="1:8">
      <c r="A1928" t="s">
        <v>151</v>
      </c>
      <c r="B1928" t="s">
        <v>87</v>
      </c>
      <c r="C1928">
        <v>714</v>
      </c>
      <c r="D1928" t="s">
        <v>171</v>
      </c>
      <c r="E1928" s="242">
        <v>39995</v>
      </c>
      <c r="G1928" t="b">
        <v>0</v>
      </c>
      <c r="H1928" t="s">
        <v>15</v>
      </c>
    </row>
    <row r="1929" spans="1:8">
      <c r="A1929" t="s">
        <v>152</v>
      </c>
      <c r="B1929" t="s">
        <v>87</v>
      </c>
      <c r="C1929">
        <v>714</v>
      </c>
      <c r="D1929" t="s">
        <v>171</v>
      </c>
      <c r="E1929" s="242">
        <v>40026</v>
      </c>
      <c r="G1929" t="b">
        <v>0</v>
      </c>
      <c r="H1929" t="s">
        <v>15</v>
      </c>
    </row>
    <row r="1930" spans="1:8">
      <c r="A1930" t="s">
        <v>145</v>
      </c>
      <c r="B1930" t="s">
        <v>87</v>
      </c>
      <c r="C1930">
        <v>714</v>
      </c>
      <c r="D1930" t="s">
        <v>171</v>
      </c>
      <c r="E1930" s="242">
        <v>40087</v>
      </c>
      <c r="G1930" t="b">
        <v>0</v>
      </c>
      <c r="H1930" t="s">
        <v>15</v>
      </c>
    </row>
    <row r="1931" spans="1:8">
      <c r="A1931" t="s">
        <v>167</v>
      </c>
      <c r="B1931" t="s">
        <v>87</v>
      </c>
      <c r="C1931">
        <v>714</v>
      </c>
      <c r="D1931" t="s">
        <v>171</v>
      </c>
      <c r="E1931" s="242">
        <v>41863.459722222222</v>
      </c>
      <c r="F1931">
        <v>0</v>
      </c>
      <c r="G1931" t="b">
        <v>0</v>
      </c>
      <c r="H1931" t="s">
        <v>15</v>
      </c>
    </row>
    <row r="1932" spans="1:8">
      <c r="A1932" t="s">
        <v>153</v>
      </c>
      <c r="B1932" t="s">
        <v>87</v>
      </c>
      <c r="C1932">
        <v>714</v>
      </c>
      <c r="D1932" t="s">
        <v>171</v>
      </c>
      <c r="E1932" s="242">
        <v>40148</v>
      </c>
      <c r="G1932" t="b">
        <v>0</v>
      </c>
      <c r="H1932" t="s">
        <v>15</v>
      </c>
    </row>
    <row r="1933" spans="1:8">
      <c r="A1933" t="s">
        <v>154</v>
      </c>
      <c r="B1933" t="s">
        <v>87</v>
      </c>
      <c r="C1933">
        <v>714</v>
      </c>
      <c r="D1933" t="s">
        <v>171</v>
      </c>
      <c r="E1933" s="242">
        <v>41365</v>
      </c>
      <c r="G1933" t="b">
        <v>0</v>
      </c>
      <c r="H1933" t="s">
        <v>15</v>
      </c>
    </row>
    <row r="1934" spans="1:8">
      <c r="A1934" t="s">
        <v>168</v>
      </c>
      <c r="B1934" t="s">
        <v>87</v>
      </c>
      <c r="C1934">
        <v>714</v>
      </c>
      <c r="D1934" t="s">
        <v>171</v>
      </c>
      <c r="E1934" s="242">
        <v>40210</v>
      </c>
      <c r="G1934" t="b">
        <v>0</v>
      </c>
      <c r="H1934" t="s">
        <v>15</v>
      </c>
    </row>
    <row r="1935" spans="1:8">
      <c r="A1935" t="s">
        <v>155</v>
      </c>
      <c r="B1935" t="s">
        <v>87</v>
      </c>
      <c r="C1935">
        <v>714</v>
      </c>
      <c r="D1935" t="s">
        <v>171</v>
      </c>
      <c r="E1935" s="242">
        <v>40087</v>
      </c>
      <c r="G1935" t="b">
        <v>0</v>
      </c>
      <c r="H1935" t="s">
        <v>15</v>
      </c>
    </row>
    <row r="1936" spans="1:8">
      <c r="A1936" t="s">
        <v>156</v>
      </c>
      <c r="B1936" t="s">
        <v>87</v>
      </c>
      <c r="C1936">
        <v>714</v>
      </c>
      <c r="D1936" t="s">
        <v>171</v>
      </c>
      <c r="E1936" s="242">
        <v>41864.396527777775</v>
      </c>
      <c r="F1936">
        <v>0</v>
      </c>
      <c r="G1936" t="b">
        <v>0</v>
      </c>
      <c r="H1936" t="s">
        <v>15</v>
      </c>
    </row>
    <row r="1937" spans="1:8">
      <c r="A1937" t="s">
        <v>157</v>
      </c>
      <c r="B1937" t="s">
        <v>87</v>
      </c>
      <c r="C1937">
        <v>714</v>
      </c>
      <c r="D1937" t="s">
        <v>171</v>
      </c>
      <c r="E1937" s="242">
        <v>40238</v>
      </c>
      <c r="G1937" t="b">
        <v>0</v>
      </c>
      <c r="H1937" t="s">
        <v>15</v>
      </c>
    </row>
    <row r="1938" spans="1:8">
      <c r="A1938" t="s">
        <v>169</v>
      </c>
      <c r="B1938" t="s">
        <v>87</v>
      </c>
      <c r="C1938">
        <v>714</v>
      </c>
      <c r="D1938" t="s">
        <v>171</v>
      </c>
      <c r="E1938" s="242">
        <v>40421</v>
      </c>
      <c r="G1938" t="b">
        <v>0</v>
      </c>
      <c r="H1938" t="s">
        <v>15</v>
      </c>
    </row>
    <row r="1939" spans="1:8">
      <c r="A1939" t="s">
        <v>170</v>
      </c>
      <c r="B1939" t="s">
        <v>87</v>
      </c>
      <c r="C1939">
        <v>714</v>
      </c>
      <c r="D1939" t="s">
        <v>171</v>
      </c>
      <c r="E1939" s="242">
        <v>40422</v>
      </c>
      <c r="G1939" t="b">
        <v>0</v>
      </c>
      <c r="H1939" t="s">
        <v>15</v>
      </c>
    </row>
    <row r="1940" spans="1:8">
      <c r="A1940" t="s">
        <v>158</v>
      </c>
      <c r="B1940" t="s">
        <v>87</v>
      </c>
      <c r="C1940">
        <v>714</v>
      </c>
      <c r="D1940" t="s">
        <v>171</v>
      </c>
      <c r="E1940" s="242">
        <v>40391</v>
      </c>
      <c r="G1940" t="b">
        <v>0</v>
      </c>
      <c r="H1940" t="s">
        <v>15</v>
      </c>
    </row>
    <row r="1941" spans="1:8">
      <c r="A1941" t="s">
        <v>159</v>
      </c>
      <c r="B1941" t="s">
        <v>87</v>
      </c>
      <c r="C1941">
        <v>714</v>
      </c>
      <c r="D1941" t="s">
        <v>171</v>
      </c>
      <c r="E1941" s="242">
        <v>40422</v>
      </c>
      <c r="G1941" t="b">
        <v>0</v>
      </c>
      <c r="H1941" t="s">
        <v>15</v>
      </c>
    </row>
    <row r="1942" spans="1:8">
      <c r="A1942" t="s">
        <v>160</v>
      </c>
      <c r="B1942" t="s">
        <v>87</v>
      </c>
      <c r="C1942">
        <v>714</v>
      </c>
      <c r="D1942" t="s">
        <v>171</v>
      </c>
      <c r="E1942" s="242">
        <v>40513</v>
      </c>
      <c r="G1942" t="b">
        <v>0</v>
      </c>
      <c r="H1942" t="s">
        <v>15</v>
      </c>
    </row>
    <row r="1943" spans="1:8">
      <c r="A1943" t="s">
        <v>164</v>
      </c>
      <c r="B1943" t="s">
        <v>87</v>
      </c>
      <c r="C1943">
        <v>716</v>
      </c>
      <c r="D1943" t="s">
        <v>171</v>
      </c>
      <c r="E1943" s="242">
        <v>40391</v>
      </c>
      <c r="G1943" t="b">
        <v>0</v>
      </c>
      <c r="H1943" t="s">
        <v>15</v>
      </c>
    </row>
    <row r="1944" spans="1:8">
      <c r="A1944" t="s">
        <v>161</v>
      </c>
      <c r="B1944" t="s">
        <v>87</v>
      </c>
      <c r="C1944">
        <v>716</v>
      </c>
      <c r="D1944" t="s">
        <v>171</v>
      </c>
      <c r="E1944" s="242">
        <v>41030</v>
      </c>
      <c r="G1944" t="b">
        <v>0</v>
      </c>
      <c r="H1944" t="s">
        <v>15</v>
      </c>
    </row>
    <row r="1945" spans="1:8">
      <c r="A1945" t="s">
        <v>165</v>
      </c>
      <c r="B1945" t="s">
        <v>87</v>
      </c>
      <c r="C1945">
        <v>716</v>
      </c>
      <c r="D1945" t="s">
        <v>171</v>
      </c>
      <c r="E1945" s="242">
        <v>41395</v>
      </c>
      <c r="G1945" t="b">
        <v>0</v>
      </c>
      <c r="H1945" t="s">
        <v>15</v>
      </c>
    </row>
    <row r="1946" spans="1:8">
      <c r="A1946" t="s">
        <v>148</v>
      </c>
      <c r="B1946" t="s">
        <v>87</v>
      </c>
      <c r="C1946">
        <v>716</v>
      </c>
      <c r="D1946" t="s">
        <v>171</v>
      </c>
      <c r="E1946" s="242">
        <v>40544</v>
      </c>
      <c r="G1946" t="b">
        <v>0</v>
      </c>
      <c r="H1946" t="s">
        <v>15</v>
      </c>
    </row>
    <row r="1947" spans="1:8">
      <c r="A1947" t="s">
        <v>162</v>
      </c>
      <c r="B1947" t="s">
        <v>87</v>
      </c>
      <c r="C1947">
        <v>716</v>
      </c>
      <c r="D1947" t="s">
        <v>171</v>
      </c>
      <c r="E1947" s="242">
        <v>41061</v>
      </c>
      <c r="G1947" t="b">
        <v>0</v>
      </c>
      <c r="H1947" t="s">
        <v>15</v>
      </c>
    </row>
    <row r="1948" spans="1:8">
      <c r="A1948" t="s">
        <v>163</v>
      </c>
      <c r="B1948" t="s">
        <v>87</v>
      </c>
      <c r="C1948">
        <v>716</v>
      </c>
      <c r="D1948" t="s">
        <v>171</v>
      </c>
      <c r="E1948" s="242">
        <v>40885</v>
      </c>
      <c r="G1948" t="b">
        <v>0</v>
      </c>
      <c r="H1948" t="s">
        <v>15</v>
      </c>
    </row>
    <row r="1949" spans="1:8">
      <c r="A1949" t="s">
        <v>166</v>
      </c>
      <c r="B1949" t="s">
        <v>87</v>
      </c>
      <c r="C1949">
        <v>716</v>
      </c>
      <c r="D1949" t="s">
        <v>171</v>
      </c>
      <c r="E1949" s="242">
        <v>40522</v>
      </c>
      <c r="G1949" t="b">
        <v>0</v>
      </c>
      <c r="H1949" t="s">
        <v>15</v>
      </c>
    </row>
    <row r="1950" spans="1:8">
      <c r="A1950" t="s">
        <v>149</v>
      </c>
      <c r="B1950" t="s">
        <v>87</v>
      </c>
      <c r="C1950">
        <v>716</v>
      </c>
      <c r="D1950" t="s">
        <v>171</v>
      </c>
      <c r="E1950" s="242">
        <v>41306</v>
      </c>
      <c r="G1950" t="b">
        <v>0</v>
      </c>
      <c r="H1950" t="s">
        <v>15</v>
      </c>
    </row>
    <row r="1951" spans="1:8">
      <c r="A1951" t="s">
        <v>150</v>
      </c>
      <c r="B1951" t="s">
        <v>87</v>
      </c>
      <c r="C1951">
        <v>716</v>
      </c>
      <c r="D1951" t="s">
        <v>171</v>
      </c>
      <c r="E1951" s="242">
        <v>39995</v>
      </c>
      <c r="G1951" t="b">
        <v>0</v>
      </c>
      <c r="H1951" t="s">
        <v>15</v>
      </c>
    </row>
    <row r="1952" spans="1:8">
      <c r="A1952" t="s">
        <v>151</v>
      </c>
      <c r="B1952" t="s">
        <v>87</v>
      </c>
      <c r="C1952">
        <v>716</v>
      </c>
      <c r="D1952" t="s">
        <v>171</v>
      </c>
      <c r="E1952" s="242">
        <v>41395</v>
      </c>
      <c r="G1952" t="b">
        <v>0</v>
      </c>
      <c r="H1952" t="s">
        <v>15</v>
      </c>
    </row>
    <row r="1953" spans="1:8">
      <c r="A1953" t="s">
        <v>152</v>
      </c>
      <c r="B1953" t="s">
        <v>87</v>
      </c>
      <c r="C1953">
        <v>716</v>
      </c>
      <c r="D1953" t="s">
        <v>171</v>
      </c>
      <c r="E1953" s="242">
        <v>40026</v>
      </c>
      <c r="G1953" t="b">
        <v>0</v>
      </c>
      <c r="H1953" t="s">
        <v>15</v>
      </c>
    </row>
    <row r="1954" spans="1:8">
      <c r="A1954" t="s">
        <v>145</v>
      </c>
      <c r="B1954" t="s">
        <v>87</v>
      </c>
      <c r="C1954">
        <v>716</v>
      </c>
      <c r="D1954" t="s">
        <v>171</v>
      </c>
      <c r="E1954" s="242">
        <v>40087</v>
      </c>
      <c r="G1954" t="b">
        <v>0</v>
      </c>
      <c r="H1954" t="s">
        <v>15</v>
      </c>
    </row>
    <row r="1955" spans="1:8">
      <c r="A1955" t="s">
        <v>167</v>
      </c>
      <c r="B1955" t="s">
        <v>87</v>
      </c>
      <c r="C1955">
        <v>716</v>
      </c>
      <c r="D1955" t="s">
        <v>171</v>
      </c>
      <c r="E1955" s="242">
        <v>40299</v>
      </c>
      <c r="G1955" t="b">
        <v>0</v>
      </c>
      <c r="H1955" t="s">
        <v>15</v>
      </c>
    </row>
    <row r="1956" spans="1:8">
      <c r="A1956" t="s">
        <v>153</v>
      </c>
      <c r="B1956" t="s">
        <v>87</v>
      </c>
      <c r="C1956">
        <v>716</v>
      </c>
      <c r="D1956" t="s">
        <v>171</v>
      </c>
      <c r="E1956" s="242">
        <v>40360</v>
      </c>
      <c r="G1956" t="b">
        <v>0</v>
      </c>
      <c r="H1956" t="s">
        <v>15</v>
      </c>
    </row>
    <row r="1957" spans="1:8">
      <c r="A1957" t="s">
        <v>154</v>
      </c>
      <c r="B1957" t="s">
        <v>87</v>
      </c>
      <c r="C1957">
        <v>716</v>
      </c>
      <c r="D1957" t="s">
        <v>171</v>
      </c>
      <c r="E1957" s="242">
        <v>41730</v>
      </c>
      <c r="G1957" t="b">
        <v>0</v>
      </c>
      <c r="H1957" t="s">
        <v>15</v>
      </c>
    </row>
    <row r="1958" spans="1:8">
      <c r="A1958" t="s">
        <v>168</v>
      </c>
      <c r="B1958" t="s">
        <v>87</v>
      </c>
      <c r="C1958">
        <v>716</v>
      </c>
      <c r="D1958" t="s">
        <v>171</v>
      </c>
      <c r="E1958" s="242">
        <v>41671</v>
      </c>
      <c r="G1958" t="b">
        <v>0</v>
      </c>
      <c r="H1958" t="s">
        <v>15</v>
      </c>
    </row>
    <row r="1959" spans="1:8">
      <c r="A1959" t="s">
        <v>155</v>
      </c>
      <c r="B1959" t="s">
        <v>87</v>
      </c>
      <c r="C1959">
        <v>716</v>
      </c>
      <c r="D1959" t="s">
        <v>171</v>
      </c>
      <c r="E1959" s="242">
        <v>41395</v>
      </c>
      <c r="G1959" t="b">
        <v>0</v>
      </c>
      <c r="H1959" t="s">
        <v>15</v>
      </c>
    </row>
    <row r="1960" spans="1:8">
      <c r="A1960" t="s">
        <v>156</v>
      </c>
      <c r="B1960" t="s">
        <v>87</v>
      </c>
      <c r="C1960">
        <v>716</v>
      </c>
      <c r="D1960" t="s">
        <v>171</v>
      </c>
      <c r="E1960" s="242">
        <v>41395</v>
      </c>
      <c r="G1960" t="b">
        <v>0</v>
      </c>
      <c r="H1960" t="s">
        <v>15</v>
      </c>
    </row>
    <row r="1961" spans="1:8">
      <c r="A1961" t="s">
        <v>157</v>
      </c>
      <c r="B1961" t="s">
        <v>87</v>
      </c>
      <c r="C1961">
        <v>716</v>
      </c>
      <c r="D1961" t="s">
        <v>171</v>
      </c>
      <c r="E1961" s="242">
        <v>40238</v>
      </c>
      <c r="G1961" t="b">
        <v>0</v>
      </c>
      <c r="H1961" t="s">
        <v>15</v>
      </c>
    </row>
    <row r="1962" spans="1:8">
      <c r="A1962" t="s">
        <v>169</v>
      </c>
      <c r="B1962" t="s">
        <v>87</v>
      </c>
      <c r="C1962">
        <v>716</v>
      </c>
      <c r="D1962" t="s">
        <v>171</v>
      </c>
      <c r="E1962" s="242">
        <v>40421</v>
      </c>
      <c r="G1962" t="b">
        <v>0</v>
      </c>
      <c r="H1962" t="s">
        <v>15</v>
      </c>
    </row>
    <row r="1963" spans="1:8">
      <c r="A1963" t="s">
        <v>170</v>
      </c>
      <c r="B1963" t="s">
        <v>87</v>
      </c>
      <c r="C1963">
        <v>716</v>
      </c>
      <c r="D1963" t="s">
        <v>171</v>
      </c>
      <c r="E1963" s="242">
        <v>40422</v>
      </c>
      <c r="G1963" t="b">
        <v>0</v>
      </c>
      <c r="H1963" t="s">
        <v>15</v>
      </c>
    </row>
    <row r="1964" spans="1:8">
      <c r="A1964" t="s">
        <v>158</v>
      </c>
      <c r="B1964" t="s">
        <v>87</v>
      </c>
      <c r="C1964">
        <v>716</v>
      </c>
      <c r="D1964" t="s">
        <v>171</v>
      </c>
      <c r="E1964" s="242">
        <v>40391</v>
      </c>
      <c r="G1964" t="b">
        <v>0</v>
      </c>
      <c r="H1964" t="s">
        <v>15</v>
      </c>
    </row>
    <row r="1965" spans="1:8">
      <c r="A1965" t="s">
        <v>159</v>
      </c>
      <c r="B1965" t="s">
        <v>87</v>
      </c>
      <c r="C1965">
        <v>716</v>
      </c>
      <c r="D1965" t="s">
        <v>171</v>
      </c>
      <c r="E1965" s="242">
        <v>40422</v>
      </c>
      <c r="G1965" t="b">
        <v>0</v>
      </c>
      <c r="H1965" t="s">
        <v>15</v>
      </c>
    </row>
    <row r="1966" spans="1:8">
      <c r="A1966" t="s">
        <v>160</v>
      </c>
      <c r="B1966" t="s">
        <v>87</v>
      </c>
      <c r="C1966">
        <v>716</v>
      </c>
      <c r="D1966" t="s">
        <v>171</v>
      </c>
      <c r="E1966" s="242">
        <v>40513</v>
      </c>
      <c r="G1966" t="b">
        <v>0</v>
      </c>
      <c r="H1966" t="s">
        <v>15</v>
      </c>
    </row>
    <row r="1967" spans="1:8">
      <c r="A1967" t="s">
        <v>161</v>
      </c>
      <c r="B1967" t="s">
        <v>87</v>
      </c>
      <c r="C1967">
        <v>718</v>
      </c>
      <c r="D1967" t="s">
        <v>171</v>
      </c>
      <c r="E1967" s="242">
        <v>41122</v>
      </c>
      <c r="G1967" t="b">
        <v>0</v>
      </c>
      <c r="H1967" t="s">
        <v>15</v>
      </c>
    </row>
    <row r="1968" spans="1:8">
      <c r="A1968" t="s">
        <v>165</v>
      </c>
      <c r="B1968" t="s">
        <v>87</v>
      </c>
      <c r="C1968">
        <v>718</v>
      </c>
      <c r="D1968" t="s">
        <v>171</v>
      </c>
      <c r="E1968" s="242">
        <v>41306</v>
      </c>
      <c r="G1968" t="b">
        <v>0</v>
      </c>
      <c r="H1968" t="s">
        <v>15</v>
      </c>
    </row>
    <row r="1969" spans="1:8">
      <c r="A1969" t="s">
        <v>148</v>
      </c>
      <c r="B1969" t="s">
        <v>87</v>
      </c>
      <c r="C1969">
        <v>718</v>
      </c>
      <c r="D1969" t="s">
        <v>171</v>
      </c>
      <c r="E1969" s="242">
        <v>41365</v>
      </c>
      <c r="G1969" t="b">
        <v>0</v>
      </c>
      <c r="H1969" t="s">
        <v>15</v>
      </c>
    </row>
    <row r="1970" spans="1:8">
      <c r="A1970" t="s">
        <v>162</v>
      </c>
      <c r="B1970" t="s">
        <v>87</v>
      </c>
      <c r="C1970">
        <v>718</v>
      </c>
      <c r="D1970" t="s">
        <v>171</v>
      </c>
      <c r="E1970" s="242">
        <v>41091</v>
      </c>
      <c r="G1970" t="b">
        <v>0</v>
      </c>
      <c r="H1970" t="s">
        <v>15</v>
      </c>
    </row>
    <row r="1971" spans="1:8">
      <c r="A1971" t="s">
        <v>163</v>
      </c>
      <c r="B1971" t="s">
        <v>87</v>
      </c>
      <c r="C1971">
        <v>718</v>
      </c>
      <c r="D1971" t="s">
        <v>171</v>
      </c>
      <c r="E1971" s="242">
        <v>41122</v>
      </c>
      <c r="G1971" t="b">
        <v>0</v>
      </c>
      <c r="H1971" t="s">
        <v>15</v>
      </c>
    </row>
    <row r="1972" spans="1:8">
      <c r="A1972" t="s">
        <v>166</v>
      </c>
      <c r="B1972" t="s">
        <v>87</v>
      </c>
      <c r="C1972">
        <v>718</v>
      </c>
      <c r="D1972" t="s">
        <v>171</v>
      </c>
      <c r="E1972" s="242">
        <v>40452</v>
      </c>
      <c r="G1972" t="b">
        <v>0</v>
      </c>
      <c r="H1972" t="s">
        <v>15</v>
      </c>
    </row>
    <row r="1973" spans="1:8">
      <c r="A1973" t="s">
        <v>149</v>
      </c>
      <c r="B1973" t="s">
        <v>87</v>
      </c>
      <c r="C1973">
        <v>718</v>
      </c>
      <c r="D1973" t="s">
        <v>171</v>
      </c>
      <c r="E1973" s="242">
        <v>40909</v>
      </c>
      <c r="G1973" t="b">
        <v>0</v>
      </c>
      <c r="H1973" t="s">
        <v>15</v>
      </c>
    </row>
    <row r="1974" spans="1:8">
      <c r="A1974" t="s">
        <v>150</v>
      </c>
      <c r="B1974" t="s">
        <v>87</v>
      </c>
      <c r="C1974">
        <v>718</v>
      </c>
      <c r="D1974" t="s">
        <v>171</v>
      </c>
      <c r="E1974" s="242">
        <v>41306</v>
      </c>
      <c r="G1974" t="b">
        <v>0</v>
      </c>
      <c r="H1974" t="s">
        <v>15</v>
      </c>
    </row>
    <row r="1975" spans="1:8">
      <c r="A1975" t="s">
        <v>151</v>
      </c>
      <c r="B1975" t="s">
        <v>87</v>
      </c>
      <c r="C1975">
        <v>718</v>
      </c>
      <c r="D1975" t="s">
        <v>171</v>
      </c>
      <c r="E1975" s="242">
        <v>39995</v>
      </c>
      <c r="G1975" t="b">
        <v>0</v>
      </c>
      <c r="H1975" t="s">
        <v>15</v>
      </c>
    </row>
    <row r="1976" spans="1:8">
      <c r="A1976" t="s">
        <v>152</v>
      </c>
      <c r="B1976" t="s">
        <v>87</v>
      </c>
      <c r="C1976">
        <v>718</v>
      </c>
      <c r="D1976" t="s">
        <v>171</v>
      </c>
      <c r="E1976" s="242">
        <v>40026</v>
      </c>
      <c r="G1976" t="b">
        <v>0</v>
      </c>
      <c r="H1976" t="s">
        <v>15</v>
      </c>
    </row>
    <row r="1977" spans="1:8">
      <c r="A1977" t="s">
        <v>145</v>
      </c>
      <c r="B1977" t="s">
        <v>87</v>
      </c>
      <c r="C1977">
        <v>718</v>
      </c>
      <c r="D1977" t="s">
        <v>171</v>
      </c>
      <c r="E1977" s="242">
        <v>40087</v>
      </c>
      <c r="G1977" t="b">
        <v>0</v>
      </c>
      <c r="H1977" t="s">
        <v>15</v>
      </c>
    </row>
    <row r="1978" spans="1:8">
      <c r="A1978" t="s">
        <v>167</v>
      </c>
      <c r="B1978" t="s">
        <v>87</v>
      </c>
      <c r="C1978">
        <v>718</v>
      </c>
      <c r="D1978" t="s">
        <v>171</v>
      </c>
      <c r="E1978" s="242">
        <v>40513</v>
      </c>
      <c r="G1978" t="b">
        <v>0</v>
      </c>
      <c r="H1978" t="s">
        <v>15</v>
      </c>
    </row>
    <row r="1979" spans="1:8">
      <c r="A1979" t="s">
        <v>153</v>
      </c>
      <c r="B1979" t="s">
        <v>87</v>
      </c>
      <c r="C1979">
        <v>718</v>
      </c>
      <c r="D1979" t="s">
        <v>171</v>
      </c>
      <c r="E1979" s="242">
        <v>39995</v>
      </c>
      <c r="G1979" t="b">
        <v>0</v>
      </c>
      <c r="H1979" t="s">
        <v>15</v>
      </c>
    </row>
    <row r="1980" spans="1:8">
      <c r="A1980" t="s">
        <v>154</v>
      </c>
      <c r="B1980" t="s">
        <v>87</v>
      </c>
      <c r="C1980">
        <v>718</v>
      </c>
      <c r="D1980" t="s">
        <v>171</v>
      </c>
      <c r="E1980" s="242">
        <v>40482</v>
      </c>
      <c r="G1980" t="b">
        <v>0</v>
      </c>
      <c r="H1980" t="s">
        <v>15</v>
      </c>
    </row>
    <row r="1981" spans="1:8">
      <c r="A1981" t="s">
        <v>168</v>
      </c>
      <c r="B1981" t="s">
        <v>87</v>
      </c>
      <c r="C1981">
        <v>718</v>
      </c>
      <c r="D1981" t="s">
        <v>171</v>
      </c>
      <c r="E1981" s="242">
        <v>41275</v>
      </c>
      <c r="G1981" t="b">
        <v>0</v>
      </c>
      <c r="H1981" t="s">
        <v>15</v>
      </c>
    </row>
    <row r="1982" spans="1:8">
      <c r="A1982" t="s">
        <v>155</v>
      </c>
      <c r="B1982" t="s">
        <v>87</v>
      </c>
      <c r="C1982">
        <v>718</v>
      </c>
      <c r="D1982" t="s">
        <v>171</v>
      </c>
      <c r="E1982" s="242">
        <v>41334</v>
      </c>
      <c r="G1982" t="b">
        <v>0</v>
      </c>
      <c r="H1982" t="s">
        <v>15</v>
      </c>
    </row>
    <row r="1983" spans="1:8">
      <c r="A1983" t="s">
        <v>156</v>
      </c>
      <c r="B1983" t="s">
        <v>87</v>
      </c>
      <c r="C1983">
        <v>718</v>
      </c>
      <c r="D1983" t="s">
        <v>171</v>
      </c>
      <c r="E1983" s="242">
        <v>40909</v>
      </c>
      <c r="G1983" t="b">
        <v>0</v>
      </c>
      <c r="H1983" t="s">
        <v>15</v>
      </c>
    </row>
    <row r="1984" spans="1:8">
      <c r="A1984" t="s">
        <v>157</v>
      </c>
      <c r="B1984" t="s">
        <v>87</v>
      </c>
      <c r="C1984">
        <v>718</v>
      </c>
      <c r="D1984" t="s">
        <v>171</v>
      </c>
      <c r="E1984" s="242">
        <v>41275</v>
      </c>
      <c r="G1984" t="b">
        <v>0</v>
      </c>
      <c r="H1984" t="s">
        <v>15</v>
      </c>
    </row>
    <row r="1985" spans="1:8">
      <c r="A1985" t="s">
        <v>169</v>
      </c>
      <c r="B1985" t="s">
        <v>87</v>
      </c>
      <c r="C1985">
        <v>718</v>
      </c>
      <c r="D1985" t="s">
        <v>171</v>
      </c>
      <c r="E1985" s="242">
        <v>40391</v>
      </c>
      <c r="G1985" t="b">
        <v>0</v>
      </c>
      <c r="H1985" t="s">
        <v>15</v>
      </c>
    </row>
    <row r="1986" spans="1:8">
      <c r="A1986" t="s">
        <v>158</v>
      </c>
      <c r="B1986" t="s">
        <v>87</v>
      </c>
      <c r="C1986">
        <v>718</v>
      </c>
      <c r="D1986" t="s">
        <v>171</v>
      </c>
      <c r="E1986" s="242">
        <v>40391</v>
      </c>
      <c r="G1986" t="b">
        <v>0</v>
      </c>
      <c r="H1986" t="s">
        <v>15</v>
      </c>
    </row>
    <row r="1987" spans="1:8">
      <c r="A1987" t="s">
        <v>159</v>
      </c>
      <c r="B1987" t="s">
        <v>87</v>
      </c>
      <c r="C1987">
        <v>718</v>
      </c>
      <c r="D1987" t="s">
        <v>171</v>
      </c>
      <c r="E1987" s="242">
        <v>40422</v>
      </c>
      <c r="G1987" t="b">
        <v>0</v>
      </c>
      <c r="H1987" t="s">
        <v>15</v>
      </c>
    </row>
    <row r="1988" spans="1:8">
      <c r="A1988" t="s">
        <v>160</v>
      </c>
      <c r="B1988" t="s">
        <v>87</v>
      </c>
      <c r="C1988">
        <v>718</v>
      </c>
      <c r="D1988" t="s">
        <v>171</v>
      </c>
      <c r="E1988" s="242">
        <v>40513</v>
      </c>
      <c r="G1988" t="b">
        <v>0</v>
      </c>
      <c r="H1988" t="s">
        <v>15</v>
      </c>
    </row>
    <row r="1989" spans="1:8">
      <c r="A1989" t="s">
        <v>164</v>
      </c>
      <c r="B1989" t="s">
        <v>87</v>
      </c>
      <c r="C1989">
        <v>720</v>
      </c>
      <c r="D1989" t="s">
        <v>171</v>
      </c>
      <c r="E1989" s="242">
        <v>40026</v>
      </c>
      <c r="F1989">
        <v>0</v>
      </c>
      <c r="G1989" t="b">
        <v>0</v>
      </c>
      <c r="H1989" t="s">
        <v>15</v>
      </c>
    </row>
    <row r="1990" spans="1:8">
      <c r="A1990" t="s">
        <v>161</v>
      </c>
      <c r="B1990" t="s">
        <v>87</v>
      </c>
      <c r="C1990">
        <v>720</v>
      </c>
      <c r="D1990" t="s">
        <v>171</v>
      </c>
      <c r="E1990" s="242">
        <v>40330</v>
      </c>
      <c r="G1990" t="b">
        <v>0</v>
      </c>
      <c r="H1990" t="s">
        <v>15</v>
      </c>
    </row>
    <row r="1991" spans="1:8">
      <c r="A1991" t="s">
        <v>165</v>
      </c>
      <c r="B1991" t="s">
        <v>87</v>
      </c>
      <c r="C1991">
        <v>720</v>
      </c>
      <c r="D1991" t="s">
        <v>171</v>
      </c>
      <c r="E1991" s="242">
        <v>41306</v>
      </c>
      <c r="G1991" t="b">
        <v>0</v>
      </c>
      <c r="H1991" t="s">
        <v>15</v>
      </c>
    </row>
    <row r="1992" spans="1:8">
      <c r="A1992" t="s">
        <v>148</v>
      </c>
      <c r="B1992" t="s">
        <v>87</v>
      </c>
      <c r="C1992">
        <v>720</v>
      </c>
      <c r="D1992" t="s">
        <v>171</v>
      </c>
      <c r="E1992" s="242">
        <v>41334</v>
      </c>
      <c r="G1992" t="b">
        <v>0</v>
      </c>
      <c r="H1992" t="s">
        <v>15</v>
      </c>
    </row>
    <row r="1993" spans="1:8">
      <c r="A1993" t="s">
        <v>162</v>
      </c>
      <c r="B1993" t="s">
        <v>87</v>
      </c>
      <c r="C1993">
        <v>720</v>
      </c>
      <c r="D1993" t="s">
        <v>171</v>
      </c>
      <c r="E1993" s="242">
        <v>41091</v>
      </c>
      <c r="G1993" t="b">
        <v>0</v>
      </c>
      <c r="H1993" t="s">
        <v>15</v>
      </c>
    </row>
    <row r="1994" spans="1:8">
      <c r="A1994" t="s">
        <v>163</v>
      </c>
      <c r="B1994" t="s">
        <v>87</v>
      </c>
      <c r="C1994">
        <v>720</v>
      </c>
      <c r="D1994" t="s">
        <v>171</v>
      </c>
      <c r="E1994" s="242">
        <v>41122</v>
      </c>
      <c r="G1994" t="b">
        <v>0</v>
      </c>
      <c r="H1994" t="s">
        <v>15</v>
      </c>
    </row>
    <row r="1995" spans="1:8">
      <c r="A1995" t="s">
        <v>166</v>
      </c>
      <c r="B1995" t="s">
        <v>87</v>
      </c>
      <c r="C1995">
        <v>720</v>
      </c>
      <c r="D1995" t="s">
        <v>171</v>
      </c>
      <c r="E1995" s="242">
        <v>40452</v>
      </c>
      <c r="G1995" t="b">
        <v>0</v>
      </c>
      <c r="H1995" t="s">
        <v>15</v>
      </c>
    </row>
    <row r="1996" spans="1:8">
      <c r="A1996" t="s">
        <v>149</v>
      </c>
      <c r="B1996" t="s">
        <v>87</v>
      </c>
      <c r="C1996">
        <v>720</v>
      </c>
      <c r="D1996" t="s">
        <v>171</v>
      </c>
      <c r="E1996" s="242">
        <v>39995</v>
      </c>
      <c r="G1996" t="b">
        <v>0</v>
      </c>
      <c r="H1996" t="s">
        <v>15</v>
      </c>
    </row>
    <row r="1997" spans="1:8">
      <c r="A1997" t="s">
        <v>150</v>
      </c>
      <c r="B1997" t="s">
        <v>87</v>
      </c>
      <c r="C1997">
        <v>720</v>
      </c>
      <c r="D1997" t="s">
        <v>171</v>
      </c>
      <c r="E1997" s="242">
        <v>41306</v>
      </c>
      <c r="G1997" t="b">
        <v>0</v>
      </c>
      <c r="H1997" t="s">
        <v>15</v>
      </c>
    </row>
    <row r="1998" spans="1:8">
      <c r="A1998" t="s">
        <v>151</v>
      </c>
      <c r="B1998" t="s">
        <v>87</v>
      </c>
      <c r="C1998">
        <v>720</v>
      </c>
      <c r="D1998" t="s">
        <v>171</v>
      </c>
      <c r="E1998" s="242">
        <v>39995</v>
      </c>
      <c r="G1998" t="b">
        <v>0</v>
      </c>
      <c r="H1998" t="s">
        <v>15</v>
      </c>
    </row>
    <row r="1999" spans="1:8">
      <c r="A1999" t="s">
        <v>152</v>
      </c>
      <c r="B1999" t="s">
        <v>87</v>
      </c>
      <c r="C1999">
        <v>720</v>
      </c>
      <c r="D1999" t="s">
        <v>171</v>
      </c>
      <c r="E1999" s="242">
        <v>40026</v>
      </c>
      <c r="G1999" t="b">
        <v>0</v>
      </c>
      <c r="H1999" t="s">
        <v>15</v>
      </c>
    </row>
    <row r="2000" spans="1:8">
      <c r="A2000" t="s">
        <v>145</v>
      </c>
      <c r="B2000" t="s">
        <v>87</v>
      </c>
      <c r="C2000">
        <v>720</v>
      </c>
      <c r="D2000" t="s">
        <v>171</v>
      </c>
      <c r="E2000" s="242">
        <v>40087</v>
      </c>
      <c r="G2000" t="b">
        <v>0</v>
      </c>
      <c r="H2000" t="s">
        <v>15</v>
      </c>
    </row>
    <row r="2001" spans="1:8">
      <c r="A2001" t="s">
        <v>167</v>
      </c>
      <c r="B2001" t="s">
        <v>87</v>
      </c>
      <c r="C2001">
        <v>720</v>
      </c>
      <c r="D2001" t="s">
        <v>171</v>
      </c>
      <c r="E2001" s="242">
        <v>40452</v>
      </c>
      <c r="G2001" t="b">
        <v>0</v>
      </c>
      <c r="H2001" t="s">
        <v>15</v>
      </c>
    </row>
    <row r="2002" spans="1:8">
      <c r="A2002" t="s">
        <v>153</v>
      </c>
      <c r="B2002" t="s">
        <v>87</v>
      </c>
      <c r="C2002">
        <v>720</v>
      </c>
      <c r="D2002" t="s">
        <v>171</v>
      </c>
      <c r="E2002" s="242">
        <v>40756</v>
      </c>
      <c r="G2002" t="b">
        <v>0</v>
      </c>
      <c r="H2002" t="s">
        <v>15</v>
      </c>
    </row>
    <row r="2003" spans="1:8">
      <c r="A2003" t="s">
        <v>154</v>
      </c>
      <c r="B2003" t="s">
        <v>87</v>
      </c>
      <c r="C2003">
        <v>720</v>
      </c>
      <c r="D2003" t="s">
        <v>171</v>
      </c>
      <c r="E2003" s="242">
        <v>40482</v>
      </c>
      <c r="G2003" t="b">
        <v>0</v>
      </c>
      <c r="H2003" t="s">
        <v>15</v>
      </c>
    </row>
    <row r="2004" spans="1:8">
      <c r="A2004" t="s">
        <v>168</v>
      </c>
      <c r="B2004" t="s">
        <v>87</v>
      </c>
      <c r="C2004">
        <v>720</v>
      </c>
      <c r="D2004" t="s">
        <v>171</v>
      </c>
      <c r="E2004" s="242">
        <v>41306</v>
      </c>
      <c r="G2004" t="b">
        <v>0</v>
      </c>
      <c r="H2004" t="s">
        <v>15</v>
      </c>
    </row>
    <row r="2005" spans="1:8">
      <c r="A2005" t="s">
        <v>155</v>
      </c>
      <c r="B2005" t="s">
        <v>87</v>
      </c>
      <c r="C2005">
        <v>720</v>
      </c>
      <c r="D2005" t="s">
        <v>171</v>
      </c>
      <c r="E2005" s="242">
        <v>41334</v>
      </c>
      <c r="G2005" t="b">
        <v>0</v>
      </c>
      <c r="H2005" t="s">
        <v>15</v>
      </c>
    </row>
    <row r="2006" spans="1:8">
      <c r="A2006" t="s">
        <v>156</v>
      </c>
      <c r="B2006" t="s">
        <v>87</v>
      </c>
      <c r="C2006">
        <v>720</v>
      </c>
      <c r="D2006" t="s">
        <v>171</v>
      </c>
      <c r="E2006" s="242">
        <v>39995</v>
      </c>
      <c r="G2006" t="b">
        <v>0</v>
      </c>
      <c r="H2006" t="s">
        <v>15</v>
      </c>
    </row>
    <row r="2007" spans="1:8">
      <c r="A2007" t="s">
        <v>157</v>
      </c>
      <c r="B2007" t="s">
        <v>87</v>
      </c>
      <c r="C2007">
        <v>720</v>
      </c>
      <c r="D2007" t="s">
        <v>171</v>
      </c>
      <c r="E2007" s="242">
        <v>41275</v>
      </c>
      <c r="G2007" t="b">
        <v>0</v>
      </c>
      <c r="H2007" t="s">
        <v>15</v>
      </c>
    </row>
    <row r="2008" spans="1:8">
      <c r="A2008" t="s">
        <v>169</v>
      </c>
      <c r="B2008" t="s">
        <v>87</v>
      </c>
      <c r="C2008">
        <v>720</v>
      </c>
      <c r="D2008" t="s">
        <v>171</v>
      </c>
      <c r="E2008" s="242">
        <v>40391</v>
      </c>
      <c r="G2008" t="b">
        <v>0</v>
      </c>
      <c r="H2008" t="s">
        <v>15</v>
      </c>
    </row>
    <row r="2009" spans="1:8">
      <c r="A2009" t="s">
        <v>170</v>
      </c>
      <c r="B2009" t="s">
        <v>87</v>
      </c>
      <c r="C2009">
        <v>720</v>
      </c>
      <c r="D2009" t="s">
        <v>171</v>
      </c>
      <c r="E2009" s="242">
        <v>40422</v>
      </c>
      <c r="G2009" t="b">
        <v>0</v>
      </c>
      <c r="H2009" t="s">
        <v>15</v>
      </c>
    </row>
    <row r="2010" spans="1:8">
      <c r="A2010" t="s">
        <v>158</v>
      </c>
      <c r="B2010" t="s">
        <v>87</v>
      </c>
      <c r="C2010">
        <v>720</v>
      </c>
      <c r="D2010" t="s">
        <v>171</v>
      </c>
      <c r="E2010" s="242">
        <v>40391</v>
      </c>
      <c r="G2010" t="b">
        <v>0</v>
      </c>
      <c r="H2010" t="s">
        <v>15</v>
      </c>
    </row>
    <row r="2011" spans="1:8">
      <c r="A2011" t="s">
        <v>159</v>
      </c>
      <c r="B2011" t="s">
        <v>87</v>
      </c>
      <c r="C2011">
        <v>720</v>
      </c>
      <c r="D2011" t="s">
        <v>171</v>
      </c>
      <c r="E2011" s="242">
        <v>40422</v>
      </c>
      <c r="G2011" t="b">
        <v>0</v>
      </c>
      <c r="H2011" t="s">
        <v>15</v>
      </c>
    </row>
    <row r="2012" spans="1:8">
      <c r="A2012" t="s">
        <v>160</v>
      </c>
      <c r="B2012" t="s">
        <v>87</v>
      </c>
      <c r="C2012">
        <v>720</v>
      </c>
      <c r="D2012" t="s">
        <v>171</v>
      </c>
      <c r="E2012" s="242">
        <v>40513</v>
      </c>
      <c r="G2012" t="b">
        <v>0</v>
      </c>
      <c r="H2012" t="s">
        <v>15</v>
      </c>
    </row>
    <row r="2013" spans="1:8">
      <c r="A2013" t="s">
        <v>164</v>
      </c>
      <c r="B2013" t="s">
        <v>87</v>
      </c>
      <c r="C2013">
        <v>725</v>
      </c>
      <c r="D2013" t="s">
        <v>171</v>
      </c>
      <c r="E2013" s="242">
        <v>40026</v>
      </c>
      <c r="F2013">
        <v>0</v>
      </c>
      <c r="G2013" t="b">
        <v>0</v>
      </c>
      <c r="H2013" t="s">
        <v>15</v>
      </c>
    </row>
    <row r="2014" spans="1:8">
      <c r="A2014" t="s">
        <v>161</v>
      </c>
      <c r="B2014" t="s">
        <v>87</v>
      </c>
      <c r="C2014">
        <v>725</v>
      </c>
      <c r="D2014" t="s">
        <v>171</v>
      </c>
      <c r="E2014" s="242">
        <v>41122</v>
      </c>
      <c r="G2014" t="b">
        <v>0</v>
      </c>
      <c r="H2014" t="s">
        <v>15</v>
      </c>
    </row>
    <row r="2015" spans="1:8">
      <c r="A2015" t="s">
        <v>165</v>
      </c>
      <c r="B2015" t="s">
        <v>87</v>
      </c>
      <c r="C2015">
        <v>725</v>
      </c>
      <c r="D2015" t="s">
        <v>171</v>
      </c>
      <c r="E2015" s="242">
        <v>41306</v>
      </c>
      <c r="G2015" t="b">
        <v>0</v>
      </c>
      <c r="H2015" t="s">
        <v>15</v>
      </c>
    </row>
    <row r="2016" spans="1:8">
      <c r="A2016" t="s">
        <v>148</v>
      </c>
      <c r="B2016" t="s">
        <v>87</v>
      </c>
      <c r="C2016">
        <v>725</v>
      </c>
      <c r="D2016" t="s">
        <v>171</v>
      </c>
      <c r="E2016" s="242">
        <v>41334</v>
      </c>
      <c r="G2016" t="b">
        <v>0</v>
      </c>
      <c r="H2016" t="s">
        <v>15</v>
      </c>
    </row>
    <row r="2017" spans="1:8">
      <c r="A2017" t="s">
        <v>162</v>
      </c>
      <c r="B2017" t="s">
        <v>87</v>
      </c>
      <c r="C2017">
        <v>725</v>
      </c>
      <c r="D2017" t="s">
        <v>171</v>
      </c>
      <c r="E2017" s="242">
        <v>41091</v>
      </c>
      <c r="G2017" t="b">
        <v>0</v>
      </c>
      <c r="H2017" t="s">
        <v>15</v>
      </c>
    </row>
    <row r="2018" spans="1:8">
      <c r="A2018" t="s">
        <v>163</v>
      </c>
      <c r="B2018" t="s">
        <v>87</v>
      </c>
      <c r="C2018">
        <v>725</v>
      </c>
      <c r="D2018" t="s">
        <v>171</v>
      </c>
      <c r="E2018" s="242">
        <v>41122</v>
      </c>
      <c r="G2018" t="b">
        <v>0</v>
      </c>
      <c r="H2018" t="s">
        <v>15</v>
      </c>
    </row>
    <row r="2019" spans="1:8">
      <c r="A2019" t="s">
        <v>166</v>
      </c>
      <c r="B2019" t="s">
        <v>87</v>
      </c>
      <c r="C2019">
        <v>725</v>
      </c>
      <c r="D2019" t="s">
        <v>171</v>
      </c>
      <c r="E2019" s="242">
        <v>40480</v>
      </c>
      <c r="G2019" t="b">
        <v>0</v>
      </c>
      <c r="H2019" t="s">
        <v>15</v>
      </c>
    </row>
    <row r="2020" spans="1:8">
      <c r="A2020" t="s">
        <v>149</v>
      </c>
      <c r="B2020" t="s">
        <v>87</v>
      </c>
      <c r="C2020">
        <v>725</v>
      </c>
      <c r="D2020" t="s">
        <v>171</v>
      </c>
      <c r="E2020" s="242">
        <v>41061</v>
      </c>
      <c r="G2020" t="b">
        <v>0</v>
      </c>
      <c r="H2020" t="s">
        <v>15</v>
      </c>
    </row>
    <row r="2021" spans="1:8">
      <c r="A2021" t="s">
        <v>150</v>
      </c>
      <c r="B2021" t="s">
        <v>87</v>
      </c>
      <c r="C2021">
        <v>725</v>
      </c>
      <c r="D2021" t="s">
        <v>171</v>
      </c>
      <c r="E2021" s="242">
        <v>41306</v>
      </c>
      <c r="G2021" t="b">
        <v>0</v>
      </c>
      <c r="H2021" t="s">
        <v>15</v>
      </c>
    </row>
    <row r="2022" spans="1:8">
      <c r="A2022" t="s">
        <v>151</v>
      </c>
      <c r="B2022" t="s">
        <v>87</v>
      </c>
      <c r="C2022">
        <v>725</v>
      </c>
      <c r="D2022" t="s">
        <v>171</v>
      </c>
      <c r="E2022" s="242">
        <v>39995</v>
      </c>
      <c r="G2022" t="b">
        <v>0</v>
      </c>
      <c r="H2022" t="s">
        <v>15</v>
      </c>
    </row>
    <row r="2023" spans="1:8">
      <c r="A2023" t="s">
        <v>152</v>
      </c>
      <c r="B2023" t="s">
        <v>87</v>
      </c>
      <c r="C2023">
        <v>725</v>
      </c>
      <c r="D2023" t="s">
        <v>171</v>
      </c>
      <c r="E2023" s="242">
        <v>40026</v>
      </c>
      <c r="G2023" t="b">
        <v>0</v>
      </c>
      <c r="H2023" t="s">
        <v>15</v>
      </c>
    </row>
    <row r="2024" spans="1:8">
      <c r="A2024" t="s">
        <v>145</v>
      </c>
      <c r="B2024" t="s">
        <v>87</v>
      </c>
      <c r="C2024">
        <v>725</v>
      </c>
      <c r="D2024" t="s">
        <v>171</v>
      </c>
      <c r="E2024" s="242">
        <v>40087</v>
      </c>
      <c r="G2024" t="b">
        <v>0</v>
      </c>
      <c r="H2024" t="s">
        <v>15</v>
      </c>
    </row>
    <row r="2025" spans="1:8">
      <c r="A2025" t="s">
        <v>167</v>
      </c>
      <c r="B2025" t="s">
        <v>87</v>
      </c>
      <c r="C2025">
        <v>725</v>
      </c>
      <c r="D2025" t="s">
        <v>171</v>
      </c>
      <c r="E2025" s="242">
        <v>40452</v>
      </c>
      <c r="G2025" t="b">
        <v>0</v>
      </c>
      <c r="H2025" t="s">
        <v>15</v>
      </c>
    </row>
    <row r="2026" spans="1:8">
      <c r="A2026" t="s">
        <v>153</v>
      </c>
      <c r="B2026" t="s">
        <v>87</v>
      </c>
      <c r="C2026">
        <v>725</v>
      </c>
      <c r="D2026" t="s">
        <v>171</v>
      </c>
      <c r="E2026" s="242">
        <v>40756</v>
      </c>
      <c r="G2026" t="b">
        <v>0</v>
      </c>
      <c r="H2026" t="s">
        <v>15</v>
      </c>
    </row>
    <row r="2027" spans="1:8">
      <c r="A2027" t="s">
        <v>154</v>
      </c>
      <c r="B2027" t="s">
        <v>87</v>
      </c>
      <c r="C2027">
        <v>725</v>
      </c>
      <c r="D2027" t="s">
        <v>171</v>
      </c>
      <c r="E2027" s="242">
        <v>40482</v>
      </c>
      <c r="G2027" t="b">
        <v>0</v>
      </c>
      <c r="H2027" t="s">
        <v>15</v>
      </c>
    </row>
    <row r="2028" spans="1:8">
      <c r="A2028" t="s">
        <v>168</v>
      </c>
      <c r="B2028" t="s">
        <v>87</v>
      </c>
      <c r="C2028">
        <v>725</v>
      </c>
      <c r="D2028" t="s">
        <v>171</v>
      </c>
      <c r="E2028" s="242">
        <v>41275</v>
      </c>
      <c r="G2028" t="b">
        <v>0</v>
      </c>
      <c r="H2028" t="s">
        <v>15</v>
      </c>
    </row>
    <row r="2029" spans="1:8">
      <c r="A2029" t="s">
        <v>155</v>
      </c>
      <c r="B2029" t="s">
        <v>87</v>
      </c>
      <c r="C2029">
        <v>725</v>
      </c>
      <c r="D2029" t="s">
        <v>171</v>
      </c>
      <c r="E2029" s="242">
        <v>41334</v>
      </c>
      <c r="G2029" t="b">
        <v>0</v>
      </c>
      <c r="H2029" t="s">
        <v>15</v>
      </c>
    </row>
    <row r="2030" spans="1:8">
      <c r="A2030" t="s">
        <v>156</v>
      </c>
      <c r="B2030" t="s">
        <v>87</v>
      </c>
      <c r="C2030">
        <v>725</v>
      </c>
      <c r="D2030" t="s">
        <v>171</v>
      </c>
      <c r="E2030" s="242">
        <v>39995</v>
      </c>
      <c r="G2030" t="b">
        <v>0</v>
      </c>
      <c r="H2030" t="s">
        <v>15</v>
      </c>
    </row>
    <row r="2031" spans="1:8">
      <c r="A2031" t="s">
        <v>157</v>
      </c>
      <c r="B2031" t="s">
        <v>87</v>
      </c>
      <c r="C2031">
        <v>725</v>
      </c>
      <c r="D2031" t="s">
        <v>171</v>
      </c>
      <c r="E2031" s="242">
        <v>41275</v>
      </c>
      <c r="G2031" t="b">
        <v>0</v>
      </c>
      <c r="H2031" t="s">
        <v>15</v>
      </c>
    </row>
    <row r="2032" spans="1:8">
      <c r="A2032" t="s">
        <v>169</v>
      </c>
      <c r="B2032" t="s">
        <v>87</v>
      </c>
      <c r="C2032">
        <v>725</v>
      </c>
      <c r="D2032" t="s">
        <v>171</v>
      </c>
      <c r="E2032" s="242">
        <v>40391</v>
      </c>
      <c r="G2032" t="b">
        <v>0</v>
      </c>
      <c r="H2032" t="s">
        <v>15</v>
      </c>
    </row>
    <row r="2033" spans="1:8">
      <c r="A2033" t="s">
        <v>170</v>
      </c>
      <c r="B2033" t="s">
        <v>87</v>
      </c>
      <c r="C2033">
        <v>725</v>
      </c>
      <c r="D2033" t="s">
        <v>171</v>
      </c>
      <c r="E2033" s="242">
        <v>40422</v>
      </c>
      <c r="G2033" t="b">
        <v>0</v>
      </c>
      <c r="H2033" t="s">
        <v>15</v>
      </c>
    </row>
    <row r="2034" spans="1:8">
      <c r="A2034" t="s">
        <v>158</v>
      </c>
      <c r="B2034" t="s">
        <v>87</v>
      </c>
      <c r="C2034">
        <v>725</v>
      </c>
      <c r="D2034" t="s">
        <v>171</v>
      </c>
      <c r="E2034" s="242">
        <v>40391</v>
      </c>
      <c r="G2034" t="b">
        <v>0</v>
      </c>
      <c r="H2034" t="s">
        <v>15</v>
      </c>
    </row>
    <row r="2035" spans="1:8">
      <c r="A2035" t="s">
        <v>159</v>
      </c>
      <c r="B2035" t="s">
        <v>87</v>
      </c>
      <c r="C2035">
        <v>725</v>
      </c>
      <c r="D2035" t="s">
        <v>171</v>
      </c>
      <c r="E2035" s="242">
        <v>40422</v>
      </c>
      <c r="G2035" t="b">
        <v>0</v>
      </c>
      <c r="H2035" t="s">
        <v>15</v>
      </c>
    </row>
    <row r="2036" spans="1:8">
      <c r="A2036" t="s">
        <v>160</v>
      </c>
      <c r="B2036" t="s">
        <v>87</v>
      </c>
      <c r="C2036">
        <v>725</v>
      </c>
      <c r="D2036" t="s">
        <v>171</v>
      </c>
      <c r="E2036" s="242">
        <v>40513</v>
      </c>
      <c r="G2036" t="b">
        <v>0</v>
      </c>
      <c r="H2036" t="s">
        <v>15</v>
      </c>
    </row>
    <row r="2037" spans="1:8">
      <c r="A2037" t="s">
        <v>164</v>
      </c>
      <c r="B2037" t="s">
        <v>87</v>
      </c>
      <c r="C2037">
        <v>730</v>
      </c>
      <c r="D2037" t="s">
        <v>171</v>
      </c>
      <c r="E2037" s="242">
        <v>42095.556250000001</v>
      </c>
      <c r="F2037">
        <v>0</v>
      </c>
      <c r="G2037" t="b">
        <v>0</v>
      </c>
      <c r="H2037" t="s">
        <v>15</v>
      </c>
    </row>
    <row r="2038" spans="1:8">
      <c r="A2038" t="s">
        <v>161</v>
      </c>
      <c r="B2038" t="s">
        <v>87</v>
      </c>
      <c r="C2038">
        <v>730</v>
      </c>
      <c r="D2038" t="s">
        <v>171</v>
      </c>
      <c r="E2038" s="242">
        <v>37895</v>
      </c>
      <c r="G2038" t="b">
        <v>0</v>
      </c>
      <c r="H2038" t="s">
        <v>15</v>
      </c>
    </row>
    <row r="2039" spans="1:8">
      <c r="A2039" t="s">
        <v>165</v>
      </c>
      <c r="B2039" t="s">
        <v>87</v>
      </c>
      <c r="C2039">
        <v>730</v>
      </c>
      <c r="D2039" t="s">
        <v>171</v>
      </c>
      <c r="E2039" s="242">
        <v>37712</v>
      </c>
      <c r="F2039">
        <v>0</v>
      </c>
      <c r="G2039" t="b">
        <v>0</v>
      </c>
      <c r="H2039" t="s">
        <v>15</v>
      </c>
    </row>
    <row r="2040" spans="1:8">
      <c r="A2040" t="s">
        <v>148</v>
      </c>
      <c r="B2040" t="s">
        <v>87</v>
      </c>
      <c r="C2040">
        <v>730</v>
      </c>
      <c r="D2040" t="s">
        <v>171</v>
      </c>
      <c r="E2040" s="242">
        <v>40544</v>
      </c>
      <c r="G2040" t="b">
        <v>0</v>
      </c>
      <c r="H2040" t="s">
        <v>15</v>
      </c>
    </row>
    <row r="2041" spans="1:8">
      <c r="A2041" t="s">
        <v>162</v>
      </c>
      <c r="B2041" t="s">
        <v>87</v>
      </c>
      <c r="C2041">
        <v>730</v>
      </c>
      <c r="D2041" t="s">
        <v>171</v>
      </c>
      <c r="E2041" s="242">
        <v>41883</v>
      </c>
      <c r="F2041">
        <v>0</v>
      </c>
      <c r="G2041" t="b">
        <v>0</v>
      </c>
      <c r="H2041" t="s">
        <v>15</v>
      </c>
    </row>
    <row r="2042" spans="1:8">
      <c r="A2042" t="s">
        <v>163</v>
      </c>
      <c r="B2042" t="s">
        <v>87</v>
      </c>
      <c r="C2042">
        <v>730</v>
      </c>
      <c r="D2042" t="s">
        <v>171</v>
      </c>
      <c r="E2042" s="242">
        <v>41275</v>
      </c>
      <c r="G2042" t="b">
        <v>0</v>
      </c>
      <c r="H2042" t="s">
        <v>15</v>
      </c>
    </row>
    <row r="2043" spans="1:8">
      <c r="A2043" t="s">
        <v>166</v>
      </c>
      <c r="B2043" t="s">
        <v>87</v>
      </c>
      <c r="C2043">
        <v>730</v>
      </c>
      <c r="D2043" t="s">
        <v>171</v>
      </c>
      <c r="E2043" s="242">
        <v>40522</v>
      </c>
      <c r="G2043" t="b">
        <v>0</v>
      </c>
      <c r="H2043" t="s">
        <v>15</v>
      </c>
    </row>
    <row r="2044" spans="1:8">
      <c r="A2044" t="s">
        <v>149</v>
      </c>
      <c r="B2044" t="s">
        <v>87</v>
      </c>
      <c r="C2044">
        <v>730</v>
      </c>
      <c r="D2044" t="s">
        <v>171</v>
      </c>
      <c r="E2044" s="242">
        <v>38018</v>
      </c>
      <c r="G2044" t="b">
        <v>0</v>
      </c>
      <c r="H2044" t="s">
        <v>15</v>
      </c>
    </row>
    <row r="2045" spans="1:8">
      <c r="A2045" t="s">
        <v>150</v>
      </c>
      <c r="B2045" t="s">
        <v>87</v>
      </c>
      <c r="C2045">
        <v>730</v>
      </c>
      <c r="D2045" t="s">
        <v>171</v>
      </c>
      <c r="E2045" s="242">
        <v>39995</v>
      </c>
      <c r="G2045" t="b">
        <v>0</v>
      </c>
      <c r="H2045" t="s">
        <v>15</v>
      </c>
    </row>
    <row r="2046" spans="1:8">
      <c r="A2046" t="s">
        <v>151</v>
      </c>
      <c r="B2046" t="s">
        <v>87</v>
      </c>
      <c r="C2046">
        <v>730</v>
      </c>
      <c r="D2046" t="s">
        <v>171</v>
      </c>
      <c r="E2046" s="242">
        <v>38018</v>
      </c>
      <c r="G2046" t="b">
        <v>0</v>
      </c>
      <c r="H2046" t="s">
        <v>15</v>
      </c>
    </row>
    <row r="2047" spans="1:8">
      <c r="A2047" t="s">
        <v>152</v>
      </c>
      <c r="B2047" t="s">
        <v>87</v>
      </c>
      <c r="C2047">
        <v>730</v>
      </c>
      <c r="D2047" t="s">
        <v>171</v>
      </c>
      <c r="E2047" s="242">
        <v>38018</v>
      </c>
      <c r="G2047" t="b">
        <v>0</v>
      </c>
      <c r="H2047" t="s">
        <v>15</v>
      </c>
    </row>
    <row r="2048" spans="1:8">
      <c r="A2048" t="s">
        <v>145</v>
      </c>
      <c r="B2048" t="s">
        <v>87</v>
      </c>
      <c r="C2048">
        <v>730</v>
      </c>
      <c r="D2048" t="s">
        <v>171</v>
      </c>
      <c r="E2048" s="242">
        <v>37834</v>
      </c>
      <c r="G2048" t="b">
        <v>0</v>
      </c>
      <c r="H2048" t="s">
        <v>15</v>
      </c>
    </row>
    <row r="2049" spans="1:8">
      <c r="A2049" t="s">
        <v>167</v>
      </c>
      <c r="B2049" t="s">
        <v>87</v>
      </c>
      <c r="C2049">
        <v>730</v>
      </c>
      <c r="D2049" t="s">
        <v>171</v>
      </c>
      <c r="E2049" s="242">
        <v>40026</v>
      </c>
      <c r="G2049" t="b">
        <v>0</v>
      </c>
      <c r="H2049" t="s">
        <v>15</v>
      </c>
    </row>
    <row r="2050" spans="1:8">
      <c r="A2050" t="s">
        <v>153</v>
      </c>
      <c r="B2050" t="s">
        <v>87</v>
      </c>
      <c r="C2050">
        <v>730</v>
      </c>
      <c r="D2050" t="s">
        <v>171</v>
      </c>
      <c r="E2050" s="242">
        <v>40168</v>
      </c>
      <c r="G2050" t="b">
        <v>0</v>
      </c>
      <c r="H2050" t="s">
        <v>15</v>
      </c>
    </row>
    <row r="2051" spans="1:8">
      <c r="A2051" t="s">
        <v>154</v>
      </c>
      <c r="B2051" t="s">
        <v>87</v>
      </c>
      <c r="C2051">
        <v>730</v>
      </c>
      <c r="D2051" t="s">
        <v>171</v>
      </c>
      <c r="E2051" s="242">
        <v>38018</v>
      </c>
      <c r="G2051" t="b">
        <v>0</v>
      </c>
      <c r="H2051" t="s">
        <v>15</v>
      </c>
    </row>
    <row r="2052" spans="1:8">
      <c r="A2052" t="s">
        <v>168</v>
      </c>
      <c r="B2052" t="s">
        <v>87</v>
      </c>
      <c r="C2052">
        <v>730</v>
      </c>
      <c r="D2052" t="s">
        <v>171</v>
      </c>
      <c r="E2052" s="242">
        <v>40210</v>
      </c>
      <c r="G2052" t="b">
        <v>0</v>
      </c>
      <c r="H2052" t="s">
        <v>15</v>
      </c>
    </row>
    <row r="2053" spans="1:8">
      <c r="A2053" t="s">
        <v>155</v>
      </c>
      <c r="B2053" t="s">
        <v>87</v>
      </c>
      <c r="C2053">
        <v>730</v>
      </c>
      <c r="D2053" t="s">
        <v>171</v>
      </c>
      <c r="E2053" s="242">
        <v>40087</v>
      </c>
      <c r="G2053" t="b">
        <v>0</v>
      </c>
      <c r="H2053" t="s">
        <v>15</v>
      </c>
    </row>
    <row r="2054" spans="1:8">
      <c r="A2054" t="s">
        <v>156</v>
      </c>
      <c r="B2054" t="s">
        <v>87</v>
      </c>
      <c r="C2054">
        <v>730</v>
      </c>
      <c r="D2054" t="s">
        <v>171</v>
      </c>
      <c r="E2054" s="242">
        <v>38018</v>
      </c>
      <c r="G2054" t="b">
        <v>0</v>
      </c>
      <c r="H2054" t="s">
        <v>15</v>
      </c>
    </row>
    <row r="2055" spans="1:8">
      <c r="A2055" t="s">
        <v>157</v>
      </c>
      <c r="B2055" t="s">
        <v>87</v>
      </c>
      <c r="C2055">
        <v>730</v>
      </c>
      <c r="D2055" t="s">
        <v>171</v>
      </c>
      <c r="E2055" s="242">
        <v>40057</v>
      </c>
      <c r="G2055" t="b">
        <v>0</v>
      </c>
      <c r="H2055" t="s">
        <v>15</v>
      </c>
    </row>
    <row r="2056" spans="1:8">
      <c r="A2056" t="s">
        <v>169</v>
      </c>
      <c r="B2056" t="s">
        <v>87</v>
      </c>
      <c r="C2056">
        <v>730</v>
      </c>
      <c r="D2056" t="s">
        <v>171</v>
      </c>
      <c r="E2056" s="242">
        <v>38018</v>
      </c>
      <c r="G2056" t="b">
        <v>0</v>
      </c>
      <c r="H2056" t="s">
        <v>15</v>
      </c>
    </row>
    <row r="2057" spans="1:8">
      <c r="A2057" t="s">
        <v>170</v>
      </c>
      <c r="B2057" t="s">
        <v>87</v>
      </c>
      <c r="C2057">
        <v>730</v>
      </c>
      <c r="D2057" t="s">
        <v>171</v>
      </c>
      <c r="E2057" s="242">
        <v>38018</v>
      </c>
      <c r="G2057" t="b">
        <v>0</v>
      </c>
      <c r="H2057" t="s">
        <v>15</v>
      </c>
    </row>
    <row r="2058" spans="1:8">
      <c r="A2058" t="s">
        <v>158</v>
      </c>
      <c r="B2058" t="s">
        <v>87</v>
      </c>
      <c r="C2058">
        <v>730</v>
      </c>
      <c r="D2058" t="s">
        <v>171</v>
      </c>
      <c r="E2058" s="242">
        <v>41365</v>
      </c>
      <c r="G2058" t="b">
        <v>0</v>
      </c>
      <c r="H2058" t="s">
        <v>15</v>
      </c>
    </row>
    <row r="2059" spans="1:8">
      <c r="A2059" t="s">
        <v>159</v>
      </c>
      <c r="B2059" t="s">
        <v>87</v>
      </c>
      <c r="C2059">
        <v>730</v>
      </c>
      <c r="D2059" t="s">
        <v>171</v>
      </c>
      <c r="E2059" s="242">
        <v>38018</v>
      </c>
      <c r="G2059" t="b">
        <v>0</v>
      </c>
      <c r="H2059" t="s">
        <v>15</v>
      </c>
    </row>
    <row r="2060" spans="1:8">
      <c r="A2060" t="s">
        <v>160</v>
      </c>
      <c r="B2060" t="s">
        <v>87</v>
      </c>
      <c r="C2060">
        <v>730</v>
      </c>
      <c r="D2060" t="s">
        <v>171</v>
      </c>
      <c r="E2060" s="242">
        <v>40513</v>
      </c>
      <c r="G2060" t="b">
        <v>0</v>
      </c>
      <c r="H2060" t="s">
        <v>15</v>
      </c>
    </row>
    <row r="2061" spans="1:8">
      <c r="A2061" t="s">
        <v>164</v>
      </c>
      <c r="B2061" t="s">
        <v>87</v>
      </c>
      <c r="C2061">
        <v>735</v>
      </c>
      <c r="D2061" t="s">
        <v>171</v>
      </c>
      <c r="E2061" s="242">
        <v>46478</v>
      </c>
      <c r="F2061">
        <v>0</v>
      </c>
      <c r="G2061" t="b">
        <v>0</v>
      </c>
      <c r="H2061" t="s">
        <v>15</v>
      </c>
    </row>
    <row r="2062" spans="1:8">
      <c r="A2062" t="s">
        <v>161</v>
      </c>
      <c r="B2062" t="s">
        <v>87</v>
      </c>
      <c r="C2062">
        <v>735</v>
      </c>
      <c r="D2062" t="s">
        <v>171</v>
      </c>
      <c r="E2062" s="242">
        <v>42064</v>
      </c>
      <c r="F2062">
        <v>0</v>
      </c>
      <c r="G2062" t="b">
        <v>0</v>
      </c>
      <c r="H2062" t="s">
        <v>15</v>
      </c>
    </row>
    <row r="2063" spans="1:8">
      <c r="A2063" t="s">
        <v>165</v>
      </c>
      <c r="B2063" t="s">
        <v>87</v>
      </c>
      <c r="C2063">
        <v>735</v>
      </c>
      <c r="D2063" t="s">
        <v>171</v>
      </c>
      <c r="E2063" s="242">
        <v>37712</v>
      </c>
      <c r="F2063">
        <v>0</v>
      </c>
      <c r="G2063" t="b">
        <v>0</v>
      </c>
      <c r="H2063" t="s">
        <v>15</v>
      </c>
    </row>
    <row r="2064" spans="1:8">
      <c r="A2064" t="s">
        <v>148</v>
      </c>
      <c r="B2064" t="s">
        <v>87</v>
      </c>
      <c r="C2064">
        <v>735</v>
      </c>
      <c r="D2064" t="s">
        <v>171</v>
      </c>
      <c r="E2064" s="242">
        <v>39083</v>
      </c>
      <c r="F2064">
        <v>0</v>
      </c>
      <c r="G2064" t="b">
        <v>0</v>
      </c>
      <c r="H2064" t="s">
        <v>15</v>
      </c>
    </row>
    <row r="2065" spans="1:8">
      <c r="A2065" t="s">
        <v>162</v>
      </c>
      <c r="B2065" t="s">
        <v>87</v>
      </c>
      <c r="C2065">
        <v>735</v>
      </c>
      <c r="D2065" t="s">
        <v>171</v>
      </c>
      <c r="E2065" s="242">
        <v>41699</v>
      </c>
      <c r="G2065" t="b">
        <v>0</v>
      </c>
      <c r="H2065" t="s">
        <v>15</v>
      </c>
    </row>
    <row r="2066" spans="1:8">
      <c r="A2066" t="s">
        <v>163</v>
      </c>
      <c r="B2066" t="s">
        <v>87</v>
      </c>
      <c r="C2066">
        <v>735</v>
      </c>
      <c r="D2066" t="s">
        <v>171</v>
      </c>
      <c r="E2066" s="242">
        <v>41275</v>
      </c>
      <c r="G2066" t="b">
        <v>0</v>
      </c>
      <c r="H2066" t="s">
        <v>15</v>
      </c>
    </row>
    <row r="2067" spans="1:8">
      <c r="A2067" t="s">
        <v>166</v>
      </c>
      <c r="B2067" t="s">
        <v>87</v>
      </c>
      <c r="C2067">
        <v>735</v>
      </c>
      <c r="D2067" t="s">
        <v>171</v>
      </c>
      <c r="E2067" s="242">
        <v>40522</v>
      </c>
      <c r="G2067" t="b">
        <v>0</v>
      </c>
      <c r="H2067" t="s">
        <v>15</v>
      </c>
    </row>
    <row r="2068" spans="1:8">
      <c r="A2068" t="s">
        <v>149</v>
      </c>
      <c r="B2068" t="s">
        <v>87</v>
      </c>
      <c r="C2068">
        <v>735</v>
      </c>
      <c r="D2068" t="s">
        <v>171</v>
      </c>
      <c r="E2068" s="242">
        <v>38869</v>
      </c>
      <c r="F2068">
        <v>0</v>
      </c>
      <c r="G2068" t="b">
        <v>0</v>
      </c>
      <c r="H2068" t="s">
        <v>15</v>
      </c>
    </row>
    <row r="2069" spans="1:8">
      <c r="A2069" t="s">
        <v>150</v>
      </c>
      <c r="B2069" t="s">
        <v>87</v>
      </c>
      <c r="C2069">
        <v>735</v>
      </c>
      <c r="D2069" t="s">
        <v>171</v>
      </c>
      <c r="E2069" s="242">
        <v>39995</v>
      </c>
      <c r="G2069" t="b">
        <v>0</v>
      </c>
      <c r="H2069" t="s">
        <v>15</v>
      </c>
    </row>
    <row r="2070" spans="1:8">
      <c r="A2070" t="s">
        <v>151</v>
      </c>
      <c r="B2070" t="s">
        <v>87</v>
      </c>
      <c r="C2070">
        <v>735</v>
      </c>
      <c r="D2070" t="s">
        <v>171</v>
      </c>
      <c r="E2070" s="242">
        <v>38018</v>
      </c>
      <c r="G2070" t="b">
        <v>0</v>
      </c>
      <c r="H2070" t="s">
        <v>15</v>
      </c>
    </row>
    <row r="2071" spans="1:8">
      <c r="A2071" t="s">
        <v>152</v>
      </c>
      <c r="B2071" t="s">
        <v>87</v>
      </c>
      <c r="C2071">
        <v>735</v>
      </c>
      <c r="D2071" t="s">
        <v>171</v>
      </c>
      <c r="E2071" s="242">
        <v>37895</v>
      </c>
      <c r="G2071" t="b">
        <v>0</v>
      </c>
      <c r="H2071" t="s">
        <v>15</v>
      </c>
    </row>
    <row r="2072" spans="1:8">
      <c r="A2072" t="s">
        <v>145</v>
      </c>
      <c r="B2072" t="s">
        <v>87</v>
      </c>
      <c r="C2072">
        <v>735</v>
      </c>
      <c r="D2072" t="s">
        <v>171</v>
      </c>
      <c r="E2072" s="242">
        <v>40087</v>
      </c>
      <c r="G2072" t="b">
        <v>0</v>
      </c>
      <c r="H2072" t="s">
        <v>15</v>
      </c>
    </row>
    <row r="2073" spans="1:8">
      <c r="A2073" t="s">
        <v>167</v>
      </c>
      <c r="B2073" t="s">
        <v>87</v>
      </c>
      <c r="C2073">
        <v>735</v>
      </c>
      <c r="D2073" t="s">
        <v>171</v>
      </c>
      <c r="E2073" s="242">
        <v>38718</v>
      </c>
      <c r="F2073">
        <v>0</v>
      </c>
      <c r="G2073" t="b">
        <v>0</v>
      </c>
      <c r="H2073" t="s">
        <v>15</v>
      </c>
    </row>
    <row r="2074" spans="1:8">
      <c r="A2074" t="s">
        <v>153</v>
      </c>
      <c r="B2074" t="s">
        <v>87</v>
      </c>
      <c r="C2074">
        <v>735</v>
      </c>
      <c r="D2074" t="s">
        <v>171</v>
      </c>
      <c r="E2074" s="242">
        <v>38748</v>
      </c>
      <c r="F2074">
        <v>0</v>
      </c>
      <c r="G2074" t="b">
        <v>0</v>
      </c>
      <c r="H2074" t="s">
        <v>15</v>
      </c>
    </row>
    <row r="2075" spans="1:8">
      <c r="A2075" t="s">
        <v>154</v>
      </c>
      <c r="B2075" t="s">
        <v>87</v>
      </c>
      <c r="C2075">
        <v>735</v>
      </c>
      <c r="D2075" t="s">
        <v>171</v>
      </c>
      <c r="E2075" s="242">
        <v>38777</v>
      </c>
      <c r="F2075">
        <v>0</v>
      </c>
      <c r="G2075" t="b">
        <v>0</v>
      </c>
      <c r="H2075" t="s">
        <v>15</v>
      </c>
    </row>
    <row r="2076" spans="1:8">
      <c r="A2076" t="s">
        <v>168</v>
      </c>
      <c r="B2076" t="s">
        <v>87</v>
      </c>
      <c r="C2076">
        <v>735</v>
      </c>
      <c r="D2076" t="s">
        <v>171</v>
      </c>
      <c r="E2076" s="242">
        <v>38292</v>
      </c>
      <c r="F2076">
        <v>0</v>
      </c>
      <c r="G2076" t="b">
        <v>0</v>
      </c>
      <c r="H2076" t="s">
        <v>15</v>
      </c>
    </row>
    <row r="2077" spans="1:8">
      <c r="A2077" t="s">
        <v>155</v>
      </c>
      <c r="B2077" t="s">
        <v>87</v>
      </c>
      <c r="C2077">
        <v>735</v>
      </c>
      <c r="D2077" t="s">
        <v>171</v>
      </c>
      <c r="E2077" s="242">
        <v>38718</v>
      </c>
      <c r="F2077">
        <v>0</v>
      </c>
      <c r="G2077" t="b">
        <v>0</v>
      </c>
      <c r="H2077" t="s">
        <v>15</v>
      </c>
    </row>
    <row r="2078" spans="1:8">
      <c r="A2078" t="s">
        <v>156</v>
      </c>
      <c r="B2078" t="s">
        <v>87</v>
      </c>
      <c r="C2078">
        <v>735</v>
      </c>
      <c r="D2078" t="s">
        <v>171</v>
      </c>
      <c r="E2078" s="242">
        <v>40087</v>
      </c>
      <c r="G2078" t="b">
        <v>0</v>
      </c>
      <c r="H2078" t="s">
        <v>15</v>
      </c>
    </row>
    <row r="2079" spans="1:8">
      <c r="A2079" t="s">
        <v>157</v>
      </c>
      <c r="B2079" t="s">
        <v>87</v>
      </c>
      <c r="C2079">
        <v>735</v>
      </c>
      <c r="D2079" t="s">
        <v>171</v>
      </c>
      <c r="E2079" s="242">
        <v>39295</v>
      </c>
      <c r="F2079">
        <v>0</v>
      </c>
      <c r="G2079" t="b">
        <v>0</v>
      </c>
      <c r="H2079" t="s">
        <v>15</v>
      </c>
    </row>
    <row r="2080" spans="1:8">
      <c r="A2080" t="s">
        <v>169</v>
      </c>
      <c r="B2080" t="s">
        <v>87</v>
      </c>
      <c r="C2080">
        <v>735</v>
      </c>
      <c r="D2080" t="s">
        <v>171</v>
      </c>
      <c r="E2080" s="242">
        <v>40391</v>
      </c>
      <c r="G2080" t="b">
        <v>0</v>
      </c>
      <c r="H2080" t="s">
        <v>15</v>
      </c>
    </row>
    <row r="2081" spans="1:8">
      <c r="A2081" t="s">
        <v>170</v>
      </c>
      <c r="B2081" t="s">
        <v>87</v>
      </c>
      <c r="C2081">
        <v>735</v>
      </c>
      <c r="D2081" t="s">
        <v>171</v>
      </c>
      <c r="E2081" s="242">
        <v>40422</v>
      </c>
      <c r="G2081" t="b">
        <v>0</v>
      </c>
      <c r="H2081" t="s">
        <v>15</v>
      </c>
    </row>
    <row r="2082" spans="1:8">
      <c r="A2082" t="s">
        <v>158</v>
      </c>
      <c r="B2082" t="s">
        <v>87</v>
      </c>
      <c r="C2082">
        <v>735</v>
      </c>
      <c r="D2082" t="s">
        <v>171</v>
      </c>
      <c r="E2082" s="242">
        <v>40391</v>
      </c>
      <c r="G2082" t="b">
        <v>0</v>
      </c>
      <c r="H2082" t="s">
        <v>15</v>
      </c>
    </row>
    <row r="2083" spans="1:8">
      <c r="A2083" t="s">
        <v>159</v>
      </c>
      <c r="B2083" t="s">
        <v>87</v>
      </c>
      <c r="C2083">
        <v>735</v>
      </c>
      <c r="D2083" t="s">
        <v>171</v>
      </c>
      <c r="E2083" s="242">
        <v>40422</v>
      </c>
      <c r="G2083" t="b">
        <v>0</v>
      </c>
      <c r="H2083" t="s">
        <v>15</v>
      </c>
    </row>
    <row r="2084" spans="1:8">
      <c r="A2084" t="s">
        <v>160</v>
      </c>
      <c r="B2084" t="s">
        <v>87</v>
      </c>
      <c r="C2084">
        <v>735</v>
      </c>
      <c r="D2084" t="s">
        <v>171</v>
      </c>
      <c r="E2084" s="242">
        <v>40513</v>
      </c>
      <c r="G2084" t="b">
        <v>0</v>
      </c>
      <c r="H2084" t="s">
        <v>15</v>
      </c>
    </row>
    <row r="2085" spans="1:8">
      <c r="A2085" t="s">
        <v>164</v>
      </c>
      <c r="B2085" t="s">
        <v>87</v>
      </c>
      <c r="C2085">
        <v>740</v>
      </c>
      <c r="D2085" t="s">
        <v>171</v>
      </c>
      <c r="E2085" s="242">
        <v>46478</v>
      </c>
      <c r="F2085">
        <v>0</v>
      </c>
      <c r="G2085" t="b">
        <v>0</v>
      </c>
      <c r="H2085" t="s">
        <v>15</v>
      </c>
    </row>
    <row r="2086" spans="1:8">
      <c r="A2086" t="s">
        <v>161</v>
      </c>
      <c r="B2086" t="s">
        <v>87</v>
      </c>
      <c r="C2086">
        <v>740</v>
      </c>
      <c r="D2086" t="s">
        <v>171</v>
      </c>
      <c r="E2086" s="242">
        <v>38018</v>
      </c>
      <c r="G2086" t="b">
        <v>0</v>
      </c>
      <c r="H2086" t="s">
        <v>15</v>
      </c>
    </row>
    <row r="2087" spans="1:8">
      <c r="A2087" t="s">
        <v>165</v>
      </c>
      <c r="B2087" t="s">
        <v>87</v>
      </c>
      <c r="C2087">
        <v>740</v>
      </c>
      <c r="D2087" t="s">
        <v>171</v>
      </c>
      <c r="E2087" s="242">
        <v>38018</v>
      </c>
      <c r="G2087" t="b">
        <v>0</v>
      </c>
      <c r="H2087" t="s">
        <v>15</v>
      </c>
    </row>
    <row r="2088" spans="1:8">
      <c r="A2088" t="s">
        <v>148</v>
      </c>
      <c r="B2088" t="s">
        <v>87</v>
      </c>
      <c r="C2088">
        <v>740</v>
      </c>
      <c r="D2088" t="s">
        <v>171</v>
      </c>
      <c r="E2088" s="242">
        <v>41518</v>
      </c>
      <c r="G2088" t="b">
        <v>0</v>
      </c>
      <c r="H2088" t="s">
        <v>15</v>
      </c>
    </row>
    <row r="2089" spans="1:8">
      <c r="A2089" t="s">
        <v>162</v>
      </c>
      <c r="B2089" t="s">
        <v>87</v>
      </c>
      <c r="C2089">
        <v>740</v>
      </c>
      <c r="D2089" t="s">
        <v>171</v>
      </c>
      <c r="E2089" s="242">
        <v>41306</v>
      </c>
      <c r="G2089" t="b">
        <v>0</v>
      </c>
      <c r="H2089" t="s">
        <v>15</v>
      </c>
    </row>
    <row r="2090" spans="1:8">
      <c r="A2090" t="s">
        <v>163</v>
      </c>
      <c r="B2090" t="s">
        <v>87</v>
      </c>
      <c r="C2090">
        <v>740</v>
      </c>
      <c r="D2090" t="s">
        <v>171</v>
      </c>
      <c r="E2090" s="242">
        <v>40660</v>
      </c>
      <c r="G2090" t="b">
        <v>0</v>
      </c>
      <c r="H2090" t="s">
        <v>15</v>
      </c>
    </row>
    <row r="2091" spans="1:8">
      <c r="A2091" t="s">
        <v>166</v>
      </c>
      <c r="B2091" t="s">
        <v>87</v>
      </c>
      <c r="C2091">
        <v>740</v>
      </c>
      <c r="D2091" t="s">
        <v>171</v>
      </c>
      <c r="E2091" s="242">
        <v>40522</v>
      </c>
      <c r="G2091" t="b">
        <v>0</v>
      </c>
      <c r="H2091" t="s">
        <v>15</v>
      </c>
    </row>
    <row r="2092" spans="1:8">
      <c r="A2092" t="s">
        <v>149</v>
      </c>
      <c r="B2092" t="s">
        <v>87</v>
      </c>
      <c r="C2092">
        <v>740</v>
      </c>
      <c r="D2092" t="s">
        <v>171</v>
      </c>
      <c r="E2092" s="242">
        <v>40118</v>
      </c>
      <c r="G2092" t="b">
        <v>0</v>
      </c>
      <c r="H2092" t="s">
        <v>15</v>
      </c>
    </row>
    <row r="2093" spans="1:8">
      <c r="A2093" t="s">
        <v>150</v>
      </c>
      <c r="B2093" t="s">
        <v>87</v>
      </c>
      <c r="C2093">
        <v>740</v>
      </c>
      <c r="D2093" t="s">
        <v>171</v>
      </c>
      <c r="E2093" s="242">
        <v>39995</v>
      </c>
      <c r="G2093" t="b">
        <v>0</v>
      </c>
      <c r="H2093" t="s">
        <v>15</v>
      </c>
    </row>
    <row r="2094" spans="1:8">
      <c r="A2094" t="s">
        <v>151</v>
      </c>
      <c r="B2094" t="s">
        <v>87</v>
      </c>
      <c r="C2094">
        <v>740</v>
      </c>
      <c r="D2094" t="s">
        <v>171</v>
      </c>
      <c r="E2094" s="242">
        <v>39995</v>
      </c>
      <c r="G2094" t="b">
        <v>0</v>
      </c>
      <c r="H2094" t="s">
        <v>15</v>
      </c>
    </row>
    <row r="2095" spans="1:8">
      <c r="A2095" t="s">
        <v>152</v>
      </c>
      <c r="B2095" t="s">
        <v>87</v>
      </c>
      <c r="C2095">
        <v>740</v>
      </c>
      <c r="D2095" t="s">
        <v>171</v>
      </c>
      <c r="E2095" s="242">
        <v>41122</v>
      </c>
      <c r="G2095" t="b">
        <v>0</v>
      </c>
      <c r="H2095" t="s">
        <v>15</v>
      </c>
    </row>
    <row r="2096" spans="1:8">
      <c r="A2096" t="s">
        <v>145</v>
      </c>
      <c r="B2096" t="s">
        <v>87</v>
      </c>
      <c r="C2096">
        <v>740</v>
      </c>
      <c r="D2096" t="s">
        <v>171</v>
      </c>
      <c r="E2096" s="242">
        <v>37834</v>
      </c>
      <c r="G2096" t="b">
        <v>0</v>
      </c>
      <c r="H2096" t="s">
        <v>15</v>
      </c>
    </row>
    <row r="2097" spans="1:8">
      <c r="A2097" t="s">
        <v>167</v>
      </c>
      <c r="B2097" t="s">
        <v>87</v>
      </c>
      <c r="C2097">
        <v>740</v>
      </c>
      <c r="D2097" t="s">
        <v>171</v>
      </c>
      <c r="E2097" s="242">
        <v>37834</v>
      </c>
      <c r="G2097" t="b">
        <v>0</v>
      </c>
      <c r="H2097" t="s">
        <v>15</v>
      </c>
    </row>
    <row r="2098" spans="1:8">
      <c r="A2098" t="s">
        <v>153</v>
      </c>
      <c r="B2098" t="s">
        <v>87</v>
      </c>
      <c r="C2098">
        <v>740</v>
      </c>
      <c r="D2098" t="s">
        <v>171</v>
      </c>
      <c r="E2098" s="242">
        <v>38018</v>
      </c>
      <c r="G2098" t="b">
        <v>0</v>
      </c>
      <c r="H2098" t="s">
        <v>15</v>
      </c>
    </row>
    <row r="2099" spans="1:8">
      <c r="A2099" t="s">
        <v>154</v>
      </c>
      <c r="B2099" t="s">
        <v>87</v>
      </c>
      <c r="C2099">
        <v>740</v>
      </c>
      <c r="D2099" t="s">
        <v>171</v>
      </c>
      <c r="E2099" s="242">
        <v>38018</v>
      </c>
      <c r="G2099" t="b">
        <v>0</v>
      </c>
      <c r="H2099" t="s">
        <v>15</v>
      </c>
    </row>
    <row r="2100" spans="1:8">
      <c r="A2100" t="s">
        <v>168</v>
      </c>
      <c r="B2100" t="s">
        <v>87</v>
      </c>
      <c r="C2100">
        <v>740</v>
      </c>
      <c r="D2100" t="s">
        <v>171</v>
      </c>
      <c r="E2100" s="242">
        <v>40210</v>
      </c>
      <c r="G2100" t="b">
        <v>0</v>
      </c>
      <c r="H2100" t="s">
        <v>15</v>
      </c>
    </row>
    <row r="2101" spans="1:8">
      <c r="A2101" t="s">
        <v>155</v>
      </c>
      <c r="B2101" t="s">
        <v>87</v>
      </c>
      <c r="C2101">
        <v>740</v>
      </c>
      <c r="D2101" t="s">
        <v>171</v>
      </c>
      <c r="E2101" s="242">
        <v>40087</v>
      </c>
      <c r="G2101" t="b">
        <v>0</v>
      </c>
      <c r="H2101" t="s">
        <v>15</v>
      </c>
    </row>
    <row r="2102" spans="1:8">
      <c r="A2102" t="s">
        <v>156</v>
      </c>
      <c r="B2102" t="s">
        <v>87</v>
      </c>
      <c r="C2102">
        <v>740</v>
      </c>
      <c r="D2102" t="s">
        <v>171</v>
      </c>
      <c r="E2102" s="242">
        <v>40087</v>
      </c>
      <c r="G2102" t="b">
        <v>0</v>
      </c>
      <c r="H2102" t="s">
        <v>15</v>
      </c>
    </row>
    <row r="2103" spans="1:8">
      <c r="A2103" t="s">
        <v>157</v>
      </c>
      <c r="B2103" t="s">
        <v>87</v>
      </c>
      <c r="C2103">
        <v>740</v>
      </c>
      <c r="D2103" t="s">
        <v>171</v>
      </c>
      <c r="E2103" s="242">
        <v>40057</v>
      </c>
      <c r="G2103" t="b">
        <v>0</v>
      </c>
      <c r="H2103" t="s">
        <v>15</v>
      </c>
    </row>
    <row r="2104" spans="1:8">
      <c r="A2104" t="s">
        <v>169</v>
      </c>
      <c r="B2104" t="s">
        <v>87</v>
      </c>
      <c r="C2104">
        <v>740</v>
      </c>
      <c r="D2104" t="s">
        <v>171</v>
      </c>
      <c r="E2104" s="242">
        <v>40391</v>
      </c>
      <c r="G2104" t="b">
        <v>0</v>
      </c>
      <c r="H2104" t="s">
        <v>15</v>
      </c>
    </row>
    <row r="2105" spans="1:8">
      <c r="A2105" t="s">
        <v>170</v>
      </c>
      <c r="B2105" t="s">
        <v>87</v>
      </c>
      <c r="C2105">
        <v>740</v>
      </c>
      <c r="D2105" t="s">
        <v>171</v>
      </c>
      <c r="E2105" s="242">
        <v>40422</v>
      </c>
      <c r="G2105" t="b">
        <v>0</v>
      </c>
      <c r="H2105" t="s">
        <v>15</v>
      </c>
    </row>
    <row r="2106" spans="1:8">
      <c r="A2106" t="s">
        <v>158</v>
      </c>
      <c r="B2106" t="s">
        <v>87</v>
      </c>
      <c r="C2106">
        <v>740</v>
      </c>
      <c r="D2106" t="s">
        <v>171</v>
      </c>
      <c r="E2106" s="242">
        <v>40391</v>
      </c>
      <c r="G2106" t="b">
        <v>0</v>
      </c>
      <c r="H2106" t="s">
        <v>15</v>
      </c>
    </row>
    <row r="2107" spans="1:8">
      <c r="A2107" t="s">
        <v>159</v>
      </c>
      <c r="B2107" t="s">
        <v>87</v>
      </c>
      <c r="C2107">
        <v>740</v>
      </c>
      <c r="D2107" t="s">
        <v>171</v>
      </c>
      <c r="E2107" s="242">
        <v>40422</v>
      </c>
      <c r="G2107" t="b">
        <v>0</v>
      </c>
      <c r="H2107" t="s">
        <v>15</v>
      </c>
    </row>
    <row r="2108" spans="1:8">
      <c r="A2108" t="s">
        <v>160</v>
      </c>
      <c r="B2108" t="s">
        <v>87</v>
      </c>
      <c r="C2108">
        <v>740</v>
      </c>
      <c r="D2108" t="s">
        <v>171</v>
      </c>
      <c r="E2108" s="242">
        <v>40513</v>
      </c>
      <c r="G2108" t="b">
        <v>0</v>
      </c>
      <c r="H2108" t="s">
        <v>15</v>
      </c>
    </row>
    <row r="2109" spans="1:8">
      <c r="A2109" t="s">
        <v>164</v>
      </c>
      <c r="B2109" t="s">
        <v>87</v>
      </c>
      <c r="C2109">
        <v>745</v>
      </c>
      <c r="D2109" t="s">
        <v>171</v>
      </c>
      <c r="E2109" s="242">
        <v>42095.559027777781</v>
      </c>
      <c r="F2109">
        <v>0</v>
      </c>
      <c r="G2109" t="b">
        <v>0</v>
      </c>
      <c r="H2109" t="s">
        <v>15</v>
      </c>
    </row>
    <row r="2110" spans="1:8">
      <c r="A2110" t="s">
        <v>161</v>
      </c>
      <c r="B2110" t="s">
        <v>87</v>
      </c>
      <c r="C2110">
        <v>745</v>
      </c>
      <c r="D2110" t="s">
        <v>171</v>
      </c>
      <c r="E2110" s="242">
        <v>38018</v>
      </c>
      <c r="G2110" t="b">
        <v>0</v>
      </c>
      <c r="H2110" t="s">
        <v>15</v>
      </c>
    </row>
    <row r="2111" spans="1:8">
      <c r="A2111" t="s">
        <v>165</v>
      </c>
      <c r="B2111" t="s">
        <v>87</v>
      </c>
      <c r="C2111">
        <v>745</v>
      </c>
      <c r="D2111" t="s">
        <v>171</v>
      </c>
      <c r="E2111" s="242">
        <v>40483</v>
      </c>
      <c r="G2111" t="b">
        <v>0</v>
      </c>
      <c r="H2111" t="s">
        <v>15</v>
      </c>
    </row>
    <row r="2112" spans="1:8">
      <c r="A2112" t="s">
        <v>148</v>
      </c>
      <c r="B2112" t="s">
        <v>87</v>
      </c>
      <c r="C2112">
        <v>745</v>
      </c>
      <c r="D2112" t="s">
        <v>171</v>
      </c>
      <c r="E2112" s="242">
        <v>42081.602083333331</v>
      </c>
      <c r="F2112">
        <v>0</v>
      </c>
      <c r="G2112" t="b">
        <v>0</v>
      </c>
      <c r="H2112" t="s">
        <v>15</v>
      </c>
    </row>
    <row r="2113" spans="1:8">
      <c r="A2113" t="s">
        <v>162</v>
      </c>
      <c r="B2113" t="s">
        <v>87</v>
      </c>
      <c r="C2113">
        <v>745</v>
      </c>
      <c r="D2113" t="s">
        <v>171</v>
      </c>
      <c r="E2113" s="242">
        <v>41883</v>
      </c>
      <c r="F2113">
        <v>0</v>
      </c>
      <c r="G2113" t="b">
        <v>0</v>
      </c>
      <c r="H2113" t="s">
        <v>15</v>
      </c>
    </row>
    <row r="2114" spans="1:8">
      <c r="A2114" t="s">
        <v>163</v>
      </c>
      <c r="B2114" t="s">
        <v>87</v>
      </c>
      <c r="C2114">
        <v>745</v>
      </c>
      <c r="D2114" t="s">
        <v>171</v>
      </c>
      <c r="E2114" s="242">
        <v>38412</v>
      </c>
      <c r="F2114">
        <v>0</v>
      </c>
      <c r="G2114" t="b">
        <v>0</v>
      </c>
      <c r="H2114" t="s">
        <v>15</v>
      </c>
    </row>
    <row r="2115" spans="1:8">
      <c r="A2115" t="s">
        <v>166</v>
      </c>
      <c r="B2115" t="s">
        <v>87</v>
      </c>
      <c r="C2115">
        <v>745</v>
      </c>
      <c r="D2115" t="s">
        <v>171</v>
      </c>
      <c r="E2115" s="242">
        <v>40522</v>
      </c>
      <c r="G2115" t="b">
        <v>0</v>
      </c>
      <c r="H2115" t="s">
        <v>15</v>
      </c>
    </row>
    <row r="2116" spans="1:8">
      <c r="A2116" t="s">
        <v>149</v>
      </c>
      <c r="B2116" t="s">
        <v>87</v>
      </c>
      <c r="C2116">
        <v>745</v>
      </c>
      <c r="D2116" t="s">
        <v>171</v>
      </c>
      <c r="E2116" s="242">
        <v>42068.427777777775</v>
      </c>
      <c r="F2116">
        <v>0</v>
      </c>
      <c r="G2116" t="b">
        <v>0</v>
      </c>
      <c r="H2116" t="s">
        <v>15</v>
      </c>
    </row>
    <row r="2117" spans="1:8">
      <c r="A2117" t="s">
        <v>150</v>
      </c>
      <c r="B2117" t="s">
        <v>87</v>
      </c>
      <c r="C2117">
        <v>745</v>
      </c>
      <c r="D2117" t="s">
        <v>171</v>
      </c>
      <c r="E2117" s="242">
        <v>39995</v>
      </c>
      <c r="G2117" t="b">
        <v>0</v>
      </c>
      <c r="H2117" t="s">
        <v>15</v>
      </c>
    </row>
    <row r="2118" spans="1:8">
      <c r="A2118" t="s">
        <v>151</v>
      </c>
      <c r="B2118" t="s">
        <v>87</v>
      </c>
      <c r="C2118">
        <v>745</v>
      </c>
      <c r="D2118" t="s">
        <v>171</v>
      </c>
      <c r="E2118" s="242">
        <v>38473</v>
      </c>
      <c r="F2118">
        <v>0</v>
      </c>
      <c r="G2118" t="b">
        <v>0</v>
      </c>
      <c r="H2118" t="s">
        <v>15</v>
      </c>
    </row>
    <row r="2119" spans="1:8">
      <c r="A2119" t="s">
        <v>152</v>
      </c>
      <c r="B2119" t="s">
        <v>87</v>
      </c>
      <c r="C2119">
        <v>745</v>
      </c>
      <c r="D2119" t="s">
        <v>171</v>
      </c>
      <c r="E2119" s="242">
        <v>38018</v>
      </c>
      <c r="G2119" t="b">
        <v>0</v>
      </c>
      <c r="H2119" t="s">
        <v>15</v>
      </c>
    </row>
    <row r="2120" spans="1:8">
      <c r="A2120" t="s">
        <v>145</v>
      </c>
      <c r="B2120" t="s">
        <v>87</v>
      </c>
      <c r="C2120">
        <v>745</v>
      </c>
      <c r="D2120" t="s">
        <v>171</v>
      </c>
      <c r="E2120" s="242">
        <v>37834</v>
      </c>
      <c r="G2120" t="b">
        <v>0</v>
      </c>
      <c r="H2120" t="s">
        <v>15</v>
      </c>
    </row>
    <row r="2121" spans="1:8">
      <c r="A2121" t="s">
        <v>167</v>
      </c>
      <c r="B2121" t="s">
        <v>87</v>
      </c>
      <c r="C2121">
        <v>745</v>
      </c>
      <c r="D2121" t="s">
        <v>171</v>
      </c>
      <c r="E2121" s="242">
        <v>40087</v>
      </c>
      <c r="G2121" t="b">
        <v>0</v>
      </c>
      <c r="H2121" t="s">
        <v>15</v>
      </c>
    </row>
    <row r="2122" spans="1:8">
      <c r="A2122" t="s">
        <v>153</v>
      </c>
      <c r="B2122" t="s">
        <v>87</v>
      </c>
      <c r="C2122">
        <v>745</v>
      </c>
      <c r="D2122" t="s">
        <v>171</v>
      </c>
      <c r="E2122" s="242">
        <v>38473</v>
      </c>
      <c r="F2122">
        <v>0</v>
      </c>
      <c r="G2122" t="b">
        <v>0</v>
      </c>
      <c r="H2122" t="s">
        <v>15</v>
      </c>
    </row>
    <row r="2123" spans="1:8">
      <c r="A2123" t="s">
        <v>154</v>
      </c>
      <c r="B2123" t="s">
        <v>87</v>
      </c>
      <c r="C2123">
        <v>745</v>
      </c>
      <c r="D2123" t="s">
        <v>171</v>
      </c>
      <c r="E2123" s="242">
        <v>38777</v>
      </c>
      <c r="F2123">
        <v>0</v>
      </c>
      <c r="G2123" t="b">
        <v>0</v>
      </c>
      <c r="H2123" t="s">
        <v>15</v>
      </c>
    </row>
    <row r="2124" spans="1:8">
      <c r="A2124" t="s">
        <v>168</v>
      </c>
      <c r="B2124" t="s">
        <v>87</v>
      </c>
      <c r="C2124">
        <v>745</v>
      </c>
      <c r="D2124" t="s">
        <v>171</v>
      </c>
      <c r="E2124" s="242">
        <v>38777</v>
      </c>
      <c r="F2124">
        <v>0</v>
      </c>
      <c r="G2124" t="b">
        <v>0</v>
      </c>
      <c r="H2124" t="s">
        <v>15</v>
      </c>
    </row>
    <row r="2125" spans="1:8">
      <c r="A2125" t="s">
        <v>155</v>
      </c>
      <c r="B2125" t="s">
        <v>87</v>
      </c>
      <c r="C2125">
        <v>745</v>
      </c>
      <c r="D2125" t="s">
        <v>171</v>
      </c>
      <c r="E2125" s="242">
        <v>42068.404166666667</v>
      </c>
      <c r="F2125">
        <v>0</v>
      </c>
      <c r="G2125" t="b">
        <v>0</v>
      </c>
      <c r="H2125" t="s">
        <v>15</v>
      </c>
    </row>
    <row r="2126" spans="1:8">
      <c r="A2126" t="s">
        <v>156</v>
      </c>
      <c r="B2126" t="s">
        <v>87</v>
      </c>
      <c r="C2126">
        <v>745</v>
      </c>
      <c r="D2126" t="s">
        <v>171</v>
      </c>
      <c r="E2126" s="242">
        <v>40087</v>
      </c>
      <c r="G2126" t="b">
        <v>0</v>
      </c>
      <c r="H2126" t="s">
        <v>15</v>
      </c>
    </row>
    <row r="2127" spans="1:8">
      <c r="A2127" t="s">
        <v>157</v>
      </c>
      <c r="B2127" t="s">
        <v>87</v>
      </c>
      <c r="C2127">
        <v>745</v>
      </c>
      <c r="D2127" t="s">
        <v>171</v>
      </c>
      <c r="E2127" s="242">
        <v>38808</v>
      </c>
      <c r="F2127">
        <v>0</v>
      </c>
      <c r="G2127" t="b">
        <v>0</v>
      </c>
      <c r="H2127" t="s">
        <v>15</v>
      </c>
    </row>
    <row r="2128" spans="1:8">
      <c r="A2128" t="s">
        <v>169</v>
      </c>
      <c r="B2128" t="s">
        <v>87</v>
      </c>
      <c r="C2128">
        <v>745</v>
      </c>
      <c r="D2128" t="s">
        <v>171</v>
      </c>
      <c r="E2128" s="242">
        <v>38990</v>
      </c>
      <c r="F2128">
        <v>0</v>
      </c>
      <c r="G2128" t="b">
        <v>0</v>
      </c>
      <c r="H2128" t="s">
        <v>15</v>
      </c>
    </row>
    <row r="2129" spans="1:8">
      <c r="A2129" t="s">
        <v>170</v>
      </c>
      <c r="B2129" t="s">
        <v>87</v>
      </c>
      <c r="C2129">
        <v>745</v>
      </c>
      <c r="D2129" t="s">
        <v>171</v>
      </c>
      <c r="E2129" s="242">
        <v>40422</v>
      </c>
      <c r="G2129" t="b">
        <v>0</v>
      </c>
      <c r="H2129" t="s">
        <v>15</v>
      </c>
    </row>
    <row r="2130" spans="1:8">
      <c r="A2130" t="s">
        <v>158</v>
      </c>
      <c r="B2130" t="s">
        <v>87</v>
      </c>
      <c r="C2130">
        <v>745</v>
      </c>
      <c r="D2130" t="s">
        <v>171</v>
      </c>
      <c r="E2130" s="242">
        <v>40391</v>
      </c>
      <c r="G2130" t="b">
        <v>0</v>
      </c>
      <c r="H2130" t="s">
        <v>15</v>
      </c>
    </row>
    <row r="2131" spans="1:8">
      <c r="A2131" t="s">
        <v>159</v>
      </c>
      <c r="B2131" t="s">
        <v>87</v>
      </c>
      <c r="C2131">
        <v>745</v>
      </c>
      <c r="D2131" t="s">
        <v>171</v>
      </c>
      <c r="E2131" s="242">
        <v>40422</v>
      </c>
      <c r="G2131" t="b">
        <v>0</v>
      </c>
      <c r="H2131" t="s">
        <v>15</v>
      </c>
    </row>
    <row r="2132" spans="1:8">
      <c r="A2132" t="s">
        <v>160</v>
      </c>
      <c r="B2132" t="s">
        <v>87</v>
      </c>
      <c r="C2132">
        <v>745</v>
      </c>
      <c r="D2132" t="s">
        <v>171</v>
      </c>
      <c r="E2132" s="242">
        <v>40513</v>
      </c>
      <c r="G2132" t="b">
        <v>0</v>
      </c>
      <c r="H2132" t="s">
        <v>15</v>
      </c>
    </row>
    <row r="2133" spans="1:8">
      <c r="A2133" t="s">
        <v>150</v>
      </c>
      <c r="B2133" t="s">
        <v>87</v>
      </c>
      <c r="C2133">
        <v>751</v>
      </c>
      <c r="D2133" t="s">
        <v>87</v>
      </c>
      <c r="E2133" s="242"/>
      <c r="F2133">
        <v>369.79998779296801</v>
      </c>
      <c r="G2133" t="b">
        <v>0</v>
      </c>
      <c r="H2133" t="s">
        <v>15</v>
      </c>
    </row>
    <row r="2134" spans="1:8">
      <c r="A2134" t="s">
        <v>164</v>
      </c>
      <c r="B2134" t="s">
        <v>87</v>
      </c>
      <c r="C2134">
        <v>751</v>
      </c>
      <c r="D2134" t="s">
        <v>147</v>
      </c>
      <c r="E2134" s="242"/>
      <c r="F2134">
        <v>5216.60009765625</v>
      </c>
      <c r="G2134" t="b">
        <v>0</v>
      </c>
      <c r="H2134" t="s">
        <v>15</v>
      </c>
    </row>
    <row r="2135" spans="1:8">
      <c r="A2135" t="s">
        <v>161</v>
      </c>
      <c r="B2135" t="s">
        <v>87</v>
      </c>
      <c r="C2135">
        <v>751</v>
      </c>
      <c r="D2135" t="s">
        <v>147</v>
      </c>
      <c r="E2135" s="242"/>
      <c r="F2135">
        <v>7001</v>
      </c>
      <c r="G2135" t="b">
        <v>0</v>
      </c>
      <c r="H2135" t="s">
        <v>15</v>
      </c>
    </row>
    <row r="2136" spans="1:8">
      <c r="A2136" t="s">
        <v>165</v>
      </c>
      <c r="B2136" t="s">
        <v>87</v>
      </c>
      <c r="C2136">
        <v>751</v>
      </c>
      <c r="D2136" t="s">
        <v>147</v>
      </c>
      <c r="E2136" s="242"/>
      <c r="F2136">
        <v>7703.7001953125</v>
      </c>
      <c r="G2136" t="b">
        <v>0</v>
      </c>
      <c r="H2136" t="s">
        <v>15</v>
      </c>
    </row>
    <row r="2137" spans="1:8">
      <c r="A2137" t="s">
        <v>148</v>
      </c>
      <c r="B2137" t="s">
        <v>87</v>
      </c>
      <c r="C2137">
        <v>751</v>
      </c>
      <c r="D2137" t="s">
        <v>147</v>
      </c>
      <c r="E2137" s="242"/>
      <c r="F2137">
        <v>6703.39990234375</v>
      </c>
      <c r="G2137" t="b">
        <v>0</v>
      </c>
      <c r="H2137" t="s">
        <v>15</v>
      </c>
    </row>
    <row r="2138" spans="1:8">
      <c r="A2138" t="s">
        <v>162</v>
      </c>
      <c r="B2138" t="s">
        <v>87</v>
      </c>
      <c r="C2138">
        <v>751</v>
      </c>
      <c r="D2138" t="s">
        <v>147</v>
      </c>
      <c r="E2138" s="242"/>
      <c r="F2138">
        <v>7383.10009765625</v>
      </c>
      <c r="G2138" t="b">
        <v>0</v>
      </c>
      <c r="H2138" t="s">
        <v>15</v>
      </c>
    </row>
    <row r="2139" spans="1:8">
      <c r="A2139" t="s">
        <v>163</v>
      </c>
      <c r="B2139" t="s">
        <v>87</v>
      </c>
      <c r="C2139">
        <v>751</v>
      </c>
      <c r="D2139" t="s">
        <v>147</v>
      </c>
      <c r="E2139" s="242"/>
      <c r="F2139">
        <v>4812.2001953125</v>
      </c>
      <c r="G2139" t="b">
        <v>0</v>
      </c>
      <c r="H2139" t="s">
        <v>15</v>
      </c>
    </row>
    <row r="2140" spans="1:8">
      <c r="A2140" t="s">
        <v>166</v>
      </c>
      <c r="B2140" t="s">
        <v>87</v>
      </c>
      <c r="C2140">
        <v>751</v>
      </c>
      <c r="D2140" t="s">
        <v>147</v>
      </c>
      <c r="E2140" s="242"/>
      <c r="F2140">
        <v>3340.19995117187</v>
      </c>
      <c r="G2140" t="b">
        <v>0</v>
      </c>
      <c r="H2140" t="s">
        <v>15</v>
      </c>
    </row>
    <row r="2141" spans="1:8">
      <c r="A2141" t="s">
        <v>149</v>
      </c>
      <c r="B2141" t="s">
        <v>87</v>
      </c>
      <c r="C2141">
        <v>751</v>
      </c>
      <c r="D2141" t="s">
        <v>147</v>
      </c>
      <c r="E2141" s="242"/>
      <c r="F2141">
        <v>4953.7001953125</v>
      </c>
      <c r="G2141" t="b">
        <v>0</v>
      </c>
      <c r="H2141" t="s">
        <v>15</v>
      </c>
    </row>
    <row r="2142" spans="1:8">
      <c r="A2142" t="s">
        <v>150</v>
      </c>
      <c r="B2142" t="s">
        <v>87</v>
      </c>
      <c r="C2142">
        <v>751</v>
      </c>
      <c r="D2142" t="s">
        <v>147</v>
      </c>
      <c r="E2142" s="242"/>
      <c r="F2142">
        <v>3986.5</v>
      </c>
      <c r="G2142" t="b">
        <v>0</v>
      </c>
      <c r="H2142" t="s">
        <v>15</v>
      </c>
    </row>
    <row r="2143" spans="1:8">
      <c r="A2143" t="s">
        <v>151</v>
      </c>
      <c r="B2143" t="s">
        <v>87</v>
      </c>
      <c r="C2143">
        <v>751</v>
      </c>
      <c r="D2143" t="s">
        <v>147</v>
      </c>
      <c r="E2143" s="242"/>
      <c r="F2143">
        <v>1781.80004882812</v>
      </c>
      <c r="G2143" t="b">
        <v>0</v>
      </c>
      <c r="H2143" t="s">
        <v>15</v>
      </c>
    </row>
    <row r="2144" spans="1:8">
      <c r="A2144" t="s">
        <v>152</v>
      </c>
      <c r="B2144" t="s">
        <v>87</v>
      </c>
      <c r="C2144">
        <v>751</v>
      </c>
      <c r="D2144" t="s">
        <v>147</v>
      </c>
      <c r="E2144" s="242"/>
      <c r="F2144">
        <v>1770.30004882812</v>
      </c>
      <c r="G2144" t="b">
        <v>0</v>
      </c>
      <c r="H2144" t="s">
        <v>15</v>
      </c>
    </row>
    <row r="2145" spans="1:8">
      <c r="A2145" t="s">
        <v>145</v>
      </c>
      <c r="B2145" t="s">
        <v>87</v>
      </c>
      <c r="C2145">
        <v>751</v>
      </c>
      <c r="D2145" t="s">
        <v>147</v>
      </c>
      <c r="E2145" s="242"/>
      <c r="F2145">
        <v>1704.69995117187</v>
      </c>
      <c r="G2145" t="b">
        <v>0</v>
      </c>
      <c r="H2145" t="s">
        <v>15</v>
      </c>
    </row>
    <row r="2146" spans="1:8">
      <c r="A2146" t="s">
        <v>167</v>
      </c>
      <c r="B2146" t="s">
        <v>87</v>
      </c>
      <c r="C2146">
        <v>751</v>
      </c>
      <c r="D2146" t="s">
        <v>147</v>
      </c>
      <c r="E2146" s="242"/>
      <c r="F2146">
        <v>1751.5</v>
      </c>
      <c r="G2146" t="b">
        <v>0</v>
      </c>
      <c r="H2146" t="s">
        <v>15</v>
      </c>
    </row>
    <row r="2147" spans="1:8">
      <c r="A2147" t="s">
        <v>153</v>
      </c>
      <c r="B2147" t="s">
        <v>87</v>
      </c>
      <c r="C2147">
        <v>751</v>
      </c>
      <c r="D2147" t="s">
        <v>147</v>
      </c>
      <c r="E2147" s="242"/>
      <c r="F2147">
        <v>1435</v>
      </c>
      <c r="G2147" t="b">
        <v>0</v>
      </c>
      <c r="H2147" t="s">
        <v>15</v>
      </c>
    </row>
    <row r="2148" spans="1:8">
      <c r="A2148" t="s">
        <v>154</v>
      </c>
      <c r="B2148" t="s">
        <v>87</v>
      </c>
      <c r="C2148">
        <v>751</v>
      </c>
      <c r="D2148" t="s">
        <v>147</v>
      </c>
      <c r="E2148" s="242"/>
      <c r="F2148">
        <v>2670.80004882812</v>
      </c>
      <c r="G2148" t="b">
        <v>0</v>
      </c>
      <c r="H2148" t="s">
        <v>15</v>
      </c>
    </row>
    <row r="2149" spans="1:8">
      <c r="A2149" t="s">
        <v>168</v>
      </c>
      <c r="B2149" t="s">
        <v>87</v>
      </c>
      <c r="C2149">
        <v>751</v>
      </c>
      <c r="D2149" t="s">
        <v>147</v>
      </c>
      <c r="E2149" s="242"/>
      <c r="F2149">
        <v>5199.39990234375</v>
      </c>
      <c r="G2149" t="b">
        <v>0</v>
      </c>
      <c r="H2149" t="s">
        <v>15</v>
      </c>
    </row>
    <row r="2150" spans="1:8">
      <c r="A2150" t="s">
        <v>155</v>
      </c>
      <c r="B2150" t="s">
        <v>87</v>
      </c>
      <c r="C2150">
        <v>751</v>
      </c>
      <c r="D2150" t="s">
        <v>147</v>
      </c>
      <c r="E2150" s="242"/>
      <c r="F2150">
        <v>4244.7998046875</v>
      </c>
      <c r="G2150" t="b">
        <v>0</v>
      </c>
      <c r="H2150" t="s">
        <v>15</v>
      </c>
    </row>
    <row r="2151" spans="1:8">
      <c r="A2151" t="s">
        <v>156</v>
      </c>
      <c r="B2151" t="s">
        <v>87</v>
      </c>
      <c r="C2151">
        <v>751</v>
      </c>
      <c r="D2151" t="s">
        <v>147</v>
      </c>
      <c r="E2151" s="242"/>
      <c r="F2151">
        <v>4756.5</v>
      </c>
      <c r="G2151" t="b">
        <v>0</v>
      </c>
      <c r="H2151" t="s">
        <v>15</v>
      </c>
    </row>
    <row r="2152" spans="1:8">
      <c r="A2152" t="s">
        <v>157</v>
      </c>
      <c r="B2152" t="s">
        <v>87</v>
      </c>
      <c r="C2152">
        <v>751</v>
      </c>
      <c r="D2152" t="s">
        <v>147</v>
      </c>
      <c r="E2152" s="242"/>
      <c r="F2152">
        <v>5081</v>
      </c>
      <c r="G2152" t="b">
        <v>0</v>
      </c>
      <c r="H2152" t="s">
        <v>15</v>
      </c>
    </row>
    <row r="2153" spans="1:8">
      <c r="A2153" t="s">
        <v>169</v>
      </c>
      <c r="B2153" t="s">
        <v>87</v>
      </c>
      <c r="C2153">
        <v>751</v>
      </c>
      <c r="D2153" t="s">
        <v>147</v>
      </c>
      <c r="E2153" s="242"/>
      <c r="F2153">
        <v>1492.69995117187</v>
      </c>
      <c r="G2153" t="b">
        <v>0</v>
      </c>
      <c r="H2153" t="s">
        <v>15</v>
      </c>
    </row>
    <row r="2154" spans="1:8">
      <c r="A2154" t="s">
        <v>170</v>
      </c>
      <c r="B2154" t="s">
        <v>87</v>
      </c>
      <c r="C2154">
        <v>751</v>
      </c>
      <c r="D2154" t="s">
        <v>147</v>
      </c>
      <c r="E2154" s="242"/>
      <c r="F2154">
        <v>1325.40002441406</v>
      </c>
      <c r="G2154" t="b">
        <v>0</v>
      </c>
      <c r="H2154" t="s">
        <v>15</v>
      </c>
    </row>
    <row r="2155" spans="1:8">
      <c r="A2155" t="s">
        <v>158</v>
      </c>
      <c r="B2155" t="s">
        <v>87</v>
      </c>
      <c r="C2155">
        <v>751</v>
      </c>
      <c r="D2155" t="s">
        <v>147</v>
      </c>
      <c r="E2155" s="242"/>
      <c r="F2155">
        <v>5235.10009765625</v>
      </c>
      <c r="G2155" t="b">
        <v>0</v>
      </c>
      <c r="H2155" t="s">
        <v>15</v>
      </c>
    </row>
    <row r="2156" spans="1:8">
      <c r="A2156" t="s">
        <v>159</v>
      </c>
      <c r="B2156" t="s">
        <v>87</v>
      </c>
      <c r="C2156">
        <v>751</v>
      </c>
      <c r="D2156" t="s">
        <v>147</v>
      </c>
      <c r="E2156" s="242"/>
      <c r="F2156">
        <v>3158.19995117187</v>
      </c>
      <c r="G2156" t="b">
        <v>0</v>
      </c>
      <c r="H2156" t="s">
        <v>15</v>
      </c>
    </row>
    <row r="2157" spans="1:8">
      <c r="A2157" t="s">
        <v>160</v>
      </c>
      <c r="B2157" t="s">
        <v>87</v>
      </c>
      <c r="C2157">
        <v>751</v>
      </c>
      <c r="D2157" t="s">
        <v>147</v>
      </c>
      <c r="E2157" s="242"/>
      <c r="F2157">
        <v>2969.10009765625</v>
      </c>
      <c r="G2157" t="b">
        <v>0</v>
      </c>
      <c r="H2157" t="s">
        <v>15</v>
      </c>
    </row>
    <row r="2158" spans="1:8">
      <c r="A2158" t="s">
        <v>164</v>
      </c>
      <c r="B2158" t="s">
        <v>87</v>
      </c>
      <c r="C2158">
        <v>752</v>
      </c>
      <c r="D2158" t="s">
        <v>147</v>
      </c>
      <c r="E2158" s="242"/>
      <c r="F2158">
        <v>5211.60009765625</v>
      </c>
      <c r="G2158" t="b">
        <v>0</v>
      </c>
      <c r="H2158" t="s">
        <v>15</v>
      </c>
    </row>
    <row r="2159" spans="1:8">
      <c r="A2159" t="s">
        <v>161</v>
      </c>
      <c r="B2159" t="s">
        <v>87</v>
      </c>
      <c r="C2159">
        <v>752</v>
      </c>
      <c r="D2159" t="s">
        <v>147</v>
      </c>
      <c r="E2159" s="242"/>
      <c r="F2159">
        <v>6759.5</v>
      </c>
      <c r="G2159" t="b">
        <v>0</v>
      </c>
      <c r="H2159" t="s">
        <v>15</v>
      </c>
    </row>
    <row r="2160" spans="1:8">
      <c r="A2160" t="s">
        <v>165</v>
      </c>
      <c r="B2160" t="s">
        <v>87</v>
      </c>
      <c r="C2160">
        <v>752</v>
      </c>
      <c r="D2160" t="s">
        <v>147</v>
      </c>
      <c r="E2160" s="242"/>
      <c r="F2160">
        <v>7458.7001953125</v>
      </c>
      <c r="G2160" t="b">
        <v>0</v>
      </c>
      <c r="H2160" t="s">
        <v>15</v>
      </c>
    </row>
    <row r="2161" spans="1:8">
      <c r="A2161" t="s">
        <v>148</v>
      </c>
      <c r="B2161" t="s">
        <v>87</v>
      </c>
      <c r="C2161">
        <v>752</v>
      </c>
      <c r="D2161" t="s">
        <v>147</v>
      </c>
      <c r="E2161" s="242"/>
      <c r="F2161">
        <v>6461.39990234375</v>
      </c>
      <c r="G2161" t="b">
        <v>0</v>
      </c>
      <c r="H2161" t="s">
        <v>15</v>
      </c>
    </row>
    <row r="2162" spans="1:8">
      <c r="A2162" t="s">
        <v>162</v>
      </c>
      <c r="B2162" t="s">
        <v>87</v>
      </c>
      <c r="C2162">
        <v>752</v>
      </c>
      <c r="D2162" t="s">
        <v>147</v>
      </c>
      <c r="E2162" s="242"/>
      <c r="F2162">
        <v>7383.10009765625</v>
      </c>
      <c r="G2162" t="b">
        <v>0</v>
      </c>
      <c r="H2162" t="s">
        <v>15</v>
      </c>
    </row>
    <row r="2163" spans="1:8">
      <c r="A2163" t="s">
        <v>163</v>
      </c>
      <c r="B2163" t="s">
        <v>87</v>
      </c>
      <c r="C2163">
        <v>752</v>
      </c>
      <c r="D2163" t="s">
        <v>147</v>
      </c>
      <c r="E2163" s="242"/>
      <c r="F2163">
        <v>4578.7001953125</v>
      </c>
      <c r="G2163" t="b">
        <v>0</v>
      </c>
      <c r="H2163" t="s">
        <v>15</v>
      </c>
    </row>
    <row r="2164" spans="1:8">
      <c r="A2164" t="s">
        <v>166</v>
      </c>
      <c r="B2164" t="s">
        <v>87</v>
      </c>
      <c r="C2164">
        <v>752</v>
      </c>
      <c r="D2164" t="s">
        <v>147</v>
      </c>
      <c r="E2164" s="242"/>
      <c r="F2164">
        <v>3113.30004882812</v>
      </c>
      <c r="G2164" t="b">
        <v>0</v>
      </c>
      <c r="H2164" t="s">
        <v>15</v>
      </c>
    </row>
    <row r="2165" spans="1:8">
      <c r="A2165" t="s">
        <v>149</v>
      </c>
      <c r="B2165" t="s">
        <v>87</v>
      </c>
      <c r="C2165">
        <v>752</v>
      </c>
      <c r="D2165" t="s">
        <v>147</v>
      </c>
      <c r="E2165" s="242"/>
      <c r="F2165">
        <v>4706.39990234375</v>
      </c>
      <c r="G2165" t="b">
        <v>0</v>
      </c>
      <c r="H2165" t="s">
        <v>15</v>
      </c>
    </row>
    <row r="2166" spans="1:8">
      <c r="A2166" t="s">
        <v>150</v>
      </c>
      <c r="B2166" t="s">
        <v>87</v>
      </c>
      <c r="C2166">
        <v>752</v>
      </c>
      <c r="D2166" t="s">
        <v>147</v>
      </c>
      <c r="E2166" s="242"/>
      <c r="F2166">
        <v>3743.39990234375</v>
      </c>
      <c r="G2166" t="b">
        <v>0</v>
      </c>
      <c r="H2166" t="s">
        <v>15</v>
      </c>
    </row>
    <row r="2167" spans="1:8">
      <c r="A2167" t="s">
        <v>151</v>
      </c>
      <c r="B2167" t="s">
        <v>87</v>
      </c>
      <c r="C2167">
        <v>752</v>
      </c>
      <c r="D2167" t="s">
        <v>147</v>
      </c>
      <c r="E2167" s="242"/>
      <c r="F2167">
        <v>1526.90002441406</v>
      </c>
      <c r="G2167" t="b">
        <v>0</v>
      </c>
      <c r="H2167" t="s">
        <v>15</v>
      </c>
    </row>
    <row r="2168" spans="1:8">
      <c r="A2168" t="s">
        <v>152</v>
      </c>
      <c r="B2168" t="s">
        <v>87</v>
      </c>
      <c r="C2168">
        <v>752</v>
      </c>
      <c r="D2168" t="s">
        <v>147</v>
      </c>
      <c r="E2168" s="242"/>
      <c r="F2168">
        <v>1770.30004882812</v>
      </c>
      <c r="G2168" t="b">
        <v>0</v>
      </c>
      <c r="H2168" t="s">
        <v>15</v>
      </c>
    </row>
    <row r="2169" spans="1:8">
      <c r="A2169" t="s">
        <v>145</v>
      </c>
      <c r="B2169" t="s">
        <v>87</v>
      </c>
      <c r="C2169">
        <v>752</v>
      </c>
      <c r="D2169" t="s">
        <v>147</v>
      </c>
      <c r="E2169" s="242"/>
      <c r="F2169">
        <v>1704.69995117187</v>
      </c>
      <c r="G2169" t="b">
        <v>0</v>
      </c>
      <c r="H2169" t="s">
        <v>15</v>
      </c>
    </row>
    <row r="2170" spans="1:8">
      <c r="A2170" t="s">
        <v>167</v>
      </c>
      <c r="B2170" t="s">
        <v>87</v>
      </c>
      <c r="C2170">
        <v>752</v>
      </c>
      <c r="D2170" t="s">
        <v>147</v>
      </c>
      <c r="E2170" s="242"/>
      <c r="F2170">
        <v>1518.80004882812</v>
      </c>
      <c r="G2170" t="b">
        <v>0</v>
      </c>
      <c r="H2170" t="s">
        <v>15</v>
      </c>
    </row>
    <row r="2171" spans="1:8">
      <c r="A2171" t="s">
        <v>153</v>
      </c>
      <c r="B2171" t="s">
        <v>87</v>
      </c>
      <c r="C2171">
        <v>752</v>
      </c>
      <c r="D2171" t="s">
        <v>147</v>
      </c>
      <c r="E2171" s="242"/>
      <c r="F2171">
        <v>1191.19995117187</v>
      </c>
      <c r="G2171" t="b">
        <v>0</v>
      </c>
      <c r="H2171" t="s">
        <v>15</v>
      </c>
    </row>
    <row r="2172" spans="1:8">
      <c r="A2172" t="s">
        <v>154</v>
      </c>
      <c r="B2172" t="s">
        <v>87</v>
      </c>
      <c r="C2172">
        <v>752</v>
      </c>
      <c r="D2172" t="s">
        <v>147</v>
      </c>
      <c r="E2172" s="242"/>
      <c r="F2172">
        <v>2670.80004882812</v>
      </c>
      <c r="G2172" t="b">
        <v>0</v>
      </c>
      <c r="H2172" t="s">
        <v>15</v>
      </c>
    </row>
    <row r="2173" spans="1:8">
      <c r="A2173" t="s">
        <v>168</v>
      </c>
      <c r="B2173" t="s">
        <v>87</v>
      </c>
      <c r="C2173">
        <v>752</v>
      </c>
      <c r="D2173" t="s">
        <v>147</v>
      </c>
      <c r="E2173" s="242"/>
      <c r="F2173">
        <v>5199.39990234375</v>
      </c>
      <c r="G2173" t="b">
        <v>0</v>
      </c>
      <c r="H2173" t="s">
        <v>15</v>
      </c>
    </row>
    <row r="2174" spans="1:8">
      <c r="A2174" t="s">
        <v>155</v>
      </c>
      <c r="B2174" t="s">
        <v>87</v>
      </c>
      <c r="C2174">
        <v>752</v>
      </c>
      <c r="D2174" t="s">
        <v>147</v>
      </c>
      <c r="E2174" s="242"/>
      <c r="F2174">
        <v>3998.60009765625</v>
      </c>
      <c r="G2174" t="b">
        <v>0</v>
      </c>
      <c r="H2174" t="s">
        <v>15</v>
      </c>
    </row>
    <row r="2175" spans="1:8">
      <c r="A2175" t="s">
        <v>156</v>
      </c>
      <c r="B2175" t="s">
        <v>87</v>
      </c>
      <c r="C2175">
        <v>752</v>
      </c>
      <c r="D2175" t="s">
        <v>147</v>
      </c>
      <c r="E2175" s="242"/>
      <c r="F2175">
        <v>4756.5</v>
      </c>
      <c r="G2175" t="b">
        <v>0</v>
      </c>
      <c r="H2175" t="s">
        <v>15</v>
      </c>
    </row>
    <row r="2176" spans="1:8">
      <c r="A2176" t="s">
        <v>157</v>
      </c>
      <c r="B2176" t="s">
        <v>87</v>
      </c>
      <c r="C2176">
        <v>752</v>
      </c>
      <c r="D2176" t="s">
        <v>147</v>
      </c>
      <c r="E2176" s="242"/>
      <c r="F2176">
        <v>5081</v>
      </c>
      <c r="G2176" t="b">
        <v>0</v>
      </c>
      <c r="H2176" t="s">
        <v>15</v>
      </c>
    </row>
    <row r="2177" spans="1:8">
      <c r="A2177" t="s">
        <v>169</v>
      </c>
      <c r="B2177" t="s">
        <v>87</v>
      </c>
      <c r="C2177">
        <v>752</v>
      </c>
      <c r="D2177" t="s">
        <v>147</v>
      </c>
      <c r="E2177" s="242"/>
      <c r="F2177">
        <v>1247.90002441406</v>
      </c>
      <c r="G2177" t="b">
        <v>0</v>
      </c>
      <c r="H2177" t="s">
        <v>15</v>
      </c>
    </row>
    <row r="2178" spans="1:8">
      <c r="A2178" t="s">
        <v>170</v>
      </c>
      <c r="B2178" t="s">
        <v>87</v>
      </c>
      <c r="C2178">
        <v>752</v>
      </c>
      <c r="D2178" t="s">
        <v>147</v>
      </c>
      <c r="E2178" s="242"/>
      <c r="F2178">
        <v>1325.40002441406</v>
      </c>
      <c r="G2178" t="b">
        <v>0</v>
      </c>
      <c r="H2178" t="s">
        <v>15</v>
      </c>
    </row>
    <row r="2179" spans="1:8">
      <c r="A2179" t="s">
        <v>158</v>
      </c>
      <c r="B2179" t="s">
        <v>87</v>
      </c>
      <c r="C2179">
        <v>752</v>
      </c>
      <c r="D2179" t="s">
        <v>147</v>
      </c>
      <c r="E2179" s="242"/>
      <c r="F2179">
        <v>4990.10009765625</v>
      </c>
      <c r="G2179" t="b">
        <v>0</v>
      </c>
      <c r="H2179" t="s">
        <v>15</v>
      </c>
    </row>
    <row r="2180" spans="1:8">
      <c r="A2180" t="s">
        <v>159</v>
      </c>
      <c r="B2180" t="s">
        <v>87</v>
      </c>
      <c r="C2180">
        <v>752</v>
      </c>
      <c r="D2180" t="s">
        <v>147</v>
      </c>
      <c r="E2180" s="242"/>
      <c r="F2180">
        <v>2918.19995117187</v>
      </c>
      <c r="G2180" t="b">
        <v>0</v>
      </c>
      <c r="H2180" t="s">
        <v>15</v>
      </c>
    </row>
    <row r="2181" spans="1:8">
      <c r="A2181" t="s">
        <v>160</v>
      </c>
      <c r="B2181" t="s">
        <v>87</v>
      </c>
      <c r="C2181">
        <v>752</v>
      </c>
      <c r="D2181" t="s">
        <v>147</v>
      </c>
      <c r="E2181" s="242"/>
      <c r="F2181">
        <v>2969.10009765625</v>
      </c>
      <c r="G2181" t="b">
        <v>0</v>
      </c>
      <c r="H2181" t="s">
        <v>15</v>
      </c>
    </row>
    <row r="2182" spans="1:8">
      <c r="A2182" t="s">
        <v>164</v>
      </c>
      <c r="B2182" t="s">
        <v>87</v>
      </c>
      <c r="C2182">
        <v>754</v>
      </c>
      <c r="D2182" t="s">
        <v>147</v>
      </c>
      <c r="E2182" s="242"/>
      <c r="F2182">
        <v>5211.60009765625</v>
      </c>
      <c r="G2182" t="b">
        <v>0</v>
      </c>
      <c r="H2182" t="s">
        <v>15</v>
      </c>
    </row>
    <row r="2183" spans="1:8">
      <c r="A2183" t="s">
        <v>161</v>
      </c>
      <c r="B2183" t="s">
        <v>87</v>
      </c>
      <c r="C2183">
        <v>754</v>
      </c>
      <c r="D2183" t="s">
        <v>147</v>
      </c>
      <c r="E2183" s="242"/>
      <c r="F2183">
        <v>6759.5</v>
      </c>
      <c r="G2183" t="b">
        <v>0</v>
      </c>
      <c r="H2183" t="s">
        <v>15</v>
      </c>
    </row>
    <row r="2184" spans="1:8">
      <c r="A2184" t="s">
        <v>165</v>
      </c>
      <c r="B2184" t="s">
        <v>87</v>
      </c>
      <c r="C2184">
        <v>754</v>
      </c>
      <c r="D2184" t="s">
        <v>147</v>
      </c>
      <c r="E2184" s="242"/>
      <c r="F2184">
        <v>7458.7001953125</v>
      </c>
      <c r="G2184" t="b">
        <v>0</v>
      </c>
      <c r="H2184" t="s">
        <v>15</v>
      </c>
    </row>
    <row r="2185" spans="1:8">
      <c r="A2185" t="s">
        <v>148</v>
      </c>
      <c r="B2185" t="s">
        <v>87</v>
      </c>
      <c r="C2185">
        <v>754</v>
      </c>
      <c r="D2185" t="s">
        <v>147</v>
      </c>
      <c r="E2185" s="242"/>
      <c r="F2185">
        <v>6461.39990234375</v>
      </c>
      <c r="G2185" t="b">
        <v>0</v>
      </c>
      <c r="H2185" t="s">
        <v>15</v>
      </c>
    </row>
    <row r="2186" spans="1:8">
      <c r="A2186" t="s">
        <v>162</v>
      </c>
      <c r="B2186" t="s">
        <v>87</v>
      </c>
      <c r="C2186">
        <v>754</v>
      </c>
      <c r="D2186" t="s">
        <v>147</v>
      </c>
      <c r="E2186" s="242"/>
      <c r="F2186">
        <v>7383.10009765625</v>
      </c>
      <c r="G2186" t="b">
        <v>0</v>
      </c>
      <c r="H2186" t="s">
        <v>15</v>
      </c>
    </row>
    <row r="2187" spans="1:8">
      <c r="A2187" t="s">
        <v>163</v>
      </c>
      <c r="B2187" t="s">
        <v>87</v>
      </c>
      <c r="C2187">
        <v>754</v>
      </c>
      <c r="D2187" t="s">
        <v>147</v>
      </c>
      <c r="E2187" s="242"/>
      <c r="F2187">
        <v>4578.7001953125</v>
      </c>
      <c r="G2187" t="b">
        <v>0</v>
      </c>
      <c r="H2187" t="s">
        <v>15</v>
      </c>
    </row>
    <row r="2188" spans="1:8">
      <c r="A2188" t="s">
        <v>166</v>
      </c>
      <c r="B2188" t="s">
        <v>87</v>
      </c>
      <c r="C2188">
        <v>754</v>
      </c>
      <c r="D2188" t="s">
        <v>147</v>
      </c>
      <c r="E2188" s="242"/>
      <c r="F2188">
        <v>3113.30004882812</v>
      </c>
      <c r="G2188" t="b">
        <v>0</v>
      </c>
      <c r="H2188" t="s">
        <v>15</v>
      </c>
    </row>
    <row r="2189" spans="1:8">
      <c r="A2189" t="s">
        <v>149</v>
      </c>
      <c r="B2189" t="s">
        <v>87</v>
      </c>
      <c r="C2189">
        <v>754</v>
      </c>
      <c r="D2189" t="s">
        <v>147</v>
      </c>
      <c r="E2189" s="242"/>
      <c r="F2189">
        <v>4706.39990234375</v>
      </c>
      <c r="G2189" t="b">
        <v>0</v>
      </c>
      <c r="H2189" t="s">
        <v>15</v>
      </c>
    </row>
    <row r="2190" spans="1:8">
      <c r="A2190" t="s">
        <v>150</v>
      </c>
      <c r="B2190" t="s">
        <v>87</v>
      </c>
      <c r="C2190">
        <v>754</v>
      </c>
      <c r="D2190" t="s">
        <v>147</v>
      </c>
      <c r="E2190" s="242"/>
      <c r="F2190">
        <v>3743.39990234375</v>
      </c>
      <c r="G2190" t="b">
        <v>0</v>
      </c>
      <c r="H2190" t="s">
        <v>15</v>
      </c>
    </row>
    <row r="2191" spans="1:8">
      <c r="A2191" t="s">
        <v>151</v>
      </c>
      <c r="B2191" t="s">
        <v>87</v>
      </c>
      <c r="C2191">
        <v>754</v>
      </c>
      <c r="D2191" t="s">
        <v>147</v>
      </c>
      <c r="E2191" s="242"/>
      <c r="F2191">
        <v>1526.90002441406</v>
      </c>
      <c r="G2191" t="b">
        <v>0</v>
      </c>
      <c r="H2191" t="s">
        <v>15</v>
      </c>
    </row>
    <row r="2192" spans="1:8">
      <c r="A2192" t="s">
        <v>152</v>
      </c>
      <c r="B2192" t="s">
        <v>87</v>
      </c>
      <c r="C2192">
        <v>754</v>
      </c>
      <c r="D2192" t="s">
        <v>147</v>
      </c>
      <c r="E2192" s="242"/>
      <c r="F2192">
        <v>1770.30004882812</v>
      </c>
      <c r="G2192" t="b">
        <v>0</v>
      </c>
      <c r="H2192" t="s">
        <v>15</v>
      </c>
    </row>
    <row r="2193" spans="1:8">
      <c r="A2193" t="s">
        <v>145</v>
      </c>
      <c r="B2193" t="s">
        <v>87</v>
      </c>
      <c r="C2193">
        <v>754</v>
      </c>
      <c r="D2193" t="s">
        <v>147</v>
      </c>
      <c r="E2193" s="242"/>
      <c r="F2193">
        <v>1704.69995117187</v>
      </c>
      <c r="G2193" t="b">
        <v>0</v>
      </c>
      <c r="H2193" t="s">
        <v>15</v>
      </c>
    </row>
    <row r="2194" spans="1:8">
      <c r="A2194" t="s">
        <v>167</v>
      </c>
      <c r="B2194" t="s">
        <v>87</v>
      </c>
      <c r="C2194">
        <v>754</v>
      </c>
      <c r="D2194" t="s">
        <v>147</v>
      </c>
      <c r="E2194" s="242"/>
      <c r="F2194">
        <v>1518.80004882812</v>
      </c>
      <c r="G2194" t="b">
        <v>0</v>
      </c>
      <c r="H2194" t="s">
        <v>15</v>
      </c>
    </row>
    <row r="2195" spans="1:8">
      <c r="A2195" t="s">
        <v>153</v>
      </c>
      <c r="B2195" t="s">
        <v>87</v>
      </c>
      <c r="C2195">
        <v>754</v>
      </c>
      <c r="D2195" t="s">
        <v>147</v>
      </c>
      <c r="E2195" s="242"/>
      <c r="F2195">
        <v>1191.19995117187</v>
      </c>
      <c r="G2195" t="b">
        <v>0</v>
      </c>
      <c r="H2195" t="s">
        <v>15</v>
      </c>
    </row>
    <row r="2196" spans="1:8">
      <c r="A2196" t="s">
        <v>154</v>
      </c>
      <c r="B2196" t="s">
        <v>87</v>
      </c>
      <c r="C2196">
        <v>754</v>
      </c>
      <c r="D2196" t="s">
        <v>147</v>
      </c>
      <c r="E2196" s="242"/>
      <c r="F2196">
        <v>2670.80004882812</v>
      </c>
      <c r="G2196" t="b">
        <v>0</v>
      </c>
      <c r="H2196" t="s">
        <v>15</v>
      </c>
    </row>
    <row r="2197" spans="1:8">
      <c r="A2197" t="s">
        <v>168</v>
      </c>
      <c r="B2197" t="s">
        <v>87</v>
      </c>
      <c r="C2197">
        <v>754</v>
      </c>
      <c r="D2197" t="s">
        <v>147</v>
      </c>
      <c r="E2197" s="242"/>
      <c r="F2197">
        <v>5199.39990234375</v>
      </c>
      <c r="G2197" t="b">
        <v>0</v>
      </c>
      <c r="H2197" t="s">
        <v>15</v>
      </c>
    </row>
    <row r="2198" spans="1:8">
      <c r="A2198" t="s">
        <v>155</v>
      </c>
      <c r="B2198" t="s">
        <v>87</v>
      </c>
      <c r="C2198">
        <v>754</v>
      </c>
      <c r="D2198" t="s">
        <v>147</v>
      </c>
      <c r="E2198" s="242"/>
      <c r="F2198">
        <v>3998.60009765625</v>
      </c>
      <c r="G2198" t="b">
        <v>0</v>
      </c>
      <c r="H2198" t="s">
        <v>15</v>
      </c>
    </row>
    <row r="2199" spans="1:8">
      <c r="A2199" t="s">
        <v>156</v>
      </c>
      <c r="B2199" t="s">
        <v>87</v>
      </c>
      <c r="C2199">
        <v>754</v>
      </c>
      <c r="D2199" t="s">
        <v>147</v>
      </c>
      <c r="E2199" s="242"/>
      <c r="F2199">
        <v>4756.5</v>
      </c>
      <c r="G2199" t="b">
        <v>0</v>
      </c>
      <c r="H2199" t="s">
        <v>15</v>
      </c>
    </row>
    <row r="2200" spans="1:8">
      <c r="A2200" t="s">
        <v>157</v>
      </c>
      <c r="B2200" t="s">
        <v>87</v>
      </c>
      <c r="C2200">
        <v>754</v>
      </c>
      <c r="D2200" t="s">
        <v>147</v>
      </c>
      <c r="E2200" s="242"/>
      <c r="F2200">
        <v>5081</v>
      </c>
      <c r="G2200" t="b">
        <v>0</v>
      </c>
      <c r="H2200" t="s">
        <v>15</v>
      </c>
    </row>
    <row r="2201" spans="1:8">
      <c r="A2201" t="s">
        <v>169</v>
      </c>
      <c r="B2201" t="s">
        <v>87</v>
      </c>
      <c r="C2201">
        <v>754</v>
      </c>
      <c r="D2201" t="s">
        <v>147</v>
      </c>
      <c r="E2201" s="242"/>
      <c r="F2201">
        <v>1247.90002441406</v>
      </c>
      <c r="G2201" t="b">
        <v>0</v>
      </c>
      <c r="H2201" t="s">
        <v>15</v>
      </c>
    </row>
    <row r="2202" spans="1:8">
      <c r="A2202" t="s">
        <v>170</v>
      </c>
      <c r="B2202" t="s">
        <v>87</v>
      </c>
      <c r="C2202">
        <v>754</v>
      </c>
      <c r="D2202" t="s">
        <v>147</v>
      </c>
      <c r="E2202" s="242"/>
      <c r="F2202">
        <v>1325.40002441406</v>
      </c>
      <c r="G2202" t="b">
        <v>0</v>
      </c>
      <c r="H2202" t="s">
        <v>15</v>
      </c>
    </row>
    <row r="2203" spans="1:8">
      <c r="A2203" t="s">
        <v>158</v>
      </c>
      <c r="B2203" t="s">
        <v>87</v>
      </c>
      <c r="C2203">
        <v>754</v>
      </c>
      <c r="D2203" t="s">
        <v>147</v>
      </c>
      <c r="E2203" s="242"/>
      <c r="F2203">
        <v>4990.10009765625</v>
      </c>
      <c r="G2203" t="b">
        <v>0</v>
      </c>
      <c r="H2203" t="s">
        <v>15</v>
      </c>
    </row>
    <row r="2204" spans="1:8">
      <c r="A2204" t="s">
        <v>159</v>
      </c>
      <c r="B2204" t="s">
        <v>87</v>
      </c>
      <c r="C2204">
        <v>754</v>
      </c>
      <c r="D2204" t="s">
        <v>147</v>
      </c>
      <c r="E2204" s="242"/>
      <c r="F2204">
        <v>2918.19995117187</v>
      </c>
      <c r="G2204" t="b">
        <v>0</v>
      </c>
      <c r="H2204" t="s">
        <v>15</v>
      </c>
    </row>
    <row r="2205" spans="1:8">
      <c r="A2205" t="s">
        <v>160</v>
      </c>
      <c r="B2205" t="s">
        <v>87</v>
      </c>
      <c r="C2205">
        <v>754</v>
      </c>
      <c r="D2205" t="s">
        <v>147</v>
      </c>
      <c r="E2205" s="242"/>
      <c r="F2205">
        <v>2969.10009765625</v>
      </c>
      <c r="G2205" t="b">
        <v>0</v>
      </c>
      <c r="H2205" t="s">
        <v>15</v>
      </c>
    </row>
    <row r="2206" spans="1:8">
      <c r="A2206" t="s">
        <v>164</v>
      </c>
      <c r="B2206" t="s">
        <v>87</v>
      </c>
      <c r="C2206">
        <v>755</v>
      </c>
      <c r="D2206" t="s">
        <v>147</v>
      </c>
      <c r="E2206" s="242"/>
      <c r="F2206">
        <v>5211.60009765625</v>
      </c>
      <c r="G2206" t="b">
        <v>0</v>
      </c>
      <c r="H2206" t="s">
        <v>15</v>
      </c>
    </row>
    <row r="2207" spans="1:8">
      <c r="A2207" t="s">
        <v>161</v>
      </c>
      <c r="B2207" t="s">
        <v>87</v>
      </c>
      <c r="C2207">
        <v>755</v>
      </c>
      <c r="D2207" t="s">
        <v>147</v>
      </c>
      <c r="E2207" s="242"/>
      <c r="F2207">
        <v>6759.5</v>
      </c>
      <c r="G2207" t="b">
        <v>0</v>
      </c>
      <c r="H2207" t="s">
        <v>15</v>
      </c>
    </row>
    <row r="2208" spans="1:8">
      <c r="A2208" t="s">
        <v>165</v>
      </c>
      <c r="B2208" t="s">
        <v>87</v>
      </c>
      <c r="C2208">
        <v>755</v>
      </c>
      <c r="D2208" t="s">
        <v>147</v>
      </c>
      <c r="E2208" s="242"/>
      <c r="F2208">
        <v>7458.7001953125</v>
      </c>
      <c r="G2208" t="b">
        <v>0</v>
      </c>
      <c r="H2208" t="s">
        <v>15</v>
      </c>
    </row>
    <row r="2209" spans="1:8">
      <c r="A2209" t="s">
        <v>148</v>
      </c>
      <c r="B2209" t="s">
        <v>87</v>
      </c>
      <c r="C2209">
        <v>755</v>
      </c>
      <c r="D2209" t="s">
        <v>147</v>
      </c>
      <c r="E2209" s="242"/>
      <c r="F2209">
        <v>6461.39990234375</v>
      </c>
      <c r="G2209" t="b">
        <v>0</v>
      </c>
      <c r="H2209" t="s">
        <v>15</v>
      </c>
    </row>
    <row r="2210" spans="1:8">
      <c r="A2210" t="s">
        <v>162</v>
      </c>
      <c r="B2210" t="s">
        <v>87</v>
      </c>
      <c r="C2210">
        <v>755</v>
      </c>
      <c r="D2210" t="s">
        <v>147</v>
      </c>
      <c r="E2210" s="242"/>
      <c r="F2210">
        <v>7383.10009765625</v>
      </c>
      <c r="G2210" t="b">
        <v>0</v>
      </c>
      <c r="H2210" t="s">
        <v>15</v>
      </c>
    </row>
    <row r="2211" spans="1:8">
      <c r="A2211" t="s">
        <v>163</v>
      </c>
      <c r="B2211" t="s">
        <v>87</v>
      </c>
      <c r="C2211">
        <v>755</v>
      </c>
      <c r="D2211" t="s">
        <v>147</v>
      </c>
      <c r="E2211" s="242"/>
      <c r="F2211">
        <v>4578.7001953125</v>
      </c>
      <c r="G2211" t="b">
        <v>0</v>
      </c>
      <c r="H2211" t="s">
        <v>15</v>
      </c>
    </row>
    <row r="2212" spans="1:8">
      <c r="A2212" t="s">
        <v>166</v>
      </c>
      <c r="B2212" t="s">
        <v>87</v>
      </c>
      <c r="C2212">
        <v>755</v>
      </c>
      <c r="D2212" t="s">
        <v>147</v>
      </c>
      <c r="E2212" s="242"/>
      <c r="F2212">
        <v>3113.30004882812</v>
      </c>
      <c r="G2212" t="b">
        <v>0</v>
      </c>
      <c r="H2212" t="s">
        <v>15</v>
      </c>
    </row>
    <row r="2213" spans="1:8">
      <c r="A2213" t="s">
        <v>149</v>
      </c>
      <c r="B2213" t="s">
        <v>87</v>
      </c>
      <c r="C2213">
        <v>755</v>
      </c>
      <c r="D2213" t="s">
        <v>147</v>
      </c>
      <c r="E2213" s="242"/>
      <c r="F2213">
        <v>4706.39990234375</v>
      </c>
      <c r="G2213" t="b">
        <v>0</v>
      </c>
      <c r="H2213" t="s">
        <v>15</v>
      </c>
    </row>
    <row r="2214" spans="1:8">
      <c r="A2214" t="s">
        <v>150</v>
      </c>
      <c r="B2214" t="s">
        <v>87</v>
      </c>
      <c r="C2214">
        <v>755</v>
      </c>
      <c r="D2214" t="s">
        <v>147</v>
      </c>
      <c r="E2214" s="242"/>
      <c r="F2214">
        <v>3743.39990234375</v>
      </c>
      <c r="G2214" t="b">
        <v>0</v>
      </c>
      <c r="H2214" t="s">
        <v>15</v>
      </c>
    </row>
    <row r="2215" spans="1:8">
      <c r="A2215" t="s">
        <v>151</v>
      </c>
      <c r="B2215" t="s">
        <v>87</v>
      </c>
      <c r="C2215">
        <v>755</v>
      </c>
      <c r="D2215" t="s">
        <v>147</v>
      </c>
      <c r="E2215" s="242"/>
      <c r="F2215">
        <v>1526.90002441406</v>
      </c>
      <c r="G2215" t="b">
        <v>0</v>
      </c>
      <c r="H2215" t="s">
        <v>15</v>
      </c>
    </row>
    <row r="2216" spans="1:8">
      <c r="A2216" t="s">
        <v>152</v>
      </c>
      <c r="B2216" t="s">
        <v>87</v>
      </c>
      <c r="C2216">
        <v>755</v>
      </c>
      <c r="D2216" t="s">
        <v>147</v>
      </c>
      <c r="E2216" s="242"/>
      <c r="F2216">
        <v>1770.30004882812</v>
      </c>
      <c r="G2216" t="b">
        <v>0</v>
      </c>
      <c r="H2216" t="s">
        <v>15</v>
      </c>
    </row>
    <row r="2217" spans="1:8">
      <c r="A2217" t="s">
        <v>145</v>
      </c>
      <c r="B2217" t="s">
        <v>87</v>
      </c>
      <c r="C2217">
        <v>755</v>
      </c>
      <c r="D2217" t="s">
        <v>147</v>
      </c>
      <c r="E2217" s="242"/>
      <c r="F2217">
        <v>1704.69995117187</v>
      </c>
      <c r="G2217" t="b">
        <v>0</v>
      </c>
      <c r="H2217" t="s">
        <v>15</v>
      </c>
    </row>
    <row r="2218" spans="1:8">
      <c r="A2218" t="s">
        <v>167</v>
      </c>
      <c r="B2218" t="s">
        <v>87</v>
      </c>
      <c r="C2218">
        <v>755</v>
      </c>
      <c r="D2218" t="s">
        <v>147</v>
      </c>
      <c r="E2218" s="242"/>
      <c r="F2218">
        <v>1518.80004882812</v>
      </c>
      <c r="G2218" t="b">
        <v>0</v>
      </c>
      <c r="H2218" t="s">
        <v>15</v>
      </c>
    </row>
    <row r="2219" spans="1:8">
      <c r="A2219" t="s">
        <v>153</v>
      </c>
      <c r="B2219" t="s">
        <v>87</v>
      </c>
      <c r="C2219">
        <v>755</v>
      </c>
      <c r="D2219" t="s">
        <v>147</v>
      </c>
      <c r="E2219" s="242"/>
      <c r="F2219">
        <v>1191.19995117187</v>
      </c>
      <c r="G2219" t="b">
        <v>0</v>
      </c>
      <c r="H2219" t="s">
        <v>15</v>
      </c>
    </row>
    <row r="2220" spans="1:8">
      <c r="A2220" t="s">
        <v>154</v>
      </c>
      <c r="B2220" t="s">
        <v>87</v>
      </c>
      <c r="C2220">
        <v>755</v>
      </c>
      <c r="D2220" t="s">
        <v>147</v>
      </c>
      <c r="E2220" s="242"/>
      <c r="F2220">
        <v>2670.80004882812</v>
      </c>
      <c r="G2220" t="b">
        <v>0</v>
      </c>
      <c r="H2220" t="s">
        <v>15</v>
      </c>
    </row>
    <row r="2221" spans="1:8">
      <c r="A2221" t="s">
        <v>168</v>
      </c>
      <c r="B2221" t="s">
        <v>87</v>
      </c>
      <c r="C2221">
        <v>755</v>
      </c>
      <c r="D2221" t="s">
        <v>147</v>
      </c>
      <c r="E2221" s="242"/>
      <c r="F2221">
        <v>5199.39990234375</v>
      </c>
      <c r="G2221" t="b">
        <v>0</v>
      </c>
      <c r="H2221" t="s">
        <v>15</v>
      </c>
    </row>
    <row r="2222" spans="1:8">
      <c r="A2222" t="s">
        <v>155</v>
      </c>
      <c r="B2222" t="s">
        <v>87</v>
      </c>
      <c r="C2222">
        <v>755</v>
      </c>
      <c r="D2222" t="s">
        <v>147</v>
      </c>
      <c r="E2222" s="242"/>
      <c r="F2222">
        <v>3998.60009765625</v>
      </c>
      <c r="G2222" t="b">
        <v>0</v>
      </c>
      <c r="H2222" t="s">
        <v>15</v>
      </c>
    </row>
    <row r="2223" spans="1:8">
      <c r="A2223" t="s">
        <v>156</v>
      </c>
      <c r="B2223" t="s">
        <v>87</v>
      </c>
      <c r="C2223">
        <v>755</v>
      </c>
      <c r="D2223" t="s">
        <v>147</v>
      </c>
      <c r="E2223" s="242"/>
      <c r="F2223">
        <v>4756.5</v>
      </c>
      <c r="G2223" t="b">
        <v>0</v>
      </c>
      <c r="H2223" t="s">
        <v>15</v>
      </c>
    </row>
    <row r="2224" spans="1:8">
      <c r="A2224" t="s">
        <v>157</v>
      </c>
      <c r="B2224" t="s">
        <v>87</v>
      </c>
      <c r="C2224">
        <v>755</v>
      </c>
      <c r="D2224" t="s">
        <v>147</v>
      </c>
      <c r="E2224" s="242"/>
      <c r="F2224">
        <v>5081</v>
      </c>
      <c r="G2224" t="b">
        <v>0</v>
      </c>
      <c r="H2224" t="s">
        <v>15</v>
      </c>
    </row>
    <row r="2225" spans="1:8">
      <c r="A2225" t="s">
        <v>169</v>
      </c>
      <c r="B2225" t="s">
        <v>87</v>
      </c>
      <c r="C2225">
        <v>755</v>
      </c>
      <c r="D2225" t="s">
        <v>147</v>
      </c>
      <c r="E2225" s="242"/>
      <c r="F2225">
        <v>1247.90002441406</v>
      </c>
      <c r="G2225" t="b">
        <v>0</v>
      </c>
      <c r="H2225" t="s">
        <v>15</v>
      </c>
    </row>
    <row r="2226" spans="1:8">
      <c r="A2226" t="s">
        <v>170</v>
      </c>
      <c r="B2226" t="s">
        <v>87</v>
      </c>
      <c r="C2226">
        <v>755</v>
      </c>
      <c r="D2226" t="s">
        <v>147</v>
      </c>
      <c r="E2226" s="242"/>
      <c r="F2226">
        <v>1325.40002441406</v>
      </c>
      <c r="G2226" t="b">
        <v>0</v>
      </c>
      <c r="H2226" t="s">
        <v>15</v>
      </c>
    </row>
    <row r="2227" spans="1:8">
      <c r="A2227" t="s">
        <v>158</v>
      </c>
      <c r="B2227" t="s">
        <v>87</v>
      </c>
      <c r="C2227">
        <v>755</v>
      </c>
      <c r="D2227" t="s">
        <v>147</v>
      </c>
      <c r="E2227" s="242"/>
      <c r="F2227">
        <v>4990.10009765625</v>
      </c>
      <c r="G2227" t="b">
        <v>0</v>
      </c>
      <c r="H2227" t="s">
        <v>15</v>
      </c>
    </row>
    <row r="2228" spans="1:8">
      <c r="A2228" t="s">
        <v>159</v>
      </c>
      <c r="B2228" t="s">
        <v>87</v>
      </c>
      <c r="C2228">
        <v>755</v>
      </c>
      <c r="D2228" t="s">
        <v>147</v>
      </c>
      <c r="E2228" s="242"/>
      <c r="F2228">
        <v>2918.19995117187</v>
      </c>
      <c r="G2228" t="b">
        <v>0</v>
      </c>
      <c r="H2228" t="s">
        <v>15</v>
      </c>
    </row>
    <row r="2229" spans="1:8">
      <c r="A2229" t="s">
        <v>160</v>
      </c>
      <c r="B2229" t="s">
        <v>87</v>
      </c>
      <c r="C2229">
        <v>755</v>
      </c>
      <c r="D2229" t="s">
        <v>147</v>
      </c>
      <c r="E2229" s="242"/>
      <c r="F2229">
        <v>2969.10009765625</v>
      </c>
      <c r="G2229" t="b">
        <v>0</v>
      </c>
      <c r="H2229" t="s">
        <v>15</v>
      </c>
    </row>
    <row r="2230" spans="1:8">
      <c r="A2230" t="s">
        <v>164</v>
      </c>
      <c r="B2230" t="s">
        <v>87</v>
      </c>
      <c r="C2230">
        <v>757</v>
      </c>
      <c r="D2230" t="s">
        <v>147</v>
      </c>
      <c r="E2230" s="242"/>
      <c r="F2230">
        <v>5216.60009765625</v>
      </c>
      <c r="G2230" t="b">
        <v>0</v>
      </c>
      <c r="H2230" t="s">
        <v>15</v>
      </c>
    </row>
    <row r="2231" spans="1:8">
      <c r="A2231" t="s">
        <v>161</v>
      </c>
      <c r="B2231" t="s">
        <v>87</v>
      </c>
      <c r="C2231">
        <v>757</v>
      </c>
      <c r="D2231" t="s">
        <v>147</v>
      </c>
      <c r="E2231" s="242"/>
      <c r="F2231">
        <v>7001</v>
      </c>
      <c r="G2231" t="b">
        <v>0</v>
      </c>
      <c r="H2231" t="s">
        <v>15</v>
      </c>
    </row>
    <row r="2232" spans="1:8">
      <c r="A2232" t="s">
        <v>165</v>
      </c>
      <c r="B2232" t="s">
        <v>87</v>
      </c>
      <c r="C2232">
        <v>757</v>
      </c>
      <c r="D2232" t="s">
        <v>147</v>
      </c>
      <c r="E2232" s="242"/>
      <c r="F2232">
        <v>7703.7001953125</v>
      </c>
      <c r="G2232" t="b">
        <v>0</v>
      </c>
      <c r="H2232" t="s">
        <v>15</v>
      </c>
    </row>
    <row r="2233" spans="1:8">
      <c r="A2233" t="s">
        <v>148</v>
      </c>
      <c r="B2233" t="s">
        <v>87</v>
      </c>
      <c r="C2233">
        <v>757</v>
      </c>
      <c r="D2233" t="s">
        <v>147</v>
      </c>
      <c r="E2233" s="242"/>
      <c r="F2233">
        <v>6703.39990234375</v>
      </c>
      <c r="G2233" t="b">
        <v>0</v>
      </c>
      <c r="H2233" t="s">
        <v>15</v>
      </c>
    </row>
    <row r="2234" spans="1:8">
      <c r="A2234" t="s">
        <v>162</v>
      </c>
      <c r="B2234" t="s">
        <v>87</v>
      </c>
      <c r="C2234">
        <v>757</v>
      </c>
      <c r="D2234" t="s">
        <v>147</v>
      </c>
      <c r="E2234" s="242"/>
      <c r="F2234">
        <v>7383.10009765625</v>
      </c>
      <c r="G2234" t="b">
        <v>0</v>
      </c>
      <c r="H2234" t="s">
        <v>15</v>
      </c>
    </row>
    <row r="2235" spans="1:8">
      <c r="A2235" t="s">
        <v>163</v>
      </c>
      <c r="B2235" t="s">
        <v>87</v>
      </c>
      <c r="C2235">
        <v>757</v>
      </c>
      <c r="D2235" t="s">
        <v>147</v>
      </c>
      <c r="E2235" s="242"/>
      <c r="F2235">
        <v>4812.2001953125</v>
      </c>
      <c r="G2235" t="b">
        <v>0</v>
      </c>
      <c r="H2235" t="s">
        <v>15</v>
      </c>
    </row>
    <row r="2236" spans="1:8">
      <c r="A2236" t="s">
        <v>166</v>
      </c>
      <c r="B2236" t="s">
        <v>87</v>
      </c>
      <c r="C2236">
        <v>757</v>
      </c>
      <c r="D2236" t="s">
        <v>147</v>
      </c>
      <c r="E2236" s="242"/>
      <c r="F2236">
        <v>3340.19995117187</v>
      </c>
      <c r="G2236" t="b">
        <v>0</v>
      </c>
      <c r="H2236" t="s">
        <v>15</v>
      </c>
    </row>
    <row r="2237" spans="1:8">
      <c r="A2237" t="s">
        <v>149</v>
      </c>
      <c r="B2237" t="s">
        <v>87</v>
      </c>
      <c r="C2237">
        <v>757</v>
      </c>
      <c r="D2237" t="s">
        <v>147</v>
      </c>
      <c r="E2237" s="242"/>
      <c r="F2237">
        <v>4953.7001953125</v>
      </c>
      <c r="G2237" t="b">
        <v>0</v>
      </c>
      <c r="H2237" t="s">
        <v>15</v>
      </c>
    </row>
    <row r="2238" spans="1:8">
      <c r="A2238" t="s">
        <v>150</v>
      </c>
      <c r="B2238" t="s">
        <v>87</v>
      </c>
      <c r="C2238">
        <v>757</v>
      </c>
      <c r="D2238" t="s">
        <v>147</v>
      </c>
      <c r="E2238" s="242"/>
      <c r="F2238">
        <v>3986.5</v>
      </c>
      <c r="G2238" t="b">
        <v>0</v>
      </c>
      <c r="H2238" t="s">
        <v>15</v>
      </c>
    </row>
    <row r="2239" spans="1:8">
      <c r="A2239" t="s">
        <v>151</v>
      </c>
      <c r="B2239" t="s">
        <v>87</v>
      </c>
      <c r="C2239">
        <v>757</v>
      </c>
      <c r="D2239" t="s">
        <v>147</v>
      </c>
      <c r="E2239" s="242"/>
      <c r="F2239">
        <v>1781.80004882812</v>
      </c>
      <c r="G2239" t="b">
        <v>0</v>
      </c>
      <c r="H2239" t="s">
        <v>15</v>
      </c>
    </row>
    <row r="2240" spans="1:8">
      <c r="A2240" t="s">
        <v>152</v>
      </c>
      <c r="B2240" t="s">
        <v>87</v>
      </c>
      <c r="C2240">
        <v>757</v>
      </c>
      <c r="D2240" t="s">
        <v>147</v>
      </c>
      <c r="E2240" s="242"/>
      <c r="F2240">
        <v>1770.30004882812</v>
      </c>
      <c r="G2240" t="b">
        <v>0</v>
      </c>
      <c r="H2240" t="s">
        <v>15</v>
      </c>
    </row>
    <row r="2241" spans="1:8">
      <c r="A2241" t="s">
        <v>145</v>
      </c>
      <c r="B2241" t="s">
        <v>87</v>
      </c>
      <c r="C2241">
        <v>757</v>
      </c>
      <c r="D2241" t="s">
        <v>147</v>
      </c>
      <c r="E2241" s="242"/>
      <c r="F2241">
        <v>1704.69995117187</v>
      </c>
      <c r="G2241" t="b">
        <v>0</v>
      </c>
      <c r="H2241" t="s">
        <v>15</v>
      </c>
    </row>
    <row r="2242" spans="1:8">
      <c r="A2242" t="s">
        <v>167</v>
      </c>
      <c r="B2242" t="s">
        <v>87</v>
      </c>
      <c r="C2242">
        <v>757</v>
      </c>
      <c r="D2242" t="s">
        <v>147</v>
      </c>
      <c r="E2242" s="242"/>
      <c r="F2242">
        <v>1751.5</v>
      </c>
      <c r="G2242" t="b">
        <v>0</v>
      </c>
      <c r="H2242" t="s">
        <v>15</v>
      </c>
    </row>
    <row r="2243" spans="1:8">
      <c r="A2243" t="s">
        <v>153</v>
      </c>
      <c r="B2243" t="s">
        <v>87</v>
      </c>
      <c r="C2243">
        <v>757</v>
      </c>
      <c r="D2243" t="s">
        <v>147</v>
      </c>
      <c r="E2243" s="242"/>
      <c r="F2243">
        <v>1435</v>
      </c>
      <c r="G2243" t="b">
        <v>0</v>
      </c>
      <c r="H2243" t="s">
        <v>15</v>
      </c>
    </row>
    <row r="2244" spans="1:8">
      <c r="A2244" t="s">
        <v>154</v>
      </c>
      <c r="B2244" t="s">
        <v>87</v>
      </c>
      <c r="C2244">
        <v>757</v>
      </c>
      <c r="D2244" t="s">
        <v>147</v>
      </c>
      <c r="E2244" s="242"/>
      <c r="F2244">
        <v>2670.80004882812</v>
      </c>
      <c r="G2244" t="b">
        <v>0</v>
      </c>
      <c r="H2244" t="s">
        <v>15</v>
      </c>
    </row>
    <row r="2245" spans="1:8">
      <c r="A2245" t="s">
        <v>168</v>
      </c>
      <c r="B2245" t="s">
        <v>87</v>
      </c>
      <c r="C2245">
        <v>757</v>
      </c>
      <c r="D2245" t="s">
        <v>147</v>
      </c>
      <c r="E2245" s="242"/>
      <c r="F2245">
        <v>5199.39990234375</v>
      </c>
      <c r="G2245" t="b">
        <v>0</v>
      </c>
      <c r="H2245" t="s">
        <v>15</v>
      </c>
    </row>
    <row r="2246" spans="1:8">
      <c r="A2246" t="s">
        <v>155</v>
      </c>
      <c r="B2246" t="s">
        <v>87</v>
      </c>
      <c r="C2246">
        <v>757</v>
      </c>
      <c r="D2246" t="s">
        <v>147</v>
      </c>
      <c r="E2246" s="242"/>
      <c r="F2246">
        <v>4244.7998046875</v>
      </c>
      <c r="G2246" t="b">
        <v>0</v>
      </c>
      <c r="H2246" t="s">
        <v>15</v>
      </c>
    </row>
    <row r="2247" spans="1:8">
      <c r="A2247" t="s">
        <v>156</v>
      </c>
      <c r="B2247" t="s">
        <v>87</v>
      </c>
      <c r="C2247">
        <v>757</v>
      </c>
      <c r="D2247" t="s">
        <v>147</v>
      </c>
      <c r="E2247" s="242"/>
      <c r="F2247">
        <v>4756.5</v>
      </c>
      <c r="G2247" t="b">
        <v>0</v>
      </c>
      <c r="H2247" t="s">
        <v>15</v>
      </c>
    </row>
    <row r="2248" spans="1:8">
      <c r="A2248" t="s">
        <v>157</v>
      </c>
      <c r="B2248" t="s">
        <v>87</v>
      </c>
      <c r="C2248">
        <v>757</v>
      </c>
      <c r="D2248" t="s">
        <v>147</v>
      </c>
      <c r="E2248" s="242"/>
      <c r="F2248">
        <v>5081</v>
      </c>
      <c r="G2248" t="b">
        <v>0</v>
      </c>
      <c r="H2248" t="s">
        <v>15</v>
      </c>
    </row>
    <row r="2249" spans="1:8">
      <c r="A2249" t="s">
        <v>169</v>
      </c>
      <c r="B2249" t="s">
        <v>87</v>
      </c>
      <c r="C2249">
        <v>757</v>
      </c>
      <c r="D2249" t="s">
        <v>147</v>
      </c>
      <c r="E2249" s="242"/>
      <c r="F2249">
        <v>1492.69995117187</v>
      </c>
      <c r="G2249" t="b">
        <v>0</v>
      </c>
      <c r="H2249" t="s">
        <v>15</v>
      </c>
    </row>
    <row r="2250" spans="1:8">
      <c r="A2250" t="s">
        <v>170</v>
      </c>
      <c r="B2250" t="s">
        <v>87</v>
      </c>
      <c r="C2250">
        <v>757</v>
      </c>
      <c r="D2250" t="s">
        <v>147</v>
      </c>
      <c r="E2250" s="242"/>
      <c r="F2250">
        <v>1325.40002441406</v>
      </c>
      <c r="G2250" t="b">
        <v>0</v>
      </c>
      <c r="H2250" t="s">
        <v>15</v>
      </c>
    </row>
    <row r="2251" spans="1:8">
      <c r="A2251" t="s">
        <v>158</v>
      </c>
      <c r="B2251" t="s">
        <v>87</v>
      </c>
      <c r="C2251">
        <v>757</v>
      </c>
      <c r="D2251" t="s">
        <v>147</v>
      </c>
      <c r="E2251" s="242"/>
      <c r="F2251">
        <v>5235.10009765625</v>
      </c>
      <c r="G2251" t="b">
        <v>0</v>
      </c>
      <c r="H2251" t="s">
        <v>15</v>
      </c>
    </row>
    <row r="2252" spans="1:8">
      <c r="A2252" t="s">
        <v>159</v>
      </c>
      <c r="B2252" t="s">
        <v>87</v>
      </c>
      <c r="C2252">
        <v>757</v>
      </c>
      <c r="D2252" t="s">
        <v>147</v>
      </c>
      <c r="E2252" s="242"/>
      <c r="F2252">
        <v>3155</v>
      </c>
      <c r="G2252" t="b">
        <v>0</v>
      </c>
      <c r="H2252" t="s">
        <v>15</v>
      </c>
    </row>
    <row r="2253" spans="1:8">
      <c r="A2253" t="s">
        <v>160</v>
      </c>
      <c r="B2253" t="s">
        <v>87</v>
      </c>
      <c r="C2253">
        <v>757</v>
      </c>
      <c r="D2253" t="s">
        <v>147</v>
      </c>
      <c r="E2253" s="242"/>
      <c r="F2253">
        <v>2969.10009765625</v>
      </c>
      <c r="G2253" t="b">
        <v>0</v>
      </c>
      <c r="H2253" t="s">
        <v>15</v>
      </c>
    </row>
    <row r="2254" spans="1:8">
      <c r="A2254" t="s">
        <v>164</v>
      </c>
      <c r="B2254" t="s">
        <v>87</v>
      </c>
      <c r="C2254">
        <v>760</v>
      </c>
      <c r="D2254" t="s">
        <v>171</v>
      </c>
      <c r="E2254" s="242">
        <v>42067</v>
      </c>
      <c r="F2254">
        <v>0</v>
      </c>
      <c r="G2254" t="b">
        <v>0</v>
      </c>
      <c r="H2254" t="s">
        <v>15</v>
      </c>
    </row>
    <row r="2255" spans="1:8">
      <c r="A2255" t="s">
        <v>161</v>
      </c>
      <c r="B2255" t="s">
        <v>87</v>
      </c>
      <c r="C2255">
        <v>760</v>
      </c>
      <c r="D2255" t="s">
        <v>171</v>
      </c>
      <c r="E2255" s="242">
        <v>41720</v>
      </c>
      <c r="G2255" t="b">
        <v>0</v>
      </c>
      <c r="H2255" t="s">
        <v>15</v>
      </c>
    </row>
    <row r="2256" spans="1:8">
      <c r="A2256" t="s">
        <v>165</v>
      </c>
      <c r="B2256" t="s">
        <v>87</v>
      </c>
      <c r="C2256">
        <v>760</v>
      </c>
      <c r="D2256" t="s">
        <v>171</v>
      </c>
      <c r="E2256" s="242">
        <v>42034</v>
      </c>
      <c r="F2256">
        <v>0</v>
      </c>
      <c r="G2256" t="b">
        <v>0</v>
      </c>
      <c r="H2256" t="s">
        <v>15</v>
      </c>
    </row>
    <row r="2257" spans="1:8">
      <c r="A2257" t="s">
        <v>148</v>
      </c>
      <c r="B2257" t="s">
        <v>87</v>
      </c>
      <c r="C2257">
        <v>760</v>
      </c>
      <c r="D2257" t="s">
        <v>171</v>
      </c>
      <c r="E2257" s="242">
        <v>41904</v>
      </c>
      <c r="F2257">
        <v>0</v>
      </c>
      <c r="G2257" t="b">
        <v>0</v>
      </c>
      <c r="H2257" t="s">
        <v>15</v>
      </c>
    </row>
    <row r="2258" spans="1:8">
      <c r="A2258" t="s">
        <v>162</v>
      </c>
      <c r="B2258" t="s">
        <v>87</v>
      </c>
      <c r="C2258">
        <v>760</v>
      </c>
      <c r="D2258" t="s">
        <v>171</v>
      </c>
      <c r="E2258" s="242">
        <v>42057</v>
      </c>
      <c r="F2258">
        <v>0</v>
      </c>
      <c r="G2258" t="b">
        <v>0</v>
      </c>
      <c r="H2258" t="s">
        <v>15</v>
      </c>
    </row>
    <row r="2259" spans="1:8">
      <c r="A2259" t="s">
        <v>163</v>
      </c>
      <c r="B2259" t="s">
        <v>87</v>
      </c>
      <c r="C2259">
        <v>760</v>
      </c>
      <c r="D2259" t="s">
        <v>171</v>
      </c>
      <c r="E2259" s="242">
        <v>41702</v>
      </c>
      <c r="G2259" t="b">
        <v>0</v>
      </c>
      <c r="H2259" t="s">
        <v>15</v>
      </c>
    </row>
    <row r="2260" spans="1:8">
      <c r="A2260" t="s">
        <v>166</v>
      </c>
      <c r="B2260" t="s">
        <v>87</v>
      </c>
      <c r="C2260">
        <v>760</v>
      </c>
      <c r="D2260" t="s">
        <v>171</v>
      </c>
      <c r="E2260" s="242">
        <v>41908</v>
      </c>
      <c r="F2260">
        <v>0</v>
      </c>
      <c r="G2260" t="b">
        <v>0</v>
      </c>
      <c r="H2260" t="s">
        <v>15</v>
      </c>
    </row>
    <row r="2261" spans="1:8">
      <c r="A2261" t="s">
        <v>149</v>
      </c>
      <c r="B2261" t="s">
        <v>87</v>
      </c>
      <c r="C2261">
        <v>760</v>
      </c>
      <c r="D2261" t="s">
        <v>171</v>
      </c>
      <c r="E2261" s="242">
        <v>42071</v>
      </c>
      <c r="F2261">
        <v>0</v>
      </c>
      <c r="G2261" t="b">
        <v>0</v>
      </c>
      <c r="H2261" t="s">
        <v>15</v>
      </c>
    </row>
    <row r="2262" spans="1:8">
      <c r="A2262" t="s">
        <v>150</v>
      </c>
      <c r="B2262" t="s">
        <v>87</v>
      </c>
      <c r="C2262">
        <v>760</v>
      </c>
      <c r="D2262" t="s">
        <v>171</v>
      </c>
      <c r="E2262" s="242">
        <v>42019</v>
      </c>
      <c r="F2262">
        <v>0</v>
      </c>
      <c r="G2262" t="b">
        <v>0</v>
      </c>
      <c r="H2262" t="s">
        <v>15</v>
      </c>
    </row>
    <row r="2263" spans="1:8">
      <c r="A2263" t="s">
        <v>151</v>
      </c>
      <c r="B2263" t="s">
        <v>87</v>
      </c>
      <c r="C2263">
        <v>760</v>
      </c>
      <c r="D2263" t="s">
        <v>171</v>
      </c>
      <c r="E2263" s="242">
        <v>42050</v>
      </c>
      <c r="F2263">
        <v>0</v>
      </c>
      <c r="G2263" t="b">
        <v>0</v>
      </c>
      <c r="H2263" t="s">
        <v>15</v>
      </c>
    </row>
    <row r="2264" spans="1:8">
      <c r="A2264" t="s">
        <v>152</v>
      </c>
      <c r="B2264" t="s">
        <v>87</v>
      </c>
      <c r="C2264">
        <v>760</v>
      </c>
      <c r="D2264" t="s">
        <v>171</v>
      </c>
      <c r="E2264" s="242">
        <v>42045.353472222225</v>
      </c>
      <c r="F2264">
        <v>0</v>
      </c>
      <c r="G2264" t="b">
        <v>0</v>
      </c>
      <c r="H2264" t="s">
        <v>15</v>
      </c>
    </row>
    <row r="2265" spans="1:8">
      <c r="A2265" t="s">
        <v>145</v>
      </c>
      <c r="B2265" t="s">
        <v>87</v>
      </c>
      <c r="C2265">
        <v>760</v>
      </c>
      <c r="D2265" t="s">
        <v>171</v>
      </c>
      <c r="E2265" s="242">
        <v>41801</v>
      </c>
      <c r="F2265">
        <v>0</v>
      </c>
      <c r="G2265" t="b">
        <v>0</v>
      </c>
      <c r="H2265" t="s">
        <v>15</v>
      </c>
    </row>
    <row r="2266" spans="1:8">
      <c r="A2266" t="s">
        <v>167</v>
      </c>
      <c r="B2266" t="s">
        <v>87</v>
      </c>
      <c r="C2266">
        <v>760</v>
      </c>
      <c r="D2266" t="s">
        <v>171</v>
      </c>
      <c r="E2266" s="242">
        <v>41912.702777777777</v>
      </c>
      <c r="F2266">
        <v>0</v>
      </c>
      <c r="G2266" t="b">
        <v>0</v>
      </c>
      <c r="H2266" t="s">
        <v>15</v>
      </c>
    </row>
    <row r="2267" spans="1:8">
      <c r="A2267" t="s">
        <v>153</v>
      </c>
      <c r="B2267" t="s">
        <v>87</v>
      </c>
      <c r="C2267">
        <v>760</v>
      </c>
      <c r="D2267" t="s">
        <v>171</v>
      </c>
      <c r="E2267" s="242">
        <v>41358</v>
      </c>
      <c r="F2267">
        <v>0</v>
      </c>
      <c r="G2267" t="b">
        <v>0</v>
      </c>
      <c r="H2267" t="s">
        <v>15</v>
      </c>
    </row>
    <row r="2268" spans="1:8">
      <c r="A2268" t="s">
        <v>154</v>
      </c>
      <c r="B2268" t="s">
        <v>87</v>
      </c>
      <c r="C2268">
        <v>760</v>
      </c>
      <c r="D2268" t="s">
        <v>171</v>
      </c>
      <c r="E2268" s="242">
        <v>41739</v>
      </c>
      <c r="F2268">
        <v>0</v>
      </c>
      <c r="G2268" t="b">
        <v>0</v>
      </c>
      <c r="H2268" t="s">
        <v>15</v>
      </c>
    </row>
    <row r="2269" spans="1:8">
      <c r="A2269" t="s">
        <v>168</v>
      </c>
      <c r="B2269" t="s">
        <v>87</v>
      </c>
      <c r="C2269">
        <v>760</v>
      </c>
      <c r="D2269" t="s">
        <v>171</v>
      </c>
      <c r="E2269" s="242">
        <v>41722</v>
      </c>
      <c r="G2269" t="b">
        <v>0</v>
      </c>
      <c r="H2269" t="s">
        <v>15</v>
      </c>
    </row>
    <row r="2270" spans="1:8">
      <c r="A2270" t="s">
        <v>155</v>
      </c>
      <c r="B2270" t="s">
        <v>87</v>
      </c>
      <c r="C2270">
        <v>760</v>
      </c>
      <c r="D2270" t="s">
        <v>171</v>
      </c>
      <c r="E2270" s="242">
        <v>41379</v>
      </c>
      <c r="F2270">
        <v>0</v>
      </c>
      <c r="G2270" t="b">
        <v>0</v>
      </c>
      <c r="H2270" t="s">
        <v>15</v>
      </c>
    </row>
    <row r="2271" spans="1:8">
      <c r="A2271" t="s">
        <v>156</v>
      </c>
      <c r="B2271" t="s">
        <v>87</v>
      </c>
      <c r="C2271">
        <v>760</v>
      </c>
      <c r="D2271" t="s">
        <v>171</v>
      </c>
      <c r="E2271" s="242">
        <v>41943.244444444441</v>
      </c>
      <c r="F2271">
        <v>0</v>
      </c>
      <c r="G2271" t="b">
        <v>0</v>
      </c>
      <c r="H2271" t="s">
        <v>15</v>
      </c>
    </row>
    <row r="2272" spans="1:8">
      <c r="A2272" t="s">
        <v>157</v>
      </c>
      <c r="B2272" t="s">
        <v>87</v>
      </c>
      <c r="C2272">
        <v>760</v>
      </c>
      <c r="D2272" t="s">
        <v>171</v>
      </c>
      <c r="E2272" s="242">
        <v>41729</v>
      </c>
      <c r="F2272">
        <v>0</v>
      </c>
      <c r="G2272" t="b">
        <v>0</v>
      </c>
      <c r="H2272" t="s">
        <v>15</v>
      </c>
    </row>
    <row r="2273" spans="1:8">
      <c r="A2273" t="s">
        <v>169</v>
      </c>
      <c r="B2273" t="s">
        <v>87</v>
      </c>
      <c r="C2273">
        <v>760</v>
      </c>
      <c r="D2273" t="s">
        <v>171</v>
      </c>
      <c r="E2273" s="242">
        <v>42088</v>
      </c>
      <c r="F2273">
        <v>0</v>
      </c>
      <c r="G2273" t="b">
        <v>0</v>
      </c>
      <c r="H2273" t="s">
        <v>15</v>
      </c>
    </row>
    <row r="2274" spans="1:8">
      <c r="A2274" t="s">
        <v>170</v>
      </c>
      <c r="B2274" t="s">
        <v>87</v>
      </c>
      <c r="C2274">
        <v>760</v>
      </c>
      <c r="D2274" t="s">
        <v>171</v>
      </c>
      <c r="E2274" s="242">
        <v>41705</v>
      </c>
      <c r="F2274">
        <v>0</v>
      </c>
      <c r="G2274" t="b">
        <v>0</v>
      </c>
      <c r="H2274" t="s">
        <v>15</v>
      </c>
    </row>
    <row r="2275" spans="1:8">
      <c r="A2275" t="s">
        <v>158</v>
      </c>
      <c r="B2275" t="s">
        <v>87</v>
      </c>
      <c r="C2275">
        <v>760</v>
      </c>
      <c r="D2275" t="s">
        <v>171</v>
      </c>
      <c r="E2275" s="242">
        <v>41479</v>
      </c>
      <c r="G2275" t="b">
        <v>0</v>
      </c>
      <c r="H2275" t="s">
        <v>15</v>
      </c>
    </row>
    <row r="2276" spans="1:8">
      <c r="A2276" t="s">
        <v>159</v>
      </c>
      <c r="B2276" t="s">
        <v>87</v>
      </c>
      <c r="C2276">
        <v>760</v>
      </c>
      <c r="D2276" t="s">
        <v>171</v>
      </c>
      <c r="E2276" s="242">
        <v>41416</v>
      </c>
      <c r="F2276">
        <v>0</v>
      </c>
      <c r="G2276" t="b">
        <v>0</v>
      </c>
      <c r="H2276" t="s">
        <v>15</v>
      </c>
    </row>
    <row r="2277" spans="1:8">
      <c r="A2277" t="s">
        <v>160</v>
      </c>
      <c r="B2277" t="s">
        <v>87</v>
      </c>
      <c r="C2277">
        <v>760</v>
      </c>
      <c r="D2277" t="s">
        <v>171</v>
      </c>
      <c r="E2277" s="242">
        <v>42068</v>
      </c>
      <c r="F2277">
        <v>0</v>
      </c>
      <c r="G2277" t="b">
        <v>0</v>
      </c>
      <c r="H2277" t="s">
        <v>15</v>
      </c>
    </row>
    <row r="2278" spans="1:8">
      <c r="A2278" t="s">
        <v>164</v>
      </c>
      <c r="B2278" t="s">
        <v>87</v>
      </c>
      <c r="C2278">
        <v>775</v>
      </c>
      <c r="D2278" t="s">
        <v>171</v>
      </c>
      <c r="E2278" s="242">
        <v>46478</v>
      </c>
      <c r="F2278">
        <v>0</v>
      </c>
      <c r="G2278" t="b">
        <v>0</v>
      </c>
      <c r="H2278" t="s">
        <v>15</v>
      </c>
    </row>
    <row r="2279" spans="1:8">
      <c r="A2279" t="s">
        <v>161</v>
      </c>
      <c r="B2279" t="s">
        <v>87</v>
      </c>
      <c r="C2279">
        <v>775</v>
      </c>
      <c r="D2279" t="s">
        <v>171</v>
      </c>
      <c r="E2279" s="242">
        <v>37895</v>
      </c>
      <c r="G2279" t="b">
        <v>0</v>
      </c>
      <c r="H2279" t="s">
        <v>15</v>
      </c>
    </row>
    <row r="2280" spans="1:8">
      <c r="A2280" t="s">
        <v>165</v>
      </c>
      <c r="B2280" t="s">
        <v>87</v>
      </c>
      <c r="C2280">
        <v>775</v>
      </c>
      <c r="D2280" t="s">
        <v>171</v>
      </c>
      <c r="E2280" s="242">
        <v>41456</v>
      </c>
      <c r="G2280" t="b">
        <v>0</v>
      </c>
      <c r="H2280" t="s">
        <v>15</v>
      </c>
    </row>
    <row r="2281" spans="1:8">
      <c r="A2281" t="s">
        <v>148</v>
      </c>
      <c r="B2281" t="s">
        <v>87</v>
      </c>
      <c r="C2281">
        <v>775</v>
      </c>
      <c r="D2281" t="s">
        <v>171</v>
      </c>
      <c r="E2281" s="242">
        <v>41183</v>
      </c>
      <c r="G2281" t="b">
        <v>0</v>
      </c>
      <c r="H2281" t="s">
        <v>15</v>
      </c>
    </row>
    <row r="2282" spans="1:8">
      <c r="A2282" t="s">
        <v>162</v>
      </c>
      <c r="B2282" t="s">
        <v>87</v>
      </c>
      <c r="C2282">
        <v>775</v>
      </c>
      <c r="D2282" t="s">
        <v>171</v>
      </c>
      <c r="E2282" s="242">
        <v>41883</v>
      </c>
      <c r="F2282">
        <v>0</v>
      </c>
      <c r="G2282" t="b">
        <v>0</v>
      </c>
      <c r="H2282" t="s">
        <v>15</v>
      </c>
    </row>
    <row r="2283" spans="1:8">
      <c r="A2283" t="s">
        <v>163</v>
      </c>
      <c r="B2283" t="s">
        <v>87</v>
      </c>
      <c r="C2283">
        <v>775</v>
      </c>
      <c r="D2283" t="s">
        <v>171</v>
      </c>
      <c r="E2283" s="242">
        <v>41275</v>
      </c>
      <c r="G2283" t="b">
        <v>0</v>
      </c>
      <c r="H2283" t="s">
        <v>15</v>
      </c>
    </row>
    <row r="2284" spans="1:8">
      <c r="A2284" t="s">
        <v>166</v>
      </c>
      <c r="B2284" t="s">
        <v>87</v>
      </c>
      <c r="C2284">
        <v>775</v>
      </c>
      <c r="D2284" t="s">
        <v>171</v>
      </c>
      <c r="E2284" s="242">
        <v>40522</v>
      </c>
      <c r="G2284" t="b">
        <v>0</v>
      </c>
      <c r="H2284" t="s">
        <v>15</v>
      </c>
    </row>
    <row r="2285" spans="1:8">
      <c r="A2285" t="s">
        <v>149</v>
      </c>
      <c r="B2285" t="s">
        <v>87</v>
      </c>
      <c r="C2285">
        <v>775</v>
      </c>
      <c r="D2285" t="s">
        <v>171</v>
      </c>
      <c r="E2285" s="242">
        <v>40118</v>
      </c>
      <c r="G2285" t="b">
        <v>0</v>
      </c>
      <c r="H2285" t="s">
        <v>15</v>
      </c>
    </row>
    <row r="2286" spans="1:8">
      <c r="A2286" t="s">
        <v>150</v>
      </c>
      <c r="B2286" t="s">
        <v>87</v>
      </c>
      <c r="C2286">
        <v>775</v>
      </c>
      <c r="D2286" t="s">
        <v>171</v>
      </c>
      <c r="E2286" s="242">
        <v>39995</v>
      </c>
      <c r="G2286" t="b">
        <v>0</v>
      </c>
      <c r="H2286" t="s">
        <v>15</v>
      </c>
    </row>
    <row r="2287" spans="1:8">
      <c r="A2287" t="s">
        <v>151</v>
      </c>
      <c r="B2287" t="s">
        <v>87</v>
      </c>
      <c r="C2287">
        <v>775</v>
      </c>
      <c r="D2287" t="s">
        <v>171</v>
      </c>
      <c r="E2287" s="242">
        <v>38018</v>
      </c>
      <c r="G2287" t="b">
        <v>0</v>
      </c>
      <c r="H2287" t="s">
        <v>15</v>
      </c>
    </row>
    <row r="2288" spans="1:8">
      <c r="A2288" t="s">
        <v>152</v>
      </c>
      <c r="B2288" t="s">
        <v>87</v>
      </c>
      <c r="C2288">
        <v>775</v>
      </c>
      <c r="D2288" t="s">
        <v>171</v>
      </c>
      <c r="E2288" s="242">
        <v>38018</v>
      </c>
      <c r="G2288" t="b">
        <v>0</v>
      </c>
      <c r="H2288" t="s">
        <v>15</v>
      </c>
    </row>
    <row r="2289" spans="1:8">
      <c r="A2289" t="s">
        <v>145</v>
      </c>
      <c r="B2289" t="s">
        <v>87</v>
      </c>
      <c r="C2289">
        <v>775</v>
      </c>
      <c r="D2289" t="s">
        <v>171</v>
      </c>
      <c r="E2289" s="242">
        <v>37834</v>
      </c>
      <c r="G2289" t="b">
        <v>0</v>
      </c>
      <c r="H2289" t="s">
        <v>15</v>
      </c>
    </row>
    <row r="2290" spans="1:8">
      <c r="A2290" t="s">
        <v>167</v>
      </c>
      <c r="B2290" t="s">
        <v>87</v>
      </c>
      <c r="C2290">
        <v>775</v>
      </c>
      <c r="D2290" t="s">
        <v>171</v>
      </c>
      <c r="E2290" s="242">
        <v>37895</v>
      </c>
      <c r="G2290" t="b">
        <v>0</v>
      </c>
      <c r="H2290" t="s">
        <v>15</v>
      </c>
    </row>
    <row r="2291" spans="1:8">
      <c r="A2291" t="s">
        <v>153</v>
      </c>
      <c r="B2291" t="s">
        <v>87</v>
      </c>
      <c r="C2291">
        <v>775</v>
      </c>
      <c r="D2291" t="s">
        <v>171</v>
      </c>
      <c r="E2291" s="242">
        <v>40178</v>
      </c>
      <c r="G2291" t="b">
        <v>0</v>
      </c>
      <c r="H2291" t="s">
        <v>15</v>
      </c>
    </row>
    <row r="2292" spans="1:8">
      <c r="A2292" t="s">
        <v>154</v>
      </c>
      <c r="B2292" t="s">
        <v>87</v>
      </c>
      <c r="C2292">
        <v>775</v>
      </c>
      <c r="D2292" t="s">
        <v>171</v>
      </c>
      <c r="E2292" s="242">
        <v>37956</v>
      </c>
      <c r="G2292" t="b">
        <v>0</v>
      </c>
      <c r="H2292" t="s">
        <v>15</v>
      </c>
    </row>
    <row r="2293" spans="1:8">
      <c r="A2293" t="s">
        <v>168</v>
      </c>
      <c r="B2293" t="s">
        <v>87</v>
      </c>
      <c r="C2293">
        <v>775</v>
      </c>
      <c r="D2293" t="s">
        <v>171</v>
      </c>
      <c r="E2293" s="242">
        <v>40210</v>
      </c>
      <c r="G2293" t="b">
        <v>0</v>
      </c>
      <c r="H2293" t="s">
        <v>15</v>
      </c>
    </row>
    <row r="2294" spans="1:8">
      <c r="A2294" t="s">
        <v>155</v>
      </c>
      <c r="B2294" t="s">
        <v>87</v>
      </c>
      <c r="C2294">
        <v>775</v>
      </c>
      <c r="D2294" t="s">
        <v>171</v>
      </c>
      <c r="E2294" s="242">
        <v>40087</v>
      </c>
      <c r="G2294" t="b">
        <v>0</v>
      </c>
      <c r="H2294" t="s">
        <v>15</v>
      </c>
    </row>
    <row r="2295" spans="1:8">
      <c r="A2295" t="s">
        <v>156</v>
      </c>
      <c r="B2295" t="s">
        <v>87</v>
      </c>
      <c r="C2295">
        <v>775</v>
      </c>
      <c r="D2295" t="s">
        <v>171</v>
      </c>
      <c r="E2295" s="242">
        <v>40087</v>
      </c>
      <c r="G2295" t="b">
        <v>0</v>
      </c>
      <c r="H2295" t="s">
        <v>15</v>
      </c>
    </row>
    <row r="2296" spans="1:8">
      <c r="A2296" t="s">
        <v>157</v>
      </c>
      <c r="B2296" t="s">
        <v>87</v>
      </c>
      <c r="C2296">
        <v>775</v>
      </c>
      <c r="D2296" t="s">
        <v>171</v>
      </c>
      <c r="E2296" s="242">
        <v>40057</v>
      </c>
      <c r="G2296" t="b">
        <v>0</v>
      </c>
      <c r="H2296" t="s">
        <v>15</v>
      </c>
    </row>
    <row r="2297" spans="1:8">
      <c r="A2297" t="s">
        <v>169</v>
      </c>
      <c r="B2297" t="s">
        <v>87</v>
      </c>
      <c r="C2297">
        <v>775</v>
      </c>
      <c r="D2297" t="s">
        <v>171</v>
      </c>
      <c r="E2297" s="242">
        <v>38018</v>
      </c>
      <c r="G2297" t="b">
        <v>0</v>
      </c>
      <c r="H2297" t="s">
        <v>15</v>
      </c>
    </row>
    <row r="2298" spans="1:8">
      <c r="A2298" t="s">
        <v>170</v>
      </c>
      <c r="B2298" t="s">
        <v>87</v>
      </c>
      <c r="C2298">
        <v>775</v>
      </c>
      <c r="D2298" t="s">
        <v>171</v>
      </c>
      <c r="E2298" s="242">
        <v>38018</v>
      </c>
      <c r="G2298" t="b">
        <v>0</v>
      </c>
      <c r="H2298" t="s">
        <v>15</v>
      </c>
    </row>
    <row r="2299" spans="1:8">
      <c r="A2299" t="s">
        <v>158</v>
      </c>
      <c r="B2299" t="s">
        <v>87</v>
      </c>
      <c r="C2299">
        <v>775</v>
      </c>
      <c r="D2299" t="s">
        <v>171</v>
      </c>
      <c r="E2299" s="242">
        <v>40391</v>
      </c>
      <c r="G2299" t="b">
        <v>0</v>
      </c>
      <c r="H2299" t="s">
        <v>15</v>
      </c>
    </row>
    <row r="2300" spans="1:8">
      <c r="A2300" t="s">
        <v>159</v>
      </c>
      <c r="B2300" t="s">
        <v>87</v>
      </c>
      <c r="C2300">
        <v>775</v>
      </c>
      <c r="D2300" t="s">
        <v>171</v>
      </c>
      <c r="E2300" s="242">
        <v>40422</v>
      </c>
      <c r="G2300" t="b">
        <v>0</v>
      </c>
      <c r="H2300" t="s">
        <v>15</v>
      </c>
    </row>
    <row r="2301" spans="1:8">
      <c r="A2301" t="s">
        <v>160</v>
      </c>
      <c r="B2301" t="s">
        <v>87</v>
      </c>
      <c r="C2301">
        <v>775</v>
      </c>
      <c r="D2301" t="s">
        <v>171</v>
      </c>
      <c r="E2301" s="242">
        <v>40513</v>
      </c>
      <c r="G2301" t="b">
        <v>0</v>
      </c>
      <c r="H2301" t="s">
        <v>15</v>
      </c>
    </row>
    <row r="2302" spans="1:8">
      <c r="A2302" t="s">
        <v>164</v>
      </c>
      <c r="B2302" t="s">
        <v>87</v>
      </c>
      <c r="C2302">
        <v>780</v>
      </c>
      <c r="D2302" t="s">
        <v>171</v>
      </c>
      <c r="E2302" s="242">
        <v>42095.560416666667</v>
      </c>
      <c r="F2302">
        <v>0</v>
      </c>
      <c r="G2302" t="b">
        <v>0</v>
      </c>
      <c r="H2302" t="s">
        <v>15</v>
      </c>
    </row>
    <row r="2303" spans="1:8">
      <c r="A2303" t="s">
        <v>161</v>
      </c>
      <c r="B2303" t="s">
        <v>87</v>
      </c>
      <c r="C2303">
        <v>780</v>
      </c>
      <c r="D2303" t="s">
        <v>171</v>
      </c>
      <c r="E2303" s="242">
        <v>37895</v>
      </c>
      <c r="G2303" t="b">
        <v>0</v>
      </c>
      <c r="H2303" t="s">
        <v>15</v>
      </c>
    </row>
    <row r="2304" spans="1:8">
      <c r="A2304" t="s">
        <v>165</v>
      </c>
      <c r="B2304" t="s">
        <v>87</v>
      </c>
      <c r="C2304">
        <v>780</v>
      </c>
      <c r="D2304" t="s">
        <v>171</v>
      </c>
      <c r="E2304" s="242">
        <v>38018</v>
      </c>
      <c r="G2304" t="b">
        <v>0</v>
      </c>
      <c r="H2304" t="s">
        <v>15</v>
      </c>
    </row>
    <row r="2305" spans="1:8">
      <c r="A2305" t="s">
        <v>148</v>
      </c>
      <c r="B2305" t="s">
        <v>87</v>
      </c>
      <c r="C2305">
        <v>780</v>
      </c>
      <c r="D2305" t="s">
        <v>171</v>
      </c>
      <c r="E2305" s="242">
        <v>42064</v>
      </c>
      <c r="F2305">
        <v>0</v>
      </c>
      <c r="G2305" t="b">
        <v>0</v>
      </c>
      <c r="H2305" t="s">
        <v>15</v>
      </c>
    </row>
    <row r="2306" spans="1:8">
      <c r="A2306" t="s">
        <v>162</v>
      </c>
      <c r="B2306" t="s">
        <v>87</v>
      </c>
      <c r="C2306">
        <v>780</v>
      </c>
      <c r="D2306" t="s">
        <v>171</v>
      </c>
      <c r="E2306" s="242">
        <v>41883</v>
      </c>
      <c r="F2306">
        <v>0</v>
      </c>
      <c r="G2306" t="b">
        <v>0</v>
      </c>
      <c r="H2306" t="s">
        <v>15</v>
      </c>
    </row>
    <row r="2307" spans="1:8">
      <c r="A2307" t="s">
        <v>163</v>
      </c>
      <c r="B2307" t="s">
        <v>87</v>
      </c>
      <c r="C2307">
        <v>780</v>
      </c>
      <c r="D2307" t="s">
        <v>171</v>
      </c>
      <c r="E2307" s="242">
        <v>41275</v>
      </c>
      <c r="G2307" t="b">
        <v>0</v>
      </c>
      <c r="H2307" t="s">
        <v>15</v>
      </c>
    </row>
    <row r="2308" spans="1:8">
      <c r="A2308" t="s">
        <v>166</v>
      </c>
      <c r="B2308" t="s">
        <v>87</v>
      </c>
      <c r="C2308">
        <v>780</v>
      </c>
      <c r="D2308" t="s">
        <v>171</v>
      </c>
      <c r="E2308" s="242">
        <v>40522</v>
      </c>
      <c r="G2308" t="b">
        <v>0</v>
      </c>
      <c r="H2308" t="s">
        <v>15</v>
      </c>
    </row>
    <row r="2309" spans="1:8">
      <c r="A2309" t="s">
        <v>149</v>
      </c>
      <c r="B2309" t="s">
        <v>87</v>
      </c>
      <c r="C2309">
        <v>780</v>
      </c>
      <c r="D2309" t="s">
        <v>171</v>
      </c>
      <c r="E2309" s="242">
        <v>40178</v>
      </c>
      <c r="F2309">
        <v>0</v>
      </c>
      <c r="G2309" t="b">
        <v>0</v>
      </c>
      <c r="H2309" t="s">
        <v>15</v>
      </c>
    </row>
    <row r="2310" spans="1:8">
      <c r="A2310" t="s">
        <v>150</v>
      </c>
      <c r="B2310" t="s">
        <v>87</v>
      </c>
      <c r="C2310">
        <v>780</v>
      </c>
      <c r="D2310" t="s">
        <v>171</v>
      </c>
      <c r="E2310" s="242">
        <v>39995</v>
      </c>
      <c r="G2310" t="b">
        <v>0</v>
      </c>
      <c r="H2310" t="s">
        <v>15</v>
      </c>
    </row>
    <row r="2311" spans="1:8">
      <c r="A2311" t="s">
        <v>151</v>
      </c>
      <c r="B2311" t="s">
        <v>87</v>
      </c>
      <c r="C2311">
        <v>780</v>
      </c>
      <c r="D2311" t="s">
        <v>171</v>
      </c>
      <c r="E2311" s="242">
        <v>39995</v>
      </c>
      <c r="G2311" t="b">
        <v>0</v>
      </c>
      <c r="H2311" t="s">
        <v>15</v>
      </c>
    </row>
    <row r="2312" spans="1:8">
      <c r="A2312" t="s">
        <v>152</v>
      </c>
      <c r="B2312" t="s">
        <v>87</v>
      </c>
      <c r="C2312">
        <v>780</v>
      </c>
      <c r="D2312" t="s">
        <v>171</v>
      </c>
      <c r="E2312" s="242">
        <v>40026</v>
      </c>
      <c r="G2312" t="b">
        <v>0</v>
      </c>
      <c r="H2312" t="s">
        <v>15</v>
      </c>
    </row>
    <row r="2313" spans="1:8">
      <c r="A2313" t="s">
        <v>145</v>
      </c>
      <c r="B2313" t="s">
        <v>87</v>
      </c>
      <c r="C2313">
        <v>780</v>
      </c>
      <c r="D2313" t="s">
        <v>171</v>
      </c>
      <c r="E2313" s="242">
        <v>37895</v>
      </c>
      <c r="G2313" t="b">
        <v>0</v>
      </c>
      <c r="H2313" t="s">
        <v>15</v>
      </c>
    </row>
    <row r="2314" spans="1:8">
      <c r="A2314" t="s">
        <v>167</v>
      </c>
      <c r="B2314" t="s">
        <v>87</v>
      </c>
      <c r="C2314">
        <v>780</v>
      </c>
      <c r="D2314" t="s">
        <v>171</v>
      </c>
      <c r="E2314" s="242">
        <v>40118</v>
      </c>
      <c r="G2314" t="b">
        <v>0</v>
      </c>
      <c r="H2314" t="s">
        <v>15</v>
      </c>
    </row>
    <row r="2315" spans="1:8">
      <c r="A2315" t="s">
        <v>153</v>
      </c>
      <c r="B2315" t="s">
        <v>87</v>
      </c>
      <c r="C2315">
        <v>780</v>
      </c>
      <c r="D2315" t="s">
        <v>171</v>
      </c>
      <c r="E2315" s="242">
        <v>40148</v>
      </c>
      <c r="G2315" t="b">
        <v>0</v>
      </c>
      <c r="H2315" t="s">
        <v>15</v>
      </c>
    </row>
    <row r="2316" spans="1:8">
      <c r="A2316" t="s">
        <v>154</v>
      </c>
      <c r="B2316" t="s">
        <v>87</v>
      </c>
      <c r="C2316">
        <v>780</v>
      </c>
      <c r="D2316" t="s">
        <v>171</v>
      </c>
      <c r="E2316" s="242">
        <v>40179</v>
      </c>
      <c r="G2316" t="b">
        <v>0</v>
      </c>
      <c r="H2316" t="s">
        <v>15</v>
      </c>
    </row>
    <row r="2317" spans="1:8">
      <c r="A2317" t="s">
        <v>168</v>
      </c>
      <c r="B2317" t="s">
        <v>87</v>
      </c>
      <c r="C2317">
        <v>780</v>
      </c>
      <c r="D2317" t="s">
        <v>171</v>
      </c>
      <c r="E2317" s="242">
        <v>40210</v>
      </c>
      <c r="G2317" t="b">
        <v>0</v>
      </c>
      <c r="H2317" t="s">
        <v>15</v>
      </c>
    </row>
    <row r="2318" spans="1:8">
      <c r="A2318" t="s">
        <v>155</v>
      </c>
      <c r="B2318" t="s">
        <v>87</v>
      </c>
      <c r="C2318">
        <v>780</v>
      </c>
      <c r="D2318" t="s">
        <v>171</v>
      </c>
      <c r="E2318" s="242">
        <v>40087</v>
      </c>
      <c r="G2318" t="b">
        <v>0</v>
      </c>
      <c r="H2318" t="s">
        <v>15</v>
      </c>
    </row>
    <row r="2319" spans="1:8">
      <c r="A2319" t="s">
        <v>156</v>
      </c>
      <c r="B2319" t="s">
        <v>87</v>
      </c>
      <c r="C2319">
        <v>780</v>
      </c>
      <c r="D2319" t="s">
        <v>171</v>
      </c>
      <c r="E2319" s="242">
        <v>40087</v>
      </c>
      <c r="G2319" t="b">
        <v>0</v>
      </c>
      <c r="H2319" t="s">
        <v>15</v>
      </c>
    </row>
    <row r="2320" spans="1:8">
      <c r="A2320" t="s">
        <v>157</v>
      </c>
      <c r="B2320" t="s">
        <v>87</v>
      </c>
      <c r="C2320">
        <v>780</v>
      </c>
      <c r="D2320" t="s">
        <v>171</v>
      </c>
      <c r="E2320" s="242">
        <v>40057</v>
      </c>
      <c r="G2320" t="b">
        <v>0</v>
      </c>
      <c r="H2320" t="s">
        <v>15</v>
      </c>
    </row>
    <row r="2321" spans="1:8">
      <c r="A2321" t="s">
        <v>169</v>
      </c>
      <c r="B2321" t="s">
        <v>87</v>
      </c>
      <c r="C2321">
        <v>780</v>
      </c>
      <c r="D2321" t="s">
        <v>171</v>
      </c>
      <c r="E2321" s="242">
        <v>40391</v>
      </c>
      <c r="G2321" t="b">
        <v>0</v>
      </c>
      <c r="H2321" t="s">
        <v>15</v>
      </c>
    </row>
    <row r="2322" spans="1:8">
      <c r="A2322" t="s">
        <v>170</v>
      </c>
      <c r="B2322" t="s">
        <v>87</v>
      </c>
      <c r="C2322">
        <v>780</v>
      </c>
      <c r="D2322" t="s">
        <v>171</v>
      </c>
      <c r="E2322" s="242">
        <v>40422</v>
      </c>
      <c r="G2322" t="b">
        <v>0</v>
      </c>
      <c r="H2322" t="s">
        <v>15</v>
      </c>
    </row>
    <row r="2323" spans="1:8">
      <c r="A2323" t="s">
        <v>158</v>
      </c>
      <c r="B2323" t="s">
        <v>87</v>
      </c>
      <c r="C2323">
        <v>780</v>
      </c>
      <c r="D2323" t="s">
        <v>171</v>
      </c>
      <c r="E2323" s="242">
        <v>40391</v>
      </c>
      <c r="G2323" t="b">
        <v>0</v>
      </c>
      <c r="H2323" t="s">
        <v>15</v>
      </c>
    </row>
    <row r="2324" spans="1:8">
      <c r="A2324" t="s">
        <v>159</v>
      </c>
      <c r="B2324" t="s">
        <v>87</v>
      </c>
      <c r="C2324">
        <v>780</v>
      </c>
      <c r="D2324" t="s">
        <v>171</v>
      </c>
      <c r="E2324" s="242">
        <v>40422</v>
      </c>
      <c r="G2324" t="b">
        <v>0</v>
      </c>
      <c r="H2324" t="s">
        <v>15</v>
      </c>
    </row>
    <row r="2325" spans="1:8">
      <c r="A2325" t="s">
        <v>160</v>
      </c>
      <c r="B2325" t="s">
        <v>87</v>
      </c>
      <c r="C2325">
        <v>780</v>
      </c>
      <c r="D2325" t="s">
        <v>171</v>
      </c>
      <c r="E2325" s="242">
        <v>40513</v>
      </c>
      <c r="G2325" t="b">
        <v>0</v>
      </c>
      <c r="H2325" t="s">
        <v>15</v>
      </c>
    </row>
    <row r="2326" spans="1:8">
      <c r="A2326" t="s">
        <v>164</v>
      </c>
      <c r="B2326" t="s">
        <v>87</v>
      </c>
      <c r="C2326">
        <v>785</v>
      </c>
      <c r="D2326" t="s">
        <v>171</v>
      </c>
      <c r="E2326" s="242">
        <v>41759</v>
      </c>
      <c r="F2326">
        <v>0</v>
      </c>
      <c r="G2326" t="b">
        <v>0</v>
      </c>
      <c r="H2326" t="s">
        <v>15</v>
      </c>
    </row>
    <row r="2327" spans="1:8">
      <c r="A2327" t="s">
        <v>161</v>
      </c>
      <c r="B2327" t="s">
        <v>87</v>
      </c>
      <c r="C2327">
        <v>785</v>
      </c>
      <c r="D2327" t="s">
        <v>171</v>
      </c>
      <c r="E2327" s="242">
        <v>42074</v>
      </c>
      <c r="F2327">
        <v>0</v>
      </c>
      <c r="G2327" t="b">
        <v>0</v>
      </c>
      <c r="H2327" t="s">
        <v>15</v>
      </c>
    </row>
    <row r="2328" spans="1:8">
      <c r="A2328" t="s">
        <v>165</v>
      </c>
      <c r="B2328" t="s">
        <v>87</v>
      </c>
      <c r="C2328">
        <v>785</v>
      </c>
      <c r="D2328" t="s">
        <v>171</v>
      </c>
      <c r="E2328" s="242">
        <v>41969</v>
      </c>
      <c r="F2328">
        <v>0</v>
      </c>
      <c r="G2328" t="b">
        <v>0</v>
      </c>
      <c r="H2328" t="s">
        <v>15</v>
      </c>
    </row>
    <row r="2329" spans="1:8">
      <c r="A2329" t="s">
        <v>162</v>
      </c>
      <c r="B2329" t="s">
        <v>87</v>
      </c>
      <c r="C2329">
        <v>785</v>
      </c>
      <c r="D2329" t="s">
        <v>171</v>
      </c>
      <c r="E2329" s="242">
        <v>41781</v>
      </c>
      <c r="F2329">
        <v>0</v>
      </c>
      <c r="G2329" t="b">
        <v>0</v>
      </c>
      <c r="H2329" t="s">
        <v>15</v>
      </c>
    </row>
    <row r="2330" spans="1:8">
      <c r="A2330" t="s">
        <v>163</v>
      </c>
      <c r="B2330" t="s">
        <v>87</v>
      </c>
      <c r="C2330">
        <v>785</v>
      </c>
      <c r="D2330" t="s">
        <v>171</v>
      </c>
      <c r="E2330" s="242">
        <v>41759</v>
      </c>
      <c r="F2330">
        <v>0</v>
      </c>
      <c r="G2330" t="b">
        <v>0</v>
      </c>
      <c r="H2330" t="s">
        <v>15</v>
      </c>
    </row>
    <row r="2331" spans="1:8">
      <c r="A2331" t="s">
        <v>166</v>
      </c>
      <c r="B2331" t="s">
        <v>87</v>
      </c>
      <c r="C2331">
        <v>785</v>
      </c>
      <c r="D2331" t="s">
        <v>171</v>
      </c>
      <c r="E2331" s="242">
        <v>40522</v>
      </c>
      <c r="G2331" t="b">
        <v>0</v>
      </c>
      <c r="H2331" t="s">
        <v>15</v>
      </c>
    </row>
    <row r="2332" spans="1:8">
      <c r="A2332" t="s">
        <v>145</v>
      </c>
      <c r="B2332" t="s">
        <v>87</v>
      </c>
      <c r="C2332">
        <v>785</v>
      </c>
      <c r="D2332" t="s">
        <v>171</v>
      </c>
      <c r="E2332" s="242">
        <v>41969</v>
      </c>
      <c r="F2332">
        <v>0</v>
      </c>
      <c r="G2332" t="b">
        <v>0</v>
      </c>
      <c r="H2332" t="s">
        <v>15</v>
      </c>
    </row>
    <row r="2333" spans="1:8">
      <c r="A2333" t="s">
        <v>154</v>
      </c>
      <c r="B2333" t="s">
        <v>87</v>
      </c>
      <c r="C2333">
        <v>785</v>
      </c>
      <c r="D2333" t="s">
        <v>171</v>
      </c>
      <c r="E2333" s="242">
        <v>41571</v>
      </c>
      <c r="G2333" t="b">
        <v>0</v>
      </c>
      <c r="H2333" t="s">
        <v>15</v>
      </c>
    </row>
    <row r="2334" spans="1:8">
      <c r="A2334" t="s">
        <v>168</v>
      </c>
      <c r="B2334" t="s">
        <v>87</v>
      </c>
      <c r="C2334">
        <v>785</v>
      </c>
      <c r="D2334" t="s">
        <v>171</v>
      </c>
      <c r="E2334" s="242">
        <v>41793</v>
      </c>
      <c r="F2334">
        <v>0</v>
      </c>
      <c r="G2334" t="b">
        <v>0</v>
      </c>
      <c r="H2334" t="s">
        <v>15</v>
      </c>
    </row>
    <row r="2335" spans="1:8">
      <c r="A2335" t="s">
        <v>157</v>
      </c>
      <c r="B2335" t="s">
        <v>87</v>
      </c>
      <c r="C2335">
        <v>785</v>
      </c>
      <c r="D2335" t="s">
        <v>171</v>
      </c>
      <c r="E2335" s="242">
        <v>41575</v>
      </c>
      <c r="G2335" t="b">
        <v>0</v>
      </c>
      <c r="H2335" t="s">
        <v>15</v>
      </c>
    </row>
    <row r="2336" spans="1:8">
      <c r="A2336" t="s">
        <v>170</v>
      </c>
      <c r="B2336" t="s">
        <v>87</v>
      </c>
      <c r="C2336">
        <v>785</v>
      </c>
      <c r="D2336" t="s">
        <v>171</v>
      </c>
      <c r="E2336" s="242">
        <v>41969</v>
      </c>
      <c r="F2336">
        <v>0</v>
      </c>
      <c r="G2336" t="b">
        <v>0</v>
      </c>
      <c r="H2336" t="s">
        <v>15</v>
      </c>
    </row>
    <row r="2337" spans="1:8">
      <c r="A2337" t="s">
        <v>160</v>
      </c>
      <c r="B2337" t="s">
        <v>87</v>
      </c>
      <c r="C2337">
        <v>785</v>
      </c>
      <c r="D2337" t="s">
        <v>171</v>
      </c>
      <c r="E2337" s="242">
        <v>41757</v>
      </c>
      <c r="F2337">
        <v>0</v>
      </c>
      <c r="G2337" t="b">
        <v>0</v>
      </c>
      <c r="H2337" t="s">
        <v>15</v>
      </c>
    </row>
    <row r="2338" spans="1:8">
      <c r="A2338" t="s">
        <v>161</v>
      </c>
      <c r="B2338" t="s">
        <v>87</v>
      </c>
      <c r="C2338">
        <v>793</v>
      </c>
      <c r="D2338" t="s">
        <v>171</v>
      </c>
      <c r="E2338" s="242">
        <v>41917</v>
      </c>
      <c r="F2338">
        <v>0</v>
      </c>
      <c r="G2338" t="b">
        <v>0</v>
      </c>
      <c r="H2338" t="s">
        <v>15</v>
      </c>
    </row>
    <row r="2339" spans="1:8">
      <c r="A2339" t="s">
        <v>164</v>
      </c>
      <c r="B2339" t="s">
        <v>87</v>
      </c>
      <c r="C2339">
        <v>800</v>
      </c>
      <c r="D2339" t="s">
        <v>146</v>
      </c>
      <c r="E2339" s="242">
        <v>42094.706944444442</v>
      </c>
      <c r="F2339">
        <v>0</v>
      </c>
      <c r="G2339" t="b">
        <v>0</v>
      </c>
      <c r="H2339" t="s">
        <v>15</v>
      </c>
    </row>
    <row r="2340" spans="1:8">
      <c r="A2340" t="s">
        <v>161</v>
      </c>
      <c r="B2340" t="s">
        <v>87</v>
      </c>
      <c r="C2340">
        <v>800</v>
      </c>
      <c r="D2340" t="s">
        <v>146</v>
      </c>
      <c r="E2340" s="242">
        <v>42074</v>
      </c>
      <c r="F2340">
        <v>0</v>
      </c>
      <c r="G2340" t="b">
        <v>0</v>
      </c>
      <c r="H2340" t="s">
        <v>15</v>
      </c>
    </row>
    <row r="2341" spans="1:8">
      <c r="A2341" t="s">
        <v>165</v>
      </c>
      <c r="B2341" t="s">
        <v>87</v>
      </c>
      <c r="C2341">
        <v>800</v>
      </c>
      <c r="D2341" t="s">
        <v>146</v>
      </c>
      <c r="E2341" s="242">
        <v>42103.44027777778</v>
      </c>
      <c r="F2341">
        <v>0</v>
      </c>
      <c r="G2341" t="b">
        <v>0</v>
      </c>
      <c r="H2341" t="s">
        <v>15</v>
      </c>
    </row>
    <row r="2342" spans="1:8">
      <c r="A2342" t="s">
        <v>148</v>
      </c>
      <c r="B2342" t="s">
        <v>87</v>
      </c>
      <c r="C2342">
        <v>800</v>
      </c>
      <c r="D2342" t="s">
        <v>146</v>
      </c>
      <c r="E2342" s="242">
        <v>42081</v>
      </c>
      <c r="F2342">
        <v>0</v>
      </c>
      <c r="G2342" t="b">
        <v>0</v>
      </c>
      <c r="H2342" t="s">
        <v>15</v>
      </c>
    </row>
    <row r="2343" spans="1:8">
      <c r="A2343" t="s">
        <v>162</v>
      </c>
      <c r="B2343" t="s">
        <v>87</v>
      </c>
      <c r="C2343">
        <v>800</v>
      </c>
      <c r="D2343" t="s">
        <v>146</v>
      </c>
      <c r="E2343" s="242">
        <v>42094.583333333336</v>
      </c>
      <c r="F2343">
        <v>0</v>
      </c>
      <c r="G2343" t="b">
        <v>0</v>
      </c>
      <c r="H2343" t="s">
        <v>15</v>
      </c>
    </row>
    <row r="2344" spans="1:8">
      <c r="A2344" t="s">
        <v>163</v>
      </c>
      <c r="B2344" t="s">
        <v>87</v>
      </c>
      <c r="C2344">
        <v>800</v>
      </c>
      <c r="D2344" t="s">
        <v>146</v>
      </c>
      <c r="E2344" s="242">
        <v>42089.53125</v>
      </c>
      <c r="F2344">
        <v>0</v>
      </c>
      <c r="G2344" t="b">
        <v>0</v>
      </c>
      <c r="H2344" t="s">
        <v>15</v>
      </c>
    </row>
    <row r="2345" spans="1:8">
      <c r="A2345" t="s">
        <v>166</v>
      </c>
      <c r="B2345" t="s">
        <v>87</v>
      </c>
      <c r="C2345">
        <v>800</v>
      </c>
      <c r="D2345" t="s">
        <v>146</v>
      </c>
      <c r="E2345" s="242">
        <v>42073.449305555558</v>
      </c>
      <c r="F2345">
        <v>0</v>
      </c>
      <c r="G2345" t="b">
        <v>0</v>
      </c>
      <c r="H2345" t="s">
        <v>15</v>
      </c>
    </row>
    <row r="2346" spans="1:8">
      <c r="A2346" t="s">
        <v>149</v>
      </c>
      <c r="B2346" t="s">
        <v>87</v>
      </c>
      <c r="C2346">
        <v>800</v>
      </c>
      <c r="D2346" t="s">
        <v>146</v>
      </c>
      <c r="E2346" s="242">
        <v>42111.897916666669</v>
      </c>
      <c r="F2346">
        <v>0</v>
      </c>
      <c r="G2346" t="b">
        <v>0</v>
      </c>
      <c r="H2346" t="s">
        <v>15</v>
      </c>
    </row>
    <row r="2347" spans="1:8">
      <c r="A2347" t="s">
        <v>150</v>
      </c>
      <c r="B2347" t="s">
        <v>87</v>
      </c>
      <c r="C2347">
        <v>800</v>
      </c>
      <c r="D2347" t="s">
        <v>146</v>
      </c>
      <c r="E2347" s="242">
        <v>42110.621527777781</v>
      </c>
      <c r="F2347">
        <v>0</v>
      </c>
      <c r="G2347" t="b">
        <v>0</v>
      </c>
      <c r="H2347" t="s">
        <v>15</v>
      </c>
    </row>
    <row r="2348" spans="1:8">
      <c r="A2348" t="s">
        <v>151</v>
      </c>
      <c r="B2348" t="s">
        <v>87</v>
      </c>
      <c r="C2348">
        <v>800</v>
      </c>
      <c r="D2348" t="s">
        <v>146</v>
      </c>
      <c r="E2348" s="242">
        <v>42040.851388888892</v>
      </c>
      <c r="F2348">
        <v>0</v>
      </c>
      <c r="G2348" t="b">
        <v>0</v>
      </c>
      <c r="H2348" t="s">
        <v>15</v>
      </c>
    </row>
    <row r="2349" spans="1:8">
      <c r="A2349" t="s">
        <v>145</v>
      </c>
      <c r="B2349" t="s">
        <v>87</v>
      </c>
      <c r="C2349">
        <v>800</v>
      </c>
      <c r="D2349" t="s">
        <v>146</v>
      </c>
      <c r="E2349" s="242">
        <v>42108.663888888892</v>
      </c>
      <c r="F2349">
        <v>0</v>
      </c>
      <c r="G2349" t="b">
        <v>0</v>
      </c>
      <c r="H2349" t="s">
        <v>15</v>
      </c>
    </row>
    <row r="2350" spans="1:8">
      <c r="A2350" t="s">
        <v>167</v>
      </c>
      <c r="B2350" t="s">
        <v>87</v>
      </c>
      <c r="C2350">
        <v>800</v>
      </c>
      <c r="D2350" t="s">
        <v>146</v>
      </c>
      <c r="E2350" s="242">
        <v>42101.697916666664</v>
      </c>
      <c r="F2350">
        <v>0</v>
      </c>
      <c r="G2350" t="b">
        <v>0</v>
      </c>
      <c r="H2350" t="s">
        <v>15</v>
      </c>
    </row>
    <row r="2351" spans="1:8">
      <c r="A2351" t="s">
        <v>153</v>
      </c>
      <c r="B2351" t="s">
        <v>87</v>
      </c>
      <c r="C2351">
        <v>800</v>
      </c>
      <c r="D2351" t="s">
        <v>146</v>
      </c>
      <c r="E2351" s="242">
        <v>42079.845833333333</v>
      </c>
      <c r="F2351">
        <v>0</v>
      </c>
      <c r="G2351" t="b">
        <v>0</v>
      </c>
      <c r="H2351" t="s">
        <v>15</v>
      </c>
    </row>
    <row r="2352" spans="1:8">
      <c r="A2352" t="s">
        <v>154</v>
      </c>
      <c r="B2352" t="s">
        <v>87</v>
      </c>
      <c r="C2352">
        <v>800</v>
      </c>
      <c r="D2352" t="s">
        <v>146</v>
      </c>
      <c r="E2352" s="242">
        <v>42108.588888888888</v>
      </c>
      <c r="F2352">
        <v>0</v>
      </c>
      <c r="G2352" t="b">
        <v>0</v>
      </c>
      <c r="H2352" t="s">
        <v>15</v>
      </c>
    </row>
    <row r="2353" spans="1:8">
      <c r="A2353" t="s">
        <v>168</v>
      </c>
      <c r="B2353" t="s">
        <v>87</v>
      </c>
      <c r="C2353">
        <v>800</v>
      </c>
      <c r="D2353" t="s">
        <v>146</v>
      </c>
      <c r="E2353" s="242">
        <v>42109.574999999997</v>
      </c>
      <c r="F2353">
        <v>0</v>
      </c>
      <c r="G2353" t="b">
        <v>0</v>
      </c>
      <c r="H2353" t="s">
        <v>15</v>
      </c>
    </row>
    <row r="2354" spans="1:8">
      <c r="A2354" t="s">
        <v>155</v>
      </c>
      <c r="B2354" t="s">
        <v>87</v>
      </c>
      <c r="C2354">
        <v>800</v>
      </c>
      <c r="D2354" t="s">
        <v>146</v>
      </c>
      <c r="E2354" s="242">
        <v>42068.400694444441</v>
      </c>
      <c r="F2354">
        <v>0</v>
      </c>
      <c r="G2354" t="b">
        <v>0</v>
      </c>
      <c r="H2354" t="s">
        <v>15</v>
      </c>
    </row>
    <row r="2355" spans="1:8">
      <c r="A2355" t="s">
        <v>157</v>
      </c>
      <c r="B2355" t="s">
        <v>87</v>
      </c>
      <c r="C2355">
        <v>800</v>
      </c>
      <c r="D2355" t="s">
        <v>146</v>
      </c>
      <c r="E2355" s="242">
        <v>42111.357638888891</v>
      </c>
      <c r="F2355">
        <v>0</v>
      </c>
      <c r="G2355" t="b">
        <v>0</v>
      </c>
      <c r="H2355" t="s">
        <v>15</v>
      </c>
    </row>
    <row r="2356" spans="1:8">
      <c r="A2356" t="s">
        <v>169</v>
      </c>
      <c r="B2356" t="s">
        <v>87</v>
      </c>
      <c r="C2356">
        <v>800</v>
      </c>
      <c r="D2356" t="s">
        <v>146</v>
      </c>
      <c r="E2356" s="242">
        <v>42076.813194444447</v>
      </c>
      <c r="F2356">
        <v>0</v>
      </c>
      <c r="G2356" t="b">
        <v>0</v>
      </c>
      <c r="H2356" t="s">
        <v>15</v>
      </c>
    </row>
    <row r="2357" spans="1:8">
      <c r="A2357" t="s">
        <v>170</v>
      </c>
      <c r="B2357" t="s">
        <v>87</v>
      </c>
      <c r="C2357">
        <v>800</v>
      </c>
      <c r="D2357" t="s">
        <v>146</v>
      </c>
      <c r="E2357" s="242">
        <v>42047</v>
      </c>
      <c r="F2357">
        <v>0</v>
      </c>
      <c r="G2357" t="b">
        <v>0</v>
      </c>
      <c r="H2357" t="s">
        <v>15</v>
      </c>
    </row>
    <row r="2358" spans="1:8">
      <c r="A2358" t="s">
        <v>158</v>
      </c>
      <c r="B2358" t="s">
        <v>87</v>
      </c>
      <c r="C2358">
        <v>800</v>
      </c>
      <c r="D2358" t="s">
        <v>146</v>
      </c>
      <c r="E2358" s="242">
        <v>42076.664583333331</v>
      </c>
      <c r="F2358">
        <v>0</v>
      </c>
      <c r="G2358" t="b">
        <v>0</v>
      </c>
      <c r="H2358" t="s">
        <v>15</v>
      </c>
    </row>
    <row r="2359" spans="1:8">
      <c r="A2359" t="s">
        <v>159</v>
      </c>
      <c r="B2359" t="s">
        <v>87</v>
      </c>
      <c r="C2359">
        <v>800</v>
      </c>
      <c r="D2359" t="s">
        <v>146</v>
      </c>
      <c r="E2359" s="242">
        <v>42092.493750000001</v>
      </c>
      <c r="F2359">
        <v>0</v>
      </c>
      <c r="G2359" t="b">
        <v>0</v>
      </c>
      <c r="H2359" t="s">
        <v>15</v>
      </c>
    </row>
    <row r="2360" spans="1:8">
      <c r="A2360" t="s">
        <v>160</v>
      </c>
      <c r="B2360" t="s">
        <v>87</v>
      </c>
      <c r="C2360">
        <v>800</v>
      </c>
      <c r="D2360" t="s">
        <v>146</v>
      </c>
      <c r="E2360" s="242">
        <v>42094.254861111112</v>
      </c>
      <c r="F2360">
        <v>0</v>
      </c>
      <c r="G2360" t="b">
        <v>0</v>
      </c>
      <c r="H2360" t="s">
        <v>15</v>
      </c>
    </row>
    <row r="2361" spans="1:8">
      <c r="A2361" t="s">
        <v>164</v>
      </c>
      <c r="B2361" t="s">
        <v>87</v>
      </c>
      <c r="C2361">
        <v>801</v>
      </c>
      <c r="D2361" t="s">
        <v>146</v>
      </c>
      <c r="E2361" s="242">
        <v>42104.320833333331</v>
      </c>
      <c r="F2361">
        <v>0</v>
      </c>
      <c r="G2361" t="b">
        <v>0</v>
      </c>
      <c r="H2361" t="s">
        <v>15</v>
      </c>
    </row>
    <row r="2362" spans="1:8">
      <c r="A2362" t="s">
        <v>161</v>
      </c>
      <c r="B2362" t="s">
        <v>87</v>
      </c>
      <c r="C2362">
        <v>801</v>
      </c>
      <c r="D2362" t="s">
        <v>146</v>
      </c>
      <c r="E2362" s="242">
        <v>42088</v>
      </c>
      <c r="F2362">
        <v>0</v>
      </c>
      <c r="G2362" t="b">
        <v>0</v>
      </c>
      <c r="H2362" t="s">
        <v>15</v>
      </c>
    </row>
    <row r="2363" spans="1:8">
      <c r="A2363" t="s">
        <v>165</v>
      </c>
      <c r="B2363" t="s">
        <v>87</v>
      </c>
      <c r="C2363">
        <v>801</v>
      </c>
      <c r="D2363" t="s">
        <v>146</v>
      </c>
      <c r="E2363" s="242">
        <v>42114.399305555555</v>
      </c>
      <c r="F2363">
        <v>0</v>
      </c>
      <c r="G2363" t="b">
        <v>0</v>
      </c>
      <c r="H2363" t="s">
        <v>15</v>
      </c>
    </row>
    <row r="2364" spans="1:8">
      <c r="A2364" t="s">
        <v>148</v>
      </c>
      <c r="B2364" t="s">
        <v>87</v>
      </c>
      <c r="C2364">
        <v>801</v>
      </c>
      <c r="D2364" t="s">
        <v>146</v>
      </c>
      <c r="E2364" s="242">
        <v>42110.125694444447</v>
      </c>
      <c r="F2364">
        <v>0</v>
      </c>
      <c r="G2364" t="b">
        <v>0</v>
      </c>
      <c r="H2364" t="s">
        <v>15</v>
      </c>
    </row>
    <row r="2365" spans="1:8">
      <c r="A2365" t="s">
        <v>162</v>
      </c>
      <c r="B2365" t="s">
        <v>87</v>
      </c>
      <c r="C2365">
        <v>801</v>
      </c>
      <c r="D2365" t="s">
        <v>146</v>
      </c>
      <c r="E2365" s="242">
        <v>42103</v>
      </c>
      <c r="F2365">
        <v>0</v>
      </c>
      <c r="G2365" t="b">
        <v>0</v>
      </c>
      <c r="H2365" t="s">
        <v>15</v>
      </c>
    </row>
    <row r="2366" spans="1:8">
      <c r="A2366" t="s">
        <v>163</v>
      </c>
      <c r="B2366" t="s">
        <v>87</v>
      </c>
      <c r="C2366">
        <v>801</v>
      </c>
      <c r="D2366" t="s">
        <v>146</v>
      </c>
      <c r="E2366" s="242">
        <v>42104.342361111114</v>
      </c>
      <c r="F2366">
        <v>0</v>
      </c>
      <c r="G2366" t="b">
        <v>0</v>
      </c>
      <c r="H2366" t="s">
        <v>15</v>
      </c>
    </row>
    <row r="2367" spans="1:8">
      <c r="A2367" t="s">
        <v>166</v>
      </c>
      <c r="B2367" t="s">
        <v>87</v>
      </c>
      <c r="C2367">
        <v>801</v>
      </c>
      <c r="D2367" t="s">
        <v>146</v>
      </c>
      <c r="E2367" s="242">
        <v>42111.55972222222</v>
      </c>
      <c r="F2367">
        <v>0</v>
      </c>
      <c r="G2367" t="b">
        <v>0</v>
      </c>
      <c r="H2367" t="s">
        <v>15</v>
      </c>
    </row>
    <row r="2368" spans="1:8">
      <c r="A2368" t="s">
        <v>149</v>
      </c>
      <c r="B2368" t="s">
        <v>87</v>
      </c>
      <c r="C2368">
        <v>801</v>
      </c>
      <c r="D2368" t="s">
        <v>146</v>
      </c>
      <c r="E2368" s="242">
        <v>42102.909722222219</v>
      </c>
      <c r="F2368">
        <v>0</v>
      </c>
      <c r="G2368" t="b">
        <v>0</v>
      </c>
      <c r="H2368" t="s">
        <v>15</v>
      </c>
    </row>
    <row r="2369" spans="1:8">
      <c r="A2369" t="s">
        <v>150</v>
      </c>
      <c r="B2369" t="s">
        <v>87</v>
      </c>
      <c r="C2369">
        <v>801</v>
      </c>
      <c r="D2369" t="s">
        <v>146</v>
      </c>
      <c r="E2369" s="242">
        <v>42107.47152777778</v>
      </c>
      <c r="F2369">
        <v>0</v>
      </c>
      <c r="G2369" t="b">
        <v>0</v>
      </c>
      <c r="H2369" t="s">
        <v>15</v>
      </c>
    </row>
    <row r="2370" spans="1:8">
      <c r="A2370" t="s">
        <v>151</v>
      </c>
      <c r="B2370" t="s">
        <v>87</v>
      </c>
      <c r="C2370">
        <v>801</v>
      </c>
      <c r="D2370" t="s">
        <v>146</v>
      </c>
      <c r="E2370" s="242">
        <v>42053.397916666669</v>
      </c>
      <c r="F2370">
        <v>0</v>
      </c>
      <c r="G2370" t="b">
        <v>0</v>
      </c>
      <c r="H2370" t="s">
        <v>15</v>
      </c>
    </row>
    <row r="2371" spans="1:8">
      <c r="A2371" t="s">
        <v>145</v>
      </c>
      <c r="B2371" t="s">
        <v>87</v>
      </c>
      <c r="C2371">
        <v>801</v>
      </c>
      <c r="D2371" t="s">
        <v>146</v>
      </c>
      <c r="E2371" s="242">
        <v>42102.627083333333</v>
      </c>
      <c r="F2371">
        <v>0</v>
      </c>
      <c r="G2371" t="b">
        <v>0</v>
      </c>
      <c r="H2371" t="s">
        <v>15</v>
      </c>
    </row>
    <row r="2372" spans="1:8">
      <c r="A2372" t="s">
        <v>167</v>
      </c>
      <c r="B2372" t="s">
        <v>87</v>
      </c>
      <c r="C2372">
        <v>801</v>
      </c>
      <c r="D2372" t="s">
        <v>146</v>
      </c>
      <c r="E2372" s="242">
        <v>42108.942361111112</v>
      </c>
      <c r="F2372">
        <v>0</v>
      </c>
      <c r="G2372" t="b">
        <v>0</v>
      </c>
      <c r="H2372" t="s">
        <v>15</v>
      </c>
    </row>
    <row r="2373" spans="1:8">
      <c r="A2373" t="s">
        <v>153</v>
      </c>
      <c r="B2373" t="s">
        <v>87</v>
      </c>
      <c r="C2373">
        <v>801</v>
      </c>
      <c r="D2373" t="s">
        <v>146</v>
      </c>
      <c r="E2373" s="242">
        <v>42087.515972222223</v>
      </c>
      <c r="F2373">
        <v>0</v>
      </c>
      <c r="G2373" t="b">
        <v>0</v>
      </c>
      <c r="H2373" t="s">
        <v>15</v>
      </c>
    </row>
    <row r="2374" spans="1:8">
      <c r="A2374" t="s">
        <v>154</v>
      </c>
      <c r="B2374" t="s">
        <v>87</v>
      </c>
      <c r="C2374">
        <v>801</v>
      </c>
      <c r="D2374" t="s">
        <v>146</v>
      </c>
      <c r="E2374" s="242">
        <v>42102.284722222219</v>
      </c>
      <c r="F2374">
        <v>0</v>
      </c>
      <c r="G2374" t="b">
        <v>0</v>
      </c>
      <c r="H2374" t="s">
        <v>15</v>
      </c>
    </row>
    <row r="2375" spans="1:8">
      <c r="A2375" t="s">
        <v>168</v>
      </c>
      <c r="B2375" t="s">
        <v>87</v>
      </c>
      <c r="C2375">
        <v>801</v>
      </c>
      <c r="D2375" t="s">
        <v>146</v>
      </c>
      <c r="E2375" s="242">
        <v>42107</v>
      </c>
      <c r="F2375">
        <v>0</v>
      </c>
      <c r="G2375" t="b">
        <v>0</v>
      </c>
      <c r="H2375" t="s">
        <v>15</v>
      </c>
    </row>
    <row r="2376" spans="1:8">
      <c r="A2376" t="s">
        <v>155</v>
      </c>
      <c r="B2376" t="s">
        <v>87</v>
      </c>
      <c r="C2376">
        <v>801</v>
      </c>
      <c r="D2376" t="s">
        <v>146</v>
      </c>
      <c r="E2376" s="242">
        <v>42066.445833333331</v>
      </c>
      <c r="F2376">
        <v>0</v>
      </c>
      <c r="G2376" t="b">
        <v>0</v>
      </c>
      <c r="H2376" t="s">
        <v>15</v>
      </c>
    </row>
    <row r="2377" spans="1:8">
      <c r="A2377" t="s">
        <v>157</v>
      </c>
      <c r="B2377" t="s">
        <v>87</v>
      </c>
      <c r="C2377">
        <v>801</v>
      </c>
      <c r="D2377" t="s">
        <v>146</v>
      </c>
      <c r="E2377" s="242">
        <v>42111.348611111112</v>
      </c>
      <c r="F2377">
        <v>0</v>
      </c>
      <c r="G2377" t="b">
        <v>0</v>
      </c>
      <c r="H2377" t="s">
        <v>15</v>
      </c>
    </row>
    <row r="2378" spans="1:8">
      <c r="A2378" t="s">
        <v>169</v>
      </c>
      <c r="B2378" t="s">
        <v>87</v>
      </c>
      <c r="C2378">
        <v>801</v>
      </c>
      <c r="D2378" t="s">
        <v>146</v>
      </c>
      <c r="E2378" s="242">
        <v>42109</v>
      </c>
      <c r="F2378">
        <v>0</v>
      </c>
      <c r="G2378" t="b">
        <v>0</v>
      </c>
      <c r="H2378" t="s">
        <v>15</v>
      </c>
    </row>
    <row r="2379" spans="1:8">
      <c r="A2379" t="s">
        <v>170</v>
      </c>
      <c r="B2379" t="s">
        <v>87</v>
      </c>
      <c r="C2379">
        <v>801</v>
      </c>
      <c r="D2379" t="s">
        <v>146</v>
      </c>
      <c r="E2379" s="242">
        <v>42111.083333333336</v>
      </c>
      <c r="F2379">
        <v>0</v>
      </c>
      <c r="G2379" t="b">
        <v>0</v>
      </c>
      <c r="H2379" t="s">
        <v>15</v>
      </c>
    </row>
    <row r="2380" spans="1:8">
      <c r="A2380" t="s">
        <v>158</v>
      </c>
      <c r="B2380" t="s">
        <v>87</v>
      </c>
      <c r="C2380">
        <v>801</v>
      </c>
      <c r="D2380" t="s">
        <v>146</v>
      </c>
      <c r="E2380" s="242">
        <v>42102.584722222222</v>
      </c>
      <c r="F2380">
        <v>0</v>
      </c>
      <c r="G2380" t="b">
        <v>0</v>
      </c>
      <c r="H2380" t="s">
        <v>15</v>
      </c>
    </row>
    <row r="2381" spans="1:8">
      <c r="A2381" t="s">
        <v>159</v>
      </c>
      <c r="B2381" t="s">
        <v>87</v>
      </c>
      <c r="C2381">
        <v>801</v>
      </c>
      <c r="D2381" t="s">
        <v>146</v>
      </c>
      <c r="E2381" s="242">
        <v>42104.686805555553</v>
      </c>
      <c r="F2381">
        <v>0</v>
      </c>
      <c r="G2381" t="b">
        <v>0</v>
      </c>
      <c r="H2381" t="s">
        <v>15</v>
      </c>
    </row>
    <row r="2382" spans="1:8">
      <c r="A2382" t="s">
        <v>160</v>
      </c>
      <c r="B2382" t="s">
        <v>87</v>
      </c>
      <c r="C2382">
        <v>801</v>
      </c>
      <c r="D2382" t="s">
        <v>146</v>
      </c>
      <c r="E2382" s="242">
        <v>42104.783333333333</v>
      </c>
      <c r="F2382">
        <v>0</v>
      </c>
      <c r="G2382" t="b">
        <v>0</v>
      </c>
      <c r="H2382" t="s">
        <v>15</v>
      </c>
    </row>
    <row r="2383" spans="1:8">
      <c r="A2383" t="s">
        <v>165</v>
      </c>
      <c r="B2383" t="s">
        <v>87</v>
      </c>
      <c r="C2383">
        <v>803</v>
      </c>
      <c r="D2383" t="s">
        <v>171</v>
      </c>
      <c r="E2383" s="242">
        <v>41969</v>
      </c>
      <c r="F2383">
        <v>0</v>
      </c>
      <c r="G2383" t="b">
        <v>0</v>
      </c>
      <c r="H2383" t="s">
        <v>15</v>
      </c>
    </row>
    <row r="2384" spans="1:8">
      <c r="A2384" t="s">
        <v>149</v>
      </c>
      <c r="B2384" t="s">
        <v>87</v>
      </c>
      <c r="C2384">
        <v>803</v>
      </c>
      <c r="D2384" t="s">
        <v>171</v>
      </c>
      <c r="E2384" s="242">
        <v>41972</v>
      </c>
      <c r="F2384">
        <v>0</v>
      </c>
      <c r="G2384" t="b">
        <v>0</v>
      </c>
      <c r="H2384" t="s">
        <v>15</v>
      </c>
    </row>
    <row r="2385" spans="1:8">
      <c r="A2385" t="s">
        <v>150</v>
      </c>
      <c r="B2385" t="s">
        <v>87</v>
      </c>
      <c r="C2385">
        <v>803</v>
      </c>
      <c r="D2385" t="s">
        <v>171</v>
      </c>
      <c r="E2385" s="242">
        <v>41968.803472222222</v>
      </c>
      <c r="F2385">
        <v>0</v>
      </c>
      <c r="G2385" t="b">
        <v>0</v>
      </c>
      <c r="H2385" t="s">
        <v>15</v>
      </c>
    </row>
    <row r="2386" spans="1:8">
      <c r="A2386" t="s">
        <v>151</v>
      </c>
      <c r="B2386" t="s">
        <v>87</v>
      </c>
      <c r="C2386">
        <v>803</v>
      </c>
      <c r="D2386" t="s">
        <v>171</v>
      </c>
      <c r="E2386" s="242">
        <v>41886</v>
      </c>
      <c r="F2386">
        <v>0</v>
      </c>
      <c r="G2386" t="b">
        <v>0</v>
      </c>
      <c r="H2386" t="s">
        <v>15</v>
      </c>
    </row>
    <row r="2387" spans="1:8">
      <c r="A2387" t="s">
        <v>145</v>
      </c>
      <c r="B2387" t="s">
        <v>87</v>
      </c>
      <c r="C2387">
        <v>803</v>
      </c>
      <c r="D2387" t="s">
        <v>171</v>
      </c>
      <c r="E2387" s="242">
        <v>41969</v>
      </c>
      <c r="F2387">
        <v>0</v>
      </c>
      <c r="G2387" t="b">
        <v>0</v>
      </c>
      <c r="H2387" t="s">
        <v>15</v>
      </c>
    </row>
    <row r="2388" spans="1:8">
      <c r="A2388" t="s">
        <v>167</v>
      </c>
      <c r="B2388" t="s">
        <v>87</v>
      </c>
      <c r="C2388">
        <v>803</v>
      </c>
      <c r="D2388" t="s">
        <v>171</v>
      </c>
      <c r="E2388" s="242">
        <v>42071</v>
      </c>
      <c r="F2388">
        <v>0</v>
      </c>
      <c r="G2388" t="b">
        <v>0</v>
      </c>
      <c r="H2388" t="s">
        <v>15</v>
      </c>
    </row>
    <row r="2389" spans="1:8">
      <c r="A2389" t="s">
        <v>153</v>
      </c>
      <c r="B2389" t="s">
        <v>87</v>
      </c>
      <c r="C2389">
        <v>803</v>
      </c>
      <c r="D2389" t="s">
        <v>171</v>
      </c>
      <c r="E2389" s="242">
        <v>41901</v>
      </c>
      <c r="F2389">
        <v>0</v>
      </c>
      <c r="G2389" t="b">
        <v>0</v>
      </c>
      <c r="H2389" t="s">
        <v>15</v>
      </c>
    </row>
    <row r="2390" spans="1:8">
      <c r="A2390" t="s">
        <v>154</v>
      </c>
      <c r="B2390" t="s">
        <v>87</v>
      </c>
      <c r="C2390">
        <v>803</v>
      </c>
      <c r="D2390" t="s">
        <v>171</v>
      </c>
      <c r="E2390" s="242">
        <v>42082</v>
      </c>
      <c r="F2390">
        <v>0</v>
      </c>
      <c r="G2390" t="b">
        <v>0</v>
      </c>
      <c r="H2390" t="s">
        <v>15</v>
      </c>
    </row>
    <row r="2391" spans="1:8">
      <c r="A2391" t="s">
        <v>168</v>
      </c>
      <c r="B2391" t="s">
        <v>87</v>
      </c>
      <c r="C2391">
        <v>803</v>
      </c>
      <c r="D2391" t="s">
        <v>171</v>
      </c>
      <c r="E2391" s="242">
        <v>42082</v>
      </c>
      <c r="F2391">
        <v>0</v>
      </c>
      <c r="G2391" t="b">
        <v>0</v>
      </c>
      <c r="H2391" t="s">
        <v>15</v>
      </c>
    </row>
    <row r="2392" spans="1:8">
      <c r="A2392" t="s">
        <v>155</v>
      </c>
      <c r="B2392" t="s">
        <v>87</v>
      </c>
      <c r="C2392">
        <v>803</v>
      </c>
      <c r="D2392" t="s">
        <v>171</v>
      </c>
      <c r="E2392" s="242">
        <v>41893</v>
      </c>
      <c r="F2392">
        <v>0</v>
      </c>
      <c r="G2392" t="b">
        <v>0</v>
      </c>
      <c r="H2392" t="s">
        <v>15</v>
      </c>
    </row>
    <row r="2393" spans="1:8">
      <c r="A2393" t="s">
        <v>157</v>
      </c>
      <c r="B2393" t="s">
        <v>87</v>
      </c>
      <c r="C2393">
        <v>803</v>
      </c>
      <c r="D2393" t="s">
        <v>171</v>
      </c>
      <c r="E2393" s="242">
        <v>42111.350694444445</v>
      </c>
      <c r="F2393">
        <v>0</v>
      </c>
      <c r="G2393" t="b">
        <v>0</v>
      </c>
      <c r="H2393" t="s">
        <v>15</v>
      </c>
    </row>
    <row r="2394" spans="1:8">
      <c r="A2394" t="s">
        <v>169</v>
      </c>
      <c r="B2394" t="s">
        <v>87</v>
      </c>
      <c r="C2394">
        <v>803</v>
      </c>
      <c r="D2394" t="s">
        <v>171</v>
      </c>
      <c r="E2394" s="242">
        <v>42102.928472222222</v>
      </c>
      <c r="F2394">
        <v>0</v>
      </c>
      <c r="G2394" t="b">
        <v>0</v>
      </c>
      <c r="H2394" t="s">
        <v>15</v>
      </c>
    </row>
    <row r="2395" spans="1:8">
      <c r="A2395" t="s">
        <v>158</v>
      </c>
      <c r="B2395" t="s">
        <v>87</v>
      </c>
      <c r="C2395">
        <v>803</v>
      </c>
      <c r="D2395" t="s">
        <v>171</v>
      </c>
      <c r="E2395" s="242">
        <v>42087.568749999999</v>
      </c>
      <c r="F2395">
        <v>0</v>
      </c>
      <c r="G2395" t="b">
        <v>0</v>
      </c>
      <c r="H2395" t="s">
        <v>15</v>
      </c>
    </row>
    <row r="2396" spans="1:8">
      <c r="A2396" t="s">
        <v>159</v>
      </c>
      <c r="B2396" t="s">
        <v>87</v>
      </c>
      <c r="C2396">
        <v>803</v>
      </c>
      <c r="D2396" t="s">
        <v>171</v>
      </c>
      <c r="E2396" s="242">
        <v>42071</v>
      </c>
      <c r="F2396">
        <v>0</v>
      </c>
      <c r="G2396" t="b">
        <v>0</v>
      </c>
      <c r="H2396" t="s">
        <v>15</v>
      </c>
    </row>
    <row r="2397" spans="1:8">
      <c r="A2397" t="s">
        <v>160</v>
      </c>
      <c r="B2397" t="s">
        <v>87</v>
      </c>
      <c r="C2397">
        <v>803</v>
      </c>
      <c r="D2397" t="s">
        <v>171</v>
      </c>
      <c r="E2397" s="242">
        <v>42082</v>
      </c>
      <c r="F2397">
        <v>0</v>
      </c>
      <c r="G2397" t="b">
        <v>0</v>
      </c>
      <c r="H2397" t="s">
        <v>15</v>
      </c>
    </row>
    <row r="2398" spans="1:8">
      <c r="A2398" t="s">
        <v>164</v>
      </c>
      <c r="B2398" t="s">
        <v>87</v>
      </c>
      <c r="C2398">
        <v>804</v>
      </c>
      <c r="D2398" t="s">
        <v>146</v>
      </c>
      <c r="E2398" s="242">
        <v>42110.456944444442</v>
      </c>
      <c r="F2398">
        <v>0</v>
      </c>
      <c r="G2398" t="b">
        <v>0</v>
      </c>
      <c r="H2398" t="s">
        <v>15</v>
      </c>
    </row>
    <row r="2399" spans="1:8">
      <c r="A2399" t="s">
        <v>161</v>
      </c>
      <c r="B2399" t="s">
        <v>87</v>
      </c>
      <c r="C2399">
        <v>804</v>
      </c>
      <c r="D2399" t="s">
        <v>146</v>
      </c>
      <c r="E2399" s="242">
        <v>42088</v>
      </c>
      <c r="F2399">
        <v>0</v>
      </c>
      <c r="G2399" t="b">
        <v>0</v>
      </c>
      <c r="H2399" t="s">
        <v>15</v>
      </c>
    </row>
    <row r="2400" spans="1:8">
      <c r="A2400" t="s">
        <v>165</v>
      </c>
      <c r="B2400" t="s">
        <v>87</v>
      </c>
      <c r="C2400">
        <v>804</v>
      </c>
      <c r="D2400" t="s">
        <v>146</v>
      </c>
      <c r="E2400" s="242">
        <v>42102.468055555553</v>
      </c>
      <c r="F2400">
        <v>0</v>
      </c>
      <c r="G2400" t="b">
        <v>0</v>
      </c>
      <c r="H2400" t="s">
        <v>15</v>
      </c>
    </row>
    <row r="2401" spans="1:8">
      <c r="A2401" t="s">
        <v>148</v>
      </c>
      <c r="B2401" t="s">
        <v>87</v>
      </c>
      <c r="C2401">
        <v>804</v>
      </c>
      <c r="D2401" t="s">
        <v>146</v>
      </c>
      <c r="E2401" s="242">
        <v>42107.579861111109</v>
      </c>
      <c r="F2401">
        <v>0</v>
      </c>
      <c r="G2401" t="b">
        <v>0</v>
      </c>
      <c r="H2401" t="s">
        <v>15</v>
      </c>
    </row>
    <row r="2402" spans="1:8">
      <c r="A2402" t="s">
        <v>162</v>
      </c>
      <c r="B2402" t="s">
        <v>87</v>
      </c>
      <c r="C2402">
        <v>804</v>
      </c>
      <c r="D2402" t="s">
        <v>146</v>
      </c>
      <c r="E2402" s="242">
        <v>42103.54791666667</v>
      </c>
      <c r="F2402">
        <v>0</v>
      </c>
      <c r="G2402" t="b">
        <v>0</v>
      </c>
      <c r="H2402" t="s">
        <v>15</v>
      </c>
    </row>
    <row r="2403" spans="1:8">
      <c r="A2403" t="s">
        <v>163</v>
      </c>
      <c r="B2403" t="s">
        <v>87</v>
      </c>
      <c r="C2403">
        <v>804</v>
      </c>
      <c r="D2403" t="s">
        <v>146</v>
      </c>
      <c r="E2403" s="242">
        <v>42103.477777777778</v>
      </c>
      <c r="F2403">
        <v>0</v>
      </c>
      <c r="G2403" t="b">
        <v>0</v>
      </c>
      <c r="H2403" t="s">
        <v>15</v>
      </c>
    </row>
    <row r="2404" spans="1:8">
      <c r="A2404" t="s">
        <v>166</v>
      </c>
      <c r="B2404" t="s">
        <v>87</v>
      </c>
      <c r="C2404">
        <v>804</v>
      </c>
      <c r="D2404" t="s">
        <v>146</v>
      </c>
      <c r="E2404" s="242">
        <v>42109.714583333334</v>
      </c>
      <c r="F2404">
        <v>0</v>
      </c>
      <c r="G2404" t="b">
        <v>0</v>
      </c>
      <c r="H2404" t="s">
        <v>15</v>
      </c>
    </row>
    <row r="2405" spans="1:8">
      <c r="A2405" t="s">
        <v>149</v>
      </c>
      <c r="B2405" t="s">
        <v>87</v>
      </c>
      <c r="C2405">
        <v>804</v>
      </c>
      <c r="D2405" t="s">
        <v>146</v>
      </c>
      <c r="E2405" s="242">
        <v>42111.472222222219</v>
      </c>
      <c r="F2405">
        <v>0</v>
      </c>
      <c r="G2405" t="b">
        <v>0</v>
      </c>
      <c r="H2405" t="s">
        <v>15</v>
      </c>
    </row>
    <row r="2406" spans="1:8">
      <c r="A2406" t="s">
        <v>150</v>
      </c>
      <c r="B2406" t="s">
        <v>87</v>
      </c>
      <c r="C2406">
        <v>804</v>
      </c>
      <c r="D2406" t="s">
        <v>146</v>
      </c>
      <c r="E2406" s="242">
        <v>42107.510416666664</v>
      </c>
      <c r="F2406">
        <v>0</v>
      </c>
      <c r="G2406" t="b">
        <v>0</v>
      </c>
      <c r="H2406" t="s">
        <v>15</v>
      </c>
    </row>
    <row r="2407" spans="1:8">
      <c r="A2407" t="s">
        <v>151</v>
      </c>
      <c r="B2407" t="s">
        <v>87</v>
      </c>
      <c r="C2407">
        <v>804</v>
      </c>
      <c r="D2407" t="s">
        <v>146</v>
      </c>
      <c r="E2407" s="242">
        <v>42053</v>
      </c>
      <c r="F2407">
        <v>0</v>
      </c>
      <c r="G2407" t="b">
        <v>0</v>
      </c>
      <c r="H2407" t="s">
        <v>15</v>
      </c>
    </row>
    <row r="2408" spans="1:8">
      <c r="A2408" t="s">
        <v>145</v>
      </c>
      <c r="B2408" t="s">
        <v>87</v>
      </c>
      <c r="C2408">
        <v>804</v>
      </c>
      <c r="D2408" t="s">
        <v>146</v>
      </c>
      <c r="E2408" s="242">
        <v>42102.62777777778</v>
      </c>
      <c r="F2408">
        <v>0</v>
      </c>
      <c r="G2408" t="b">
        <v>0</v>
      </c>
      <c r="H2408" t="s">
        <v>15</v>
      </c>
    </row>
    <row r="2409" spans="1:8">
      <c r="A2409" t="s">
        <v>167</v>
      </c>
      <c r="B2409" t="s">
        <v>87</v>
      </c>
      <c r="C2409">
        <v>804</v>
      </c>
      <c r="D2409" t="s">
        <v>146</v>
      </c>
      <c r="E2409" s="242">
        <v>42108.943749999999</v>
      </c>
      <c r="F2409">
        <v>0</v>
      </c>
      <c r="G2409" t="b">
        <v>0</v>
      </c>
      <c r="H2409" t="s">
        <v>15</v>
      </c>
    </row>
    <row r="2410" spans="1:8">
      <c r="A2410" t="s">
        <v>153</v>
      </c>
      <c r="B2410" t="s">
        <v>87</v>
      </c>
      <c r="C2410">
        <v>804</v>
      </c>
      <c r="D2410" t="s">
        <v>146</v>
      </c>
      <c r="E2410" s="242">
        <v>42073.51666666667</v>
      </c>
      <c r="F2410">
        <v>0</v>
      </c>
      <c r="G2410" t="b">
        <v>0</v>
      </c>
      <c r="H2410" t="s">
        <v>15</v>
      </c>
    </row>
    <row r="2411" spans="1:8">
      <c r="A2411" t="s">
        <v>154</v>
      </c>
      <c r="B2411" t="s">
        <v>87</v>
      </c>
      <c r="C2411">
        <v>804</v>
      </c>
      <c r="D2411" t="s">
        <v>146</v>
      </c>
      <c r="E2411" s="242">
        <v>42109.636805555558</v>
      </c>
      <c r="F2411">
        <v>0</v>
      </c>
      <c r="G2411" t="b">
        <v>0</v>
      </c>
      <c r="H2411" t="s">
        <v>15</v>
      </c>
    </row>
    <row r="2412" spans="1:8">
      <c r="A2412" t="s">
        <v>168</v>
      </c>
      <c r="B2412" t="s">
        <v>87</v>
      </c>
      <c r="C2412">
        <v>804</v>
      </c>
      <c r="D2412" t="s">
        <v>146</v>
      </c>
      <c r="E2412" s="242">
        <v>42107</v>
      </c>
      <c r="F2412">
        <v>0</v>
      </c>
      <c r="G2412" t="b">
        <v>0</v>
      </c>
      <c r="H2412" t="s">
        <v>15</v>
      </c>
    </row>
    <row r="2413" spans="1:8">
      <c r="A2413" t="s">
        <v>155</v>
      </c>
      <c r="B2413" t="s">
        <v>87</v>
      </c>
      <c r="C2413">
        <v>804</v>
      </c>
      <c r="D2413" t="s">
        <v>146</v>
      </c>
      <c r="E2413" s="242">
        <v>42074.28402777778</v>
      </c>
      <c r="F2413">
        <v>0</v>
      </c>
      <c r="G2413" t="b">
        <v>0</v>
      </c>
      <c r="H2413" t="s">
        <v>15</v>
      </c>
    </row>
    <row r="2414" spans="1:8">
      <c r="A2414" t="s">
        <v>157</v>
      </c>
      <c r="B2414" t="s">
        <v>87</v>
      </c>
      <c r="C2414">
        <v>804</v>
      </c>
      <c r="D2414" t="s">
        <v>146</v>
      </c>
      <c r="E2414" s="242">
        <v>42111.349305555559</v>
      </c>
      <c r="F2414">
        <v>0</v>
      </c>
      <c r="G2414" t="b">
        <v>0</v>
      </c>
      <c r="H2414" t="s">
        <v>15</v>
      </c>
    </row>
    <row r="2415" spans="1:8">
      <c r="A2415" t="s">
        <v>169</v>
      </c>
      <c r="B2415" t="s">
        <v>87</v>
      </c>
      <c r="C2415">
        <v>804</v>
      </c>
      <c r="D2415" t="s">
        <v>146</v>
      </c>
      <c r="E2415" s="242">
        <v>42109</v>
      </c>
      <c r="F2415">
        <v>0</v>
      </c>
      <c r="G2415" t="b">
        <v>0</v>
      </c>
      <c r="H2415" t="s">
        <v>15</v>
      </c>
    </row>
    <row r="2416" spans="1:8">
      <c r="A2416" t="s">
        <v>170</v>
      </c>
      <c r="B2416" t="s">
        <v>87</v>
      </c>
      <c r="C2416">
        <v>804</v>
      </c>
      <c r="D2416" t="s">
        <v>146</v>
      </c>
      <c r="E2416" s="242">
        <v>42110.896527777775</v>
      </c>
      <c r="F2416">
        <v>0</v>
      </c>
      <c r="G2416" t="b">
        <v>0</v>
      </c>
      <c r="H2416" t="s">
        <v>15</v>
      </c>
    </row>
    <row r="2417" spans="1:8">
      <c r="A2417" t="s">
        <v>158</v>
      </c>
      <c r="B2417" t="s">
        <v>87</v>
      </c>
      <c r="C2417">
        <v>804</v>
      </c>
      <c r="D2417" t="s">
        <v>146</v>
      </c>
      <c r="E2417" s="242">
        <v>42104.020138888889</v>
      </c>
      <c r="F2417">
        <v>0</v>
      </c>
      <c r="G2417" t="b">
        <v>0</v>
      </c>
      <c r="H2417" t="s">
        <v>15</v>
      </c>
    </row>
    <row r="2418" spans="1:8">
      <c r="A2418" t="s">
        <v>159</v>
      </c>
      <c r="B2418" t="s">
        <v>87</v>
      </c>
      <c r="C2418">
        <v>804</v>
      </c>
      <c r="D2418" t="s">
        <v>146</v>
      </c>
      <c r="E2418" s="242">
        <v>42104.572222222225</v>
      </c>
      <c r="F2418">
        <v>0</v>
      </c>
      <c r="G2418" t="b">
        <v>0</v>
      </c>
      <c r="H2418" t="s">
        <v>15</v>
      </c>
    </row>
    <row r="2419" spans="1:8">
      <c r="A2419" t="s">
        <v>160</v>
      </c>
      <c r="B2419" t="s">
        <v>87</v>
      </c>
      <c r="C2419">
        <v>804</v>
      </c>
      <c r="D2419" t="s">
        <v>146</v>
      </c>
      <c r="E2419" s="242">
        <v>42104.781944444447</v>
      </c>
      <c r="F2419">
        <v>0</v>
      </c>
      <c r="G2419" t="b">
        <v>0</v>
      </c>
      <c r="H2419" t="s">
        <v>15</v>
      </c>
    </row>
    <row r="2420" spans="1:8">
      <c r="A2420" t="s">
        <v>150</v>
      </c>
      <c r="B2420" t="s">
        <v>87</v>
      </c>
      <c r="C2420">
        <v>903</v>
      </c>
      <c r="D2420" t="s">
        <v>146</v>
      </c>
      <c r="E2420" s="242">
        <v>41960.45</v>
      </c>
      <c r="F2420">
        <v>0</v>
      </c>
      <c r="G2420" t="b">
        <v>0</v>
      </c>
      <c r="H2420" t="s">
        <v>15</v>
      </c>
    </row>
    <row r="2421" spans="1:8">
      <c r="A2421" t="s">
        <v>152</v>
      </c>
      <c r="B2421" t="s">
        <v>87</v>
      </c>
      <c r="C2421">
        <v>903</v>
      </c>
      <c r="D2421" t="s">
        <v>146</v>
      </c>
      <c r="E2421" s="242">
        <v>42068.339583333334</v>
      </c>
      <c r="F2421">
        <v>0</v>
      </c>
      <c r="G2421" t="b">
        <v>0</v>
      </c>
      <c r="H2421" t="s">
        <v>15</v>
      </c>
    </row>
    <row r="2422" spans="1:8">
      <c r="A2422" t="s">
        <v>145</v>
      </c>
      <c r="B2422" t="s">
        <v>87</v>
      </c>
      <c r="C2422">
        <v>903</v>
      </c>
      <c r="D2422" t="s">
        <v>146</v>
      </c>
      <c r="E2422" s="242">
        <v>41955</v>
      </c>
      <c r="F2422">
        <v>0</v>
      </c>
      <c r="G2422" t="b">
        <v>0</v>
      </c>
      <c r="H2422" t="s">
        <v>15</v>
      </c>
    </row>
    <row r="2423" spans="1:8">
      <c r="A2423" t="s">
        <v>156</v>
      </c>
      <c r="B2423" t="s">
        <v>87</v>
      </c>
      <c r="C2423">
        <v>903</v>
      </c>
      <c r="D2423" t="s">
        <v>146</v>
      </c>
      <c r="E2423" s="242">
        <v>41943.572222222225</v>
      </c>
      <c r="F2423">
        <v>0</v>
      </c>
      <c r="G2423" t="b">
        <v>0</v>
      </c>
      <c r="H2423" t="s">
        <v>15</v>
      </c>
    </row>
    <row r="2424" spans="1:8">
      <c r="A2424" t="s">
        <v>170</v>
      </c>
      <c r="B2424" t="s">
        <v>87</v>
      </c>
      <c r="C2424">
        <v>903</v>
      </c>
      <c r="D2424" t="s">
        <v>146</v>
      </c>
      <c r="E2424" s="242">
        <v>41955.319444444445</v>
      </c>
      <c r="F2424">
        <v>0</v>
      </c>
      <c r="G2424" t="b">
        <v>0</v>
      </c>
      <c r="H2424" t="s">
        <v>15</v>
      </c>
    </row>
    <row r="2425" spans="1:8">
      <c r="A2425" t="s">
        <v>150</v>
      </c>
      <c r="B2425" t="s">
        <v>87</v>
      </c>
      <c r="C2425">
        <v>903</v>
      </c>
      <c r="D2425" t="s">
        <v>147</v>
      </c>
      <c r="E2425" s="242"/>
      <c r="F2425">
        <v>3986.5</v>
      </c>
      <c r="G2425" t="b">
        <v>0</v>
      </c>
      <c r="H2425" t="s">
        <v>15</v>
      </c>
    </row>
    <row r="2426" spans="1:8">
      <c r="A2426" t="s">
        <v>152</v>
      </c>
      <c r="B2426" t="s">
        <v>172</v>
      </c>
      <c r="C2426">
        <v>5</v>
      </c>
      <c r="D2426" t="s">
        <v>146</v>
      </c>
      <c r="E2426" s="242">
        <v>42060</v>
      </c>
      <c r="F2426">
        <v>0</v>
      </c>
      <c r="G2426" t="b">
        <v>0</v>
      </c>
      <c r="H2426" t="s">
        <v>15</v>
      </c>
    </row>
    <row r="2427" spans="1:8">
      <c r="A2427" t="s">
        <v>161</v>
      </c>
      <c r="B2427" t="s">
        <v>172</v>
      </c>
      <c r="C2427">
        <v>15</v>
      </c>
      <c r="D2427" t="s">
        <v>146</v>
      </c>
      <c r="E2427" s="242">
        <v>42024.998611111114</v>
      </c>
      <c r="F2427">
        <v>0</v>
      </c>
      <c r="G2427" t="b">
        <v>0</v>
      </c>
      <c r="H2427" t="s">
        <v>15</v>
      </c>
    </row>
    <row r="2428" spans="1:8">
      <c r="A2428" t="s">
        <v>165</v>
      </c>
      <c r="B2428" t="s">
        <v>172</v>
      </c>
      <c r="C2428">
        <v>15</v>
      </c>
      <c r="D2428" t="s">
        <v>146</v>
      </c>
      <c r="E2428" s="242">
        <v>42062.606249999997</v>
      </c>
      <c r="F2428">
        <v>0</v>
      </c>
      <c r="G2428" t="b">
        <v>0</v>
      </c>
      <c r="H2428" t="s">
        <v>15</v>
      </c>
    </row>
    <row r="2429" spans="1:8">
      <c r="A2429" t="s">
        <v>148</v>
      </c>
      <c r="B2429" t="s">
        <v>172</v>
      </c>
      <c r="C2429">
        <v>15</v>
      </c>
      <c r="D2429" t="s">
        <v>146</v>
      </c>
      <c r="E2429" s="242">
        <v>42025</v>
      </c>
      <c r="F2429">
        <v>0</v>
      </c>
      <c r="G2429" t="b">
        <v>0</v>
      </c>
      <c r="H2429" t="s">
        <v>15</v>
      </c>
    </row>
    <row r="2430" spans="1:8">
      <c r="A2430" t="s">
        <v>150</v>
      </c>
      <c r="B2430" t="s">
        <v>172</v>
      </c>
      <c r="C2430">
        <v>15</v>
      </c>
      <c r="D2430" t="s">
        <v>146</v>
      </c>
      <c r="E2430" s="242">
        <v>42060.459027777775</v>
      </c>
      <c r="F2430">
        <v>0</v>
      </c>
      <c r="G2430" t="b">
        <v>0</v>
      </c>
      <c r="H2430" t="s">
        <v>15</v>
      </c>
    </row>
    <row r="2431" spans="1:8">
      <c r="A2431" t="s">
        <v>151</v>
      </c>
      <c r="B2431" t="s">
        <v>172</v>
      </c>
      <c r="C2431">
        <v>15</v>
      </c>
      <c r="D2431" t="s">
        <v>146</v>
      </c>
      <c r="E2431" s="242">
        <v>42059.357638888891</v>
      </c>
      <c r="F2431">
        <v>0</v>
      </c>
      <c r="G2431" t="b">
        <v>0</v>
      </c>
      <c r="H2431" t="s">
        <v>15</v>
      </c>
    </row>
    <row r="2432" spans="1:8">
      <c r="A2432" t="s">
        <v>152</v>
      </c>
      <c r="B2432" t="s">
        <v>172</v>
      </c>
      <c r="C2432">
        <v>15</v>
      </c>
      <c r="D2432" t="s">
        <v>146</v>
      </c>
      <c r="E2432" s="242">
        <v>42078.348611111112</v>
      </c>
      <c r="F2432">
        <v>0</v>
      </c>
      <c r="G2432" t="b">
        <v>0</v>
      </c>
      <c r="H2432" t="s">
        <v>15</v>
      </c>
    </row>
    <row r="2433" spans="1:8">
      <c r="A2433" t="s">
        <v>145</v>
      </c>
      <c r="B2433" t="s">
        <v>172</v>
      </c>
      <c r="C2433">
        <v>15</v>
      </c>
      <c r="D2433" t="s">
        <v>146</v>
      </c>
      <c r="E2433" s="242">
        <v>42068.332638888889</v>
      </c>
      <c r="F2433">
        <v>0</v>
      </c>
      <c r="G2433" t="b">
        <v>0</v>
      </c>
      <c r="H2433" t="s">
        <v>15</v>
      </c>
    </row>
    <row r="2434" spans="1:8">
      <c r="A2434" t="s">
        <v>167</v>
      </c>
      <c r="B2434" t="s">
        <v>172</v>
      </c>
      <c r="C2434">
        <v>15</v>
      </c>
      <c r="D2434" t="s">
        <v>146</v>
      </c>
      <c r="E2434" s="242">
        <v>42061.574305555558</v>
      </c>
      <c r="F2434">
        <v>0</v>
      </c>
      <c r="G2434" t="b">
        <v>0</v>
      </c>
      <c r="H2434" t="s">
        <v>15</v>
      </c>
    </row>
    <row r="2435" spans="1:8">
      <c r="A2435" t="s">
        <v>153</v>
      </c>
      <c r="B2435" t="s">
        <v>172</v>
      </c>
      <c r="C2435">
        <v>15</v>
      </c>
      <c r="D2435" t="s">
        <v>146</v>
      </c>
      <c r="E2435" s="242">
        <v>42053.46597222222</v>
      </c>
      <c r="F2435">
        <v>0</v>
      </c>
      <c r="G2435" t="b">
        <v>0</v>
      </c>
      <c r="H2435" t="s">
        <v>15</v>
      </c>
    </row>
    <row r="2436" spans="1:8">
      <c r="A2436" t="s">
        <v>154</v>
      </c>
      <c r="B2436" t="s">
        <v>172</v>
      </c>
      <c r="C2436">
        <v>15</v>
      </c>
      <c r="D2436" t="s">
        <v>146</v>
      </c>
      <c r="E2436" s="242">
        <v>42067</v>
      </c>
      <c r="F2436">
        <v>0</v>
      </c>
      <c r="G2436" t="b">
        <v>0</v>
      </c>
      <c r="H2436" t="s">
        <v>15</v>
      </c>
    </row>
    <row r="2437" spans="1:8">
      <c r="A2437" t="s">
        <v>168</v>
      </c>
      <c r="B2437" t="s">
        <v>172</v>
      </c>
      <c r="C2437">
        <v>15</v>
      </c>
      <c r="D2437" t="s">
        <v>146</v>
      </c>
      <c r="E2437" s="242">
        <v>42066</v>
      </c>
      <c r="F2437">
        <v>0</v>
      </c>
      <c r="G2437" t="b">
        <v>0</v>
      </c>
      <c r="H2437" t="s">
        <v>15</v>
      </c>
    </row>
    <row r="2438" spans="1:8">
      <c r="A2438" t="s">
        <v>155</v>
      </c>
      <c r="B2438" t="s">
        <v>172</v>
      </c>
      <c r="C2438">
        <v>15</v>
      </c>
      <c r="D2438" t="s">
        <v>146</v>
      </c>
      <c r="E2438" s="242">
        <v>42066.690972222219</v>
      </c>
      <c r="F2438">
        <v>0</v>
      </c>
      <c r="G2438" t="b">
        <v>0</v>
      </c>
      <c r="H2438" t="s">
        <v>15</v>
      </c>
    </row>
    <row r="2439" spans="1:8">
      <c r="A2439" t="s">
        <v>156</v>
      </c>
      <c r="B2439" t="s">
        <v>172</v>
      </c>
      <c r="C2439">
        <v>15</v>
      </c>
      <c r="D2439" t="s">
        <v>146</v>
      </c>
      <c r="E2439" s="242">
        <v>42054.32708333333</v>
      </c>
      <c r="F2439">
        <v>0</v>
      </c>
      <c r="G2439" t="b">
        <v>0</v>
      </c>
      <c r="H2439" t="s">
        <v>15</v>
      </c>
    </row>
    <row r="2440" spans="1:8">
      <c r="A2440" t="s">
        <v>157</v>
      </c>
      <c r="B2440" t="s">
        <v>172</v>
      </c>
      <c r="C2440">
        <v>15</v>
      </c>
      <c r="D2440" t="s">
        <v>146</v>
      </c>
      <c r="E2440" s="242">
        <v>42062.616666666669</v>
      </c>
      <c r="F2440">
        <v>0</v>
      </c>
      <c r="G2440" t="b">
        <v>0</v>
      </c>
      <c r="H2440" t="s">
        <v>15</v>
      </c>
    </row>
    <row r="2441" spans="1:8">
      <c r="A2441" t="s">
        <v>169</v>
      </c>
      <c r="B2441" t="s">
        <v>172</v>
      </c>
      <c r="C2441">
        <v>15</v>
      </c>
      <c r="D2441" t="s">
        <v>146</v>
      </c>
      <c r="E2441" s="242">
        <v>42065.620833333334</v>
      </c>
      <c r="F2441">
        <v>0</v>
      </c>
      <c r="G2441" t="b">
        <v>0</v>
      </c>
      <c r="H2441" t="s">
        <v>15</v>
      </c>
    </row>
    <row r="2442" spans="1:8">
      <c r="A2442" t="s">
        <v>170</v>
      </c>
      <c r="B2442" t="s">
        <v>172</v>
      </c>
      <c r="C2442">
        <v>15</v>
      </c>
      <c r="D2442" t="s">
        <v>146</v>
      </c>
      <c r="E2442" s="242">
        <v>42068.593055555553</v>
      </c>
      <c r="F2442">
        <v>0</v>
      </c>
      <c r="G2442" t="b">
        <v>0</v>
      </c>
      <c r="H2442" t="s">
        <v>15</v>
      </c>
    </row>
    <row r="2443" spans="1:8">
      <c r="A2443" t="s">
        <v>158</v>
      </c>
      <c r="B2443" t="s">
        <v>172</v>
      </c>
      <c r="C2443">
        <v>15</v>
      </c>
      <c r="D2443" t="s">
        <v>146</v>
      </c>
      <c r="E2443" s="242">
        <v>42053.425694444442</v>
      </c>
      <c r="F2443">
        <v>0</v>
      </c>
      <c r="G2443" t="b">
        <v>0</v>
      </c>
      <c r="H2443" t="s">
        <v>15</v>
      </c>
    </row>
    <row r="2444" spans="1:8">
      <c r="A2444" t="s">
        <v>159</v>
      </c>
      <c r="B2444" t="s">
        <v>172</v>
      </c>
      <c r="C2444">
        <v>15</v>
      </c>
      <c r="D2444" t="s">
        <v>146</v>
      </c>
      <c r="E2444" s="242">
        <v>42058.373611111114</v>
      </c>
      <c r="F2444">
        <v>0</v>
      </c>
      <c r="G2444" t="b">
        <v>0</v>
      </c>
      <c r="H2444" t="s">
        <v>15</v>
      </c>
    </row>
    <row r="2445" spans="1:8">
      <c r="A2445" t="s">
        <v>160</v>
      </c>
      <c r="B2445" t="s">
        <v>172</v>
      </c>
      <c r="C2445">
        <v>15</v>
      </c>
      <c r="D2445" t="s">
        <v>146</v>
      </c>
      <c r="E2445" s="242">
        <v>42068.443055555559</v>
      </c>
      <c r="F2445">
        <v>0</v>
      </c>
      <c r="G2445" t="b">
        <v>0</v>
      </c>
      <c r="H2445" t="s">
        <v>15</v>
      </c>
    </row>
    <row r="2446" spans="1:8">
      <c r="A2446" t="s">
        <v>167</v>
      </c>
      <c r="B2446" t="s">
        <v>172</v>
      </c>
      <c r="C2446">
        <v>95</v>
      </c>
      <c r="D2446" t="s">
        <v>146</v>
      </c>
      <c r="E2446" s="242">
        <v>42081</v>
      </c>
      <c r="F2446">
        <v>0</v>
      </c>
      <c r="G2446" t="b">
        <v>0</v>
      </c>
      <c r="H2446" t="s">
        <v>15</v>
      </c>
    </row>
    <row r="2447" spans="1:8">
      <c r="A2447" t="s">
        <v>155</v>
      </c>
      <c r="B2447" t="s">
        <v>172</v>
      </c>
      <c r="C2447">
        <v>95</v>
      </c>
      <c r="D2447" t="s">
        <v>146</v>
      </c>
      <c r="E2447" s="242">
        <v>42071.381944444445</v>
      </c>
      <c r="F2447">
        <v>0</v>
      </c>
      <c r="G2447" t="b">
        <v>0</v>
      </c>
      <c r="H2447" t="s">
        <v>15</v>
      </c>
    </row>
    <row r="2448" spans="1:8">
      <c r="A2448" t="s">
        <v>157</v>
      </c>
      <c r="B2448" t="s">
        <v>172</v>
      </c>
      <c r="C2448">
        <v>95</v>
      </c>
      <c r="D2448" t="s">
        <v>146</v>
      </c>
      <c r="E2448" s="242">
        <v>42081</v>
      </c>
      <c r="F2448">
        <v>0</v>
      </c>
      <c r="G2448" t="b">
        <v>0</v>
      </c>
      <c r="H2448" t="s">
        <v>15</v>
      </c>
    </row>
    <row r="2449" spans="1:8">
      <c r="A2449" t="s">
        <v>161</v>
      </c>
      <c r="B2449" t="s">
        <v>172</v>
      </c>
      <c r="C2449">
        <v>100</v>
      </c>
      <c r="D2449" t="s">
        <v>146</v>
      </c>
      <c r="E2449" s="242">
        <v>42007</v>
      </c>
      <c r="F2449">
        <v>0</v>
      </c>
      <c r="G2449" t="b">
        <v>0</v>
      </c>
      <c r="H2449" t="s">
        <v>15</v>
      </c>
    </row>
    <row r="2450" spans="1:8">
      <c r="A2450" t="s">
        <v>165</v>
      </c>
      <c r="B2450" t="s">
        <v>172</v>
      </c>
      <c r="C2450">
        <v>100</v>
      </c>
      <c r="D2450" t="s">
        <v>146</v>
      </c>
      <c r="E2450" s="242">
        <v>42061.588888888888</v>
      </c>
      <c r="F2450">
        <v>0</v>
      </c>
      <c r="G2450" t="b">
        <v>0</v>
      </c>
      <c r="H2450" t="s">
        <v>15</v>
      </c>
    </row>
    <row r="2451" spans="1:8">
      <c r="A2451" t="s">
        <v>148</v>
      </c>
      <c r="B2451" t="s">
        <v>172</v>
      </c>
      <c r="C2451">
        <v>100</v>
      </c>
      <c r="D2451" t="s">
        <v>146</v>
      </c>
      <c r="E2451" s="242">
        <v>41994.342361111114</v>
      </c>
      <c r="F2451">
        <v>0</v>
      </c>
      <c r="G2451" t="b">
        <v>0</v>
      </c>
      <c r="H2451" t="s">
        <v>15</v>
      </c>
    </row>
    <row r="2452" spans="1:8">
      <c r="A2452" t="s">
        <v>163</v>
      </c>
      <c r="B2452" t="s">
        <v>172</v>
      </c>
      <c r="C2452">
        <v>100</v>
      </c>
      <c r="D2452" t="s">
        <v>146</v>
      </c>
      <c r="E2452" s="242">
        <v>41991</v>
      </c>
      <c r="F2452">
        <v>0</v>
      </c>
      <c r="G2452" t="b">
        <v>0</v>
      </c>
      <c r="H2452" t="s">
        <v>15</v>
      </c>
    </row>
    <row r="2453" spans="1:8">
      <c r="A2453" t="s">
        <v>149</v>
      </c>
      <c r="B2453" t="s">
        <v>172</v>
      </c>
      <c r="C2453">
        <v>100</v>
      </c>
      <c r="D2453" t="s">
        <v>146</v>
      </c>
      <c r="E2453" s="242">
        <v>42071.336111111108</v>
      </c>
      <c r="F2453">
        <v>0</v>
      </c>
      <c r="G2453" t="b">
        <v>0</v>
      </c>
      <c r="H2453" t="s">
        <v>15</v>
      </c>
    </row>
    <row r="2454" spans="1:8">
      <c r="A2454" t="s">
        <v>150</v>
      </c>
      <c r="B2454" t="s">
        <v>172</v>
      </c>
      <c r="C2454">
        <v>100</v>
      </c>
      <c r="D2454" t="s">
        <v>146</v>
      </c>
      <c r="E2454" s="242">
        <v>42038.541666666664</v>
      </c>
      <c r="F2454">
        <v>0</v>
      </c>
      <c r="G2454" t="b">
        <v>0</v>
      </c>
      <c r="H2454" t="s">
        <v>15</v>
      </c>
    </row>
    <row r="2455" spans="1:8">
      <c r="A2455" t="s">
        <v>151</v>
      </c>
      <c r="B2455" t="s">
        <v>172</v>
      </c>
      <c r="C2455">
        <v>100</v>
      </c>
      <c r="D2455" t="s">
        <v>146</v>
      </c>
      <c r="E2455" s="242">
        <v>42030.720833333333</v>
      </c>
      <c r="F2455">
        <v>0</v>
      </c>
      <c r="G2455" t="b">
        <v>0</v>
      </c>
      <c r="H2455" t="s">
        <v>15</v>
      </c>
    </row>
    <row r="2456" spans="1:8">
      <c r="A2456" t="s">
        <v>152</v>
      </c>
      <c r="B2456" t="s">
        <v>172</v>
      </c>
      <c r="C2456">
        <v>100</v>
      </c>
      <c r="D2456" t="s">
        <v>146</v>
      </c>
      <c r="E2456" s="242">
        <v>42081.318749999999</v>
      </c>
      <c r="F2456">
        <v>0</v>
      </c>
      <c r="G2456" t="b">
        <v>0</v>
      </c>
      <c r="H2456" t="s">
        <v>15</v>
      </c>
    </row>
    <row r="2457" spans="1:8">
      <c r="A2457" t="s">
        <v>145</v>
      </c>
      <c r="B2457" t="s">
        <v>172</v>
      </c>
      <c r="C2457">
        <v>100</v>
      </c>
      <c r="D2457" t="s">
        <v>146</v>
      </c>
      <c r="E2457" s="242">
        <v>41983.493750000001</v>
      </c>
      <c r="F2457">
        <v>0</v>
      </c>
      <c r="G2457" t="b">
        <v>0</v>
      </c>
      <c r="H2457" t="s">
        <v>15</v>
      </c>
    </row>
    <row r="2458" spans="1:8">
      <c r="A2458" t="s">
        <v>167</v>
      </c>
      <c r="B2458" t="s">
        <v>172</v>
      </c>
      <c r="C2458">
        <v>100</v>
      </c>
      <c r="D2458" t="s">
        <v>146</v>
      </c>
      <c r="E2458" s="242">
        <v>41984.469444444447</v>
      </c>
      <c r="F2458">
        <v>0</v>
      </c>
      <c r="G2458" t="b">
        <v>0</v>
      </c>
      <c r="H2458" t="s">
        <v>15</v>
      </c>
    </row>
    <row r="2459" spans="1:8">
      <c r="A2459" t="s">
        <v>153</v>
      </c>
      <c r="B2459" t="s">
        <v>172</v>
      </c>
      <c r="C2459">
        <v>100</v>
      </c>
      <c r="D2459" t="s">
        <v>146</v>
      </c>
      <c r="E2459" s="242">
        <v>41979.612500000003</v>
      </c>
      <c r="F2459">
        <v>0</v>
      </c>
      <c r="G2459" t="b">
        <v>0</v>
      </c>
      <c r="H2459" t="s">
        <v>15</v>
      </c>
    </row>
    <row r="2460" spans="1:8">
      <c r="A2460" t="s">
        <v>154</v>
      </c>
      <c r="B2460" t="s">
        <v>172</v>
      </c>
      <c r="C2460">
        <v>100</v>
      </c>
      <c r="D2460" t="s">
        <v>146</v>
      </c>
      <c r="E2460" s="242">
        <v>42067.537499999999</v>
      </c>
      <c r="F2460">
        <v>0</v>
      </c>
      <c r="G2460" t="b">
        <v>0</v>
      </c>
      <c r="H2460" t="s">
        <v>15</v>
      </c>
    </row>
    <row r="2461" spans="1:8">
      <c r="A2461" t="s">
        <v>168</v>
      </c>
      <c r="B2461" t="s">
        <v>172</v>
      </c>
      <c r="C2461">
        <v>100</v>
      </c>
      <c r="D2461" t="s">
        <v>146</v>
      </c>
      <c r="E2461" s="242">
        <v>41993.198611111111</v>
      </c>
      <c r="F2461">
        <v>0</v>
      </c>
      <c r="G2461" t="b">
        <v>0</v>
      </c>
      <c r="H2461" t="s">
        <v>15</v>
      </c>
    </row>
    <row r="2462" spans="1:8">
      <c r="A2462" t="s">
        <v>155</v>
      </c>
      <c r="B2462" t="s">
        <v>172</v>
      </c>
      <c r="C2462">
        <v>100</v>
      </c>
      <c r="D2462" t="s">
        <v>146</v>
      </c>
      <c r="E2462" s="242">
        <v>42036.449305555558</v>
      </c>
      <c r="F2462">
        <v>0</v>
      </c>
      <c r="G2462" t="b">
        <v>0</v>
      </c>
      <c r="H2462" t="s">
        <v>15</v>
      </c>
    </row>
    <row r="2463" spans="1:8">
      <c r="A2463" t="s">
        <v>156</v>
      </c>
      <c r="B2463" t="s">
        <v>172</v>
      </c>
      <c r="C2463">
        <v>100</v>
      </c>
      <c r="D2463" t="s">
        <v>146</v>
      </c>
      <c r="E2463" s="242">
        <v>42031</v>
      </c>
      <c r="F2463">
        <v>0</v>
      </c>
      <c r="G2463" t="b">
        <v>0</v>
      </c>
      <c r="H2463" t="s">
        <v>15</v>
      </c>
    </row>
    <row r="2464" spans="1:8">
      <c r="A2464" t="s">
        <v>169</v>
      </c>
      <c r="B2464" t="s">
        <v>172</v>
      </c>
      <c r="C2464">
        <v>100</v>
      </c>
      <c r="D2464" t="s">
        <v>146</v>
      </c>
      <c r="E2464" s="242">
        <v>42009.508333333331</v>
      </c>
      <c r="F2464">
        <v>0</v>
      </c>
      <c r="G2464" t="b">
        <v>0</v>
      </c>
      <c r="H2464" t="s">
        <v>15</v>
      </c>
    </row>
    <row r="2465" spans="1:8">
      <c r="A2465" t="s">
        <v>170</v>
      </c>
      <c r="B2465" t="s">
        <v>172</v>
      </c>
      <c r="C2465">
        <v>100</v>
      </c>
      <c r="D2465" t="s">
        <v>146</v>
      </c>
      <c r="E2465" s="242">
        <v>42073</v>
      </c>
      <c r="F2465">
        <v>0</v>
      </c>
      <c r="G2465" t="b">
        <v>0</v>
      </c>
      <c r="H2465" t="s">
        <v>15</v>
      </c>
    </row>
    <row r="2466" spans="1:8">
      <c r="A2466" t="s">
        <v>158</v>
      </c>
      <c r="B2466" t="s">
        <v>172</v>
      </c>
      <c r="C2466">
        <v>100</v>
      </c>
      <c r="D2466" t="s">
        <v>146</v>
      </c>
      <c r="E2466" s="242">
        <v>42042.381944444445</v>
      </c>
      <c r="F2466">
        <v>0</v>
      </c>
      <c r="G2466" t="b">
        <v>0</v>
      </c>
      <c r="H2466" t="s">
        <v>15</v>
      </c>
    </row>
    <row r="2467" spans="1:8">
      <c r="A2467" t="s">
        <v>159</v>
      </c>
      <c r="B2467" t="s">
        <v>172</v>
      </c>
      <c r="C2467">
        <v>100</v>
      </c>
      <c r="D2467" t="s">
        <v>146</v>
      </c>
      <c r="E2467" s="242">
        <v>41990.46597222222</v>
      </c>
      <c r="F2467">
        <v>0</v>
      </c>
      <c r="G2467" t="b">
        <v>0</v>
      </c>
      <c r="H2467" t="s">
        <v>15</v>
      </c>
    </row>
    <row r="2468" spans="1:8">
      <c r="A2468" t="s">
        <v>160</v>
      </c>
      <c r="B2468" t="s">
        <v>172</v>
      </c>
      <c r="C2468">
        <v>100</v>
      </c>
      <c r="D2468" t="s">
        <v>146</v>
      </c>
      <c r="E2468" s="242">
        <v>41977.511111111111</v>
      </c>
      <c r="F2468">
        <v>0</v>
      </c>
      <c r="G2468" t="b">
        <v>0</v>
      </c>
      <c r="H2468" t="s">
        <v>15</v>
      </c>
    </row>
    <row r="2469" spans="1:8">
      <c r="A2469" t="s">
        <v>161</v>
      </c>
      <c r="B2469" t="s">
        <v>172</v>
      </c>
      <c r="C2469">
        <v>101</v>
      </c>
      <c r="D2469" t="s">
        <v>146</v>
      </c>
      <c r="E2469" s="242">
        <v>42000.807638888888</v>
      </c>
      <c r="F2469">
        <v>0</v>
      </c>
      <c r="G2469" t="b">
        <v>0</v>
      </c>
      <c r="H2469" t="s">
        <v>15</v>
      </c>
    </row>
    <row r="2470" spans="1:8">
      <c r="A2470" t="s">
        <v>161</v>
      </c>
      <c r="B2470" t="s">
        <v>172</v>
      </c>
      <c r="C2470">
        <v>108</v>
      </c>
      <c r="D2470" t="s">
        <v>146</v>
      </c>
      <c r="E2470" s="242">
        <v>42000.447916666664</v>
      </c>
      <c r="F2470">
        <v>0</v>
      </c>
      <c r="G2470" t="b">
        <v>0</v>
      </c>
      <c r="H2470" t="s">
        <v>15</v>
      </c>
    </row>
    <row r="2471" spans="1:8">
      <c r="A2471" t="s">
        <v>165</v>
      </c>
      <c r="B2471" t="s">
        <v>172</v>
      </c>
      <c r="C2471">
        <v>108</v>
      </c>
      <c r="D2471" t="s">
        <v>146</v>
      </c>
      <c r="E2471" s="242">
        <v>41956</v>
      </c>
      <c r="F2471">
        <v>0</v>
      </c>
      <c r="G2471" t="b">
        <v>0</v>
      </c>
      <c r="H2471" t="s">
        <v>15</v>
      </c>
    </row>
    <row r="2472" spans="1:8">
      <c r="A2472" t="s">
        <v>148</v>
      </c>
      <c r="B2472" t="s">
        <v>172</v>
      </c>
      <c r="C2472">
        <v>108</v>
      </c>
      <c r="D2472" t="s">
        <v>146</v>
      </c>
      <c r="E2472" s="242">
        <v>42020.374305555553</v>
      </c>
      <c r="F2472">
        <v>0</v>
      </c>
      <c r="G2472" t="b">
        <v>0</v>
      </c>
      <c r="H2472" t="s">
        <v>15</v>
      </c>
    </row>
    <row r="2473" spans="1:8">
      <c r="A2473" t="s">
        <v>150</v>
      </c>
      <c r="B2473" t="s">
        <v>172</v>
      </c>
      <c r="C2473">
        <v>108</v>
      </c>
      <c r="D2473" t="s">
        <v>146</v>
      </c>
      <c r="E2473" s="242">
        <v>41949.581944444442</v>
      </c>
      <c r="F2473">
        <v>0</v>
      </c>
      <c r="G2473" t="b">
        <v>0</v>
      </c>
      <c r="H2473" t="s">
        <v>15</v>
      </c>
    </row>
    <row r="2474" spans="1:8">
      <c r="A2474" t="s">
        <v>152</v>
      </c>
      <c r="B2474" t="s">
        <v>172</v>
      </c>
      <c r="C2474">
        <v>108</v>
      </c>
      <c r="D2474" t="s">
        <v>146</v>
      </c>
      <c r="E2474" s="242">
        <v>42068.74722222222</v>
      </c>
      <c r="F2474">
        <v>0</v>
      </c>
      <c r="G2474" t="b">
        <v>0</v>
      </c>
      <c r="H2474" t="s">
        <v>15</v>
      </c>
    </row>
    <row r="2475" spans="1:8">
      <c r="A2475" t="s">
        <v>145</v>
      </c>
      <c r="B2475" t="s">
        <v>172</v>
      </c>
      <c r="C2475">
        <v>108</v>
      </c>
      <c r="D2475" t="s">
        <v>146</v>
      </c>
      <c r="E2475" s="242">
        <v>41947.695138888892</v>
      </c>
      <c r="F2475">
        <v>0</v>
      </c>
      <c r="G2475" t="b">
        <v>0</v>
      </c>
      <c r="H2475" t="s">
        <v>15</v>
      </c>
    </row>
    <row r="2476" spans="1:8">
      <c r="A2476" t="s">
        <v>156</v>
      </c>
      <c r="B2476" t="s">
        <v>172</v>
      </c>
      <c r="C2476">
        <v>108</v>
      </c>
      <c r="D2476" t="s">
        <v>146</v>
      </c>
      <c r="E2476" s="242">
        <v>42033.500694444447</v>
      </c>
      <c r="F2476">
        <v>0</v>
      </c>
      <c r="G2476" t="b">
        <v>0</v>
      </c>
      <c r="H2476" t="s">
        <v>15</v>
      </c>
    </row>
    <row r="2477" spans="1:8">
      <c r="A2477" t="s">
        <v>170</v>
      </c>
      <c r="B2477" t="s">
        <v>172</v>
      </c>
      <c r="C2477">
        <v>108</v>
      </c>
      <c r="D2477" t="s">
        <v>146</v>
      </c>
      <c r="E2477" s="242">
        <v>41955</v>
      </c>
      <c r="F2477">
        <v>0</v>
      </c>
      <c r="G2477" t="b">
        <v>0</v>
      </c>
      <c r="H2477" t="s">
        <v>15</v>
      </c>
    </row>
    <row r="2478" spans="1:8">
      <c r="A2478" t="s">
        <v>161</v>
      </c>
      <c r="B2478" t="s">
        <v>172</v>
      </c>
      <c r="C2478">
        <v>110</v>
      </c>
      <c r="D2478" t="s">
        <v>146</v>
      </c>
      <c r="E2478" s="242">
        <v>41912.290972222225</v>
      </c>
      <c r="F2478">
        <v>0</v>
      </c>
      <c r="G2478" t="b">
        <v>0</v>
      </c>
      <c r="H2478" t="s">
        <v>15</v>
      </c>
    </row>
    <row r="2479" spans="1:8">
      <c r="A2479" t="s">
        <v>165</v>
      </c>
      <c r="B2479" t="s">
        <v>172</v>
      </c>
      <c r="C2479">
        <v>110</v>
      </c>
      <c r="D2479" t="s">
        <v>146</v>
      </c>
      <c r="E2479" s="242">
        <v>41842.388194444444</v>
      </c>
      <c r="F2479">
        <v>0</v>
      </c>
      <c r="G2479" t="b">
        <v>0</v>
      </c>
      <c r="H2479" t="s">
        <v>15</v>
      </c>
    </row>
    <row r="2480" spans="1:8">
      <c r="A2480" t="s">
        <v>148</v>
      </c>
      <c r="B2480" t="s">
        <v>172</v>
      </c>
      <c r="C2480">
        <v>110</v>
      </c>
      <c r="D2480" t="s">
        <v>146</v>
      </c>
      <c r="E2480" s="242">
        <v>41993</v>
      </c>
      <c r="F2480">
        <v>0</v>
      </c>
      <c r="G2480" t="b">
        <v>0</v>
      </c>
      <c r="H2480" t="s">
        <v>15</v>
      </c>
    </row>
    <row r="2481" spans="1:8">
      <c r="A2481" t="s">
        <v>150</v>
      </c>
      <c r="B2481" t="s">
        <v>172</v>
      </c>
      <c r="C2481">
        <v>110</v>
      </c>
      <c r="D2481" t="s">
        <v>146</v>
      </c>
      <c r="E2481" s="242">
        <v>41862.645138888889</v>
      </c>
      <c r="F2481">
        <v>0</v>
      </c>
      <c r="G2481" t="b">
        <v>0</v>
      </c>
      <c r="H2481" t="s">
        <v>15</v>
      </c>
    </row>
    <row r="2482" spans="1:8">
      <c r="A2482" t="s">
        <v>152</v>
      </c>
      <c r="B2482" t="s">
        <v>172</v>
      </c>
      <c r="C2482">
        <v>110</v>
      </c>
      <c r="D2482" t="s">
        <v>146</v>
      </c>
      <c r="E2482" s="242">
        <v>42045.313888888886</v>
      </c>
      <c r="F2482">
        <v>0</v>
      </c>
      <c r="G2482" t="b">
        <v>0</v>
      </c>
      <c r="H2482" t="s">
        <v>15</v>
      </c>
    </row>
    <row r="2483" spans="1:8">
      <c r="A2483" t="s">
        <v>145</v>
      </c>
      <c r="B2483" t="s">
        <v>172</v>
      </c>
      <c r="C2483">
        <v>110</v>
      </c>
      <c r="D2483" t="s">
        <v>146</v>
      </c>
      <c r="E2483" s="242">
        <v>41801.474305555559</v>
      </c>
      <c r="F2483">
        <v>0</v>
      </c>
      <c r="G2483" t="b">
        <v>0</v>
      </c>
      <c r="H2483" t="s">
        <v>15</v>
      </c>
    </row>
    <row r="2484" spans="1:8">
      <c r="A2484" t="s">
        <v>156</v>
      </c>
      <c r="B2484" t="s">
        <v>172</v>
      </c>
      <c r="C2484">
        <v>110</v>
      </c>
      <c r="D2484" t="s">
        <v>146</v>
      </c>
      <c r="E2484" s="242">
        <v>42026</v>
      </c>
      <c r="F2484">
        <v>0</v>
      </c>
      <c r="G2484" t="b">
        <v>0</v>
      </c>
      <c r="H2484" t="s">
        <v>15</v>
      </c>
    </row>
    <row r="2485" spans="1:8">
      <c r="A2485" t="s">
        <v>170</v>
      </c>
      <c r="B2485" t="s">
        <v>172</v>
      </c>
      <c r="C2485">
        <v>110</v>
      </c>
      <c r="D2485" t="s">
        <v>146</v>
      </c>
      <c r="E2485" s="242">
        <v>41857.737500000003</v>
      </c>
      <c r="F2485">
        <v>0</v>
      </c>
      <c r="G2485" t="b">
        <v>0</v>
      </c>
      <c r="H2485" t="s">
        <v>15</v>
      </c>
    </row>
    <row r="2486" spans="1:8">
      <c r="A2486" t="s">
        <v>160</v>
      </c>
      <c r="B2486" t="s">
        <v>172</v>
      </c>
      <c r="C2486">
        <v>110</v>
      </c>
      <c r="D2486" t="s">
        <v>146</v>
      </c>
      <c r="E2486" s="242">
        <v>41961.404166666667</v>
      </c>
      <c r="F2486">
        <v>0</v>
      </c>
      <c r="G2486" t="b">
        <v>0</v>
      </c>
      <c r="H2486" t="s">
        <v>15</v>
      </c>
    </row>
    <row r="2487" spans="1:8">
      <c r="A2487" t="s">
        <v>161</v>
      </c>
      <c r="B2487" t="s">
        <v>172</v>
      </c>
      <c r="C2487">
        <v>115</v>
      </c>
      <c r="D2487" t="s">
        <v>146</v>
      </c>
      <c r="E2487" s="242">
        <v>41912.291666666664</v>
      </c>
      <c r="F2487">
        <v>0</v>
      </c>
      <c r="G2487" t="b">
        <v>0</v>
      </c>
      <c r="H2487" t="s">
        <v>15</v>
      </c>
    </row>
    <row r="2488" spans="1:8">
      <c r="A2488" t="s">
        <v>150</v>
      </c>
      <c r="B2488" t="s">
        <v>172</v>
      </c>
      <c r="C2488">
        <v>115</v>
      </c>
      <c r="D2488" t="s">
        <v>146</v>
      </c>
      <c r="E2488" s="242">
        <v>41911</v>
      </c>
      <c r="F2488">
        <v>0</v>
      </c>
      <c r="G2488" t="b">
        <v>0</v>
      </c>
      <c r="H2488" t="s">
        <v>15</v>
      </c>
    </row>
    <row r="2489" spans="1:8">
      <c r="A2489" t="s">
        <v>152</v>
      </c>
      <c r="B2489" t="s">
        <v>172</v>
      </c>
      <c r="C2489">
        <v>115</v>
      </c>
      <c r="D2489" t="s">
        <v>146</v>
      </c>
      <c r="E2489" s="242">
        <v>42064.633333333331</v>
      </c>
      <c r="F2489">
        <v>0</v>
      </c>
      <c r="G2489" t="b">
        <v>0</v>
      </c>
      <c r="H2489" t="s">
        <v>15</v>
      </c>
    </row>
    <row r="2490" spans="1:8">
      <c r="A2490" t="s">
        <v>156</v>
      </c>
      <c r="B2490" t="s">
        <v>172</v>
      </c>
      <c r="C2490">
        <v>115</v>
      </c>
      <c r="D2490" t="s">
        <v>146</v>
      </c>
      <c r="E2490" s="242">
        <v>42026.427777777775</v>
      </c>
      <c r="F2490">
        <v>0</v>
      </c>
      <c r="G2490" t="b">
        <v>0</v>
      </c>
      <c r="H2490" t="s">
        <v>15</v>
      </c>
    </row>
    <row r="2491" spans="1:8">
      <c r="A2491" t="s">
        <v>170</v>
      </c>
      <c r="B2491" t="s">
        <v>172</v>
      </c>
      <c r="C2491">
        <v>115</v>
      </c>
      <c r="D2491" t="s">
        <v>146</v>
      </c>
      <c r="E2491" s="242">
        <v>41918</v>
      </c>
      <c r="F2491">
        <v>0</v>
      </c>
      <c r="G2491" t="b">
        <v>0</v>
      </c>
      <c r="H2491" t="s">
        <v>15</v>
      </c>
    </row>
    <row r="2492" spans="1:8">
      <c r="A2492" t="s">
        <v>164</v>
      </c>
      <c r="B2492" t="s">
        <v>172</v>
      </c>
      <c r="C2492">
        <v>125</v>
      </c>
      <c r="D2492" t="s">
        <v>146</v>
      </c>
      <c r="E2492" s="242">
        <v>42029</v>
      </c>
      <c r="F2492">
        <v>0</v>
      </c>
      <c r="G2492" t="b">
        <v>0</v>
      </c>
      <c r="H2492" t="s">
        <v>15</v>
      </c>
    </row>
    <row r="2493" spans="1:8">
      <c r="A2493" t="s">
        <v>161</v>
      </c>
      <c r="B2493" t="s">
        <v>172</v>
      </c>
      <c r="C2493">
        <v>125</v>
      </c>
      <c r="D2493" t="s">
        <v>146</v>
      </c>
      <c r="E2493" s="242">
        <v>42076.306250000001</v>
      </c>
      <c r="F2493">
        <v>0</v>
      </c>
      <c r="G2493" t="b">
        <v>0</v>
      </c>
      <c r="H2493" t="s">
        <v>15</v>
      </c>
    </row>
    <row r="2494" spans="1:8">
      <c r="A2494" t="s">
        <v>165</v>
      </c>
      <c r="B2494" t="s">
        <v>172</v>
      </c>
      <c r="C2494">
        <v>125</v>
      </c>
      <c r="D2494" t="s">
        <v>146</v>
      </c>
      <c r="E2494" s="242">
        <v>42045.571527777778</v>
      </c>
      <c r="F2494">
        <v>0</v>
      </c>
      <c r="G2494" t="b">
        <v>0</v>
      </c>
      <c r="H2494" t="s">
        <v>15</v>
      </c>
    </row>
    <row r="2495" spans="1:8">
      <c r="A2495" t="s">
        <v>148</v>
      </c>
      <c r="B2495" t="s">
        <v>172</v>
      </c>
      <c r="C2495">
        <v>125</v>
      </c>
      <c r="D2495" t="s">
        <v>146</v>
      </c>
      <c r="E2495" s="242">
        <v>42028.925000000003</v>
      </c>
      <c r="F2495">
        <v>0</v>
      </c>
      <c r="G2495" t="b">
        <v>0</v>
      </c>
      <c r="H2495" t="s">
        <v>15</v>
      </c>
    </row>
    <row r="2496" spans="1:8">
      <c r="A2496" t="s">
        <v>162</v>
      </c>
      <c r="B2496" t="s">
        <v>172</v>
      </c>
      <c r="C2496">
        <v>125</v>
      </c>
      <c r="D2496" t="s">
        <v>146</v>
      </c>
      <c r="E2496" s="242">
        <v>42083</v>
      </c>
      <c r="F2496">
        <v>0</v>
      </c>
      <c r="G2496" t="b">
        <v>0</v>
      </c>
      <c r="H2496" t="s">
        <v>15</v>
      </c>
    </row>
    <row r="2497" spans="1:8">
      <c r="A2497" t="s">
        <v>163</v>
      </c>
      <c r="B2497" t="s">
        <v>172</v>
      </c>
      <c r="C2497">
        <v>125</v>
      </c>
      <c r="D2497" t="s">
        <v>146</v>
      </c>
      <c r="E2497" s="242">
        <v>42098.461111111108</v>
      </c>
      <c r="F2497">
        <v>0</v>
      </c>
      <c r="G2497" t="b">
        <v>0</v>
      </c>
      <c r="H2497" t="s">
        <v>15</v>
      </c>
    </row>
    <row r="2498" spans="1:8">
      <c r="A2498" t="s">
        <v>149</v>
      </c>
      <c r="B2498" t="s">
        <v>172</v>
      </c>
      <c r="C2498">
        <v>125</v>
      </c>
      <c r="D2498" t="s">
        <v>146</v>
      </c>
      <c r="E2498" s="242">
        <v>42065.359722222223</v>
      </c>
      <c r="F2498">
        <v>0</v>
      </c>
      <c r="G2498" t="b">
        <v>0</v>
      </c>
      <c r="H2498" t="s">
        <v>15</v>
      </c>
    </row>
    <row r="2499" spans="1:8">
      <c r="A2499" t="s">
        <v>150</v>
      </c>
      <c r="B2499" t="s">
        <v>172</v>
      </c>
      <c r="C2499">
        <v>125</v>
      </c>
      <c r="D2499" t="s">
        <v>146</v>
      </c>
      <c r="E2499" s="242">
        <v>42050.476388888892</v>
      </c>
      <c r="F2499">
        <v>0</v>
      </c>
      <c r="G2499" t="b">
        <v>0</v>
      </c>
      <c r="H2499" t="s">
        <v>15</v>
      </c>
    </row>
    <row r="2500" spans="1:8">
      <c r="A2500" t="s">
        <v>151</v>
      </c>
      <c r="B2500" t="s">
        <v>172</v>
      </c>
      <c r="C2500">
        <v>125</v>
      </c>
      <c r="D2500" t="s">
        <v>146</v>
      </c>
      <c r="E2500" s="242">
        <v>41977.554861111108</v>
      </c>
      <c r="F2500">
        <v>0</v>
      </c>
      <c r="G2500" t="b">
        <v>0</v>
      </c>
      <c r="H2500" t="s">
        <v>15</v>
      </c>
    </row>
    <row r="2501" spans="1:8">
      <c r="A2501" t="s">
        <v>152</v>
      </c>
      <c r="B2501" t="s">
        <v>172</v>
      </c>
      <c r="C2501">
        <v>125</v>
      </c>
      <c r="D2501" t="s">
        <v>146</v>
      </c>
      <c r="E2501" s="242">
        <v>42068.745833333334</v>
      </c>
      <c r="F2501">
        <v>0</v>
      </c>
      <c r="G2501" t="b">
        <v>0</v>
      </c>
      <c r="H2501" t="s">
        <v>15</v>
      </c>
    </row>
    <row r="2502" spans="1:8">
      <c r="A2502" t="s">
        <v>145</v>
      </c>
      <c r="B2502" t="s">
        <v>172</v>
      </c>
      <c r="C2502">
        <v>125</v>
      </c>
      <c r="D2502" t="s">
        <v>146</v>
      </c>
      <c r="E2502" s="242">
        <v>42029.37777777778</v>
      </c>
      <c r="F2502">
        <v>0</v>
      </c>
      <c r="G2502" t="b">
        <v>0</v>
      </c>
      <c r="H2502" t="s">
        <v>15</v>
      </c>
    </row>
    <row r="2503" spans="1:8">
      <c r="A2503" t="s">
        <v>167</v>
      </c>
      <c r="B2503" t="s">
        <v>172</v>
      </c>
      <c r="C2503">
        <v>125</v>
      </c>
      <c r="D2503" t="s">
        <v>146</v>
      </c>
      <c r="E2503" s="242">
        <v>42074.686111111114</v>
      </c>
      <c r="F2503">
        <v>0</v>
      </c>
      <c r="G2503" t="b">
        <v>0</v>
      </c>
      <c r="H2503" t="s">
        <v>15</v>
      </c>
    </row>
    <row r="2504" spans="1:8">
      <c r="A2504" t="s">
        <v>153</v>
      </c>
      <c r="B2504" t="s">
        <v>172</v>
      </c>
      <c r="C2504">
        <v>125</v>
      </c>
      <c r="D2504" t="s">
        <v>146</v>
      </c>
      <c r="E2504" s="242">
        <v>42054.740972222222</v>
      </c>
      <c r="F2504">
        <v>0</v>
      </c>
      <c r="G2504" t="b">
        <v>0</v>
      </c>
      <c r="H2504" t="s">
        <v>15</v>
      </c>
    </row>
    <row r="2505" spans="1:8">
      <c r="A2505" t="s">
        <v>154</v>
      </c>
      <c r="B2505" t="s">
        <v>172</v>
      </c>
      <c r="C2505">
        <v>125</v>
      </c>
      <c r="D2505" t="s">
        <v>146</v>
      </c>
      <c r="E2505" s="242">
        <v>42105.388888888891</v>
      </c>
      <c r="F2505">
        <v>0</v>
      </c>
      <c r="G2505" t="b">
        <v>0</v>
      </c>
      <c r="H2505" t="s">
        <v>15</v>
      </c>
    </row>
    <row r="2506" spans="1:8">
      <c r="A2506" t="s">
        <v>168</v>
      </c>
      <c r="B2506" t="s">
        <v>172</v>
      </c>
      <c r="C2506">
        <v>125</v>
      </c>
      <c r="D2506" t="s">
        <v>146</v>
      </c>
      <c r="E2506" s="242">
        <v>42083.199305555558</v>
      </c>
      <c r="F2506">
        <v>0</v>
      </c>
      <c r="G2506" t="b">
        <v>0</v>
      </c>
      <c r="H2506" t="s">
        <v>15</v>
      </c>
    </row>
    <row r="2507" spans="1:8">
      <c r="A2507" t="s">
        <v>155</v>
      </c>
      <c r="B2507" t="s">
        <v>172</v>
      </c>
      <c r="C2507">
        <v>125</v>
      </c>
      <c r="D2507" t="s">
        <v>146</v>
      </c>
      <c r="E2507" s="242">
        <v>42070.376388888886</v>
      </c>
      <c r="F2507">
        <v>0</v>
      </c>
      <c r="G2507" t="b">
        <v>0</v>
      </c>
      <c r="H2507" t="s">
        <v>15</v>
      </c>
    </row>
    <row r="2508" spans="1:8">
      <c r="A2508" t="s">
        <v>156</v>
      </c>
      <c r="B2508" t="s">
        <v>172</v>
      </c>
      <c r="C2508">
        <v>125</v>
      </c>
      <c r="D2508" t="s">
        <v>146</v>
      </c>
      <c r="E2508" s="242">
        <v>42119.309027777781</v>
      </c>
      <c r="F2508">
        <v>0</v>
      </c>
      <c r="G2508" t="b">
        <v>0</v>
      </c>
      <c r="H2508" t="s">
        <v>15</v>
      </c>
    </row>
    <row r="2509" spans="1:8">
      <c r="A2509" t="s">
        <v>157</v>
      </c>
      <c r="B2509" t="s">
        <v>172</v>
      </c>
      <c r="C2509">
        <v>125</v>
      </c>
      <c r="D2509" t="s">
        <v>146</v>
      </c>
      <c r="E2509" s="242">
        <v>42079.574305555558</v>
      </c>
      <c r="F2509">
        <v>0</v>
      </c>
      <c r="G2509" t="b">
        <v>0</v>
      </c>
      <c r="H2509" t="s">
        <v>15</v>
      </c>
    </row>
    <row r="2510" spans="1:8">
      <c r="A2510" t="s">
        <v>169</v>
      </c>
      <c r="B2510" t="s">
        <v>172</v>
      </c>
      <c r="C2510">
        <v>125</v>
      </c>
      <c r="D2510" t="s">
        <v>146</v>
      </c>
      <c r="E2510" s="242">
        <v>42079.654861111114</v>
      </c>
      <c r="F2510">
        <v>0</v>
      </c>
      <c r="G2510" t="b">
        <v>0</v>
      </c>
      <c r="H2510" t="s">
        <v>15</v>
      </c>
    </row>
    <row r="2511" spans="1:8">
      <c r="A2511" t="s">
        <v>170</v>
      </c>
      <c r="B2511" t="s">
        <v>172</v>
      </c>
      <c r="C2511">
        <v>125</v>
      </c>
      <c r="D2511" t="s">
        <v>146</v>
      </c>
      <c r="E2511" s="242">
        <v>42045.387499999997</v>
      </c>
      <c r="F2511">
        <v>0</v>
      </c>
      <c r="G2511" t="b">
        <v>0</v>
      </c>
      <c r="H2511" t="s">
        <v>15</v>
      </c>
    </row>
    <row r="2512" spans="1:8">
      <c r="A2512" t="s">
        <v>158</v>
      </c>
      <c r="B2512" t="s">
        <v>172</v>
      </c>
      <c r="C2512">
        <v>125</v>
      </c>
      <c r="D2512" t="s">
        <v>146</v>
      </c>
      <c r="E2512" s="242">
        <v>42013.711805555555</v>
      </c>
      <c r="F2512">
        <v>0</v>
      </c>
      <c r="G2512" t="b">
        <v>0</v>
      </c>
      <c r="H2512" t="s">
        <v>15</v>
      </c>
    </row>
    <row r="2513" spans="1:8">
      <c r="A2513" t="s">
        <v>159</v>
      </c>
      <c r="B2513" t="s">
        <v>172</v>
      </c>
      <c r="C2513">
        <v>125</v>
      </c>
      <c r="D2513" t="s">
        <v>146</v>
      </c>
      <c r="E2513" s="242">
        <v>42045.493055555555</v>
      </c>
      <c r="F2513">
        <v>0</v>
      </c>
      <c r="G2513" t="b">
        <v>0</v>
      </c>
      <c r="H2513" t="s">
        <v>15</v>
      </c>
    </row>
    <row r="2514" spans="1:8">
      <c r="A2514" t="s">
        <v>160</v>
      </c>
      <c r="B2514" t="s">
        <v>172</v>
      </c>
      <c r="C2514">
        <v>125</v>
      </c>
      <c r="D2514" t="s">
        <v>146</v>
      </c>
      <c r="E2514" s="242">
        <v>42038.697916666664</v>
      </c>
      <c r="F2514">
        <v>0</v>
      </c>
      <c r="G2514" t="b">
        <v>0</v>
      </c>
      <c r="H2514" t="s">
        <v>15</v>
      </c>
    </row>
    <row r="2515" spans="1:8">
      <c r="A2515" t="s">
        <v>164</v>
      </c>
      <c r="B2515" t="s">
        <v>172</v>
      </c>
      <c r="C2515">
        <v>135</v>
      </c>
      <c r="D2515" t="s">
        <v>171</v>
      </c>
      <c r="E2515" s="242">
        <v>41942</v>
      </c>
      <c r="F2515">
        <v>0</v>
      </c>
      <c r="G2515" t="b">
        <v>0</v>
      </c>
      <c r="H2515" t="s">
        <v>15</v>
      </c>
    </row>
    <row r="2516" spans="1:8">
      <c r="A2516" t="s">
        <v>161</v>
      </c>
      <c r="B2516" t="s">
        <v>172</v>
      </c>
      <c r="C2516">
        <v>135</v>
      </c>
      <c r="D2516" t="s">
        <v>171</v>
      </c>
      <c r="E2516" s="242">
        <v>41922.422222222223</v>
      </c>
      <c r="F2516">
        <v>0</v>
      </c>
      <c r="G2516" t="b">
        <v>0</v>
      </c>
      <c r="H2516" t="s">
        <v>15</v>
      </c>
    </row>
    <row r="2517" spans="1:8">
      <c r="A2517" t="s">
        <v>165</v>
      </c>
      <c r="B2517" t="s">
        <v>172</v>
      </c>
      <c r="C2517">
        <v>135</v>
      </c>
      <c r="D2517" t="s">
        <v>171</v>
      </c>
      <c r="E2517" s="242">
        <v>42034.400694444441</v>
      </c>
      <c r="F2517">
        <v>0</v>
      </c>
      <c r="G2517" t="b">
        <v>0</v>
      </c>
      <c r="H2517" t="s">
        <v>15</v>
      </c>
    </row>
    <row r="2518" spans="1:8">
      <c r="A2518" t="s">
        <v>148</v>
      </c>
      <c r="B2518" t="s">
        <v>172</v>
      </c>
      <c r="C2518">
        <v>135</v>
      </c>
      <c r="D2518" t="s">
        <v>171</v>
      </c>
      <c r="E2518" s="242">
        <v>41990</v>
      </c>
      <c r="F2518">
        <v>0</v>
      </c>
      <c r="G2518" t="b">
        <v>0</v>
      </c>
      <c r="H2518" t="s">
        <v>15</v>
      </c>
    </row>
    <row r="2519" spans="1:8">
      <c r="A2519" t="s">
        <v>162</v>
      </c>
      <c r="B2519" t="s">
        <v>172</v>
      </c>
      <c r="C2519">
        <v>135</v>
      </c>
      <c r="D2519" t="s">
        <v>171</v>
      </c>
      <c r="E2519" s="242">
        <v>41965</v>
      </c>
      <c r="F2519">
        <v>0</v>
      </c>
      <c r="G2519" t="b">
        <v>0</v>
      </c>
      <c r="H2519" t="s">
        <v>15</v>
      </c>
    </row>
    <row r="2520" spans="1:8">
      <c r="A2520" t="s">
        <v>163</v>
      </c>
      <c r="B2520" t="s">
        <v>172</v>
      </c>
      <c r="C2520">
        <v>135</v>
      </c>
      <c r="D2520" t="s">
        <v>171</v>
      </c>
      <c r="E2520" s="242">
        <v>41942</v>
      </c>
      <c r="F2520">
        <v>0</v>
      </c>
      <c r="G2520" t="b">
        <v>0</v>
      </c>
      <c r="H2520" t="s">
        <v>15</v>
      </c>
    </row>
    <row r="2521" spans="1:8">
      <c r="A2521" t="s">
        <v>166</v>
      </c>
      <c r="B2521" t="s">
        <v>172</v>
      </c>
      <c r="C2521">
        <v>135</v>
      </c>
      <c r="D2521" t="s">
        <v>171</v>
      </c>
      <c r="E2521" s="242">
        <v>42005.383333333331</v>
      </c>
      <c r="F2521">
        <v>0</v>
      </c>
      <c r="G2521" t="b">
        <v>0</v>
      </c>
      <c r="H2521" t="s">
        <v>15</v>
      </c>
    </row>
    <row r="2522" spans="1:8">
      <c r="A2522" t="s">
        <v>149</v>
      </c>
      <c r="B2522" t="s">
        <v>172</v>
      </c>
      <c r="C2522">
        <v>135</v>
      </c>
      <c r="D2522" t="s">
        <v>171</v>
      </c>
      <c r="E2522" s="242">
        <v>42068.430555555555</v>
      </c>
      <c r="F2522">
        <v>0</v>
      </c>
      <c r="G2522" t="b">
        <v>0</v>
      </c>
      <c r="H2522" t="s">
        <v>15</v>
      </c>
    </row>
    <row r="2523" spans="1:8">
      <c r="A2523" t="s">
        <v>150</v>
      </c>
      <c r="B2523" t="s">
        <v>172</v>
      </c>
      <c r="C2523">
        <v>135</v>
      </c>
      <c r="D2523" t="s">
        <v>171</v>
      </c>
      <c r="E2523" s="242">
        <v>42005.720138888886</v>
      </c>
      <c r="F2523">
        <v>0</v>
      </c>
      <c r="G2523" t="b">
        <v>0</v>
      </c>
      <c r="H2523" t="s">
        <v>15</v>
      </c>
    </row>
    <row r="2524" spans="1:8">
      <c r="A2524" t="s">
        <v>151</v>
      </c>
      <c r="B2524" t="s">
        <v>172</v>
      </c>
      <c r="C2524">
        <v>135</v>
      </c>
      <c r="D2524" t="s">
        <v>171</v>
      </c>
      <c r="E2524" s="242">
        <v>41985.686805555553</v>
      </c>
      <c r="F2524">
        <v>0</v>
      </c>
      <c r="G2524" t="b">
        <v>0</v>
      </c>
      <c r="H2524" t="s">
        <v>15</v>
      </c>
    </row>
    <row r="2525" spans="1:8">
      <c r="A2525" t="s">
        <v>152</v>
      </c>
      <c r="B2525" t="s">
        <v>172</v>
      </c>
      <c r="C2525">
        <v>135</v>
      </c>
      <c r="D2525" t="s">
        <v>171</v>
      </c>
      <c r="E2525" s="242">
        <v>42060.515277777777</v>
      </c>
      <c r="F2525">
        <v>0</v>
      </c>
      <c r="G2525" t="b">
        <v>0</v>
      </c>
      <c r="H2525" t="s">
        <v>15</v>
      </c>
    </row>
    <row r="2526" spans="1:8">
      <c r="A2526" t="s">
        <v>145</v>
      </c>
      <c r="B2526" t="s">
        <v>172</v>
      </c>
      <c r="C2526">
        <v>135</v>
      </c>
      <c r="D2526" t="s">
        <v>171</v>
      </c>
      <c r="E2526" s="242">
        <v>41984.479166666664</v>
      </c>
      <c r="F2526">
        <v>0</v>
      </c>
      <c r="G2526" t="b">
        <v>0</v>
      </c>
      <c r="H2526" t="s">
        <v>15</v>
      </c>
    </row>
    <row r="2527" spans="1:8">
      <c r="A2527" t="s">
        <v>167</v>
      </c>
      <c r="B2527" t="s">
        <v>172</v>
      </c>
      <c r="C2527">
        <v>135</v>
      </c>
      <c r="D2527" t="s">
        <v>171</v>
      </c>
      <c r="E2527" s="242">
        <v>41972.901388888888</v>
      </c>
      <c r="F2527">
        <v>0</v>
      </c>
      <c r="G2527" t="b">
        <v>0</v>
      </c>
      <c r="H2527" t="s">
        <v>15</v>
      </c>
    </row>
    <row r="2528" spans="1:8">
      <c r="A2528" t="s">
        <v>153</v>
      </c>
      <c r="B2528" t="s">
        <v>172</v>
      </c>
      <c r="C2528">
        <v>135</v>
      </c>
      <c r="D2528" t="s">
        <v>171</v>
      </c>
      <c r="E2528" s="242">
        <v>41964</v>
      </c>
      <c r="F2528">
        <v>0</v>
      </c>
      <c r="G2528" t="b">
        <v>0</v>
      </c>
      <c r="H2528" t="s">
        <v>15</v>
      </c>
    </row>
    <row r="2529" spans="1:8">
      <c r="A2529" t="s">
        <v>154</v>
      </c>
      <c r="B2529" t="s">
        <v>172</v>
      </c>
      <c r="C2529">
        <v>135</v>
      </c>
      <c r="D2529" t="s">
        <v>171</v>
      </c>
      <c r="E2529" s="242">
        <v>42104.208333333336</v>
      </c>
      <c r="F2529">
        <v>0</v>
      </c>
      <c r="G2529" t="b">
        <v>0</v>
      </c>
      <c r="H2529" t="s">
        <v>15</v>
      </c>
    </row>
    <row r="2530" spans="1:8">
      <c r="A2530" t="s">
        <v>168</v>
      </c>
      <c r="B2530" t="s">
        <v>172</v>
      </c>
      <c r="C2530">
        <v>135</v>
      </c>
      <c r="D2530" t="s">
        <v>171</v>
      </c>
      <c r="E2530" s="242">
        <v>41976</v>
      </c>
      <c r="F2530">
        <v>0</v>
      </c>
      <c r="G2530" t="b">
        <v>0</v>
      </c>
      <c r="H2530" t="s">
        <v>15</v>
      </c>
    </row>
    <row r="2531" spans="1:8">
      <c r="A2531" t="s">
        <v>155</v>
      </c>
      <c r="B2531" t="s">
        <v>172</v>
      </c>
      <c r="C2531">
        <v>135</v>
      </c>
      <c r="D2531" t="s">
        <v>171</v>
      </c>
      <c r="E2531" s="242">
        <v>41964</v>
      </c>
      <c r="F2531">
        <v>0</v>
      </c>
      <c r="G2531" t="b">
        <v>0</v>
      </c>
      <c r="H2531" t="s">
        <v>15</v>
      </c>
    </row>
    <row r="2532" spans="1:8">
      <c r="A2532" t="s">
        <v>156</v>
      </c>
      <c r="B2532" t="s">
        <v>172</v>
      </c>
      <c r="C2532">
        <v>135</v>
      </c>
      <c r="D2532" t="s">
        <v>171</v>
      </c>
      <c r="E2532" s="242">
        <v>42047.565972222219</v>
      </c>
      <c r="F2532">
        <v>0</v>
      </c>
      <c r="G2532" t="b">
        <v>0</v>
      </c>
      <c r="H2532" t="s">
        <v>15</v>
      </c>
    </row>
    <row r="2533" spans="1:8">
      <c r="A2533" t="s">
        <v>157</v>
      </c>
      <c r="B2533" t="s">
        <v>172</v>
      </c>
      <c r="C2533">
        <v>135</v>
      </c>
      <c r="D2533" t="s">
        <v>171</v>
      </c>
      <c r="E2533" s="242">
        <v>41949.501388888886</v>
      </c>
      <c r="F2533">
        <v>0</v>
      </c>
      <c r="G2533" t="b">
        <v>0</v>
      </c>
      <c r="H2533" t="s">
        <v>15</v>
      </c>
    </row>
    <row r="2534" spans="1:8">
      <c r="A2534" t="s">
        <v>169</v>
      </c>
      <c r="B2534" t="s">
        <v>172</v>
      </c>
      <c r="C2534">
        <v>135</v>
      </c>
      <c r="D2534" t="s">
        <v>171</v>
      </c>
      <c r="E2534" s="242">
        <v>42087.42083333333</v>
      </c>
      <c r="F2534">
        <v>0</v>
      </c>
      <c r="G2534" t="b">
        <v>0</v>
      </c>
      <c r="H2534" t="s">
        <v>15</v>
      </c>
    </row>
    <row r="2535" spans="1:8">
      <c r="A2535" t="s">
        <v>170</v>
      </c>
      <c r="B2535" t="s">
        <v>172</v>
      </c>
      <c r="C2535">
        <v>135</v>
      </c>
      <c r="D2535" t="s">
        <v>171</v>
      </c>
      <c r="E2535" s="242">
        <v>42041.736111111109</v>
      </c>
      <c r="F2535">
        <v>0</v>
      </c>
      <c r="G2535" t="b">
        <v>0</v>
      </c>
      <c r="H2535" t="s">
        <v>15</v>
      </c>
    </row>
    <row r="2536" spans="1:8">
      <c r="A2536" t="s">
        <v>158</v>
      </c>
      <c r="B2536" t="s">
        <v>172</v>
      </c>
      <c r="C2536">
        <v>135</v>
      </c>
      <c r="D2536" t="s">
        <v>171</v>
      </c>
      <c r="E2536" s="242">
        <v>42037.548611111109</v>
      </c>
      <c r="F2536">
        <v>0</v>
      </c>
      <c r="G2536" t="b">
        <v>0</v>
      </c>
      <c r="H2536" t="s">
        <v>15</v>
      </c>
    </row>
    <row r="2537" spans="1:8">
      <c r="A2537" t="s">
        <v>159</v>
      </c>
      <c r="B2537" t="s">
        <v>172</v>
      </c>
      <c r="C2537">
        <v>135</v>
      </c>
      <c r="D2537" t="s">
        <v>171</v>
      </c>
      <c r="E2537" s="242">
        <v>41964.646527777775</v>
      </c>
      <c r="F2537">
        <v>0</v>
      </c>
      <c r="G2537" t="b">
        <v>0</v>
      </c>
      <c r="H2537" t="s">
        <v>15</v>
      </c>
    </row>
    <row r="2538" spans="1:8">
      <c r="A2538" t="s">
        <v>160</v>
      </c>
      <c r="B2538" t="s">
        <v>172</v>
      </c>
      <c r="C2538">
        <v>135</v>
      </c>
      <c r="D2538" t="s">
        <v>171</v>
      </c>
      <c r="E2538" s="242">
        <v>41989.54791666667</v>
      </c>
      <c r="F2538">
        <v>0</v>
      </c>
      <c r="G2538" t="b">
        <v>0</v>
      </c>
      <c r="H2538" t="s">
        <v>15</v>
      </c>
    </row>
    <row r="2539" spans="1:8">
      <c r="A2539" t="s">
        <v>164</v>
      </c>
      <c r="B2539" t="s">
        <v>172</v>
      </c>
      <c r="C2539">
        <v>145</v>
      </c>
      <c r="D2539" t="s">
        <v>171</v>
      </c>
      <c r="E2539" s="242">
        <v>41989.574999999997</v>
      </c>
      <c r="F2539">
        <v>0</v>
      </c>
      <c r="G2539" t="b">
        <v>0</v>
      </c>
      <c r="H2539" t="s">
        <v>15</v>
      </c>
    </row>
    <row r="2540" spans="1:8">
      <c r="A2540" t="s">
        <v>165</v>
      </c>
      <c r="B2540" t="s">
        <v>172</v>
      </c>
      <c r="C2540">
        <v>145</v>
      </c>
      <c r="D2540" t="s">
        <v>171</v>
      </c>
      <c r="E2540" s="242">
        <v>41969</v>
      </c>
      <c r="F2540">
        <v>0</v>
      </c>
      <c r="G2540" t="b">
        <v>0</v>
      </c>
      <c r="H2540" t="s">
        <v>15</v>
      </c>
    </row>
    <row r="2541" spans="1:8">
      <c r="A2541" t="s">
        <v>162</v>
      </c>
      <c r="B2541" t="s">
        <v>172</v>
      </c>
      <c r="C2541">
        <v>145</v>
      </c>
      <c r="D2541" t="s">
        <v>171</v>
      </c>
      <c r="E2541" s="242">
        <v>41965</v>
      </c>
      <c r="F2541">
        <v>0</v>
      </c>
      <c r="G2541" t="b">
        <v>0</v>
      </c>
      <c r="H2541" t="s">
        <v>15</v>
      </c>
    </row>
    <row r="2542" spans="1:8">
      <c r="A2542" t="s">
        <v>163</v>
      </c>
      <c r="B2542" t="s">
        <v>172</v>
      </c>
      <c r="C2542">
        <v>145</v>
      </c>
      <c r="D2542" t="s">
        <v>171</v>
      </c>
      <c r="E2542" s="242">
        <v>41942</v>
      </c>
      <c r="F2542">
        <v>0</v>
      </c>
      <c r="G2542" t="b">
        <v>0</v>
      </c>
      <c r="H2542" t="s">
        <v>15</v>
      </c>
    </row>
    <row r="2543" spans="1:8">
      <c r="A2543" t="s">
        <v>166</v>
      </c>
      <c r="B2543" t="s">
        <v>172</v>
      </c>
      <c r="C2543">
        <v>145</v>
      </c>
      <c r="D2543" t="s">
        <v>171</v>
      </c>
      <c r="E2543" s="242">
        <v>42005.383333333331</v>
      </c>
      <c r="F2543">
        <v>0</v>
      </c>
      <c r="G2543" t="b">
        <v>0</v>
      </c>
      <c r="H2543" t="s">
        <v>15</v>
      </c>
    </row>
    <row r="2544" spans="1:8">
      <c r="A2544" t="s">
        <v>149</v>
      </c>
      <c r="B2544" t="s">
        <v>172</v>
      </c>
      <c r="C2544">
        <v>145</v>
      </c>
      <c r="D2544" t="s">
        <v>171</v>
      </c>
      <c r="E2544" s="242">
        <v>42068.431250000001</v>
      </c>
      <c r="F2544">
        <v>0</v>
      </c>
      <c r="G2544" t="b">
        <v>0</v>
      </c>
      <c r="H2544" t="s">
        <v>15</v>
      </c>
    </row>
    <row r="2545" spans="1:8">
      <c r="A2545" t="s">
        <v>150</v>
      </c>
      <c r="B2545" t="s">
        <v>172</v>
      </c>
      <c r="C2545">
        <v>145</v>
      </c>
      <c r="D2545" t="s">
        <v>171</v>
      </c>
      <c r="E2545" s="242">
        <v>41948.541666666664</v>
      </c>
      <c r="F2545">
        <v>0</v>
      </c>
      <c r="G2545" t="b">
        <v>0</v>
      </c>
      <c r="H2545" t="s">
        <v>15</v>
      </c>
    </row>
    <row r="2546" spans="1:8">
      <c r="A2546" t="s">
        <v>151</v>
      </c>
      <c r="B2546" t="s">
        <v>172</v>
      </c>
      <c r="C2546">
        <v>145</v>
      </c>
      <c r="D2546" t="s">
        <v>171</v>
      </c>
      <c r="E2546" s="242">
        <v>41985</v>
      </c>
      <c r="F2546">
        <v>0</v>
      </c>
      <c r="G2546" t="b">
        <v>0</v>
      </c>
      <c r="H2546" t="s">
        <v>15</v>
      </c>
    </row>
    <row r="2547" spans="1:8">
      <c r="A2547" t="s">
        <v>167</v>
      </c>
      <c r="B2547" t="s">
        <v>172</v>
      </c>
      <c r="C2547">
        <v>145</v>
      </c>
      <c r="D2547" t="s">
        <v>171</v>
      </c>
      <c r="E2547" s="242">
        <v>41972</v>
      </c>
      <c r="F2547">
        <v>0</v>
      </c>
      <c r="G2547" t="b">
        <v>0</v>
      </c>
      <c r="H2547" t="s">
        <v>15</v>
      </c>
    </row>
    <row r="2548" spans="1:8">
      <c r="A2548" t="s">
        <v>153</v>
      </c>
      <c r="B2548" t="s">
        <v>172</v>
      </c>
      <c r="C2548">
        <v>145</v>
      </c>
      <c r="D2548" t="s">
        <v>171</v>
      </c>
      <c r="E2548" s="242">
        <v>41964</v>
      </c>
      <c r="F2548">
        <v>0</v>
      </c>
      <c r="G2548" t="b">
        <v>0</v>
      </c>
      <c r="H2548" t="s">
        <v>15</v>
      </c>
    </row>
    <row r="2549" spans="1:8">
      <c r="A2549" t="s">
        <v>154</v>
      </c>
      <c r="B2549" t="s">
        <v>172</v>
      </c>
      <c r="C2549">
        <v>145</v>
      </c>
      <c r="D2549" t="s">
        <v>171</v>
      </c>
      <c r="E2549" s="242">
        <v>41922.208333333336</v>
      </c>
      <c r="F2549">
        <v>0</v>
      </c>
      <c r="G2549" t="b">
        <v>0</v>
      </c>
      <c r="H2549" t="s">
        <v>15</v>
      </c>
    </row>
    <row r="2550" spans="1:8">
      <c r="A2550" t="s">
        <v>168</v>
      </c>
      <c r="B2550" t="s">
        <v>172</v>
      </c>
      <c r="C2550">
        <v>145</v>
      </c>
      <c r="D2550" t="s">
        <v>171</v>
      </c>
      <c r="E2550" s="242">
        <v>41907</v>
      </c>
      <c r="F2550">
        <v>0</v>
      </c>
      <c r="G2550" t="b">
        <v>0</v>
      </c>
      <c r="H2550" t="s">
        <v>15</v>
      </c>
    </row>
    <row r="2551" spans="1:8">
      <c r="A2551" t="s">
        <v>155</v>
      </c>
      <c r="B2551" t="s">
        <v>172</v>
      </c>
      <c r="C2551">
        <v>145</v>
      </c>
      <c r="D2551" t="s">
        <v>171</v>
      </c>
      <c r="E2551" s="242">
        <v>41964</v>
      </c>
      <c r="F2551">
        <v>0</v>
      </c>
      <c r="G2551" t="b">
        <v>0</v>
      </c>
      <c r="H2551" t="s">
        <v>15</v>
      </c>
    </row>
    <row r="2552" spans="1:8">
      <c r="A2552" t="s">
        <v>157</v>
      </c>
      <c r="B2552" t="s">
        <v>172</v>
      </c>
      <c r="C2552">
        <v>145</v>
      </c>
      <c r="D2552" t="s">
        <v>171</v>
      </c>
      <c r="E2552" s="242">
        <v>41912.315972222219</v>
      </c>
      <c r="F2552">
        <v>0</v>
      </c>
      <c r="G2552" t="b">
        <v>0</v>
      </c>
      <c r="H2552" t="s">
        <v>15</v>
      </c>
    </row>
    <row r="2553" spans="1:8">
      <c r="A2553" t="s">
        <v>170</v>
      </c>
      <c r="B2553" t="s">
        <v>172</v>
      </c>
      <c r="C2553">
        <v>145</v>
      </c>
      <c r="D2553" t="s">
        <v>171</v>
      </c>
      <c r="E2553" s="242">
        <v>41969</v>
      </c>
      <c r="F2553">
        <v>0</v>
      </c>
      <c r="G2553" t="b">
        <v>0</v>
      </c>
      <c r="H2553" t="s">
        <v>15</v>
      </c>
    </row>
    <row r="2554" spans="1:8">
      <c r="A2554" t="s">
        <v>158</v>
      </c>
      <c r="B2554" t="s">
        <v>172</v>
      </c>
      <c r="C2554">
        <v>145</v>
      </c>
      <c r="D2554" t="s">
        <v>171</v>
      </c>
      <c r="E2554" s="242">
        <v>42037.549305555556</v>
      </c>
      <c r="F2554">
        <v>0</v>
      </c>
      <c r="G2554" t="b">
        <v>0</v>
      </c>
      <c r="H2554" t="s">
        <v>15</v>
      </c>
    </row>
    <row r="2555" spans="1:8">
      <c r="A2555" t="s">
        <v>159</v>
      </c>
      <c r="B2555" t="s">
        <v>172</v>
      </c>
      <c r="C2555">
        <v>145</v>
      </c>
      <c r="D2555" t="s">
        <v>171</v>
      </c>
      <c r="E2555" s="242">
        <v>41991.433333333334</v>
      </c>
      <c r="F2555">
        <v>0</v>
      </c>
      <c r="G2555" t="b">
        <v>0</v>
      </c>
      <c r="H2555" t="s">
        <v>15</v>
      </c>
    </row>
    <row r="2556" spans="1:8">
      <c r="A2556" t="s">
        <v>160</v>
      </c>
      <c r="B2556" t="s">
        <v>172</v>
      </c>
      <c r="C2556">
        <v>145</v>
      </c>
      <c r="D2556" t="s">
        <v>171</v>
      </c>
      <c r="E2556" s="242">
        <v>41961.586111111108</v>
      </c>
      <c r="F2556">
        <v>0</v>
      </c>
      <c r="G2556" t="b">
        <v>0</v>
      </c>
      <c r="H2556" t="s">
        <v>15</v>
      </c>
    </row>
    <row r="2557" spans="1:8">
      <c r="A2557" t="s">
        <v>164</v>
      </c>
      <c r="B2557" t="s">
        <v>172</v>
      </c>
      <c r="C2557">
        <v>155</v>
      </c>
      <c r="D2557" t="s">
        <v>146</v>
      </c>
      <c r="E2557" s="242">
        <v>41939</v>
      </c>
      <c r="F2557">
        <v>0</v>
      </c>
      <c r="G2557" t="b">
        <v>0</v>
      </c>
      <c r="H2557" t="s">
        <v>15</v>
      </c>
    </row>
    <row r="2558" spans="1:8">
      <c r="A2558" t="s">
        <v>161</v>
      </c>
      <c r="B2558" t="s">
        <v>172</v>
      </c>
      <c r="C2558">
        <v>155</v>
      </c>
      <c r="D2558" t="s">
        <v>146</v>
      </c>
      <c r="E2558" s="242">
        <v>42074</v>
      </c>
      <c r="F2558">
        <v>0</v>
      </c>
      <c r="G2558" t="b">
        <v>0</v>
      </c>
      <c r="H2558" t="s">
        <v>15</v>
      </c>
    </row>
    <row r="2559" spans="1:8">
      <c r="A2559" t="s">
        <v>165</v>
      </c>
      <c r="B2559" t="s">
        <v>172</v>
      </c>
      <c r="C2559">
        <v>155</v>
      </c>
      <c r="D2559" t="s">
        <v>146</v>
      </c>
      <c r="E2559" s="242">
        <v>42021.894444444442</v>
      </c>
      <c r="F2559">
        <v>0</v>
      </c>
      <c r="G2559" t="b">
        <v>0</v>
      </c>
      <c r="H2559" t="s">
        <v>15</v>
      </c>
    </row>
    <row r="2560" spans="1:8">
      <c r="A2560" t="s">
        <v>148</v>
      </c>
      <c r="B2560" t="s">
        <v>172</v>
      </c>
      <c r="C2560">
        <v>155</v>
      </c>
      <c r="D2560" t="s">
        <v>146</v>
      </c>
      <c r="E2560" s="242">
        <v>41980</v>
      </c>
      <c r="F2560">
        <v>0</v>
      </c>
      <c r="G2560" t="b">
        <v>0</v>
      </c>
      <c r="H2560" t="s">
        <v>15</v>
      </c>
    </row>
    <row r="2561" spans="1:8">
      <c r="A2561" t="s">
        <v>162</v>
      </c>
      <c r="B2561" t="s">
        <v>172</v>
      </c>
      <c r="C2561">
        <v>155</v>
      </c>
      <c r="D2561" t="s">
        <v>146</v>
      </c>
      <c r="E2561" s="242">
        <v>41968.144444444442</v>
      </c>
      <c r="F2561">
        <v>0</v>
      </c>
      <c r="G2561" t="b">
        <v>0</v>
      </c>
      <c r="H2561" t="s">
        <v>15</v>
      </c>
    </row>
    <row r="2562" spans="1:8">
      <c r="A2562" t="s">
        <v>163</v>
      </c>
      <c r="B2562" t="s">
        <v>172</v>
      </c>
      <c r="C2562">
        <v>155</v>
      </c>
      <c r="D2562" t="s">
        <v>146</v>
      </c>
      <c r="E2562" s="242">
        <v>42078.435416666667</v>
      </c>
      <c r="F2562">
        <v>0</v>
      </c>
      <c r="G2562" t="b">
        <v>0</v>
      </c>
      <c r="H2562" t="s">
        <v>15</v>
      </c>
    </row>
    <row r="2563" spans="1:8">
      <c r="A2563" t="s">
        <v>149</v>
      </c>
      <c r="B2563" t="s">
        <v>172</v>
      </c>
      <c r="C2563">
        <v>155</v>
      </c>
      <c r="D2563" t="s">
        <v>146</v>
      </c>
      <c r="E2563" s="242">
        <v>42064</v>
      </c>
      <c r="F2563">
        <v>0</v>
      </c>
      <c r="G2563" t="b">
        <v>0</v>
      </c>
      <c r="H2563" t="s">
        <v>15</v>
      </c>
    </row>
    <row r="2564" spans="1:8">
      <c r="A2564" t="s">
        <v>150</v>
      </c>
      <c r="B2564" t="s">
        <v>172</v>
      </c>
      <c r="C2564">
        <v>155</v>
      </c>
      <c r="D2564" t="s">
        <v>146</v>
      </c>
      <c r="E2564" s="242">
        <v>41948.541666666664</v>
      </c>
      <c r="F2564">
        <v>0</v>
      </c>
      <c r="G2564" t="b">
        <v>0</v>
      </c>
      <c r="H2564" t="s">
        <v>15</v>
      </c>
    </row>
    <row r="2565" spans="1:8">
      <c r="A2565" t="s">
        <v>151</v>
      </c>
      <c r="B2565" t="s">
        <v>172</v>
      </c>
      <c r="C2565">
        <v>155</v>
      </c>
      <c r="D2565" t="s">
        <v>146</v>
      </c>
      <c r="E2565" s="242">
        <v>42056</v>
      </c>
      <c r="F2565">
        <v>0</v>
      </c>
      <c r="G2565" t="b">
        <v>0</v>
      </c>
      <c r="H2565" t="s">
        <v>15</v>
      </c>
    </row>
    <row r="2566" spans="1:8">
      <c r="A2566" t="s">
        <v>145</v>
      </c>
      <c r="B2566" t="s">
        <v>172</v>
      </c>
      <c r="C2566">
        <v>155</v>
      </c>
      <c r="D2566" t="s">
        <v>146</v>
      </c>
      <c r="E2566" s="242">
        <v>42088.498611111114</v>
      </c>
      <c r="F2566">
        <v>0</v>
      </c>
      <c r="G2566" t="b">
        <v>0</v>
      </c>
      <c r="H2566" t="s">
        <v>15</v>
      </c>
    </row>
    <row r="2567" spans="1:8">
      <c r="A2567" t="s">
        <v>167</v>
      </c>
      <c r="B2567" t="s">
        <v>172</v>
      </c>
      <c r="C2567">
        <v>155</v>
      </c>
      <c r="D2567" t="s">
        <v>146</v>
      </c>
      <c r="E2567" s="242">
        <v>42001.622916666667</v>
      </c>
      <c r="F2567">
        <v>0</v>
      </c>
      <c r="G2567" t="b">
        <v>0</v>
      </c>
      <c r="H2567" t="s">
        <v>15</v>
      </c>
    </row>
    <row r="2568" spans="1:8">
      <c r="A2568" t="s">
        <v>153</v>
      </c>
      <c r="B2568" t="s">
        <v>172</v>
      </c>
      <c r="C2568">
        <v>155</v>
      </c>
      <c r="D2568" t="s">
        <v>146</v>
      </c>
      <c r="E2568" s="242">
        <v>42081</v>
      </c>
      <c r="F2568">
        <v>0</v>
      </c>
      <c r="G2568" t="b">
        <v>0</v>
      </c>
      <c r="H2568" t="s">
        <v>15</v>
      </c>
    </row>
    <row r="2569" spans="1:8">
      <c r="A2569" t="s">
        <v>154</v>
      </c>
      <c r="B2569" t="s">
        <v>172</v>
      </c>
      <c r="C2569">
        <v>155</v>
      </c>
      <c r="D2569" t="s">
        <v>146</v>
      </c>
      <c r="E2569" s="242">
        <v>42119.071527777778</v>
      </c>
      <c r="F2569">
        <v>0</v>
      </c>
      <c r="G2569" t="b">
        <v>0</v>
      </c>
      <c r="H2569" t="s">
        <v>15</v>
      </c>
    </row>
    <row r="2570" spans="1:8">
      <c r="A2570" t="s">
        <v>168</v>
      </c>
      <c r="B2570" t="s">
        <v>172</v>
      </c>
      <c r="C2570">
        <v>155</v>
      </c>
      <c r="D2570" t="s">
        <v>146</v>
      </c>
      <c r="E2570" s="242">
        <v>42083</v>
      </c>
      <c r="F2570">
        <v>0</v>
      </c>
      <c r="G2570" t="b">
        <v>0</v>
      </c>
      <c r="H2570" t="s">
        <v>15</v>
      </c>
    </row>
    <row r="2571" spans="1:8">
      <c r="A2571" t="s">
        <v>155</v>
      </c>
      <c r="B2571" t="s">
        <v>172</v>
      </c>
      <c r="C2571">
        <v>155</v>
      </c>
      <c r="D2571" t="s">
        <v>146</v>
      </c>
      <c r="E2571" s="242">
        <v>41940</v>
      </c>
      <c r="F2571">
        <v>0</v>
      </c>
      <c r="G2571" t="b">
        <v>0</v>
      </c>
      <c r="H2571" t="s">
        <v>15</v>
      </c>
    </row>
    <row r="2572" spans="1:8">
      <c r="A2572" t="s">
        <v>157</v>
      </c>
      <c r="B2572" t="s">
        <v>172</v>
      </c>
      <c r="C2572">
        <v>155</v>
      </c>
      <c r="D2572" t="s">
        <v>146</v>
      </c>
      <c r="E2572" s="242">
        <v>42089.313888888886</v>
      </c>
      <c r="F2572">
        <v>0</v>
      </c>
      <c r="G2572" t="b">
        <v>0</v>
      </c>
      <c r="H2572" t="s">
        <v>15</v>
      </c>
    </row>
    <row r="2573" spans="1:8">
      <c r="A2573" t="s">
        <v>170</v>
      </c>
      <c r="B2573" t="s">
        <v>172</v>
      </c>
      <c r="C2573">
        <v>155</v>
      </c>
      <c r="D2573" t="s">
        <v>146</v>
      </c>
      <c r="E2573" s="242">
        <v>41969</v>
      </c>
      <c r="F2573">
        <v>0</v>
      </c>
      <c r="G2573" t="b">
        <v>0</v>
      </c>
      <c r="H2573" t="s">
        <v>15</v>
      </c>
    </row>
    <row r="2574" spans="1:8">
      <c r="A2574" t="s">
        <v>158</v>
      </c>
      <c r="B2574" t="s">
        <v>172</v>
      </c>
      <c r="C2574">
        <v>155</v>
      </c>
      <c r="D2574" t="s">
        <v>146</v>
      </c>
      <c r="E2574" s="242">
        <v>42017</v>
      </c>
      <c r="F2574">
        <v>0</v>
      </c>
      <c r="G2574" t="b">
        <v>0</v>
      </c>
      <c r="H2574" t="s">
        <v>15</v>
      </c>
    </row>
    <row r="2575" spans="1:8">
      <c r="A2575" t="s">
        <v>159</v>
      </c>
      <c r="B2575" t="s">
        <v>172</v>
      </c>
      <c r="C2575">
        <v>155</v>
      </c>
      <c r="D2575" t="s">
        <v>146</v>
      </c>
      <c r="E2575" s="242">
        <v>42017</v>
      </c>
      <c r="F2575">
        <v>0</v>
      </c>
      <c r="G2575" t="b">
        <v>0</v>
      </c>
      <c r="H2575" t="s">
        <v>15</v>
      </c>
    </row>
    <row r="2576" spans="1:8">
      <c r="A2576" t="s">
        <v>160</v>
      </c>
      <c r="B2576" t="s">
        <v>172</v>
      </c>
      <c r="C2576">
        <v>155</v>
      </c>
      <c r="D2576" t="s">
        <v>146</v>
      </c>
      <c r="E2576" s="242">
        <v>41961.431944444441</v>
      </c>
      <c r="F2576">
        <v>0</v>
      </c>
      <c r="G2576" t="b">
        <v>0</v>
      </c>
      <c r="H2576" t="s">
        <v>15</v>
      </c>
    </row>
    <row r="2577" spans="1:8">
      <c r="A2577" t="s">
        <v>161</v>
      </c>
      <c r="B2577" t="s">
        <v>172</v>
      </c>
      <c r="C2577">
        <v>155</v>
      </c>
      <c r="D2577" t="s">
        <v>171</v>
      </c>
      <c r="E2577" s="242">
        <v>41913.459027777775</v>
      </c>
      <c r="F2577">
        <v>0</v>
      </c>
      <c r="G2577" t="b">
        <v>0</v>
      </c>
      <c r="H2577" t="s">
        <v>15</v>
      </c>
    </row>
    <row r="2578" spans="1:8">
      <c r="A2578" t="s">
        <v>150</v>
      </c>
      <c r="B2578" t="s">
        <v>172</v>
      </c>
      <c r="C2578">
        <v>155</v>
      </c>
      <c r="D2578" t="s">
        <v>171</v>
      </c>
      <c r="E2578" s="242">
        <v>41949.647916666669</v>
      </c>
      <c r="F2578">
        <v>0</v>
      </c>
      <c r="G2578" t="b">
        <v>0</v>
      </c>
      <c r="H2578" t="s">
        <v>15</v>
      </c>
    </row>
    <row r="2579" spans="1:8">
      <c r="A2579" t="s">
        <v>152</v>
      </c>
      <c r="B2579" t="s">
        <v>172</v>
      </c>
      <c r="C2579">
        <v>155</v>
      </c>
      <c r="D2579" t="s">
        <v>171</v>
      </c>
      <c r="E2579" s="242">
        <v>42047.393750000003</v>
      </c>
      <c r="F2579">
        <v>0</v>
      </c>
      <c r="G2579" t="b">
        <v>0</v>
      </c>
      <c r="H2579" t="s">
        <v>15</v>
      </c>
    </row>
    <row r="2580" spans="1:8">
      <c r="A2580" t="s">
        <v>156</v>
      </c>
      <c r="B2580" t="s">
        <v>172</v>
      </c>
      <c r="C2580">
        <v>155</v>
      </c>
      <c r="D2580" t="s">
        <v>171</v>
      </c>
      <c r="E2580" s="242">
        <v>42033.313888888886</v>
      </c>
      <c r="F2580">
        <v>0</v>
      </c>
      <c r="G2580" t="b">
        <v>0</v>
      </c>
      <c r="H2580" t="s">
        <v>15</v>
      </c>
    </row>
    <row r="2581" spans="1:8">
      <c r="A2581" t="s">
        <v>164</v>
      </c>
      <c r="B2581" t="s">
        <v>172</v>
      </c>
      <c r="C2581">
        <v>165</v>
      </c>
      <c r="D2581" t="s">
        <v>146</v>
      </c>
      <c r="E2581" s="242">
        <v>42037</v>
      </c>
      <c r="F2581">
        <v>0</v>
      </c>
      <c r="G2581" t="b">
        <v>0</v>
      </c>
      <c r="H2581" t="s">
        <v>15</v>
      </c>
    </row>
    <row r="2582" spans="1:8">
      <c r="A2582" t="s">
        <v>170</v>
      </c>
      <c r="B2582" t="s">
        <v>172</v>
      </c>
      <c r="C2582">
        <v>165</v>
      </c>
      <c r="D2582" t="s">
        <v>146</v>
      </c>
      <c r="E2582" s="242">
        <v>41969</v>
      </c>
      <c r="F2582">
        <v>0</v>
      </c>
      <c r="G2582" t="b">
        <v>0</v>
      </c>
      <c r="H2582" t="s">
        <v>15</v>
      </c>
    </row>
    <row r="2583" spans="1:8">
      <c r="A2583" t="s">
        <v>164</v>
      </c>
      <c r="B2583" t="s">
        <v>172</v>
      </c>
      <c r="C2583">
        <v>175</v>
      </c>
      <c r="D2583" t="s">
        <v>146</v>
      </c>
      <c r="E2583" s="242">
        <v>42099.613194444442</v>
      </c>
      <c r="F2583">
        <v>0</v>
      </c>
      <c r="G2583" t="b">
        <v>0</v>
      </c>
      <c r="H2583" t="s">
        <v>15</v>
      </c>
    </row>
    <row r="2584" spans="1:8">
      <c r="A2584" t="s">
        <v>161</v>
      </c>
      <c r="B2584" t="s">
        <v>172</v>
      </c>
      <c r="C2584">
        <v>175</v>
      </c>
      <c r="D2584" t="s">
        <v>146</v>
      </c>
      <c r="E2584" s="242">
        <v>42074</v>
      </c>
      <c r="F2584">
        <v>0</v>
      </c>
      <c r="G2584" t="b">
        <v>0</v>
      </c>
      <c r="H2584" t="s">
        <v>15</v>
      </c>
    </row>
    <row r="2585" spans="1:8">
      <c r="A2585" t="s">
        <v>165</v>
      </c>
      <c r="B2585" t="s">
        <v>172</v>
      </c>
      <c r="C2585">
        <v>175</v>
      </c>
      <c r="D2585" t="s">
        <v>146</v>
      </c>
      <c r="E2585" s="242">
        <v>42002.45208333333</v>
      </c>
      <c r="F2585">
        <v>0</v>
      </c>
      <c r="G2585" t="b">
        <v>0</v>
      </c>
      <c r="H2585" t="s">
        <v>15</v>
      </c>
    </row>
    <row r="2586" spans="1:8">
      <c r="A2586" t="s">
        <v>148</v>
      </c>
      <c r="B2586" t="s">
        <v>172</v>
      </c>
      <c r="C2586">
        <v>175</v>
      </c>
      <c r="D2586" t="s">
        <v>146</v>
      </c>
      <c r="E2586" s="242">
        <v>42086.367361111108</v>
      </c>
      <c r="F2586">
        <v>0</v>
      </c>
      <c r="G2586" t="b">
        <v>0</v>
      </c>
      <c r="H2586" t="s">
        <v>15</v>
      </c>
    </row>
    <row r="2587" spans="1:8">
      <c r="A2587" t="s">
        <v>162</v>
      </c>
      <c r="B2587" t="s">
        <v>172</v>
      </c>
      <c r="C2587">
        <v>175</v>
      </c>
      <c r="D2587" t="s">
        <v>146</v>
      </c>
      <c r="E2587" s="242">
        <v>41961</v>
      </c>
      <c r="F2587">
        <v>0</v>
      </c>
      <c r="G2587" t="b">
        <v>0</v>
      </c>
      <c r="H2587" t="s">
        <v>15</v>
      </c>
    </row>
    <row r="2588" spans="1:8">
      <c r="A2588" t="s">
        <v>163</v>
      </c>
      <c r="B2588" t="s">
        <v>172</v>
      </c>
      <c r="C2588">
        <v>175</v>
      </c>
      <c r="D2588" t="s">
        <v>146</v>
      </c>
      <c r="E2588" s="242">
        <v>41939</v>
      </c>
      <c r="F2588">
        <v>0</v>
      </c>
      <c r="G2588" t="b">
        <v>0</v>
      </c>
      <c r="H2588" t="s">
        <v>15</v>
      </c>
    </row>
    <row r="2589" spans="1:8">
      <c r="A2589" t="s">
        <v>166</v>
      </c>
      <c r="B2589" t="s">
        <v>172</v>
      </c>
      <c r="C2589">
        <v>175</v>
      </c>
      <c r="D2589" t="s">
        <v>146</v>
      </c>
      <c r="E2589" s="242">
        <v>41994.352083333331</v>
      </c>
      <c r="F2589">
        <v>0</v>
      </c>
      <c r="G2589" t="b">
        <v>0</v>
      </c>
      <c r="H2589" t="s">
        <v>15</v>
      </c>
    </row>
    <row r="2590" spans="1:8">
      <c r="A2590" t="s">
        <v>149</v>
      </c>
      <c r="B2590" t="s">
        <v>172</v>
      </c>
      <c r="C2590">
        <v>175</v>
      </c>
      <c r="D2590" t="s">
        <v>146</v>
      </c>
      <c r="E2590" s="242">
        <v>42062.466666666667</v>
      </c>
      <c r="F2590">
        <v>0</v>
      </c>
      <c r="G2590" t="b">
        <v>0</v>
      </c>
      <c r="H2590" t="s">
        <v>15</v>
      </c>
    </row>
    <row r="2591" spans="1:8">
      <c r="A2591" t="s">
        <v>150</v>
      </c>
      <c r="B2591" t="s">
        <v>172</v>
      </c>
      <c r="C2591">
        <v>175</v>
      </c>
      <c r="D2591" t="s">
        <v>146</v>
      </c>
      <c r="E2591" s="242">
        <v>42094.400000000001</v>
      </c>
      <c r="F2591">
        <v>0</v>
      </c>
      <c r="G2591" t="b">
        <v>0</v>
      </c>
      <c r="H2591" t="s">
        <v>15</v>
      </c>
    </row>
    <row r="2592" spans="1:8">
      <c r="A2592" t="s">
        <v>151</v>
      </c>
      <c r="B2592" t="s">
        <v>172</v>
      </c>
      <c r="C2592">
        <v>175</v>
      </c>
      <c r="D2592" t="s">
        <v>146</v>
      </c>
      <c r="E2592" s="242">
        <v>42056</v>
      </c>
      <c r="F2592">
        <v>0</v>
      </c>
      <c r="G2592" t="b">
        <v>0</v>
      </c>
      <c r="H2592" t="s">
        <v>15</v>
      </c>
    </row>
    <row r="2593" spans="1:8">
      <c r="A2593" t="s">
        <v>145</v>
      </c>
      <c r="B2593" t="s">
        <v>172</v>
      </c>
      <c r="C2593">
        <v>175</v>
      </c>
      <c r="D2593" t="s">
        <v>146</v>
      </c>
      <c r="E2593" s="242">
        <v>41981.626388888886</v>
      </c>
      <c r="F2593">
        <v>0</v>
      </c>
      <c r="G2593" t="b">
        <v>0</v>
      </c>
      <c r="H2593" t="s">
        <v>15</v>
      </c>
    </row>
    <row r="2594" spans="1:8">
      <c r="A2594" t="s">
        <v>167</v>
      </c>
      <c r="B2594" t="s">
        <v>172</v>
      </c>
      <c r="C2594">
        <v>175</v>
      </c>
      <c r="D2594" t="s">
        <v>146</v>
      </c>
      <c r="E2594" s="242">
        <v>41943.48541666667</v>
      </c>
      <c r="F2594">
        <v>0</v>
      </c>
      <c r="G2594" t="b">
        <v>0</v>
      </c>
      <c r="H2594" t="s">
        <v>15</v>
      </c>
    </row>
    <row r="2595" spans="1:8">
      <c r="A2595" t="s">
        <v>153</v>
      </c>
      <c r="B2595" t="s">
        <v>172</v>
      </c>
      <c r="C2595">
        <v>175</v>
      </c>
      <c r="D2595" t="s">
        <v>146</v>
      </c>
      <c r="E2595" s="242">
        <v>42073.518750000003</v>
      </c>
      <c r="F2595">
        <v>0</v>
      </c>
      <c r="G2595" t="b">
        <v>0</v>
      </c>
      <c r="H2595" t="s">
        <v>15</v>
      </c>
    </row>
    <row r="2596" spans="1:8">
      <c r="A2596" t="s">
        <v>154</v>
      </c>
      <c r="B2596" t="s">
        <v>172</v>
      </c>
      <c r="C2596">
        <v>175</v>
      </c>
      <c r="D2596" t="s">
        <v>146</v>
      </c>
      <c r="E2596" s="242">
        <v>42009</v>
      </c>
      <c r="F2596">
        <v>0</v>
      </c>
      <c r="G2596" t="b">
        <v>0</v>
      </c>
      <c r="H2596" t="s">
        <v>15</v>
      </c>
    </row>
    <row r="2597" spans="1:8">
      <c r="A2597" t="s">
        <v>168</v>
      </c>
      <c r="B2597" t="s">
        <v>172</v>
      </c>
      <c r="C2597">
        <v>175</v>
      </c>
      <c r="D2597" t="s">
        <v>146</v>
      </c>
      <c r="E2597" s="242">
        <v>42104.460416666669</v>
      </c>
      <c r="F2597">
        <v>0</v>
      </c>
      <c r="G2597" t="b">
        <v>0</v>
      </c>
      <c r="H2597" t="s">
        <v>15</v>
      </c>
    </row>
    <row r="2598" spans="1:8">
      <c r="A2598" t="s">
        <v>155</v>
      </c>
      <c r="B2598" t="s">
        <v>172</v>
      </c>
      <c r="C2598">
        <v>175</v>
      </c>
      <c r="D2598" t="s">
        <v>146</v>
      </c>
      <c r="E2598" s="242">
        <v>42077.385416666664</v>
      </c>
      <c r="F2598">
        <v>0</v>
      </c>
      <c r="G2598" t="b">
        <v>0</v>
      </c>
      <c r="H2598" t="s">
        <v>15</v>
      </c>
    </row>
    <row r="2599" spans="1:8">
      <c r="A2599" t="s">
        <v>156</v>
      </c>
      <c r="B2599" t="s">
        <v>172</v>
      </c>
      <c r="C2599">
        <v>175</v>
      </c>
      <c r="D2599" t="s">
        <v>146</v>
      </c>
      <c r="E2599" s="242">
        <v>42034.477083333331</v>
      </c>
      <c r="F2599">
        <v>0</v>
      </c>
      <c r="G2599" t="b">
        <v>0</v>
      </c>
      <c r="H2599" t="s">
        <v>15</v>
      </c>
    </row>
    <row r="2600" spans="1:8">
      <c r="A2600" t="s">
        <v>157</v>
      </c>
      <c r="B2600" t="s">
        <v>172</v>
      </c>
      <c r="C2600">
        <v>175</v>
      </c>
      <c r="D2600" t="s">
        <v>146</v>
      </c>
      <c r="E2600" s="242">
        <v>42089</v>
      </c>
      <c r="F2600">
        <v>0</v>
      </c>
      <c r="G2600" t="b">
        <v>0</v>
      </c>
      <c r="H2600" t="s">
        <v>15</v>
      </c>
    </row>
    <row r="2601" spans="1:8">
      <c r="A2601" t="s">
        <v>169</v>
      </c>
      <c r="B2601" t="s">
        <v>172</v>
      </c>
      <c r="C2601">
        <v>175</v>
      </c>
      <c r="D2601" t="s">
        <v>146</v>
      </c>
      <c r="E2601" s="242">
        <v>42082.370833333334</v>
      </c>
      <c r="F2601">
        <v>0</v>
      </c>
      <c r="G2601" t="b">
        <v>0</v>
      </c>
      <c r="H2601" t="s">
        <v>15</v>
      </c>
    </row>
    <row r="2602" spans="1:8">
      <c r="A2602" t="s">
        <v>170</v>
      </c>
      <c r="B2602" t="s">
        <v>172</v>
      </c>
      <c r="C2602">
        <v>175</v>
      </c>
      <c r="D2602" t="s">
        <v>146</v>
      </c>
      <c r="E2602" s="242">
        <v>42035.331944444442</v>
      </c>
      <c r="F2602">
        <v>0</v>
      </c>
      <c r="G2602" t="b">
        <v>0</v>
      </c>
      <c r="H2602" t="s">
        <v>15</v>
      </c>
    </row>
    <row r="2603" spans="1:8">
      <c r="A2603" t="s">
        <v>158</v>
      </c>
      <c r="B2603" t="s">
        <v>172</v>
      </c>
      <c r="C2603">
        <v>175</v>
      </c>
      <c r="D2603" t="s">
        <v>146</v>
      </c>
      <c r="E2603" s="242">
        <v>41946.643750000003</v>
      </c>
      <c r="F2603">
        <v>0</v>
      </c>
      <c r="G2603" t="b">
        <v>0</v>
      </c>
      <c r="H2603" t="s">
        <v>15</v>
      </c>
    </row>
    <row r="2604" spans="1:8">
      <c r="A2604" t="s">
        <v>159</v>
      </c>
      <c r="B2604" t="s">
        <v>172</v>
      </c>
      <c r="C2604">
        <v>175</v>
      </c>
      <c r="D2604" t="s">
        <v>146</v>
      </c>
      <c r="E2604" s="242">
        <v>41972.452777777777</v>
      </c>
      <c r="F2604">
        <v>0</v>
      </c>
      <c r="G2604" t="b">
        <v>0</v>
      </c>
      <c r="H2604" t="s">
        <v>15</v>
      </c>
    </row>
    <row r="2605" spans="1:8">
      <c r="A2605" t="s">
        <v>160</v>
      </c>
      <c r="B2605" t="s">
        <v>172</v>
      </c>
      <c r="C2605">
        <v>175</v>
      </c>
      <c r="D2605" t="s">
        <v>146</v>
      </c>
      <c r="E2605" s="242">
        <v>41961.59652777778</v>
      </c>
      <c r="F2605">
        <v>0</v>
      </c>
      <c r="G2605" t="b">
        <v>0</v>
      </c>
      <c r="H2605" t="s">
        <v>15</v>
      </c>
    </row>
    <row r="2606" spans="1:8">
      <c r="A2606" t="s">
        <v>161</v>
      </c>
      <c r="B2606" t="s">
        <v>172</v>
      </c>
      <c r="C2606">
        <v>175</v>
      </c>
      <c r="D2606" t="s">
        <v>171</v>
      </c>
      <c r="E2606" s="242">
        <v>41908.870833333334</v>
      </c>
      <c r="F2606">
        <v>0</v>
      </c>
      <c r="G2606" t="b">
        <v>0</v>
      </c>
      <c r="H2606" t="s">
        <v>15</v>
      </c>
    </row>
    <row r="2607" spans="1:8">
      <c r="A2607" t="s">
        <v>152</v>
      </c>
      <c r="B2607" t="s">
        <v>172</v>
      </c>
      <c r="C2607">
        <v>175</v>
      </c>
      <c r="D2607" t="s">
        <v>171</v>
      </c>
      <c r="E2607" s="242">
        <v>42045.31527777778</v>
      </c>
      <c r="F2607">
        <v>0</v>
      </c>
      <c r="G2607" t="b">
        <v>0</v>
      </c>
      <c r="H2607" t="s">
        <v>15</v>
      </c>
    </row>
    <row r="2608" spans="1:8">
      <c r="A2608" t="s">
        <v>164</v>
      </c>
      <c r="B2608" t="s">
        <v>172</v>
      </c>
      <c r="C2608">
        <v>200</v>
      </c>
      <c r="D2608" t="s">
        <v>171</v>
      </c>
      <c r="E2608" s="242">
        <v>41759</v>
      </c>
      <c r="F2608">
        <v>0</v>
      </c>
      <c r="G2608" t="b">
        <v>0</v>
      </c>
      <c r="H2608" t="s">
        <v>15</v>
      </c>
    </row>
    <row r="2609" spans="1:8">
      <c r="A2609" t="s">
        <v>161</v>
      </c>
      <c r="B2609" t="s">
        <v>172</v>
      </c>
      <c r="C2609">
        <v>200</v>
      </c>
      <c r="D2609" t="s">
        <v>171</v>
      </c>
      <c r="E2609" s="242">
        <v>40796</v>
      </c>
      <c r="G2609" t="b">
        <v>0</v>
      </c>
      <c r="H2609" t="s">
        <v>15</v>
      </c>
    </row>
    <row r="2610" spans="1:8">
      <c r="A2610" t="s">
        <v>165</v>
      </c>
      <c r="B2610" t="s">
        <v>172</v>
      </c>
      <c r="C2610">
        <v>200</v>
      </c>
      <c r="D2610" t="s">
        <v>171</v>
      </c>
      <c r="E2610" s="242">
        <v>41003</v>
      </c>
      <c r="G2610" t="b">
        <v>0</v>
      </c>
      <c r="H2610" t="s">
        <v>15</v>
      </c>
    </row>
    <row r="2611" spans="1:8">
      <c r="A2611" t="s">
        <v>148</v>
      </c>
      <c r="B2611" t="s">
        <v>172</v>
      </c>
      <c r="C2611">
        <v>200</v>
      </c>
      <c r="D2611" t="s">
        <v>171</v>
      </c>
      <c r="E2611" s="242">
        <v>42060</v>
      </c>
      <c r="F2611">
        <v>0</v>
      </c>
      <c r="G2611" t="b">
        <v>0</v>
      </c>
      <c r="H2611" t="s">
        <v>15</v>
      </c>
    </row>
    <row r="2612" spans="1:8">
      <c r="A2612" t="s">
        <v>162</v>
      </c>
      <c r="B2612" t="s">
        <v>172</v>
      </c>
      <c r="C2612">
        <v>200</v>
      </c>
      <c r="D2612" t="s">
        <v>171</v>
      </c>
      <c r="E2612" s="242">
        <v>41781</v>
      </c>
      <c r="F2612">
        <v>0</v>
      </c>
      <c r="G2612" t="b">
        <v>0</v>
      </c>
      <c r="H2612" t="s">
        <v>15</v>
      </c>
    </row>
    <row r="2613" spans="1:8">
      <c r="A2613" t="s">
        <v>163</v>
      </c>
      <c r="B2613" t="s">
        <v>172</v>
      </c>
      <c r="C2613">
        <v>200</v>
      </c>
      <c r="D2613" t="s">
        <v>171</v>
      </c>
      <c r="E2613" s="242">
        <v>41759</v>
      </c>
      <c r="F2613">
        <v>0</v>
      </c>
      <c r="G2613" t="b">
        <v>0</v>
      </c>
      <c r="H2613" t="s">
        <v>15</v>
      </c>
    </row>
    <row r="2614" spans="1:8">
      <c r="A2614" t="s">
        <v>166</v>
      </c>
      <c r="B2614" t="s">
        <v>172</v>
      </c>
      <c r="C2614">
        <v>200</v>
      </c>
      <c r="D2614" t="s">
        <v>171</v>
      </c>
      <c r="E2614" s="242">
        <v>42002</v>
      </c>
      <c r="F2614">
        <v>0</v>
      </c>
      <c r="G2614" t="b">
        <v>0</v>
      </c>
      <c r="H2614" t="s">
        <v>15</v>
      </c>
    </row>
    <row r="2615" spans="1:8">
      <c r="A2615" t="s">
        <v>149</v>
      </c>
      <c r="B2615" t="s">
        <v>172</v>
      </c>
      <c r="C2615">
        <v>200</v>
      </c>
      <c r="D2615" t="s">
        <v>171</v>
      </c>
      <c r="E2615" s="242">
        <v>41341</v>
      </c>
      <c r="G2615" t="b">
        <v>0</v>
      </c>
      <c r="H2615" t="s">
        <v>15</v>
      </c>
    </row>
    <row r="2616" spans="1:8">
      <c r="A2616" t="s">
        <v>150</v>
      </c>
      <c r="B2616" t="s">
        <v>172</v>
      </c>
      <c r="C2616">
        <v>200</v>
      </c>
      <c r="D2616" t="s">
        <v>171</v>
      </c>
      <c r="E2616" s="242">
        <v>40192</v>
      </c>
      <c r="G2616" t="b">
        <v>0</v>
      </c>
      <c r="H2616" t="s">
        <v>15</v>
      </c>
    </row>
    <row r="2617" spans="1:8">
      <c r="A2617" t="s">
        <v>151</v>
      </c>
      <c r="B2617" t="s">
        <v>172</v>
      </c>
      <c r="C2617">
        <v>200</v>
      </c>
      <c r="D2617" t="s">
        <v>171</v>
      </c>
      <c r="E2617" s="242">
        <v>40203</v>
      </c>
      <c r="G2617" t="b">
        <v>0</v>
      </c>
      <c r="H2617" t="s">
        <v>15</v>
      </c>
    </row>
    <row r="2618" spans="1:8">
      <c r="A2618" t="s">
        <v>152</v>
      </c>
      <c r="B2618" t="s">
        <v>172</v>
      </c>
      <c r="C2618">
        <v>200</v>
      </c>
      <c r="D2618" t="s">
        <v>171</v>
      </c>
      <c r="E2618" s="242">
        <v>41274</v>
      </c>
      <c r="G2618" t="b">
        <v>0</v>
      </c>
      <c r="H2618" t="s">
        <v>15</v>
      </c>
    </row>
    <row r="2619" spans="1:8">
      <c r="A2619" t="s">
        <v>145</v>
      </c>
      <c r="B2619" t="s">
        <v>172</v>
      </c>
      <c r="C2619">
        <v>200</v>
      </c>
      <c r="D2619" t="s">
        <v>171</v>
      </c>
      <c r="E2619" s="242">
        <v>40262</v>
      </c>
      <c r="G2619" t="b">
        <v>0</v>
      </c>
      <c r="H2619" t="s">
        <v>15</v>
      </c>
    </row>
    <row r="2620" spans="1:8">
      <c r="A2620" t="s">
        <v>167</v>
      </c>
      <c r="B2620" t="s">
        <v>172</v>
      </c>
      <c r="C2620">
        <v>200</v>
      </c>
      <c r="D2620" t="s">
        <v>171</v>
      </c>
      <c r="E2620" s="242">
        <v>40296</v>
      </c>
      <c r="G2620" t="b">
        <v>0</v>
      </c>
      <c r="H2620" t="s">
        <v>15</v>
      </c>
    </row>
    <row r="2621" spans="1:8">
      <c r="A2621" t="s">
        <v>153</v>
      </c>
      <c r="B2621" t="s">
        <v>172</v>
      </c>
      <c r="C2621">
        <v>200</v>
      </c>
      <c r="D2621" t="s">
        <v>171</v>
      </c>
      <c r="E2621" s="242">
        <v>40323</v>
      </c>
      <c r="G2621" t="b">
        <v>0</v>
      </c>
      <c r="H2621" t="s">
        <v>15</v>
      </c>
    </row>
    <row r="2622" spans="1:8">
      <c r="A2622" t="s">
        <v>154</v>
      </c>
      <c r="B2622" t="s">
        <v>172</v>
      </c>
      <c r="C2622">
        <v>200</v>
      </c>
      <c r="D2622" t="s">
        <v>171</v>
      </c>
      <c r="E2622" s="242">
        <v>41273</v>
      </c>
      <c r="G2622" t="b">
        <v>0</v>
      </c>
      <c r="H2622" t="s">
        <v>15</v>
      </c>
    </row>
    <row r="2623" spans="1:8">
      <c r="A2623" t="s">
        <v>168</v>
      </c>
      <c r="B2623" t="s">
        <v>172</v>
      </c>
      <c r="C2623">
        <v>200</v>
      </c>
      <c r="D2623" t="s">
        <v>171</v>
      </c>
      <c r="E2623" s="242">
        <v>40907</v>
      </c>
      <c r="G2623" t="b">
        <v>0</v>
      </c>
      <c r="H2623" t="s">
        <v>15</v>
      </c>
    </row>
    <row r="2624" spans="1:8">
      <c r="A2624" t="s">
        <v>155</v>
      </c>
      <c r="B2624" t="s">
        <v>172</v>
      </c>
      <c r="C2624">
        <v>200</v>
      </c>
      <c r="D2624" t="s">
        <v>171</v>
      </c>
      <c r="E2624" s="242">
        <v>40268</v>
      </c>
      <c r="G2624" t="b">
        <v>0</v>
      </c>
      <c r="H2624" t="s">
        <v>15</v>
      </c>
    </row>
    <row r="2625" spans="1:8">
      <c r="A2625" t="s">
        <v>156</v>
      </c>
      <c r="B2625" t="s">
        <v>172</v>
      </c>
      <c r="C2625">
        <v>200</v>
      </c>
      <c r="D2625" t="s">
        <v>171</v>
      </c>
      <c r="E2625" s="242">
        <v>39988</v>
      </c>
      <c r="G2625" t="b">
        <v>0</v>
      </c>
      <c r="H2625" t="s">
        <v>15</v>
      </c>
    </row>
    <row r="2626" spans="1:8">
      <c r="A2626" t="s">
        <v>157</v>
      </c>
      <c r="B2626" t="s">
        <v>172</v>
      </c>
      <c r="C2626">
        <v>200</v>
      </c>
      <c r="D2626" t="s">
        <v>171</v>
      </c>
      <c r="E2626" s="242">
        <v>40803</v>
      </c>
      <c r="G2626" t="b">
        <v>0</v>
      </c>
      <c r="H2626" t="s">
        <v>15</v>
      </c>
    </row>
    <row r="2627" spans="1:8">
      <c r="A2627" t="s">
        <v>169</v>
      </c>
      <c r="B2627" t="s">
        <v>172</v>
      </c>
      <c r="C2627">
        <v>200</v>
      </c>
      <c r="D2627" t="s">
        <v>171</v>
      </c>
      <c r="E2627" s="242">
        <v>40567</v>
      </c>
      <c r="G2627" t="b">
        <v>0</v>
      </c>
      <c r="H2627" t="s">
        <v>15</v>
      </c>
    </row>
    <row r="2628" spans="1:8">
      <c r="A2628" t="s">
        <v>170</v>
      </c>
      <c r="B2628" t="s">
        <v>172</v>
      </c>
      <c r="C2628">
        <v>200</v>
      </c>
      <c r="D2628" t="s">
        <v>171</v>
      </c>
      <c r="E2628" s="242">
        <v>40597</v>
      </c>
      <c r="G2628" t="b">
        <v>0</v>
      </c>
      <c r="H2628" t="s">
        <v>15</v>
      </c>
    </row>
    <row r="2629" spans="1:8">
      <c r="A2629" t="s">
        <v>158</v>
      </c>
      <c r="B2629" t="s">
        <v>172</v>
      </c>
      <c r="C2629">
        <v>200</v>
      </c>
      <c r="D2629" t="s">
        <v>171</v>
      </c>
      <c r="E2629" s="242">
        <v>40567</v>
      </c>
      <c r="G2629" t="b">
        <v>0</v>
      </c>
      <c r="H2629" t="s">
        <v>15</v>
      </c>
    </row>
    <row r="2630" spans="1:8">
      <c r="A2630" t="s">
        <v>159</v>
      </c>
      <c r="B2630" t="s">
        <v>172</v>
      </c>
      <c r="C2630">
        <v>200</v>
      </c>
      <c r="D2630" t="s">
        <v>171</v>
      </c>
      <c r="E2630" s="242">
        <v>40597</v>
      </c>
      <c r="G2630" t="b">
        <v>0</v>
      </c>
      <c r="H2630" t="s">
        <v>15</v>
      </c>
    </row>
    <row r="2631" spans="1:8">
      <c r="A2631" t="s">
        <v>160</v>
      </c>
      <c r="B2631" t="s">
        <v>172</v>
      </c>
      <c r="C2631">
        <v>200</v>
      </c>
      <c r="D2631" t="s">
        <v>171</v>
      </c>
      <c r="E2631" s="242">
        <v>41757</v>
      </c>
      <c r="F2631">
        <v>0</v>
      </c>
      <c r="G2631" t="b">
        <v>0</v>
      </c>
      <c r="H2631" t="s">
        <v>15</v>
      </c>
    </row>
    <row r="2632" spans="1:8">
      <c r="A2632" t="s">
        <v>161</v>
      </c>
      <c r="B2632" t="s">
        <v>172</v>
      </c>
      <c r="C2632">
        <v>205</v>
      </c>
      <c r="D2632" t="s">
        <v>147</v>
      </c>
      <c r="E2632" s="242"/>
      <c r="F2632">
        <v>7232.10009765625</v>
      </c>
      <c r="G2632" t="b">
        <v>0</v>
      </c>
      <c r="H2632" t="s">
        <v>15</v>
      </c>
    </row>
    <row r="2633" spans="1:8">
      <c r="A2633" t="s">
        <v>148</v>
      </c>
      <c r="B2633" t="s">
        <v>172</v>
      </c>
      <c r="C2633">
        <v>205</v>
      </c>
      <c r="D2633" t="s">
        <v>147</v>
      </c>
      <c r="E2633" s="242"/>
      <c r="F2633">
        <v>6461.39990234375</v>
      </c>
      <c r="G2633" t="b">
        <v>0</v>
      </c>
      <c r="H2633" t="s">
        <v>15</v>
      </c>
    </row>
    <row r="2634" spans="1:8">
      <c r="A2634" t="s">
        <v>163</v>
      </c>
      <c r="B2634" t="s">
        <v>172</v>
      </c>
      <c r="C2634">
        <v>205</v>
      </c>
      <c r="D2634" t="s">
        <v>147</v>
      </c>
      <c r="E2634" s="242"/>
      <c r="F2634">
        <v>4823.89990234375</v>
      </c>
      <c r="G2634" t="b">
        <v>0</v>
      </c>
      <c r="H2634" t="s">
        <v>15</v>
      </c>
    </row>
    <row r="2635" spans="1:8">
      <c r="A2635" t="s">
        <v>150</v>
      </c>
      <c r="B2635" t="s">
        <v>172</v>
      </c>
      <c r="C2635">
        <v>205</v>
      </c>
      <c r="D2635" t="s">
        <v>147</v>
      </c>
      <c r="E2635" s="242"/>
      <c r="F2635">
        <v>4074.60009765625</v>
      </c>
      <c r="G2635" t="b">
        <v>0</v>
      </c>
      <c r="H2635" t="s">
        <v>15</v>
      </c>
    </row>
    <row r="2636" spans="1:8">
      <c r="A2636" t="s">
        <v>169</v>
      </c>
      <c r="B2636" t="s">
        <v>172</v>
      </c>
      <c r="C2636">
        <v>205</v>
      </c>
      <c r="D2636" t="s">
        <v>147</v>
      </c>
      <c r="E2636" s="242"/>
      <c r="F2636">
        <v>1247.90002441406</v>
      </c>
      <c r="G2636" t="b">
        <v>0</v>
      </c>
      <c r="H2636" t="s">
        <v>15</v>
      </c>
    </row>
    <row r="2637" spans="1:8">
      <c r="A2637" t="s">
        <v>164</v>
      </c>
      <c r="B2637" t="s">
        <v>172</v>
      </c>
      <c r="C2637">
        <v>220</v>
      </c>
      <c r="D2637" t="s">
        <v>171</v>
      </c>
      <c r="E2637" s="242">
        <v>42101.614583333336</v>
      </c>
      <c r="F2637">
        <v>0</v>
      </c>
      <c r="G2637" t="b">
        <v>0</v>
      </c>
      <c r="H2637" t="s">
        <v>15</v>
      </c>
    </row>
    <row r="2638" spans="1:8">
      <c r="A2638" t="s">
        <v>161</v>
      </c>
      <c r="B2638" t="s">
        <v>172</v>
      </c>
      <c r="C2638">
        <v>220</v>
      </c>
      <c r="D2638" t="s">
        <v>171</v>
      </c>
      <c r="E2638" s="242">
        <v>42082.320138888892</v>
      </c>
      <c r="F2638">
        <v>0</v>
      </c>
      <c r="G2638" t="b">
        <v>0</v>
      </c>
      <c r="H2638" t="s">
        <v>15</v>
      </c>
    </row>
    <row r="2639" spans="1:8">
      <c r="A2639" t="s">
        <v>165</v>
      </c>
      <c r="B2639" t="s">
        <v>172</v>
      </c>
      <c r="C2639">
        <v>220</v>
      </c>
      <c r="D2639" t="s">
        <v>171</v>
      </c>
      <c r="E2639" s="242">
        <v>42049.42291666667</v>
      </c>
      <c r="F2639">
        <v>0</v>
      </c>
      <c r="G2639" t="b">
        <v>0</v>
      </c>
      <c r="H2639" t="s">
        <v>15</v>
      </c>
    </row>
    <row r="2640" spans="1:8">
      <c r="A2640" t="s">
        <v>148</v>
      </c>
      <c r="B2640" t="s">
        <v>172</v>
      </c>
      <c r="C2640">
        <v>220</v>
      </c>
      <c r="D2640" t="s">
        <v>171</v>
      </c>
      <c r="E2640" s="242">
        <v>41955</v>
      </c>
      <c r="F2640">
        <v>0</v>
      </c>
      <c r="G2640" t="b">
        <v>0</v>
      </c>
      <c r="H2640" t="s">
        <v>15</v>
      </c>
    </row>
    <row r="2641" spans="1:8">
      <c r="A2641" t="s">
        <v>163</v>
      </c>
      <c r="B2641" t="s">
        <v>172</v>
      </c>
      <c r="C2641">
        <v>220</v>
      </c>
      <c r="D2641" t="s">
        <v>171</v>
      </c>
      <c r="E2641" s="242">
        <v>41942</v>
      </c>
      <c r="F2641">
        <v>0</v>
      </c>
      <c r="G2641" t="b">
        <v>0</v>
      </c>
      <c r="H2641" t="s">
        <v>15</v>
      </c>
    </row>
    <row r="2642" spans="1:8">
      <c r="A2642" t="s">
        <v>149</v>
      </c>
      <c r="B2642" t="s">
        <v>172</v>
      </c>
      <c r="C2642">
        <v>220</v>
      </c>
      <c r="D2642" t="s">
        <v>171</v>
      </c>
      <c r="E2642" s="242">
        <v>42066</v>
      </c>
      <c r="F2642">
        <v>0</v>
      </c>
      <c r="G2642" t="b">
        <v>0</v>
      </c>
      <c r="H2642" t="s">
        <v>15</v>
      </c>
    </row>
    <row r="2643" spans="1:8">
      <c r="A2643" t="s">
        <v>150</v>
      </c>
      <c r="B2643" t="s">
        <v>172</v>
      </c>
      <c r="C2643">
        <v>220</v>
      </c>
      <c r="D2643" t="s">
        <v>171</v>
      </c>
      <c r="E2643" s="242">
        <v>42027.372916666667</v>
      </c>
      <c r="F2643">
        <v>0</v>
      </c>
      <c r="G2643" t="b">
        <v>0</v>
      </c>
      <c r="H2643" t="s">
        <v>15</v>
      </c>
    </row>
    <row r="2644" spans="1:8">
      <c r="A2644" t="s">
        <v>151</v>
      </c>
      <c r="B2644" t="s">
        <v>172</v>
      </c>
      <c r="C2644">
        <v>220</v>
      </c>
      <c r="D2644" t="s">
        <v>171</v>
      </c>
      <c r="E2644" s="242">
        <v>41990</v>
      </c>
      <c r="F2644">
        <v>0</v>
      </c>
      <c r="G2644" t="b">
        <v>0</v>
      </c>
      <c r="H2644" t="s">
        <v>15</v>
      </c>
    </row>
    <row r="2645" spans="1:8">
      <c r="A2645" t="s">
        <v>152</v>
      </c>
      <c r="B2645" t="s">
        <v>172</v>
      </c>
      <c r="C2645">
        <v>220</v>
      </c>
      <c r="D2645" t="s">
        <v>171</v>
      </c>
      <c r="E2645" s="242">
        <v>42054.361805555556</v>
      </c>
      <c r="F2645">
        <v>0</v>
      </c>
      <c r="G2645" t="b">
        <v>0</v>
      </c>
      <c r="H2645" t="s">
        <v>15</v>
      </c>
    </row>
    <row r="2646" spans="1:8">
      <c r="A2646" t="s">
        <v>145</v>
      </c>
      <c r="B2646" t="s">
        <v>172</v>
      </c>
      <c r="C2646">
        <v>220</v>
      </c>
      <c r="D2646" t="s">
        <v>171</v>
      </c>
      <c r="E2646" s="242">
        <v>41984.490277777775</v>
      </c>
      <c r="F2646">
        <v>0</v>
      </c>
      <c r="G2646" t="b">
        <v>0</v>
      </c>
      <c r="H2646" t="s">
        <v>15</v>
      </c>
    </row>
    <row r="2647" spans="1:8">
      <c r="A2647" t="s">
        <v>154</v>
      </c>
      <c r="B2647" t="s">
        <v>172</v>
      </c>
      <c r="C2647">
        <v>220</v>
      </c>
      <c r="D2647" t="s">
        <v>171</v>
      </c>
      <c r="E2647" s="242">
        <v>41942.075694444444</v>
      </c>
      <c r="F2647">
        <v>0</v>
      </c>
      <c r="G2647" t="b">
        <v>0</v>
      </c>
      <c r="H2647" t="s">
        <v>15</v>
      </c>
    </row>
    <row r="2648" spans="1:8">
      <c r="A2648" t="s">
        <v>168</v>
      </c>
      <c r="B2648" t="s">
        <v>172</v>
      </c>
      <c r="C2648">
        <v>220</v>
      </c>
      <c r="D2648" t="s">
        <v>171</v>
      </c>
      <c r="E2648" s="242">
        <v>42088</v>
      </c>
      <c r="F2648">
        <v>0</v>
      </c>
      <c r="G2648" t="b">
        <v>0</v>
      </c>
      <c r="H2648" t="s">
        <v>15</v>
      </c>
    </row>
    <row r="2649" spans="1:8">
      <c r="A2649" t="s">
        <v>155</v>
      </c>
      <c r="B2649" t="s">
        <v>172</v>
      </c>
      <c r="C2649">
        <v>220</v>
      </c>
      <c r="D2649" t="s">
        <v>171</v>
      </c>
      <c r="E2649" s="242">
        <v>41940.480555555558</v>
      </c>
      <c r="F2649">
        <v>0</v>
      </c>
      <c r="G2649" t="b">
        <v>0</v>
      </c>
      <c r="H2649" t="s">
        <v>15</v>
      </c>
    </row>
    <row r="2650" spans="1:8">
      <c r="A2650" t="s">
        <v>156</v>
      </c>
      <c r="B2650" t="s">
        <v>172</v>
      </c>
      <c r="C2650">
        <v>220</v>
      </c>
      <c r="D2650" t="s">
        <v>171</v>
      </c>
      <c r="E2650" s="242">
        <v>42030</v>
      </c>
      <c r="F2650">
        <v>0</v>
      </c>
      <c r="G2650" t="b">
        <v>0</v>
      </c>
      <c r="H2650" t="s">
        <v>15</v>
      </c>
    </row>
    <row r="2651" spans="1:8">
      <c r="A2651" t="s">
        <v>157</v>
      </c>
      <c r="B2651" t="s">
        <v>172</v>
      </c>
      <c r="C2651">
        <v>220</v>
      </c>
      <c r="D2651" t="s">
        <v>171</v>
      </c>
      <c r="E2651" s="242">
        <v>42093</v>
      </c>
      <c r="F2651">
        <v>0</v>
      </c>
      <c r="G2651" t="b">
        <v>0</v>
      </c>
      <c r="H2651" t="s">
        <v>15</v>
      </c>
    </row>
    <row r="2652" spans="1:8">
      <c r="A2652" t="s">
        <v>169</v>
      </c>
      <c r="B2652" t="s">
        <v>172</v>
      </c>
      <c r="C2652">
        <v>220</v>
      </c>
      <c r="D2652" t="s">
        <v>171</v>
      </c>
      <c r="E2652" s="242">
        <v>42082.486805555556</v>
      </c>
      <c r="F2652">
        <v>0</v>
      </c>
      <c r="G2652" t="b">
        <v>0</v>
      </c>
      <c r="H2652" t="s">
        <v>15</v>
      </c>
    </row>
    <row r="2653" spans="1:8">
      <c r="A2653" t="s">
        <v>170</v>
      </c>
      <c r="B2653" t="s">
        <v>172</v>
      </c>
      <c r="C2653">
        <v>220</v>
      </c>
      <c r="D2653" t="s">
        <v>171</v>
      </c>
      <c r="E2653" s="242">
        <v>42042.40902777778</v>
      </c>
      <c r="F2653">
        <v>0</v>
      </c>
      <c r="G2653" t="b">
        <v>0</v>
      </c>
      <c r="H2653" t="s">
        <v>15</v>
      </c>
    </row>
    <row r="2654" spans="1:8">
      <c r="A2654" t="s">
        <v>158</v>
      </c>
      <c r="B2654" t="s">
        <v>172</v>
      </c>
      <c r="C2654">
        <v>220</v>
      </c>
      <c r="D2654" t="s">
        <v>171</v>
      </c>
      <c r="E2654" s="242">
        <v>42043</v>
      </c>
      <c r="F2654">
        <v>0</v>
      </c>
      <c r="G2654" t="b">
        <v>0</v>
      </c>
      <c r="H2654" t="s">
        <v>15</v>
      </c>
    </row>
    <row r="2655" spans="1:8">
      <c r="A2655" t="s">
        <v>159</v>
      </c>
      <c r="B2655" t="s">
        <v>172</v>
      </c>
      <c r="C2655">
        <v>220</v>
      </c>
      <c r="D2655" t="s">
        <v>171</v>
      </c>
      <c r="E2655" s="242">
        <v>42043.621527777781</v>
      </c>
      <c r="F2655">
        <v>0</v>
      </c>
      <c r="G2655" t="b">
        <v>0</v>
      </c>
      <c r="H2655" t="s">
        <v>15</v>
      </c>
    </row>
    <row r="2656" spans="1:8">
      <c r="A2656" t="s">
        <v>160</v>
      </c>
      <c r="B2656" t="s">
        <v>172</v>
      </c>
      <c r="C2656">
        <v>220</v>
      </c>
      <c r="D2656" t="s">
        <v>171</v>
      </c>
      <c r="E2656" s="242">
        <v>42056</v>
      </c>
      <c r="F2656">
        <v>0</v>
      </c>
      <c r="G2656" t="b">
        <v>0</v>
      </c>
      <c r="H2656" t="s">
        <v>15</v>
      </c>
    </row>
    <row r="2657" spans="1:8">
      <c r="A2657" t="s">
        <v>160</v>
      </c>
      <c r="B2657" t="s">
        <v>172</v>
      </c>
      <c r="C2657">
        <v>225</v>
      </c>
      <c r="D2657" t="s">
        <v>171</v>
      </c>
      <c r="E2657" s="242">
        <v>41961.581944444442</v>
      </c>
      <c r="F2657">
        <v>0</v>
      </c>
      <c r="G2657" t="b">
        <v>0</v>
      </c>
      <c r="H2657" t="s">
        <v>15</v>
      </c>
    </row>
    <row r="2658" spans="1:8">
      <c r="A2658" t="s">
        <v>164</v>
      </c>
      <c r="B2658" t="s">
        <v>172</v>
      </c>
      <c r="C2658">
        <v>225</v>
      </c>
      <c r="D2658" t="s">
        <v>17</v>
      </c>
      <c r="E2658" s="242">
        <v>41759</v>
      </c>
      <c r="F2658">
        <v>0</v>
      </c>
      <c r="G2658" t="b">
        <v>0</v>
      </c>
      <c r="H2658" t="s">
        <v>15</v>
      </c>
    </row>
    <row r="2659" spans="1:8">
      <c r="A2659" t="s">
        <v>163</v>
      </c>
      <c r="B2659" t="s">
        <v>172</v>
      </c>
      <c r="C2659">
        <v>225</v>
      </c>
      <c r="D2659" t="s">
        <v>17</v>
      </c>
      <c r="E2659" s="242">
        <v>41759</v>
      </c>
      <c r="F2659">
        <v>0</v>
      </c>
      <c r="G2659" t="b">
        <v>0</v>
      </c>
      <c r="H2659" t="s">
        <v>15</v>
      </c>
    </row>
    <row r="2660" spans="1:8">
      <c r="A2660" t="s">
        <v>153</v>
      </c>
      <c r="B2660" t="s">
        <v>172</v>
      </c>
      <c r="C2660">
        <v>225</v>
      </c>
      <c r="D2660" t="s">
        <v>17</v>
      </c>
      <c r="E2660" s="242">
        <v>41885</v>
      </c>
      <c r="F2660">
        <v>0</v>
      </c>
      <c r="G2660" t="b">
        <v>0</v>
      </c>
      <c r="H2660" t="s">
        <v>15</v>
      </c>
    </row>
    <row r="2661" spans="1:8">
      <c r="A2661" t="s">
        <v>154</v>
      </c>
      <c r="B2661" t="s">
        <v>172</v>
      </c>
      <c r="C2661">
        <v>225</v>
      </c>
      <c r="D2661" t="s">
        <v>17</v>
      </c>
      <c r="E2661" s="242">
        <v>41571</v>
      </c>
      <c r="G2661" t="b">
        <v>0</v>
      </c>
      <c r="H2661" t="s">
        <v>15</v>
      </c>
    </row>
    <row r="2662" spans="1:8">
      <c r="A2662" t="s">
        <v>157</v>
      </c>
      <c r="B2662" t="s">
        <v>172</v>
      </c>
      <c r="C2662">
        <v>225</v>
      </c>
      <c r="D2662" t="s">
        <v>17</v>
      </c>
      <c r="E2662" s="242">
        <v>41575</v>
      </c>
      <c r="G2662" t="b">
        <v>0</v>
      </c>
      <c r="H2662" t="s">
        <v>15</v>
      </c>
    </row>
    <row r="2663" spans="1:8">
      <c r="A2663" t="s">
        <v>170</v>
      </c>
      <c r="B2663" t="s">
        <v>172</v>
      </c>
      <c r="C2663">
        <v>225</v>
      </c>
      <c r="D2663" t="s">
        <v>17</v>
      </c>
      <c r="E2663" s="242">
        <v>41969</v>
      </c>
      <c r="F2663">
        <v>0</v>
      </c>
      <c r="G2663" t="b">
        <v>0</v>
      </c>
      <c r="H2663" t="s">
        <v>15</v>
      </c>
    </row>
    <row r="2664" spans="1:8">
      <c r="A2664" t="s">
        <v>160</v>
      </c>
      <c r="B2664" t="s">
        <v>172</v>
      </c>
      <c r="C2664">
        <v>225</v>
      </c>
      <c r="D2664" t="s">
        <v>17</v>
      </c>
      <c r="E2664" s="242">
        <v>41960.581944444442</v>
      </c>
      <c r="F2664">
        <v>0</v>
      </c>
      <c r="G2664" t="b">
        <v>0</v>
      </c>
      <c r="H2664" t="s">
        <v>15</v>
      </c>
    </row>
    <row r="2665" spans="1:8">
      <c r="A2665" t="s">
        <v>164</v>
      </c>
      <c r="B2665" t="s">
        <v>172</v>
      </c>
      <c r="C2665">
        <v>226</v>
      </c>
      <c r="D2665" t="s">
        <v>171</v>
      </c>
      <c r="E2665" s="242">
        <v>41759</v>
      </c>
      <c r="F2665">
        <v>0</v>
      </c>
      <c r="G2665" t="b">
        <v>0</v>
      </c>
      <c r="H2665" t="s">
        <v>15</v>
      </c>
    </row>
    <row r="2666" spans="1:8">
      <c r="A2666" t="s">
        <v>161</v>
      </c>
      <c r="B2666" t="s">
        <v>172</v>
      </c>
      <c r="C2666">
        <v>226</v>
      </c>
      <c r="D2666" t="s">
        <v>171</v>
      </c>
      <c r="E2666" s="242">
        <v>42074</v>
      </c>
      <c r="F2666">
        <v>0</v>
      </c>
      <c r="G2666" t="b">
        <v>0</v>
      </c>
      <c r="H2666" t="s">
        <v>15</v>
      </c>
    </row>
    <row r="2667" spans="1:8">
      <c r="A2667" t="s">
        <v>163</v>
      </c>
      <c r="B2667" t="s">
        <v>172</v>
      </c>
      <c r="C2667">
        <v>226</v>
      </c>
      <c r="D2667" t="s">
        <v>171</v>
      </c>
      <c r="E2667" s="242">
        <v>41759</v>
      </c>
      <c r="F2667">
        <v>0</v>
      </c>
      <c r="G2667" t="b">
        <v>0</v>
      </c>
      <c r="H2667" t="s">
        <v>15</v>
      </c>
    </row>
    <row r="2668" spans="1:8">
      <c r="A2668" t="s">
        <v>154</v>
      </c>
      <c r="B2668" t="s">
        <v>172</v>
      </c>
      <c r="C2668">
        <v>226</v>
      </c>
      <c r="D2668" t="s">
        <v>171</v>
      </c>
      <c r="E2668" s="242">
        <v>41936</v>
      </c>
      <c r="F2668">
        <v>0</v>
      </c>
      <c r="G2668" t="b">
        <v>0</v>
      </c>
      <c r="H2668" t="s">
        <v>15</v>
      </c>
    </row>
    <row r="2669" spans="1:8">
      <c r="A2669" t="s">
        <v>157</v>
      </c>
      <c r="B2669" t="s">
        <v>172</v>
      </c>
      <c r="C2669">
        <v>226</v>
      </c>
      <c r="D2669" t="s">
        <v>171</v>
      </c>
      <c r="E2669" s="242">
        <v>41940</v>
      </c>
      <c r="F2669">
        <v>0</v>
      </c>
      <c r="G2669" t="b">
        <v>0</v>
      </c>
      <c r="H2669" t="s">
        <v>15</v>
      </c>
    </row>
    <row r="2670" spans="1:8">
      <c r="A2670" t="s">
        <v>170</v>
      </c>
      <c r="B2670" t="s">
        <v>172</v>
      </c>
      <c r="C2670">
        <v>226</v>
      </c>
      <c r="D2670" t="s">
        <v>171</v>
      </c>
      <c r="E2670" s="242">
        <v>41969</v>
      </c>
      <c r="F2670">
        <v>0</v>
      </c>
      <c r="G2670" t="b">
        <v>0</v>
      </c>
      <c r="H2670" t="s">
        <v>15</v>
      </c>
    </row>
    <row r="2671" spans="1:8">
      <c r="A2671" t="s">
        <v>160</v>
      </c>
      <c r="B2671" t="s">
        <v>172</v>
      </c>
      <c r="C2671">
        <v>226</v>
      </c>
      <c r="D2671" t="s">
        <v>171</v>
      </c>
      <c r="E2671" s="242">
        <v>42122</v>
      </c>
      <c r="F2671">
        <v>0</v>
      </c>
      <c r="G2671" t="b">
        <v>0</v>
      </c>
      <c r="H2671" t="s">
        <v>15</v>
      </c>
    </row>
    <row r="2672" spans="1:8">
      <c r="A2672" t="s">
        <v>164</v>
      </c>
      <c r="B2672" t="s">
        <v>172</v>
      </c>
      <c r="C2672">
        <v>230</v>
      </c>
      <c r="D2672" t="s">
        <v>146</v>
      </c>
      <c r="E2672" s="242">
        <v>42029</v>
      </c>
      <c r="F2672">
        <v>0</v>
      </c>
      <c r="G2672" t="b">
        <v>0</v>
      </c>
      <c r="H2672" t="s">
        <v>15</v>
      </c>
    </row>
    <row r="2673" spans="1:8">
      <c r="A2673" t="s">
        <v>161</v>
      </c>
      <c r="B2673" t="s">
        <v>172</v>
      </c>
      <c r="C2673">
        <v>230</v>
      </c>
      <c r="D2673" t="s">
        <v>146</v>
      </c>
      <c r="E2673" s="242">
        <v>42008</v>
      </c>
      <c r="F2673">
        <v>0</v>
      </c>
      <c r="G2673" t="b">
        <v>0</v>
      </c>
      <c r="H2673" t="s">
        <v>15</v>
      </c>
    </row>
    <row r="2674" spans="1:8">
      <c r="A2674" t="s">
        <v>148</v>
      </c>
      <c r="B2674" t="s">
        <v>172</v>
      </c>
      <c r="C2674">
        <v>230</v>
      </c>
      <c r="D2674" t="s">
        <v>146</v>
      </c>
      <c r="E2674" s="242">
        <v>41961.647916666669</v>
      </c>
      <c r="F2674">
        <v>0</v>
      </c>
      <c r="G2674" t="b">
        <v>0</v>
      </c>
      <c r="H2674" t="s">
        <v>15</v>
      </c>
    </row>
    <row r="2675" spans="1:8">
      <c r="A2675" t="s">
        <v>162</v>
      </c>
      <c r="B2675" t="s">
        <v>172</v>
      </c>
      <c r="C2675">
        <v>230</v>
      </c>
      <c r="D2675" t="s">
        <v>146</v>
      </c>
      <c r="E2675" s="242">
        <v>42051</v>
      </c>
      <c r="F2675">
        <v>0</v>
      </c>
      <c r="G2675" t="b">
        <v>0</v>
      </c>
      <c r="H2675" t="s">
        <v>15</v>
      </c>
    </row>
    <row r="2676" spans="1:8">
      <c r="A2676" t="s">
        <v>163</v>
      </c>
      <c r="B2676" t="s">
        <v>172</v>
      </c>
      <c r="C2676">
        <v>230</v>
      </c>
      <c r="D2676" t="s">
        <v>146</v>
      </c>
      <c r="E2676" s="242">
        <v>42029</v>
      </c>
      <c r="F2676">
        <v>0</v>
      </c>
      <c r="G2676" t="b">
        <v>0</v>
      </c>
      <c r="H2676" t="s">
        <v>15</v>
      </c>
    </row>
    <row r="2677" spans="1:8">
      <c r="A2677" t="s">
        <v>166</v>
      </c>
      <c r="B2677" t="s">
        <v>172</v>
      </c>
      <c r="C2677">
        <v>230</v>
      </c>
      <c r="D2677" t="s">
        <v>146</v>
      </c>
      <c r="E2677" s="242">
        <v>42046.4375</v>
      </c>
      <c r="F2677">
        <v>0</v>
      </c>
      <c r="G2677" t="b">
        <v>0</v>
      </c>
      <c r="H2677" t="s">
        <v>15</v>
      </c>
    </row>
    <row r="2678" spans="1:8">
      <c r="A2678" t="s">
        <v>150</v>
      </c>
      <c r="B2678" t="s">
        <v>172</v>
      </c>
      <c r="C2678">
        <v>230</v>
      </c>
      <c r="D2678" t="s">
        <v>146</v>
      </c>
      <c r="E2678" s="242">
        <v>42058</v>
      </c>
      <c r="F2678">
        <v>0</v>
      </c>
      <c r="G2678" t="b">
        <v>0</v>
      </c>
      <c r="H2678" t="s">
        <v>15</v>
      </c>
    </row>
    <row r="2679" spans="1:8">
      <c r="A2679" t="s">
        <v>167</v>
      </c>
      <c r="B2679" t="s">
        <v>172</v>
      </c>
      <c r="C2679">
        <v>230</v>
      </c>
      <c r="D2679" t="s">
        <v>146</v>
      </c>
      <c r="E2679" s="242">
        <v>42070</v>
      </c>
      <c r="F2679">
        <v>0</v>
      </c>
      <c r="G2679" t="b">
        <v>0</v>
      </c>
      <c r="H2679" t="s">
        <v>15</v>
      </c>
    </row>
    <row r="2680" spans="1:8">
      <c r="A2680" t="s">
        <v>153</v>
      </c>
      <c r="B2680" t="s">
        <v>172</v>
      </c>
      <c r="C2680">
        <v>230</v>
      </c>
      <c r="D2680" t="s">
        <v>146</v>
      </c>
      <c r="E2680" s="242">
        <v>42066.689583333333</v>
      </c>
      <c r="F2680">
        <v>0</v>
      </c>
      <c r="G2680" t="b">
        <v>0</v>
      </c>
      <c r="H2680" t="s">
        <v>15</v>
      </c>
    </row>
    <row r="2681" spans="1:8">
      <c r="A2681" t="s">
        <v>154</v>
      </c>
      <c r="B2681" t="s">
        <v>172</v>
      </c>
      <c r="C2681">
        <v>230</v>
      </c>
      <c r="D2681" t="s">
        <v>146</v>
      </c>
      <c r="E2681" s="242">
        <v>42009.709722222222</v>
      </c>
      <c r="F2681">
        <v>0</v>
      </c>
      <c r="G2681" t="b">
        <v>0</v>
      </c>
      <c r="H2681" t="s">
        <v>15</v>
      </c>
    </row>
    <row r="2682" spans="1:8">
      <c r="A2682" t="s">
        <v>157</v>
      </c>
      <c r="B2682" t="s">
        <v>172</v>
      </c>
      <c r="C2682">
        <v>230</v>
      </c>
      <c r="D2682" t="s">
        <v>146</v>
      </c>
      <c r="E2682" s="242">
        <v>41990.432638888888</v>
      </c>
      <c r="F2682">
        <v>0</v>
      </c>
      <c r="G2682" t="b">
        <v>0</v>
      </c>
      <c r="H2682" t="s">
        <v>15</v>
      </c>
    </row>
    <row r="2683" spans="1:8">
      <c r="A2683" t="s">
        <v>170</v>
      </c>
      <c r="B2683" t="s">
        <v>172</v>
      </c>
      <c r="C2683">
        <v>230</v>
      </c>
      <c r="D2683" t="s">
        <v>146</v>
      </c>
      <c r="E2683" s="242">
        <v>42059</v>
      </c>
      <c r="F2683">
        <v>0</v>
      </c>
      <c r="G2683" t="b">
        <v>0</v>
      </c>
      <c r="H2683" t="s">
        <v>15</v>
      </c>
    </row>
    <row r="2684" spans="1:8">
      <c r="A2684" t="s">
        <v>158</v>
      </c>
      <c r="B2684" t="s">
        <v>172</v>
      </c>
      <c r="C2684">
        <v>230</v>
      </c>
      <c r="D2684" t="s">
        <v>146</v>
      </c>
      <c r="E2684" s="242">
        <v>42068.404166666667</v>
      </c>
      <c r="F2684">
        <v>0</v>
      </c>
      <c r="G2684" t="b">
        <v>0</v>
      </c>
      <c r="H2684" t="s">
        <v>15</v>
      </c>
    </row>
    <row r="2685" spans="1:8">
      <c r="A2685" t="s">
        <v>160</v>
      </c>
      <c r="B2685" t="s">
        <v>172</v>
      </c>
      <c r="C2685">
        <v>230</v>
      </c>
      <c r="D2685" t="s">
        <v>146</v>
      </c>
      <c r="E2685" s="242">
        <v>42050.371527777781</v>
      </c>
      <c r="F2685">
        <v>0</v>
      </c>
      <c r="G2685" t="b">
        <v>0</v>
      </c>
      <c r="H2685" t="s">
        <v>15</v>
      </c>
    </row>
    <row r="2686" spans="1:8">
      <c r="A2686" t="s">
        <v>161</v>
      </c>
      <c r="B2686" t="s">
        <v>172</v>
      </c>
      <c r="C2686">
        <v>240</v>
      </c>
      <c r="D2686" t="s">
        <v>146</v>
      </c>
      <c r="E2686" s="242">
        <v>42004.756249999999</v>
      </c>
      <c r="F2686">
        <v>0</v>
      </c>
      <c r="G2686" t="b">
        <v>0</v>
      </c>
      <c r="H2686" t="s">
        <v>15</v>
      </c>
    </row>
    <row r="2687" spans="1:8">
      <c r="A2687" t="s">
        <v>148</v>
      </c>
      <c r="B2687" t="s">
        <v>172</v>
      </c>
      <c r="C2687">
        <v>245</v>
      </c>
      <c r="D2687" t="s">
        <v>146</v>
      </c>
      <c r="E2687" s="242">
        <v>42111.591666666667</v>
      </c>
      <c r="F2687">
        <v>0</v>
      </c>
      <c r="G2687" t="b">
        <v>0</v>
      </c>
      <c r="H2687" t="s">
        <v>15</v>
      </c>
    </row>
    <row r="2688" spans="1:8">
      <c r="A2688" t="s">
        <v>161</v>
      </c>
      <c r="B2688" t="s">
        <v>172</v>
      </c>
      <c r="C2688">
        <v>250</v>
      </c>
      <c r="D2688" t="s">
        <v>146</v>
      </c>
      <c r="E2688" s="242">
        <v>42017.716666666667</v>
      </c>
      <c r="F2688">
        <v>0</v>
      </c>
      <c r="G2688" t="b">
        <v>0</v>
      </c>
      <c r="H2688" t="s">
        <v>15</v>
      </c>
    </row>
    <row r="2689" spans="1:8">
      <c r="A2689" t="s">
        <v>165</v>
      </c>
      <c r="B2689" t="s">
        <v>172</v>
      </c>
      <c r="C2689">
        <v>350</v>
      </c>
      <c r="D2689" t="s">
        <v>171</v>
      </c>
      <c r="E2689" s="242">
        <v>41935.668749999997</v>
      </c>
      <c r="F2689">
        <v>0</v>
      </c>
      <c r="G2689" t="b">
        <v>0</v>
      </c>
      <c r="H2689" t="s">
        <v>15</v>
      </c>
    </row>
    <row r="2690" spans="1:8">
      <c r="A2690" t="s">
        <v>166</v>
      </c>
      <c r="B2690" t="s">
        <v>172</v>
      </c>
      <c r="C2690">
        <v>350</v>
      </c>
      <c r="D2690" t="s">
        <v>171</v>
      </c>
      <c r="E2690" s="242">
        <v>42108.416666666664</v>
      </c>
      <c r="F2690">
        <v>0</v>
      </c>
      <c r="G2690" t="b">
        <v>0</v>
      </c>
      <c r="H2690" t="s">
        <v>15</v>
      </c>
    </row>
    <row r="2691" spans="1:8">
      <c r="A2691" t="s">
        <v>149</v>
      </c>
      <c r="B2691" t="s">
        <v>172</v>
      </c>
      <c r="C2691">
        <v>350</v>
      </c>
      <c r="D2691" t="s">
        <v>171</v>
      </c>
      <c r="E2691" s="242">
        <v>41965.597916666666</v>
      </c>
      <c r="F2691">
        <v>0</v>
      </c>
      <c r="G2691" t="b">
        <v>0</v>
      </c>
      <c r="H2691" t="s">
        <v>15</v>
      </c>
    </row>
    <row r="2692" spans="1:8">
      <c r="A2692" t="s">
        <v>150</v>
      </c>
      <c r="B2692" t="s">
        <v>172</v>
      </c>
      <c r="C2692">
        <v>350</v>
      </c>
      <c r="D2692" t="s">
        <v>171</v>
      </c>
      <c r="E2692" s="242">
        <v>41949.438194444447</v>
      </c>
      <c r="F2692">
        <v>0</v>
      </c>
      <c r="G2692" t="b">
        <v>0</v>
      </c>
      <c r="H2692" t="s">
        <v>15</v>
      </c>
    </row>
    <row r="2693" spans="1:8">
      <c r="A2693" t="s">
        <v>151</v>
      </c>
      <c r="B2693" t="s">
        <v>172</v>
      </c>
      <c r="C2693">
        <v>350</v>
      </c>
      <c r="D2693" t="s">
        <v>171</v>
      </c>
      <c r="E2693" s="242">
        <v>41965.890972222223</v>
      </c>
      <c r="F2693">
        <v>0</v>
      </c>
      <c r="G2693" t="b">
        <v>0</v>
      </c>
      <c r="H2693" t="s">
        <v>15</v>
      </c>
    </row>
    <row r="2694" spans="1:8">
      <c r="A2694" t="s">
        <v>152</v>
      </c>
      <c r="B2694" t="s">
        <v>172</v>
      </c>
      <c r="C2694">
        <v>350</v>
      </c>
      <c r="D2694" t="s">
        <v>171</v>
      </c>
      <c r="E2694" s="242">
        <v>41976.688888888886</v>
      </c>
      <c r="F2694">
        <v>0</v>
      </c>
      <c r="G2694" t="b">
        <v>0</v>
      </c>
      <c r="H2694" t="s">
        <v>15</v>
      </c>
    </row>
    <row r="2695" spans="1:8">
      <c r="A2695" t="s">
        <v>145</v>
      </c>
      <c r="B2695" t="s">
        <v>172</v>
      </c>
      <c r="C2695">
        <v>350</v>
      </c>
      <c r="D2695" t="s">
        <v>171</v>
      </c>
      <c r="E2695" s="242">
        <v>41984.530555555553</v>
      </c>
      <c r="F2695">
        <v>0</v>
      </c>
      <c r="G2695" t="b">
        <v>0</v>
      </c>
      <c r="H2695" t="s">
        <v>15</v>
      </c>
    </row>
    <row r="2696" spans="1:8">
      <c r="A2696" t="s">
        <v>167</v>
      </c>
      <c r="B2696" t="s">
        <v>172</v>
      </c>
      <c r="C2696">
        <v>350</v>
      </c>
      <c r="D2696" t="s">
        <v>171</v>
      </c>
      <c r="E2696" s="242">
        <v>41977.947222222225</v>
      </c>
      <c r="F2696">
        <v>0</v>
      </c>
      <c r="G2696" t="b">
        <v>0</v>
      </c>
      <c r="H2696" t="s">
        <v>15</v>
      </c>
    </row>
    <row r="2697" spans="1:8">
      <c r="A2697" t="s">
        <v>153</v>
      </c>
      <c r="B2697" t="s">
        <v>172</v>
      </c>
      <c r="C2697">
        <v>350</v>
      </c>
      <c r="D2697" t="s">
        <v>171</v>
      </c>
      <c r="E2697" s="242">
        <v>41956.86041666667</v>
      </c>
      <c r="F2697">
        <v>0</v>
      </c>
      <c r="G2697" t="b">
        <v>0</v>
      </c>
      <c r="H2697" t="s">
        <v>15</v>
      </c>
    </row>
    <row r="2698" spans="1:8">
      <c r="A2698" t="s">
        <v>168</v>
      </c>
      <c r="B2698" t="s">
        <v>172</v>
      </c>
      <c r="C2698">
        <v>350</v>
      </c>
      <c r="D2698" t="s">
        <v>171</v>
      </c>
      <c r="E2698" s="242">
        <v>42088</v>
      </c>
      <c r="F2698">
        <v>0</v>
      </c>
      <c r="G2698" t="b">
        <v>0</v>
      </c>
      <c r="H2698" t="s">
        <v>15</v>
      </c>
    </row>
    <row r="2699" spans="1:8">
      <c r="A2699" t="s">
        <v>155</v>
      </c>
      <c r="B2699" t="s">
        <v>172</v>
      </c>
      <c r="C2699">
        <v>350</v>
      </c>
      <c r="D2699" t="s">
        <v>171</v>
      </c>
      <c r="E2699" s="242">
        <v>41975.618750000001</v>
      </c>
      <c r="F2699">
        <v>0</v>
      </c>
      <c r="G2699" t="b">
        <v>0</v>
      </c>
      <c r="H2699" t="s">
        <v>15</v>
      </c>
    </row>
    <row r="2700" spans="1:8">
      <c r="A2700" t="s">
        <v>156</v>
      </c>
      <c r="B2700" t="s">
        <v>172</v>
      </c>
      <c r="C2700">
        <v>350</v>
      </c>
      <c r="D2700" t="s">
        <v>171</v>
      </c>
      <c r="E2700" s="242">
        <v>42123.336805555555</v>
      </c>
      <c r="F2700">
        <v>0</v>
      </c>
      <c r="G2700" t="b">
        <v>0</v>
      </c>
      <c r="H2700" t="s">
        <v>15</v>
      </c>
    </row>
    <row r="2701" spans="1:8">
      <c r="A2701" t="s">
        <v>169</v>
      </c>
      <c r="B2701" t="s">
        <v>172</v>
      </c>
      <c r="C2701">
        <v>350</v>
      </c>
      <c r="D2701" t="s">
        <v>171</v>
      </c>
      <c r="E2701" s="242">
        <v>41965.686111111114</v>
      </c>
      <c r="F2701">
        <v>0</v>
      </c>
      <c r="G2701" t="b">
        <v>0</v>
      </c>
      <c r="H2701" t="s">
        <v>15</v>
      </c>
    </row>
    <row r="2702" spans="1:8">
      <c r="A2702" t="s">
        <v>158</v>
      </c>
      <c r="B2702" t="s">
        <v>172</v>
      </c>
      <c r="C2702">
        <v>350</v>
      </c>
      <c r="D2702" t="s">
        <v>171</v>
      </c>
      <c r="E2702" s="242">
        <v>41965.578472222223</v>
      </c>
      <c r="F2702">
        <v>0</v>
      </c>
      <c r="G2702" t="b">
        <v>0</v>
      </c>
      <c r="H2702" t="s">
        <v>15</v>
      </c>
    </row>
    <row r="2703" spans="1:8">
      <c r="A2703" t="s">
        <v>159</v>
      </c>
      <c r="B2703" t="s">
        <v>172</v>
      </c>
      <c r="C2703">
        <v>350</v>
      </c>
      <c r="D2703" t="s">
        <v>171</v>
      </c>
      <c r="E2703" s="242">
        <v>42028.70208333333</v>
      </c>
      <c r="F2703">
        <v>0</v>
      </c>
      <c r="G2703" t="b">
        <v>0</v>
      </c>
      <c r="H2703" t="s">
        <v>15</v>
      </c>
    </row>
    <row r="2704" spans="1:8">
      <c r="A2704" t="s">
        <v>161</v>
      </c>
      <c r="B2704" t="s">
        <v>172</v>
      </c>
      <c r="C2704">
        <v>351</v>
      </c>
      <c r="D2704" t="s">
        <v>146</v>
      </c>
      <c r="E2704" s="242">
        <v>41995</v>
      </c>
      <c r="F2704">
        <v>0</v>
      </c>
      <c r="G2704" t="b">
        <v>0</v>
      </c>
      <c r="H2704" t="s">
        <v>15</v>
      </c>
    </row>
    <row r="2705" spans="1:8">
      <c r="A2705" t="s">
        <v>148</v>
      </c>
      <c r="B2705" t="s">
        <v>172</v>
      </c>
      <c r="C2705">
        <v>351</v>
      </c>
      <c r="D2705" t="s">
        <v>171</v>
      </c>
      <c r="E2705" s="242">
        <v>42109.643750000003</v>
      </c>
      <c r="F2705">
        <v>0</v>
      </c>
      <c r="G2705" t="b">
        <v>0</v>
      </c>
      <c r="H2705" t="s">
        <v>15</v>
      </c>
    </row>
    <row r="2706" spans="1:8">
      <c r="A2706" t="s">
        <v>162</v>
      </c>
      <c r="B2706" t="s">
        <v>172</v>
      </c>
      <c r="C2706">
        <v>351</v>
      </c>
      <c r="D2706" t="s">
        <v>171</v>
      </c>
      <c r="E2706" s="242">
        <v>41991</v>
      </c>
      <c r="F2706">
        <v>0</v>
      </c>
      <c r="G2706" t="b">
        <v>0</v>
      </c>
      <c r="H2706" t="s">
        <v>15</v>
      </c>
    </row>
    <row r="2707" spans="1:8">
      <c r="A2707" t="s">
        <v>163</v>
      </c>
      <c r="B2707" t="s">
        <v>172</v>
      </c>
      <c r="C2707">
        <v>351</v>
      </c>
      <c r="D2707" t="s">
        <v>171</v>
      </c>
      <c r="E2707" s="242">
        <v>42083.434027777781</v>
      </c>
      <c r="F2707">
        <v>0</v>
      </c>
      <c r="G2707" t="b">
        <v>0</v>
      </c>
      <c r="H2707" t="s">
        <v>15</v>
      </c>
    </row>
    <row r="2708" spans="1:8">
      <c r="A2708" t="s">
        <v>154</v>
      </c>
      <c r="B2708" t="s">
        <v>172</v>
      </c>
      <c r="C2708">
        <v>351</v>
      </c>
      <c r="D2708" t="s">
        <v>171</v>
      </c>
      <c r="E2708" s="242">
        <v>41944.887499999997</v>
      </c>
      <c r="F2708">
        <v>0</v>
      </c>
      <c r="G2708" t="b">
        <v>0</v>
      </c>
      <c r="H2708" t="s">
        <v>15</v>
      </c>
    </row>
    <row r="2709" spans="1:8">
      <c r="A2709" t="s">
        <v>157</v>
      </c>
      <c r="B2709" t="s">
        <v>172</v>
      </c>
      <c r="C2709">
        <v>351</v>
      </c>
      <c r="D2709" t="s">
        <v>171</v>
      </c>
      <c r="E2709" s="242">
        <v>41949.504861111112</v>
      </c>
      <c r="F2709">
        <v>0</v>
      </c>
      <c r="G2709" t="b">
        <v>0</v>
      </c>
      <c r="H2709" t="s">
        <v>15</v>
      </c>
    </row>
    <row r="2710" spans="1:8">
      <c r="A2710" t="s">
        <v>160</v>
      </c>
      <c r="B2710" t="s">
        <v>172</v>
      </c>
      <c r="C2710">
        <v>351</v>
      </c>
      <c r="D2710" t="s">
        <v>171</v>
      </c>
      <c r="E2710" s="242">
        <v>41961.59375</v>
      </c>
      <c r="F2710">
        <v>0</v>
      </c>
      <c r="G2710" t="b">
        <v>0</v>
      </c>
      <c r="H2710" t="s">
        <v>15</v>
      </c>
    </row>
    <row r="2711" spans="1:8">
      <c r="A2711" t="s">
        <v>161</v>
      </c>
      <c r="B2711" t="s">
        <v>172</v>
      </c>
      <c r="C2711">
        <v>352</v>
      </c>
      <c r="D2711" t="s">
        <v>171</v>
      </c>
      <c r="E2711" s="242">
        <v>42009</v>
      </c>
      <c r="F2711">
        <v>0</v>
      </c>
      <c r="G2711" t="b">
        <v>0</v>
      </c>
      <c r="H2711" t="s">
        <v>15</v>
      </c>
    </row>
    <row r="2712" spans="1:8">
      <c r="A2712" t="s">
        <v>165</v>
      </c>
      <c r="B2712" t="s">
        <v>172</v>
      </c>
      <c r="C2712">
        <v>352</v>
      </c>
      <c r="D2712" t="s">
        <v>171</v>
      </c>
      <c r="E2712" s="242">
        <v>41969</v>
      </c>
      <c r="F2712">
        <v>0</v>
      </c>
      <c r="G2712" t="b">
        <v>0</v>
      </c>
      <c r="H2712" t="s">
        <v>15</v>
      </c>
    </row>
    <row r="2713" spans="1:8">
      <c r="A2713" t="s">
        <v>148</v>
      </c>
      <c r="B2713" t="s">
        <v>172</v>
      </c>
      <c r="C2713">
        <v>352</v>
      </c>
      <c r="D2713" t="s">
        <v>171</v>
      </c>
      <c r="E2713" s="242">
        <v>41679</v>
      </c>
      <c r="G2713" t="b">
        <v>0</v>
      </c>
      <c r="H2713" t="s">
        <v>15</v>
      </c>
    </row>
    <row r="2714" spans="1:8">
      <c r="A2714" t="s">
        <v>149</v>
      </c>
      <c r="B2714" t="s">
        <v>172</v>
      </c>
      <c r="C2714">
        <v>352</v>
      </c>
      <c r="D2714" t="s">
        <v>171</v>
      </c>
      <c r="E2714" s="242">
        <v>41890</v>
      </c>
      <c r="F2714">
        <v>0</v>
      </c>
      <c r="G2714" t="b">
        <v>0</v>
      </c>
      <c r="H2714" t="s">
        <v>15</v>
      </c>
    </row>
    <row r="2715" spans="1:8">
      <c r="A2715" t="s">
        <v>150</v>
      </c>
      <c r="B2715" t="s">
        <v>172</v>
      </c>
      <c r="C2715">
        <v>352</v>
      </c>
      <c r="D2715" t="s">
        <v>171</v>
      </c>
      <c r="E2715" s="242">
        <v>41968</v>
      </c>
      <c r="F2715">
        <v>0</v>
      </c>
      <c r="G2715" t="b">
        <v>0</v>
      </c>
      <c r="H2715" t="s">
        <v>15</v>
      </c>
    </row>
    <row r="2716" spans="1:8">
      <c r="A2716" t="s">
        <v>151</v>
      </c>
      <c r="B2716" t="s">
        <v>172</v>
      </c>
      <c r="C2716">
        <v>352</v>
      </c>
      <c r="D2716" t="s">
        <v>171</v>
      </c>
      <c r="E2716" s="242">
        <v>41901</v>
      </c>
      <c r="F2716">
        <v>0</v>
      </c>
      <c r="G2716" t="b">
        <v>0</v>
      </c>
      <c r="H2716" t="s">
        <v>15</v>
      </c>
    </row>
    <row r="2717" spans="1:8">
      <c r="A2717" t="s">
        <v>145</v>
      </c>
      <c r="B2717" t="s">
        <v>172</v>
      </c>
      <c r="C2717">
        <v>352</v>
      </c>
      <c r="D2717" t="s">
        <v>171</v>
      </c>
      <c r="E2717" s="242">
        <v>41969</v>
      </c>
      <c r="F2717">
        <v>0</v>
      </c>
      <c r="G2717" t="b">
        <v>0</v>
      </c>
      <c r="H2717" t="s">
        <v>15</v>
      </c>
    </row>
    <row r="2718" spans="1:8">
      <c r="A2718" t="s">
        <v>167</v>
      </c>
      <c r="B2718" t="s">
        <v>172</v>
      </c>
      <c r="C2718">
        <v>352</v>
      </c>
      <c r="D2718" t="s">
        <v>171</v>
      </c>
      <c r="E2718" s="242">
        <v>41901</v>
      </c>
      <c r="F2718">
        <v>0</v>
      </c>
      <c r="G2718" t="b">
        <v>0</v>
      </c>
      <c r="H2718" t="s">
        <v>15</v>
      </c>
    </row>
    <row r="2719" spans="1:8">
      <c r="A2719" t="s">
        <v>153</v>
      </c>
      <c r="B2719" t="s">
        <v>172</v>
      </c>
      <c r="C2719">
        <v>352</v>
      </c>
      <c r="D2719" t="s">
        <v>171</v>
      </c>
      <c r="E2719" s="242">
        <v>41885</v>
      </c>
      <c r="F2719">
        <v>0</v>
      </c>
      <c r="G2719" t="b">
        <v>0</v>
      </c>
      <c r="H2719" t="s">
        <v>15</v>
      </c>
    </row>
    <row r="2720" spans="1:8">
      <c r="A2720" t="s">
        <v>154</v>
      </c>
      <c r="B2720" t="s">
        <v>172</v>
      </c>
      <c r="C2720">
        <v>352</v>
      </c>
      <c r="D2720" t="s">
        <v>171</v>
      </c>
      <c r="E2720" s="242">
        <v>41759</v>
      </c>
      <c r="F2720">
        <v>0</v>
      </c>
      <c r="G2720" t="b">
        <v>0</v>
      </c>
      <c r="H2720" t="s">
        <v>15</v>
      </c>
    </row>
    <row r="2721" spans="1:8">
      <c r="A2721" t="s">
        <v>168</v>
      </c>
      <c r="B2721" t="s">
        <v>172</v>
      </c>
      <c r="C2721">
        <v>352</v>
      </c>
      <c r="D2721" t="s">
        <v>171</v>
      </c>
      <c r="E2721" s="242">
        <v>41901</v>
      </c>
      <c r="F2721">
        <v>0</v>
      </c>
      <c r="G2721" t="b">
        <v>0</v>
      </c>
      <c r="H2721" t="s">
        <v>15</v>
      </c>
    </row>
    <row r="2722" spans="1:8">
      <c r="A2722" t="s">
        <v>155</v>
      </c>
      <c r="B2722" t="s">
        <v>172</v>
      </c>
      <c r="C2722">
        <v>352</v>
      </c>
      <c r="D2722" t="s">
        <v>171</v>
      </c>
      <c r="E2722" s="242">
        <v>41893</v>
      </c>
      <c r="F2722">
        <v>0</v>
      </c>
      <c r="G2722" t="b">
        <v>0</v>
      </c>
      <c r="H2722" t="s">
        <v>15</v>
      </c>
    </row>
    <row r="2723" spans="1:8">
      <c r="A2723" t="s">
        <v>157</v>
      </c>
      <c r="B2723" t="s">
        <v>172</v>
      </c>
      <c r="C2723">
        <v>352</v>
      </c>
      <c r="D2723" t="s">
        <v>171</v>
      </c>
      <c r="E2723" s="242">
        <v>41758</v>
      </c>
      <c r="F2723">
        <v>0</v>
      </c>
      <c r="G2723" t="b">
        <v>0</v>
      </c>
      <c r="H2723" t="s">
        <v>15</v>
      </c>
    </row>
    <row r="2724" spans="1:8">
      <c r="A2724" t="s">
        <v>158</v>
      </c>
      <c r="B2724" t="s">
        <v>172</v>
      </c>
      <c r="C2724">
        <v>352</v>
      </c>
      <c r="D2724" t="s">
        <v>171</v>
      </c>
      <c r="E2724" s="242">
        <v>41886</v>
      </c>
      <c r="F2724">
        <v>0</v>
      </c>
      <c r="G2724" t="b">
        <v>0</v>
      </c>
      <c r="H2724" t="s">
        <v>15</v>
      </c>
    </row>
    <row r="2725" spans="1:8">
      <c r="A2725" t="s">
        <v>159</v>
      </c>
      <c r="B2725" t="s">
        <v>172</v>
      </c>
      <c r="C2725">
        <v>352</v>
      </c>
      <c r="D2725" t="s">
        <v>171</v>
      </c>
      <c r="E2725" s="242">
        <v>41890</v>
      </c>
      <c r="F2725">
        <v>0</v>
      </c>
      <c r="G2725" t="b">
        <v>0</v>
      </c>
      <c r="H2725" t="s">
        <v>15</v>
      </c>
    </row>
    <row r="2726" spans="1:8">
      <c r="A2726" t="s">
        <v>160</v>
      </c>
      <c r="B2726" t="s">
        <v>172</v>
      </c>
      <c r="C2726">
        <v>352</v>
      </c>
      <c r="D2726" t="s">
        <v>171</v>
      </c>
      <c r="E2726" s="242">
        <v>41901</v>
      </c>
      <c r="F2726">
        <v>0</v>
      </c>
      <c r="G2726" t="b">
        <v>0</v>
      </c>
      <c r="H2726" t="s">
        <v>15</v>
      </c>
    </row>
    <row r="2727" spans="1:8">
      <c r="A2727" t="s">
        <v>164</v>
      </c>
      <c r="B2727" t="s">
        <v>173</v>
      </c>
      <c r="C2727">
        <v>45</v>
      </c>
      <c r="D2727" t="s">
        <v>147</v>
      </c>
      <c r="E2727" s="242"/>
      <c r="F2727">
        <v>5335.89990234375</v>
      </c>
      <c r="G2727" t="b">
        <v>0</v>
      </c>
      <c r="H2727" t="s">
        <v>15</v>
      </c>
    </row>
    <row r="2728" spans="1:8">
      <c r="A2728" t="s">
        <v>161</v>
      </c>
      <c r="B2728" t="s">
        <v>173</v>
      </c>
      <c r="C2728">
        <v>45</v>
      </c>
      <c r="D2728" t="s">
        <v>147</v>
      </c>
      <c r="E2728" s="242"/>
      <c r="F2728">
        <v>7126</v>
      </c>
      <c r="G2728" t="b">
        <v>0</v>
      </c>
      <c r="H2728" t="s">
        <v>15</v>
      </c>
    </row>
    <row r="2729" spans="1:8">
      <c r="A2729" t="s">
        <v>165</v>
      </c>
      <c r="B2729" t="s">
        <v>173</v>
      </c>
      <c r="C2729">
        <v>45</v>
      </c>
      <c r="D2729" t="s">
        <v>147</v>
      </c>
      <c r="E2729" s="242"/>
      <c r="F2729">
        <v>7703.7001953125</v>
      </c>
      <c r="G2729" t="b">
        <v>0</v>
      </c>
      <c r="H2729" t="s">
        <v>15</v>
      </c>
    </row>
    <row r="2730" spans="1:8">
      <c r="A2730" t="s">
        <v>148</v>
      </c>
      <c r="B2730" t="s">
        <v>173</v>
      </c>
      <c r="C2730">
        <v>45</v>
      </c>
      <c r="D2730" t="s">
        <v>147</v>
      </c>
      <c r="E2730" s="242"/>
      <c r="F2730">
        <v>6703.39990234375</v>
      </c>
      <c r="G2730" t="b">
        <v>0</v>
      </c>
      <c r="H2730" t="s">
        <v>15</v>
      </c>
    </row>
    <row r="2731" spans="1:8">
      <c r="A2731" t="s">
        <v>162</v>
      </c>
      <c r="B2731" t="s">
        <v>173</v>
      </c>
      <c r="C2731">
        <v>45</v>
      </c>
      <c r="D2731" t="s">
        <v>147</v>
      </c>
      <c r="E2731" s="242"/>
      <c r="F2731">
        <v>7383.10009765625</v>
      </c>
      <c r="G2731" t="b">
        <v>0</v>
      </c>
      <c r="H2731" t="s">
        <v>15</v>
      </c>
    </row>
    <row r="2732" spans="1:8">
      <c r="A2732" t="s">
        <v>163</v>
      </c>
      <c r="B2732" t="s">
        <v>173</v>
      </c>
      <c r="C2732">
        <v>45</v>
      </c>
      <c r="D2732" t="s">
        <v>147</v>
      </c>
      <c r="E2732" s="242"/>
      <c r="F2732">
        <v>4812.2001953125</v>
      </c>
      <c r="G2732" t="b">
        <v>0</v>
      </c>
      <c r="H2732" t="s">
        <v>15</v>
      </c>
    </row>
    <row r="2733" spans="1:8">
      <c r="A2733" t="s">
        <v>166</v>
      </c>
      <c r="B2733" t="s">
        <v>173</v>
      </c>
      <c r="C2733">
        <v>45</v>
      </c>
      <c r="D2733" t="s">
        <v>147</v>
      </c>
      <c r="E2733" s="242"/>
      <c r="F2733">
        <v>3465.19995117187</v>
      </c>
      <c r="G2733" t="b">
        <v>0</v>
      </c>
      <c r="H2733" t="s">
        <v>15</v>
      </c>
    </row>
    <row r="2734" spans="1:8">
      <c r="A2734" t="s">
        <v>149</v>
      </c>
      <c r="B2734" t="s">
        <v>173</v>
      </c>
      <c r="C2734">
        <v>45</v>
      </c>
      <c r="D2734" t="s">
        <v>147</v>
      </c>
      <c r="E2734" s="242"/>
      <c r="F2734">
        <v>5078.7001953125</v>
      </c>
      <c r="G2734" t="b">
        <v>0</v>
      </c>
      <c r="H2734" t="s">
        <v>15</v>
      </c>
    </row>
    <row r="2735" spans="1:8">
      <c r="A2735" t="s">
        <v>150</v>
      </c>
      <c r="B2735" t="s">
        <v>173</v>
      </c>
      <c r="C2735">
        <v>45</v>
      </c>
      <c r="D2735" t="s">
        <v>147</v>
      </c>
      <c r="E2735" s="242"/>
      <c r="F2735">
        <v>3985</v>
      </c>
      <c r="G2735" t="b">
        <v>0</v>
      </c>
      <c r="H2735" t="s">
        <v>15</v>
      </c>
    </row>
    <row r="2736" spans="1:8">
      <c r="A2736" t="s">
        <v>151</v>
      </c>
      <c r="B2736" t="s">
        <v>173</v>
      </c>
      <c r="C2736">
        <v>45</v>
      </c>
      <c r="D2736" t="s">
        <v>147</v>
      </c>
      <c r="E2736" s="242"/>
      <c r="F2736">
        <v>1906.80004882812</v>
      </c>
      <c r="G2736" t="b">
        <v>0</v>
      </c>
      <c r="H2736" t="s">
        <v>15</v>
      </c>
    </row>
    <row r="2737" spans="1:8">
      <c r="A2737" t="s">
        <v>152</v>
      </c>
      <c r="B2737" t="s">
        <v>173</v>
      </c>
      <c r="C2737">
        <v>45</v>
      </c>
      <c r="D2737" t="s">
        <v>147</v>
      </c>
      <c r="E2737" s="242"/>
      <c r="F2737">
        <v>1770.30004882812</v>
      </c>
      <c r="G2737" t="b">
        <v>0</v>
      </c>
      <c r="H2737" t="s">
        <v>15</v>
      </c>
    </row>
    <row r="2738" spans="1:8">
      <c r="A2738" t="s">
        <v>145</v>
      </c>
      <c r="B2738" t="s">
        <v>173</v>
      </c>
      <c r="C2738">
        <v>45</v>
      </c>
      <c r="D2738" t="s">
        <v>147</v>
      </c>
      <c r="E2738" s="242"/>
      <c r="F2738">
        <v>1704.69995117187</v>
      </c>
      <c r="G2738" t="b">
        <v>0</v>
      </c>
      <c r="H2738" t="s">
        <v>15</v>
      </c>
    </row>
    <row r="2739" spans="1:8">
      <c r="A2739" t="s">
        <v>167</v>
      </c>
      <c r="B2739" t="s">
        <v>173</v>
      </c>
      <c r="C2739">
        <v>45</v>
      </c>
      <c r="D2739" t="s">
        <v>147</v>
      </c>
      <c r="E2739" s="242"/>
      <c r="F2739">
        <v>1863.40002441406</v>
      </c>
      <c r="G2739" t="b">
        <v>0</v>
      </c>
      <c r="H2739" t="s">
        <v>15</v>
      </c>
    </row>
    <row r="2740" spans="1:8">
      <c r="A2740" t="s">
        <v>153</v>
      </c>
      <c r="B2740" t="s">
        <v>173</v>
      </c>
      <c r="C2740">
        <v>45</v>
      </c>
      <c r="D2740" t="s">
        <v>147</v>
      </c>
      <c r="E2740" s="242"/>
      <c r="F2740">
        <v>1560</v>
      </c>
      <c r="G2740" t="b">
        <v>0</v>
      </c>
      <c r="H2740" t="s">
        <v>15</v>
      </c>
    </row>
    <row r="2741" spans="1:8">
      <c r="A2741" t="s">
        <v>154</v>
      </c>
      <c r="B2741" t="s">
        <v>173</v>
      </c>
      <c r="C2741">
        <v>45</v>
      </c>
      <c r="D2741" t="s">
        <v>147</v>
      </c>
      <c r="E2741" s="242"/>
      <c r="F2741">
        <v>2795.80004882812</v>
      </c>
      <c r="G2741" t="b">
        <v>0</v>
      </c>
      <c r="H2741" t="s">
        <v>15</v>
      </c>
    </row>
    <row r="2742" spans="1:8">
      <c r="A2742" t="s">
        <v>168</v>
      </c>
      <c r="B2742" t="s">
        <v>173</v>
      </c>
      <c r="C2742">
        <v>45</v>
      </c>
      <c r="D2742" t="s">
        <v>147</v>
      </c>
      <c r="E2742" s="242"/>
      <c r="F2742">
        <v>5199.39990234375</v>
      </c>
      <c r="G2742" t="b">
        <v>0</v>
      </c>
      <c r="H2742" t="s">
        <v>15</v>
      </c>
    </row>
    <row r="2743" spans="1:8">
      <c r="A2743" t="s">
        <v>155</v>
      </c>
      <c r="B2743" t="s">
        <v>173</v>
      </c>
      <c r="C2743">
        <v>45</v>
      </c>
      <c r="D2743" t="s">
        <v>147</v>
      </c>
      <c r="E2743" s="242"/>
      <c r="F2743">
        <v>4369.7998046875</v>
      </c>
      <c r="G2743" t="b">
        <v>0</v>
      </c>
      <c r="H2743" t="s">
        <v>15</v>
      </c>
    </row>
    <row r="2744" spans="1:8">
      <c r="A2744" t="s">
        <v>156</v>
      </c>
      <c r="B2744" t="s">
        <v>173</v>
      </c>
      <c r="C2744">
        <v>45</v>
      </c>
      <c r="D2744" t="s">
        <v>147</v>
      </c>
      <c r="E2744" s="242"/>
      <c r="F2744">
        <v>4756.5</v>
      </c>
      <c r="G2744" t="b">
        <v>0</v>
      </c>
      <c r="H2744" t="s">
        <v>15</v>
      </c>
    </row>
    <row r="2745" spans="1:8">
      <c r="A2745" t="s">
        <v>157</v>
      </c>
      <c r="B2745" t="s">
        <v>173</v>
      </c>
      <c r="C2745">
        <v>45</v>
      </c>
      <c r="D2745" t="s">
        <v>147</v>
      </c>
      <c r="E2745" s="242"/>
      <c r="F2745">
        <v>5206</v>
      </c>
      <c r="G2745" t="b">
        <v>0</v>
      </c>
      <c r="H2745" t="s">
        <v>15</v>
      </c>
    </row>
    <row r="2746" spans="1:8">
      <c r="A2746" t="s">
        <v>169</v>
      </c>
      <c r="B2746" t="s">
        <v>173</v>
      </c>
      <c r="C2746">
        <v>45</v>
      </c>
      <c r="D2746" t="s">
        <v>147</v>
      </c>
      <c r="E2746" s="242"/>
      <c r="F2746">
        <v>1492.69995117187</v>
      </c>
      <c r="G2746" t="b">
        <v>0</v>
      </c>
      <c r="H2746" t="s">
        <v>15</v>
      </c>
    </row>
    <row r="2747" spans="1:8">
      <c r="A2747" t="s">
        <v>170</v>
      </c>
      <c r="B2747" t="s">
        <v>173</v>
      </c>
      <c r="C2747">
        <v>45</v>
      </c>
      <c r="D2747" t="s">
        <v>147</v>
      </c>
      <c r="E2747" s="242"/>
      <c r="F2747">
        <v>1450.09997558593</v>
      </c>
      <c r="G2747" t="b">
        <v>0</v>
      </c>
      <c r="H2747" t="s">
        <v>15</v>
      </c>
    </row>
    <row r="2748" spans="1:8">
      <c r="A2748" t="s">
        <v>158</v>
      </c>
      <c r="B2748" t="s">
        <v>173</v>
      </c>
      <c r="C2748">
        <v>45</v>
      </c>
      <c r="D2748" t="s">
        <v>147</v>
      </c>
      <c r="E2748" s="242"/>
      <c r="F2748">
        <v>5360.10009765625</v>
      </c>
      <c r="G2748" t="b">
        <v>0</v>
      </c>
      <c r="H2748" t="s">
        <v>15</v>
      </c>
    </row>
    <row r="2749" spans="1:8">
      <c r="A2749" t="s">
        <v>159</v>
      </c>
      <c r="B2749" t="s">
        <v>173</v>
      </c>
      <c r="C2749">
        <v>45</v>
      </c>
      <c r="D2749" t="s">
        <v>147</v>
      </c>
      <c r="E2749" s="242"/>
      <c r="F2749">
        <v>3155</v>
      </c>
      <c r="G2749" t="b">
        <v>0</v>
      </c>
      <c r="H2749" t="s">
        <v>15</v>
      </c>
    </row>
    <row r="2750" spans="1:8">
      <c r="A2750" t="s">
        <v>160</v>
      </c>
      <c r="B2750" t="s">
        <v>173</v>
      </c>
      <c r="C2750">
        <v>45</v>
      </c>
      <c r="D2750" t="s">
        <v>147</v>
      </c>
      <c r="E2750" s="242"/>
      <c r="F2750">
        <v>2969.10009765625</v>
      </c>
      <c r="G2750" t="b">
        <v>0</v>
      </c>
      <c r="H2750" t="s">
        <v>15</v>
      </c>
    </row>
    <row r="2751" spans="1:8">
      <c r="A2751" t="s">
        <v>164</v>
      </c>
      <c r="B2751" t="s">
        <v>173</v>
      </c>
      <c r="C2751">
        <v>46</v>
      </c>
      <c r="D2751" t="s">
        <v>147</v>
      </c>
      <c r="E2751" s="242"/>
      <c r="F2751">
        <v>5335.89990234375</v>
      </c>
      <c r="G2751" t="b">
        <v>0</v>
      </c>
      <c r="H2751" t="s">
        <v>15</v>
      </c>
    </row>
    <row r="2752" spans="1:8">
      <c r="A2752" t="s">
        <v>161</v>
      </c>
      <c r="B2752" t="s">
        <v>173</v>
      </c>
      <c r="C2752">
        <v>46</v>
      </c>
      <c r="D2752" t="s">
        <v>147</v>
      </c>
      <c r="E2752" s="242"/>
      <c r="F2752">
        <v>7126</v>
      </c>
      <c r="G2752" t="b">
        <v>0</v>
      </c>
      <c r="H2752" t="s">
        <v>15</v>
      </c>
    </row>
    <row r="2753" spans="1:8">
      <c r="A2753" t="s">
        <v>165</v>
      </c>
      <c r="B2753" t="s">
        <v>173</v>
      </c>
      <c r="C2753">
        <v>46</v>
      </c>
      <c r="D2753" t="s">
        <v>147</v>
      </c>
      <c r="E2753" s="242"/>
      <c r="F2753">
        <v>7703.7001953125</v>
      </c>
      <c r="G2753" t="b">
        <v>0</v>
      </c>
      <c r="H2753" t="s">
        <v>15</v>
      </c>
    </row>
    <row r="2754" spans="1:8">
      <c r="A2754" t="s">
        <v>148</v>
      </c>
      <c r="B2754" t="s">
        <v>173</v>
      </c>
      <c r="C2754">
        <v>46</v>
      </c>
      <c r="D2754" t="s">
        <v>147</v>
      </c>
      <c r="E2754" s="242"/>
      <c r="F2754">
        <v>6703.39990234375</v>
      </c>
      <c r="G2754" t="b">
        <v>0</v>
      </c>
      <c r="H2754" t="s">
        <v>15</v>
      </c>
    </row>
    <row r="2755" spans="1:8">
      <c r="A2755" t="s">
        <v>162</v>
      </c>
      <c r="B2755" t="s">
        <v>173</v>
      </c>
      <c r="C2755">
        <v>46</v>
      </c>
      <c r="D2755" t="s">
        <v>147</v>
      </c>
      <c r="E2755" s="242"/>
      <c r="F2755">
        <v>7383.10009765625</v>
      </c>
      <c r="G2755" t="b">
        <v>0</v>
      </c>
      <c r="H2755" t="s">
        <v>15</v>
      </c>
    </row>
    <row r="2756" spans="1:8">
      <c r="A2756" t="s">
        <v>163</v>
      </c>
      <c r="B2756" t="s">
        <v>173</v>
      </c>
      <c r="C2756">
        <v>46</v>
      </c>
      <c r="D2756" t="s">
        <v>147</v>
      </c>
      <c r="E2756" s="242"/>
      <c r="F2756">
        <v>4812.2001953125</v>
      </c>
      <c r="G2756" t="b">
        <v>0</v>
      </c>
      <c r="H2756" t="s">
        <v>15</v>
      </c>
    </row>
    <row r="2757" spans="1:8">
      <c r="A2757" t="s">
        <v>166</v>
      </c>
      <c r="B2757" t="s">
        <v>173</v>
      </c>
      <c r="C2757">
        <v>46</v>
      </c>
      <c r="D2757" t="s">
        <v>147</v>
      </c>
      <c r="E2757" s="242"/>
      <c r="F2757">
        <v>3465.19995117187</v>
      </c>
      <c r="G2757" t="b">
        <v>0</v>
      </c>
      <c r="H2757" t="s">
        <v>15</v>
      </c>
    </row>
    <row r="2758" spans="1:8">
      <c r="A2758" t="s">
        <v>149</v>
      </c>
      <c r="B2758" t="s">
        <v>173</v>
      </c>
      <c r="C2758">
        <v>46</v>
      </c>
      <c r="D2758" t="s">
        <v>147</v>
      </c>
      <c r="E2758" s="242"/>
      <c r="F2758">
        <v>5078.7001953125</v>
      </c>
      <c r="G2758" t="b">
        <v>0</v>
      </c>
      <c r="H2758" t="s">
        <v>15</v>
      </c>
    </row>
    <row r="2759" spans="1:8">
      <c r="A2759" t="s">
        <v>150</v>
      </c>
      <c r="B2759" t="s">
        <v>173</v>
      </c>
      <c r="C2759">
        <v>46</v>
      </c>
      <c r="D2759" t="s">
        <v>147</v>
      </c>
      <c r="E2759" s="242"/>
      <c r="F2759">
        <v>3985</v>
      </c>
      <c r="G2759" t="b">
        <v>0</v>
      </c>
      <c r="H2759" t="s">
        <v>15</v>
      </c>
    </row>
    <row r="2760" spans="1:8">
      <c r="A2760" t="s">
        <v>151</v>
      </c>
      <c r="B2760" t="s">
        <v>173</v>
      </c>
      <c r="C2760">
        <v>46</v>
      </c>
      <c r="D2760" t="s">
        <v>147</v>
      </c>
      <c r="E2760" s="242"/>
      <c r="F2760">
        <v>1898.09997558593</v>
      </c>
      <c r="G2760" t="b">
        <v>0</v>
      </c>
      <c r="H2760" t="s">
        <v>15</v>
      </c>
    </row>
    <row r="2761" spans="1:8">
      <c r="A2761" t="s">
        <v>152</v>
      </c>
      <c r="B2761" t="s">
        <v>173</v>
      </c>
      <c r="C2761">
        <v>46</v>
      </c>
      <c r="D2761" t="s">
        <v>147</v>
      </c>
      <c r="E2761" s="242"/>
      <c r="F2761">
        <v>1770.30004882812</v>
      </c>
      <c r="G2761" t="b">
        <v>0</v>
      </c>
      <c r="H2761" t="s">
        <v>15</v>
      </c>
    </row>
    <row r="2762" spans="1:8">
      <c r="A2762" t="s">
        <v>145</v>
      </c>
      <c r="B2762" t="s">
        <v>173</v>
      </c>
      <c r="C2762">
        <v>46</v>
      </c>
      <c r="D2762" t="s">
        <v>147</v>
      </c>
      <c r="E2762" s="242"/>
      <c r="F2762">
        <v>1704.69995117187</v>
      </c>
      <c r="G2762" t="b">
        <v>0</v>
      </c>
      <c r="H2762" t="s">
        <v>15</v>
      </c>
    </row>
    <row r="2763" spans="1:8">
      <c r="A2763" t="s">
        <v>167</v>
      </c>
      <c r="B2763" t="s">
        <v>173</v>
      </c>
      <c r="C2763">
        <v>46</v>
      </c>
      <c r="D2763" t="s">
        <v>147</v>
      </c>
      <c r="E2763" s="242"/>
      <c r="F2763">
        <v>1863.40002441406</v>
      </c>
      <c r="G2763" t="b">
        <v>0</v>
      </c>
      <c r="H2763" t="s">
        <v>15</v>
      </c>
    </row>
    <row r="2764" spans="1:8">
      <c r="A2764" t="s">
        <v>153</v>
      </c>
      <c r="B2764" t="s">
        <v>173</v>
      </c>
      <c r="C2764">
        <v>46</v>
      </c>
      <c r="D2764" t="s">
        <v>147</v>
      </c>
      <c r="E2764" s="242"/>
      <c r="F2764">
        <v>1560</v>
      </c>
      <c r="G2764" t="b">
        <v>0</v>
      </c>
      <c r="H2764" t="s">
        <v>15</v>
      </c>
    </row>
    <row r="2765" spans="1:8">
      <c r="A2765" t="s">
        <v>154</v>
      </c>
      <c r="B2765" t="s">
        <v>173</v>
      </c>
      <c r="C2765">
        <v>46</v>
      </c>
      <c r="D2765" t="s">
        <v>147</v>
      </c>
      <c r="E2765" s="242"/>
      <c r="F2765">
        <v>2795.80004882812</v>
      </c>
      <c r="G2765" t="b">
        <v>0</v>
      </c>
      <c r="H2765" t="s">
        <v>15</v>
      </c>
    </row>
    <row r="2766" spans="1:8">
      <c r="A2766" t="s">
        <v>168</v>
      </c>
      <c r="B2766" t="s">
        <v>173</v>
      </c>
      <c r="C2766">
        <v>46</v>
      </c>
      <c r="D2766" t="s">
        <v>147</v>
      </c>
      <c r="E2766" s="242"/>
      <c r="F2766">
        <v>5199.39990234375</v>
      </c>
      <c r="G2766" t="b">
        <v>0</v>
      </c>
      <c r="H2766" t="s">
        <v>15</v>
      </c>
    </row>
    <row r="2767" spans="1:8">
      <c r="A2767" t="s">
        <v>155</v>
      </c>
      <c r="B2767" t="s">
        <v>173</v>
      </c>
      <c r="C2767">
        <v>46</v>
      </c>
      <c r="D2767" t="s">
        <v>147</v>
      </c>
      <c r="E2767" s="242"/>
      <c r="F2767">
        <v>4369.7998046875</v>
      </c>
      <c r="G2767" t="b">
        <v>0</v>
      </c>
      <c r="H2767" t="s">
        <v>15</v>
      </c>
    </row>
    <row r="2768" spans="1:8">
      <c r="A2768" t="s">
        <v>156</v>
      </c>
      <c r="B2768" t="s">
        <v>173</v>
      </c>
      <c r="C2768">
        <v>46</v>
      </c>
      <c r="D2768" t="s">
        <v>147</v>
      </c>
      <c r="E2768" s="242"/>
      <c r="F2768">
        <v>4756.5</v>
      </c>
      <c r="G2768" t="b">
        <v>0</v>
      </c>
      <c r="H2768" t="s">
        <v>15</v>
      </c>
    </row>
    <row r="2769" spans="1:8">
      <c r="A2769" t="s">
        <v>157</v>
      </c>
      <c r="B2769" t="s">
        <v>173</v>
      </c>
      <c r="C2769">
        <v>46</v>
      </c>
      <c r="D2769" t="s">
        <v>147</v>
      </c>
      <c r="E2769" s="242"/>
      <c r="F2769">
        <v>5206</v>
      </c>
      <c r="G2769" t="b">
        <v>0</v>
      </c>
      <c r="H2769" t="s">
        <v>15</v>
      </c>
    </row>
    <row r="2770" spans="1:8">
      <c r="A2770" t="s">
        <v>169</v>
      </c>
      <c r="B2770" t="s">
        <v>173</v>
      </c>
      <c r="C2770">
        <v>46</v>
      </c>
      <c r="D2770" t="s">
        <v>147</v>
      </c>
      <c r="E2770" s="242"/>
      <c r="F2770">
        <v>1492.69995117187</v>
      </c>
      <c r="G2770" t="b">
        <v>0</v>
      </c>
      <c r="H2770" t="s">
        <v>15</v>
      </c>
    </row>
    <row r="2771" spans="1:8">
      <c r="A2771" t="s">
        <v>170</v>
      </c>
      <c r="B2771" t="s">
        <v>173</v>
      </c>
      <c r="C2771">
        <v>46</v>
      </c>
      <c r="D2771" t="s">
        <v>147</v>
      </c>
      <c r="E2771" s="242"/>
      <c r="F2771">
        <v>1450.09997558593</v>
      </c>
      <c r="G2771" t="b">
        <v>0</v>
      </c>
      <c r="H2771" t="s">
        <v>15</v>
      </c>
    </row>
    <row r="2772" spans="1:8">
      <c r="A2772" t="s">
        <v>158</v>
      </c>
      <c r="B2772" t="s">
        <v>173</v>
      </c>
      <c r="C2772">
        <v>46</v>
      </c>
      <c r="D2772" t="s">
        <v>147</v>
      </c>
      <c r="E2772" s="242"/>
      <c r="F2772">
        <v>5360.10009765625</v>
      </c>
      <c r="G2772" t="b">
        <v>0</v>
      </c>
      <c r="H2772" t="s">
        <v>15</v>
      </c>
    </row>
    <row r="2773" spans="1:8">
      <c r="A2773" t="s">
        <v>159</v>
      </c>
      <c r="B2773" t="s">
        <v>173</v>
      </c>
      <c r="C2773">
        <v>46</v>
      </c>
      <c r="D2773" t="s">
        <v>147</v>
      </c>
      <c r="E2773" s="242"/>
      <c r="F2773">
        <v>3155</v>
      </c>
      <c r="G2773" t="b">
        <v>0</v>
      </c>
      <c r="H2773" t="s">
        <v>15</v>
      </c>
    </row>
    <row r="2774" spans="1:8">
      <c r="A2774" t="s">
        <v>160</v>
      </c>
      <c r="B2774" t="s">
        <v>173</v>
      </c>
      <c r="C2774">
        <v>46</v>
      </c>
      <c r="D2774" t="s">
        <v>147</v>
      </c>
      <c r="E2774" s="242"/>
      <c r="F2774">
        <v>2969.10009765625</v>
      </c>
      <c r="G2774" t="b">
        <v>0</v>
      </c>
      <c r="H2774" t="s">
        <v>15</v>
      </c>
    </row>
    <row r="2775" spans="1:8">
      <c r="A2775" t="s">
        <v>161</v>
      </c>
      <c r="B2775" t="s">
        <v>173</v>
      </c>
      <c r="C2775">
        <v>105</v>
      </c>
      <c r="D2775" t="s">
        <v>146</v>
      </c>
      <c r="E2775" s="242">
        <v>42074.368750000001</v>
      </c>
      <c r="F2775">
        <v>0</v>
      </c>
      <c r="G2775" t="b">
        <v>0</v>
      </c>
      <c r="H2775" t="s">
        <v>15</v>
      </c>
    </row>
    <row r="2776" spans="1:8">
      <c r="A2776" t="s">
        <v>165</v>
      </c>
      <c r="B2776" t="s">
        <v>173</v>
      </c>
      <c r="C2776">
        <v>105</v>
      </c>
      <c r="D2776" t="s">
        <v>146</v>
      </c>
      <c r="E2776" s="242">
        <v>42094.563888888886</v>
      </c>
      <c r="F2776">
        <v>0</v>
      </c>
      <c r="G2776" t="b">
        <v>0</v>
      </c>
      <c r="H2776" t="s">
        <v>15</v>
      </c>
    </row>
    <row r="2777" spans="1:8">
      <c r="A2777" t="s">
        <v>148</v>
      </c>
      <c r="B2777" t="s">
        <v>173</v>
      </c>
      <c r="C2777">
        <v>105</v>
      </c>
      <c r="D2777" t="s">
        <v>146</v>
      </c>
      <c r="E2777" s="242">
        <v>42081.828472222223</v>
      </c>
      <c r="F2777">
        <v>0</v>
      </c>
      <c r="G2777" t="b">
        <v>0</v>
      </c>
      <c r="H2777" t="s">
        <v>15</v>
      </c>
    </row>
    <row r="2778" spans="1:8">
      <c r="A2778" t="s">
        <v>162</v>
      </c>
      <c r="B2778" t="s">
        <v>173</v>
      </c>
      <c r="C2778">
        <v>105</v>
      </c>
      <c r="D2778" t="s">
        <v>146</v>
      </c>
      <c r="E2778" s="242">
        <v>42102.586111111108</v>
      </c>
      <c r="F2778">
        <v>0</v>
      </c>
      <c r="G2778" t="b">
        <v>0</v>
      </c>
      <c r="H2778" t="s">
        <v>15</v>
      </c>
    </row>
    <row r="2779" spans="1:8">
      <c r="A2779" t="s">
        <v>163</v>
      </c>
      <c r="B2779" t="s">
        <v>173</v>
      </c>
      <c r="C2779">
        <v>105</v>
      </c>
      <c r="D2779" t="s">
        <v>146</v>
      </c>
      <c r="E2779" s="242">
        <v>42087.49722222222</v>
      </c>
      <c r="F2779">
        <v>0</v>
      </c>
      <c r="G2779" t="b">
        <v>0</v>
      </c>
      <c r="H2779" t="s">
        <v>15</v>
      </c>
    </row>
    <row r="2780" spans="1:8">
      <c r="A2780" t="s">
        <v>149</v>
      </c>
      <c r="B2780" t="s">
        <v>173</v>
      </c>
      <c r="C2780">
        <v>105</v>
      </c>
      <c r="D2780" t="s">
        <v>146</v>
      </c>
      <c r="E2780" s="242">
        <v>42097.590277777781</v>
      </c>
      <c r="F2780">
        <v>0</v>
      </c>
      <c r="G2780" t="b">
        <v>0</v>
      </c>
      <c r="H2780" t="s">
        <v>15</v>
      </c>
    </row>
    <row r="2781" spans="1:8">
      <c r="A2781" t="s">
        <v>150</v>
      </c>
      <c r="B2781" t="s">
        <v>173</v>
      </c>
      <c r="C2781">
        <v>105</v>
      </c>
      <c r="D2781" t="s">
        <v>146</v>
      </c>
      <c r="E2781" s="242">
        <v>42109.496527777781</v>
      </c>
      <c r="F2781">
        <v>0</v>
      </c>
      <c r="G2781" t="b">
        <v>0</v>
      </c>
      <c r="H2781" t="s">
        <v>15</v>
      </c>
    </row>
    <row r="2782" spans="1:8">
      <c r="A2782" t="s">
        <v>151</v>
      </c>
      <c r="B2782" t="s">
        <v>173</v>
      </c>
      <c r="C2782">
        <v>105</v>
      </c>
      <c r="D2782" t="s">
        <v>146</v>
      </c>
      <c r="E2782" s="242">
        <v>42059.468055555553</v>
      </c>
      <c r="F2782">
        <v>0</v>
      </c>
      <c r="G2782" t="b">
        <v>0</v>
      </c>
      <c r="H2782" t="s">
        <v>15</v>
      </c>
    </row>
    <row r="2783" spans="1:8">
      <c r="A2783" t="s">
        <v>152</v>
      </c>
      <c r="B2783" t="s">
        <v>173</v>
      </c>
      <c r="C2783">
        <v>105</v>
      </c>
      <c r="D2783" t="s">
        <v>146</v>
      </c>
      <c r="E2783" s="242">
        <v>42094</v>
      </c>
      <c r="F2783">
        <v>0</v>
      </c>
      <c r="G2783" t="b">
        <v>0</v>
      </c>
      <c r="H2783" t="s">
        <v>15</v>
      </c>
    </row>
    <row r="2784" spans="1:8">
      <c r="A2784" t="s">
        <v>145</v>
      </c>
      <c r="B2784" t="s">
        <v>173</v>
      </c>
      <c r="C2784">
        <v>105</v>
      </c>
      <c r="D2784" t="s">
        <v>146</v>
      </c>
      <c r="E2784" s="242">
        <v>42102.65</v>
      </c>
      <c r="F2784">
        <v>0</v>
      </c>
      <c r="G2784" t="b">
        <v>0</v>
      </c>
      <c r="H2784" t="s">
        <v>15</v>
      </c>
    </row>
    <row r="2785" spans="1:8">
      <c r="A2785" t="s">
        <v>167</v>
      </c>
      <c r="B2785" t="s">
        <v>173</v>
      </c>
      <c r="C2785">
        <v>105</v>
      </c>
      <c r="D2785" t="s">
        <v>146</v>
      </c>
      <c r="E2785" s="242">
        <v>42088.749305555553</v>
      </c>
      <c r="F2785">
        <v>0</v>
      </c>
      <c r="G2785" t="b">
        <v>0</v>
      </c>
      <c r="H2785" t="s">
        <v>15</v>
      </c>
    </row>
    <row r="2786" spans="1:8">
      <c r="A2786" t="s">
        <v>153</v>
      </c>
      <c r="B2786" t="s">
        <v>173</v>
      </c>
      <c r="C2786">
        <v>105</v>
      </c>
      <c r="D2786" t="s">
        <v>146</v>
      </c>
      <c r="E2786" s="242">
        <v>42059.476388888892</v>
      </c>
      <c r="F2786">
        <v>0</v>
      </c>
      <c r="G2786" t="b">
        <v>0</v>
      </c>
      <c r="H2786" t="s">
        <v>15</v>
      </c>
    </row>
    <row r="2787" spans="1:8">
      <c r="A2787" t="s">
        <v>154</v>
      </c>
      <c r="B2787" t="s">
        <v>173</v>
      </c>
      <c r="C2787">
        <v>105</v>
      </c>
      <c r="D2787" t="s">
        <v>146</v>
      </c>
      <c r="E2787" s="242">
        <v>42105.462500000001</v>
      </c>
      <c r="F2787">
        <v>0</v>
      </c>
      <c r="G2787" t="b">
        <v>0</v>
      </c>
      <c r="H2787" t="s">
        <v>15</v>
      </c>
    </row>
    <row r="2788" spans="1:8">
      <c r="A2788" t="s">
        <v>168</v>
      </c>
      <c r="B2788" t="s">
        <v>173</v>
      </c>
      <c r="C2788">
        <v>105</v>
      </c>
      <c r="D2788" t="s">
        <v>146</v>
      </c>
      <c r="E2788" s="242">
        <v>42094.659722222219</v>
      </c>
      <c r="F2788">
        <v>0</v>
      </c>
      <c r="G2788" t="b">
        <v>0</v>
      </c>
      <c r="H2788" t="s">
        <v>15</v>
      </c>
    </row>
    <row r="2789" spans="1:8">
      <c r="A2789" t="s">
        <v>155</v>
      </c>
      <c r="B2789" t="s">
        <v>173</v>
      </c>
      <c r="C2789">
        <v>105</v>
      </c>
      <c r="D2789" t="s">
        <v>146</v>
      </c>
      <c r="E2789" s="242">
        <v>42096.511805555558</v>
      </c>
      <c r="F2789">
        <v>0</v>
      </c>
      <c r="G2789" t="b">
        <v>0</v>
      </c>
      <c r="H2789" t="s">
        <v>15</v>
      </c>
    </row>
    <row r="2790" spans="1:8">
      <c r="A2790" t="s">
        <v>156</v>
      </c>
      <c r="B2790" t="s">
        <v>173</v>
      </c>
      <c r="C2790">
        <v>105</v>
      </c>
      <c r="D2790" t="s">
        <v>146</v>
      </c>
      <c r="E2790" s="242">
        <v>42089.460416666669</v>
      </c>
      <c r="F2790">
        <v>0</v>
      </c>
      <c r="G2790" t="b">
        <v>0</v>
      </c>
      <c r="H2790" t="s">
        <v>15</v>
      </c>
    </row>
    <row r="2791" spans="1:8">
      <c r="A2791" t="s">
        <v>157</v>
      </c>
      <c r="B2791" t="s">
        <v>173</v>
      </c>
      <c r="C2791">
        <v>105</v>
      </c>
      <c r="D2791" t="s">
        <v>146</v>
      </c>
      <c r="E2791" s="242">
        <v>42094.931944444441</v>
      </c>
      <c r="F2791">
        <v>0</v>
      </c>
      <c r="G2791" t="b">
        <v>0</v>
      </c>
      <c r="H2791" t="s">
        <v>15</v>
      </c>
    </row>
    <row r="2792" spans="1:8">
      <c r="A2792" t="s">
        <v>169</v>
      </c>
      <c r="B2792" t="s">
        <v>173</v>
      </c>
      <c r="C2792">
        <v>105</v>
      </c>
      <c r="D2792" t="s">
        <v>146</v>
      </c>
      <c r="E2792" s="242">
        <v>42096.396527777775</v>
      </c>
      <c r="F2792">
        <v>0</v>
      </c>
      <c r="G2792" t="b">
        <v>0</v>
      </c>
      <c r="H2792" t="s">
        <v>15</v>
      </c>
    </row>
    <row r="2793" spans="1:8">
      <c r="A2793" t="s">
        <v>158</v>
      </c>
      <c r="B2793" t="s">
        <v>173</v>
      </c>
      <c r="C2793">
        <v>105</v>
      </c>
      <c r="D2793" t="s">
        <v>146</v>
      </c>
      <c r="E2793" s="242">
        <v>42105.3125</v>
      </c>
      <c r="F2793">
        <v>0</v>
      </c>
      <c r="G2793" t="b">
        <v>0</v>
      </c>
      <c r="H2793" t="s">
        <v>15</v>
      </c>
    </row>
    <row r="2794" spans="1:8">
      <c r="A2794" t="s">
        <v>159</v>
      </c>
      <c r="B2794" t="s">
        <v>173</v>
      </c>
      <c r="C2794">
        <v>105</v>
      </c>
      <c r="D2794" t="s">
        <v>146</v>
      </c>
      <c r="E2794" s="242">
        <v>42107.427083333336</v>
      </c>
      <c r="F2794">
        <v>0</v>
      </c>
      <c r="G2794" t="b">
        <v>0</v>
      </c>
      <c r="H2794" t="s">
        <v>15</v>
      </c>
    </row>
    <row r="2795" spans="1:8">
      <c r="A2795" t="s">
        <v>160</v>
      </c>
      <c r="B2795" t="s">
        <v>173</v>
      </c>
      <c r="C2795">
        <v>105</v>
      </c>
      <c r="D2795" t="s">
        <v>146</v>
      </c>
      <c r="E2795" s="242">
        <v>42102.405555555553</v>
      </c>
      <c r="F2795">
        <v>0</v>
      </c>
      <c r="G2795" t="b">
        <v>0</v>
      </c>
      <c r="H2795" t="s">
        <v>15</v>
      </c>
    </row>
    <row r="2796" spans="1:8">
      <c r="A2796" t="s">
        <v>164</v>
      </c>
      <c r="B2796" t="s">
        <v>173</v>
      </c>
      <c r="C2796">
        <v>250</v>
      </c>
      <c r="D2796" t="s">
        <v>146</v>
      </c>
      <c r="E2796" s="242">
        <v>42108.554166666669</v>
      </c>
      <c r="F2796">
        <v>0</v>
      </c>
      <c r="G2796" t="b">
        <v>0</v>
      </c>
      <c r="H2796" t="s">
        <v>15</v>
      </c>
    </row>
    <row r="2797" spans="1:8">
      <c r="A2797" t="s">
        <v>161</v>
      </c>
      <c r="B2797" t="s">
        <v>173</v>
      </c>
      <c r="C2797">
        <v>250</v>
      </c>
      <c r="D2797" t="s">
        <v>146</v>
      </c>
      <c r="E2797" s="242">
        <v>42075.574305555558</v>
      </c>
      <c r="F2797">
        <v>0</v>
      </c>
      <c r="G2797" t="b">
        <v>0</v>
      </c>
      <c r="H2797" t="s">
        <v>15</v>
      </c>
    </row>
    <row r="2798" spans="1:8">
      <c r="A2798" t="s">
        <v>165</v>
      </c>
      <c r="B2798" t="s">
        <v>173</v>
      </c>
      <c r="C2798">
        <v>250</v>
      </c>
      <c r="D2798" t="s">
        <v>146</v>
      </c>
      <c r="E2798" s="242">
        <v>42104.963888888888</v>
      </c>
      <c r="F2798">
        <v>0</v>
      </c>
      <c r="G2798" t="b">
        <v>0</v>
      </c>
      <c r="H2798" t="s">
        <v>15</v>
      </c>
    </row>
    <row r="2799" spans="1:8">
      <c r="A2799" t="s">
        <v>148</v>
      </c>
      <c r="B2799" t="s">
        <v>173</v>
      </c>
      <c r="C2799">
        <v>250</v>
      </c>
      <c r="D2799" t="s">
        <v>146</v>
      </c>
      <c r="E2799" s="242">
        <v>42107.479166666664</v>
      </c>
      <c r="F2799">
        <v>0</v>
      </c>
      <c r="G2799" t="b">
        <v>0</v>
      </c>
      <c r="H2799" t="s">
        <v>15</v>
      </c>
    </row>
    <row r="2800" spans="1:8">
      <c r="A2800" t="s">
        <v>162</v>
      </c>
      <c r="B2800" t="s">
        <v>173</v>
      </c>
      <c r="C2800">
        <v>250</v>
      </c>
      <c r="D2800" t="s">
        <v>146</v>
      </c>
      <c r="E2800" s="242">
        <v>42107.628472222219</v>
      </c>
      <c r="F2800">
        <v>0</v>
      </c>
      <c r="G2800" t="b">
        <v>0</v>
      </c>
      <c r="H2800" t="s">
        <v>15</v>
      </c>
    </row>
    <row r="2801" spans="1:8">
      <c r="A2801" t="s">
        <v>163</v>
      </c>
      <c r="B2801" t="s">
        <v>173</v>
      </c>
      <c r="C2801">
        <v>250</v>
      </c>
      <c r="D2801" t="s">
        <v>146</v>
      </c>
      <c r="E2801" s="242">
        <v>42110.458333333336</v>
      </c>
      <c r="F2801">
        <v>0</v>
      </c>
      <c r="G2801" t="b">
        <v>0</v>
      </c>
      <c r="H2801" t="s">
        <v>15</v>
      </c>
    </row>
    <row r="2802" spans="1:8">
      <c r="A2802" t="s">
        <v>166</v>
      </c>
      <c r="B2802" t="s">
        <v>173</v>
      </c>
      <c r="C2802">
        <v>250</v>
      </c>
      <c r="D2802" t="s">
        <v>146</v>
      </c>
      <c r="E2802" s="242">
        <v>42095.730555555558</v>
      </c>
      <c r="F2802">
        <v>0</v>
      </c>
      <c r="G2802" t="b">
        <v>0</v>
      </c>
      <c r="H2802" t="s">
        <v>15</v>
      </c>
    </row>
    <row r="2803" spans="1:8">
      <c r="A2803" t="s">
        <v>149</v>
      </c>
      <c r="B2803" t="s">
        <v>173</v>
      </c>
      <c r="C2803">
        <v>250</v>
      </c>
      <c r="D2803" t="s">
        <v>146</v>
      </c>
      <c r="E2803" s="242">
        <v>42097.620833333334</v>
      </c>
      <c r="F2803">
        <v>0</v>
      </c>
      <c r="G2803" t="b">
        <v>0</v>
      </c>
      <c r="H2803" t="s">
        <v>15</v>
      </c>
    </row>
    <row r="2804" spans="1:8">
      <c r="A2804" t="s">
        <v>150</v>
      </c>
      <c r="B2804" t="s">
        <v>173</v>
      </c>
      <c r="C2804">
        <v>250</v>
      </c>
      <c r="D2804" t="s">
        <v>146</v>
      </c>
      <c r="E2804" s="242">
        <v>42101.615972222222</v>
      </c>
      <c r="F2804">
        <v>0</v>
      </c>
      <c r="G2804" t="b">
        <v>0</v>
      </c>
      <c r="H2804" t="s">
        <v>15</v>
      </c>
    </row>
    <row r="2805" spans="1:8">
      <c r="A2805" t="s">
        <v>151</v>
      </c>
      <c r="B2805" t="s">
        <v>173</v>
      </c>
      <c r="C2805">
        <v>250</v>
      </c>
      <c r="D2805" t="s">
        <v>146</v>
      </c>
      <c r="E2805" s="242">
        <v>42041.845833333333</v>
      </c>
      <c r="F2805">
        <v>0</v>
      </c>
      <c r="G2805" t="b">
        <v>0</v>
      </c>
      <c r="H2805" t="s">
        <v>15</v>
      </c>
    </row>
    <row r="2806" spans="1:8">
      <c r="A2806" t="s">
        <v>152</v>
      </c>
      <c r="B2806" t="s">
        <v>173</v>
      </c>
      <c r="C2806">
        <v>250</v>
      </c>
      <c r="D2806" t="s">
        <v>146</v>
      </c>
      <c r="E2806" s="242">
        <v>42095.713194444441</v>
      </c>
      <c r="F2806">
        <v>0</v>
      </c>
      <c r="G2806" t="b">
        <v>0</v>
      </c>
      <c r="H2806" t="s">
        <v>15</v>
      </c>
    </row>
    <row r="2807" spans="1:8">
      <c r="A2807" t="s">
        <v>145</v>
      </c>
      <c r="B2807" t="s">
        <v>173</v>
      </c>
      <c r="C2807">
        <v>250</v>
      </c>
      <c r="D2807" t="s">
        <v>146</v>
      </c>
      <c r="E2807" s="242">
        <v>42109.487500000003</v>
      </c>
      <c r="F2807">
        <v>0</v>
      </c>
      <c r="G2807" t="b">
        <v>0</v>
      </c>
      <c r="H2807" t="s">
        <v>15</v>
      </c>
    </row>
    <row r="2808" spans="1:8">
      <c r="A2808" t="s">
        <v>167</v>
      </c>
      <c r="B2808" t="s">
        <v>173</v>
      </c>
      <c r="C2808">
        <v>250</v>
      </c>
      <c r="D2808" t="s">
        <v>146</v>
      </c>
      <c r="E2808" s="242">
        <v>42092.627083333333</v>
      </c>
      <c r="F2808">
        <v>0</v>
      </c>
      <c r="G2808" t="b">
        <v>0</v>
      </c>
      <c r="H2808" t="s">
        <v>15</v>
      </c>
    </row>
    <row r="2809" spans="1:8">
      <c r="A2809" t="s">
        <v>153</v>
      </c>
      <c r="B2809" t="s">
        <v>173</v>
      </c>
      <c r="C2809">
        <v>250</v>
      </c>
      <c r="D2809" t="s">
        <v>146</v>
      </c>
      <c r="E2809" s="242">
        <v>42080.792361111111</v>
      </c>
      <c r="F2809">
        <v>0</v>
      </c>
      <c r="G2809" t="b">
        <v>0</v>
      </c>
      <c r="H2809" t="s">
        <v>15</v>
      </c>
    </row>
    <row r="2810" spans="1:8">
      <c r="A2810" t="s">
        <v>154</v>
      </c>
      <c r="B2810" t="s">
        <v>173</v>
      </c>
      <c r="C2810">
        <v>250</v>
      </c>
      <c r="D2810" t="s">
        <v>146</v>
      </c>
      <c r="E2810" s="242">
        <v>42112.440972222219</v>
      </c>
      <c r="F2810">
        <v>0</v>
      </c>
      <c r="G2810" t="b">
        <v>0</v>
      </c>
      <c r="H2810" t="s">
        <v>15</v>
      </c>
    </row>
    <row r="2811" spans="1:8">
      <c r="A2811" t="s">
        <v>168</v>
      </c>
      <c r="B2811" t="s">
        <v>173</v>
      </c>
      <c r="C2811">
        <v>250</v>
      </c>
      <c r="D2811" t="s">
        <v>146</v>
      </c>
      <c r="E2811" s="242">
        <v>42103.37777777778</v>
      </c>
      <c r="F2811">
        <v>0</v>
      </c>
      <c r="G2811" t="b">
        <v>0</v>
      </c>
      <c r="H2811" t="s">
        <v>15</v>
      </c>
    </row>
    <row r="2812" spans="1:8">
      <c r="A2812" t="s">
        <v>155</v>
      </c>
      <c r="B2812" t="s">
        <v>173</v>
      </c>
      <c r="C2812">
        <v>250</v>
      </c>
      <c r="D2812" t="s">
        <v>146</v>
      </c>
      <c r="E2812" s="242">
        <v>42107.529861111114</v>
      </c>
      <c r="F2812">
        <v>0</v>
      </c>
      <c r="G2812" t="b">
        <v>0</v>
      </c>
      <c r="H2812" t="s">
        <v>15</v>
      </c>
    </row>
    <row r="2813" spans="1:8">
      <c r="A2813" t="s">
        <v>156</v>
      </c>
      <c r="B2813" t="s">
        <v>173</v>
      </c>
      <c r="C2813">
        <v>250</v>
      </c>
      <c r="D2813" t="s">
        <v>146</v>
      </c>
      <c r="E2813" s="242">
        <v>42095.688888888886</v>
      </c>
      <c r="F2813">
        <v>0</v>
      </c>
      <c r="G2813" t="b">
        <v>0</v>
      </c>
      <c r="H2813" t="s">
        <v>15</v>
      </c>
    </row>
    <row r="2814" spans="1:8">
      <c r="A2814" t="s">
        <v>157</v>
      </c>
      <c r="B2814" t="s">
        <v>173</v>
      </c>
      <c r="C2814">
        <v>250</v>
      </c>
      <c r="D2814" t="s">
        <v>146</v>
      </c>
      <c r="E2814" s="242">
        <v>42096.350694444445</v>
      </c>
      <c r="F2814">
        <v>0</v>
      </c>
      <c r="G2814" t="b">
        <v>0</v>
      </c>
      <c r="H2814" t="s">
        <v>15</v>
      </c>
    </row>
    <row r="2815" spans="1:8">
      <c r="A2815" t="s">
        <v>169</v>
      </c>
      <c r="B2815" t="s">
        <v>173</v>
      </c>
      <c r="C2815">
        <v>250</v>
      </c>
      <c r="D2815" t="s">
        <v>146</v>
      </c>
      <c r="E2815" s="242">
        <v>42096.395138888889</v>
      </c>
      <c r="F2815">
        <v>0</v>
      </c>
      <c r="G2815" t="b">
        <v>0</v>
      </c>
      <c r="H2815" t="s">
        <v>15</v>
      </c>
    </row>
    <row r="2816" spans="1:8">
      <c r="A2816" t="s">
        <v>170</v>
      </c>
      <c r="B2816" t="s">
        <v>173</v>
      </c>
      <c r="C2816">
        <v>250</v>
      </c>
      <c r="D2816" t="s">
        <v>146</v>
      </c>
      <c r="E2816" s="242">
        <v>42095.445138888892</v>
      </c>
      <c r="F2816">
        <v>0</v>
      </c>
      <c r="G2816" t="b">
        <v>0</v>
      </c>
      <c r="H2816" t="s">
        <v>15</v>
      </c>
    </row>
    <row r="2817" spans="1:8">
      <c r="A2817" t="s">
        <v>158</v>
      </c>
      <c r="B2817" t="s">
        <v>173</v>
      </c>
      <c r="C2817">
        <v>250</v>
      </c>
      <c r="D2817" t="s">
        <v>146</v>
      </c>
      <c r="E2817" s="242">
        <v>42105.388888888891</v>
      </c>
      <c r="F2817">
        <v>0</v>
      </c>
      <c r="G2817" t="b">
        <v>0</v>
      </c>
      <c r="H2817" t="s">
        <v>15</v>
      </c>
    </row>
    <row r="2818" spans="1:8">
      <c r="A2818" t="s">
        <v>159</v>
      </c>
      <c r="B2818" t="s">
        <v>173</v>
      </c>
      <c r="C2818">
        <v>250</v>
      </c>
      <c r="D2818" t="s">
        <v>146</v>
      </c>
      <c r="E2818" s="242">
        <v>42110.40625</v>
      </c>
      <c r="F2818">
        <v>0</v>
      </c>
      <c r="G2818" t="b">
        <v>0</v>
      </c>
      <c r="H2818" t="s">
        <v>15</v>
      </c>
    </row>
    <row r="2819" spans="1:8">
      <c r="A2819" t="s">
        <v>160</v>
      </c>
      <c r="B2819" t="s">
        <v>173</v>
      </c>
      <c r="C2819">
        <v>250</v>
      </c>
      <c r="D2819" t="s">
        <v>146</v>
      </c>
      <c r="E2819" s="242">
        <v>42097.53402777778</v>
      </c>
      <c r="F2819">
        <v>0</v>
      </c>
      <c r="G2819" t="b">
        <v>0</v>
      </c>
      <c r="H2819" t="s">
        <v>15</v>
      </c>
    </row>
    <row r="2820" spans="1:8">
      <c r="A2820" t="s">
        <v>164</v>
      </c>
      <c r="B2820" t="s">
        <v>173</v>
      </c>
      <c r="C2820">
        <v>401</v>
      </c>
      <c r="D2820" t="s">
        <v>146</v>
      </c>
      <c r="E2820" s="242">
        <v>42108.558333333334</v>
      </c>
      <c r="F2820">
        <v>0</v>
      </c>
      <c r="G2820" t="b">
        <v>0</v>
      </c>
      <c r="H2820" t="s">
        <v>15</v>
      </c>
    </row>
    <row r="2821" spans="1:8">
      <c r="A2821" t="s">
        <v>161</v>
      </c>
      <c r="B2821" t="s">
        <v>173</v>
      </c>
      <c r="C2821">
        <v>401</v>
      </c>
      <c r="D2821" t="s">
        <v>146</v>
      </c>
      <c r="E2821" s="242">
        <v>42089.636805555558</v>
      </c>
      <c r="F2821">
        <v>0</v>
      </c>
      <c r="G2821" t="b">
        <v>0</v>
      </c>
      <c r="H2821" t="s">
        <v>15</v>
      </c>
    </row>
    <row r="2822" spans="1:8">
      <c r="A2822" t="s">
        <v>165</v>
      </c>
      <c r="B2822" t="s">
        <v>173</v>
      </c>
      <c r="C2822">
        <v>401</v>
      </c>
      <c r="D2822" t="s">
        <v>146</v>
      </c>
      <c r="E2822" s="242">
        <v>42107.554861111108</v>
      </c>
      <c r="F2822">
        <v>0</v>
      </c>
      <c r="G2822" t="b">
        <v>0</v>
      </c>
      <c r="H2822" t="s">
        <v>15</v>
      </c>
    </row>
    <row r="2823" spans="1:8">
      <c r="A2823" t="s">
        <v>148</v>
      </c>
      <c r="B2823" t="s">
        <v>173</v>
      </c>
      <c r="C2823">
        <v>401</v>
      </c>
      <c r="D2823" t="s">
        <v>146</v>
      </c>
      <c r="E2823" s="242">
        <v>42107.592361111114</v>
      </c>
      <c r="F2823">
        <v>0</v>
      </c>
      <c r="G2823" t="b">
        <v>0</v>
      </c>
      <c r="H2823" t="s">
        <v>15</v>
      </c>
    </row>
    <row r="2824" spans="1:8">
      <c r="A2824" t="s">
        <v>162</v>
      </c>
      <c r="B2824" t="s">
        <v>173</v>
      </c>
      <c r="C2824">
        <v>401</v>
      </c>
      <c r="D2824" t="s">
        <v>146</v>
      </c>
      <c r="E2824" s="242">
        <v>42104.967361111114</v>
      </c>
      <c r="F2824">
        <v>0</v>
      </c>
      <c r="G2824" t="b">
        <v>0</v>
      </c>
      <c r="H2824" t="s">
        <v>15</v>
      </c>
    </row>
    <row r="2825" spans="1:8">
      <c r="A2825" t="s">
        <v>163</v>
      </c>
      <c r="B2825" t="s">
        <v>173</v>
      </c>
      <c r="C2825">
        <v>401</v>
      </c>
      <c r="D2825" t="s">
        <v>146</v>
      </c>
      <c r="E2825" s="242">
        <v>42108.103472222225</v>
      </c>
      <c r="F2825">
        <v>0</v>
      </c>
      <c r="G2825" t="b">
        <v>0</v>
      </c>
      <c r="H2825" t="s">
        <v>15</v>
      </c>
    </row>
    <row r="2826" spans="1:8">
      <c r="A2826" t="s">
        <v>166</v>
      </c>
      <c r="B2826" t="s">
        <v>173</v>
      </c>
      <c r="C2826">
        <v>401</v>
      </c>
      <c r="D2826" t="s">
        <v>146</v>
      </c>
      <c r="E2826" s="242">
        <v>42102.728472222225</v>
      </c>
      <c r="F2826">
        <v>0</v>
      </c>
      <c r="G2826" t="b">
        <v>0</v>
      </c>
      <c r="H2826" t="s">
        <v>15</v>
      </c>
    </row>
    <row r="2827" spans="1:8">
      <c r="A2827" t="s">
        <v>149</v>
      </c>
      <c r="B2827" t="s">
        <v>173</v>
      </c>
      <c r="C2827">
        <v>401</v>
      </c>
      <c r="D2827" t="s">
        <v>146</v>
      </c>
      <c r="E2827" s="242">
        <v>42109.622916666667</v>
      </c>
      <c r="F2827">
        <v>0</v>
      </c>
      <c r="G2827" t="b">
        <v>0</v>
      </c>
      <c r="H2827" t="s">
        <v>15</v>
      </c>
    </row>
    <row r="2828" spans="1:8">
      <c r="A2828" t="s">
        <v>150</v>
      </c>
      <c r="B2828" t="s">
        <v>173</v>
      </c>
      <c r="C2828">
        <v>401</v>
      </c>
      <c r="D2828" t="s">
        <v>146</v>
      </c>
      <c r="E2828" s="242">
        <v>42101.646527777775</v>
      </c>
      <c r="F2828">
        <v>0</v>
      </c>
      <c r="G2828" t="b">
        <v>0</v>
      </c>
      <c r="H2828" t="s">
        <v>15</v>
      </c>
    </row>
    <row r="2829" spans="1:8">
      <c r="A2829" t="s">
        <v>151</v>
      </c>
      <c r="B2829" t="s">
        <v>173</v>
      </c>
      <c r="C2829">
        <v>401</v>
      </c>
      <c r="D2829" t="s">
        <v>146</v>
      </c>
      <c r="E2829" s="242">
        <v>42062.542361111111</v>
      </c>
      <c r="F2829">
        <v>0</v>
      </c>
      <c r="G2829" t="b">
        <v>0</v>
      </c>
      <c r="H2829" t="s">
        <v>15</v>
      </c>
    </row>
    <row r="2830" spans="1:8">
      <c r="A2830" t="s">
        <v>152</v>
      </c>
      <c r="B2830" t="s">
        <v>173</v>
      </c>
      <c r="C2830">
        <v>401</v>
      </c>
      <c r="D2830" t="s">
        <v>146</v>
      </c>
      <c r="E2830" s="242">
        <v>42104.449305555558</v>
      </c>
      <c r="F2830">
        <v>0</v>
      </c>
      <c r="G2830" t="b">
        <v>0</v>
      </c>
      <c r="H2830" t="s">
        <v>15</v>
      </c>
    </row>
    <row r="2831" spans="1:8">
      <c r="A2831" t="s">
        <v>145</v>
      </c>
      <c r="B2831" t="s">
        <v>173</v>
      </c>
      <c r="C2831">
        <v>401</v>
      </c>
      <c r="D2831" t="s">
        <v>146</v>
      </c>
      <c r="E2831" s="242">
        <v>42110.563194444447</v>
      </c>
      <c r="F2831">
        <v>0</v>
      </c>
      <c r="G2831" t="b">
        <v>0</v>
      </c>
      <c r="H2831" t="s">
        <v>15</v>
      </c>
    </row>
    <row r="2832" spans="1:8">
      <c r="A2832" t="s">
        <v>167</v>
      </c>
      <c r="B2832" t="s">
        <v>173</v>
      </c>
      <c r="C2832">
        <v>401</v>
      </c>
      <c r="D2832" t="s">
        <v>146</v>
      </c>
      <c r="E2832" s="242">
        <v>42107.896527777775</v>
      </c>
      <c r="F2832">
        <v>0</v>
      </c>
      <c r="G2832" t="b">
        <v>0</v>
      </c>
      <c r="H2832" t="s">
        <v>15</v>
      </c>
    </row>
    <row r="2833" spans="1:8">
      <c r="A2833" t="s">
        <v>153</v>
      </c>
      <c r="B2833" t="s">
        <v>173</v>
      </c>
      <c r="C2833">
        <v>401</v>
      </c>
      <c r="D2833" t="s">
        <v>146</v>
      </c>
      <c r="E2833" s="242">
        <v>42079.550694444442</v>
      </c>
      <c r="F2833">
        <v>0</v>
      </c>
      <c r="G2833" t="b">
        <v>0</v>
      </c>
      <c r="H2833" t="s">
        <v>15</v>
      </c>
    </row>
    <row r="2834" spans="1:8">
      <c r="A2834" t="s">
        <v>154</v>
      </c>
      <c r="B2834" t="s">
        <v>173</v>
      </c>
      <c r="C2834">
        <v>401</v>
      </c>
      <c r="D2834" t="s">
        <v>146</v>
      </c>
      <c r="E2834" s="242">
        <v>42102.652083333334</v>
      </c>
      <c r="F2834">
        <v>0</v>
      </c>
      <c r="G2834" t="b">
        <v>0</v>
      </c>
      <c r="H2834" t="s">
        <v>15</v>
      </c>
    </row>
    <row r="2835" spans="1:8">
      <c r="A2835" t="s">
        <v>168</v>
      </c>
      <c r="B2835" t="s">
        <v>173</v>
      </c>
      <c r="C2835">
        <v>401</v>
      </c>
      <c r="D2835" t="s">
        <v>146</v>
      </c>
      <c r="E2835" s="242">
        <v>42101.615277777775</v>
      </c>
      <c r="F2835">
        <v>0</v>
      </c>
      <c r="G2835" t="b">
        <v>0</v>
      </c>
      <c r="H2835" t="s">
        <v>15</v>
      </c>
    </row>
    <row r="2836" spans="1:8">
      <c r="A2836" t="s">
        <v>155</v>
      </c>
      <c r="B2836" t="s">
        <v>173</v>
      </c>
      <c r="C2836">
        <v>401</v>
      </c>
      <c r="D2836" t="s">
        <v>146</v>
      </c>
      <c r="E2836" s="242">
        <v>42107.659722222219</v>
      </c>
      <c r="F2836">
        <v>0</v>
      </c>
      <c r="G2836" t="b">
        <v>0</v>
      </c>
      <c r="H2836" t="s">
        <v>15</v>
      </c>
    </row>
    <row r="2837" spans="1:8">
      <c r="A2837" t="s">
        <v>156</v>
      </c>
      <c r="B2837" t="s">
        <v>173</v>
      </c>
      <c r="C2837">
        <v>401</v>
      </c>
      <c r="D2837" t="s">
        <v>146</v>
      </c>
      <c r="E2837" s="242">
        <v>42102.806944444441</v>
      </c>
      <c r="F2837">
        <v>0</v>
      </c>
      <c r="G2837" t="b">
        <v>0</v>
      </c>
      <c r="H2837" t="s">
        <v>15</v>
      </c>
    </row>
    <row r="2838" spans="1:8">
      <c r="A2838" t="s">
        <v>157</v>
      </c>
      <c r="B2838" t="s">
        <v>173</v>
      </c>
      <c r="C2838">
        <v>401</v>
      </c>
      <c r="D2838" t="s">
        <v>146</v>
      </c>
      <c r="E2838" s="242">
        <v>42105.461805555555</v>
      </c>
      <c r="F2838">
        <v>0</v>
      </c>
      <c r="G2838" t="b">
        <v>0</v>
      </c>
      <c r="H2838" t="s">
        <v>15</v>
      </c>
    </row>
    <row r="2839" spans="1:8">
      <c r="A2839" t="s">
        <v>169</v>
      </c>
      <c r="B2839" t="s">
        <v>173</v>
      </c>
      <c r="C2839">
        <v>401</v>
      </c>
      <c r="D2839" t="s">
        <v>146</v>
      </c>
      <c r="E2839" s="242">
        <v>42103.893055555556</v>
      </c>
      <c r="F2839">
        <v>0</v>
      </c>
      <c r="G2839" t="b">
        <v>0</v>
      </c>
      <c r="H2839" t="s">
        <v>15</v>
      </c>
    </row>
    <row r="2840" spans="1:8">
      <c r="A2840" t="s">
        <v>170</v>
      </c>
      <c r="B2840" t="s">
        <v>173</v>
      </c>
      <c r="C2840">
        <v>401</v>
      </c>
      <c r="D2840" t="s">
        <v>146</v>
      </c>
      <c r="E2840" s="242">
        <v>42108.626388888886</v>
      </c>
      <c r="F2840">
        <v>0</v>
      </c>
      <c r="G2840" t="b">
        <v>0</v>
      </c>
      <c r="H2840" t="s">
        <v>15</v>
      </c>
    </row>
    <row r="2841" spans="1:8">
      <c r="A2841" t="s">
        <v>158</v>
      </c>
      <c r="B2841" t="s">
        <v>173</v>
      </c>
      <c r="C2841">
        <v>401</v>
      </c>
      <c r="D2841" t="s">
        <v>146</v>
      </c>
      <c r="E2841" s="242">
        <v>42103.429861111108</v>
      </c>
      <c r="F2841">
        <v>0</v>
      </c>
      <c r="G2841" t="b">
        <v>0</v>
      </c>
      <c r="H2841" t="s">
        <v>15</v>
      </c>
    </row>
    <row r="2842" spans="1:8">
      <c r="A2842" t="s">
        <v>159</v>
      </c>
      <c r="B2842" t="s">
        <v>173</v>
      </c>
      <c r="C2842">
        <v>401</v>
      </c>
      <c r="D2842" t="s">
        <v>146</v>
      </c>
      <c r="E2842" s="242">
        <v>42109.490972222222</v>
      </c>
      <c r="F2842">
        <v>0</v>
      </c>
      <c r="G2842" t="b">
        <v>0</v>
      </c>
      <c r="H2842" t="s">
        <v>15</v>
      </c>
    </row>
    <row r="2843" spans="1:8">
      <c r="A2843" t="s">
        <v>160</v>
      </c>
      <c r="B2843" t="s">
        <v>173</v>
      </c>
      <c r="C2843">
        <v>401</v>
      </c>
      <c r="D2843" t="s">
        <v>146</v>
      </c>
      <c r="E2843" s="242">
        <v>42102.36041666667</v>
      </c>
      <c r="F2843">
        <v>0</v>
      </c>
      <c r="G2843" t="b">
        <v>0</v>
      </c>
      <c r="H2843" t="s">
        <v>15</v>
      </c>
    </row>
    <row r="2844" spans="1:8">
      <c r="A2844" t="s">
        <v>164</v>
      </c>
      <c r="B2844" t="s">
        <v>173</v>
      </c>
      <c r="C2844">
        <v>405</v>
      </c>
      <c r="D2844" t="s">
        <v>146</v>
      </c>
      <c r="E2844" s="242">
        <v>42062</v>
      </c>
      <c r="F2844">
        <v>0</v>
      </c>
      <c r="G2844" t="b">
        <v>0</v>
      </c>
      <c r="H2844" t="s">
        <v>15</v>
      </c>
    </row>
    <row r="2845" spans="1:8">
      <c r="A2845" t="s">
        <v>161</v>
      </c>
      <c r="B2845" t="s">
        <v>173</v>
      </c>
      <c r="C2845">
        <v>405</v>
      </c>
      <c r="D2845" t="s">
        <v>146</v>
      </c>
      <c r="E2845" s="242">
        <v>41937</v>
      </c>
      <c r="F2845">
        <v>0</v>
      </c>
      <c r="G2845" t="b">
        <v>0</v>
      </c>
      <c r="H2845" t="s">
        <v>15</v>
      </c>
    </row>
    <row r="2846" spans="1:8">
      <c r="A2846" t="s">
        <v>165</v>
      </c>
      <c r="B2846" t="s">
        <v>173</v>
      </c>
      <c r="C2846">
        <v>405</v>
      </c>
      <c r="D2846" t="s">
        <v>146</v>
      </c>
      <c r="E2846" s="242">
        <v>41969</v>
      </c>
      <c r="F2846">
        <v>0</v>
      </c>
      <c r="G2846" t="b">
        <v>0</v>
      </c>
      <c r="H2846" t="s">
        <v>15</v>
      </c>
    </row>
    <row r="2847" spans="1:8">
      <c r="A2847" t="s">
        <v>148</v>
      </c>
      <c r="B2847" t="s">
        <v>173</v>
      </c>
      <c r="C2847">
        <v>405</v>
      </c>
      <c r="D2847" t="s">
        <v>146</v>
      </c>
      <c r="E2847" s="242">
        <v>42010.29583333333</v>
      </c>
      <c r="F2847">
        <v>0</v>
      </c>
      <c r="G2847" t="b">
        <v>0</v>
      </c>
      <c r="H2847" t="s">
        <v>15</v>
      </c>
    </row>
    <row r="2848" spans="1:8">
      <c r="A2848" t="s">
        <v>162</v>
      </c>
      <c r="B2848" t="s">
        <v>173</v>
      </c>
      <c r="C2848">
        <v>405</v>
      </c>
      <c r="D2848" t="s">
        <v>146</v>
      </c>
      <c r="E2848" s="242">
        <v>42104</v>
      </c>
      <c r="F2848">
        <v>0</v>
      </c>
      <c r="G2848" t="b">
        <v>0</v>
      </c>
      <c r="H2848" t="s">
        <v>15</v>
      </c>
    </row>
    <row r="2849" spans="1:8">
      <c r="A2849" t="s">
        <v>163</v>
      </c>
      <c r="B2849" t="s">
        <v>173</v>
      </c>
      <c r="C2849">
        <v>405</v>
      </c>
      <c r="D2849" t="s">
        <v>146</v>
      </c>
      <c r="E2849" s="242">
        <v>42097.750694444447</v>
      </c>
      <c r="F2849">
        <v>0</v>
      </c>
      <c r="G2849" t="b">
        <v>0</v>
      </c>
      <c r="H2849" t="s">
        <v>15</v>
      </c>
    </row>
    <row r="2850" spans="1:8">
      <c r="A2850" t="s">
        <v>166</v>
      </c>
      <c r="B2850" t="s">
        <v>173</v>
      </c>
      <c r="C2850">
        <v>405</v>
      </c>
      <c r="D2850" t="s">
        <v>146</v>
      </c>
      <c r="E2850" s="242">
        <v>41973</v>
      </c>
      <c r="F2850">
        <v>0</v>
      </c>
      <c r="G2850" t="b">
        <v>0</v>
      </c>
      <c r="H2850" t="s">
        <v>15</v>
      </c>
    </row>
    <row r="2851" spans="1:8">
      <c r="A2851" t="s">
        <v>149</v>
      </c>
      <c r="B2851" t="s">
        <v>173</v>
      </c>
      <c r="C2851">
        <v>405</v>
      </c>
      <c r="D2851" t="s">
        <v>146</v>
      </c>
      <c r="E2851" s="242">
        <v>42079.476388888892</v>
      </c>
      <c r="F2851">
        <v>0</v>
      </c>
      <c r="G2851" t="b">
        <v>0</v>
      </c>
      <c r="H2851" t="s">
        <v>15</v>
      </c>
    </row>
    <row r="2852" spans="1:8">
      <c r="A2852" t="s">
        <v>150</v>
      </c>
      <c r="B2852" t="s">
        <v>173</v>
      </c>
      <c r="C2852">
        <v>405</v>
      </c>
      <c r="D2852" t="s">
        <v>146</v>
      </c>
      <c r="E2852" s="242">
        <v>41968</v>
      </c>
      <c r="F2852">
        <v>0</v>
      </c>
      <c r="G2852" t="b">
        <v>0</v>
      </c>
      <c r="H2852" t="s">
        <v>15</v>
      </c>
    </row>
    <row r="2853" spans="1:8">
      <c r="A2853" t="s">
        <v>151</v>
      </c>
      <c r="B2853" t="s">
        <v>173</v>
      </c>
      <c r="C2853">
        <v>405</v>
      </c>
      <c r="D2853" t="s">
        <v>146</v>
      </c>
      <c r="E2853" s="242">
        <v>41903</v>
      </c>
      <c r="F2853">
        <v>0</v>
      </c>
      <c r="G2853" t="b">
        <v>0</v>
      </c>
      <c r="H2853" t="s">
        <v>15</v>
      </c>
    </row>
    <row r="2854" spans="1:8">
      <c r="A2854" t="s">
        <v>152</v>
      </c>
      <c r="B2854" t="s">
        <v>173</v>
      </c>
      <c r="C2854">
        <v>405</v>
      </c>
      <c r="D2854" t="s">
        <v>146</v>
      </c>
      <c r="E2854" s="242">
        <v>42040.549305555556</v>
      </c>
      <c r="F2854">
        <v>0</v>
      </c>
      <c r="G2854" t="b">
        <v>0</v>
      </c>
      <c r="H2854" t="s">
        <v>15</v>
      </c>
    </row>
    <row r="2855" spans="1:8">
      <c r="A2855" t="s">
        <v>145</v>
      </c>
      <c r="B2855" t="s">
        <v>173</v>
      </c>
      <c r="C2855">
        <v>405</v>
      </c>
      <c r="D2855" t="s">
        <v>146</v>
      </c>
      <c r="E2855" s="242">
        <v>41969</v>
      </c>
      <c r="F2855">
        <v>0</v>
      </c>
      <c r="G2855" t="b">
        <v>0</v>
      </c>
      <c r="H2855" t="s">
        <v>15</v>
      </c>
    </row>
    <row r="2856" spans="1:8">
      <c r="A2856" t="s">
        <v>167</v>
      </c>
      <c r="B2856" t="s">
        <v>173</v>
      </c>
      <c r="C2856">
        <v>405</v>
      </c>
      <c r="D2856" t="s">
        <v>146</v>
      </c>
      <c r="E2856" s="242">
        <v>42088.54583333333</v>
      </c>
      <c r="F2856">
        <v>0</v>
      </c>
      <c r="G2856" t="b">
        <v>0</v>
      </c>
      <c r="H2856" t="s">
        <v>15</v>
      </c>
    </row>
    <row r="2857" spans="1:8">
      <c r="A2857" t="s">
        <v>153</v>
      </c>
      <c r="B2857" t="s">
        <v>173</v>
      </c>
      <c r="C2857">
        <v>405</v>
      </c>
      <c r="D2857" t="s">
        <v>146</v>
      </c>
      <c r="E2857" s="242">
        <v>41877.786111111112</v>
      </c>
      <c r="F2857">
        <v>0</v>
      </c>
      <c r="G2857" t="b">
        <v>0</v>
      </c>
      <c r="H2857" t="s">
        <v>15</v>
      </c>
    </row>
    <row r="2858" spans="1:8">
      <c r="A2858" t="s">
        <v>154</v>
      </c>
      <c r="B2858" t="s">
        <v>173</v>
      </c>
      <c r="C2858">
        <v>405</v>
      </c>
      <c r="D2858" t="s">
        <v>146</v>
      </c>
      <c r="E2858" s="242">
        <v>41919</v>
      </c>
      <c r="F2858">
        <v>0</v>
      </c>
      <c r="G2858" t="b">
        <v>0</v>
      </c>
      <c r="H2858" t="s">
        <v>15</v>
      </c>
    </row>
    <row r="2859" spans="1:8">
      <c r="A2859" t="s">
        <v>168</v>
      </c>
      <c r="B2859" t="s">
        <v>173</v>
      </c>
      <c r="C2859">
        <v>405</v>
      </c>
      <c r="D2859" t="s">
        <v>146</v>
      </c>
      <c r="E2859" s="242">
        <v>42102.386111111111</v>
      </c>
      <c r="F2859">
        <v>0</v>
      </c>
      <c r="G2859" t="b">
        <v>0</v>
      </c>
      <c r="H2859" t="s">
        <v>15</v>
      </c>
    </row>
    <row r="2860" spans="1:8">
      <c r="A2860" t="s">
        <v>155</v>
      </c>
      <c r="B2860" t="s">
        <v>173</v>
      </c>
      <c r="C2860">
        <v>405</v>
      </c>
      <c r="D2860" t="s">
        <v>146</v>
      </c>
      <c r="E2860" s="242">
        <v>42079.355555555558</v>
      </c>
      <c r="F2860">
        <v>0</v>
      </c>
      <c r="G2860" t="b">
        <v>0</v>
      </c>
      <c r="H2860" t="s">
        <v>15</v>
      </c>
    </row>
    <row r="2861" spans="1:8">
      <c r="A2861" t="s">
        <v>156</v>
      </c>
      <c r="B2861" t="s">
        <v>173</v>
      </c>
      <c r="C2861">
        <v>405</v>
      </c>
      <c r="D2861" t="s">
        <v>146</v>
      </c>
      <c r="E2861" s="242">
        <v>42026</v>
      </c>
      <c r="F2861">
        <v>0</v>
      </c>
      <c r="G2861" t="b">
        <v>0</v>
      </c>
      <c r="H2861" t="s">
        <v>15</v>
      </c>
    </row>
    <row r="2862" spans="1:8">
      <c r="A2862" t="s">
        <v>157</v>
      </c>
      <c r="B2862" t="s">
        <v>173</v>
      </c>
      <c r="C2862">
        <v>405</v>
      </c>
      <c r="D2862" t="s">
        <v>146</v>
      </c>
      <c r="E2862" s="242">
        <v>42068.680555555555</v>
      </c>
      <c r="F2862">
        <v>0</v>
      </c>
      <c r="G2862" t="b">
        <v>0</v>
      </c>
      <c r="H2862" t="s">
        <v>15</v>
      </c>
    </row>
    <row r="2863" spans="1:8">
      <c r="A2863" t="s">
        <v>169</v>
      </c>
      <c r="B2863" t="s">
        <v>173</v>
      </c>
      <c r="C2863">
        <v>405</v>
      </c>
      <c r="D2863" t="s">
        <v>146</v>
      </c>
      <c r="E2863" s="242">
        <v>42103.897222222222</v>
      </c>
      <c r="F2863">
        <v>0</v>
      </c>
      <c r="G2863" t="b">
        <v>0</v>
      </c>
      <c r="H2863" t="s">
        <v>15</v>
      </c>
    </row>
    <row r="2864" spans="1:8">
      <c r="A2864" t="s">
        <v>170</v>
      </c>
      <c r="B2864" t="s">
        <v>173</v>
      </c>
      <c r="C2864">
        <v>405</v>
      </c>
      <c r="D2864" t="s">
        <v>146</v>
      </c>
      <c r="E2864" s="242">
        <v>41969</v>
      </c>
      <c r="F2864">
        <v>0</v>
      </c>
      <c r="G2864" t="b">
        <v>0</v>
      </c>
      <c r="H2864" t="s">
        <v>15</v>
      </c>
    </row>
    <row r="2865" spans="1:8">
      <c r="A2865" t="s">
        <v>158</v>
      </c>
      <c r="B2865" t="s">
        <v>173</v>
      </c>
      <c r="C2865">
        <v>405</v>
      </c>
      <c r="D2865" t="s">
        <v>146</v>
      </c>
      <c r="E2865" s="242">
        <v>41953.048611111109</v>
      </c>
      <c r="F2865">
        <v>0</v>
      </c>
      <c r="G2865" t="b">
        <v>0</v>
      </c>
      <c r="H2865" t="s">
        <v>15</v>
      </c>
    </row>
    <row r="2866" spans="1:8">
      <c r="A2866" t="s">
        <v>159</v>
      </c>
      <c r="B2866" t="s">
        <v>173</v>
      </c>
      <c r="C2866">
        <v>405</v>
      </c>
      <c r="D2866" t="s">
        <v>146</v>
      </c>
      <c r="E2866" s="242">
        <v>42094.635416666664</v>
      </c>
      <c r="F2866">
        <v>0</v>
      </c>
      <c r="G2866" t="b">
        <v>0</v>
      </c>
      <c r="H2866" t="s">
        <v>15</v>
      </c>
    </row>
    <row r="2867" spans="1:8">
      <c r="A2867" t="s">
        <v>160</v>
      </c>
      <c r="B2867" t="s">
        <v>173</v>
      </c>
      <c r="C2867">
        <v>405</v>
      </c>
      <c r="D2867" t="s">
        <v>146</v>
      </c>
      <c r="E2867" s="242">
        <v>41961.547222222223</v>
      </c>
      <c r="F2867">
        <v>0</v>
      </c>
      <c r="G2867" t="b">
        <v>0</v>
      </c>
      <c r="H2867" t="s">
        <v>15</v>
      </c>
    </row>
    <row r="2868" spans="1:8">
      <c r="A2868" t="s">
        <v>161</v>
      </c>
      <c r="B2868" t="s">
        <v>173</v>
      </c>
      <c r="C2868">
        <v>406</v>
      </c>
      <c r="D2868" t="s">
        <v>146</v>
      </c>
      <c r="E2868" s="242">
        <v>42081</v>
      </c>
      <c r="F2868">
        <v>0</v>
      </c>
      <c r="G2868" t="b">
        <v>0</v>
      </c>
      <c r="H2868" t="s">
        <v>15</v>
      </c>
    </row>
    <row r="2869" spans="1:8">
      <c r="A2869" t="s">
        <v>165</v>
      </c>
      <c r="B2869" t="s">
        <v>173</v>
      </c>
      <c r="C2869">
        <v>406</v>
      </c>
      <c r="D2869" t="s">
        <v>146</v>
      </c>
      <c r="E2869" s="242">
        <v>42025.482638888891</v>
      </c>
      <c r="F2869">
        <v>0</v>
      </c>
      <c r="G2869" t="b">
        <v>0</v>
      </c>
      <c r="H2869" t="s">
        <v>15</v>
      </c>
    </row>
    <row r="2870" spans="1:8">
      <c r="A2870" t="s">
        <v>162</v>
      </c>
      <c r="B2870" t="s">
        <v>173</v>
      </c>
      <c r="C2870">
        <v>406</v>
      </c>
      <c r="D2870" t="s">
        <v>146</v>
      </c>
      <c r="E2870" s="242">
        <v>42026</v>
      </c>
      <c r="F2870">
        <v>0</v>
      </c>
      <c r="G2870" t="b">
        <v>0</v>
      </c>
      <c r="H2870" t="s">
        <v>15</v>
      </c>
    </row>
    <row r="2871" spans="1:8">
      <c r="A2871" t="s">
        <v>163</v>
      </c>
      <c r="B2871" t="s">
        <v>173</v>
      </c>
      <c r="C2871">
        <v>406</v>
      </c>
      <c r="D2871" t="s">
        <v>146</v>
      </c>
      <c r="E2871" s="242">
        <v>42076.407638888886</v>
      </c>
      <c r="F2871">
        <v>0</v>
      </c>
      <c r="G2871" t="b">
        <v>0</v>
      </c>
      <c r="H2871" t="s">
        <v>15</v>
      </c>
    </row>
    <row r="2872" spans="1:8">
      <c r="A2872" t="s">
        <v>166</v>
      </c>
      <c r="B2872" t="s">
        <v>173</v>
      </c>
      <c r="C2872">
        <v>406</v>
      </c>
      <c r="D2872" t="s">
        <v>146</v>
      </c>
      <c r="E2872" s="242">
        <v>42046.411805555559</v>
      </c>
      <c r="F2872">
        <v>0</v>
      </c>
      <c r="G2872" t="b">
        <v>0</v>
      </c>
      <c r="H2872" t="s">
        <v>15</v>
      </c>
    </row>
    <row r="2873" spans="1:8">
      <c r="A2873" t="s">
        <v>149</v>
      </c>
      <c r="B2873" t="s">
        <v>173</v>
      </c>
      <c r="C2873">
        <v>406</v>
      </c>
      <c r="D2873" t="s">
        <v>146</v>
      </c>
      <c r="E2873" s="242">
        <v>42081.491666666669</v>
      </c>
      <c r="F2873">
        <v>0</v>
      </c>
      <c r="G2873" t="b">
        <v>0</v>
      </c>
      <c r="H2873" t="s">
        <v>15</v>
      </c>
    </row>
    <row r="2874" spans="1:8">
      <c r="A2874" t="s">
        <v>150</v>
      </c>
      <c r="B2874" t="s">
        <v>173</v>
      </c>
      <c r="C2874">
        <v>406</v>
      </c>
      <c r="D2874" t="s">
        <v>146</v>
      </c>
      <c r="E2874" s="242">
        <v>42071.620833333334</v>
      </c>
      <c r="F2874">
        <v>0</v>
      </c>
      <c r="G2874" t="b">
        <v>0</v>
      </c>
      <c r="H2874" t="s">
        <v>15</v>
      </c>
    </row>
    <row r="2875" spans="1:8">
      <c r="A2875" t="s">
        <v>151</v>
      </c>
      <c r="B2875" t="s">
        <v>173</v>
      </c>
      <c r="C2875">
        <v>406</v>
      </c>
      <c r="D2875" t="s">
        <v>146</v>
      </c>
      <c r="E2875" s="242">
        <v>42056.479861111111</v>
      </c>
      <c r="F2875">
        <v>0</v>
      </c>
      <c r="G2875" t="b">
        <v>0</v>
      </c>
      <c r="H2875" t="s">
        <v>15</v>
      </c>
    </row>
    <row r="2876" spans="1:8">
      <c r="A2876" t="s">
        <v>152</v>
      </c>
      <c r="B2876" t="s">
        <v>173</v>
      </c>
      <c r="C2876">
        <v>406</v>
      </c>
      <c r="D2876" t="s">
        <v>146</v>
      </c>
      <c r="E2876" s="242">
        <v>42045.381249999999</v>
      </c>
      <c r="F2876">
        <v>0</v>
      </c>
      <c r="G2876" t="b">
        <v>0</v>
      </c>
      <c r="H2876" t="s">
        <v>15</v>
      </c>
    </row>
    <row r="2877" spans="1:8">
      <c r="A2877" t="s">
        <v>145</v>
      </c>
      <c r="B2877" t="s">
        <v>173</v>
      </c>
      <c r="C2877">
        <v>406</v>
      </c>
      <c r="D2877" t="s">
        <v>146</v>
      </c>
      <c r="E2877" s="242">
        <v>42064.543055555558</v>
      </c>
      <c r="F2877">
        <v>0</v>
      </c>
      <c r="G2877" t="b">
        <v>0</v>
      </c>
      <c r="H2877" t="s">
        <v>15</v>
      </c>
    </row>
    <row r="2878" spans="1:8">
      <c r="A2878" t="s">
        <v>167</v>
      </c>
      <c r="B2878" t="s">
        <v>173</v>
      </c>
      <c r="C2878">
        <v>406</v>
      </c>
      <c r="D2878" t="s">
        <v>146</v>
      </c>
      <c r="E2878" s="242">
        <v>42086</v>
      </c>
      <c r="F2878">
        <v>0</v>
      </c>
      <c r="G2878" t="b">
        <v>0</v>
      </c>
      <c r="H2878" t="s">
        <v>15</v>
      </c>
    </row>
    <row r="2879" spans="1:8">
      <c r="A2879" t="s">
        <v>153</v>
      </c>
      <c r="B2879" t="s">
        <v>173</v>
      </c>
      <c r="C2879">
        <v>406</v>
      </c>
      <c r="D2879" t="s">
        <v>146</v>
      </c>
      <c r="E2879" s="242">
        <v>42075.55</v>
      </c>
      <c r="F2879">
        <v>0</v>
      </c>
      <c r="G2879" t="b">
        <v>0</v>
      </c>
      <c r="H2879" t="s">
        <v>15</v>
      </c>
    </row>
    <row r="2880" spans="1:8">
      <c r="A2880" t="s">
        <v>168</v>
      </c>
      <c r="B2880" t="s">
        <v>173</v>
      </c>
      <c r="C2880">
        <v>406</v>
      </c>
      <c r="D2880" t="s">
        <v>146</v>
      </c>
      <c r="E2880" s="242">
        <v>42087.453472222223</v>
      </c>
      <c r="F2880">
        <v>0</v>
      </c>
      <c r="G2880" t="b">
        <v>0</v>
      </c>
      <c r="H2880" t="s">
        <v>15</v>
      </c>
    </row>
    <row r="2881" spans="1:8">
      <c r="A2881" t="s">
        <v>155</v>
      </c>
      <c r="B2881" t="s">
        <v>173</v>
      </c>
      <c r="C2881">
        <v>406</v>
      </c>
      <c r="D2881" t="s">
        <v>146</v>
      </c>
      <c r="E2881" s="242">
        <v>42076.582638888889</v>
      </c>
      <c r="F2881">
        <v>0</v>
      </c>
      <c r="G2881" t="b">
        <v>0</v>
      </c>
      <c r="H2881" t="s">
        <v>15</v>
      </c>
    </row>
    <row r="2882" spans="1:8">
      <c r="A2882" t="s">
        <v>156</v>
      </c>
      <c r="B2882" t="s">
        <v>173</v>
      </c>
      <c r="C2882">
        <v>406</v>
      </c>
      <c r="D2882" t="s">
        <v>146</v>
      </c>
      <c r="E2882" s="242">
        <v>42026</v>
      </c>
      <c r="F2882">
        <v>0</v>
      </c>
      <c r="G2882" t="b">
        <v>0</v>
      </c>
      <c r="H2882" t="s">
        <v>15</v>
      </c>
    </row>
    <row r="2883" spans="1:8">
      <c r="A2883" t="s">
        <v>157</v>
      </c>
      <c r="B2883" t="s">
        <v>173</v>
      </c>
      <c r="C2883">
        <v>406</v>
      </c>
      <c r="D2883" t="s">
        <v>146</v>
      </c>
      <c r="E2883" s="242">
        <v>42105.463194444441</v>
      </c>
      <c r="F2883">
        <v>0</v>
      </c>
      <c r="G2883" t="b">
        <v>0</v>
      </c>
      <c r="H2883" t="s">
        <v>15</v>
      </c>
    </row>
    <row r="2884" spans="1:8">
      <c r="A2884" t="s">
        <v>169</v>
      </c>
      <c r="B2884" t="s">
        <v>173</v>
      </c>
      <c r="C2884">
        <v>406</v>
      </c>
      <c r="D2884" t="s">
        <v>146</v>
      </c>
      <c r="E2884" s="242">
        <v>42081.463888888888</v>
      </c>
      <c r="F2884">
        <v>0</v>
      </c>
      <c r="G2884" t="b">
        <v>0</v>
      </c>
      <c r="H2884" t="s">
        <v>15</v>
      </c>
    </row>
    <row r="2885" spans="1:8">
      <c r="A2885" t="s">
        <v>158</v>
      </c>
      <c r="B2885" t="s">
        <v>173</v>
      </c>
      <c r="C2885">
        <v>406</v>
      </c>
      <c r="D2885" t="s">
        <v>146</v>
      </c>
      <c r="E2885" s="242">
        <v>42042.436111111114</v>
      </c>
      <c r="F2885">
        <v>0</v>
      </c>
      <c r="G2885" t="b">
        <v>0</v>
      </c>
      <c r="H2885" t="s">
        <v>15</v>
      </c>
    </row>
    <row r="2886" spans="1:8">
      <c r="A2886" t="s">
        <v>160</v>
      </c>
      <c r="B2886" t="s">
        <v>173</v>
      </c>
      <c r="C2886">
        <v>406</v>
      </c>
      <c r="D2886" t="s">
        <v>146</v>
      </c>
      <c r="E2886" s="242">
        <v>42050.54791666667</v>
      </c>
      <c r="F2886">
        <v>0</v>
      </c>
      <c r="G2886" t="b">
        <v>0</v>
      </c>
      <c r="H2886" t="s">
        <v>15</v>
      </c>
    </row>
    <row r="2887" spans="1:8">
      <c r="A2887" t="s">
        <v>164</v>
      </c>
      <c r="B2887" t="s">
        <v>173</v>
      </c>
      <c r="C2887">
        <v>407</v>
      </c>
      <c r="D2887" t="s">
        <v>146</v>
      </c>
      <c r="E2887" s="242">
        <v>42042.461111111108</v>
      </c>
      <c r="F2887">
        <v>0</v>
      </c>
      <c r="G2887" t="b">
        <v>0</v>
      </c>
      <c r="H2887" t="s">
        <v>15</v>
      </c>
    </row>
    <row r="2888" spans="1:8">
      <c r="A2888" t="s">
        <v>161</v>
      </c>
      <c r="B2888" t="s">
        <v>173</v>
      </c>
      <c r="C2888">
        <v>407</v>
      </c>
      <c r="D2888" t="s">
        <v>146</v>
      </c>
      <c r="E2888" s="242">
        <v>41994</v>
      </c>
      <c r="F2888">
        <v>0</v>
      </c>
      <c r="G2888" t="b">
        <v>0</v>
      </c>
      <c r="H2888" t="s">
        <v>15</v>
      </c>
    </row>
    <row r="2889" spans="1:8">
      <c r="A2889" t="s">
        <v>165</v>
      </c>
      <c r="B2889" t="s">
        <v>173</v>
      </c>
      <c r="C2889">
        <v>407</v>
      </c>
      <c r="D2889" t="s">
        <v>146</v>
      </c>
      <c r="E2889" s="242">
        <v>42025.48333333333</v>
      </c>
      <c r="F2889">
        <v>0</v>
      </c>
      <c r="G2889" t="b">
        <v>0</v>
      </c>
      <c r="H2889" t="s">
        <v>15</v>
      </c>
    </row>
    <row r="2890" spans="1:8">
      <c r="A2890" t="s">
        <v>162</v>
      </c>
      <c r="B2890" t="s">
        <v>173</v>
      </c>
      <c r="C2890">
        <v>407</v>
      </c>
      <c r="D2890" t="s">
        <v>146</v>
      </c>
      <c r="E2890" s="242">
        <v>42026</v>
      </c>
      <c r="F2890">
        <v>0</v>
      </c>
      <c r="G2890" t="b">
        <v>0</v>
      </c>
      <c r="H2890" t="s">
        <v>15</v>
      </c>
    </row>
    <row r="2891" spans="1:8">
      <c r="A2891" t="s">
        <v>163</v>
      </c>
      <c r="B2891" t="s">
        <v>173</v>
      </c>
      <c r="C2891">
        <v>407</v>
      </c>
      <c r="D2891" t="s">
        <v>146</v>
      </c>
      <c r="E2891" s="242">
        <v>42077.427083333336</v>
      </c>
      <c r="F2891">
        <v>0</v>
      </c>
      <c r="G2891" t="b">
        <v>0</v>
      </c>
      <c r="H2891" t="s">
        <v>15</v>
      </c>
    </row>
    <row r="2892" spans="1:8">
      <c r="A2892" t="s">
        <v>166</v>
      </c>
      <c r="B2892" t="s">
        <v>173</v>
      </c>
      <c r="C2892">
        <v>407</v>
      </c>
      <c r="D2892" t="s">
        <v>146</v>
      </c>
      <c r="E2892" s="242">
        <v>42046.412499999999</v>
      </c>
      <c r="F2892">
        <v>0</v>
      </c>
      <c r="G2892" t="b">
        <v>0</v>
      </c>
      <c r="H2892" t="s">
        <v>15</v>
      </c>
    </row>
    <row r="2893" spans="1:8">
      <c r="A2893" t="s">
        <v>149</v>
      </c>
      <c r="B2893" t="s">
        <v>173</v>
      </c>
      <c r="C2893">
        <v>407</v>
      </c>
      <c r="D2893" t="s">
        <v>146</v>
      </c>
      <c r="E2893" s="242">
        <v>42081.495138888888</v>
      </c>
      <c r="F2893">
        <v>0</v>
      </c>
      <c r="G2893" t="b">
        <v>0</v>
      </c>
      <c r="H2893" t="s">
        <v>15</v>
      </c>
    </row>
    <row r="2894" spans="1:8">
      <c r="A2894" t="s">
        <v>150</v>
      </c>
      <c r="B2894" t="s">
        <v>173</v>
      </c>
      <c r="C2894">
        <v>407</v>
      </c>
      <c r="D2894" t="s">
        <v>146</v>
      </c>
      <c r="E2894" s="242">
        <v>42071.621527777781</v>
      </c>
      <c r="F2894">
        <v>0</v>
      </c>
      <c r="G2894" t="b">
        <v>0</v>
      </c>
      <c r="H2894" t="s">
        <v>15</v>
      </c>
    </row>
    <row r="2895" spans="1:8">
      <c r="A2895" t="s">
        <v>151</v>
      </c>
      <c r="B2895" t="s">
        <v>173</v>
      </c>
      <c r="C2895">
        <v>407</v>
      </c>
      <c r="D2895" t="s">
        <v>146</v>
      </c>
      <c r="E2895" s="242">
        <v>42056.479861111111</v>
      </c>
      <c r="F2895">
        <v>0</v>
      </c>
      <c r="G2895" t="b">
        <v>0</v>
      </c>
      <c r="H2895" t="s">
        <v>15</v>
      </c>
    </row>
    <row r="2896" spans="1:8">
      <c r="A2896" t="s">
        <v>152</v>
      </c>
      <c r="B2896" t="s">
        <v>173</v>
      </c>
      <c r="C2896">
        <v>407</v>
      </c>
      <c r="D2896" t="s">
        <v>146</v>
      </c>
      <c r="E2896" s="242">
        <v>42045.381944444445</v>
      </c>
      <c r="F2896">
        <v>0</v>
      </c>
      <c r="G2896" t="b">
        <v>0</v>
      </c>
      <c r="H2896" t="s">
        <v>15</v>
      </c>
    </row>
    <row r="2897" spans="1:8">
      <c r="A2897" t="s">
        <v>145</v>
      </c>
      <c r="B2897" t="s">
        <v>173</v>
      </c>
      <c r="C2897">
        <v>407</v>
      </c>
      <c r="D2897" t="s">
        <v>146</v>
      </c>
      <c r="E2897" s="242">
        <v>42073</v>
      </c>
      <c r="F2897">
        <v>0</v>
      </c>
      <c r="G2897" t="b">
        <v>0</v>
      </c>
      <c r="H2897" t="s">
        <v>15</v>
      </c>
    </row>
    <row r="2898" spans="1:8">
      <c r="A2898" t="s">
        <v>153</v>
      </c>
      <c r="B2898" t="s">
        <v>173</v>
      </c>
      <c r="C2898">
        <v>407</v>
      </c>
      <c r="D2898" t="s">
        <v>146</v>
      </c>
      <c r="E2898" s="242">
        <v>42075.551388888889</v>
      </c>
      <c r="F2898">
        <v>0</v>
      </c>
      <c r="G2898" t="b">
        <v>0</v>
      </c>
      <c r="H2898" t="s">
        <v>15</v>
      </c>
    </row>
    <row r="2899" spans="1:8">
      <c r="A2899" t="s">
        <v>154</v>
      </c>
      <c r="B2899" t="s">
        <v>173</v>
      </c>
      <c r="C2899">
        <v>407</v>
      </c>
      <c r="D2899" t="s">
        <v>146</v>
      </c>
      <c r="E2899" s="242">
        <v>42009.208333333336</v>
      </c>
      <c r="F2899">
        <v>0</v>
      </c>
      <c r="G2899" t="b">
        <v>0</v>
      </c>
      <c r="H2899" t="s">
        <v>15</v>
      </c>
    </row>
    <row r="2900" spans="1:8">
      <c r="A2900" t="s">
        <v>168</v>
      </c>
      <c r="B2900" t="s">
        <v>173</v>
      </c>
      <c r="C2900">
        <v>407</v>
      </c>
      <c r="D2900" t="s">
        <v>146</v>
      </c>
      <c r="E2900" s="242">
        <v>41997.579861111109</v>
      </c>
      <c r="F2900">
        <v>0</v>
      </c>
      <c r="G2900" t="b">
        <v>0</v>
      </c>
      <c r="H2900" t="s">
        <v>15</v>
      </c>
    </row>
    <row r="2901" spans="1:8">
      <c r="A2901" t="s">
        <v>155</v>
      </c>
      <c r="B2901" t="s">
        <v>173</v>
      </c>
      <c r="C2901">
        <v>407</v>
      </c>
      <c r="D2901" t="s">
        <v>146</v>
      </c>
      <c r="E2901" s="242">
        <v>42076.584027777775</v>
      </c>
      <c r="F2901">
        <v>0</v>
      </c>
      <c r="G2901" t="b">
        <v>0</v>
      </c>
      <c r="H2901" t="s">
        <v>15</v>
      </c>
    </row>
    <row r="2902" spans="1:8">
      <c r="A2902" t="s">
        <v>156</v>
      </c>
      <c r="B2902" t="s">
        <v>173</v>
      </c>
      <c r="C2902">
        <v>407</v>
      </c>
      <c r="D2902" t="s">
        <v>146</v>
      </c>
      <c r="E2902" s="242">
        <v>42026</v>
      </c>
      <c r="F2902">
        <v>0</v>
      </c>
      <c r="G2902" t="b">
        <v>0</v>
      </c>
      <c r="H2902" t="s">
        <v>15</v>
      </c>
    </row>
    <row r="2903" spans="1:8">
      <c r="A2903" t="s">
        <v>157</v>
      </c>
      <c r="B2903" t="s">
        <v>173</v>
      </c>
      <c r="C2903">
        <v>407</v>
      </c>
      <c r="D2903" t="s">
        <v>146</v>
      </c>
      <c r="E2903" s="242">
        <v>42105.463888888888</v>
      </c>
      <c r="F2903">
        <v>0</v>
      </c>
      <c r="G2903" t="b">
        <v>0</v>
      </c>
      <c r="H2903" t="s">
        <v>15</v>
      </c>
    </row>
    <row r="2904" spans="1:8">
      <c r="A2904" t="s">
        <v>169</v>
      </c>
      <c r="B2904" t="s">
        <v>173</v>
      </c>
      <c r="C2904">
        <v>407</v>
      </c>
      <c r="D2904" t="s">
        <v>146</v>
      </c>
      <c r="E2904" s="242">
        <v>42080.438888888886</v>
      </c>
      <c r="F2904">
        <v>0</v>
      </c>
      <c r="G2904" t="b">
        <v>0</v>
      </c>
      <c r="H2904" t="s">
        <v>15</v>
      </c>
    </row>
    <row r="2905" spans="1:8">
      <c r="A2905" t="s">
        <v>158</v>
      </c>
      <c r="B2905" t="s">
        <v>173</v>
      </c>
      <c r="C2905">
        <v>407</v>
      </c>
      <c r="D2905" t="s">
        <v>146</v>
      </c>
      <c r="E2905" s="242">
        <v>42042.4375</v>
      </c>
      <c r="F2905">
        <v>0</v>
      </c>
      <c r="G2905" t="b">
        <v>0</v>
      </c>
      <c r="H2905" t="s">
        <v>15</v>
      </c>
    </row>
    <row r="2906" spans="1:8">
      <c r="A2906" t="s">
        <v>160</v>
      </c>
      <c r="B2906" t="s">
        <v>173</v>
      </c>
      <c r="C2906">
        <v>407</v>
      </c>
      <c r="D2906" t="s">
        <v>146</v>
      </c>
      <c r="E2906" s="242">
        <v>42067.486805555556</v>
      </c>
      <c r="F2906">
        <v>0</v>
      </c>
      <c r="G2906" t="b">
        <v>0</v>
      </c>
      <c r="H2906" t="s">
        <v>15</v>
      </c>
    </row>
    <row r="2907" spans="1:8">
      <c r="A2907" t="s">
        <v>164</v>
      </c>
      <c r="B2907" t="s">
        <v>173</v>
      </c>
      <c r="C2907">
        <v>415</v>
      </c>
      <c r="D2907" t="s">
        <v>171</v>
      </c>
      <c r="E2907" s="242">
        <v>41772.661111111112</v>
      </c>
      <c r="F2907">
        <v>0</v>
      </c>
      <c r="G2907" t="b">
        <v>0</v>
      </c>
      <c r="H2907" t="s">
        <v>15</v>
      </c>
    </row>
    <row r="2908" spans="1:8">
      <c r="A2908" t="s">
        <v>161</v>
      </c>
      <c r="B2908" t="s">
        <v>173</v>
      </c>
      <c r="C2908">
        <v>415</v>
      </c>
      <c r="D2908" t="s">
        <v>171</v>
      </c>
      <c r="E2908" s="242">
        <v>41725</v>
      </c>
      <c r="F2908">
        <v>0</v>
      </c>
      <c r="G2908" t="b">
        <v>0</v>
      </c>
      <c r="H2908" t="s">
        <v>15</v>
      </c>
    </row>
    <row r="2909" spans="1:8">
      <c r="A2909" t="s">
        <v>165</v>
      </c>
      <c r="B2909" t="s">
        <v>173</v>
      </c>
      <c r="C2909">
        <v>415</v>
      </c>
      <c r="D2909" t="s">
        <v>171</v>
      </c>
      <c r="E2909" s="242">
        <v>42028.472222222219</v>
      </c>
      <c r="F2909">
        <v>0</v>
      </c>
      <c r="G2909" t="b">
        <v>0</v>
      </c>
      <c r="H2909" t="s">
        <v>15</v>
      </c>
    </row>
    <row r="2910" spans="1:8">
      <c r="A2910" t="s">
        <v>148</v>
      </c>
      <c r="B2910" t="s">
        <v>173</v>
      </c>
      <c r="C2910">
        <v>415</v>
      </c>
      <c r="D2910" t="s">
        <v>171</v>
      </c>
      <c r="E2910" s="242">
        <v>41904</v>
      </c>
      <c r="F2910">
        <v>0</v>
      </c>
      <c r="G2910" t="b">
        <v>0</v>
      </c>
      <c r="H2910" t="s">
        <v>15</v>
      </c>
    </row>
    <row r="2911" spans="1:8">
      <c r="A2911" t="s">
        <v>162</v>
      </c>
      <c r="B2911" t="s">
        <v>173</v>
      </c>
      <c r="C2911">
        <v>415</v>
      </c>
      <c r="D2911" t="s">
        <v>171</v>
      </c>
      <c r="E2911" s="242">
        <v>42109</v>
      </c>
      <c r="F2911">
        <v>0</v>
      </c>
      <c r="G2911" t="b">
        <v>0</v>
      </c>
      <c r="H2911" t="s">
        <v>15</v>
      </c>
    </row>
    <row r="2912" spans="1:8">
      <c r="A2912" t="s">
        <v>163</v>
      </c>
      <c r="B2912" t="s">
        <v>173</v>
      </c>
      <c r="C2912">
        <v>415</v>
      </c>
      <c r="D2912" t="s">
        <v>171</v>
      </c>
      <c r="E2912" s="242">
        <v>42102.743055555555</v>
      </c>
      <c r="F2912">
        <v>0</v>
      </c>
      <c r="G2912" t="b">
        <v>0</v>
      </c>
      <c r="H2912" t="s">
        <v>15</v>
      </c>
    </row>
    <row r="2913" spans="1:8">
      <c r="A2913" t="s">
        <v>166</v>
      </c>
      <c r="B2913" t="s">
        <v>173</v>
      </c>
      <c r="C2913">
        <v>415</v>
      </c>
      <c r="D2913" t="s">
        <v>171</v>
      </c>
      <c r="E2913" s="242">
        <v>41908.413888888892</v>
      </c>
      <c r="F2913">
        <v>0</v>
      </c>
      <c r="G2913" t="b">
        <v>0</v>
      </c>
      <c r="H2913" t="s">
        <v>15</v>
      </c>
    </row>
    <row r="2914" spans="1:8">
      <c r="A2914" t="s">
        <v>149</v>
      </c>
      <c r="B2914" t="s">
        <v>173</v>
      </c>
      <c r="C2914">
        <v>415</v>
      </c>
      <c r="D2914" t="s">
        <v>171</v>
      </c>
      <c r="E2914" s="242">
        <v>41717.397916666669</v>
      </c>
      <c r="F2914">
        <v>0</v>
      </c>
      <c r="G2914" t="b">
        <v>0</v>
      </c>
      <c r="H2914" t="s">
        <v>15</v>
      </c>
    </row>
    <row r="2915" spans="1:8">
      <c r="A2915" t="s">
        <v>150</v>
      </c>
      <c r="B2915" t="s">
        <v>173</v>
      </c>
      <c r="C2915">
        <v>415</v>
      </c>
      <c r="D2915" t="s">
        <v>171</v>
      </c>
      <c r="E2915" s="242">
        <v>42042.555555555555</v>
      </c>
      <c r="F2915">
        <v>0</v>
      </c>
      <c r="G2915" t="b">
        <v>0</v>
      </c>
      <c r="H2915" t="s">
        <v>15</v>
      </c>
    </row>
    <row r="2916" spans="1:8">
      <c r="A2916" t="s">
        <v>151</v>
      </c>
      <c r="B2916" t="s">
        <v>173</v>
      </c>
      <c r="C2916">
        <v>415</v>
      </c>
      <c r="D2916" t="s">
        <v>171</v>
      </c>
      <c r="E2916" s="242">
        <v>41723</v>
      </c>
      <c r="F2916">
        <v>0</v>
      </c>
      <c r="G2916" t="b">
        <v>0</v>
      </c>
      <c r="H2916" t="s">
        <v>15</v>
      </c>
    </row>
    <row r="2917" spans="1:8">
      <c r="A2917" t="s">
        <v>152</v>
      </c>
      <c r="B2917" t="s">
        <v>173</v>
      </c>
      <c r="C2917">
        <v>415</v>
      </c>
      <c r="D2917" t="s">
        <v>171</v>
      </c>
      <c r="E2917" s="242">
        <v>42012.576388888891</v>
      </c>
      <c r="F2917">
        <v>0</v>
      </c>
      <c r="G2917" t="b">
        <v>0</v>
      </c>
      <c r="H2917" t="s">
        <v>15</v>
      </c>
    </row>
    <row r="2918" spans="1:8">
      <c r="A2918" t="s">
        <v>145</v>
      </c>
      <c r="B2918" t="s">
        <v>173</v>
      </c>
      <c r="C2918">
        <v>415</v>
      </c>
      <c r="D2918" t="s">
        <v>171</v>
      </c>
      <c r="E2918" s="242">
        <v>41801</v>
      </c>
      <c r="F2918">
        <v>0</v>
      </c>
      <c r="G2918" t="b">
        <v>0</v>
      </c>
      <c r="H2918" t="s">
        <v>15</v>
      </c>
    </row>
    <row r="2919" spans="1:8">
      <c r="A2919" t="s">
        <v>167</v>
      </c>
      <c r="B2919" t="s">
        <v>173</v>
      </c>
      <c r="C2919">
        <v>415</v>
      </c>
      <c r="D2919" t="s">
        <v>171</v>
      </c>
      <c r="E2919" s="242">
        <v>41932.426388888889</v>
      </c>
      <c r="F2919">
        <v>0</v>
      </c>
      <c r="G2919" t="b">
        <v>0</v>
      </c>
      <c r="H2919" t="s">
        <v>15</v>
      </c>
    </row>
    <row r="2920" spans="1:8">
      <c r="A2920" t="s">
        <v>153</v>
      </c>
      <c r="B2920" t="s">
        <v>173</v>
      </c>
      <c r="C2920">
        <v>415</v>
      </c>
      <c r="D2920" t="s">
        <v>171</v>
      </c>
      <c r="E2920" s="242">
        <v>41731.782638888886</v>
      </c>
      <c r="F2920">
        <v>0</v>
      </c>
      <c r="G2920" t="b">
        <v>0</v>
      </c>
      <c r="H2920" t="s">
        <v>15</v>
      </c>
    </row>
    <row r="2921" spans="1:8">
      <c r="A2921" t="s">
        <v>154</v>
      </c>
      <c r="B2921" t="s">
        <v>173</v>
      </c>
      <c r="C2921">
        <v>415</v>
      </c>
      <c r="D2921" t="s">
        <v>171</v>
      </c>
      <c r="E2921" s="242">
        <v>41739</v>
      </c>
      <c r="F2921">
        <v>0</v>
      </c>
      <c r="G2921" t="b">
        <v>0</v>
      </c>
      <c r="H2921" t="s">
        <v>15</v>
      </c>
    </row>
    <row r="2922" spans="1:8">
      <c r="A2922" t="s">
        <v>168</v>
      </c>
      <c r="B2922" t="s">
        <v>173</v>
      </c>
      <c r="C2922">
        <v>415</v>
      </c>
      <c r="D2922" t="s">
        <v>171</v>
      </c>
      <c r="E2922" s="242">
        <v>42102.413888888892</v>
      </c>
      <c r="F2922">
        <v>0</v>
      </c>
      <c r="G2922" t="b">
        <v>0</v>
      </c>
      <c r="H2922" t="s">
        <v>15</v>
      </c>
    </row>
    <row r="2923" spans="1:8">
      <c r="A2923" t="s">
        <v>155</v>
      </c>
      <c r="B2923" t="s">
        <v>173</v>
      </c>
      <c r="C2923">
        <v>415</v>
      </c>
      <c r="D2923" t="s">
        <v>171</v>
      </c>
      <c r="E2923" s="242">
        <v>41725.68472222222</v>
      </c>
      <c r="F2923">
        <v>0</v>
      </c>
      <c r="G2923" t="b">
        <v>0</v>
      </c>
      <c r="H2923" t="s">
        <v>15</v>
      </c>
    </row>
    <row r="2924" spans="1:8">
      <c r="A2924" t="s">
        <v>156</v>
      </c>
      <c r="B2924" t="s">
        <v>173</v>
      </c>
      <c r="C2924">
        <v>415</v>
      </c>
      <c r="D2924" t="s">
        <v>171</v>
      </c>
      <c r="E2924" s="242">
        <v>42026</v>
      </c>
      <c r="F2924">
        <v>0</v>
      </c>
      <c r="G2924" t="b">
        <v>0</v>
      </c>
      <c r="H2924" t="s">
        <v>15</v>
      </c>
    </row>
    <row r="2925" spans="1:8">
      <c r="A2925" t="s">
        <v>157</v>
      </c>
      <c r="B2925" t="s">
        <v>173</v>
      </c>
      <c r="C2925">
        <v>415</v>
      </c>
      <c r="D2925" t="s">
        <v>171</v>
      </c>
      <c r="E2925" s="242">
        <v>42094</v>
      </c>
      <c r="F2925">
        <v>0</v>
      </c>
      <c r="G2925" t="b">
        <v>0</v>
      </c>
      <c r="H2925" t="s">
        <v>15</v>
      </c>
    </row>
    <row r="2926" spans="1:8">
      <c r="A2926" t="s">
        <v>169</v>
      </c>
      <c r="B2926" t="s">
        <v>173</v>
      </c>
      <c r="C2926">
        <v>415</v>
      </c>
      <c r="D2926" t="s">
        <v>171</v>
      </c>
      <c r="E2926" s="242">
        <v>42104.449305555558</v>
      </c>
      <c r="F2926">
        <v>0</v>
      </c>
      <c r="G2926" t="b">
        <v>0</v>
      </c>
      <c r="H2926" t="s">
        <v>15</v>
      </c>
    </row>
    <row r="2927" spans="1:8">
      <c r="A2927" t="s">
        <v>170</v>
      </c>
      <c r="B2927" t="s">
        <v>173</v>
      </c>
      <c r="C2927">
        <v>415</v>
      </c>
      <c r="D2927" t="s">
        <v>171</v>
      </c>
      <c r="E2927" s="242">
        <v>42110.425694444442</v>
      </c>
      <c r="F2927">
        <v>0</v>
      </c>
      <c r="G2927" t="b">
        <v>0</v>
      </c>
      <c r="H2927" t="s">
        <v>15</v>
      </c>
    </row>
    <row r="2928" spans="1:8">
      <c r="A2928" t="s">
        <v>158</v>
      </c>
      <c r="B2928" t="s">
        <v>173</v>
      </c>
      <c r="C2928">
        <v>415</v>
      </c>
      <c r="D2928" t="s">
        <v>171</v>
      </c>
      <c r="E2928" s="242">
        <v>41773.074999999997</v>
      </c>
      <c r="F2928">
        <v>0</v>
      </c>
      <c r="G2928" t="b">
        <v>0</v>
      </c>
      <c r="H2928" t="s">
        <v>15</v>
      </c>
    </row>
    <row r="2929" spans="1:8">
      <c r="A2929" t="s">
        <v>159</v>
      </c>
      <c r="B2929" t="s">
        <v>173</v>
      </c>
      <c r="C2929">
        <v>415</v>
      </c>
      <c r="D2929" t="s">
        <v>171</v>
      </c>
      <c r="E2929" s="242">
        <v>42094</v>
      </c>
      <c r="F2929">
        <v>0</v>
      </c>
      <c r="G2929" t="b">
        <v>0</v>
      </c>
      <c r="H2929" t="s">
        <v>15</v>
      </c>
    </row>
    <row r="2930" spans="1:8">
      <c r="A2930" t="s">
        <v>160</v>
      </c>
      <c r="B2930" t="s">
        <v>173</v>
      </c>
      <c r="C2930">
        <v>415</v>
      </c>
      <c r="D2930" t="s">
        <v>171</v>
      </c>
      <c r="E2930" s="242">
        <v>41961.5</v>
      </c>
      <c r="F2930">
        <v>0</v>
      </c>
      <c r="G2930" t="b">
        <v>0</v>
      </c>
      <c r="H2930" t="s">
        <v>15</v>
      </c>
    </row>
    <row r="2931" spans="1:8">
      <c r="A2931" t="s">
        <v>150</v>
      </c>
      <c r="B2931" t="s">
        <v>173</v>
      </c>
      <c r="C2931">
        <v>445</v>
      </c>
      <c r="D2931" t="s">
        <v>146</v>
      </c>
      <c r="E2931" s="242">
        <v>41911</v>
      </c>
      <c r="F2931">
        <v>0</v>
      </c>
      <c r="G2931" t="b">
        <v>0</v>
      </c>
      <c r="H2931" t="s">
        <v>15</v>
      </c>
    </row>
    <row r="2932" spans="1:8">
      <c r="A2932" t="s">
        <v>152</v>
      </c>
      <c r="B2932" t="s">
        <v>173</v>
      </c>
      <c r="C2932">
        <v>445</v>
      </c>
      <c r="D2932" t="s">
        <v>146</v>
      </c>
      <c r="E2932" s="242">
        <v>42059.543749999997</v>
      </c>
      <c r="F2932">
        <v>0</v>
      </c>
      <c r="G2932" t="b">
        <v>0</v>
      </c>
      <c r="H2932" t="s">
        <v>15</v>
      </c>
    </row>
    <row r="2933" spans="1:8">
      <c r="A2933" t="s">
        <v>156</v>
      </c>
      <c r="B2933" t="s">
        <v>173</v>
      </c>
      <c r="C2933">
        <v>445</v>
      </c>
      <c r="D2933" t="s">
        <v>146</v>
      </c>
      <c r="E2933" s="242">
        <v>42026</v>
      </c>
      <c r="F2933">
        <v>0</v>
      </c>
      <c r="G2933" t="b">
        <v>0</v>
      </c>
      <c r="H2933" t="s">
        <v>15</v>
      </c>
    </row>
    <row r="2934" spans="1:8">
      <c r="A2934" t="s">
        <v>170</v>
      </c>
      <c r="B2934" t="s">
        <v>173</v>
      </c>
      <c r="C2934">
        <v>445</v>
      </c>
      <c r="D2934" t="s">
        <v>146</v>
      </c>
      <c r="E2934" s="242">
        <v>41918</v>
      </c>
      <c r="F2934">
        <v>0</v>
      </c>
      <c r="G2934" t="b">
        <v>0</v>
      </c>
      <c r="H2934" t="s">
        <v>15</v>
      </c>
    </row>
    <row r="2935" spans="1:8">
      <c r="A2935" t="s">
        <v>156</v>
      </c>
      <c r="B2935" t="s">
        <v>173</v>
      </c>
      <c r="C2935">
        <v>516</v>
      </c>
      <c r="D2935" t="s">
        <v>147</v>
      </c>
      <c r="E2935" s="242"/>
      <c r="F2935">
        <v>4756.5</v>
      </c>
      <c r="G2935" t="b">
        <v>0</v>
      </c>
      <c r="H2935" t="s">
        <v>15</v>
      </c>
    </row>
    <row r="2936" spans="1:8">
      <c r="A2936" t="s">
        <v>160</v>
      </c>
      <c r="B2936" t="s">
        <v>173</v>
      </c>
      <c r="C2936">
        <v>516</v>
      </c>
      <c r="D2936" t="s">
        <v>147</v>
      </c>
      <c r="E2936" s="242"/>
      <c r="F2936">
        <v>2969.10009765625</v>
      </c>
      <c r="G2936" t="b">
        <v>0</v>
      </c>
      <c r="H2936" t="s">
        <v>15</v>
      </c>
    </row>
    <row r="2937" spans="1:8">
      <c r="A2937" t="s">
        <v>164</v>
      </c>
      <c r="B2937" t="s">
        <v>173</v>
      </c>
      <c r="C2937">
        <v>520</v>
      </c>
      <c r="D2937" t="s">
        <v>147</v>
      </c>
      <c r="E2937" s="242"/>
      <c r="F2937">
        <v>5216.60009765625</v>
      </c>
      <c r="G2937" t="b">
        <v>0</v>
      </c>
      <c r="H2937" t="s">
        <v>15</v>
      </c>
    </row>
    <row r="2938" spans="1:8">
      <c r="A2938" t="s">
        <v>161</v>
      </c>
      <c r="B2938" t="s">
        <v>173</v>
      </c>
      <c r="C2938">
        <v>520</v>
      </c>
      <c r="D2938" t="s">
        <v>147</v>
      </c>
      <c r="E2938" s="242"/>
      <c r="F2938">
        <v>7001</v>
      </c>
      <c r="G2938" t="b">
        <v>0</v>
      </c>
      <c r="H2938" t="s">
        <v>15</v>
      </c>
    </row>
    <row r="2939" spans="1:8">
      <c r="A2939" t="s">
        <v>165</v>
      </c>
      <c r="B2939" t="s">
        <v>173</v>
      </c>
      <c r="C2939">
        <v>520</v>
      </c>
      <c r="D2939" t="s">
        <v>147</v>
      </c>
      <c r="E2939" s="242"/>
      <c r="F2939">
        <v>7703.7001953125</v>
      </c>
      <c r="G2939" t="b">
        <v>0</v>
      </c>
      <c r="H2939" t="s">
        <v>15</v>
      </c>
    </row>
    <row r="2940" spans="1:8">
      <c r="A2940" t="s">
        <v>148</v>
      </c>
      <c r="B2940" t="s">
        <v>173</v>
      </c>
      <c r="C2940">
        <v>520</v>
      </c>
      <c r="D2940" t="s">
        <v>147</v>
      </c>
      <c r="E2940" s="242"/>
      <c r="F2940">
        <v>6703.39990234375</v>
      </c>
      <c r="G2940" t="b">
        <v>0</v>
      </c>
      <c r="H2940" t="s">
        <v>15</v>
      </c>
    </row>
    <row r="2941" spans="1:8">
      <c r="A2941" t="s">
        <v>162</v>
      </c>
      <c r="B2941" t="s">
        <v>173</v>
      </c>
      <c r="C2941">
        <v>520</v>
      </c>
      <c r="D2941" t="s">
        <v>147</v>
      </c>
      <c r="E2941" s="242"/>
      <c r="F2941">
        <v>7383.10009765625</v>
      </c>
      <c r="G2941" t="b">
        <v>0</v>
      </c>
      <c r="H2941" t="s">
        <v>15</v>
      </c>
    </row>
    <row r="2942" spans="1:8">
      <c r="A2942" t="s">
        <v>163</v>
      </c>
      <c r="B2942" t="s">
        <v>173</v>
      </c>
      <c r="C2942">
        <v>520</v>
      </c>
      <c r="D2942" t="s">
        <v>147</v>
      </c>
      <c r="E2942" s="242"/>
      <c r="F2942">
        <v>4812.2001953125</v>
      </c>
      <c r="G2942" t="b">
        <v>0</v>
      </c>
      <c r="H2942" t="s">
        <v>15</v>
      </c>
    </row>
    <row r="2943" spans="1:8">
      <c r="A2943" t="s">
        <v>166</v>
      </c>
      <c r="B2943" t="s">
        <v>173</v>
      </c>
      <c r="C2943">
        <v>520</v>
      </c>
      <c r="D2943" t="s">
        <v>147</v>
      </c>
      <c r="E2943" s="242"/>
      <c r="F2943">
        <v>3340.19995117187</v>
      </c>
      <c r="G2943" t="b">
        <v>0</v>
      </c>
      <c r="H2943" t="s">
        <v>15</v>
      </c>
    </row>
    <row r="2944" spans="1:8">
      <c r="A2944" t="s">
        <v>149</v>
      </c>
      <c r="B2944" t="s">
        <v>173</v>
      </c>
      <c r="C2944">
        <v>520</v>
      </c>
      <c r="D2944" t="s">
        <v>147</v>
      </c>
      <c r="E2944" s="242"/>
      <c r="F2944">
        <v>4953.7001953125</v>
      </c>
      <c r="G2944" t="b">
        <v>0</v>
      </c>
      <c r="H2944" t="s">
        <v>15</v>
      </c>
    </row>
    <row r="2945" spans="1:8">
      <c r="A2945" t="s">
        <v>150</v>
      </c>
      <c r="B2945" t="s">
        <v>173</v>
      </c>
      <c r="C2945">
        <v>520</v>
      </c>
      <c r="D2945" t="s">
        <v>147</v>
      </c>
      <c r="E2945" s="242"/>
      <c r="F2945">
        <v>3985</v>
      </c>
      <c r="G2945" t="b">
        <v>0</v>
      </c>
      <c r="H2945" t="s">
        <v>15</v>
      </c>
    </row>
    <row r="2946" spans="1:8">
      <c r="A2946" t="s">
        <v>151</v>
      </c>
      <c r="B2946" t="s">
        <v>173</v>
      </c>
      <c r="C2946">
        <v>520</v>
      </c>
      <c r="D2946" t="s">
        <v>147</v>
      </c>
      <c r="E2946" s="242"/>
      <c r="F2946">
        <v>1781.80004882812</v>
      </c>
      <c r="G2946" t="b">
        <v>0</v>
      </c>
      <c r="H2946" t="s">
        <v>15</v>
      </c>
    </row>
    <row r="2947" spans="1:8">
      <c r="A2947" t="s">
        <v>152</v>
      </c>
      <c r="B2947" t="s">
        <v>173</v>
      </c>
      <c r="C2947">
        <v>520</v>
      </c>
      <c r="D2947" t="s">
        <v>147</v>
      </c>
      <c r="E2947" s="242"/>
      <c r="F2947">
        <v>1770.30004882812</v>
      </c>
      <c r="G2947" t="b">
        <v>0</v>
      </c>
      <c r="H2947" t="s">
        <v>15</v>
      </c>
    </row>
    <row r="2948" spans="1:8">
      <c r="A2948" t="s">
        <v>145</v>
      </c>
      <c r="B2948" t="s">
        <v>173</v>
      </c>
      <c r="C2948">
        <v>520</v>
      </c>
      <c r="D2948" t="s">
        <v>147</v>
      </c>
      <c r="E2948" s="242"/>
      <c r="F2948">
        <v>1704.69995117187</v>
      </c>
      <c r="G2948" t="b">
        <v>0</v>
      </c>
      <c r="H2948" t="s">
        <v>15</v>
      </c>
    </row>
    <row r="2949" spans="1:8">
      <c r="A2949" t="s">
        <v>167</v>
      </c>
      <c r="B2949" t="s">
        <v>173</v>
      </c>
      <c r="C2949">
        <v>520</v>
      </c>
      <c r="D2949" t="s">
        <v>147</v>
      </c>
      <c r="E2949" s="242"/>
      <c r="F2949">
        <v>1751.5</v>
      </c>
      <c r="G2949" t="b">
        <v>0</v>
      </c>
      <c r="H2949" t="s">
        <v>15</v>
      </c>
    </row>
    <row r="2950" spans="1:8">
      <c r="A2950" t="s">
        <v>153</v>
      </c>
      <c r="B2950" t="s">
        <v>173</v>
      </c>
      <c r="C2950">
        <v>520</v>
      </c>
      <c r="D2950" t="s">
        <v>147</v>
      </c>
      <c r="E2950" s="242"/>
      <c r="F2950">
        <v>1435</v>
      </c>
      <c r="G2950" t="b">
        <v>0</v>
      </c>
      <c r="H2950" t="s">
        <v>15</v>
      </c>
    </row>
    <row r="2951" spans="1:8">
      <c r="A2951" t="s">
        <v>154</v>
      </c>
      <c r="B2951" t="s">
        <v>173</v>
      </c>
      <c r="C2951">
        <v>520</v>
      </c>
      <c r="D2951" t="s">
        <v>147</v>
      </c>
      <c r="E2951" s="242"/>
      <c r="F2951">
        <v>2670.80004882812</v>
      </c>
      <c r="G2951" t="b">
        <v>0</v>
      </c>
      <c r="H2951" t="s">
        <v>15</v>
      </c>
    </row>
    <row r="2952" spans="1:8">
      <c r="A2952" t="s">
        <v>168</v>
      </c>
      <c r="B2952" t="s">
        <v>173</v>
      </c>
      <c r="C2952">
        <v>520</v>
      </c>
      <c r="D2952" t="s">
        <v>147</v>
      </c>
      <c r="E2952" s="242"/>
      <c r="F2952">
        <v>5199.39990234375</v>
      </c>
      <c r="G2952" t="b">
        <v>0</v>
      </c>
      <c r="H2952" t="s">
        <v>15</v>
      </c>
    </row>
    <row r="2953" spans="1:8">
      <c r="A2953" t="s">
        <v>155</v>
      </c>
      <c r="B2953" t="s">
        <v>173</v>
      </c>
      <c r="C2953">
        <v>520</v>
      </c>
      <c r="D2953" t="s">
        <v>147</v>
      </c>
      <c r="E2953" s="242"/>
      <c r="F2953">
        <v>4244.7998046875</v>
      </c>
      <c r="G2953" t="b">
        <v>0</v>
      </c>
      <c r="H2953" t="s">
        <v>15</v>
      </c>
    </row>
    <row r="2954" spans="1:8">
      <c r="A2954" t="s">
        <v>156</v>
      </c>
      <c r="B2954" t="s">
        <v>173</v>
      </c>
      <c r="C2954">
        <v>520</v>
      </c>
      <c r="D2954" t="s">
        <v>147</v>
      </c>
      <c r="E2954" s="242"/>
      <c r="F2954">
        <v>4756.5</v>
      </c>
      <c r="G2954" t="b">
        <v>0</v>
      </c>
      <c r="H2954" t="s">
        <v>15</v>
      </c>
    </row>
    <row r="2955" spans="1:8">
      <c r="A2955" t="s">
        <v>157</v>
      </c>
      <c r="B2955" t="s">
        <v>173</v>
      </c>
      <c r="C2955">
        <v>520</v>
      </c>
      <c r="D2955" t="s">
        <v>147</v>
      </c>
      <c r="E2955" s="242"/>
      <c r="F2955">
        <v>5081</v>
      </c>
      <c r="G2955" t="b">
        <v>0</v>
      </c>
      <c r="H2955" t="s">
        <v>15</v>
      </c>
    </row>
    <row r="2956" spans="1:8">
      <c r="A2956" t="s">
        <v>169</v>
      </c>
      <c r="B2956" t="s">
        <v>173</v>
      </c>
      <c r="C2956">
        <v>520</v>
      </c>
      <c r="D2956" t="s">
        <v>147</v>
      </c>
      <c r="E2956" s="242"/>
      <c r="F2956">
        <v>1492.69995117187</v>
      </c>
      <c r="G2956" t="b">
        <v>0</v>
      </c>
      <c r="H2956" t="s">
        <v>15</v>
      </c>
    </row>
    <row r="2957" spans="1:8">
      <c r="A2957" t="s">
        <v>170</v>
      </c>
      <c r="B2957" t="s">
        <v>173</v>
      </c>
      <c r="C2957">
        <v>520</v>
      </c>
      <c r="D2957" t="s">
        <v>147</v>
      </c>
      <c r="E2957" s="242"/>
      <c r="F2957">
        <v>1325.40002441406</v>
      </c>
      <c r="G2957" t="b">
        <v>0</v>
      </c>
      <c r="H2957" t="s">
        <v>15</v>
      </c>
    </row>
    <row r="2958" spans="1:8">
      <c r="A2958" t="s">
        <v>158</v>
      </c>
      <c r="B2958" t="s">
        <v>173</v>
      </c>
      <c r="C2958">
        <v>520</v>
      </c>
      <c r="D2958" t="s">
        <v>147</v>
      </c>
      <c r="E2958" s="242"/>
      <c r="F2958">
        <v>5235.10009765625</v>
      </c>
      <c r="G2958" t="b">
        <v>0</v>
      </c>
      <c r="H2958" t="s">
        <v>15</v>
      </c>
    </row>
    <row r="2959" spans="1:8">
      <c r="A2959" t="s">
        <v>159</v>
      </c>
      <c r="B2959" t="s">
        <v>173</v>
      </c>
      <c r="C2959">
        <v>520</v>
      </c>
      <c r="D2959" t="s">
        <v>147</v>
      </c>
      <c r="E2959" s="242"/>
      <c r="F2959">
        <v>3158.19995117187</v>
      </c>
      <c r="G2959" t="b">
        <v>0</v>
      </c>
      <c r="H2959" t="s">
        <v>15</v>
      </c>
    </row>
    <row r="2960" spans="1:8">
      <c r="A2960" t="s">
        <v>160</v>
      </c>
      <c r="B2960" t="s">
        <v>173</v>
      </c>
      <c r="C2960">
        <v>520</v>
      </c>
      <c r="D2960" t="s">
        <v>147</v>
      </c>
      <c r="E2960" s="242"/>
      <c r="F2960">
        <v>2969.10009765625</v>
      </c>
      <c r="G2960" t="b">
        <v>0</v>
      </c>
      <c r="H2960" t="s">
        <v>15</v>
      </c>
    </row>
    <row r="2961" spans="1:8">
      <c r="A2961" t="s">
        <v>162</v>
      </c>
      <c r="B2961" t="s">
        <v>173</v>
      </c>
      <c r="C2961">
        <v>523</v>
      </c>
      <c r="D2961" t="s">
        <v>147</v>
      </c>
      <c r="E2961" s="242"/>
      <c r="F2961">
        <v>7469.2001953125</v>
      </c>
      <c r="G2961" t="b">
        <v>0</v>
      </c>
      <c r="H2961" t="s">
        <v>15</v>
      </c>
    </row>
    <row r="2962" spans="1:8">
      <c r="A2962" t="s">
        <v>163</v>
      </c>
      <c r="B2962" t="s">
        <v>173</v>
      </c>
      <c r="C2962">
        <v>523</v>
      </c>
      <c r="D2962" t="s">
        <v>147</v>
      </c>
      <c r="E2962" s="242"/>
      <c r="F2962">
        <v>4823.89990234375</v>
      </c>
      <c r="G2962" t="b">
        <v>0</v>
      </c>
      <c r="H2962" t="s">
        <v>15</v>
      </c>
    </row>
    <row r="2963" spans="1:8">
      <c r="A2963" t="s">
        <v>150</v>
      </c>
      <c r="B2963" t="s">
        <v>173</v>
      </c>
      <c r="C2963">
        <v>523</v>
      </c>
      <c r="D2963" t="s">
        <v>147</v>
      </c>
      <c r="E2963" s="242"/>
      <c r="F2963">
        <v>4074.60009765625</v>
      </c>
      <c r="G2963" t="b">
        <v>0</v>
      </c>
      <c r="H2963" t="s">
        <v>15</v>
      </c>
    </row>
    <row r="2964" spans="1:8">
      <c r="A2964" t="s">
        <v>169</v>
      </c>
      <c r="B2964" t="s">
        <v>173</v>
      </c>
      <c r="C2964">
        <v>523</v>
      </c>
      <c r="D2964" t="s">
        <v>147</v>
      </c>
      <c r="E2964" s="242"/>
      <c r="F2964">
        <v>1247.90002441406</v>
      </c>
      <c r="G2964" t="b">
        <v>0</v>
      </c>
      <c r="H2964" t="s">
        <v>15</v>
      </c>
    </row>
    <row r="2965" spans="1:8">
      <c r="A2965" t="s">
        <v>160</v>
      </c>
      <c r="B2965" t="s">
        <v>173</v>
      </c>
      <c r="C2965">
        <v>523</v>
      </c>
      <c r="D2965" t="s">
        <v>147</v>
      </c>
      <c r="E2965" s="242"/>
      <c r="F2965">
        <v>3033.60009765625</v>
      </c>
      <c r="G2965" t="b">
        <v>0</v>
      </c>
      <c r="H2965" t="s">
        <v>15</v>
      </c>
    </row>
    <row r="2966" spans="1:8">
      <c r="A2966" t="s">
        <v>164</v>
      </c>
      <c r="B2966" t="s">
        <v>173</v>
      </c>
      <c r="C2966">
        <v>525</v>
      </c>
      <c r="D2966" t="s">
        <v>147</v>
      </c>
      <c r="E2966" s="242"/>
      <c r="F2966">
        <v>5216.60009765625</v>
      </c>
      <c r="G2966" t="b">
        <v>0</v>
      </c>
      <c r="H2966" t="s">
        <v>15</v>
      </c>
    </row>
    <row r="2967" spans="1:8">
      <c r="A2967" t="s">
        <v>161</v>
      </c>
      <c r="B2967" t="s">
        <v>173</v>
      </c>
      <c r="C2967">
        <v>525</v>
      </c>
      <c r="D2967" t="s">
        <v>147</v>
      </c>
      <c r="E2967" s="242"/>
      <c r="F2967">
        <v>6759.5</v>
      </c>
      <c r="G2967" t="b">
        <v>0</v>
      </c>
      <c r="H2967" t="s">
        <v>15</v>
      </c>
    </row>
    <row r="2968" spans="1:8">
      <c r="A2968" t="s">
        <v>165</v>
      </c>
      <c r="B2968" t="s">
        <v>173</v>
      </c>
      <c r="C2968">
        <v>525</v>
      </c>
      <c r="D2968" t="s">
        <v>147</v>
      </c>
      <c r="E2968" s="242"/>
      <c r="F2968">
        <v>7458.7001953125</v>
      </c>
      <c r="G2968" t="b">
        <v>0</v>
      </c>
      <c r="H2968" t="s">
        <v>15</v>
      </c>
    </row>
    <row r="2969" spans="1:8">
      <c r="A2969" t="s">
        <v>148</v>
      </c>
      <c r="B2969" t="s">
        <v>173</v>
      </c>
      <c r="C2969">
        <v>525</v>
      </c>
      <c r="D2969" t="s">
        <v>147</v>
      </c>
      <c r="E2969" s="242"/>
      <c r="F2969">
        <v>6461.39990234375</v>
      </c>
      <c r="G2969" t="b">
        <v>0</v>
      </c>
      <c r="H2969" t="s">
        <v>15</v>
      </c>
    </row>
    <row r="2970" spans="1:8">
      <c r="A2970" t="s">
        <v>162</v>
      </c>
      <c r="B2970" t="s">
        <v>173</v>
      </c>
      <c r="C2970">
        <v>525</v>
      </c>
      <c r="D2970" t="s">
        <v>147</v>
      </c>
      <c r="E2970" s="242"/>
      <c r="F2970">
        <v>7383.10009765625</v>
      </c>
      <c r="G2970" t="b">
        <v>0</v>
      </c>
      <c r="H2970" t="s">
        <v>15</v>
      </c>
    </row>
    <row r="2971" spans="1:8">
      <c r="A2971" t="s">
        <v>163</v>
      </c>
      <c r="B2971" t="s">
        <v>173</v>
      </c>
      <c r="C2971">
        <v>525</v>
      </c>
      <c r="D2971" t="s">
        <v>147</v>
      </c>
      <c r="E2971" s="242"/>
      <c r="F2971">
        <v>4583.7001953125</v>
      </c>
      <c r="G2971" t="b">
        <v>0</v>
      </c>
      <c r="H2971" t="s">
        <v>15</v>
      </c>
    </row>
    <row r="2972" spans="1:8">
      <c r="A2972" t="s">
        <v>166</v>
      </c>
      <c r="B2972" t="s">
        <v>173</v>
      </c>
      <c r="C2972">
        <v>525</v>
      </c>
      <c r="D2972" t="s">
        <v>147</v>
      </c>
      <c r="E2972" s="242"/>
      <c r="F2972">
        <v>3113.30004882812</v>
      </c>
      <c r="G2972" t="b">
        <v>0</v>
      </c>
      <c r="H2972" t="s">
        <v>15</v>
      </c>
    </row>
    <row r="2973" spans="1:8">
      <c r="A2973" t="s">
        <v>149</v>
      </c>
      <c r="B2973" t="s">
        <v>173</v>
      </c>
      <c r="C2973">
        <v>525</v>
      </c>
      <c r="D2973" t="s">
        <v>147</v>
      </c>
      <c r="E2973" s="242"/>
      <c r="F2973">
        <v>4706.39990234375</v>
      </c>
      <c r="G2973" t="b">
        <v>0</v>
      </c>
      <c r="H2973" t="s">
        <v>15</v>
      </c>
    </row>
    <row r="2974" spans="1:8">
      <c r="A2974" t="s">
        <v>150</v>
      </c>
      <c r="B2974" t="s">
        <v>173</v>
      </c>
      <c r="C2974">
        <v>525</v>
      </c>
      <c r="D2974" t="s">
        <v>147</v>
      </c>
      <c r="E2974" s="242"/>
      <c r="F2974">
        <v>3743.39990234375</v>
      </c>
      <c r="G2974" t="b">
        <v>0</v>
      </c>
      <c r="H2974" t="s">
        <v>15</v>
      </c>
    </row>
    <row r="2975" spans="1:8">
      <c r="A2975" t="s">
        <v>151</v>
      </c>
      <c r="B2975" t="s">
        <v>173</v>
      </c>
      <c r="C2975">
        <v>525</v>
      </c>
      <c r="D2975" t="s">
        <v>147</v>
      </c>
      <c r="E2975" s="242"/>
      <c r="F2975">
        <v>1526.90002441406</v>
      </c>
      <c r="G2975" t="b">
        <v>0</v>
      </c>
      <c r="H2975" t="s">
        <v>15</v>
      </c>
    </row>
    <row r="2976" spans="1:8">
      <c r="A2976" t="s">
        <v>152</v>
      </c>
      <c r="B2976" t="s">
        <v>173</v>
      </c>
      <c r="C2976">
        <v>525</v>
      </c>
      <c r="D2976" t="s">
        <v>147</v>
      </c>
      <c r="E2976" s="242"/>
      <c r="F2976">
        <v>1770.30004882812</v>
      </c>
      <c r="G2976" t="b">
        <v>0</v>
      </c>
      <c r="H2976" t="s">
        <v>15</v>
      </c>
    </row>
    <row r="2977" spans="1:8">
      <c r="A2977" t="s">
        <v>145</v>
      </c>
      <c r="B2977" t="s">
        <v>173</v>
      </c>
      <c r="C2977">
        <v>525</v>
      </c>
      <c r="D2977" t="s">
        <v>147</v>
      </c>
      <c r="E2977" s="242"/>
      <c r="F2977">
        <v>1704.69995117187</v>
      </c>
      <c r="G2977" t="b">
        <v>0</v>
      </c>
      <c r="H2977" t="s">
        <v>15</v>
      </c>
    </row>
    <row r="2978" spans="1:8">
      <c r="A2978" t="s">
        <v>167</v>
      </c>
      <c r="B2978" t="s">
        <v>173</v>
      </c>
      <c r="C2978">
        <v>525</v>
      </c>
      <c r="D2978" t="s">
        <v>147</v>
      </c>
      <c r="E2978" s="242"/>
      <c r="F2978">
        <v>1518.80004882812</v>
      </c>
      <c r="G2978" t="b">
        <v>0</v>
      </c>
      <c r="H2978" t="s">
        <v>15</v>
      </c>
    </row>
    <row r="2979" spans="1:8">
      <c r="A2979" t="s">
        <v>153</v>
      </c>
      <c r="B2979" t="s">
        <v>173</v>
      </c>
      <c r="C2979">
        <v>525</v>
      </c>
      <c r="D2979" t="s">
        <v>147</v>
      </c>
      <c r="E2979" s="242"/>
      <c r="F2979">
        <v>1191.19995117187</v>
      </c>
      <c r="G2979" t="b">
        <v>0</v>
      </c>
      <c r="H2979" t="s">
        <v>15</v>
      </c>
    </row>
    <row r="2980" spans="1:8">
      <c r="A2980" t="s">
        <v>154</v>
      </c>
      <c r="B2980" t="s">
        <v>173</v>
      </c>
      <c r="C2980">
        <v>525</v>
      </c>
      <c r="D2980" t="s">
        <v>147</v>
      </c>
      <c r="E2980" s="242"/>
      <c r="F2980">
        <v>2670.80004882812</v>
      </c>
      <c r="G2980" t="b">
        <v>0</v>
      </c>
      <c r="H2980" t="s">
        <v>15</v>
      </c>
    </row>
    <row r="2981" spans="1:8">
      <c r="A2981" t="s">
        <v>168</v>
      </c>
      <c r="B2981" t="s">
        <v>173</v>
      </c>
      <c r="C2981">
        <v>525</v>
      </c>
      <c r="D2981" t="s">
        <v>147</v>
      </c>
      <c r="E2981" s="242"/>
      <c r="F2981">
        <v>5199.39990234375</v>
      </c>
      <c r="G2981" t="b">
        <v>0</v>
      </c>
      <c r="H2981" t="s">
        <v>15</v>
      </c>
    </row>
    <row r="2982" spans="1:8">
      <c r="A2982" t="s">
        <v>155</v>
      </c>
      <c r="B2982" t="s">
        <v>173</v>
      </c>
      <c r="C2982">
        <v>525</v>
      </c>
      <c r="D2982" t="s">
        <v>147</v>
      </c>
      <c r="E2982" s="242"/>
      <c r="F2982">
        <v>3998.60009765625</v>
      </c>
      <c r="G2982" t="b">
        <v>0</v>
      </c>
      <c r="H2982" t="s">
        <v>15</v>
      </c>
    </row>
    <row r="2983" spans="1:8">
      <c r="A2983" t="s">
        <v>156</v>
      </c>
      <c r="B2983" t="s">
        <v>173</v>
      </c>
      <c r="C2983">
        <v>525</v>
      </c>
      <c r="D2983" t="s">
        <v>147</v>
      </c>
      <c r="E2983" s="242"/>
      <c r="F2983">
        <v>4756.5</v>
      </c>
      <c r="G2983" t="b">
        <v>0</v>
      </c>
      <c r="H2983" t="s">
        <v>15</v>
      </c>
    </row>
    <row r="2984" spans="1:8">
      <c r="A2984" t="s">
        <v>157</v>
      </c>
      <c r="B2984" t="s">
        <v>173</v>
      </c>
      <c r="C2984">
        <v>525</v>
      </c>
      <c r="D2984" t="s">
        <v>147</v>
      </c>
      <c r="E2984" s="242"/>
      <c r="F2984">
        <v>5081</v>
      </c>
      <c r="G2984" t="b">
        <v>0</v>
      </c>
      <c r="H2984" t="s">
        <v>15</v>
      </c>
    </row>
    <row r="2985" spans="1:8">
      <c r="A2985" t="s">
        <v>169</v>
      </c>
      <c r="B2985" t="s">
        <v>173</v>
      </c>
      <c r="C2985">
        <v>525</v>
      </c>
      <c r="D2985" t="s">
        <v>147</v>
      </c>
      <c r="E2985" s="242"/>
      <c r="F2985">
        <v>1247.90002441406</v>
      </c>
      <c r="G2985" t="b">
        <v>0</v>
      </c>
      <c r="H2985" t="s">
        <v>15</v>
      </c>
    </row>
    <row r="2986" spans="1:8">
      <c r="A2986" t="s">
        <v>170</v>
      </c>
      <c r="B2986" t="s">
        <v>173</v>
      </c>
      <c r="C2986">
        <v>525</v>
      </c>
      <c r="D2986" t="s">
        <v>147</v>
      </c>
      <c r="E2986" s="242"/>
      <c r="F2986">
        <v>1325.40002441406</v>
      </c>
      <c r="G2986" t="b">
        <v>0</v>
      </c>
      <c r="H2986" t="s">
        <v>15</v>
      </c>
    </row>
    <row r="2987" spans="1:8">
      <c r="A2987" t="s">
        <v>158</v>
      </c>
      <c r="B2987" t="s">
        <v>173</v>
      </c>
      <c r="C2987">
        <v>525</v>
      </c>
      <c r="D2987" t="s">
        <v>147</v>
      </c>
      <c r="E2987" s="242"/>
      <c r="F2987">
        <v>4990.10009765625</v>
      </c>
      <c r="G2987" t="b">
        <v>0</v>
      </c>
      <c r="H2987" t="s">
        <v>15</v>
      </c>
    </row>
    <row r="2988" spans="1:8">
      <c r="A2988" t="s">
        <v>159</v>
      </c>
      <c r="B2988" t="s">
        <v>173</v>
      </c>
      <c r="C2988">
        <v>525</v>
      </c>
      <c r="D2988" t="s">
        <v>147</v>
      </c>
      <c r="E2988" s="242"/>
      <c r="F2988">
        <v>2918.19995117187</v>
      </c>
      <c r="G2988" t="b">
        <v>0</v>
      </c>
      <c r="H2988" t="s">
        <v>15</v>
      </c>
    </row>
    <row r="2989" spans="1:8">
      <c r="A2989" t="s">
        <v>160</v>
      </c>
      <c r="B2989" t="s">
        <v>173</v>
      </c>
      <c r="C2989">
        <v>525</v>
      </c>
      <c r="D2989" t="s">
        <v>147</v>
      </c>
      <c r="E2989" s="242"/>
      <c r="F2989">
        <v>2969.10009765625</v>
      </c>
      <c r="G2989" t="b">
        <v>0</v>
      </c>
      <c r="H2989" t="s">
        <v>15</v>
      </c>
    </row>
    <row r="2990" spans="1:8">
      <c r="A2990" t="s">
        <v>164</v>
      </c>
      <c r="B2990" t="s">
        <v>173</v>
      </c>
      <c r="C2990">
        <v>533</v>
      </c>
      <c r="D2990" t="s">
        <v>147</v>
      </c>
      <c r="E2990" s="242"/>
      <c r="F2990">
        <v>5336.89990234375</v>
      </c>
      <c r="G2990" t="b">
        <v>0</v>
      </c>
      <c r="H2990" t="s">
        <v>15</v>
      </c>
    </row>
    <row r="2991" spans="1:8">
      <c r="A2991" t="s">
        <v>161</v>
      </c>
      <c r="B2991" t="s">
        <v>173</v>
      </c>
      <c r="C2991">
        <v>533</v>
      </c>
      <c r="D2991" t="s">
        <v>147</v>
      </c>
      <c r="E2991" s="242"/>
      <c r="F2991">
        <v>7126</v>
      </c>
      <c r="G2991" t="b">
        <v>0</v>
      </c>
      <c r="H2991" t="s">
        <v>15</v>
      </c>
    </row>
    <row r="2992" spans="1:8">
      <c r="A2992" t="s">
        <v>165</v>
      </c>
      <c r="B2992" t="s">
        <v>173</v>
      </c>
      <c r="C2992">
        <v>533</v>
      </c>
      <c r="D2992" t="s">
        <v>147</v>
      </c>
      <c r="E2992" s="242"/>
      <c r="F2992">
        <v>7703.7001953125</v>
      </c>
      <c r="G2992" t="b">
        <v>0</v>
      </c>
      <c r="H2992" t="s">
        <v>15</v>
      </c>
    </row>
    <row r="2993" spans="1:8">
      <c r="A2993" t="s">
        <v>148</v>
      </c>
      <c r="B2993" t="s">
        <v>173</v>
      </c>
      <c r="C2993">
        <v>533</v>
      </c>
      <c r="D2993" t="s">
        <v>147</v>
      </c>
      <c r="E2993" s="242"/>
      <c r="F2993">
        <v>6703.39990234375</v>
      </c>
      <c r="G2993" t="b">
        <v>0</v>
      </c>
      <c r="H2993" t="s">
        <v>15</v>
      </c>
    </row>
    <row r="2994" spans="1:8">
      <c r="A2994" t="s">
        <v>162</v>
      </c>
      <c r="B2994" t="s">
        <v>173</v>
      </c>
      <c r="C2994">
        <v>533</v>
      </c>
      <c r="D2994" t="s">
        <v>147</v>
      </c>
      <c r="E2994" s="242"/>
      <c r="F2994">
        <v>7383.10009765625</v>
      </c>
      <c r="G2994" t="b">
        <v>0</v>
      </c>
      <c r="H2994" t="s">
        <v>15</v>
      </c>
    </row>
    <row r="2995" spans="1:8">
      <c r="A2995" t="s">
        <v>163</v>
      </c>
      <c r="B2995" t="s">
        <v>173</v>
      </c>
      <c r="C2995">
        <v>533</v>
      </c>
      <c r="D2995" t="s">
        <v>147</v>
      </c>
      <c r="E2995" s="242"/>
      <c r="F2995">
        <v>4812.2001953125</v>
      </c>
      <c r="G2995" t="b">
        <v>0</v>
      </c>
      <c r="H2995" t="s">
        <v>15</v>
      </c>
    </row>
    <row r="2996" spans="1:8">
      <c r="A2996" t="s">
        <v>166</v>
      </c>
      <c r="B2996" t="s">
        <v>173</v>
      </c>
      <c r="C2996">
        <v>533</v>
      </c>
      <c r="D2996" t="s">
        <v>147</v>
      </c>
      <c r="E2996" s="242"/>
      <c r="F2996">
        <v>3465.19995117187</v>
      </c>
      <c r="G2996" t="b">
        <v>0</v>
      </c>
      <c r="H2996" t="s">
        <v>15</v>
      </c>
    </row>
    <row r="2997" spans="1:8">
      <c r="A2997" t="s">
        <v>149</v>
      </c>
      <c r="B2997" t="s">
        <v>173</v>
      </c>
      <c r="C2997">
        <v>533</v>
      </c>
      <c r="D2997" t="s">
        <v>147</v>
      </c>
      <c r="E2997" s="242"/>
      <c r="F2997">
        <v>5078.7001953125</v>
      </c>
      <c r="G2997" t="b">
        <v>0</v>
      </c>
      <c r="H2997" t="s">
        <v>15</v>
      </c>
    </row>
    <row r="2998" spans="1:8">
      <c r="A2998" t="s">
        <v>150</v>
      </c>
      <c r="B2998" t="s">
        <v>173</v>
      </c>
      <c r="C2998">
        <v>533</v>
      </c>
      <c r="D2998" t="s">
        <v>147</v>
      </c>
      <c r="E2998" s="242"/>
      <c r="F2998">
        <v>3985</v>
      </c>
      <c r="G2998" t="b">
        <v>0</v>
      </c>
      <c r="H2998" t="s">
        <v>15</v>
      </c>
    </row>
    <row r="2999" spans="1:8">
      <c r="A2999" t="s">
        <v>151</v>
      </c>
      <c r="B2999" t="s">
        <v>173</v>
      </c>
      <c r="C2999">
        <v>533</v>
      </c>
      <c r="D2999" t="s">
        <v>147</v>
      </c>
      <c r="E2999" s="242"/>
      <c r="F2999">
        <v>1906.80004882812</v>
      </c>
      <c r="G2999" t="b">
        <v>0</v>
      </c>
      <c r="H2999" t="s">
        <v>15</v>
      </c>
    </row>
    <row r="3000" spans="1:8">
      <c r="A3000" t="s">
        <v>152</v>
      </c>
      <c r="B3000" t="s">
        <v>173</v>
      </c>
      <c r="C3000">
        <v>533</v>
      </c>
      <c r="D3000" t="s">
        <v>147</v>
      </c>
      <c r="E3000" s="242"/>
      <c r="F3000">
        <v>1770.30004882812</v>
      </c>
      <c r="G3000" t="b">
        <v>0</v>
      </c>
      <c r="H3000" t="s">
        <v>15</v>
      </c>
    </row>
    <row r="3001" spans="1:8">
      <c r="A3001" t="s">
        <v>145</v>
      </c>
      <c r="B3001" t="s">
        <v>173</v>
      </c>
      <c r="C3001">
        <v>533</v>
      </c>
      <c r="D3001" t="s">
        <v>147</v>
      </c>
      <c r="E3001" s="242"/>
      <c r="F3001">
        <v>1704.69995117187</v>
      </c>
      <c r="G3001" t="b">
        <v>0</v>
      </c>
      <c r="H3001" t="s">
        <v>15</v>
      </c>
    </row>
    <row r="3002" spans="1:8">
      <c r="A3002" t="s">
        <v>167</v>
      </c>
      <c r="B3002" t="s">
        <v>173</v>
      </c>
      <c r="C3002">
        <v>533</v>
      </c>
      <c r="D3002" t="s">
        <v>147</v>
      </c>
      <c r="E3002" s="242"/>
      <c r="F3002">
        <v>1863.40002441406</v>
      </c>
      <c r="G3002" t="b">
        <v>0</v>
      </c>
      <c r="H3002" t="s">
        <v>15</v>
      </c>
    </row>
    <row r="3003" spans="1:8">
      <c r="A3003" t="s">
        <v>153</v>
      </c>
      <c r="B3003" t="s">
        <v>173</v>
      </c>
      <c r="C3003">
        <v>533</v>
      </c>
      <c r="D3003" t="s">
        <v>147</v>
      </c>
      <c r="E3003" s="242"/>
      <c r="F3003">
        <v>1560</v>
      </c>
      <c r="G3003" t="b">
        <v>0</v>
      </c>
      <c r="H3003" t="s">
        <v>15</v>
      </c>
    </row>
    <row r="3004" spans="1:8">
      <c r="A3004" t="s">
        <v>154</v>
      </c>
      <c r="B3004" t="s">
        <v>173</v>
      </c>
      <c r="C3004">
        <v>533</v>
      </c>
      <c r="D3004" t="s">
        <v>147</v>
      </c>
      <c r="E3004" s="242"/>
      <c r="F3004">
        <v>2795.80004882812</v>
      </c>
      <c r="G3004" t="b">
        <v>0</v>
      </c>
      <c r="H3004" t="s">
        <v>15</v>
      </c>
    </row>
    <row r="3005" spans="1:8">
      <c r="A3005" t="s">
        <v>168</v>
      </c>
      <c r="B3005" t="s">
        <v>173</v>
      </c>
      <c r="C3005">
        <v>533</v>
      </c>
      <c r="D3005" t="s">
        <v>147</v>
      </c>
      <c r="E3005" s="242"/>
      <c r="F3005">
        <v>5199.39990234375</v>
      </c>
      <c r="G3005" t="b">
        <v>0</v>
      </c>
      <c r="H3005" t="s">
        <v>15</v>
      </c>
    </row>
    <row r="3006" spans="1:8">
      <c r="A3006" t="s">
        <v>155</v>
      </c>
      <c r="B3006" t="s">
        <v>173</v>
      </c>
      <c r="C3006">
        <v>533</v>
      </c>
      <c r="D3006" t="s">
        <v>147</v>
      </c>
      <c r="E3006" s="242"/>
      <c r="F3006">
        <v>4369.7998046875</v>
      </c>
      <c r="G3006" t="b">
        <v>0</v>
      </c>
      <c r="H3006" t="s">
        <v>15</v>
      </c>
    </row>
    <row r="3007" spans="1:8">
      <c r="A3007" t="s">
        <v>156</v>
      </c>
      <c r="B3007" t="s">
        <v>173</v>
      </c>
      <c r="C3007">
        <v>533</v>
      </c>
      <c r="D3007" t="s">
        <v>147</v>
      </c>
      <c r="E3007" s="242"/>
      <c r="F3007">
        <v>4756.5</v>
      </c>
      <c r="G3007" t="b">
        <v>0</v>
      </c>
      <c r="H3007" t="s">
        <v>15</v>
      </c>
    </row>
    <row r="3008" spans="1:8">
      <c r="A3008" t="s">
        <v>157</v>
      </c>
      <c r="B3008" t="s">
        <v>173</v>
      </c>
      <c r="C3008">
        <v>533</v>
      </c>
      <c r="D3008" t="s">
        <v>147</v>
      </c>
      <c r="E3008" s="242"/>
      <c r="F3008">
        <v>5206</v>
      </c>
      <c r="G3008" t="b">
        <v>0</v>
      </c>
      <c r="H3008" t="s">
        <v>15</v>
      </c>
    </row>
    <row r="3009" spans="1:8">
      <c r="A3009" t="s">
        <v>169</v>
      </c>
      <c r="B3009" t="s">
        <v>173</v>
      </c>
      <c r="C3009">
        <v>533</v>
      </c>
      <c r="D3009" t="s">
        <v>147</v>
      </c>
      <c r="E3009" s="242"/>
      <c r="F3009">
        <v>1492.69995117187</v>
      </c>
      <c r="G3009" t="b">
        <v>0</v>
      </c>
      <c r="H3009" t="s">
        <v>15</v>
      </c>
    </row>
    <row r="3010" spans="1:8">
      <c r="A3010" t="s">
        <v>170</v>
      </c>
      <c r="B3010" t="s">
        <v>173</v>
      </c>
      <c r="C3010">
        <v>533</v>
      </c>
      <c r="D3010" t="s">
        <v>147</v>
      </c>
      <c r="E3010" s="242"/>
      <c r="F3010">
        <v>1450.09997558593</v>
      </c>
      <c r="G3010" t="b">
        <v>0</v>
      </c>
      <c r="H3010" t="s">
        <v>15</v>
      </c>
    </row>
    <row r="3011" spans="1:8">
      <c r="A3011" t="s">
        <v>158</v>
      </c>
      <c r="B3011" t="s">
        <v>173</v>
      </c>
      <c r="C3011">
        <v>533</v>
      </c>
      <c r="D3011" t="s">
        <v>147</v>
      </c>
      <c r="E3011" s="242"/>
      <c r="F3011">
        <v>5360.10009765625</v>
      </c>
      <c r="G3011" t="b">
        <v>0</v>
      </c>
      <c r="H3011" t="s">
        <v>15</v>
      </c>
    </row>
    <row r="3012" spans="1:8">
      <c r="A3012" t="s">
        <v>159</v>
      </c>
      <c r="B3012" t="s">
        <v>173</v>
      </c>
      <c r="C3012">
        <v>533</v>
      </c>
      <c r="D3012" t="s">
        <v>147</v>
      </c>
      <c r="E3012" s="242"/>
      <c r="F3012">
        <v>3155</v>
      </c>
      <c r="G3012" t="b">
        <v>0</v>
      </c>
      <c r="H3012" t="s">
        <v>15</v>
      </c>
    </row>
    <row r="3013" spans="1:8">
      <c r="A3013" t="s">
        <v>160</v>
      </c>
      <c r="B3013" t="s">
        <v>173</v>
      </c>
      <c r="C3013">
        <v>533</v>
      </c>
      <c r="D3013" t="s">
        <v>147</v>
      </c>
      <c r="E3013" s="242"/>
      <c r="F3013">
        <v>2969.10009765625</v>
      </c>
      <c r="G3013" t="b">
        <v>0</v>
      </c>
      <c r="H3013" t="s">
        <v>15</v>
      </c>
    </row>
    <row r="3014" spans="1:8">
      <c r="A3014" t="s">
        <v>164</v>
      </c>
      <c r="B3014" t="s">
        <v>173</v>
      </c>
      <c r="C3014">
        <v>663</v>
      </c>
      <c r="D3014" t="s">
        <v>171</v>
      </c>
      <c r="E3014" s="242">
        <v>41759</v>
      </c>
      <c r="F3014">
        <v>0</v>
      </c>
      <c r="G3014" t="b">
        <v>0</v>
      </c>
      <c r="H3014" t="s">
        <v>15</v>
      </c>
    </row>
    <row r="3015" spans="1:8">
      <c r="A3015" t="s">
        <v>161</v>
      </c>
      <c r="B3015" t="s">
        <v>173</v>
      </c>
      <c r="C3015">
        <v>663</v>
      </c>
      <c r="D3015" t="s">
        <v>171</v>
      </c>
      <c r="E3015" s="242">
        <v>42074</v>
      </c>
      <c r="F3015">
        <v>0</v>
      </c>
      <c r="G3015" t="b">
        <v>0</v>
      </c>
      <c r="H3015" t="s">
        <v>15</v>
      </c>
    </row>
    <row r="3016" spans="1:8">
      <c r="A3016" t="s">
        <v>148</v>
      </c>
      <c r="B3016" t="s">
        <v>173</v>
      </c>
      <c r="C3016">
        <v>663</v>
      </c>
      <c r="D3016" t="s">
        <v>171</v>
      </c>
      <c r="E3016" s="242">
        <v>42081</v>
      </c>
      <c r="F3016">
        <v>0</v>
      </c>
      <c r="G3016" t="b">
        <v>0</v>
      </c>
      <c r="H3016" t="s">
        <v>15</v>
      </c>
    </row>
    <row r="3017" spans="1:8">
      <c r="A3017" t="s">
        <v>162</v>
      </c>
      <c r="B3017" t="s">
        <v>173</v>
      </c>
      <c r="C3017">
        <v>663</v>
      </c>
      <c r="D3017" t="s">
        <v>171</v>
      </c>
      <c r="E3017" s="242">
        <v>41781</v>
      </c>
      <c r="F3017">
        <v>0</v>
      </c>
      <c r="G3017" t="b">
        <v>0</v>
      </c>
      <c r="H3017" t="s">
        <v>15</v>
      </c>
    </row>
    <row r="3018" spans="1:8">
      <c r="A3018" t="s">
        <v>163</v>
      </c>
      <c r="B3018" t="s">
        <v>173</v>
      </c>
      <c r="C3018">
        <v>663</v>
      </c>
      <c r="D3018" t="s">
        <v>171</v>
      </c>
      <c r="E3018" s="242">
        <v>41759</v>
      </c>
      <c r="F3018">
        <v>0</v>
      </c>
      <c r="G3018" t="b">
        <v>0</v>
      </c>
      <c r="H3018" t="s">
        <v>15</v>
      </c>
    </row>
    <row r="3019" spans="1:8">
      <c r="A3019" t="s">
        <v>149</v>
      </c>
      <c r="B3019" t="s">
        <v>173</v>
      </c>
      <c r="C3019">
        <v>663</v>
      </c>
      <c r="D3019" t="s">
        <v>171</v>
      </c>
      <c r="E3019" s="242">
        <v>41426</v>
      </c>
      <c r="F3019">
        <v>0</v>
      </c>
      <c r="G3019" t="b">
        <v>0</v>
      </c>
      <c r="H3019" t="s">
        <v>15</v>
      </c>
    </row>
    <row r="3020" spans="1:8">
      <c r="A3020" t="s">
        <v>150</v>
      </c>
      <c r="B3020" t="s">
        <v>173</v>
      </c>
      <c r="C3020">
        <v>663</v>
      </c>
      <c r="D3020" t="s">
        <v>171</v>
      </c>
      <c r="E3020" s="242">
        <v>41968</v>
      </c>
      <c r="F3020">
        <v>0</v>
      </c>
      <c r="G3020" t="b">
        <v>0</v>
      </c>
      <c r="H3020" t="s">
        <v>15</v>
      </c>
    </row>
    <row r="3021" spans="1:8">
      <c r="A3021" t="s">
        <v>151</v>
      </c>
      <c r="B3021" t="s">
        <v>173</v>
      </c>
      <c r="C3021">
        <v>663</v>
      </c>
      <c r="D3021" t="s">
        <v>171</v>
      </c>
      <c r="E3021" s="242">
        <v>41334</v>
      </c>
      <c r="F3021">
        <v>0</v>
      </c>
      <c r="G3021" t="b">
        <v>0</v>
      </c>
      <c r="H3021" t="s">
        <v>15</v>
      </c>
    </row>
    <row r="3022" spans="1:8">
      <c r="A3022" t="s">
        <v>167</v>
      </c>
      <c r="B3022" t="s">
        <v>173</v>
      </c>
      <c r="C3022">
        <v>663</v>
      </c>
      <c r="D3022" t="s">
        <v>171</v>
      </c>
      <c r="E3022" s="242">
        <v>41557</v>
      </c>
      <c r="F3022">
        <v>0</v>
      </c>
      <c r="G3022" t="b">
        <v>0</v>
      </c>
      <c r="H3022" t="s">
        <v>15</v>
      </c>
    </row>
    <row r="3023" spans="1:8">
      <c r="A3023" t="s">
        <v>153</v>
      </c>
      <c r="B3023" t="s">
        <v>173</v>
      </c>
      <c r="C3023">
        <v>663</v>
      </c>
      <c r="D3023" t="s">
        <v>171</v>
      </c>
      <c r="E3023" s="242">
        <v>41456</v>
      </c>
      <c r="F3023">
        <v>0</v>
      </c>
      <c r="G3023" t="b">
        <v>0</v>
      </c>
      <c r="H3023" t="s">
        <v>15</v>
      </c>
    </row>
    <row r="3024" spans="1:8">
      <c r="A3024" t="s">
        <v>155</v>
      </c>
      <c r="B3024" t="s">
        <v>173</v>
      </c>
      <c r="C3024">
        <v>663</v>
      </c>
      <c r="D3024" t="s">
        <v>171</v>
      </c>
      <c r="E3024" s="242">
        <v>41518</v>
      </c>
      <c r="F3024">
        <v>0</v>
      </c>
      <c r="G3024" t="b">
        <v>0</v>
      </c>
      <c r="H3024" t="s">
        <v>15</v>
      </c>
    </row>
    <row r="3025" spans="1:8">
      <c r="A3025" t="s">
        <v>170</v>
      </c>
      <c r="B3025" t="s">
        <v>173</v>
      </c>
      <c r="C3025">
        <v>663</v>
      </c>
      <c r="D3025" t="s">
        <v>171</v>
      </c>
      <c r="E3025" s="242">
        <v>41969</v>
      </c>
      <c r="F3025">
        <v>0</v>
      </c>
      <c r="G3025" t="b">
        <v>0</v>
      </c>
      <c r="H3025" t="s">
        <v>15</v>
      </c>
    </row>
    <row r="3026" spans="1:8">
      <c r="A3026" t="s">
        <v>158</v>
      </c>
      <c r="B3026" t="s">
        <v>173</v>
      </c>
      <c r="C3026">
        <v>663</v>
      </c>
      <c r="D3026" t="s">
        <v>171</v>
      </c>
      <c r="E3026" s="242">
        <v>41456</v>
      </c>
      <c r="F3026">
        <v>0</v>
      </c>
      <c r="G3026" t="b">
        <v>0</v>
      </c>
      <c r="H3026" t="s">
        <v>15</v>
      </c>
    </row>
    <row r="3027" spans="1:8">
      <c r="A3027" t="s">
        <v>160</v>
      </c>
      <c r="B3027" t="s">
        <v>173</v>
      </c>
      <c r="C3027">
        <v>663</v>
      </c>
      <c r="D3027" t="s">
        <v>171</v>
      </c>
      <c r="E3027" s="242">
        <v>41757</v>
      </c>
      <c r="F3027">
        <v>0</v>
      </c>
      <c r="G3027" t="b">
        <v>0</v>
      </c>
      <c r="H3027" t="s">
        <v>15</v>
      </c>
    </row>
    <row r="3028" spans="1:8">
      <c r="A3028" t="s">
        <v>164</v>
      </c>
      <c r="B3028" t="s">
        <v>173</v>
      </c>
      <c r="C3028">
        <v>665</v>
      </c>
      <c r="D3028" t="s">
        <v>171</v>
      </c>
      <c r="E3028" s="242">
        <v>41759</v>
      </c>
      <c r="F3028">
        <v>0</v>
      </c>
      <c r="G3028" t="b">
        <v>0</v>
      </c>
      <c r="H3028" t="s">
        <v>15</v>
      </c>
    </row>
    <row r="3029" spans="1:8">
      <c r="A3029" t="s">
        <v>161</v>
      </c>
      <c r="B3029" t="s">
        <v>173</v>
      </c>
      <c r="C3029">
        <v>665</v>
      </c>
      <c r="D3029" t="s">
        <v>171</v>
      </c>
      <c r="E3029" s="242">
        <v>41061</v>
      </c>
      <c r="G3029" t="b">
        <v>0</v>
      </c>
      <c r="H3029" t="s">
        <v>15</v>
      </c>
    </row>
    <row r="3030" spans="1:8">
      <c r="A3030" t="s">
        <v>148</v>
      </c>
      <c r="B3030" t="s">
        <v>173</v>
      </c>
      <c r="C3030">
        <v>665</v>
      </c>
      <c r="D3030" t="s">
        <v>171</v>
      </c>
      <c r="E3030" s="242">
        <v>41030</v>
      </c>
      <c r="G3030" t="b">
        <v>0</v>
      </c>
      <c r="H3030" t="s">
        <v>15</v>
      </c>
    </row>
    <row r="3031" spans="1:8">
      <c r="A3031" t="s">
        <v>162</v>
      </c>
      <c r="B3031" t="s">
        <v>173</v>
      </c>
      <c r="C3031">
        <v>665</v>
      </c>
      <c r="D3031" t="s">
        <v>171</v>
      </c>
      <c r="E3031" s="242">
        <v>41781</v>
      </c>
      <c r="F3031">
        <v>0</v>
      </c>
      <c r="G3031" t="b">
        <v>0</v>
      </c>
      <c r="H3031" t="s">
        <v>15</v>
      </c>
    </row>
    <row r="3032" spans="1:8">
      <c r="A3032" t="s">
        <v>163</v>
      </c>
      <c r="B3032" t="s">
        <v>173</v>
      </c>
      <c r="C3032">
        <v>665</v>
      </c>
      <c r="D3032" t="s">
        <v>171</v>
      </c>
      <c r="E3032" s="242">
        <v>41759</v>
      </c>
      <c r="F3032">
        <v>0</v>
      </c>
      <c r="G3032" t="b">
        <v>0</v>
      </c>
      <c r="H3032" t="s">
        <v>15</v>
      </c>
    </row>
    <row r="3033" spans="1:8">
      <c r="A3033" t="s">
        <v>149</v>
      </c>
      <c r="B3033" t="s">
        <v>173</v>
      </c>
      <c r="C3033">
        <v>665</v>
      </c>
      <c r="D3033" t="s">
        <v>171</v>
      </c>
      <c r="E3033" s="242">
        <v>41426</v>
      </c>
      <c r="G3033" t="b">
        <v>0</v>
      </c>
      <c r="H3033" t="s">
        <v>15</v>
      </c>
    </row>
    <row r="3034" spans="1:8">
      <c r="A3034" t="s">
        <v>150</v>
      </c>
      <c r="B3034" t="s">
        <v>173</v>
      </c>
      <c r="C3034">
        <v>665</v>
      </c>
      <c r="D3034" t="s">
        <v>171</v>
      </c>
      <c r="E3034" s="242">
        <v>41365</v>
      </c>
      <c r="G3034" t="b">
        <v>0</v>
      </c>
      <c r="H3034" t="s">
        <v>15</v>
      </c>
    </row>
    <row r="3035" spans="1:8">
      <c r="A3035" t="s">
        <v>151</v>
      </c>
      <c r="B3035" t="s">
        <v>173</v>
      </c>
      <c r="C3035">
        <v>665</v>
      </c>
      <c r="D3035" t="s">
        <v>171</v>
      </c>
      <c r="E3035" s="242">
        <v>41334</v>
      </c>
      <c r="G3035" t="b">
        <v>0</v>
      </c>
      <c r="H3035" t="s">
        <v>15</v>
      </c>
    </row>
    <row r="3036" spans="1:8">
      <c r="A3036" t="s">
        <v>152</v>
      </c>
      <c r="B3036" t="s">
        <v>173</v>
      </c>
      <c r="C3036">
        <v>665</v>
      </c>
      <c r="D3036" t="s">
        <v>171</v>
      </c>
      <c r="E3036" s="242">
        <v>41426</v>
      </c>
      <c r="G3036" t="b">
        <v>0</v>
      </c>
      <c r="H3036" t="s">
        <v>15</v>
      </c>
    </row>
    <row r="3037" spans="1:8">
      <c r="A3037" t="s">
        <v>167</v>
      </c>
      <c r="B3037" t="s">
        <v>173</v>
      </c>
      <c r="C3037">
        <v>665</v>
      </c>
      <c r="D3037" t="s">
        <v>171</v>
      </c>
      <c r="E3037" s="242">
        <v>41557</v>
      </c>
      <c r="F3037">
        <v>0</v>
      </c>
      <c r="G3037" t="b">
        <v>0</v>
      </c>
      <c r="H3037" t="s">
        <v>15</v>
      </c>
    </row>
    <row r="3038" spans="1:8">
      <c r="A3038" t="s">
        <v>153</v>
      </c>
      <c r="B3038" t="s">
        <v>173</v>
      </c>
      <c r="C3038">
        <v>665</v>
      </c>
      <c r="D3038" t="s">
        <v>171</v>
      </c>
      <c r="E3038" s="242">
        <v>41456</v>
      </c>
      <c r="G3038" t="b">
        <v>0</v>
      </c>
      <c r="H3038" t="s">
        <v>15</v>
      </c>
    </row>
    <row r="3039" spans="1:8">
      <c r="A3039" t="s">
        <v>155</v>
      </c>
      <c r="B3039" t="s">
        <v>173</v>
      </c>
      <c r="C3039">
        <v>665</v>
      </c>
      <c r="D3039" t="s">
        <v>171</v>
      </c>
      <c r="E3039" s="242">
        <v>41518</v>
      </c>
      <c r="G3039" t="b">
        <v>0</v>
      </c>
      <c r="H3039" t="s">
        <v>15</v>
      </c>
    </row>
    <row r="3040" spans="1:8">
      <c r="A3040" t="s">
        <v>156</v>
      </c>
      <c r="B3040" t="s">
        <v>173</v>
      </c>
      <c r="C3040">
        <v>665</v>
      </c>
      <c r="D3040" t="s">
        <v>171</v>
      </c>
      <c r="E3040" s="242">
        <v>41426</v>
      </c>
      <c r="G3040" t="b">
        <v>0</v>
      </c>
      <c r="H3040" t="s">
        <v>15</v>
      </c>
    </row>
    <row r="3041" spans="1:8">
      <c r="A3041" t="s">
        <v>169</v>
      </c>
      <c r="B3041" t="s">
        <v>173</v>
      </c>
      <c r="C3041">
        <v>665</v>
      </c>
      <c r="D3041" t="s">
        <v>171</v>
      </c>
      <c r="E3041" s="242">
        <v>41456</v>
      </c>
      <c r="G3041" t="b">
        <v>0</v>
      </c>
      <c r="H3041" t="s">
        <v>15</v>
      </c>
    </row>
    <row r="3042" spans="1:8">
      <c r="A3042" t="s">
        <v>170</v>
      </c>
      <c r="B3042" t="s">
        <v>173</v>
      </c>
      <c r="C3042">
        <v>665</v>
      </c>
      <c r="D3042" t="s">
        <v>171</v>
      </c>
      <c r="E3042" s="242">
        <v>41456</v>
      </c>
      <c r="G3042" t="b">
        <v>0</v>
      </c>
      <c r="H3042" t="s">
        <v>15</v>
      </c>
    </row>
    <row r="3043" spans="1:8">
      <c r="A3043" t="s">
        <v>158</v>
      </c>
      <c r="B3043" t="s">
        <v>173</v>
      </c>
      <c r="C3043">
        <v>665</v>
      </c>
      <c r="D3043" t="s">
        <v>171</v>
      </c>
      <c r="E3043" s="242">
        <v>41456</v>
      </c>
      <c r="G3043" t="b">
        <v>0</v>
      </c>
      <c r="H3043" t="s">
        <v>15</v>
      </c>
    </row>
    <row r="3044" spans="1:8">
      <c r="A3044" t="s">
        <v>159</v>
      </c>
      <c r="B3044" t="s">
        <v>173</v>
      </c>
      <c r="C3044">
        <v>665</v>
      </c>
      <c r="D3044" t="s">
        <v>171</v>
      </c>
      <c r="E3044" s="242">
        <v>41456</v>
      </c>
      <c r="G3044" t="b">
        <v>0</v>
      </c>
      <c r="H3044" t="s">
        <v>15</v>
      </c>
    </row>
    <row r="3045" spans="1:8">
      <c r="A3045" t="s">
        <v>160</v>
      </c>
      <c r="B3045" t="s">
        <v>173</v>
      </c>
      <c r="C3045">
        <v>665</v>
      </c>
      <c r="D3045" t="s">
        <v>171</v>
      </c>
      <c r="E3045" s="242">
        <v>40360</v>
      </c>
      <c r="G3045" t="b">
        <v>0</v>
      </c>
      <c r="H3045" t="s">
        <v>15</v>
      </c>
    </row>
    <row r="3046" spans="1:8">
      <c r="A3046" t="s">
        <v>164</v>
      </c>
      <c r="B3046" t="s">
        <v>173</v>
      </c>
      <c r="C3046">
        <v>666</v>
      </c>
      <c r="D3046" t="s">
        <v>171</v>
      </c>
      <c r="E3046" s="242">
        <v>41759</v>
      </c>
      <c r="F3046">
        <v>0</v>
      </c>
      <c r="G3046" t="b">
        <v>0</v>
      </c>
      <c r="H3046" t="s">
        <v>15</v>
      </c>
    </row>
    <row r="3047" spans="1:8">
      <c r="A3047" t="s">
        <v>161</v>
      </c>
      <c r="B3047" t="s">
        <v>173</v>
      </c>
      <c r="C3047">
        <v>666</v>
      </c>
      <c r="D3047" t="s">
        <v>171</v>
      </c>
      <c r="E3047" s="242">
        <v>41061</v>
      </c>
      <c r="G3047" t="b">
        <v>0</v>
      </c>
      <c r="H3047" t="s">
        <v>15</v>
      </c>
    </row>
    <row r="3048" spans="1:8">
      <c r="A3048" t="s">
        <v>162</v>
      </c>
      <c r="B3048" t="s">
        <v>173</v>
      </c>
      <c r="C3048">
        <v>666</v>
      </c>
      <c r="D3048" t="s">
        <v>171</v>
      </c>
      <c r="E3048" s="242">
        <v>41781</v>
      </c>
      <c r="F3048">
        <v>0</v>
      </c>
      <c r="G3048" t="b">
        <v>0</v>
      </c>
      <c r="H3048" t="s">
        <v>15</v>
      </c>
    </row>
    <row r="3049" spans="1:8">
      <c r="A3049" t="s">
        <v>163</v>
      </c>
      <c r="B3049" t="s">
        <v>173</v>
      </c>
      <c r="C3049">
        <v>666</v>
      </c>
      <c r="D3049" t="s">
        <v>171</v>
      </c>
      <c r="E3049" s="242">
        <v>41759</v>
      </c>
      <c r="F3049">
        <v>0</v>
      </c>
      <c r="G3049" t="b">
        <v>0</v>
      </c>
      <c r="H3049" t="s">
        <v>15</v>
      </c>
    </row>
    <row r="3050" spans="1:8">
      <c r="A3050" t="s">
        <v>149</v>
      </c>
      <c r="B3050" t="s">
        <v>173</v>
      </c>
      <c r="C3050">
        <v>666</v>
      </c>
      <c r="D3050" t="s">
        <v>171</v>
      </c>
      <c r="E3050" s="242">
        <v>41426</v>
      </c>
      <c r="G3050" t="b">
        <v>0</v>
      </c>
      <c r="H3050" t="s">
        <v>15</v>
      </c>
    </row>
    <row r="3051" spans="1:8">
      <c r="A3051" t="s">
        <v>150</v>
      </c>
      <c r="B3051" t="s">
        <v>173</v>
      </c>
      <c r="C3051">
        <v>666</v>
      </c>
      <c r="D3051" t="s">
        <v>171</v>
      </c>
      <c r="E3051" s="242">
        <v>41365</v>
      </c>
      <c r="G3051" t="b">
        <v>0</v>
      </c>
      <c r="H3051" t="s">
        <v>15</v>
      </c>
    </row>
    <row r="3052" spans="1:8">
      <c r="A3052" t="s">
        <v>151</v>
      </c>
      <c r="B3052" t="s">
        <v>173</v>
      </c>
      <c r="C3052">
        <v>666</v>
      </c>
      <c r="D3052" t="s">
        <v>171</v>
      </c>
      <c r="E3052" s="242">
        <v>41334</v>
      </c>
      <c r="G3052" t="b">
        <v>0</v>
      </c>
      <c r="H3052" t="s">
        <v>15</v>
      </c>
    </row>
    <row r="3053" spans="1:8">
      <c r="A3053" t="s">
        <v>152</v>
      </c>
      <c r="B3053" t="s">
        <v>173</v>
      </c>
      <c r="C3053">
        <v>666</v>
      </c>
      <c r="D3053" t="s">
        <v>171</v>
      </c>
      <c r="E3053" s="242">
        <v>41426</v>
      </c>
      <c r="G3053" t="b">
        <v>0</v>
      </c>
      <c r="H3053" t="s">
        <v>15</v>
      </c>
    </row>
    <row r="3054" spans="1:8">
      <c r="A3054" t="s">
        <v>167</v>
      </c>
      <c r="B3054" t="s">
        <v>173</v>
      </c>
      <c r="C3054">
        <v>666</v>
      </c>
      <c r="D3054" t="s">
        <v>171</v>
      </c>
      <c r="E3054" s="242">
        <v>41557</v>
      </c>
      <c r="F3054">
        <v>0</v>
      </c>
      <c r="G3054" t="b">
        <v>0</v>
      </c>
      <c r="H3054" t="s">
        <v>15</v>
      </c>
    </row>
    <row r="3055" spans="1:8">
      <c r="A3055" t="s">
        <v>153</v>
      </c>
      <c r="B3055" t="s">
        <v>173</v>
      </c>
      <c r="C3055">
        <v>666</v>
      </c>
      <c r="D3055" t="s">
        <v>171</v>
      </c>
      <c r="E3055" s="242">
        <v>41456</v>
      </c>
      <c r="G3055" t="b">
        <v>0</v>
      </c>
      <c r="H3055" t="s">
        <v>15</v>
      </c>
    </row>
    <row r="3056" spans="1:8">
      <c r="A3056" t="s">
        <v>155</v>
      </c>
      <c r="B3056" t="s">
        <v>173</v>
      </c>
      <c r="C3056">
        <v>666</v>
      </c>
      <c r="D3056" t="s">
        <v>171</v>
      </c>
      <c r="E3056" s="242">
        <v>41518</v>
      </c>
      <c r="G3056" t="b">
        <v>0</v>
      </c>
      <c r="H3056" t="s">
        <v>15</v>
      </c>
    </row>
    <row r="3057" spans="1:8">
      <c r="A3057" t="s">
        <v>156</v>
      </c>
      <c r="B3057" t="s">
        <v>173</v>
      </c>
      <c r="C3057">
        <v>666</v>
      </c>
      <c r="D3057" t="s">
        <v>171</v>
      </c>
      <c r="E3057" s="242">
        <v>41426</v>
      </c>
      <c r="G3057" t="b">
        <v>0</v>
      </c>
      <c r="H3057" t="s">
        <v>15</v>
      </c>
    </row>
    <row r="3058" spans="1:8">
      <c r="A3058" t="s">
        <v>169</v>
      </c>
      <c r="B3058" t="s">
        <v>173</v>
      </c>
      <c r="C3058">
        <v>666</v>
      </c>
      <c r="D3058" t="s">
        <v>171</v>
      </c>
      <c r="E3058" s="242">
        <v>41456</v>
      </c>
      <c r="G3058" t="b">
        <v>0</v>
      </c>
      <c r="H3058" t="s">
        <v>15</v>
      </c>
    </row>
    <row r="3059" spans="1:8">
      <c r="A3059" t="s">
        <v>170</v>
      </c>
      <c r="B3059" t="s">
        <v>173</v>
      </c>
      <c r="C3059">
        <v>666</v>
      </c>
      <c r="D3059" t="s">
        <v>171</v>
      </c>
      <c r="E3059" s="242">
        <v>41456</v>
      </c>
      <c r="G3059" t="b">
        <v>0</v>
      </c>
      <c r="H3059" t="s">
        <v>15</v>
      </c>
    </row>
    <row r="3060" spans="1:8">
      <c r="A3060" t="s">
        <v>158</v>
      </c>
      <c r="B3060" t="s">
        <v>173</v>
      </c>
      <c r="C3060">
        <v>666</v>
      </c>
      <c r="D3060" t="s">
        <v>171</v>
      </c>
      <c r="E3060" s="242">
        <v>41456</v>
      </c>
      <c r="G3060" t="b">
        <v>0</v>
      </c>
      <c r="H3060" t="s">
        <v>15</v>
      </c>
    </row>
    <row r="3061" spans="1:8">
      <c r="A3061" t="s">
        <v>159</v>
      </c>
      <c r="B3061" t="s">
        <v>173</v>
      </c>
      <c r="C3061">
        <v>666</v>
      </c>
      <c r="D3061" t="s">
        <v>171</v>
      </c>
      <c r="E3061" s="242">
        <v>41456</v>
      </c>
      <c r="G3061" t="b">
        <v>0</v>
      </c>
      <c r="H3061" t="s">
        <v>15</v>
      </c>
    </row>
    <row r="3062" spans="1:8">
      <c r="A3062" t="s">
        <v>160</v>
      </c>
      <c r="B3062" t="s">
        <v>173</v>
      </c>
      <c r="C3062">
        <v>666</v>
      </c>
      <c r="D3062" t="s">
        <v>171</v>
      </c>
      <c r="E3062" s="242">
        <v>40360</v>
      </c>
      <c r="G3062" t="b">
        <v>0</v>
      </c>
      <c r="H3062" t="s">
        <v>15</v>
      </c>
    </row>
    <row r="3063" spans="1:8">
      <c r="A3063" t="s">
        <v>164</v>
      </c>
      <c r="B3063" t="s">
        <v>173</v>
      </c>
      <c r="C3063">
        <v>667</v>
      </c>
      <c r="D3063" t="s">
        <v>171</v>
      </c>
      <c r="E3063" s="242">
        <v>41759</v>
      </c>
      <c r="F3063">
        <v>0</v>
      </c>
      <c r="G3063" t="b">
        <v>0</v>
      </c>
      <c r="H3063" t="s">
        <v>15</v>
      </c>
    </row>
    <row r="3064" spans="1:8">
      <c r="A3064" t="s">
        <v>161</v>
      </c>
      <c r="B3064" t="s">
        <v>173</v>
      </c>
      <c r="C3064">
        <v>667</v>
      </c>
      <c r="D3064" t="s">
        <v>171</v>
      </c>
      <c r="E3064" s="242">
        <v>41061</v>
      </c>
      <c r="G3064" t="b">
        <v>0</v>
      </c>
      <c r="H3064" t="s">
        <v>15</v>
      </c>
    </row>
    <row r="3065" spans="1:8">
      <c r="A3065" t="s">
        <v>148</v>
      </c>
      <c r="B3065" t="s">
        <v>173</v>
      </c>
      <c r="C3065">
        <v>667</v>
      </c>
      <c r="D3065" t="s">
        <v>171</v>
      </c>
      <c r="E3065" s="242">
        <v>41030</v>
      </c>
      <c r="G3065" t="b">
        <v>0</v>
      </c>
      <c r="H3065" t="s">
        <v>15</v>
      </c>
    </row>
    <row r="3066" spans="1:8">
      <c r="A3066" t="s">
        <v>162</v>
      </c>
      <c r="B3066" t="s">
        <v>173</v>
      </c>
      <c r="C3066">
        <v>667</v>
      </c>
      <c r="D3066" t="s">
        <v>171</v>
      </c>
      <c r="E3066" s="242">
        <v>41781</v>
      </c>
      <c r="F3066">
        <v>0</v>
      </c>
      <c r="G3066" t="b">
        <v>0</v>
      </c>
      <c r="H3066" t="s">
        <v>15</v>
      </c>
    </row>
    <row r="3067" spans="1:8">
      <c r="A3067" t="s">
        <v>163</v>
      </c>
      <c r="B3067" t="s">
        <v>173</v>
      </c>
      <c r="C3067">
        <v>667</v>
      </c>
      <c r="D3067" t="s">
        <v>171</v>
      </c>
      <c r="E3067" s="242">
        <v>41759</v>
      </c>
      <c r="F3067">
        <v>0</v>
      </c>
      <c r="G3067" t="b">
        <v>0</v>
      </c>
      <c r="H3067" t="s">
        <v>15</v>
      </c>
    </row>
    <row r="3068" spans="1:8">
      <c r="A3068" t="s">
        <v>149</v>
      </c>
      <c r="B3068" t="s">
        <v>173</v>
      </c>
      <c r="C3068">
        <v>667</v>
      </c>
      <c r="D3068" t="s">
        <v>171</v>
      </c>
      <c r="E3068" s="242">
        <v>41426</v>
      </c>
      <c r="G3068" t="b">
        <v>0</v>
      </c>
      <c r="H3068" t="s">
        <v>15</v>
      </c>
    </row>
    <row r="3069" spans="1:8">
      <c r="A3069" t="s">
        <v>150</v>
      </c>
      <c r="B3069" t="s">
        <v>173</v>
      </c>
      <c r="C3069">
        <v>667</v>
      </c>
      <c r="D3069" t="s">
        <v>171</v>
      </c>
      <c r="E3069" s="242">
        <v>41365</v>
      </c>
      <c r="G3069" t="b">
        <v>0</v>
      </c>
      <c r="H3069" t="s">
        <v>15</v>
      </c>
    </row>
    <row r="3070" spans="1:8">
      <c r="A3070" t="s">
        <v>151</v>
      </c>
      <c r="B3070" t="s">
        <v>173</v>
      </c>
      <c r="C3070">
        <v>667</v>
      </c>
      <c r="D3070" t="s">
        <v>171</v>
      </c>
      <c r="E3070" s="242">
        <v>41334</v>
      </c>
      <c r="G3070" t="b">
        <v>0</v>
      </c>
      <c r="H3070" t="s">
        <v>15</v>
      </c>
    </row>
    <row r="3071" spans="1:8">
      <c r="A3071" t="s">
        <v>152</v>
      </c>
      <c r="B3071" t="s">
        <v>173</v>
      </c>
      <c r="C3071">
        <v>667</v>
      </c>
      <c r="D3071" t="s">
        <v>171</v>
      </c>
      <c r="E3071" s="242">
        <v>41426</v>
      </c>
      <c r="G3071" t="b">
        <v>0</v>
      </c>
      <c r="H3071" t="s">
        <v>15</v>
      </c>
    </row>
    <row r="3072" spans="1:8">
      <c r="A3072" t="s">
        <v>167</v>
      </c>
      <c r="B3072" t="s">
        <v>173</v>
      </c>
      <c r="C3072">
        <v>667</v>
      </c>
      <c r="D3072" t="s">
        <v>171</v>
      </c>
      <c r="E3072" s="242">
        <v>41557</v>
      </c>
      <c r="F3072">
        <v>0</v>
      </c>
      <c r="G3072" t="b">
        <v>0</v>
      </c>
      <c r="H3072" t="s">
        <v>15</v>
      </c>
    </row>
    <row r="3073" spans="1:8">
      <c r="A3073" t="s">
        <v>153</v>
      </c>
      <c r="B3073" t="s">
        <v>173</v>
      </c>
      <c r="C3073">
        <v>667</v>
      </c>
      <c r="D3073" t="s">
        <v>171</v>
      </c>
      <c r="E3073" s="242">
        <v>41456</v>
      </c>
      <c r="G3073" t="b">
        <v>0</v>
      </c>
      <c r="H3073" t="s">
        <v>15</v>
      </c>
    </row>
    <row r="3074" spans="1:8">
      <c r="A3074" t="s">
        <v>155</v>
      </c>
      <c r="B3074" t="s">
        <v>173</v>
      </c>
      <c r="C3074">
        <v>667</v>
      </c>
      <c r="D3074" t="s">
        <v>171</v>
      </c>
      <c r="E3074" s="242">
        <v>41518</v>
      </c>
      <c r="G3074" t="b">
        <v>0</v>
      </c>
      <c r="H3074" t="s">
        <v>15</v>
      </c>
    </row>
    <row r="3075" spans="1:8">
      <c r="A3075" t="s">
        <v>156</v>
      </c>
      <c r="B3075" t="s">
        <v>173</v>
      </c>
      <c r="C3075">
        <v>667</v>
      </c>
      <c r="D3075" t="s">
        <v>171</v>
      </c>
      <c r="E3075" s="242">
        <v>41426</v>
      </c>
      <c r="G3075" t="b">
        <v>0</v>
      </c>
      <c r="H3075" t="s">
        <v>15</v>
      </c>
    </row>
    <row r="3076" spans="1:8">
      <c r="A3076" t="s">
        <v>169</v>
      </c>
      <c r="B3076" t="s">
        <v>173</v>
      </c>
      <c r="C3076">
        <v>667</v>
      </c>
      <c r="D3076" t="s">
        <v>171</v>
      </c>
      <c r="E3076" s="242">
        <v>41456</v>
      </c>
      <c r="G3076" t="b">
        <v>0</v>
      </c>
      <c r="H3076" t="s">
        <v>15</v>
      </c>
    </row>
    <row r="3077" spans="1:8">
      <c r="A3077" t="s">
        <v>170</v>
      </c>
      <c r="B3077" t="s">
        <v>173</v>
      </c>
      <c r="C3077">
        <v>667</v>
      </c>
      <c r="D3077" t="s">
        <v>171</v>
      </c>
      <c r="E3077" s="242">
        <v>41456</v>
      </c>
      <c r="G3077" t="b">
        <v>0</v>
      </c>
      <c r="H3077" t="s">
        <v>15</v>
      </c>
    </row>
    <row r="3078" spans="1:8">
      <c r="A3078" t="s">
        <v>158</v>
      </c>
      <c r="B3078" t="s">
        <v>173</v>
      </c>
      <c r="C3078">
        <v>667</v>
      </c>
      <c r="D3078" t="s">
        <v>171</v>
      </c>
      <c r="E3078" s="242">
        <v>41456</v>
      </c>
      <c r="G3078" t="b">
        <v>0</v>
      </c>
      <c r="H3078" t="s">
        <v>15</v>
      </c>
    </row>
    <row r="3079" spans="1:8">
      <c r="A3079" t="s">
        <v>159</v>
      </c>
      <c r="B3079" t="s">
        <v>173</v>
      </c>
      <c r="C3079">
        <v>667</v>
      </c>
      <c r="D3079" t="s">
        <v>171</v>
      </c>
      <c r="E3079" s="242">
        <v>41456</v>
      </c>
      <c r="G3079" t="b">
        <v>0</v>
      </c>
      <c r="H3079" t="s">
        <v>15</v>
      </c>
    </row>
    <row r="3080" spans="1:8">
      <c r="A3080" t="s">
        <v>160</v>
      </c>
      <c r="B3080" t="s">
        <v>173</v>
      </c>
      <c r="C3080">
        <v>667</v>
      </c>
      <c r="D3080" t="s">
        <v>171</v>
      </c>
      <c r="E3080" s="242">
        <v>40360</v>
      </c>
      <c r="G3080" t="b">
        <v>0</v>
      </c>
      <c r="H3080" t="s">
        <v>15</v>
      </c>
    </row>
    <row r="3081" spans="1:8">
      <c r="A3081" t="s">
        <v>164</v>
      </c>
      <c r="B3081" t="s">
        <v>173</v>
      </c>
      <c r="C3081">
        <v>668</v>
      </c>
      <c r="D3081" t="s">
        <v>171</v>
      </c>
      <c r="E3081" s="242">
        <v>41759</v>
      </c>
      <c r="F3081">
        <v>0</v>
      </c>
      <c r="G3081" t="b">
        <v>0</v>
      </c>
      <c r="H3081" t="s">
        <v>15</v>
      </c>
    </row>
    <row r="3082" spans="1:8">
      <c r="A3082" t="s">
        <v>161</v>
      </c>
      <c r="B3082" t="s">
        <v>173</v>
      </c>
      <c r="C3082">
        <v>668</v>
      </c>
      <c r="D3082" t="s">
        <v>171</v>
      </c>
      <c r="E3082" s="242">
        <v>41061</v>
      </c>
      <c r="G3082" t="b">
        <v>0</v>
      </c>
      <c r="H3082" t="s">
        <v>15</v>
      </c>
    </row>
    <row r="3083" spans="1:8">
      <c r="A3083" t="s">
        <v>162</v>
      </c>
      <c r="B3083" t="s">
        <v>173</v>
      </c>
      <c r="C3083">
        <v>668</v>
      </c>
      <c r="D3083" t="s">
        <v>171</v>
      </c>
      <c r="E3083" s="242">
        <v>41781</v>
      </c>
      <c r="F3083">
        <v>0</v>
      </c>
      <c r="G3083" t="b">
        <v>0</v>
      </c>
      <c r="H3083" t="s">
        <v>15</v>
      </c>
    </row>
    <row r="3084" spans="1:8">
      <c r="A3084" t="s">
        <v>163</v>
      </c>
      <c r="B3084" t="s">
        <v>173</v>
      </c>
      <c r="C3084">
        <v>668</v>
      </c>
      <c r="D3084" t="s">
        <v>171</v>
      </c>
      <c r="E3084" s="242">
        <v>41759</v>
      </c>
      <c r="F3084">
        <v>0</v>
      </c>
      <c r="G3084" t="b">
        <v>0</v>
      </c>
      <c r="H3084" t="s">
        <v>15</v>
      </c>
    </row>
    <row r="3085" spans="1:8">
      <c r="A3085" t="s">
        <v>149</v>
      </c>
      <c r="B3085" t="s">
        <v>173</v>
      </c>
      <c r="C3085">
        <v>668</v>
      </c>
      <c r="D3085" t="s">
        <v>171</v>
      </c>
      <c r="E3085" s="242">
        <v>41426</v>
      </c>
      <c r="G3085" t="b">
        <v>0</v>
      </c>
      <c r="H3085" t="s">
        <v>15</v>
      </c>
    </row>
    <row r="3086" spans="1:8">
      <c r="A3086" t="s">
        <v>150</v>
      </c>
      <c r="B3086" t="s">
        <v>173</v>
      </c>
      <c r="C3086">
        <v>668</v>
      </c>
      <c r="D3086" t="s">
        <v>171</v>
      </c>
      <c r="E3086" s="242">
        <v>41365</v>
      </c>
      <c r="G3086" t="b">
        <v>0</v>
      </c>
      <c r="H3086" t="s">
        <v>15</v>
      </c>
    </row>
    <row r="3087" spans="1:8">
      <c r="A3087" t="s">
        <v>151</v>
      </c>
      <c r="B3087" t="s">
        <v>173</v>
      </c>
      <c r="C3087">
        <v>668</v>
      </c>
      <c r="D3087" t="s">
        <v>171</v>
      </c>
      <c r="E3087" s="242">
        <v>41334</v>
      </c>
      <c r="G3087" t="b">
        <v>0</v>
      </c>
      <c r="H3087" t="s">
        <v>15</v>
      </c>
    </row>
    <row r="3088" spans="1:8">
      <c r="A3088" t="s">
        <v>152</v>
      </c>
      <c r="B3088" t="s">
        <v>173</v>
      </c>
      <c r="C3088">
        <v>668</v>
      </c>
      <c r="D3088" t="s">
        <v>171</v>
      </c>
      <c r="E3088" s="242">
        <v>41426</v>
      </c>
      <c r="G3088" t="b">
        <v>0</v>
      </c>
      <c r="H3088" t="s">
        <v>15</v>
      </c>
    </row>
    <row r="3089" spans="1:8">
      <c r="A3089" t="s">
        <v>167</v>
      </c>
      <c r="B3089" t="s">
        <v>173</v>
      </c>
      <c r="C3089">
        <v>668</v>
      </c>
      <c r="D3089" t="s">
        <v>171</v>
      </c>
      <c r="E3089" s="242">
        <v>41557</v>
      </c>
      <c r="F3089">
        <v>0</v>
      </c>
      <c r="G3089" t="b">
        <v>0</v>
      </c>
      <c r="H3089" t="s">
        <v>15</v>
      </c>
    </row>
    <row r="3090" spans="1:8">
      <c r="A3090" t="s">
        <v>153</v>
      </c>
      <c r="B3090" t="s">
        <v>173</v>
      </c>
      <c r="C3090">
        <v>668</v>
      </c>
      <c r="D3090" t="s">
        <v>171</v>
      </c>
      <c r="E3090" s="242">
        <v>41456</v>
      </c>
      <c r="G3090" t="b">
        <v>0</v>
      </c>
      <c r="H3090" t="s">
        <v>15</v>
      </c>
    </row>
    <row r="3091" spans="1:8">
      <c r="A3091" t="s">
        <v>155</v>
      </c>
      <c r="B3091" t="s">
        <v>173</v>
      </c>
      <c r="C3091">
        <v>668</v>
      </c>
      <c r="D3091" t="s">
        <v>171</v>
      </c>
      <c r="E3091" s="242">
        <v>41518</v>
      </c>
      <c r="G3091" t="b">
        <v>0</v>
      </c>
      <c r="H3091" t="s">
        <v>15</v>
      </c>
    </row>
    <row r="3092" spans="1:8">
      <c r="A3092" t="s">
        <v>156</v>
      </c>
      <c r="B3092" t="s">
        <v>173</v>
      </c>
      <c r="C3092">
        <v>668</v>
      </c>
      <c r="D3092" t="s">
        <v>171</v>
      </c>
      <c r="E3092" s="242">
        <v>41426</v>
      </c>
      <c r="G3092" t="b">
        <v>0</v>
      </c>
      <c r="H3092" t="s">
        <v>15</v>
      </c>
    </row>
    <row r="3093" spans="1:8">
      <c r="A3093" t="s">
        <v>169</v>
      </c>
      <c r="B3093" t="s">
        <v>173</v>
      </c>
      <c r="C3093">
        <v>668</v>
      </c>
      <c r="D3093" t="s">
        <v>171</v>
      </c>
      <c r="E3093" s="242">
        <v>41456</v>
      </c>
      <c r="G3093" t="b">
        <v>0</v>
      </c>
      <c r="H3093" t="s">
        <v>15</v>
      </c>
    </row>
    <row r="3094" spans="1:8">
      <c r="A3094" t="s">
        <v>170</v>
      </c>
      <c r="B3094" t="s">
        <v>173</v>
      </c>
      <c r="C3094">
        <v>668</v>
      </c>
      <c r="D3094" t="s">
        <v>171</v>
      </c>
      <c r="E3094" s="242">
        <v>41456</v>
      </c>
      <c r="G3094" t="b">
        <v>0</v>
      </c>
      <c r="H3094" t="s">
        <v>15</v>
      </c>
    </row>
    <row r="3095" spans="1:8">
      <c r="A3095" t="s">
        <v>158</v>
      </c>
      <c r="B3095" t="s">
        <v>173</v>
      </c>
      <c r="C3095">
        <v>668</v>
      </c>
      <c r="D3095" t="s">
        <v>171</v>
      </c>
      <c r="E3095" s="242">
        <v>41456</v>
      </c>
      <c r="G3095" t="b">
        <v>0</v>
      </c>
      <c r="H3095" t="s">
        <v>15</v>
      </c>
    </row>
    <row r="3096" spans="1:8">
      <c r="A3096" t="s">
        <v>159</v>
      </c>
      <c r="B3096" t="s">
        <v>173</v>
      </c>
      <c r="C3096">
        <v>668</v>
      </c>
      <c r="D3096" t="s">
        <v>171</v>
      </c>
      <c r="E3096" s="242">
        <v>41456</v>
      </c>
      <c r="G3096" t="b">
        <v>0</v>
      </c>
      <c r="H3096" t="s">
        <v>15</v>
      </c>
    </row>
    <row r="3097" spans="1:8">
      <c r="A3097" t="s">
        <v>160</v>
      </c>
      <c r="B3097" t="s">
        <v>173</v>
      </c>
      <c r="C3097">
        <v>668</v>
      </c>
      <c r="D3097" t="s">
        <v>171</v>
      </c>
      <c r="E3097" s="242">
        <v>40360</v>
      </c>
      <c r="G3097" t="b">
        <v>0</v>
      </c>
      <c r="H3097" t="s">
        <v>15</v>
      </c>
    </row>
  </sheetData>
  <pageMargins left="0.7" right="0.7" top="0.75" bottom="0.75" header="0.3" footer="0.3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>
  <sheetPr codeName="Sheet6"/>
  <dimension ref="A1:EV100"/>
  <sheetViews>
    <sheetView workbookViewId="0">
      <selection activeCell="B6" sqref="B6"/>
    </sheetView>
  </sheetViews>
  <sheetFormatPr defaultRowHeight="15"/>
  <cols>
    <col min="1" max="1" width="17" bestFit="1" customWidth="1"/>
    <col min="2" max="2" width="16.28515625" bestFit="1" customWidth="1"/>
    <col min="3" max="7" width="6.5703125" bestFit="1" customWidth="1"/>
    <col min="8" max="9" width="7" bestFit="1" customWidth="1"/>
    <col min="10" max="10" width="6.5703125" bestFit="1" customWidth="1"/>
    <col min="11" max="14" width="7.28515625" bestFit="1" customWidth="1"/>
    <col min="15" max="16" width="5.85546875" bestFit="1" customWidth="1"/>
    <col min="17" max="20" width="6.85546875" bestFit="1" customWidth="1"/>
    <col min="21" max="21" width="6.5703125" bestFit="1" customWidth="1"/>
    <col min="22" max="26" width="7.5703125" bestFit="1" customWidth="1"/>
    <col min="27" max="27" width="5.7109375" bestFit="1" customWidth="1"/>
    <col min="28" max="29" width="6.7109375" bestFit="1" customWidth="1"/>
    <col min="30" max="33" width="6.5703125" bestFit="1" customWidth="1"/>
    <col min="34" max="34" width="6.140625" bestFit="1" customWidth="1"/>
    <col min="35" max="41" width="7.140625" bestFit="1" customWidth="1"/>
    <col min="42" max="44" width="7" bestFit="1" customWidth="1"/>
    <col min="45" max="45" width="6.5703125" bestFit="1" customWidth="1"/>
    <col min="46" max="51" width="6.7109375" bestFit="1" customWidth="1"/>
    <col min="52" max="53" width="7.28515625" bestFit="1" customWidth="1"/>
    <col min="54" max="55" width="6.5703125" bestFit="1" customWidth="1"/>
    <col min="56" max="57" width="7.5703125" bestFit="1" customWidth="1"/>
    <col min="58" max="64" width="6.7109375" bestFit="1" customWidth="1"/>
    <col min="65" max="66" width="5.140625" bestFit="1" customWidth="1"/>
    <col min="67" max="68" width="6.140625" bestFit="1" customWidth="1"/>
    <col min="69" max="70" width="7.140625" bestFit="1" customWidth="1"/>
    <col min="71" max="71" width="6.7109375" bestFit="1" customWidth="1"/>
    <col min="72" max="77" width="6.28515625" bestFit="1" customWidth="1"/>
    <col min="78" max="84" width="7.28515625" bestFit="1" customWidth="1"/>
    <col min="85" max="88" width="6" bestFit="1" customWidth="1"/>
    <col min="89" max="97" width="7" bestFit="1" customWidth="1"/>
    <col min="98" max="99" width="5.5703125" bestFit="1" customWidth="1"/>
    <col min="100" max="106" width="6.5703125" bestFit="1" customWidth="1"/>
    <col min="107" max="109" width="7" bestFit="1" customWidth="1"/>
    <col min="110" max="110" width="6.28515625" bestFit="1" customWidth="1"/>
    <col min="111" max="114" width="7.28515625" bestFit="1" customWidth="1"/>
    <col min="115" max="115" width="6.7109375" bestFit="1" customWidth="1"/>
    <col min="116" max="116" width="5.5703125" bestFit="1" customWidth="1"/>
    <col min="117" max="119" width="6.85546875" bestFit="1" customWidth="1"/>
    <col min="120" max="120" width="6.5703125" bestFit="1" customWidth="1"/>
    <col min="121" max="121" width="5.7109375" bestFit="1" customWidth="1"/>
    <col min="122" max="123" width="6.7109375" bestFit="1" customWidth="1"/>
    <col min="124" max="124" width="6.140625" bestFit="1" customWidth="1"/>
    <col min="125" max="125" width="7.140625" bestFit="1" customWidth="1"/>
    <col min="126" max="127" width="6" bestFit="1" customWidth="1"/>
    <col min="128" max="131" width="7" bestFit="1" customWidth="1"/>
    <col min="132" max="132" width="6.85546875" bestFit="1" customWidth="1"/>
    <col min="133" max="135" width="6" bestFit="1" customWidth="1"/>
    <col min="136" max="137" width="7" bestFit="1" customWidth="1"/>
    <col min="138" max="138" width="7.28515625" bestFit="1" customWidth="1"/>
    <col min="139" max="139" width="7.5703125" bestFit="1" customWidth="1"/>
    <col min="140" max="141" width="6.5703125" bestFit="1" customWidth="1"/>
    <col min="142" max="146" width="6.7109375" bestFit="1" customWidth="1"/>
    <col min="147" max="147" width="6.5703125" bestFit="1" customWidth="1"/>
    <col min="148" max="148" width="6.85546875" bestFit="1" customWidth="1"/>
    <col min="149" max="150" width="6.5703125" bestFit="1" customWidth="1"/>
    <col min="151" max="151" width="5.7109375" bestFit="1" customWidth="1"/>
    <col min="152" max="152" width="11.28515625" bestFit="1" customWidth="1"/>
  </cols>
  <sheetData>
    <row r="1" spans="1:152">
      <c r="A1" s="243" t="s">
        <v>177</v>
      </c>
      <c r="B1" s="243" t="s">
        <v>174</v>
      </c>
    </row>
    <row r="2" spans="1:152">
      <c r="A2" s="243" t="s">
        <v>176</v>
      </c>
      <c r="B2" s="244">
        <v>0</v>
      </c>
      <c r="C2" s="244">
        <v>13</v>
      </c>
      <c r="D2" s="244">
        <v>14</v>
      </c>
      <c r="E2" s="244">
        <v>15</v>
      </c>
      <c r="F2" s="244">
        <v>25</v>
      </c>
      <c r="G2" s="244">
        <v>35</v>
      </c>
      <c r="H2" s="244">
        <v>45</v>
      </c>
      <c r="I2" s="244">
        <v>55</v>
      </c>
      <c r="J2" s="244">
        <v>62</v>
      </c>
      <c r="K2" s="244">
        <v>79</v>
      </c>
      <c r="L2" s="244">
        <v>85</v>
      </c>
      <c r="M2" s="244">
        <v>86</v>
      </c>
      <c r="N2" s="244">
        <v>88</v>
      </c>
      <c r="O2" s="244">
        <v>95</v>
      </c>
      <c r="P2" s="244">
        <v>100</v>
      </c>
      <c r="Q2" s="244">
        <v>101</v>
      </c>
      <c r="R2" s="244">
        <v>102</v>
      </c>
      <c r="S2" s="244">
        <v>103</v>
      </c>
      <c r="T2" s="244">
        <v>116</v>
      </c>
      <c r="U2" s="244">
        <v>130</v>
      </c>
      <c r="V2" s="244">
        <v>135</v>
      </c>
      <c r="W2" s="244">
        <v>140</v>
      </c>
      <c r="X2" s="244">
        <v>145</v>
      </c>
      <c r="Y2" s="244">
        <v>150</v>
      </c>
      <c r="Z2" s="244">
        <v>152</v>
      </c>
      <c r="AA2" s="244">
        <v>160</v>
      </c>
      <c r="AB2" s="244">
        <v>164</v>
      </c>
      <c r="AC2" s="244">
        <v>177</v>
      </c>
      <c r="AD2" s="244">
        <v>192</v>
      </c>
      <c r="AE2" s="244">
        <v>195</v>
      </c>
      <c r="AF2" s="244">
        <v>198</v>
      </c>
      <c r="AG2" s="244">
        <v>200</v>
      </c>
      <c r="AH2" s="244">
        <v>222</v>
      </c>
      <c r="AI2" s="244">
        <v>223</v>
      </c>
      <c r="AJ2" s="244">
        <v>224</v>
      </c>
      <c r="AK2" s="244">
        <v>225</v>
      </c>
      <c r="AL2" s="244">
        <v>226</v>
      </c>
      <c r="AM2" s="244">
        <v>230</v>
      </c>
      <c r="AN2" s="244">
        <v>231</v>
      </c>
      <c r="AO2" s="244">
        <v>234</v>
      </c>
      <c r="AP2" s="244">
        <v>260</v>
      </c>
      <c r="AQ2" s="244">
        <v>261</v>
      </c>
      <c r="AR2" s="244">
        <v>270</v>
      </c>
      <c r="AS2" s="244">
        <v>275</v>
      </c>
      <c r="AT2" s="244">
        <v>286</v>
      </c>
      <c r="AU2" s="244">
        <v>287</v>
      </c>
      <c r="AV2" s="244">
        <v>290</v>
      </c>
      <c r="AW2" s="244">
        <v>291</v>
      </c>
      <c r="AX2" s="244">
        <v>295</v>
      </c>
      <c r="AY2" s="244">
        <v>300</v>
      </c>
      <c r="AZ2" s="244">
        <v>320</v>
      </c>
      <c r="BA2" s="244">
        <v>326</v>
      </c>
      <c r="BB2" s="244">
        <v>400</v>
      </c>
      <c r="BC2" s="244">
        <v>465</v>
      </c>
      <c r="BD2" s="244">
        <v>496</v>
      </c>
      <c r="BE2" s="244">
        <v>500</v>
      </c>
      <c r="BF2" s="244">
        <v>530</v>
      </c>
      <c r="BG2" s="244">
        <v>531</v>
      </c>
      <c r="BH2" s="244">
        <v>532</v>
      </c>
      <c r="BI2" s="244">
        <v>533</v>
      </c>
      <c r="BJ2" s="244">
        <v>534</v>
      </c>
      <c r="BK2" s="244">
        <v>535</v>
      </c>
      <c r="BL2" s="244">
        <v>542</v>
      </c>
      <c r="BM2" s="244">
        <v>551</v>
      </c>
      <c r="BN2" s="244">
        <v>553</v>
      </c>
      <c r="BO2" s="244">
        <v>570</v>
      </c>
      <c r="BP2" s="244">
        <v>580</v>
      </c>
      <c r="BQ2" s="244">
        <v>590</v>
      </c>
      <c r="BR2" s="244">
        <v>591</v>
      </c>
      <c r="BS2" s="244">
        <v>649</v>
      </c>
      <c r="BT2" s="244">
        <v>674</v>
      </c>
      <c r="BU2" s="244">
        <v>675</v>
      </c>
      <c r="BV2" s="244">
        <v>676</v>
      </c>
      <c r="BW2" s="244">
        <v>677</v>
      </c>
      <c r="BX2" s="244">
        <v>678</v>
      </c>
      <c r="BY2" s="244">
        <v>679</v>
      </c>
      <c r="BZ2" s="244">
        <v>680</v>
      </c>
      <c r="CA2" s="244">
        <v>681</v>
      </c>
      <c r="CB2" s="244">
        <v>682</v>
      </c>
      <c r="CC2" s="244">
        <v>683</v>
      </c>
      <c r="CD2" s="244">
        <v>684</v>
      </c>
      <c r="CE2" s="244">
        <v>685</v>
      </c>
      <c r="CF2" s="244">
        <v>700</v>
      </c>
      <c r="CG2" s="244">
        <v>703</v>
      </c>
      <c r="CH2" s="244">
        <v>705</v>
      </c>
      <c r="CI2" s="244">
        <v>708</v>
      </c>
      <c r="CJ2" s="244">
        <v>709</v>
      </c>
      <c r="CK2" s="244">
        <v>710</v>
      </c>
      <c r="CL2" s="244">
        <v>711</v>
      </c>
      <c r="CM2" s="244">
        <v>712</v>
      </c>
      <c r="CN2" s="244">
        <v>714</v>
      </c>
      <c r="CO2" s="244">
        <v>716</v>
      </c>
      <c r="CP2" s="244">
        <v>718</v>
      </c>
      <c r="CQ2" s="244">
        <v>720</v>
      </c>
      <c r="CR2" s="244">
        <v>725</v>
      </c>
      <c r="CS2" s="244">
        <v>730</v>
      </c>
      <c r="CT2" s="244">
        <v>735</v>
      </c>
      <c r="CU2" s="244">
        <v>740</v>
      </c>
      <c r="CV2" s="244">
        <v>745</v>
      </c>
      <c r="CW2" s="244">
        <v>751</v>
      </c>
      <c r="CX2" s="244">
        <v>752</v>
      </c>
      <c r="CY2" s="244">
        <v>754</v>
      </c>
      <c r="CZ2" s="244">
        <v>755</v>
      </c>
      <c r="DA2" s="244">
        <v>757</v>
      </c>
      <c r="DB2" s="244">
        <v>760</v>
      </c>
      <c r="DC2" s="244">
        <v>775</v>
      </c>
      <c r="DD2" s="244">
        <v>780</v>
      </c>
      <c r="DE2" s="244">
        <v>785</v>
      </c>
      <c r="DF2" s="244">
        <v>793</v>
      </c>
      <c r="DG2" s="244">
        <v>800</v>
      </c>
      <c r="DH2" s="244">
        <v>801</v>
      </c>
      <c r="DI2" s="244">
        <v>803</v>
      </c>
      <c r="DJ2" s="244">
        <v>804</v>
      </c>
      <c r="DK2" s="244">
        <v>903</v>
      </c>
      <c r="DL2" s="244">
        <v>5</v>
      </c>
      <c r="DM2" s="244">
        <v>108</v>
      </c>
      <c r="DN2" s="244">
        <v>110</v>
      </c>
      <c r="DO2" s="244">
        <v>115</v>
      </c>
      <c r="DP2" s="244">
        <v>125</v>
      </c>
      <c r="DQ2" s="244">
        <v>155</v>
      </c>
      <c r="DR2" s="244">
        <v>165</v>
      </c>
      <c r="DS2" s="244">
        <v>175</v>
      </c>
      <c r="DT2" s="244">
        <v>220</v>
      </c>
      <c r="DU2" s="244">
        <v>240</v>
      </c>
      <c r="DV2" s="244">
        <v>245</v>
      </c>
      <c r="DW2" s="244">
        <v>250</v>
      </c>
      <c r="DX2" s="244">
        <v>350</v>
      </c>
      <c r="DY2" s="244">
        <v>351</v>
      </c>
      <c r="DZ2" s="244">
        <v>352</v>
      </c>
      <c r="EA2" s="244">
        <v>46</v>
      </c>
      <c r="EB2" s="244">
        <v>105</v>
      </c>
      <c r="EC2" s="244">
        <v>401</v>
      </c>
      <c r="ED2" s="244">
        <v>405</v>
      </c>
      <c r="EE2" s="244">
        <v>406</v>
      </c>
      <c r="EF2" s="244">
        <v>407</v>
      </c>
      <c r="EG2" s="244">
        <v>415</v>
      </c>
      <c r="EH2" s="244">
        <v>445</v>
      </c>
      <c r="EI2" s="244">
        <v>516</v>
      </c>
      <c r="EJ2" s="244">
        <v>520</v>
      </c>
      <c r="EK2" s="244">
        <v>525</v>
      </c>
      <c r="EL2" s="244">
        <v>663</v>
      </c>
      <c r="EM2" s="244">
        <v>665</v>
      </c>
      <c r="EN2" s="244">
        <v>666</v>
      </c>
      <c r="EO2" s="244">
        <v>667</v>
      </c>
      <c r="EP2" s="244">
        <v>668</v>
      </c>
      <c r="EQ2" s="244">
        <v>310</v>
      </c>
      <c r="ER2" s="244">
        <v>470</v>
      </c>
      <c r="ES2" s="244">
        <v>205</v>
      </c>
      <c r="ET2" s="244">
        <v>523</v>
      </c>
      <c r="EU2" s="244">
        <v>161</v>
      </c>
      <c r="EV2" s="244" t="s">
        <v>175</v>
      </c>
    </row>
    <row r="3" spans="1:152">
      <c r="A3" s="268" t="s">
        <v>15</v>
      </c>
      <c r="B3" s="133">
        <v>1714.09997685185</v>
      </c>
      <c r="C3" s="133">
        <v>0</v>
      </c>
      <c r="D3" s="133">
        <v>7219</v>
      </c>
      <c r="E3" s="133">
        <v>0</v>
      </c>
      <c r="F3" s="133">
        <v>7809.39990740741</v>
      </c>
      <c r="G3" s="133">
        <v>7458.7001967592596</v>
      </c>
      <c r="H3" s="133">
        <v>7809.39990740741</v>
      </c>
      <c r="I3" s="133">
        <v>7776.5</v>
      </c>
      <c r="J3" s="133">
        <v>7796.39990740741</v>
      </c>
      <c r="K3" s="133">
        <v>7779.10009259259</v>
      </c>
      <c r="L3" s="133">
        <v>7779.10009259259</v>
      </c>
      <c r="M3" s="133">
        <v>7779.10009259259</v>
      </c>
      <c r="N3" s="133">
        <v>7749.89990740741</v>
      </c>
      <c r="O3" s="133">
        <v>0</v>
      </c>
      <c r="P3" s="133">
        <v>0</v>
      </c>
      <c r="Q3" s="133">
        <v>0</v>
      </c>
      <c r="R3" s="133">
        <v>0</v>
      </c>
      <c r="S3" s="133">
        <v>0</v>
      </c>
      <c r="T3" s="133">
        <v>0</v>
      </c>
      <c r="U3" s="133">
        <v>7787.2001967592596</v>
      </c>
      <c r="V3" s="133">
        <v>7787.2001967592596</v>
      </c>
      <c r="W3" s="133">
        <v>7194.89990740741</v>
      </c>
      <c r="X3" s="133">
        <v>7787.2001967592596</v>
      </c>
      <c r="Y3" s="133">
        <v>7703.7001967592596</v>
      </c>
      <c r="Z3" s="133">
        <v>7703.7001967592596</v>
      </c>
      <c r="AA3" s="133">
        <v>0</v>
      </c>
      <c r="AB3" s="133">
        <v>7749.89990740741</v>
      </c>
      <c r="AC3" s="133">
        <v>0</v>
      </c>
      <c r="AD3" s="133">
        <v>7703.7001967592596</v>
      </c>
      <c r="AE3" s="133">
        <v>7703.7001967592596</v>
      </c>
      <c r="AF3" s="133">
        <v>7703.7001967592596</v>
      </c>
      <c r="AG3" s="133">
        <v>7703.7001967592596</v>
      </c>
      <c r="AH3" s="133">
        <v>0</v>
      </c>
      <c r="AI3" s="133">
        <v>7703.7001967592596</v>
      </c>
      <c r="AJ3" s="133">
        <v>7703.7001967592596</v>
      </c>
      <c r="AK3" s="133">
        <v>7703.2001967592596</v>
      </c>
      <c r="AL3" s="133">
        <v>7458.7001967592596</v>
      </c>
      <c r="AM3" s="133">
        <v>7458.7001967592596</v>
      </c>
      <c r="AN3" s="133">
        <v>7703.7001967592596</v>
      </c>
      <c r="AO3" s="133">
        <v>7703.7001967592596</v>
      </c>
      <c r="AP3" s="133">
        <v>7749.89990740741</v>
      </c>
      <c r="AQ3" s="133">
        <v>7749.89990740741</v>
      </c>
      <c r="AR3" s="133">
        <v>7703.7001967592596</v>
      </c>
      <c r="AS3" s="133">
        <v>7703.7001967592596</v>
      </c>
      <c r="AT3" s="133">
        <v>7001</v>
      </c>
      <c r="AU3" s="133">
        <v>7001</v>
      </c>
      <c r="AV3" s="133">
        <v>7703.7001967592596</v>
      </c>
      <c r="AW3" s="133">
        <v>7703.7001967592596</v>
      </c>
      <c r="AX3" s="133">
        <v>7703.7001967592596</v>
      </c>
      <c r="AY3" s="133">
        <v>7703.7001967592596</v>
      </c>
      <c r="AZ3" s="133">
        <v>0</v>
      </c>
      <c r="BA3" s="133">
        <v>0</v>
      </c>
      <c r="BB3" s="133">
        <v>7458.7001967592596</v>
      </c>
      <c r="BC3" s="133">
        <v>7703.7001967592596</v>
      </c>
      <c r="BD3" s="133">
        <v>0</v>
      </c>
      <c r="BE3" s="133">
        <v>0</v>
      </c>
      <c r="BF3" s="133">
        <v>0</v>
      </c>
      <c r="BG3" s="133">
        <v>0</v>
      </c>
      <c r="BH3" s="133">
        <v>0</v>
      </c>
      <c r="BI3" s="133">
        <v>7703.7001967592596</v>
      </c>
      <c r="BJ3" s="133">
        <v>0</v>
      </c>
      <c r="BK3" s="133">
        <v>0</v>
      </c>
      <c r="BL3" s="133">
        <v>0</v>
      </c>
      <c r="BM3" s="133">
        <v>0</v>
      </c>
      <c r="BN3" s="133">
        <v>0</v>
      </c>
      <c r="BO3" s="133">
        <v>0</v>
      </c>
      <c r="BP3" s="133">
        <v>0</v>
      </c>
      <c r="BQ3" s="133">
        <v>0</v>
      </c>
      <c r="BR3" s="133">
        <v>0</v>
      </c>
      <c r="BS3" s="133">
        <v>0</v>
      </c>
      <c r="BT3" s="133">
        <v>0</v>
      </c>
      <c r="BU3" s="133">
        <v>0</v>
      </c>
      <c r="BV3" s="133">
        <v>0</v>
      </c>
      <c r="BW3" s="133">
        <v>0</v>
      </c>
      <c r="BX3" s="133">
        <v>0</v>
      </c>
      <c r="BY3" s="133">
        <v>0</v>
      </c>
      <c r="BZ3" s="133">
        <v>0</v>
      </c>
      <c r="CA3" s="133">
        <v>0</v>
      </c>
      <c r="CB3" s="133"/>
      <c r="CC3" s="133"/>
      <c r="CD3" s="133"/>
      <c r="CE3" s="133"/>
      <c r="CF3" s="133">
        <v>0</v>
      </c>
      <c r="CG3" s="133">
        <v>0</v>
      </c>
      <c r="CH3" s="133">
        <v>0</v>
      </c>
      <c r="CI3" s="133">
        <v>0</v>
      </c>
      <c r="CJ3" s="133"/>
      <c r="CK3" s="133"/>
      <c r="CL3" s="133">
        <v>0</v>
      </c>
      <c r="CM3" s="133"/>
      <c r="CN3" s="133">
        <v>0</v>
      </c>
      <c r="CO3" s="133"/>
      <c r="CP3" s="133"/>
      <c r="CQ3" s="133">
        <v>0</v>
      </c>
      <c r="CR3" s="133">
        <v>0</v>
      </c>
      <c r="CS3" s="133">
        <v>0</v>
      </c>
      <c r="CT3" s="133">
        <v>0</v>
      </c>
      <c r="CU3" s="133">
        <v>0</v>
      </c>
      <c r="CV3" s="133">
        <v>0</v>
      </c>
      <c r="CW3" s="133">
        <v>7703.7001967592596</v>
      </c>
      <c r="CX3" s="133">
        <v>7458.7001967592596</v>
      </c>
      <c r="CY3" s="133">
        <v>7458.7001967592596</v>
      </c>
      <c r="CZ3" s="133">
        <v>7458.7001967592596</v>
      </c>
      <c r="DA3" s="133">
        <v>7703.7001967592596</v>
      </c>
      <c r="DB3" s="133">
        <v>0</v>
      </c>
      <c r="DC3" s="133">
        <v>0</v>
      </c>
      <c r="DD3" s="133">
        <v>0</v>
      </c>
      <c r="DE3" s="133">
        <v>0</v>
      </c>
      <c r="DF3" s="133">
        <v>0</v>
      </c>
      <c r="DG3" s="133">
        <v>0</v>
      </c>
      <c r="DH3" s="133">
        <v>0</v>
      </c>
      <c r="DI3" s="133">
        <v>0</v>
      </c>
      <c r="DJ3" s="133">
        <v>0</v>
      </c>
      <c r="DK3" s="133">
        <v>3986.5</v>
      </c>
      <c r="DL3" s="133">
        <v>0</v>
      </c>
      <c r="DM3" s="133">
        <v>0</v>
      </c>
      <c r="DN3" s="133">
        <v>0</v>
      </c>
      <c r="DO3" s="133">
        <v>0</v>
      </c>
      <c r="DP3" s="133">
        <v>0</v>
      </c>
      <c r="DQ3" s="133">
        <v>0</v>
      </c>
      <c r="DR3" s="133">
        <v>0</v>
      </c>
      <c r="DS3" s="133">
        <v>0</v>
      </c>
      <c r="DT3" s="133">
        <v>0</v>
      </c>
      <c r="DU3" s="133">
        <v>0</v>
      </c>
      <c r="DV3" s="133">
        <v>0</v>
      </c>
      <c r="DW3" s="133">
        <v>0</v>
      </c>
      <c r="DX3" s="133">
        <v>0</v>
      </c>
      <c r="DY3" s="133">
        <v>0</v>
      </c>
      <c r="DZ3" s="133">
        <v>0</v>
      </c>
      <c r="EA3" s="133">
        <v>7703.7001967592596</v>
      </c>
      <c r="EB3" s="133">
        <v>0</v>
      </c>
      <c r="EC3" s="133">
        <v>0</v>
      </c>
      <c r="ED3" s="133">
        <v>0</v>
      </c>
      <c r="EE3" s="133">
        <v>0</v>
      </c>
      <c r="EF3" s="133">
        <v>0</v>
      </c>
      <c r="EG3" s="133">
        <v>0</v>
      </c>
      <c r="EH3" s="133">
        <v>0</v>
      </c>
      <c r="EI3" s="133">
        <v>4756.5</v>
      </c>
      <c r="EJ3" s="133">
        <v>7703.7001967592596</v>
      </c>
      <c r="EK3" s="133">
        <v>7458.7001967592596</v>
      </c>
      <c r="EL3" s="133">
        <v>0</v>
      </c>
      <c r="EM3" s="133">
        <v>0</v>
      </c>
      <c r="EN3" s="133">
        <v>0</v>
      </c>
      <c r="EO3" s="133">
        <v>0</v>
      </c>
      <c r="EP3" s="133">
        <v>0</v>
      </c>
      <c r="EQ3" s="133">
        <v>6461.39990740741</v>
      </c>
      <c r="ER3" s="133">
        <v>6703.39990740741</v>
      </c>
      <c r="ES3" s="133">
        <v>7232.10009259259</v>
      </c>
      <c r="ET3" s="133">
        <v>7469.2001967592596</v>
      </c>
      <c r="EU3" s="133">
        <v>0</v>
      </c>
      <c r="EV3" s="133">
        <v>7809.39990740741</v>
      </c>
    </row>
    <row r="4" spans="1:152">
      <c r="A4" s="269" t="s">
        <v>164</v>
      </c>
      <c r="B4" s="133"/>
      <c r="C4" s="133"/>
      <c r="D4" s="133"/>
      <c r="E4" s="133"/>
      <c r="F4" s="133">
        <v>5417.5</v>
      </c>
      <c r="G4" s="133">
        <v>5211.60009259259</v>
      </c>
      <c r="H4" s="133">
        <v>5417.5</v>
      </c>
      <c r="I4" s="133">
        <v>5409.39990740741</v>
      </c>
      <c r="J4" s="133">
        <v>5417</v>
      </c>
      <c r="K4" s="133">
        <v>5416</v>
      </c>
      <c r="L4" s="133">
        <v>5416</v>
      </c>
      <c r="M4" s="133"/>
      <c r="N4" s="133"/>
      <c r="O4" s="133"/>
      <c r="P4" s="133">
        <v>0</v>
      </c>
      <c r="Q4" s="133">
        <v>0</v>
      </c>
      <c r="R4" s="133">
        <v>0</v>
      </c>
      <c r="S4" s="133">
        <v>0</v>
      </c>
      <c r="T4" s="133"/>
      <c r="U4" s="133">
        <v>5409.39990740741</v>
      </c>
      <c r="V4" s="133">
        <v>5409.39990740741</v>
      </c>
      <c r="W4" s="133"/>
      <c r="X4" s="133">
        <v>5409.39990740741</v>
      </c>
      <c r="Y4" s="133">
        <v>5336.89990740741</v>
      </c>
      <c r="Z4" s="133">
        <v>5336.89990740741</v>
      </c>
      <c r="AA4" s="133">
        <v>0</v>
      </c>
      <c r="AB4" s="133"/>
      <c r="AC4" s="133">
        <v>0</v>
      </c>
      <c r="AD4" s="133">
        <v>5336.89990740741</v>
      </c>
      <c r="AE4" s="133">
        <v>5336.89990740741</v>
      </c>
      <c r="AF4" s="133">
        <v>5336.89990740741</v>
      </c>
      <c r="AG4" s="133">
        <v>5336.89990740741</v>
      </c>
      <c r="AH4" s="133">
        <v>0</v>
      </c>
      <c r="AI4" s="133">
        <v>5216.60009259259</v>
      </c>
      <c r="AJ4" s="133">
        <v>5336.89990740741</v>
      </c>
      <c r="AK4" s="133">
        <v>0</v>
      </c>
      <c r="AL4" s="133">
        <v>5216.60009259259</v>
      </c>
      <c r="AM4" s="133">
        <v>5216.60009259259</v>
      </c>
      <c r="AN4" s="133">
        <v>5216.60009259259</v>
      </c>
      <c r="AO4" s="133">
        <v>5216.60009259259</v>
      </c>
      <c r="AP4" s="133">
        <v>5416</v>
      </c>
      <c r="AQ4" s="133">
        <v>5416</v>
      </c>
      <c r="AR4" s="133">
        <v>5216.60009259259</v>
      </c>
      <c r="AS4" s="133">
        <v>5216.60009259259</v>
      </c>
      <c r="AT4" s="133"/>
      <c r="AU4" s="133"/>
      <c r="AV4" s="133">
        <v>5216.60009259259</v>
      </c>
      <c r="AW4" s="133">
        <v>5216.60009259259</v>
      </c>
      <c r="AX4" s="133">
        <v>5216.60009259259</v>
      </c>
      <c r="AY4" s="133">
        <v>5216.60009259259</v>
      </c>
      <c r="AZ4" s="133"/>
      <c r="BA4" s="133"/>
      <c r="BB4" s="133">
        <v>5211.60009259259</v>
      </c>
      <c r="BC4" s="133">
        <v>5216.60009259259</v>
      </c>
      <c r="BD4" s="133">
        <v>0</v>
      </c>
      <c r="BE4" s="133">
        <v>0</v>
      </c>
      <c r="BF4" s="133">
        <v>0</v>
      </c>
      <c r="BG4" s="133">
        <v>0</v>
      </c>
      <c r="BH4" s="133">
        <v>0</v>
      </c>
      <c r="BI4" s="133">
        <v>5336.89990740741</v>
      </c>
      <c r="BJ4" s="133">
        <v>0</v>
      </c>
      <c r="BK4" s="133">
        <v>0</v>
      </c>
      <c r="BL4" s="133">
        <v>0</v>
      </c>
      <c r="BM4" s="133">
        <v>0</v>
      </c>
      <c r="BN4" s="133">
        <v>0</v>
      </c>
      <c r="BO4" s="133">
        <v>0</v>
      </c>
      <c r="BP4" s="133">
        <v>0</v>
      </c>
      <c r="BQ4" s="133"/>
      <c r="BR4" s="133">
        <v>0</v>
      </c>
      <c r="BS4" s="133">
        <v>0</v>
      </c>
      <c r="BT4" s="133"/>
      <c r="BU4" s="133"/>
      <c r="BV4" s="133"/>
      <c r="BW4" s="133"/>
      <c r="BX4" s="133"/>
      <c r="BY4" s="133"/>
      <c r="BZ4" s="133">
        <v>0</v>
      </c>
      <c r="CA4" s="133">
        <v>0</v>
      </c>
      <c r="CB4" s="133"/>
      <c r="CC4" s="133"/>
      <c r="CD4" s="133"/>
      <c r="CE4" s="133"/>
      <c r="CF4" s="133"/>
      <c r="CG4" s="133"/>
      <c r="CH4" s="133"/>
      <c r="CI4" s="133"/>
      <c r="CJ4" s="133"/>
      <c r="CK4" s="133"/>
      <c r="CL4" s="133"/>
      <c r="CM4" s="133"/>
      <c r="CN4" s="133">
        <v>0</v>
      </c>
      <c r="CO4" s="133"/>
      <c r="CP4" s="133"/>
      <c r="CQ4" s="133">
        <v>0</v>
      </c>
      <c r="CR4" s="133">
        <v>0</v>
      </c>
      <c r="CS4" s="133">
        <v>0</v>
      </c>
      <c r="CT4" s="133">
        <v>0</v>
      </c>
      <c r="CU4" s="133">
        <v>0</v>
      </c>
      <c r="CV4" s="133">
        <v>0</v>
      </c>
      <c r="CW4" s="133">
        <v>5216.60009259259</v>
      </c>
      <c r="CX4" s="133">
        <v>5211.60009259259</v>
      </c>
      <c r="CY4" s="133">
        <v>5211.60009259259</v>
      </c>
      <c r="CZ4" s="133">
        <v>5211.60009259259</v>
      </c>
      <c r="DA4" s="133">
        <v>5216.60009259259</v>
      </c>
      <c r="DB4" s="133">
        <v>0</v>
      </c>
      <c r="DC4" s="133">
        <v>0</v>
      </c>
      <c r="DD4" s="133">
        <v>0</v>
      </c>
      <c r="DE4" s="133">
        <v>0</v>
      </c>
      <c r="DF4" s="133"/>
      <c r="DG4" s="133">
        <v>0</v>
      </c>
      <c r="DH4" s="133">
        <v>0</v>
      </c>
      <c r="DI4" s="133"/>
      <c r="DJ4" s="133">
        <v>0</v>
      </c>
      <c r="DK4" s="133"/>
      <c r="DL4" s="133"/>
      <c r="DM4" s="133"/>
      <c r="DN4" s="133"/>
      <c r="DO4" s="133"/>
      <c r="DP4" s="133">
        <v>0</v>
      </c>
      <c r="DQ4" s="133">
        <v>0</v>
      </c>
      <c r="DR4" s="133">
        <v>0</v>
      </c>
      <c r="DS4" s="133">
        <v>0</v>
      </c>
      <c r="DT4" s="133">
        <v>0</v>
      </c>
      <c r="DU4" s="133"/>
      <c r="DV4" s="133"/>
      <c r="DW4" s="133">
        <v>0</v>
      </c>
      <c r="DX4" s="133"/>
      <c r="DY4" s="133"/>
      <c r="DZ4" s="133"/>
      <c r="EA4" s="133">
        <v>5335.89990740741</v>
      </c>
      <c r="EB4" s="133"/>
      <c r="EC4" s="133">
        <v>0</v>
      </c>
      <c r="ED4" s="133">
        <v>0</v>
      </c>
      <c r="EE4" s="133"/>
      <c r="EF4" s="133">
        <v>0</v>
      </c>
      <c r="EG4" s="133">
        <v>0</v>
      </c>
      <c r="EH4" s="133"/>
      <c r="EI4" s="133"/>
      <c r="EJ4" s="133">
        <v>5216.60009259259</v>
      </c>
      <c r="EK4" s="133">
        <v>5216.60009259259</v>
      </c>
      <c r="EL4" s="133">
        <v>0</v>
      </c>
      <c r="EM4" s="133">
        <v>0</v>
      </c>
      <c r="EN4" s="133">
        <v>0</v>
      </c>
      <c r="EO4" s="133">
        <v>0</v>
      </c>
      <c r="EP4" s="133">
        <v>0</v>
      </c>
      <c r="EQ4" s="133"/>
      <c r="ER4" s="133"/>
      <c r="ES4" s="133"/>
      <c r="ET4" s="133"/>
      <c r="EU4" s="133">
        <v>0</v>
      </c>
      <c r="EV4" s="133">
        <v>5417.5</v>
      </c>
    </row>
    <row r="5" spans="1:152">
      <c r="A5" s="270" t="s">
        <v>87</v>
      </c>
      <c r="B5" s="133"/>
      <c r="C5" s="133"/>
      <c r="D5" s="133"/>
      <c r="E5" s="133"/>
      <c r="F5" s="133">
        <v>5417.5</v>
      </c>
      <c r="G5" s="133">
        <v>5211.60009259259</v>
      </c>
      <c r="H5" s="133">
        <v>5417.5</v>
      </c>
      <c r="I5" s="133">
        <v>5409.39990740741</v>
      </c>
      <c r="J5" s="133">
        <v>5417</v>
      </c>
      <c r="K5" s="133">
        <v>5416</v>
      </c>
      <c r="L5" s="133">
        <v>5416</v>
      </c>
      <c r="M5" s="133"/>
      <c r="N5" s="133"/>
      <c r="O5" s="133"/>
      <c r="P5" s="133">
        <v>0</v>
      </c>
      <c r="Q5" s="133">
        <v>0</v>
      </c>
      <c r="R5" s="133">
        <v>0</v>
      </c>
      <c r="S5" s="133">
        <v>0</v>
      </c>
      <c r="T5" s="133"/>
      <c r="U5" s="133">
        <v>5409.39990740741</v>
      </c>
      <c r="V5" s="133">
        <v>5409.39990740741</v>
      </c>
      <c r="W5" s="133"/>
      <c r="X5" s="133">
        <v>5409.39990740741</v>
      </c>
      <c r="Y5" s="133">
        <v>5336.89990740741</v>
      </c>
      <c r="Z5" s="133">
        <v>5336.89990740741</v>
      </c>
      <c r="AA5" s="133">
        <v>0</v>
      </c>
      <c r="AB5" s="133"/>
      <c r="AC5" s="133">
        <v>0</v>
      </c>
      <c r="AD5" s="133">
        <v>5336.89990740741</v>
      </c>
      <c r="AE5" s="133">
        <v>5336.89990740741</v>
      </c>
      <c r="AF5" s="133">
        <v>5336.89990740741</v>
      </c>
      <c r="AG5" s="133">
        <v>5336.89990740741</v>
      </c>
      <c r="AH5" s="133">
        <v>0</v>
      </c>
      <c r="AI5" s="133">
        <v>5216.60009259259</v>
      </c>
      <c r="AJ5" s="133">
        <v>5336.89990740741</v>
      </c>
      <c r="AK5" s="133"/>
      <c r="AL5" s="133">
        <v>5216.60009259259</v>
      </c>
      <c r="AM5" s="133">
        <v>5216.60009259259</v>
      </c>
      <c r="AN5" s="133">
        <v>5216.60009259259</v>
      </c>
      <c r="AO5" s="133">
        <v>5216.60009259259</v>
      </c>
      <c r="AP5" s="133">
        <v>5416</v>
      </c>
      <c r="AQ5" s="133">
        <v>5416</v>
      </c>
      <c r="AR5" s="133">
        <v>5216.60009259259</v>
      </c>
      <c r="AS5" s="133">
        <v>5216.60009259259</v>
      </c>
      <c r="AT5" s="133"/>
      <c r="AU5" s="133"/>
      <c r="AV5" s="133">
        <v>5216.60009259259</v>
      </c>
      <c r="AW5" s="133">
        <v>5216.60009259259</v>
      </c>
      <c r="AX5" s="133">
        <v>5216.60009259259</v>
      </c>
      <c r="AY5" s="133">
        <v>5216.60009259259</v>
      </c>
      <c r="AZ5" s="133"/>
      <c r="BA5" s="133"/>
      <c r="BB5" s="133">
        <v>5211.60009259259</v>
      </c>
      <c r="BC5" s="133">
        <v>5216.60009259259</v>
      </c>
      <c r="BD5" s="133">
        <v>0</v>
      </c>
      <c r="BE5" s="133">
        <v>0</v>
      </c>
      <c r="BF5" s="133">
        <v>0</v>
      </c>
      <c r="BG5" s="133">
        <v>0</v>
      </c>
      <c r="BH5" s="133">
        <v>0</v>
      </c>
      <c r="BI5" s="133">
        <v>0</v>
      </c>
      <c r="BJ5" s="133">
        <v>0</v>
      </c>
      <c r="BK5" s="133">
        <v>0</v>
      </c>
      <c r="BL5" s="133">
        <v>0</v>
      </c>
      <c r="BM5" s="133">
        <v>0</v>
      </c>
      <c r="BN5" s="133">
        <v>0</v>
      </c>
      <c r="BO5" s="133">
        <v>0</v>
      </c>
      <c r="BP5" s="133">
        <v>0</v>
      </c>
      <c r="BQ5" s="133"/>
      <c r="BR5" s="133">
        <v>0</v>
      </c>
      <c r="BS5" s="133">
        <v>0</v>
      </c>
      <c r="BT5" s="133"/>
      <c r="BU5" s="133"/>
      <c r="BV5" s="133"/>
      <c r="BW5" s="133"/>
      <c r="BX5" s="133"/>
      <c r="BY5" s="133"/>
      <c r="BZ5" s="133">
        <v>0</v>
      </c>
      <c r="CA5" s="133">
        <v>0</v>
      </c>
      <c r="CB5" s="133"/>
      <c r="CC5" s="133"/>
      <c r="CD5" s="133"/>
      <c r="CE5" s="133"/>
      <c r="CF5" s="133"/>
      <c r="CG5" s="133"/>
      <c r="CH5" s="133"/>
      <c r="CI5" s="133"/>
      <c r="CJ5" s="133"/>
      <c r="CK5" s="133"/>
      <c r="CL5" s="133"/>
      <c r="CM5" s="133"/>
      <c r="CN5" s="133">
        <v>0</v>
      </c>
      <c r="CO5" s="133"/>
      <c r="CP5" s="133"/>
      <c r="CQ5" s="133">
        <v>0</v>
      </c>
      <c r="CR5" s="133">
        <v>0</v>
      </c>
      <c r="CS5" s="133">
        <v>0</v>
      </c>
      <c r="CT5" s="133">
        <v>0</v>
      </c>
      <c r="CU5" s="133">
        <v>0</v>
      </c>
      <c r="CV5" s="133">
        <v>0</v>
      </c>
      <c r="CW5" s="133">
        <v>5216.60009259259</v>
      </c>
      <c r="CX5" s="133">
        <v>5211.60009259259</v>
      </c>
      <c r="CY5" s="133">
        <v>5211.60009259259</v>
      </c>
      <c r="CZ5" s="133">
        <v>5211.60009259259</v>
      </c>
      <c r="DA5" s="133">
        <v>5216.60009259259</v>
      </c>
      <c r="DB5" s="133">
        <v>0</v>
      </c>
      <c r="DC5" s="133">
        <v>0</v>
      </c>
      <c r="DD5" s="133">
        <v>0</v>
      </c>
      <c r="DE5" s="133">
        <v>0</v>
      </c>
      <c r="DF5" s="133"/>
      <c r="DG5" s="133">
        <v>0</v>
      </c>
      <c r="DH5" s="133">
        <v>0</v>
      </c>
      <c r="DI5" s="133"/>
      <c r="DJ5" s="133">
        <v>0</v>
      </c>
      <c r="DK5" s="133"/>
      <c r="DL5" s="133"/>
      <c r="DM5" s="133"/>
      <c r="DN5" s="133"/>
      <c r="DO5" s="133"/>
      <c r="DP5" s="133"/>
      <c r="DQ5" s="133"/>
      <c r="DR5" s="133"/>
      <c r="DS5" s="133"/>
      <c r="DT5" s="133"/>
      <c r="DU5" s="133"/>
      <c r="DV5" s="133"/>
      <c r="DW5" s="133"/>
      <c r="DX5" s="133"/>
      <c r="DY5" s="133"/>
      <c r="DZ5" s="133"/>
      <c r="EA5" s="133"/>
      <c r="EB5" s="133"/>
      <c r="EC5" s="133"/>
      <c r="ED5" s="133"/>
      <c r="EE5" s="133"/>
      <c r="EF5" s="133"/>
      <c r="EG5" s="133"/>
      <c r="EH5" s="133"/>
      <c r="EI5" s="133"/>
      <c r="EJ5" s="133"/>
      <c r="EK5" s="133"/>
      <c r="EL5" s="133"/>
      <c r="EM5" s="133"/>
      <c r="EN5" s="133"/>
      <c r="EO5" s="133"/>
      <c r="EP5" s="133"/>
      <c r="EQ5" s="133"/>
      <c r="ER5" s="133"/>
      <c r="ES5" s="133"/>
      <c r="ET5" s="133"/>
      <c r="EU5" s="133">
        <v>0</v>
      </c>
      <c r="EV5" s="133">
        <v>5417.5</v>
      </c>
    </row>
    <row r="6" spans="1:152">
      <c r="A6" s="270" t="s">
        <v>172</v>
      </c>
      <c r="B6" s="133"/>
      <c r="C6" s="133"/>
      <c r="D6" s="133"/>
      <c r="E6" s="133"/>
      <c r="F6" s="133"/>
      <c r="G6" s="133"/>
      <c r="H6" s="133"/>
      <c r="I6" s="133"/>
      <c r="J6" s="133"/>
      <c r="K6" s="133"/>
      <c r="L6" s="133"/>
      <c r="M6" s="133"/>
      <c r="N6" s="133"/>
      <c r="O6" s="133"/>
      <c r="P6" s="133"/>
      <c r="Q6" s="133"/>
      <c r="R6" s="133"/>
      <c r="S6" s="133"/>
      <c r="T6" s="133"/>
      <c r="U6" s="133"/>
      <c r="V6" s="133">
        <v>0</v>
      </c>
      <c r="W6" s="133"/>
      <c r="X6" s="133">
        <v>0</v>
      </c>
      <c r="Y6" s="133"/>
      <c r="Z6" s="133"/>
      <c r="AA6" s="133"/>
      <c r="AB6" s="133"/>
      <c r="AC6" s="133"/>
      <c r="AD6" s="133"/>
      <c r="AE6" s="133"/>
      <c r="AF6" s="133"/>
      <c r="AG6" s="133">
        <v>0</v>
      </c>
      <c r="AH6" s="133"/>
      <c r="AI6" s="133"/>
      <c r="AJ6" s="133"/>
      <c r="AK6" s="133">
        <v>0</v>
      </c>
      <c r="AL6" s="133">
        <v>0</v>
      </c>
      <c r="AM6" s="133">
        <v>0</v>
      </c>
      <c r="AN6" s="133"/>
      <c r="AO6" s="133"/>
      <c r="AP6" s="133"/>
      <c r="AQ6" s="133"/>
      <c r="AR6" s="133"/>
      <c r="AS6" s="133"/>
      <c r="AT6" s="133"/>
      <c r="AU6" s="133"/>
      <c r="AV6" s="133"/>
      <c r="AW6" s="133"/>
      <c r="AX6" s="133"/>
      <c r="AY6" s="133"/>
      <c r="AZ6" s="133"/>
      <c r="BA6" s="133"/>
      <c r="BB6" s="133"/>
      <c r="BC6" s="133"/>
      <c r="BD6" s="133"/>
      <c r="BE6" s="133"/>
      <c r="BF6" s="133"/>
      <c r="BG6" s="133"/>
      <c r="BH6" s="133"/>
      <c r="BI6" s="133"/>
      <c r="BJ6" s="133"/>
      <c r="BK6" s="133"/>
      <c r="BL6" s="133"/>
      <c r="BM6" s="133"/>
      <c r="BN6" s="133"/>
      <c r="BO6" s="133"/>
      <c r="BP6" s="133"/>
      <c r="BQ6" s="133"/>
      <c r="BR6" s="133"/>
      <c r="BS6" s="133"/>
      <c r="BT6" s="133"/>
      <c r="BU6" s="133"/>
      <c r="BV6" s="133"/>
      <c r="BW6" s="133"/>
      <c r="BX6" s="133"/>
      <c r="BY6" s="133"/>
      <c r="BZ6" s="133"/>
      <c r="CA6" s="133"/>
      <c r="CB6" s="133"/>
      <c r="CC6" s="133"/>
      <c r="CD6" s="133"/>
      <c r="CE6" s="133"/>
      <c r="CF6" s="133"/>
      <c r="CG6" s="133"/>
      <c r="CH6" s="133"/>
      <c r="CI6" s="133"/>
      <c r="CJ6" s="133"/>
      <c r="CK6" s="133"/>
      <c r="CL6" s="133"/>
      <c r="CM6" s="133"/>
      <c r="CN6" s="133"/>
      <c r="CO6" s="133"/>
      <c r="CP6" s="133"/>
      <c r="CQ6" s="133"/>
      <c r="CR6" s="133"/>
      <c r="CS6" s="133"/>
      <c r="CT6" s="133"/>
      <c r="CU6" s="133"/>
      <c r="CV6" s="133"/>
      <c r="CW6" s="133"/>
      <c r="CX6" s="133"/>
      <c r="CY6" s="133"/>
      <c r="CZ6" s="133"/>
      <c r="DA6" s="133"/>
      <c r="DB6" s="133"/>
      <c r="DC6" s="133"/>
      <c r="DD6" s="133"/>
      <c r="DE6" s="133"/>
      <c r="DF6" s="133"/>
      <c r="DG6" s="133"/>
      <c r="DH6" s="133"/>
      <c r="DI6" s="133"/>
      <c r="DJ6" s="133"/>
      <c r="DK6" s="133"/>
      <c r="DL6" s="133"/>
      <c r="DM6" s="133"/>
      <c r="DN6" s="133"/>
      <c r="DO6" s="133"/>
      <c r="DP6" s="133">
        <v>0</v>
      </c>
      <c r="DQ6" s="133">
        <v>0</v>
      </c>
      <c r="DR6" s="133">
        <v>0</v>
      </c>
      <c r="DS6" s="133">
        <v>0</v>
      </c>
      <c r="DT6" s="133">
        <v>0</v>
      </c>
      <c r="DU6" s="133"/>
      <c r="DV6" s="133"/>
      <c r="DW6" s="133"/>
      <c r="DX6" s="133"/>
      <c r="DY6" s="133"/>
      <c r="DZ6" s="133"/>
      <c r="EA6" s="133"/>
      <c r="EB6" s="133"/>
      <c r="EC6" s="133"/>
      <c r="ED6" s="133"/>
      <c r="EE6" s="133"/>
      <c r="EF6" s="133"/>
      <c r="EG6" s="133"/>
      <c r="EH6" s="133"/>
      <c r="EI6" s="133"/>
      <c r="EJ6" s="133"/>
      <c r="EK6" s="133"/>
      <c r="EL6" s="133"/>
      <c r="EM6" s="133"/>
      <c r="EN6" s="133"/>
      <c r="EO6" s="133"/>
      <c r="EP6" s="133"/>
      <c r="EQ6" s="133"/>
      <c r="ER6" s="133"/>
      <c r="ES6" s="133"/>
      <c r="ET6" s="133"/>
      <c r="EU6" s="133"/>
      <c r="EV6" s="133">
        <v>0</v>
      </c>
    </row>
    <row r="7" spans="1:152">
      <c r="A7" s="270" t="s">
        <v>173</v>
      </c>
      <c r="B7" s="133"/>
      <c r="C7" s="133"/>
      <c r="D7" s="133"/>
      <c r="E7" s="133"/>
      <c r="F7" s="133"/>
      <c r="G7" s="133"/>
      <c r="H7" s="133">
        <v>5335.89990740741</v>
      </c>
      <c r="I7" s="133"/>
      <c r="J7" s="133"/>
      <c r="K7" s="133"/>
      <c r="L7" s="133"/>
      <c r="M7" s="133"/>
      <c r="N7" s="133"/>
      <c r="O7" s="133"/>
      <c r="P7" s="133"/>
      <c r="Q7" s="133"/>
      <c r="R7" s="133"/>
      <c r="S7" s="133"/>
      <c r="T7" s="133"/>
      <c r="U7" s="133"/>
      <c r="V7" s="133"/>
      <c r="W7" s="133"/>
      <c r="X7" s="133"/>
      <c r="Y7" s="133"/>
      <c r="Z7" s="133"/>
      <c r="AA7" s="133"/>
      <c r="AB7" s="133"/>
      <c r="AC7" s="133"/>
      <c r="AD7" s="133"/>
      <c r="AE7" s="133"/>
      <c r="AF7" s="133"/>
      <c r="AG7" s="133"/>
      <c r="AH7" s="133"/>
      <c r="AI7" s="133"/>
      <c r="AJ7" s="133"/>
      <c r="AK7" s="133"/>
      <c r="AL7" s="133"/>
      <c r="AM7" s="133"/>
      <c r="AN7" s="133"/>
      <c r="AO7" s="133"/>
      <c r="AP7" s="133"/>
      <c r="AQ7" s="133"/>
      <c r="AR7" s="133"/>
      <c r="AS7" s="133"/>
      <c r="AT7" s="133"/>
      <c r="AU7" s="133"/>
      <c r="AV7" s="133"/>
      <c r="AW7" s="133"/>
      <c r="AX7" s="133"/>
      <c r="AY7" s="133"/>
      <c r="AZ7" s="133"/>
      <c r="BA7" s="133"/>
      <c r="BB7" s="133"/>
      <c r="BC7" s="133"/>
      <c r="BD7" s="133"/>
      <c r="BE7" s="133"/>
      <c r="BF7" s="133"/>
      <c r="BG7" s="133"/>
      <c r="BH7" s="133"/>
      <c r="BI7" s="133">
        <v>5336.89990740741</v>
      </c>
      <c r="BJ7" s="133"/>
      <c r="BK7" s="133"/>
      <c r="BL7" s="133"/>
      <c r="BM7" s="133"/>
      <c r="BN7" s="133"/>
      <c r="BO7" s="133"/>
      <c r="BP7" s="133"/>
      <c r="BQ7" s="133"/>
      <c r="BR7" s="133"/>
      <c r="BS7" s="133"/>
      <c r="BT7" s="133"/>
      <c r="BU7" s="133"/>
      <c r="BV7" s="133"/>
      <c r="BW7" s="133"/>
      <c r="BX7" s="133"/>
      <c r="BY7" s="133"/>
      <c r="BZ7" s="133"/>
      <c r="CA7" s="133"/>
      <c r="CB7" s="133"/>
      <c r="CC7" s="133"/>
      <c r="CD7" s="133"/>
      <c r="CE7" s="133"/>
      <c r="CF7" s="133"/>
      <c r="CG7" s="133"/>
      <c r="CH7" s="133"/>
      <c r="CI7" s="133"/>
      <c r="CJ7" s="133"/>
      <c r="CK7" s="133"/>
      <c r="CL7" s="133"/>
      <c r="CM7" s="133"/>
      <c r="CN7" s="133"/>
      <c r="CO7" s="133"/>
      <c r="CP7" s="133"/>
      <c r="CQ7" s="133"/>
      <c r="CR7" s="133"/>
      <c r="CS7" s="133"/>
      <c r="CT7" s="133"/>
      <c r="CU7" s="133"/>
      <c r="CV7" s="133"/>
      <c r="CW7" s="133"/>
      <c r="CX7" s="133"/>
      <c r="CY7" s="133"/>
      <c r="CZ7" s="133"/>
      <c r="DA7" s="133"/>
      <c r="DB7" s="133"/>
      <c r="DC7" s="133"/>
      <c r="DD7" s="133"/>
      <c r="DE7" s="133"/>
      <c r="DF7" s="133"/>
      <c r="DG7" s="133"/>
      <c r="DH7" s="133"/>
      <c r="DI7" s="133"/>
      <c r="DJ7" s="133"/>
      <c r="DK7" s="133"/>
      <c r="DL7" s="133"/>
      <c r="DM7" s="133"/>
      <c r="DN7" s="133"/>
      <c r="DO7" s="133"/>
      <c r="DP7" s="133"/>
      <c r="DQ7" s="133"/>
      <c r="DR7" s="133"/>
      <c r="DS7" s="133"/>
      <c r="DT7" s="133"/>
      <c r="DU7" s="133"/>
      <c r="DV7" s="133"/>
      <c r="DW7" s="133">
        <v>0</v>
      </c>
      <c r="DX7" s="133"/>
      <c r="DY7" s="133"/>
      <c r="DZ7" s="133"/>
      <c r="EA7" s="133">
        <v>5335.89990740741</v>
      </c>
      <c r="EB7" s="133"/>
      <c r="EC7" s="133">
        <v>0</v>
      </c>
      <c r="ED7" s="133">
        <v>0</v>
      </c>
      <c r="EE7" s="133"/>
      <c r="EF7" s="133">
        <v>0</v>
      </c>
      <c r="EG7" s="133">
        <v>0</v>
      </c>
      <c r="EH7" s="133"/>
      <c r="EI7" s="133"/>
      <c r="EJ7" s="133">
        <v>5216.60009259259</v>
      </c>
      <c r="EK7" s="133">
        <v>5216.60009259259</v>
      </c>
      <c r="EL7" s="133">
        <v>0</v>
      </c>
      <c r="EM7" s="133">
        <v>0</v>
      </c>
      <c r="EN7" s="133">
        <v>0</v>
      </c>
      <c r="EO7" s="133">
        <v>0</v>
      </c>
      <c r="EP7" s="133">
        <v>0</v>
      </c>
      <c r="EQ7" s="133"/>
      <c r="ER7" s="133"/>
      <c r="ES7" s="133"/>
      <c r="ET7" s="133"/>
      <c r="EU7" s="133"/>
      <c r="EV7" s="133">
        <v>5336.89990740741</v>
      </c>
    </row>
    <row r="8" spans="1:152">
      <c r="A8" s="269" t="s">
        <v>161</v>
      </c>
      <c r="B8" s="133"/>
      <c r="C8" s="133"/>
      <c r="D8" s="133">
        <v>7219</v>
      </c>
      <c r="E8" s="133">
        <v>0</v>
      </c>
      <c r="F8" s="133">
        <v>7232.10009259259</v>
      </c>
      <c r="G8" s="133">
        <v>6759.5</v>
      </c>
      <c r="H8" s="133">
        <v>7232.10009259259</v>
      </c>
      <c r="I8" s="133">
        <v>7219</v>
      </c>
      <c r="J8" s="133">
        <v>7232.10009259259</v>
      </c>
      <c r="K8" s="133">
        <v>7219</v>
      </c>
      <c r="L8" s="133">
        <v>7219</v>
      </c>
      <c r="M8" s="133"/>
      <c r="N8" s="133"/>
      <c r="O8" s="133"/>
      <c r="P8" s="133">
        <v>0</v>
      </c>
      <c r="Q8" s="133">
        <v>0</v>
      </c>
      <c r="R8" s="133">
        <v>0</v>
      </c>
      <c r="S8" s="133">
        <v>0</v>
      </c>
      <c r="T8" s="133"/>
      <c r="U8" s="133">
        <v>7194.89990740741</v>
      </c>
      <c r="V8" s="133">
        <v>7194.89990740741</v>
      </c>
      <c r="W8" s="133">
        <v>7194.89990740741</v>
      </c>
      <c r="X8" s="133">
        <v>7194.89990740741</v>
      </c>
      <c r="Y8" s="133">
        <v>7126</v>
      </c>
      <c r="Z8" s="133">
        <v>7126</v>
      </c>
      <c r="AA8" s="133">
        <v>0</v>
      </c>
      <c r="AB8" s="133"/>
      <c r="AC8" s="133">
        <v>0</v>
      </c>
      <c r="AD8" s="133">
        <v>7126</v>
      </c>
      <c r="AE8" s="133">
        <v>7126</v>
      </c>
      <c r="AF8" s="133"/>
      <c r="AG8" s="133">
        <v>7126</v>
      </c>
      <c r="AH8" s="133">
        <v>0</v>
      </c>
      <c r="AI8" s="133">
        <v>7001</v>
      </c>
      <c r="AJ8" s="133">
        <v>7126</v>
      </c>
      <c r="AK8" s="133"/>
      <c r="AL8" s="133">
        <v>6759.5</v>
      </c>
      <c r="AM8" s="133">
        <v>6759.5</v>
      </c>
      <c r="AN8" s="133">
        <v>7001</v>
      </c>
      <c r="AO8" s="133">
        <v>7001</v>
      </c>
      <c r="AP8" s="133">
        <v>7126</v>
      </c>
      <c r="AQ8" s="133">
        <v>7001</v>
      </c>
      <c r="AR8" s="133">
        <v>7001</v>
      </c>
      <c r="AS8" s="133">
        <v>7001</v>
      </c>
      <c r="AT8" s="133">
        <v>7001</v>
      </c>
      <c r="AU8" s="133">
        <v>7001</v>
      </c>
      <c r="AV8" s="133">
        <v>7001</v>
      </c>
      <c r="AW8" s="133">
        <v>7001</v>
      </c>
      <c r="AX8" s="133">
        <v>7001</v>
      </c>
      <c r="AY8" s="133">
        <v>7001</v>
      </c>
      <c r="AZ8" s="133"/>
      <c r="BA8" s="133"/>
      <c r="BB8" s="133">
        <v>6759.5</v>
      </c>
      <c r="BC8" s="133">
        <v>7001</v>
      </c>
      <c r="BD8" s="133">
        <v>0</v>
      </c>
      <c r="BE8" s="133">
        <v>0</v>
      </c>
      <c r="BF8" s="133">
        <v>0</v>
      </c>
      <c r="BG8" s="133">
        <v>0</v>
      </c>
      <c r="BH8" s="133">
        <v>0</v>
      </c>
      <c r="BI8" s="133">
        <v>7126</v>
      </c>
      <c r="BJ8" s="133">
        <v>0</v>
      </c>
      <c r="BK8" s="133">
        <v>0</v>
      </c>
      <c r="BL8" s="133"/>
      <c r="BM8" s="133">
        <v>0</v>
      </c>
      <c r="BN8" s="133">
        <v>0</v>
      </c>
      <c r="BO8" s="133">
        <v>0</v>
      </c>
      <c r="BP8" s="133">
        <v>0</v>
      </c>
      <c r="BQ8" s="133"/>
      <c r="BR8" s="133">
        <v>0</v>
      </c>
      <c r="BS8" s="133">
        <v>0</v>
      </c>
      <c r="BT8" s="133"/>
      <c r="BU8" s="133"/>
      <c r="BV8" s="133"/>
      <c r="BW8" s="133"/>
      <c r="BX8" s="133"/>
      <c r="BY8" s="133"/>
      <c r="BZ8" s="133"/>
      <c r="CA8" s="133"/>
      <c r="CB8" s="133"/>
      <c r="CC8" s="133"/>
      <c r="CD8" s="133"/>
      <c r="CE8" s="133"/>
      <c r="CF8" s="133"/>
      <c r="CG8" s="133"/>
      <c r="CH8" s="133"/>
      <c r="CI8" s="133"/>
      <c r="CJ8" s="133"/>
      <c r="CK8" s="133"/>
      <c r="CL8" s="133"/>
      <c r="CM8" s="133"/>
      <c r="CN8" s="133"/>
      <c r="CO8" s="133"/>
      <c r="CP8" s="133"/>
      <c r="CQ8" s="133"/>
      <c r="CR8" s="133"/>
      <c r="CS8" s="133"/>
      <c r="CT8" s="133">
        <v>0</v>
      </c>
      <c r="CU8" s="133"/>
      <c r="CV8" s="133"/>
      <c r="CW8" s="133">
        <v>7001</v>
      </c>
      <c r="CX8" s="133">
        <v>6759.5</v>
      </c>
      <c r="CY8" s="133">
        <v>6759.5</v>
      </c>
      <c r="CZ8" s="133">
        <v>6759.5</v>
      </c>
      <c r="DA8" s="133">
        <v>7001</v>
      </c>
      <c r="DB8" s="133"/>
      <c r="DC8" s="133"/>
      <c r="DD8" s="133"/>
      <c r="DE8" s="133">
        <v>0</v>
      </c>
      <c r="DF8" s="133">
        <v>0</v>
      </c>
      <c r="DG8" s="133">
        <v>0</v>
      </c>
      <c r="DH8" s="133">
        <v>0</v>
      </c>
      <c r="DI8" s="133"/>
      <c r="DJ8" s="133">
        <v>0</v>
      </c>
      <c r="DK8" s="133"/>
      <c r="DL8" s="133"/>
      <c r="DM8" s="133">
        <v>0</v>
      </c>
      <c r="DN8" s="133">
        <v>0</v>
      </c>
      <c r="DO8" s="133">
        <v>0</v>
      </c>
      <c r="DP8" s="133">
        <v>0</v>
      </c>
      <c r="DQ8" s="133">
        <v>0</v>
      </c>
      <c r="DR8" s="133"/>
      <c r="DS8" s="133">
        <v>0</v>
      </c>
      <c r="DT8" s="133">
        <v>0</v>
      </c>
      <c r="DU8" s="133">
        <v>0</v>
      </c>
      <c r="DV8" s="133"/>
      <c r="DW8" s="133">
        <v>0</v>
      </c>
      <c r="DX8" s="133"/>
      <c r="DY8" s="133">
        <v>0</v>
      </c>
      <c r="DZ8" s="133">
        <v>0</v>
      </c>
      <c r="EA8" s="133">
        <v>7126</v>
      </c>
      <c r="EB8" s="133">
        <v>0</v>
      </c>
      <c r="EC8" s="133">
        <v>0</v>
      </c>
      <c r="ED8" s="133">
        <v>0</v>
      </c>
      <c r="EE8" s="133">
        <v>0</v>
      </c>
      <c r="EF8" s="133">
        <v>0</v>
      </c>
      <c r="EG8" s="133">
        <v>0</v>
      </c>
      <c r="EH8" s="133"/>
      <c r="EI8" s="133"/>
      <c r="EJ8" s="133">
        <v>7001</v>
      </c>
      <c r="EK8" s="133">
        <v>6759.5</v>
      </c>
      <c r="EL8" s="133">
        <v>0</v>
      </c>
      <c r="EM8" s="133"/>
      <c r="EN8" s="133"/>
      <c r="EO8" s="133"/>
      <c r="EP8" s="133"/>
      <c r="EQ8" s="133"/>
      <c r="ER8" s="133"/>
      <c r="ES8" s="133">
        <v>7232.10009259259</v>
      </c>
      <c r="ET8" s="133"/>
      <c r="EU8" s="133"/>
      <c r="EV8" s="133">
        <v>7232.10009259259</v>
      </c>
    </row>
    <row r="9" spans="1:152">
      <c r="A9" s="270" t="s">
        <v>87</v>
      </c>
      <c r="B9" s="133"/>
      <c r="C9" s="133"/>
      <c r="D9" s="133">
        <v>7219</v>
      </c>
      <c r="E9" s="133"/>
      <c r="F9" s="133">
        <v>7232.10009259259</v>
      </c>
      <c r="G9" s="133">
        <v>6759.5</v>
      </c>
      <c r="H9" s="133">
        <v>7232.10009259259</v>
      </c>
      <c r="I9" s="133">
        <v>7219</v>
      </c>
      <c r="J9" s="133">
        <v>7232.10009259259</v>
      </c>
      <c r="K9" s="133">
        <v>7219</v>
      </c>
      <c r="L9" s="133">
        <v>7219</v>
      </c>
      <c r="M9" s="133"/>
      <c r="N9" s="133"/>
      <c r="O9" s="133"/>
      <c r="P9" s="133">
        <v>0</v>
      </c>
      <c r="Q9" s="133">
        <v>0</v>
      </c>
      <c r="R9" s="133">
        <v>0</v>
      </c>
      <c r="S9" s="133">
        <v>0</v>
      </c>
      <c r="T9" s="133"/>
      <c r="U9" s="133">
        <v>7194.89990740741</v>
      </c>
      <c r="V9" s="133">
        <v>7194.89990740741</v>
      </c>
      <c r="W9" s="133">
        <v>7194.89990740741</v>
      </c>
      <c r="X9" s="133">
        <v>7194.89990740741</v>
      </c>
      <c r="Y9" s="133">
        <v>7126</v>
      </c>
      <c r="Z9" s="133">
        <v>7126</v>
      </c>
      <c r="AA9" s="133">
        <v>0</v>
      </c>
      <c r="AB9" s="133"/>
      <c r="AC9" s="133">
        <v>0</v>
      </c>
      <c r="AD9" s="133">
        <v>7126</v>
      </c>
      <c r="AE9" s="133">
        <v>7126</v>
      </c>
      <c r="AF9" s="133"/>
      <c r="AG9" s="133">
        <v>7126</v>
      </c>
      <c r="AH9" s="133">
        <v>0</v>
      </c>
      <c r="AI9" s="133">
        <v>7001</v>
      </c>
      <c r="AJ9" s="133">
        <v>7126</v>
      </c>
      <c r="AK9" s="133"/>
      <c r="AL9" s="133">
        <v>6759.5</v>
      </c>
      <c r="AM9" s="133">
        <v>6759.5</v>
      </c>
      <c r="AN9" s="133">
        <v>7001</v>
      </c>
      <c r="AO9" s="133">
        <v>7001</v>
      </c>
      <c r="AP9" s="133">
        <v>7126</v>
      </c>
      <c r="AQ9" s="133">
        <v>7001</v>
      </c>
      <c r="AR9" s="133">
        <v>7001</v>
      </c>
      <c r="AS9" s="133">
        <v>7001</v>
      </c>
      <c r="AT9" s="133">
        <v>7001</v>
      </c>
      <c r="AU9" s="133">
        <v>7001</v>
      </c>
      <c r="AV9" s="133">
        <v>7001</v>
      </c>
      <c r="AW9" s="133">
        <v>7001</v>
      </c>
      <c r="AX9" s="133">
        <v>7001</v>
      </c>
      <c r="AY9" s="133">
        <v>7001</v>
      </c>
      <c r="AZ9" s="133"/>
      <c r="BA9" s="133"/>
      <c r="BB9" s="133">
        <v>6759.5</v>
      </c>
      <c r="BC9" s="133">
        <v>7001</v>
      </c>
      <c r="BD9" s="133">
        <v>0</v>
      </c>
      <c r="BE9" s="133">
        <v>0</v>
      </c>
      <c r="BF9" s="133">
        <v>0</v>
      </c>
      <c r="BG9" s="133">
        <v>0</v>
      </c>
      <c r="BH9" s="133">
        <v>0</v>
      </c>
      <c r="BI9" s="133">
        <v>0</v>
      </c>
      <c r="BJ9" s="133">
        <v>0</v>
      </c>
      <c r="BK9" s="133">
        <v>0</v>
      </c>
      <c r="BL9" s="133"/>
      <c r="BM9" s="133">
        <v>0</v>
      </c>
      <c r="BN9" s="133">
        <v>0</v>
      </c>
      <c r="BO9" s="133">
        <v>0</v>
      </c>
      <c r="BP9" s="133">
        <v>0</v>
      </c>
      <c r="BQ9" s="133"/>
      <c r="BR9" s="133">
        <v>0</v>
      </c>
      <c r="BS9" s="133">
        <v>0</v>
      </c>
      <c r="BT9" s="133"/>
      <c r="BU9" s="133"/>
      <c r="BV9" s="133"/>
      <c r="BW9" s="133"/>
      <c r="BX9" s="133"/>
      <c r="BY9" s="133"/>
      <c r="BZ9" s="133"/>
      <c r="CA9" s="133"/>
      <c r="CB9" s="133"/>
      <c r="CC9" s="133"/>
      <c r="CD9" s="133"/>
      <c r="CE9" s="133"/>
      <c r="CF9" s="133"/>
      <c r="CG9" s="133"/>
      <c r="CH9" s="133"/>
      <c r="CI9" s="133"/>
      <c r="CJ9" s="133"/>
      <c r="CK9" s="133"/>
      <c r="CL9" s="133"/>
      <c r="CM9" s="133"/>
      <c r="CN9" s="133"/>
      <c r="CO9" s="133"/>
      <c r="CP9" s="133"/>
      <c r="CQ9" s="133"/>
      <c r="CR9" s="133"/>
      <c r="CS9" s="133"/>
      <c r="CT9" s="133">
        <v>0</v>
      </c>
      <c r="CU9" s="133"/>
      <c r="CV9" s="133"/>
      <c r="CW9" s="133">
        <v>7001</v>
      </c>
      <c r="CX9" s="133">
        <v>6759.5</v>
      </c>
      <c r="CY9" s="133">
        <v>6759.5</v>
      </c>
      <c r="CZ9" s="133">
        <v>6759.5</v>
      </c>
      <c r="DA9" s="133">
        <v>7001</v>
      </c>
      <c r="DB9" s="133"/>
      <c r="DC9" s="133"/>
      <c r="DD9" s="133"/>
      <c r="DE9" s="133">
        <v>0</v>
      </c>
      <c r="DF9" s="133">
        <v>0</v>
      </c>
      <c r="DG9" s="133">
        <v>0</v>
      </c>
      <c r="DH9" s="133">
        <v>0</v>
      </c>
      <c r="DI9" s="133"/>
      <c r="DJ9" s="133">
        <v>0</v>
      </c>
      <c r="DK9" s="133"/>
      <c r="DL9" s="133"/>
      <c r="DM9" s="133"/>
      <c r="DN9" s="133"/>
      <c r="DO9" s="133"/>
      <c r="DP9" s="133"/>
      <c r="DQ9" s="133"/>
      <c r="DR9" s="133"/>
      <c r="DS9" s="133"/>
      <c r="DT9" s="133"/>
      <c r="DU9" s="133"/>
      <c r="DV9" s="133"/>
      <c r="DW9" s="133"/>
      <c r="DX9" s="133"/>
      <c r="DY9" s="133"/>
      <c r="DZ9" s="133"/>
      <c r="EA9" s="133"/>
      <c r="EB9" s="133"/>
      <c r="EC9" s="133"/>
      <c r="ED9" s="133"/>
      <c r="EE9" s="133"/>
      <c r="EF9" s="133"/>
      <c r="EG9" s="133"/>
      <c r="EH9" s="133"/>
      <c r="EI9" s="133"/>
      <c r="EJ9" s="133"/>
      <c r="EK9" s="133"/>
      <c r="EL9" s="133"/>
      <c r="EM9" s="133"/>
      <c r="EN9" s="133"/>
      <c r="EO9" s="133"/>
      <c r="EP9" s="133"/>
      <c r="EQ9" s="133"/>
      <c r="ER9" s="133"/>
      <c r="ES9" s="133"/>
      <c r="ET9" s="133"/>
      <c r="EU9" s="133"/>
      <c r="EV9" s="133">
        <v>7232.10009259259</v>
      </c>
    </row>
    <row r="10" spans="1:152">
      <c r="A10" s="270" t="s">
        <v>172</v>
      </c>
      <c r="B10" s="133"/>
      <c r="C10" s="133"/>
      <c r="D10" s="133"/>
      <c r="E10" s="133">
        <v>0</v>
      </c>
      <c r="F10" s="133"/>
      <c r="G10" s="133"/>
      <c r="H10" s="133"/>
      <c r="I10" s="133"/>
      <c r="J10" s="133"/>
      <c r="K10" s="133"/>
      <c r="L10" s="133"/>
      <c r="M10" s="133"/>
      <c r="N10" s="133"/>
      <c r="O10" s="133"/>
      <c r="P10" s="133">
        <v>0</v>
      </c>
      <c r="Q10" s="133">
        <v>0</v>
      </c>
      <c r="R10" s="133"/>
      <c r="S10" s="133"/>
      <c r="T10" s="133"/>
      <c r="U10" s="133"/>
      <c r="V10" s="133">
        <v>0</v>
      </c>
      <c r="W10" s="133"/>
      <c r="X10" s="133"/>
      <c r="Y10" s="133"/>
      <c r="Z10" s="133"/>
      <c r="AA10" s="133"/>
      <c r="AB10" s="133"/>
      <c r="AC10" s="133"/>
      <c r="AD10" s="133"/>
      <c r="AE10" s="133"/>
      <c r="AF10" s="133"/>
      <c r="AG10" s="133"/>
      <c r="AH10" s="133"/>
      <c r="AI10" s="133"/>
      <c r="AJ10" s="133"/>
      <c r="AK10" s="133"/>
      <c r="AL10" s="133">
        <v>0</v>
      </c>
      <c r="AM10" s="133">
        <v>0</v>
      </c>
      <c r="AN10" s="133"/>
      <c r="AO10" s="133"/>
      <c r="AP10" s="133"/>
      <c r="AQ10" s="133"/>
      <c r="AR10" s="133"/>
      <c r="AS10" s="133"/>
      <c r="AT10" s="133"/>
      <c r="AU10" s="133"/>
      <c r="AV10" s="133"/>
      <c r="AW10" s="133"/>
      <c r="AX10" s="133"/>
      <c r="AY10" s="133"/>
      <c r="AZ10" s="133"/>
      <c r="BA10" s="133"/>
      <c r="BB10" s="133"/>
      <c r="BC10" s="133"/>
      <c r="BD10" s="133"/>
      <c r="BE10" s="133"/>
      <c r="BF10" s="133"/>
      <c r="BG10" s="133"/>
      <c r="BH10" s="133"/>
      <c r="BI10" s="133"/>
      <c r="BJ10" s="133"/>
      <c r="BK10" s="133"/>
      <c r="BL10" s="133"/>
      <c r="BM10" s="133"/>
      <c r="BN10" s="133"/>
      <c r="BO10" s="133"/>
      <c r="BP10" s="133"/>
      <c r="BQ10" s="133"/>
      <c r="BR10" s="133"/>
      <c r="BS10" s="133"/>
      <c r="BT10" s="133"/>
      <c r="BU10" s="133"/>
      <c r="BV10" s="133"/>
      <c r="BW10" s="133"/>
      <c r="BX10" s="133"/>
      <c r="BY10" s="133"/>
      <c r="BZ10" s="133"/>
      <c r="CA10" s="133"/>
      <c r="CB10" s="133"/>
      <c r="CC10" s="133"/>
      <c r="CD10" s="133"/>
      <c r="CE10" s="133"/>
      <c r="CF10" s="133"/>
      <c r="CG10" s="133"/>
      <c r="CH10" s="133"/>
      <c r="CI10" s="133"/>
      <c r="CJ10" s="133"/>
      <c r="CK10" s="133"/>
      <c r="CL10" s="133"/>
      <c r="CM10" s="133"/>
      <c r="CN10" s="133"/>
      <c r="CO10" s="133"/>
      <c r="CP10" s="133"/>
      <c r="CQ10" s="133"/>
      <c r="CR10" s="133"/>
      <c r="CS10" s="133"/>
      <c r="CT10" s="133"/>
      <c r="CU10" s="133"/>
      <c r="CV10" s="133"/>
      <c r="CW10" s="133"/>
      <c r="CX10" s="133"/>
      <c r="CY10" s="133"/>
      <c r="CZ10" s="133"/>
      <c r="DA10" s="133"/>
      <c r="DB10" s="133"/>
      <c r="DC10" s="133"/>
      <c r="DD10" s="133"/>
      <c r="DE10" s="133"/>
      <c r="DF10" s="133"/>
      <c r="DG10" s="133"/>
      <c r="DH10" s="133"/>
      <c r="DI10" s="133"/>
      <c r="DJ10" s="133"/>
      <c r="DK10" s="133"/>
      <c r="DL10" s="133"/>
      <c r="DM10" s="133">
        <v>0</v>
      </c>
      <c r="DN10" s="133">
        <v>0</v>
      </c>
      <c r="DO10" s="133">
        <v>0</v>
      </c>
      <c r="DP10" s="133">
        <v>0</v>
      </c>
      <c r="DQ10" s="133">
        <v>0</v>
      </c>
      <c r="DR10" s="133"/>
      <c r="DS10" s="133">
        <v>0</v>
      </c>
      <c r="DT10" s="133">
        <v>0</v>
      </c>
      <c r="DU10" s="133">
        <v>0</v>
      </c>
      <c r="DV10" s="133"/>
      <c r="DW10" s="133">
        <v>0</v>
      </c>
      <c r="DX10" s="133"/>
      <c r="DY10" s="133">
        <v>0</v>
      </c>
      <c r="DZ10" s="133">
        <v>0</v>
      </c>
      <c r="EA10" s="133"/>
      <c r="EB10" s="133"/>
      <c r="EC10" s="133"/>
      <c r="ED10" s="133"/>
      <c r="EE10" s="133"/>
      <c r="EF10" s="133"/>
      <c r="EG10" s="133"/>
      <c r="EH10" s="133"/>
      <c r="EI10" s="133"/>
      <c r="EJ10" s="133"/>
      <c r="EK10" s="133"/>
      <c r="EL10" s="133"/>
      <c r="EM10" s="133"/>
      <c r="EN10" s="133"/>
      <c r="EO10" s="133"/>
      <c r="EP10" s="133"/>
      <c r="EQ10" s="133"/>
      <c r="ER10" s="133"/>
      <c r="ES10" s="133">
        <v>7232.10009259259</v>
      </c>
      <c r="ET10" s="133"/>
      <c r="EU10" s="133"/>
      <c r="EV10" s="133">
        <v>7232.10009259259</v>
      </c>
    </row>
    <row r="11" spans="1:152">
      <c r="A11" s="270" t="s">
        <v>173</v>
      </c>
      <c r="B11" s="133"/>
      <c r="C11" s="133"/>
      <c r="D11" s="133"/>
      <c r="E11" s="133"/>
      <c r="F11" s="133"/>
      <c r="G11" s="133"/>
      <c r="H11" s="133">
        <v>7126</v>
      </c>
      <c r="I11" s="133"/>
      <c r="J11" s="133"/>
      <c r="K11" s="133"/>
      <c r="L11" s="133"/>
      <c r="M11" s="133"/>
      <c r="N11" s="133"/>
      <c r="O11" s="133"/>
      <c r="P11" s="133"/>
      <c r="Q11" s="133"/>
      <c r="R11" s="133"/>
      <c r="S11" s="133"/>
      <c r="T11" s="133"/>
      <c r="U11" s="133"/>
      <c r="V11" s="133"/>
      <c r="W11" s="133"/>
      <c r="X11" s="133"/>
      <c r="Y11" s="133"/>
      <c r="Z11" s="133"/>
      <c r="AA11" s="133"/>
      <c r="AB11" s="133"/>
      <c r="AC11" s="133"/>
      <c r="AD11" s="133"/>
      <c r="AE11" s="133"/>
      <c r="AF11" s="133"/>
      <c r="AG11" s="133"/>
      <c r="AH11" s="133"/>
      <c r="AI11" s="133"/>
      <c r="AJ11" s="133"/>
      <c r="AK11" s="133"/>
      <c r="AL11" s="133"/>
      <c r="AM11" s="133"/>
      <c r="AN11" s="133"/>
      <c r="AO11" s="133"/>
      <c r="AP11" s="133"/>
      <c r="AQ11" s="133"/>
      <c r="AR11" s="133"/>
      <c r="AS11" s="133"/>
      <c r="AT11" s="133"/>
      <c r="AU11" s="133"/>
      <c r="AV11" s="133"/>
      <c r="AW11" s="133"/>
      <c r="AX11" s="133"/>
      <c r="AY11" s="133"/>
      <c r="AZ11" s="133"/>
      <c r="BA11" s="133"/>
      <c r="BB11" s="133"/>
      <c r="BC11" s="133"/>
      <c r="BD11" s="133"/>
      <c r="BE11" s="133"/>
      <c r="BF11" s="133"/>
      <c r="BG11" s="133"/>
      <c r="BH11" s="133"/>
      <c r="BI11" s="133">
        <v>7126</v>
      </c>
      <c r="BJ11" s="133"/>
      <c r="BK11" s="133"/>
      <c r="BL11" s="133"/>
      <c r="BM11" s="133"/>
      <c r="BN11" s="133"/>
      <c r="BO11" s="133"/>
      <c r="BP11" s="133"/>
      <c r="BQ11" s="133"/>
      <c r="BR11" s="133"/>
      <c r="BS11" s="133"/>
      <c r="BT11" s="133"/>
      <c r="BU11" s="133"/>
      <c r="BV11" s="133"/>
      <c r="BW11" s="133"/>
      <c r="BX11" s="133"/>
      <c r="BY11" s="133"/>
      <c r="BZ11" s="133"/>
      <c r="CA11" s="133"/>
      <c r="CB11" s="133"/>
      <c r="CC11" s="133"/>
      <c r="CD11" s="133"/>
      <c r="CE11" s="133"/>
      <c r="CF11" s="133"/>
      <c r="CG11" s="133"/>
      <c r="CH11" s="133"/>
      <c r="CI11" s="133"/>
      <c r="CJ11" s="133"/>
      <c r="CK11" s="133"/>
      <c r="CL11" s="133"/>
      <c r="CM11" s="133"/>
      <c r="CN11" s="133"/>
      <c r="CO11" s="133"/>
      <c r="CP11" s="133"/>
      <c r="CQ11" s="133"/>
      <c r="CR11" s="133"/>
      <c r="CS11" s="133"/>
      <c r="CT11" s="133"/>
      <c r="CU11" s="133"/>
      <c r="CV11" s="133"/>
      <c r="CW11" s="133"/>
      <c r="CX11" s="133"/>
      <c r="CY11" s="133"/>
      <c r="CZ11" s="133"/>
      <c r="DA11" s="133"/>
      <c r="DB11" s="133"/>
      <c r="DC11" s="133"/>
      <c r="DD11" s="133"/>
      <c r="DE11" s="133"/>
      <c r="DF11" s="133"/>
      <c r="DG11" s="133"/>
      <c r="DH11" s="133"/>
      <c r="DI11" s="133"/>
      <c r="DJ11" s="133"/>
      <c r="DK11" s="133"/>
      <c r="DL11" s="133"/>
      <c r="DM11" s="133"/>
      <c r="DN11" s="133"/>
      <c r="DO11" s="133"/>
      <c r="DP11" s="133"/>
      <c r="DQ11" s="133"/>
      <c r="DR11" s="133"/>
      <c r="DS11" s="133"/>
      <c r="DT11" s="133"/>
      <c r="DU11" s="133"/>
      <c r="DV11" s="133"/>
      <c r="DW11" s="133">
        <v>0</v>
      </c>
      <c r="DX11" s="133"/>
      <c r="DY11" s="133"/>
      <c r="DZ11" s="133"/>
      <c r="EA11" s="133">
        <v>7126</v>
      </c>
      <c r="EB11" s="133">
        <v>0</v>
      </c>
      <c r="EC11" s="133">
        <v>0</v>
      </c>
      <c r="ED11" s="133">
        <v>0</v>
      </c>
      <c r="EE11" s="133">
        <v>0</v>
      </c>
      <c r="EF11" s="133">
        <v>0</v>
      </c>
      <c r="EG11" s="133">
        <v>0</v>
      </c>
      <c r="EH11" s="133"/>
      <c r="EI11" s="133"/>
      <c r="EJ11" s="133">
        <v>7001</v>
      </c>
      <c r="EK11" s="133">
        <v>6759.5</v>
      </c>
      <c r="EL11" s="133">
        <v>0</v>
      </c>
      <c r="EM11" s="133"/>
      <c r="EN11" s="133"/>
      <c r="EO11" s="133"/>
      <c r="EP11" s="133"/>
      <c r="EQ11" s="133"/>
      <c r="ER11" s="133"/>
      <c r="ES11" s="133"/>
      <c r="ET11" s="133"/>
      <c r="EU11" s="133"/>
      <c r="EV11" s="133">
        <v>7126</v>
      </c>
    </row>
    <row r="12" spans="1:152">
      <c r="A12" s="269" t="s">
        <v>165</v>
      </c>
      <c r="B12" s="133"/>
      <c r="C12" s="133"/>
      <c r="D12" s="133"/>
      <c r="E12" s="133">
        <v>0</v>
      </c>
      <c r="F12" s="133">
        <v>7809.39990740741</v>
      </c>
      <c r="G12" s="133">
        <v>7458.7001967592596</v>
      </c>
      <c r="H12" s="133">
        <v>7809.39990740741</v>
      </c>
      <c r="I12" s="133">
        <v>7776.5</v>
      </c>
      <c r="J12" s="133">
        <v>7796.39990740741</v>
      </c>
      <c r="K12" s="133">
        <v>7779.10009259259</v>
      </c>
      <c r="L12" s="133">
        <v>7779.10009259259</v>
      </c>
      <c r="M12" s="133">
        <v>7779.10009259259</v>
      </c>
      <c r="N12" s="133">
        <v>7749.89990740741</v>
      </c>
      <c r="O12" s="133"/>
      <c r="P12" s="133">
        <v>0</v>
      </c>
      <c r="Q12" s="133">
        <v>0</v>
      </c>
      <c r="R12" s="133">
        <v>0</v>
      </c>
      <c r="S12" s="133">
        <v>0</v>
      </c>
      <c r="T12" s="133"/>
      <c r="U12" s="133">
        <v>7787.2001967592596</v>
      </c>
      <c r="V12" s="133">
        <v>7787.2001967592596</v>
      </c>
      <c r="W12" s="133"/>
      <c r="X12" s="133">
        <v>7787.2001967592596</v>
      </c>
      <c r="Y12" s="133">
        <v>7703.7001967592596</v>
      </c>
      <c r="Z12" s="133">
        <v>7703.7001967592596</v>
      </c>
      <c r="AA12" s="133">
        <v>0</v>
      </c>
      <c r="AB12" s="133">
        <v>7749.89990740741</v>
      </c>
      <c r="AC12" s="133">
        <v>0</v>
      </c>
      <c r="AD12" s="133">
        <v>7703.7001967592596</v>
      </c>
      <c r="AE12" s="133">
        <v>7703.7001967592596</v>
      </c>
      <c r="AF12" s="133">
        <v>7703.7001967592596</v>
      </c>
      <c r="AG12" s="133">
        <v>7703.7001967592596</v>
      </c>
      <c r="AH12" s="133">
        <v>0</v>
      </c>
      <c r="AI12" s="133">
        <v>7703.7001967592596</v>
      </c>
      <c r="AJ12" s="133">
        <v>7703.7001967592596</v>
      </c>
      <c r="AK12" s="133">
        <v>7703.2001967592596</v>
      </c>
      <c r="AL12" s="133">
        <v>7458.7001967592596</v>
      </c>
      <c r="AM12" s="133">
        <v>7458.7001967592596</v>
      </c>
      <c r="AN12" s="133">
        <v>7703.7001967592596</v>
      </c>
      <c r="AO12" s="133">
        <v>7703.7001967592596</v>
      </c>
      <c r="AP12" s="133">
        <v>7749.89990740741</v>
      </c>
      <c r="AQ12" s="133">
        <v>7749.89990740741</v>
      </c>
      <c r="AR12" s="133">
        <v>7703.7001967592596</v>
      </c>
      <c r="AS12" s="133">
        <v>7703.7001967592596</v>
      </c>
      <c r="AT12" s="133"/>
      <c r="AU12" s="133"/>
      <c r="AV12" s="133">
        <v>7703.7001967592596</v>
      </c>
      <c r="AW12" s="133">
        <v>7703.7001967592596</v>
      </c>
      <c r="AX12" s="133">
        <v>7703.7001967592596</v>
      </c>
      <c r="AY12" s="133">
        <v>7703.7001967592596</v>
      </c>
      <c r="AZ12" s="133"/>
      <c r="BA12" s="133"/>
      <c r="BB12" s="133">
        <v>7458.7001967592596</v>
      </c>
      <c r="BC12" s="133">
        <v>7703.7001967592596</v>
      </c>
      <c r="BD12" s="133">
        <v>0</v>
      </c>
      <c r="BE12" s="133">
        <v>0</v>
      </c>
      <c r="BF12" s="133">
        <v>0</v>
      </c>
      <c r="BG12" s="133">
        <v>0</v>
      </c>
      <c r="BH12" s="133">
        <v>0</v>
      </c>
      <c r="BI12" s="133">
        <v>7703.7001967592596</v>
      </c>
      <c r="BJ12" s="133">
        <v>0</v>
      </c>
      <c r="BK12" s="133">
        <v>0</v>
      </c>
      <c r="BL12" s="133">
        <v>0</v>
      </c>
      <c r="BM12" s="133">
        <v>0</v>
      </c>
      <c r="BN12" s="133">
        <v>0</v>
      </c>
      <c r="BO12" s="133">
        <v>0</v>
      </c>
      <c r="BP12" s="133">
        <v>0</v>
      </c>
      <c r="BQ12" s="133"/>
      <c r="BR12" s="133"/>
      <c r="BS12" s="133">
        <v>0</v>
      </c>
      <c r="BT12" s="133">
        <v>0</v>
      </c>
      <c r="BU12" s="133">
        <v>0</v>
      </c>
      <c r="BV12" s="133">
        <v>0</v>
      </c>
      <c r="BW12" s="133">
        <v>0</v>
      </c>
      <c r="BX12" s="133">
        <v>0</v>
      </c>
      <c r="BY12" s="133">
        <v>0</v>
      </c>
      <c r="BZ12" s="133"/>
      <c r="CA12" s="133"/>
      <c r="CB12" s="133"/>
      <c r="CC12" s="133"/>
      <c r="CD12" s="133"/>
      <c r="CE12" s="133"/>
      <c r="CF12" s="133"/>
      <c r="CG12" s="133"/>
      <c r="CH12" s="133">
        <v>0</v>
      </c>
      <c r="CI12" s="133"/>
      <c r="CJ12" s="133"/>
      <c r="CK12" s="133"/>
      <c r="CL12" s="133">
        <v>0</v>
      </c>
      <c r="CM12" s="133"/>
      <c r="CN12" s="133"/>
      <c r="CO12" s="133"/>
      <c r="CP12" s="133"/>
      <c r="CQ12" s="133"/>
      <c r="CR12" s="133"/>
      <c r="CS12" s="133">
        <v>0</v>
      </c>
      <c r="CT12" s="133">
        <v>0</v>
      </c>
      <c r="CU12" s="133"/>
      <c r="CV12" s="133"/>
      <c r="CW12" s="133">
        <v>7703.7001967592596</v>
      </c>
      <c r="CX12" s="133">
        <v>7458.7001967592596</v>
      </c>
      <c r="CY12" s="133">
        <v>7458.7001967592596</v>
      </c>
      <c r="CZ12" s="133">
        <v>7458.7001967592596</v>
      </c>
      <c r="DA12" s="133">
        <v>7703.7001967592596</v>
      </c>
      <c r="DB12" s="133">
        <v>0</v>
      </c>
      <c r="DC12" s="133"/>
      <c r="DD12" s="133"/>
      <c r="DE12" s="133">
        <v>0</v>
      </c>
      <c r="DF12" s="133"/>
      <c r="DG12" s="133">
        <v>0</v>
      </c>
      <c r="DH12" s="133">
        <v>0</v>
      </c>
      <c r="DI12" s="133">
        <v>0</v>
      </c>
      <c r="DJ12" s="133">
        <v>0</v>
      </c>
      <c r="DK12" s="133"/>
      <c r="DL12" s="133"/>
      <c r="DM12" s="133">
        <v>0</v>
      </c>
      <c r="DN12" s="133">
        <v>0</v>
      </c>
      <c r="DO12" s="133"/>
      <c r="DP12" s="133">
        <v>0</v>
      </c>
      <c r="DQ12" s="133">
        <v>0</v>
      </c>
      <c r="DR12" s="133"/>
      <c r="DS12" s="133">
        <v>0</v>
      </c>
      <c r="DT12" s="133">
        <v>0</v>
      </c>
      <c r="DU12" s="133"/>
      <c r="DV12" s="133"/>
      <c r="DW12" s="133">
        <v>0</v>
      </c>
      <c r="DX12" s="133">
        <v>0</v>
      </c>
      <c r="DY12" s="133"/>
      <c r="DZ12" s="133">
        <v>0</v>
      </c>
      <c r="EA12" s="133">
        <v>7703.7001967592596</v>
      </c>
      <c r="EB12" s="133">
        <v>0</v>
      </c>
      <c r="EC12" s="133">
        <v>0</v>
      </c>
      <c r="ED12" s="133">
        <v>0</v>
      </c>
      <c r="EE12" s="133">
        <v>0</v>
      </c>
      <c r="EF12" s="133">
        <v>0</v>
      </c>
      <c r="EG12" s="133">
        <v>0</v>
      </c>
      <c r="EH12" s="133"/>
      <c r="EI12" s="133"/>
      <c r="EJ12" s="133">
        <v>7703.7001967592596</v>
      </c>
      <c r="EK12" s="133">
        <v>7458.7001967592596</v>
      </c>
      <c r="EL12" s="133"/>
      <c r="EM12" s="133"/>
      <c r="EN12" s="133"/>
      <c r="EO12" s="133"/>
      <c r="EP12" s="133"/>
      <c r="EQ12" s="133"/>
      <c r="ER12" s="133"/>
      <c r="ES12" s="133"/>
      <c r="ET12" s="133"/>
      <c r="EU12" s="133">
        <v>0</v>
      </c>
      <c r="EV12" s="133">
        <v>7809.39990740741</v>
      </c>
    </row>
    <row r="13" spans="1:152">
      <c r="A13" s="270" t="s">
        <v>87</v>
      </c>
      <c r="B13" s="133"/>
      <c r="C13" s="133"/>
      <c r="D13" s="133"/>
      <c r="E13" s="133"/>
      <c r="F13" s="133">
        <v>7809.39990740741</v>
      </c>
      <c r="G13" s="133">
        <v>7458.7001967592596</v>
      </c>
      <c r="H13" s="133">
        <v>7809.39990740741</v>
      </c>
      <c r="I13" s="133">
        <v>7776.5</v>
      </c>
      <c r="J13" s="133">
        <v>7796.39990740741</v>
      </c>
      <c r="K13" s="133">
        <v>7779.10009259259</v>
      </c>
      <c r="L13" s="133">
        <v>7779.10009259259</v>
      </c>
      <c r="M13" s="133">
        <v>7779.10009259259</v>
      </c>
      <c r="N13" s="133">
        <v>7749.89990740741</v>
      </c>
      <c r="O13" s="133"/>
      <c r="P13" s="133">
        <v>0</v>
      </c>
      <c r="Q13" s="133">
        <v>0</v>
      </c>
      <c r="R13" s="133">
        <v>0</v>
      </c>
      <c r="S13" s="133">
        <v>0</v>
      </c>
      <c r="T13" s="133"/>
      <c r="U13" s="133">
        <v>7787.2001967592596</v>
      </c>
      <c r="V13" s="133">
        <v>7787.2001967592596</v>
      </c>
      <c r="W13" s="133"/>
      <c r="X13" s="133">
        <v>7787.2001967592596</v>
      </c>
      <c r="Y13" s="133">
        <v>7703.7001967592596</v>
      </c>
      <c r="Z13" s="133">
        <v>7703.7001967592596</v>
      </c>
      <c r="AA13" s="133">
        <v>0</v>
      </c>
      <c r="AB13" s="133">
        <v>7749.89990740741</v>
      </c>
      <c r="AC13" s="133">
        <v>0</v>
      </c>
      <c r="AD13" s="133">
        <v>7703.7001967592596</v>
      </c>
      <c r="AE13" s="133">
        <v>7703.7001967592596</v>
      </c>
      <c r="AF13" s="133">
        <v>7703.7001967592596</v>
      </c>
      <c r="AG13" s="133">
        <v>7703.7001967592596</v>
      </c>
      <c r="AH13" s="133">
        <v>0</v>
      </c>
      <c r="AI13" s="133">
        <v>7703.7001967592596</v>
      </c>
      <c r="AJ13" s="133">
        <v>7703.7001967592596</v>
      </c>
      <c r="AK13" s="133">
        <v>7703.2001967592596</v>
      </c>
      <c r="AL13" s="133">
        <v>7458.7001967592596</v>
      </c>
      <c r="AM13" s="133">
        <v>7458.7001967592596</v>
      </c>
      <c r="AN13" s="133">
        <v>7703.7001967592596</v>
      </c>
      <c r="AO13" s="133">
        <v>7703.7001967592596</v>
      </c>
      <c r="AP13" s="133">
        <v>7749.89990740741</v>
      </c>
      <c r="AQ13" s="133">
        <v>7749.89990740741</v>
      </c>
      <c r="AR13" s="133">
        <v>7703.7001967592596</v>
      </c>
      <c r="AS13" s="133">
        <v>7703.7001967592596</v>
      </c>
      <c r="AT13" s="133"/>
      <c r="AU13" s="133"/>
      <c r="AV13" s="133">
        <v>7703.7001967592596</v>
      </c>
      <c r="AW13" s="133">
        <v>7703.7001967592596</v>
      </c>
      <c r="AX13" s="133">
        <v>7703.7001967592596</v>
      </c>
      <c r="AY13" s="133">
        <v>7703.7001967592596</v>
      </c>
      <c r="AZ13" s="133"/>
      <c r="BA13" s="133"/>
      <c r="BB13" s="133">
        <v>7458.7001967592596</v>
      </c>
      <c r="BC13" s="133">
        <v>7703.7001967592596</v>
      </c>
      <c r="BD13" s="133">
        <v>0</v>
      </c>
      <c r="BE13" s="133">
        <v>0</v>
      </c>
      <c r="BF13" s="133">
        <v>0</v>
      </c>
      <c r="BG13" s="133">
        <v>0</v>
      </c>
      <c r="BH13" s="133">
        <v>0</v>
      </c>
      <c r="BI13" s="133">
        <v>0</v>
      </c>
      <c r="BJ13" s="133">
        <v>0</v>
      </c>
      <c r="BK13" s="133">
        <v>0</v>
      </c>
      <c r="BL13" s="133">
        <v>0</v>
      </c>
      <c r="BM13" s="133">
        <v>0</v>
      </c>
      <c r="BN13" s="133">
        <v>0</v>
      </c>
      <c r="BO13" s="133">
        <v>0</v>
      </c>
      <c r="BP13" s="133">
        <v>0</v>
      </c>
      <c r="BQ13" s="133"/>
      <c r="BR13" s="133"/>
      <c r="BS13" s="133">
        <v>0</v>
      </c>
      <c r="BT13" s="133">
        <v>0</v>
      </c>
      <c r="BU13" s="133">
        <v>0</v>
      </c>
      <c r="BV13" s="133">
        <v>0</v>
      </c>
      <c r="BW13" s="133">
        <v>0</v>
      </c>
      <c r="BX13" s="133">
        <v>0</v>
      </c>
      <c r="BY13" s="133">
        <v>0</v>
      </c>
      <c r="BZ13" s="133"/>
      <c r="CA13" s="133"/>
      <c r="CB13" s="133"/>
      <c r="CC13" s="133"/>
      <c r="CD13" s="133"/>
      <c r="CE13" s="133"/>
      <c r="CF13" s="133"/>
      <c r="CG13" s="133"/>
      <c r="CH13" s="133">
        <v>0</v>
      </c>
      <c r="CI13" s="133"/>
      <c r="CJ13" s="133"/>
      <c r="CK13" s="133"/>
      <c r="CL13" s="133">
        <v>0</v>
      </c>
      <c r="CM13" s="133"/>
      <c r="CN13" s="133"/>
      <c r="CO13" s="133"/>
      <c r="CP13" s="133"/>
      <c r="CQ13" s="133"/>
      <c r="CR13" s="133"/>
      <c r="CS13" s="133">
        <v>0</v>
      </c>
      <c r="CT13" s="133">
        <v>0</v>
      </c>
      <c r="CU13" s="133"/>
      <c r="CV13" s="133"/>
      <c r="CW13" s="133">
        <v>7703.7001967592596</v>
      </c>
      <c r="CX13" s="133">
        <v>7458.7001967592596</v>
      </c>
      <c r="CY13" s="133">
        <v>7458.7001967592596</v>
      </c>
      <c r="CZ13" s="133">
        <v>7458.7001967592596</v>
      </c>
      <c r="DA13" s="133">
        <v>7703.7001967592596</v>
      </c>
      <c r="DB13" s="133">
        <v>0</v>
      </c>
      <c r="DC13" s="133"/>
      <c r="DD13" s="133"/>
      <c r="DE13" s="133">
        <v>0</v>
      </c>
      <c r="DF13" s="133"/>
      <c r="DG13" s="133">
        <v>0</v>
      </c>
      <c r="DH13" s="133">
        <v>0</v>
      </c>
      <c r="DI13" s="133">
        <v>0</v>
      </c>
      <c r="DJ13" s="133">
        <v>0</v>
      </c>
      <c r="DK13" s="133"/>
      <c r="DL13" s="133"/>
      <c r="DM13" s="133"/>
      <c r="DN13" s="133"/>
      <c r="DO13" s="133"/>
      <c r="DP13" s="133"/>
      <c r="DQ13" s="133"/>
      <c r="DR13" s="133"/>
      <c r="DS13" s="133"/>
      <c r="DT13" s="133"/>
      <c r="DU13" s="133"/>
      <c r="DV13" s="133"/>
      <c r="DW13" s="133"/>
      <c r="DX13" s="133"/>
      <c r="DY13" s="133"/>
      <c r="DZ13" s="133"/>
      <c r="EA13" s="133"/>
      <c r="EB13" s="133"/>
      <c r="EC13" s="133"/>
      <c r="ED13" s="133"/>
      <c r="EE13" s="133"/>
      <c r="EF13" s="133"/>
      <c r="EG13" s="133"/>
      <c r="EH13" s="133"/>
      <c r="EI13" s="133"/>
      <c r="EJ13" s="133"/>
      <c r="EK13" s="133"/>
      <c r="EL13" s="133"/>
      <c r="EM13" s="133"/>
      <c r="EN13" s="133"/>
      <c r="EO13" s="133"/>
      <c r="EP13" s="133"/>
      <c r="EQ13" s="133"/>
      <c r="ER13" s="133"/>
      <c r="ES13" s="133"/>
      <c r="ET13" s="133"/>
      <c r="EU13" s="133">
        <v>0</v>
      </c>
      <c r="EV13" s="133">
        <v>7809.39990740741</v>
      </c>
    </row>
    <row r="14" spans="1:152">
      <c r="A14" s="270" t="s">
        <v>172</v>
      </c>
      <c r="B14" s="133"/>
      <c r="C14" s="133"/>
      <c r="D14" s="133"/>
      <c r="E14" s="133">
        <v>0</v>
      </c>
      <c r="F14" s="133"/>
      <c r="G14" s="133"/>
      <c r="H14" s="133"/>
      <c r="I14" s="133"/>
      <c r="J14" s="133"/>
      <c r="K14" s="133"/>
      <c r="L14" s="133"/>
      <c r="M14" s="133"/>
      <c r="N14" s="133"/>
      <c r="O14" s="133"/>
      <c r="P14" s="133">
        <v>0</v>
      </c>
      <c r="Q14" s="133"/>
      <c r="R14" s="133"/>
      <c r="S14" s="133"/>
      <c r="T14" s="133"/>
      <c r="U14" s="133"/>
      <c r="V14" s="133">
        <v>0</v>
      </c>
      <c r="W14" s="133"/>
      <c r="X14" s="133">
        <v>0</v>
      </c>
      <c r="Y14" s="133"/>
      <c r="Z14" s="133"/>
      <c r="AA14" s="133"/>
      <c r="AB14" s="133"/>
      <c r="AC14" s="133"/>
      <c r="AD14" s="133"/>
      <c r="AE14" s="133"/>
      <c r="AF14" s="133"/>
      <c r="AG14" s="133"/>
      <c r="AH14" s="133"/>
      <c r="AI14" s="133"/>
      <c r="AJ14" s="133"/>
      <c r="AK14" s="133"/>
      <c r="AL14" s="133"/>
      <c r="AM14" s="133"/>
      <c r="AN14" s="133"/>
      <c r="AO14" s="133"/>
      <c r="AP14" s="133"/>
      <c r="AQ14" s="133"/>
      <c r="AR14" s="133"/>
      <c r="AS14" s="133"/>
      <c r="AT14" s="133"/>
      <c r="AU14" s="133"/>
      <c r="AV14" s="133"/>
      <c r="AW14" s="133"/>
      <c r="AX14" s="133"/>
      <c r="AY14" s="133"/>
      <c r="AZ14" s="133"/>
      <c r="BA14" s="133"/>
      <c r="BB14" s="133"/>
      <c r="BC14" s="133"/>
      <c r="BD14" s="133"/>
      <c r="BE14" s="133"/>
      <c r="BF14" s="133"/>
      <c r="BG14" s="133"/>
      <c r="BH14" s="133"/>
      <c r="BI14" s="133"/>
      <c r="BJ14" s="133"/>
      <c r="BK14" s="133"/>
      <c r="BL14" s="133"/>
      <c r="BM14" s="133"/>
      <c r="BN14" s="133"/>
      <c r="BO14" s="133"/>
      <c r="BP14" s="133"/>
      <c r="BQ14" s="133"/>
      <c r="BR14" s="133"/>
      <c r="BS14" s="133"/>
      <c r="BT14" s="133"/>
      <c r="BU14" s="133"/>
      <c r="BV14" s="133"/>
      <c r="BW14" s="133"/>
      <c r="BX14" s="133"/>
      <c r="BY14" s="133"/>
      <c r="BZ14" s="133"/>
      <c r="CA14" s="133"/>
      <c r="CB14" s="133"/>
      <c r="CC14" s="133"/>
      <c r="CD14" s="133"/>
      <c r="CE14" s="133"/>
      <c r="CF14" s="133"/>
      <c r="CG14" s="133"/>
      <c r="CH14" s="133"/>
      <c r="CI14" s="133"/>
      <c r="CJ14" s="133"/>
      <c r="CK14" s="133"/>
      <c r="CL14" s="133"/>
      <c r="CM14" s="133"/>
      <c r="CN14" s="133"/>
      <c r="CO14" s="133"/>
      <c r="CP14" s="133"/>
      <c r="CQ14" s="133"/>
      <c r="CR14" s="133"/>
      <c r="CS14" s="133"/>
      <c r="CT14" s="133"/>
      <c r="CU14" s="133"/>
      <c r="CV14" s="133"/>
      <c r="CW14" s="133"/>
      <c r="CX14" s="133"/>
      <c r="CY14" s="133"/>
      <c r="CZ14" s="133"/>
      <c r="DA14" s="133"/>
      <c r="DB14" s="133"/>
      <c r="DC14" s="133"/>
      <c r="DD14" s="133"/>
      <c r="DE14" s="133"/>
      <c r="DF14" s="133"/>
      <c r="DG14" s="133"/>
      <c r="DH14" s="133"/>
      <c r="DI14" s="133"/>
      <c r="DJ14" s="133"/>
      <c r="DK14" s="133"/>
      <c r="DL14" s="133"/>
      <c r="DM14" s="133">
        <v>0</v>
      </c>
      <c r="DN14" s="133">
        <v>0</v>
      </c>
      <c r="DO14" s="133"/>
      <c r="DP14" s="133">
        <v>0</v>
      </c>
      <c r="DQ14" s="133">
        <v>0</v>
      </c>
      <c r="DR14" s="133"/>
      <c r="DS14" s="133">
        <v>0</v>
      </c>
      <c r="DT14" s="133">
        <v>0</v>
      </c>
      <c r="DU14" s="133"/>
      <c r="DV14" s="133"/>
      <c r="DW14" s="133"/>
      <c r="DX14" s="133">
        <v>0</v>
      </c>
      <c r="DY14" s="133"/>
      <c r="DZ14" s="133">
        <v>0</v>
      </c>
      <c r="EA14" s="133"/>
      <c r="EB14" s="133"/>
      <c r="EC14" s="133"/>
      <c r="ED14" s="133"/>
      <c r="EE14" s="133"/>
      <c r="EF14" s="133"/>
      <c r="EG14" s="133"/>
      <c r="EH14" s="133"/>
      <c r="EI14" s="133"/>
      <c r="EJ14" s="133"/>
      <c r="EK14" s="133"/>
      <c r="EL14" s="133"/>
      <c r="EM14" s="133"/>
      <c r="EN14" s="133"/>
      <c r="EO14" s="133"/>
      <c r="EP14" s="133"/>
      <c r="EQ14" s="133"/>
      <c r="ER14" s="133"/>
      <c r="ES14" s="133"/>
      <c r="ET14" s="133"/>
      <c r="EU14" s="133"/>
      <c r="EV14" s="133">
        <v>0</v>
      </c>
    </row>
    <row r="15" spans="1:152">
      <c r="A15" s="270" t="s">
        <v>173</v>
      </c>
      <c r="B15" s="133"/>
      <c r="C15" s="133"/>
      <c r="D15" s="133"/>
      <c r="E15" s="133"/>
      <c r="F15" s="133"/>
      <c r="G15" s="133"/>
      <c r="H15" s="133">
        <v>7703.7001967592596</v>
      </c>
      <c r="I15" s="133"/>
      <c r="J15" s="133"/>
      <c r="K15" s="133"/>
      <c r="L15" s="133"/>
      <c r="M15" s="133"/>
      <c r="N15" s="133"/>
      <c r="O15" s="133"/>
      <c r="P15" s="133"/>
      <c r="Q15" s="133"/>
      <c r="R15" s="133"/>
      <c r="S15" s="133"/>
      <c r="T15" s="133"/>
      <c r="U15" s="133"/>
      <c r="V15" s="133"/>
      <c r="W15" s="133"/>
      <c r="X15" s="133"/>
      <c r="Y15" s="133"/>
      <c r="Z15" s="133"/>
      <c r="AA15" s="133"/>
      <c r="AB15" s="133"/>
      <c r="AC15" s="133"/>
      <c r="AD15" s="133"/>
      <c r="AE15" s="133"/>
      <c r="AF15" s="133"/>
      <c r="AG15" s="133"/>
      <c r="AH15" s="133"/>
      <c r="AI15" s="133"/>
      <c r="AJ15" s="133"/>
      <c r="AK15" s="133"/>
      <c r="AL15" s="133"/>
      <c r="AM15" s="133"/>
      <c r="AN15" s="133"/>
      <c r="AO15" s="133"/>
      <c r="AP15" s="133"/>
      <c r="AQ15" s="133"/>
      <c r="AR15" s="133"/>
      <c r="AS15" s="133"/>
      <c r="AT15" s="133"/>
      <c r="AU15" s="133"/>
      <c r="AV15" s="133"/>
      <c r="AW15" s="133"/>
      <c r="AX15" s="133"/>
      <c r="AY15" s="133"/>
      <c r="AZ15" s="133"/>
      <c r="BA15" s="133"/>
      <c r="BB15" s="133"/>
      <c r="BC15" s="133"/>
      <c r="BD15" s="133"/>
      <c r="BE15" s="133"/>
      <c r="BF15" s="133"/>
      <c r="BG15" s="133"/>
      <c r="BH15" s="133"/>
      <c r="BI15" s="133">
        <v>7703.7001967592596</v>
      </c>
      <c r="BJ15" s="133"/>
      <c r="BK15" s="133"/>
      <c r="BL15" s="133"/>
      <c r="BM15" s="133"/>
      <c r="BN15" s="133"/>
      <c r="BO15" s="133"/>
      <c r="BP15" s="133"/>
      <c r="BQ15" s="133"/>
      <c r="BR15" s="133"/>
      <c r="BS15" s="133"/>
      <c r="BT15" s="133"/>
      <c r="BU15" s="133"/>
      <c r="BV15" s="133"/>
      <c r="BW15" s="133"/>
      <c r="BX15" s="133"/>
      <c r="BY15" s="133"/>
      <c r="BZ15" s="133"/>
      <c r="CA15" s="133"/>
      <c r="CB15" s="133"/>
      <c r="CC15" s="133"/>
      <c r="CD15" s="133"/>
      <c r="CE15" s="133"/>
      <c r="CF15" s="133"/>
      <c r="CG15" s="133"/>
      <c r="CH15" s="133"/>
      <c r="CI15" s="133"/>
      <c r="CJ15" s="133"/>
      <c r="CK15" s="133"/>
      <c r="CL15" s="133"/>
      <c r="CM15" s="133"/>
      <c r="CN15" s="133"/>
      <c r="CO15" s="133"/>
      <c r="CP15" s="133"/>
      <c r="CQ15" s="133"/>
      <c r="CR15" s="133"/>
      <c r="CS15" s="133"/>
      <c r="CT15" s="133"/>
      <c r="CU15" s="133"/>
      <c r="CV15" s="133"/>
      <c r="CW15" s="133"/>
      <c r="CX15" s="133"/>
      <c r="CY15" s="133"/>
      <c r="CZ15" s="133"/>
      <c r="DA15" s="133"/>
      <c r="DB15" s="133"/>
      <c r="DC15" s="133"/>
      <c r="DD15" s="133"/>
      <c r="DE15" s="133"/>
      <c r="DF15" s="133"/>
      <c r="DG15" s="133"/>
      <c r="DH15" s="133"/>
      <c r="DI15" s="133"/>
      <c r="DJ15" s="133"/>
      <c r="DK15" s="133"/>
      <c r="DL15" s="133"/>
      <c r="DM15" s="133"/>
      <c r="DN15" s="133"/>
      <c r="DO15" s="133"/>
      <c r="DP15" s="133"/>
      <c r="DQ15" s="133"/>
      <c r="DR15" s="133"/>
      <c r="DS15" s="133"/>
      <c r="DT15" s="133"/>
      <c r="DU15" s="133"/>
      <c r="DV15" s="133"/>
      <c r="DW15" s="133">
        <v>0</v>
      </c>
      <c r="DX15" s="133"/>
      <c r="DY15" s="133"/>
      <c r="DZ15" s="133"/>
      <c r="EA15" s="133">
        <v>7703.7001967592596</v>
      </c>
      <c r="EB15" s="133">
        <v>0</v>
      </c>
      <c r="EC15" s="133">
        <v>0</v>
      </c>
      <c r="ED15" s="133">
        <v>0</v>
      </c>
      <c r="EE15" s="133">
        <v>0</v>
      </c>
      <c r="EF15" s="133">
        <v>0</v>
      </c>
      <c r="EG15" s="133">
        <v>0</v>
      </c>
      <c r="EH15" s="133"/>
      <c r="EI15" s="133"/>
      <c r="EJ15" s="133">
        <v>7703.7001967592596</v>
      </c>
      <c r="EK15" s="133">
        <v>7458.7001967592596</v>
      </c>
      <c r="EL15" s="133"/>
      <c r="EM15" s="133"/>
      <c r="EN15" s="133"/>
      <c r="EO15" s="133"/>
      <c r="EP15" s="133"/>
      <c r="EQ15" s="133"/>
      <c r="ER15" s="133"/>
      <c r="ES15" s="133"/>
      <c r="ET15" s="133"/>
      <c r="EU15" s="133"/>
      <c r="EV15" s="133">
        <v>7703.7001967592596</v>
      </c>
    </row>
    <row r="16" spans="1:152">
      <c r="A16" s="269" t="s">
        <v>148</v>
      </c>
      <c r="B16" s="133"/>
      <c r="C16" s="133">
        <v>0</v>
      </c>
      <c r="D16" s="133"/>
      <c r="E16" s="133">
        <v>0</v>
      </c>
      <c r="F16" s="133">
        <v>6766.2001967592596</v>
      </c>
      <c r="G16" s="133">
        <v>6461.39990740741</v>
      </c>
      <c r="H16" s="133">
        <v>6766.2001967592596</v>
      </c>
      <c r="I16" s="133">
        <v>6745.2998032407404</v>
      </c>
      <c r="J16" s="133">
        <v>6766.2001967592596</v>
      </c>
      <c r="K16" s="133"/>
      <c r="L16" s="133">
        <v>6745.2998032407404</v>
      </c>
      <c r="M16" s="133"/>
      <c r="N16" s="133"/>
      <c r="O16" s="133"/>
      <c r="P16" s="133">
        <v>0</v>
      </c>
      <c r="Q16" s="133">
        <v>0</v>
      </c>
      <c r="R16" s="133">
        <v>0</v>
      </c>
      <c r="S16" s="133">
        <v>0</v>
      </c>
      <c r="T16" s="133"/>
      <c r="U16" s="133">
        <v>6747.2998032407404</v>
      </c>
      <c r="V16" s="133">
        <v>6747.2998032407404</v>
      </c>
      <c r="W16" s="133"/>
      <c r="X16" s="133">
        <v>6747.2998032407404</v>
      </c>
      <c r="Y16" s="133">
        <v>6703.39990740741</v>
      </c>
      <c r="Z16" s="133">
        <v>6703.39990740741</v>
      </c>
      <c r="AA16" s="133">
        <v>0</v>
      </c>
      <c r="AB16" s="133"/>
      <c r="AC16" s="133">
        <v>0</v>
      </c>
      <c r="AD16" s="133">
        <v>6703.39990740741</v>
      </c>
      <c r="AE16" s="133">
        <v>6703.39990740741</v>
      </c>
      <c r="AF16" s="133">
        <v>6703.39990740741</v>
      </c>
      <c r="AG16" s="133">
        <v>6703.39990740741</v>
      </c>
      <c r="AH16" s="133">
        <v>0</v>
      </c>
      <c r="AI16" s="133">
        <v>6703.39990740741</v>
      </c>
      <c r="AJ16" s="133">
        <v>6703.39990740741</v>
      </c>
      <c r="AK16" s="133"/>
      <c r="AL16" s="133">
        <v>6461.39990740741</v>
      </c>
      <c r="AM16" s="133">
        <v>6461.39990740741</v>
      </c>
      <c r="AN16" s="133">
        <v>6703.39990740741</v>
      </c>
      <c r="AO16" s="133">
        <v>6703.39990740741</v>
      </c>
      <c r="AP16" s="133">
        <v>6703.39990740741</v>
      </c>
      <c r="AQ16" s="133">
        <v>6703.39990740741</v>
      </c>
      <c r="AR16" s="133">
        <v>6703.39990740741</v>
      </c>
      <c r="AS16" s="133">
        <v>6703.39990740741</v>
      </c>
      <c r="AT16" s="133"/>
      <c r="AU16" s="133"/>
      <c r="AV16" s="133">
        <v>6703.39990740741</v>
      </c>
      <c r="AW16" s="133">
        <v>6703.39990740741</v>
      </c>
      <c r="AX16" s="133">
        <v>6703.39990740741</v>
      </c>
      <c r="AY16" s="133">
        <v>6703.39990740741</v>
      </c>
      <c r="AZ16" s="133">
        <v>0</v>
      </c>
      <c r="BA16" s="133">
        <v>0</v>
      </c>
      <c r="BB16" s="133">
        <v>6461.39990740741</v>
      </c>
      <c r="BC16" s="133">
        <v>6703.39990740741</v>
      </c>
      <c r="BD16" s="133">
        <v>0</v>
      </c>
      <c r="BE16" s="133">
        <v>0</v>
      </c>
      <c r="BF16" s="133">
        <v>0</v>
      </c>
      <c r="BG16" s="133">
        <v>0</v>
      </c>
      <c r="BH16" s="133">
        <v>0</v>
      </c>
      <c r="BI16" s="133">
        <v>6703.39990740741</v>
      </c>
      <c r="BJ16" s="133">
        <v>0</v>
      </c>
      <c r="BK16" s="133">
        <v>0</v>
      </c>
      <c r="BL16" s="133">
        <v>0</v>
      </c>
      <c r="BM16" s="133">
        <v>0</v>
      </c>
      <c r="BN16" s="133">
        <v>0</v>
      </c>
      <c r="BO16" s="133">
        <v>0</v>
      </c>
      <c r="BP16" s="133">
        <v>0</v>
      </c>
      <c r="BQ16" s="133"/>
      <c r="BR16" s="133"/>
      <c r="BS16" s="133"/>
      <c r="BT16" s="133"/>
      <c r="BU16" s="133"/>
      <c r="BV16" s="133"/>
      <c r="BW16" s="133"/>
      <c r="BX16" s="133"/>
      <c r="BY16" s="133"/>
      <c r="BZ16" s="133"/>
      <c r="CA16" s="133"/>
      <c r="CB16" s="133"/>
      <c r="CC16" s="133"/>
      <c r="CD16" s="133"/>
      <c r="CE16" s="133"/>
      <c r="CF16" s="133"/>
      <c r="CG16" s="133"/>
      <c r="CH16" s="133"/>
      <c r="CI16" s="133"/>
      <c r="CJ16" s="133"/>
      <c r="CK16" s="133"/>
      <c r="CL16" s="133"/>
      <c r="CM16" s="133"/>
      <c r="CN16" s="133"/>
      <c r="CO16" s="133"/>
      <c r="CP16" s="133"/>
      <c r="CQ16" s="133"/>
      <c r="CR16" s="133"/>
      <c r="CS16" s="133"/>
      <c r="CT16" s="133">
        <v>0</v>
      </c>
      <c r="CU16" s="133"/>
      <c r="CV16" s="133">
        <v>0</v>
      </c>
      <c r="CW16" s="133">
        <v>6703.39990740741</v>
      </c>
      <c r="CX16" s="133">
        <v>6461.39990740741</v>
      </c>
      <c r="CY16" s="133">
        <v>6461.39990740741</v>
      </c>
      <c r="CZ16" s="133">
        <v>6461.39990740741</v>
      </c>
      <c r="DA16" s="133">
        <v>6703.39990740741</v>
      </c>
      <c r="DB16" s="133">
        <v>0</v>
      </c>
      <c r="DC16" s="133"/>
      <c r="DD16" s="133">
        <v>0</v>
      </c>
      <c r="DE16" s="133"/>
      <c r="DF16" s="133"/>
      <c r="DG16" s="133">
        <v>0</v>
      </c>
      <c r="DH16" s="133">
        <v>0</v>
      </c>
      <c r="DI16" s="133"/>
      <c r="DJ16" s="133">
        <v>0</v>
      </c>
      <c r="DK16" s="133"/>
      <c r="DL16" s="133"/>
      <c r="DM16" s="133">
        <v>0</v>
      </c>
      <c r="DN16" s="133">
        <v>0</v>
      </c>
      <c r="DO16" s="133"/>
      <c r="DP16" s="133">
        <v>0</v>
      </c>
      <c r="DQ16" s="133">
        <v>0</v>
      </c>
      <c r="DR16" s="133"/>
      <c r="DS16" s="133">
        <v>0</v>
      </c>
      <c r="DT16" s="133">
        <v>0</v>
      </c>
      <c r="DU16" s="133"/>
      <c r="DV16" s="133">
        <v>0</v>
      </c>
      <c r="DW16" s="133">
        <v>0</v>
      </c>
      <c r="DX16" s="133"/>
      <c r="DY16" s="133">
        <v>0</v>
      </c>
      <c r="DZ16" s="133"/>
      <c r="EA16" s="133">
        <v>6703.39990740741</v>
      </c>
      <c r="EB16" s="133">
        <v>0</v>
      </c>
      <c r="EC16" s="133">
        <v>0</v>
      </c>
      <c r="ED16" s="133">
        <v>0</v>
      </c>
      <c r="EE16" s="133"/>
      <c r="EF16" s="133"/>
      <c r="EG16" s="133">
        <v>0</v>
      </c>
      <c r="EH16" s="133"/>
      <c r="EI16" s="133"/>
      <c r="EJ16" s="133">
        <v>6703.39990740741</v>
      </c>
      <c r="EK16" s="133">
        <v>6461.39990740741</v>
      </c>
      <c r="EL16" s="133">
        <v>0</v>
      </c>
      <c r="EM16" s="133"/>
      <c r="EN16" s="133"/>
      <c r="EO16" s="133"/>
      <c r="EP16" s="133"/>
      <c r="EQ16" s="133">
        <v>6461.39990740741</v>
      </c>
      <c r="ER16" s="133">
        <v>6703.39990740741</v>
      </c>
      <c r="ES16" s="133">
        <v>6461.39990740741</v>
      </c>
      <c r="ET16" s="133"/>
      <c r="EU16" s="133"/>
      <c r="EV16" s="133">
        <v>6766.2001967592596</v>
      </c>
    </row>
    <row r="17" spans="1:152">
      <c r="A17" s="270" t="s">
        <v>87</v>
      </c>
      <c r="B17" s="133"/>
      <c r="C17" s="133">
        <v>0</v>
      </c>
      <c r="D17" s="133"/>
      <c r="E17" s="133">
        <v>0</v>
      </c>
      <c r="F17" s="133">
        <v>6766.2001967592596</v>
      </c>
      <c r="G17" s="133">
        <v>6461.39990740741</v>
      </c>
      <c r="H17" s="133">
        <v>6766.2001967592596</v>
      </c>
      <c r="I17" s="133">
        <v>6745.2998032407404</v>
      </c>
      <c r="J17" s="133">
        <v>6766.2001967592596</v>
      </c>
      <c r="K17" s="133"/>
      <c r="L17" s="133">
        <v>6745.2998032407404</v>
      </c>
      <c r="M17" s="133"/>
      <c r="N17" s="133"/>
      <c r="O17" s="133"/>
      <c r="P17" s="133">
        <v>0</v>
      </c>
      <c r="Q17" s="133">
        <v>0</v>
      </c>
      <c r="R17" s="133">
        <v>0</v>
      </c>
      <c r="S17" s="133">
        <v>0</v>
      </c>
      <c r="T17" s="133"/>
      <c r="U17" s="133">
        <v>6747.2998032407404</v>
      </c>
      <c r="V17" s="133">
        <v>6747.2998032407404</v>
      </c>
      <c r="W17" s="133"/>
      <c r="X17" s="133">
        <v>6747.2998032407404</v>
      </c>
      <c r="Y17" s="133">
        <v>6703.39990740741</v>
      </c>
      <c r="Z17" s="133">
        <v>6703.39990740741</v>
      </c>
      <c r="AA17" s="133">
        <v>0</v>
      </c>
      <c r="AB17" s="133"/>
      <c r="AC17" s="133">
        <v>0</v>
      </c>
      <c r="AD17" s="133">
        <v>6703.39990740741</v>
      </c>
      <c r="AE17" s="133">
        <v>6703.39990740741</v>
      </c>
      <c r="AF17" s="133">
        <v>6703.39990740741</v>
      </c>
      <c r="AG17" s="133">
        <v>6703.39990740741</v>
      </c>
      <c r="AH17" s="133">
        <v>0</v>
      </c>
      <c r="AI17" s="133">
        <v>6703.39990740741</v>
      </c>
      <c r="AJ17" s="133">
        <v>6703.39990740741</v>
      </c>
      <c r="AK17" s="133"/>
      <c r="AL17" s="133">
        <v>6461.39990740741</v>
      </c>
      <c r="AM17" s="133">
        <v>6461.39990740741</v>
      </c>
      <c r="AN17" s="133">
        <v>6703.39990740741</v>
      </c>
      <c r="AO17" s="133">
        <v>6703.39990740741</v>
      </c>
      <c r="AP17" s="133">
        <v>6703.39990740741</v>
      </c>
      <c r="AQ17" s="133">
        <v>6703.39990740741</v>
      </c>
      <c r="AR17" s="133">
        <v>6703.39990740741</v>
      </c>
      <c r="AS17" s="133">
        <v>6703.39990740741</v>
      </c>
      <c r="AT17" s="133"/>
      <c r="AU17" s="133"/>
      <c r="AV17" s="133">
        <v>6703.39990740741</v>
      </c>
      <c r="AW17" s="133">
        <v>6703.39990740741</v>
      </c>
      <c r="AX17" s="133">
        <v>6703.39990740741</v>
      </c>
      <c r="AY17" s="133">
        <v>6703.39990740741</v>
      </c>
      <c r="AZ17" s="133">
        <v>0</v>
      </c>
      <c r="BA17" s="133">
        <v>0</v>
      </c>
      <c r="BB17" s="133">
        <v>6461.39990740741</v>
      </c>
      <c r="BC17" s="133">
        <v>6703.39990740741</v>
      </c>
      <c r="BD17" s="133">
        <v>0</v>
      </c>
      <c r="BE17" s="133">
        <v>0</v>
      </c>
      <c r="BF17" s="133">
        <v>0</v>
      </c>
      <c r="BG17" s="133">
        <v>0</v>
      </c>
      <c r="BH17" s="133">
        <v>0</v>
      </c>
      <c r="BI17" s="133">
        <v>0</v>
      </c>
      <c r="BJ17" s="133">
        <v>0</v>
      </c>
      <c r="BK17" s="133">
        <v>0</v>
      </c>
      <c r="BL17" s="133">
        <v>0</v>
      </c>
      <c r="BM17" s="133">
        <v>0</v>
      </c>
      <c r="BN17" s="133">
        <v>0</v>
      </c>
      <c r="BO17" s="133">
        <v>0</v>
      </c>
      <c r="BP17" s="133">
        <v>0</v>
      </c>
      <c r="BQ17" s="133"/>
      <c r="BR17" s="133"/>
      <c r="BS17" s="133"/>
      <c r="BT17" s="133"/>
      <c r="BU17" s="133"/>
      <c r="BV17" s="133"/>
      <c r="BW17" s="133"/>
      <c r="BX17" s="133"/>
      <c r="BY17" s="133"/>
      <c r="BZ17" s="133"/>
      <c r="CA17" s="133"/>
      <c r="CB17" s="133"/>
      <c r="CC17" s="133"/>
      <c r="CD17" s="133"/>
      <c r="CE17" s="133"/>
      <c r="CF17" s="133"/>
      <c r="CG17" s="133"/>
      <c r="CH17" s="133"/>
      <c r="CI17" s="133"/>
      <c r="CJ17" s="133"/>
      <c r="CK17" s="133"/>
      <c r="CL17" s="133"/>
      <c r="CM17" s="133"/>
      <c r="CN17" s="133"/>
      <c r="CO17" s="133"/>
      <c r="CP17" s="133"/>
      <c r="CQ17" s="133"/>
      <c r="CR17" s="133"/>
      <c r="CS17" s="133"/>
      <c r="CT17" s="133">
        <v>0</v>
      </c>
      <c r="CU17" s="133"/>
      <c r="CV17" s="133">
        <v>0</v>
      </c>
      <c r="CW17" s="133">
        <v>6703.39990740741</v>
      </c>
      <c r="CX17" s="133">
        <v>6461.39990740741</v>
      </c>
      <c r="CY17" s="133">
        <v>6461.39990740741</v>
      </c>
      <c r="CZ17" s="133">
        <v>6461.39990740741</v>
      </c>
      <c r="DA17" s="133">
        <v>6703.39990740741</v>
      </c>
      <c r="DB17" s="133">
        <v>0</v>
      </c>
      <c r="DC17" s="133"/>
      <c r="DD17" s="133">
        <v>0</v>
      </c>
      <c r="DE17" s="133"/>
      <c r="DF17" s="133"/>
      <c r="DG17" s="133">
        <v>0</v>
      </c>
      <c r="DH17" s="133">
        <v>0</v>
      </c>
      <c r="DI17" s="133"/>
      <c r="DJ17" s="133">
        <v>0</v>
      </c>
      <c r="DK17" s="133"/>
      <c r="DL17" s="133"/>
      <c r="DM17" s="133"/>
      <c r="DN17" s="133"/>
      <c r="DO17" s="133"/>
      <c r="DP17" s="133"/>
      <c r="DQ17" s="133"/>
      <c r="DR17" s="133"/>
      <c r="DS17" s="133"/>
      <c r="DT17" s="133"/>
      <c r="DU17" s="133"/>
      <c r="DV17" s="133"/>
      <c r="DW17" s="133"/>
      <c r="DX17" s="133"/>
      <c r="DY17" s="133"/>
      <c r="DZ17" s="133"/>
      <c r="EA17" s="133"/>
      <c r="EB17" s="133"/>
      <c r="EC17" s="133"/>
      <c r="ED17" s="133"/>
      <c r="EE17" s="133"/>
      <c r="EF17" s="133"/>
      <c r="EG17" s="133"/>
      <c r="EH17" s="133"/>
      <c r="EI17" s="133"/>
      <c r="EJ17" s="133"/>
      <c r="EK17" s="133"/>
      <c r="EL17" s="133"/>
      <c r="EM17" s="133"/>
      <c r="EN17" s="133"/>
      <c r="EO17" s="133"/>
      <c r="EP17" s="133"/>
      <c r="EQ17" s="133">
        <v>6461.39990740741</v>
      </c>
      <c r="ER17" s="133">
        <v>6703.39990740741</v>
      </c>
      <c r="ES17" s="133"/>
      <c r="ET17" s="133"/>
      <c r="EU17" s="133"/>
      <c r="EV17" s="133">
        <v>6766.2001967592596</v>
      </c>
    </row>
    <row r="18" spans="1:152">
      <c r="A18" s="270" t="s">
        <v>172</v>
      </c>
      <c r="B18" s="133"/>
      <c r="C18" s="133"/>
      <c r="D18" s="133"/>
      <c r="E18" s="133">
        <v>0</v>
      </c>
      <c r="F18" s="133"/>
      <c r="G18" s="133"/>
      <c r="H18" s="133"/>
      <c r="I18" s="133"/>
      <c r="J18" s="133"/>
      <c r="K18" s="133"/>
      <c r="L18" s="133"/>
      <c r="M18" s="133"/>
      <c r="N18" s="133"/>
      <c r="O18" s="133"/>
      <c r="P18" s="133">
        <v>0</v>
      </c>
      <c r="Q18" s="133"/>
      <c r="R18" s="133"/>
      <c r="S18" s="133"/>
      <c r="T18" s="133"/>
      <c r="U18" s="133"/>
      <c r="V18" s="133">
        <v>0</v>
      </c>
      <c r="W18" s="133"/>
      <c r="X18" s="133"/>
      <c r="Y18" s="133"/>
      <c r="Z18" s="133"/>
      <c r="AA18" s="133"/>
      <c r="AB18" s="133"/>
      <c r="AC18" s="133"/>
      <c r="AD18" s="133"/>
      <c r="AE18" s="133"/>
      <c r="AF18" s="133"/>
      <c r="AG18" s="133">
        <v>0</v>
      </c>
      <c r="AH18" s="133"/>
      <c r="AI18" s="133"/>
      <c r="AJ18" s="133"/>
      <c r="AK18" s="133"/>
      <c r="AL18" s="133"/>
      <c r="AM18" s="133">
        <v>0</v>
      </c>
      <c r="AN18" s="133"/>
      <c r="AO18" s="133"/>
      <c r="AP18" s="133"/>
      <c r="AQ18" s="133"/>
      <c r="AR18" s="133"/>
      <c r="AS18" s="133"/>
      <c r="AT18" s="133"/>
      <c r="AU18" s="133"/>
      <c r="AV18" s="133"/>
      <c r="AW18" s="133"/>
      <c r="AX18" s="133"/>
      <c r="AY18" s="133"/>
      <c r="AZ18" s="133"/>
      <c r="BA18" s="133"/>
      <c r="BB18" s="133"/>
      <c r="BC18" s="133"/>
      <c r="BD18" s="133"/>
      <c r="BE18" s="133"/>
      <c r="BF18" s="133"/>
      <c r="BG18" s="133"/>
      <c r="BH18" s="133"/>
      <c r="BI18" s="133"/>
      <c r="BJ18" s="133"/>
      <c r="BK18" s="133"/>
      <c r="BL18" s="133"/>
      <c r="BM18" s="133"/>
      <c r="BN18" s="133"/>
      <c r="BO18" s="133"/>
      <c r="BP18" s="133"/>
      <c r="BQ18" s="133"/>
      <c r="BR18" s="133"/>
      <c r="BS18" s="133"/>
      <c r="BT18" s="133"/>
      <c r="BU18" s="133"/>
      <c r="BV18" s="133"/>
      <c r="BW18" s="133"/>
      <c r="BX18" s="133"/>
      <c r="BY18" s="133"/>
      <c r="BZ18" s="133"/>
      <c r="CA18" s="133"/>
      <c r="CB18" s="133"/>
      <c r="CC18" s="133"/>
      <c r="CD18" s="133"/>
      <c r="CE18" s="133"/>
      <c r="CF18" s="133"/>
      <c r="CG18" s="133"/>
      <c r="CH18" s="133"/>
      <c r="CI18" s="133"/>
      <c r="CJ18" s="133"/>
      <c r="CK18" s="133"/>
      <c r="CL18" s="133"/>
      <c r="CM18" s="133"/>
      <c r="CN18" s="133"/>
      <c r="CO18" s="133"/>
      <c r="CP18" s="133"/>
      <c r="CQ18" s="133"/>
      <c r="CR18" s="133"/>
      <c r="CS18" s="133"/>
      <c r="CT18" s="133"/>
      <c r="CU18" s="133"/>
      <c r="CV18" s="133"/>
      <c r="CW18" s="133"/>
      <c r="CX18" s="133"/>
      <c r="CY18" s="133"/>
      <c r="CZ18" s="133"/>
      <c r="DA18" s="133"/>
      <c r="DB18" s="133"/>
      <c r="DC18" s="133"/>
      <c r="DD18" s="133"/>
      <c r="DE18" s="133"/>
      <c r="DF18" s="133"/>
      <c r="DG18" s="133"/>
      <c r="DH18" s="133"/>
      <c r="DI18" s="133"/>
      <c r="DJ18" s="133"/>
      <c r="DK18" s="133"/>
      <c r="DL18" s="133"/>
      <c r="DM18" s="133">
        <v>0</v>
      </c>
      <c r="DN18" s="133">
        <v>0</v>
      </c>
      <c r="DO18" s="133"/>
      <c r="DP18" s="133">
        <v>0</v>
      </c>
      <c r="DQ18" s="133">
        <v>0</v>
      </c>
      <c r="DR18" s="133"/>
      <c r="DS18" s="133">
        <v>0</v>
      </c>
      <c r="DT18" s="133">
        <v>0</v>
      </c>
      <c r="DU18" s="133"/>
      <c r="DV18" s="133">
        <v>0</v>
      </c>
      <c r="DW18" s="133"/>
      <c r="DX18" s="133"/>
      <c r="DY18" s="133">
        <v>0</v>
      </c>
      <c r="DZ18" s="133"/>
      <c r="EA18" s="133"/>
      <c r="EB18" s="133"/>
      <c r="EC18" s="133"/>
      <c r="ED18" s="133"/>
      <c r="EE18" s="133"/>
      <c r="EF18" s="133"/>
      <c r="EG18" s="133"/>
      <c r="EH18" s="133"/>
      <c r="EI18" s="133"/>
      <c r="EJ18" s="133"/>
      <c r="EK18" s="133"/>
      <c r="EL18" s="133"/>
      <c r="EM18" s="133"/>
      <c r="EN18" s="133"/>
      <c r="EO18" s="133"/>
      <c r="EP18" s="133"/>
      <c r="EQ18" s="133"/>
      <c r="ER18" s="133"/>
      <c r="ES18" s="133">
        <v>6461.39990740741</v>
      </c>
      <c r="ET18" s="133"/>
      <c r="EU18" s="133"/>
      <c r="EV18" s="133">
        <v>6461.39990740741</v>
      </c>
    </row>
    <row r="19" spans="1:152">
      <c r="A19" s="270" t="s">
        <v>173</v>
      </c>
      <c r="B19" s="133"/>
      <c r="C19" s="133"/>
      <c r="D19" s="133"/>
      <c r="E19" s="133"/>
      <c r="F19" s="133"/>
      <c r="G19" s="133"/>
      <c r="H19" s="133">
        <v>6703.39990740741</v>
      </c>
      <c r="I19" s="133"/>
      <c r="J19" s="133"/>
      <c r="K19" s="133"/>
      <c r="L19" s="133"/>
      <c r="M19" s="133"/>
      <c r="N19" s="133"/>
      <c r="O19" s="133"/>
      <c r="P19" s="133"/>
      <c r="Q19" s="133"/>
      <c r="R19" s="133"/>
      <c r="S19" s="133"/>
      <c r="T19" s="133"/>
      <c r="U19" s="133"/>
      <c r="V19" s="133"/>
      <c r="W19" s="133"/>
      <c r="X19" s="133"/>
      <c r="Y19" s="133"/>
      <c r="Z19" s="133"/>
      <c r="AA19" s="133"/>
      <c r="AB19" s="133"/>
      <c r="AC19" s="133"/>
      <c r="AD19" s="133"/>
      <c r="AE19" s="133"/>
      <c r="AF19" s="133"/>
      <c r="AG19" s="133"/>
      <c r="AH19" s="133"/>
      <c r="AI19" s="133"/>
      <c r="AJ19" s="133"/>
      <c r="AK19" s="133"/>
      <c r="AL19" s="133"/>
      <c r="AM19" s="133"/>
      <c r="AN19" s="133"/>
      <c r="AO19" s="133"/>
      <c r="AP19" s="133"/>
      <c r="AQ19" s="133"/>
      <c r="AR19" s="133"/>
      <c r="AS19" s="133"/>
      <c r="AT19" s="133"/>
      <c r="AU19" s="133"/>
      <c r="AV19" s="133"/>
      <c r="AW19" s="133"/>
      <c r="AX19" s="133"/>
      <c r="AY19" s="133"/>
      <c r="AZ19" s="133"/>
      <c r="BA19" s="133"/>
      <c r="BB19" s="133"/>
      <c r="BC19" s="133"/>
      <c r="BD19" s="133"/>
      <c r="BE19" s="133"/>
      <c r="BF19" s="133"/>
      <c r="BG19" s="133"/>
      <c r="BH19" s="133"/>
      <c r="BI19" s="133">
        <v>6703.39990740741</v>
      </c>
      <c r="BJ19" s="133"/>
      <c r="BK19" s="133"/>
      <c r="BL19" s="133"/>
      <c r="BM19" s="133"/>
      <c r="BN19" s="133"/>
      <c r="BO19" s="133"/>
      <c r="BP19" s="133"/>
      <c r="BQ19" s="133"/>
      <c r="BR19" s="133"/>
      <c r="BS19" s="133"/>
      <c r="BT19" s="133"/>
      <c r="BU19" s="133"/>
      <c r="BV19" s="133"/>
      <c r="BW19" s="133"/>
      <c r="BX19" s="133"/>
      <c r="BY19" s="133"/>
      <c r="BZ19" s="133"/>
      <c r="CA19" s="133"/>
      <c r="CB19" s="133"/>
      <c r="CC19" s="133"/>
      <c r="CD19" s="133"/>
      <c r="CE19" s="133"/>
      <c r="CF19" s="133"/>
      <c r="CG19" s="133"/>
      <c r="CH19" s="133"/>
      <c r="CI19" s="133"/>
      <c r="CJ19" s="133"/>
      <c r="CK19" s="133"/>
      <c r="CL19" s="133"/>
      <c r="CM19" s="133"/>
      <c r="CN19" s="133"/>
      <c r="CO19" s="133"/>
      <c r="CP19" s="133"/>
      <c r="CQ19" s="133"/>
      <c r="CR19" s="133"/>
      <c r="CS19" s="133"/>
      <c r="CT19" s="133"/>
      <c r="CU19" s="133"/>
      <c r="CV19" s="133"/>
      <c r="CW19" s="133"/>
      <c r="CX19" s="133"/>
      <c r="CY19" s="133"/>
      <c r="CZ19" s="133"/>
      <c r="DA19" s="133"/>
      <c r="DB19" s="133"/>
      <c r="DC19" s="133"/>
      <c r="DD19" s="133"/>
      <c r="DE19" s="133"/>
      <c r="DF19" s="133"/>
      <c r="DG19" s="133"/>
      <c r="DH19" s="133"/>
      <c r="DI19" s="133"/>
      <c r="DJ19" s="133"/>
      <c r="DK19" s="133"/>
      <c r="DL19" s="133"/>
      <c r="DM19" s="133"/>
      <c r="DN19" s="133"/>
      <c r="DO19" s="133"/>
      <c r="DP19" s="133"/>
      <c r="DQ19" s="133"/>
      <c r="DR19" s="133"/>
      <c r="DS19" s="133"/>
      <c r="DT19" s="133"/>
      <c r="DU19" s="133"/>
      <c r="DV19" s="133"/>
      <c r="DW19" s="133">
        <v>0</v>
      </c>
      <c r="DX19" s="133"/>
      <c r="DY19" s="133"/>
      <c r="DZ19" s="133"/>
      <c r="EA19" s="133">
        <v>6703.39990740741</v>
      </c>
      <c r="EB19" s="133">
        <v>0</v>
      </c>
      <c r="EC19" s="133">
        <v>0</v>
      </c>
      <c r="ED19" s="133">
        <v>0</v>
      </c>
      <c r="EE19" s="133"/>
      <c r="EF19" s="133"/>
      <c r="EG19" s="133">
        <v>0</v>
      </c>
      <c r="EH19" s="133"/>
      <c r="EI19" s="133"/>
      <c r="EJ19" s="133">
        <v>6703.39990740741</v>
      </c>
      <c r="EK19" s="133">
        <v>6461.39990740741</v>
      </c>
      <c r="EL19" s="133">
        <v>0</v>
      </c>
      <c r="EM19" s="133"/>
      <c r="EN19" s="133"/>
      <c r="EO19" s="133"/>
      <c r="EP19" s="133"/>
      <c r="EQ19" s="133"/>
      <c r="ER19" s="133"/>
      <c r="ES19" s="133"/>
      <c r="ET19" s="133"/>
      <c r="EU19" s="133"/>
      <c r="EV19" s="133">
        <v>6703.39990740741</v>
      </c>
    </row>
    <row r="20" spans="1:152">
      <c r="A20" s="269" t="s">
        <v>162</v>
      </c>
      <c r="B20" s="133"/>
      <c r="C20" s="133"/>
      <c r="D20" s="133"/>
      <c r="E20" s="133">
        <v>0</v>
      </c>
      <c r="F20" s="133">
        <v>7481.89990740741</v>
      </c>
      <c r="G20" s="133">
        <v>7383.10009259259</v>
      </c>
      <c r="H20" s="133">
        <v>7481.89990740741</v>
      </c>
      <c r="I20" s="133">
        <v>7445.60009259259</v>
      </c>
      <c r="J20" s="133">
        <v>7481.89990740741</v>
      </c>
      <c r="K20" s="133">
        <v>7452.60009259259</v>
      </c>
      <c r="L20" s="133">
        <v>7452.60009259259</v>
      </c>
      <c r="M20" s="133">
        <v>7452.60009259259</v>
      </c>
      <c r="N20" s="133"/>
      <c r="O20" s="133"/>
      <c r="P20" s="133">
        <v>0</v>
      </c>
      <c r="Q20" s="133">
        <v>0</v>
      </c>
      <c r="R20" s="133">
        <v>0</v>
      </c>
      <c r="S20" s="133">
        <v>0</v>
      </c>
      <c r="T20" s="133"/>
      <c r="U20" s="133">
        <v>7483.10009259259</v>
      </c>
      <c r="V20" s="133">
        <v>7483.10009259259</v>
      </c>
      <c r="W20" s="133"/>
      <c r="X20" s="133">
        <v>7483.10009259259</v>
      </c>
      <c r="Y20" s="133">
        <v>7383.10009259259</v>
      </c>
      <c r="Z20" s="133">
        <v>7383.10009259259</v>
      </c>
      <c r="AA20" s="133">
        <v>0</v>
      </c>
      <c r="AB20" s="133"/>
      <c r="AC20" s="133">
        <v>0</v>
      </c>
      <c r="AD20" s="133">
        <v>7383.10009259259</v>
      </c>
      <c r="AE20" s="133">
        <v>7383.10009259259</v>
      </c>
      <c r="AF20" s="133">
        <v>7383.10009259259</v>
      </c>
      <c r="AG20" s="133">
        <v>7383.10009259259</v>
      </c>
      <c r="AH20" s="133">
        <v>0</v>
      </c>
      <c r="AI20" s="133">
        <v>7383.10009259259</v>
      </c>
      <c r="AJ20" s="133">
        <v>7383.10009259259</v>
      </c>
      <c r="AK20" s="133"/>
      <c r="AL20" s="133">
        <v>7383.10009259259</v>
      </c>
      <c r="AM20" s="133">
        <v>7383.10009259259</v>
      </c>
      <c r="AN20" s="133">
        <v>7383.10009259259</v>
      </c>
      <c r="AO20" s="133">
        <v>7383.10009259259</v>
      </c>
      <c r="AP20" s="133">
        <v>7445.60009259259</v>
      </c>
      <c r="AQ20" s="133">
        <v>7445.60009259259</v>
      </c>
      <c r="AR20" s="133">
        <v>7383.10009259259</v>
      </c>
      <c r="AS20" s="133">
        <v>7383.10009259259</v>
      </c>
      <c r="AT20" s="133"/>
      <c r="AU20" s="133"/>
      <c r="AV20" s="133">
        <v>7383.10009259259</v>
      </c>
      <c r="AW20" s="133">
        <v>7383.10009259259</v>
      </c>
      <c r="AX20" s="133">
        <v>7383.10009259259</v>
      </c>
      <c r="AY20" s="133">
        <v>7383.10009259259</v>
      </c>
      <c r="AZ20" s="133"/>
      <c r="BA20" s="133"/>
      <c r="BB20" s="133">
        <v>7383.10009259259</v>
      </c>
      <c r="BC20" s="133">
        <v>7383.10009259259</v>
      </c>
      <c r="BD20" s="133">
        <v>0</v>
      </c>
      <c r="BE20" s="133">
        <v>0</v>
      </c>
      <c r="BF20" s="133">
        <v>0</v>
      </c>
      <c r="BG20" s="133">
        <v>0</v>
      </c>
      <c r="BH20" s="133">
        <v>0</v>
      </c>
      <c r="BI20" s="133">
        <v>7383.10009259259</v>
      </c>
      <c r="BJ20" s="133">
        <v>0</v>
      </c>
      <c r="BK20" s="133">
        <v>0</v>
      </c>
      <c r="BL20" s="133">
        <v>0</v>
      </c>
      <c r="BM20" s="133">
        <v>0</v>
      </c>
      <c r="BN20" s="133">
        <v>0</v>
      </c>
      <c r="BO20" s="133">
        <v>0</v>
      </c>
      <c r="BP20" s="133">
        <v>0</v>
      </c>
      <c r="BQ20" s="133"/>
      <c r="BR20" s="133">
        <v>0</v>
      </c>
      <c r="BS20" s="133">
        <v>0</v>
      </c>
      <c r="BT20" s="133"/>
      <c r="BU20" s="133"/>
      <c r="BV20" s="133"/>
      <c r="BW20" s="133"/>
      <c r="BX20" s="133"/>
      <c r="BY20" s="133"/>
      <c r="BZ20" s="133">
        <v>0</v>
      </c>
      <c r="CA20" s="133">
        <v>0</v>
      </c>
      <c r="CB20" s="133"/>
      <c r="CC20" s="133"/>
      <c r="CD20" s="133"/>
      <c r="CE20" s="133"/>
      <c r="CF20" s="133">
        <v>0</v>
      </c>
      <c r="CG20" s="133">
        <v>0</v>
      </c>
      <c r="CH20" s="133"/>
      <c r="CI20" s="133"/>
      <c r="CJ20" s="133"/>
      <c r="CK20" s="133"/>
      <c r="CL20" s="133"/>
      <c r="CM20" s="133"/>
      <c r="CN20" s="133"/>
      <c r="CO20" s="133"/>
      <c r="CP20" s="133"/>
      <c r="CQ20" s="133"/>
      <c r="CR20" s="133"/>
      <c r="CS20" s="133">
        <v>0</v>
      </c>
      <c r="CT20" s="133"/>
      <c r="CU20" s="133"/>
      <c r="CV20" s="133">
        <v>0</v>
      </c>
      <c r="CW20" s="133">
        <v>7383.10009259259</v>
      </c>
      <c r="CX20" s="133">
        <v>7383.10009259259</v>
      </c>
      <c r="CY20" s="133">
        <v>7383.10009259259</v>
      </c>
      <c r="CZ20" s="133">
        <v>7383.10009259259</v>
      </c>
      <c r="DA20" s="133">
        <v>7383.10009259259</v>
      </c>
      <c r="DB20" s="133">
        <v>0</v>
      </c>
      <c r="DC20" s="133">
        <v>0</v>
      </c>
      <c r="DD20" s="133">
        <v>0</v>
      </c>
      <c r="DE20" s="133">
        <v>0</v>
      </c>
      <c r="DF20" s="133"/>
      <c r="DG20" s="133">
        <v>0</v>
      </c>
      <c r="DH20" s="133">
        <v>0</v>
      </c>
      <c r="DI20" s="133"/>
      <c r="DJ20" s="133">
        <v>0</v>
      </c>
      <c r="DK20" s="133"/>
      <c r="DL20" s="133"/>
      <c r="DM20" s="133"/>
      <c r="DN20" s="133"/>
      <c r="DO20" s="133"/>
      <c r="DP20" s="133">
        <v>0</v>
      </c>
      <c r="DQ20" s="133">
        <v>0</v>
      </c>
      <c r="DR20" s="133"/>
      <c r="DS20" s="133">
        <v>0</v>
      </c>
      <c r="DT20" s="133"/>
      <c r="DU20" s="133"/>
      <c r="DV20" s="133"/>
      <c r="DW20" s="133">
        <v>0</v>
      </c>
      <c r="DX20" s="133"/>
      <c r="DY20" s="133">
        <v>0</v>
      </c>
      <c r="DZ20" s="133"/>
      <c r="EA20" s="133">
        <v>7383.10009259259</v>
      </c>
      <c r="EB20" s="133">
        <v>0</v>
      </c>
      <c r="EC20" s="133">
        <v>0</v>
      </c>
      <c r="ED20" s="133">
        <v>0</v>
      </c>
      <c r="EE20" s="133">
        <v>0</v>
      </c>
      <c r="EF20" s="133">
        <v>0</v>
      </c>
      <c r="EG20" s="133">
        <v>0</v>
      </c>
      <c r="EH20" s="133"/>
      <c r="EI20" s="133"/>
      <c r="EJ20" s="133">
        <v>7383.10009259259</v>
      </c>
      <c r="EK20" s="133">
        <v>7383.10009259259</v>
      </c>
      <c r="EL20" s="133">
        <v>0</v>
      </c>
      <c r="EM20" s="133">
        <v>0</v>
      </c>
      <c r="EN20" s="133">
        <v>0</v>
      </c>
      <c r="EO20" s="133">
        <v>0</v>
      </c>
      <c r="EP20" s="133">
        <v>0</v>
      </c>
      <c r="EQ20" s="133"/>
      <c r="ER20" s="133"/>
      <c r="ES20" s="133"/>
      <c r="ET20" s="133">
        <v>7469.2001967592596</v>
      </c>
      <c r="EU20" s="133"/>
      <c r="EV20" s="133">
        <v>7483.10009259259</v>
      </c>
    </row>
    <row r="21" spans="1:152">
      <c r="A21" s="270" t="s">
        <v>87</v>
      </c>
      <c r="B21" s="133"/>
      <c r="C21" s="133"/>
      <c r="D21" s="133"/>
      <c r="E21" s="133">
        <v>0</v>
      </c>
      <c r="F21" s="133">
        <v>7481.89990740741</v>
      </c>
      <c r="G21" s="133">
        <v>7383.10009259259</v>
      </c>
      <c r="H21" s="133">
        <v>7481.89990740741</v>
      </c>
      <c r="I21" s="133">
        <v>7445.60009259259</v>
      </c>
      <c r="J21" s="133">
        <v>7481.89990740741</v>
      </c>
      <c r="K21" s="133">
        <v>7452.60009259259</v>
      </c>
      <c r="L21" s="133">
        <v>7452.60009259259</v>
      </c>
      <c r="M21" s="133">
        <v>7452.60009259259</v>
      </c>
      <c r="N21" s="133"/>
      <c r="O21" s="133"/>
      <c r="P21" s="133">
        <v>0</v>
      </c>
      <c r="Q21" s="133">
        <v>0</v>
      </c>
      <c r="R21" s="133">
        <v>0</v>
      </c>
      <c r="S21" s="133">
        <v>0</v>
      </c>
      <c r="T21" s="133"/>
      <c r="U21" s="133">
        <v>7483.10009259259</v>
      </c>
      <c r="V21" s="133">
        <v>7483.10009259259</v>
      </c>
      <c r="W21" s="133"/>
      <c r="X21" s="133">
        <v>7483.10009259259</v>
      </c>
      <c r="Y21" s="133">
        <v>7383.10009259259</v>
      </c>
      <c r="Z21" s="133">
        <v>7383.10009259259</v>
      </c>
      <c r="AA21" s="133">
        <v>0</v>
      </c>
      <c r="AB21" s="133"/>
      <c r="AC21" s="133">
        <v>0</v>
      </c>
      <c r="AD21" s="133">
        <v>7383.10009259259</v>
      </c>
      <c r="AE21" s="133">
        <v>7383.10009259259</v>
      </c>
      <c r="AF21" s="133">
        <v>7383.10009259259</v>
      </c>
      <c r="AG21" s="133">
        <v>7383.10009259259</v>
      </c>
      <c r="AH21" s="133">
        <v>0</v>
      </c>
      <c r="AI21" s="133">
        <v>7383.10009259259</v>
      </c>
      <c r="AJ21" s="133">
        <v>7383.10009259259</v>
      </c>
      <c r="AK21" s="133"/>
      <c r="AL21" s="133">
        <v>7383.10009259259</v>
      </c>
      <c r="AM21" s="133">
        <v>7383.10009259259</v>
      </c>
      <c r="AN21" s="133">
        <v>7383.10009259259</v>
      </c>
      <c r="AO21" s="133">
        <v>7383.10009259259</v>
      </c>
      <c r="AP21" s="133">
        <v>7445.60009259259</v>
      </c>
      <c r="AQ21" s="133">
        <v>7445.60009259259</v>
      </c>
      <c r="AR21" s="133">
        <v>7383.10009259259</v>
      </c>
      <c r="AS21" s="133">
        <v>7383.10009259259</v>
      </c>
      <c r="AT21" s="133"/>
      <c r="AU21" s="133"/>
      <c r="AV21" s="133">
        <v>7383.10009259259</v>
      </c>
      <c r="AW21" s="133">
        <v>7383.10009259259</v>
      </c>
      <c r="AX21" s="133">
        <v>7383.10009259259</v>
      </c>
      <c r="AY21" s="133">
        <v>7383.10009259259</v>
      </c>
      <c r="AZ21" s="133"/>
      <c r="BA21" s="133"/>
      <c r="BB21" s="133">
        <v>7383.10009259259</v>
      </c>
      <c r="BC21" s="133">
        <v>7383.10009259259</v>
      </c>
      <c r="BD21" s="133">
        <v>0</v>
      </c>
      <c r="BE21" s="133">
        <v>0</v>
      </c>
      <c r="BF21" s="133">
        <v>0</v>
      </c>
      <c r="BG21" s="133">
        <v>0</v>
      </c>
      <c r="BH21" s="133">
        <v>0</v>
      </c>
      <c r="BI21" s="133">
        <v>0</v>
      </c>
      <c r="BJ21" s="133">
        <v>0</v>
      </c>
      <c r="BK21" s="133">
        <v>0</v>
      </c>
      <c r="BL21" s="133">
        <v>0</v>
      </c>
      <c r="BM21" s="133">
        <v>0</v>
      </c>
      <c r="BN21" s="133">
        <v>0</v>
      </c>
      <c r="BO21" s="133">
        <v>0</v>
      </c>
      <c r="BP21" s="133">
        <v>0</v>
      </c>
      <c r="BQ21" s="133"/>
      <c r="BR21" s="133">
        <v>0</v>
      </c>
      <c r="BS21" s="133">
        <v>0</v>
      </c>
      <c r="BT21" s="133"/>
      <c r="BU21" s="133"/>
      <c r="BV21" s="133"/>
      <c r="BW21" s="133"/>
      <c r="BX21" s="133"/>
      <c r="BY21" s="133"/>
      <c r="BZ21" s="133">
        <v>0</v>
      </c>
      <c r="CA21" s="133">
        <v>0</v>
      </c>
      <c r="CB21" s="133"/>
      <c r="CC21" s="133"/>
      <c r="CD21" s="133"/>
      <c r="CE21" s="133"/>
      <c r="CF21" s="133">
        <v>0</v>
      </c>
      <c r="CG21" s="133">
        <v>0</v>
      </c>
      <c r="CH21" s="133"/>
      <c r="CI21" s="133"/>
      <c r="CJ21" s="133"/>
      <c r="CK21" s="133"/>
      <c r="CL21" s="133"/>
      <c r="CM21" s="133"/>
      <c r="CN21" s="133"/>
      <c r="CO21" s="133"/>
      <c r="CP21" s="133"/>
      <c r="CQ21" s="133"/>
      <c r="CR21" s="133"/>
      <c r="CS21" s="133">
        <v>0</v>
      </c>
      <c r="CT21" s="133"/>
      <c r="CU21" s="133"/>
      <c r="CV21" s="133">
        <v>0</v>
      </c>
      <c r="CW21" s="133">
        <v>7383.10009259259</v>
      </c>
      <c r="CX21" s="133">
        <v>7383.10009259259</v>
      </c>
      <c r="CY21" s="133">
        <v>7383.10009259259</v>
      </c>
      <c r="CZ21" s="133">
        <v>7383.10009259259</v>
      </c>
      <c r="DA21" s="133">
        <v>7383.10009259259</v>
      </c>
      <c r="DB21" s="133">
        <v>0</v>
      </c>
      <c r="DC21" s="133">
        <v>0</v>
      </c>
      <c r="DD21" s="133">
        <v>0</v>
      </c>
      <c r="DE21" s="133">
        <v>0</v>
      </c>
      <c r="DF21" s="133"/>
      <c r="DG21" s="133">
        <v>0</v>
      </c>
      <c r="DH21" s="133">
        <v>0</v>
      </c>
      <c r="DI21" s="133"/>
      <c r="DJ21" s="133">
        <v>0</v>
      </c>
      <c r="DK21" s="133"/>
      <c r="DL21" s="133"/>
      <c r="DM21" s="133"/>
      <c r="DN21" s="133"/>
      <c r="DO21" s="133"/>
      <c r="DP21" s="133"/>
      <c r="DQ21" s="133"/>
      <c r="DR21" s="133"/>
      <c r="DS21" s="133"/>
      <c r="DT21" s="133"/>
      <c r="DU21" s="133"/>
      <c r="DV21" s="133"/>
      <c r="DW21" s="133"/>
      <c r="DX21" s="133"/>
      <c r="DY21" s="133"/>
      <c r="DZ21" s="133"/>
      <c r="EA21" s="133"/>
      <c r="EB21" s="133"/>
      <c r="EC21" s="133"/>
      <c r="ED21" s="133"/>
      <c r="EE21" s="133"/>
      <c r="EF21" s="133"/>
      <c r="EG21" s="133"/>
      <c r="EH21" s="133"/>
      <c r="EI21" s="133"/>
      <c r="EJ21" s="133"/>
      <c r="EK21" s="133"/>
      <c r="EL21" s="133"/>
      <c r="EM21" s="133"/>
      <c r="EN21" s="133"/>
      <c r="EO21" s="133"/>
      <c r="EP21" s="133"/>
      <c r="EQ21" s="133"/>
      <c r="ER21" s="133"/>
      <c r="ES21" s="133"/>
      <c r="ET21" s="133"/>
      <c r="EU21" s="133"/>
      <c r="EV21" s="133">
        <v>7483.10009259259</v>
      </c>
    </row>
    <row r="22" spans="1:152">
      <c r="A22" s="270" t="s">
        <v>172</v>
      </c>
      <c r="B22" s="133"/>
      <c r="C22" s="133"/>
      <c r="D22" s="133"/>
      <c r="E22" s="133"/>
      <c r="F22" s="133"/>
      <c r="G22" s="133"/>
      <c r="H22" s="133"/>
      <c r="I22" s="133"/>
      <c r="J22" s="133"/>
      <c r="K22" s="133"/>
      <c r="L22" s="133"/>
      <c r="M22" s="133"/>
      <c r="N22" s="133"/>
      <c r="O22" s="133"/>
      <c r="P22" s="133"/>
      <c r="Q22" s="133"/>
      <c r="R22" s="133"/>
      <c r="S22" s="133"/>
      <c r="T22" s="133"/>
      <c r="U22" s="133"/>
      <c r="V22" s="133">
        <v>0</v>
      </c>
      <c r="W22" s="133"/>
      <c r="X22" s="133">
        <v>0</v>
      </c>
      <c r="Y22" s="133"/>
      <c r="Z22" s="133"/>
      <c r="AA22" s="133"/>
      <c r="AB22" s="133"/>
      <c r="AC22" s="133"/>
      <c r="AD22" s="133"/>
      <c r="AE22" s="133"/>
      <c r="AF22" s="133"/>
      <c r="AG22" s="133">
        <v>0</v>
      </c>
      <c r="AH22" s="133"/>
      <c r="AI22" s="133"/>
      <c r="AJ22" s="133"/>
      <c r="AK22" s="133"/>
      <c r="AL22" s="133"/>
      <c r="AM22" s="133">
        <v>0</v>
      </c>
      <c r="AN22" s="133"/>
      <c r="AO22" s="133"/>
      <c r="AP22" s="133"/>
      <c r="AQ22" s="133"/>
      <c r="AR22" s="133"/>
      <c r="AS22" s="133"/>
      <c r="AT22" s="133"/>
      <c r="AU22" s="133"/>
      <c r="AV22" s="133"/>
      <c r="AW22" s="133"/>
      <c r="AX22" s="133"/>
      <c r="AY22" s="133"/>
      <c r="AZ22" s="133"/>
      <c r="BA22" s="133"/>
      <c r="BB22" s="133"/>
      <c r="BC22" s="133"/>
      <c r="BD22" s="133"/>
      <c r="BE22" s="133"/>
      <c r="BF22" s="133"/>
      <c r="BG22" s="133"/>
      <c r="BH22" s="133"/>
      <c r="BI22" s="133"/>
      <c r="BJ22" s="133"/>
      <c r="BK22" s="133"/>
      <c r="BL22" s="133"/>
      <c r="BM22" s="133"/>
      <c r="BN22" s="133"/>
      <c r="BO22" s="133"/>
      <c r="BP22" s="133"/>
      <c r="BQ22" s="133"/>
      <c r="BR22" s="133"/>
      <c r="BS22" s="133"/>
      <c r="BT22" s="133"/>
      <c r="BU22" s="133"/>
      <c r="BV22" s="133"/>
      <c r="BW22" s="133"/>
      <c r="BX22" s="133"/>
      <c r="BY22" s="133"/>
      <c r="BZ22" s="133"/>
      <c r="CA22" s="133"/>
      <c r="CB22" s="133"/>
      <c r="CC22" s="133"/>
      <c r="CD22" s="133"/>
      <c r="CE22" s="133"/>
      <c r="CF22" s="133"/>
      <c r="CG22" s="133"/>
      <c r="CH22" s="133"/>
      <c r="CI22" s="133"/>
      <c r="CJ22" s="133"/>
      <c r="CK22" s="133"/>
      <c r="CL22" s="133"/>
      <c r="CM22" s="133"/>
      <c r="CN22" s="133"/>
      <c r="CO22" s="133"/>
      <c r="CP22" s="133"/>
      <c r="CQ22" s="133"/>
      <c r="CR22" s="133"/>
      <c r="CS22" s="133"/>
      <c r="CT22" s="133"/>
      <c r="CU22" s="133"/>
      <c r="CV22" s="133"/>
      <c r="CW22" s="133"/>
      <c r="CX22" s="133"/>
      <c r="CY22" s="133"/>
      <c r="CZ22" s="133"/>
      <c r="DA22" s="133"/>
      <c r="DB22" s="133"/>
      <c r="DC22" s="133"/>
      <c r="DD22" s="133"/>
      <c r="DE22" s="133"/>
      <c r="DF22" s="133"/>
      <c r="DG22" s="133"/>
      <c r="DH22" s="133"/>
      <c r="DI22" s="133"/>
      <c r="DJ22" s="133"/>
      <c r="DK22" s="133"/>
      <c r="DL22" s="133"/>
      <c r="DM22" s="133"/>
      <c r="DN22" s="133"/>
      <c r="DO22" s="133"/>
      <c r="DP22" s="133">
        <v>0</v>
      </c>
      <c r="DQ22" s="133">
        <v>0</v>
      </c>
      <c r="DR22" s="133"/>
      <c r="DS22" s="133">
        <v>0</v>
      </c>
      <c r="DT22" s="133"/>
      <c r="DU22" s="133"/>
      <c r="DV22" s="133"/>
      <c r="DW22" s="133"/>
      <c r="DX22" s="133"/>
      <c r="DY22" s="133">
        <v>0</v>
      </c>
      <c r="DZ22" s="133"/>
      <c r="EA22" s="133"/>
      <c r="EB22" s="133"/>
      <c r="EC22" s="133"/>
      <c r="ED22" s="133"/>
      <c r="EE22" s="133"/>
      <c r="EF22" s="133"/>
      <c r="EG22" s="133"/>
      <c r="EH22" s="133"/>
      <c r="EI22" s="133"/>
      <c r="EJ22" s="133"/>
      <c r="EK22" s="133"/>
      <c r="EL22" s="133"/>
      <c r="EM22" s="133"/>
      <c r="EN22" s="133"/>
      <c r="EO22" s="133"/>
      <c r="EP22" s="133"/>
      <c r="EQ22" s="133"/>
      <c r="ER22" s="133"/>
      <c r="ES22" s="133"/>
      <c r="ET22" s="133"/>
      <c r="EU22" s="133"/>
      <c r="EV22" s="133">
        <v>0</v>
      </c>
    </row>
    <row r="23" spans="1:152">
      <c r="A23" s="270" t="s">
        <v>173</v>
      </c>
      <c r="B23" s="133"/>
      <c r="C23" s="133"/>
      <c r="D23" s="133"/>
      <c r="E23" s="133"/>
      <c r="F23" s="133"/>
      <c r="G23" s="133"/>
      <c r="H23" s="133">
        <v>7383.10009259259</v>
      </c>
      <c r="I23" s="133"/>
      <c r="J23" s="133"/>
      <c r="K23" s="133"/>
      <c r="L23" s="133"/>
      <c r="M23" s="133"/>
      <c r="N23" s="133"/>
      <c r="O23" s="133"/>
      <c r="P23" s="133"/>
      <c r="Q23" s="133"/>
      <c r="R23" s="133"/>
      <c r="S23" s="133"/>
      <c r="T23" s="133"/>
      <c r="U23" s="133"/>
      <c r="V23" s="133"/>
      <c r="W23" s="133"/>
      <c r="X23" s="133"/>
      <c r="Y23" s="133"/>
      <c r="Z23" s="133"/>
      <c r="AA23" s="133"/>
      <c r="AB23" s="133"/>
      <c r="AC23" s="133"/>
      <c r="AD23" s="133"/>
      <c r="AE23" s="133"/>
      <c r="AF23" s="133"/>
      <c r="AG23" s="133"/>
      <c r="AH23" s="133"/>
      <c r="AI23" s="133"/>
      <c r="AJ23" s="133"/>
      <c r="AK23" s="133"/>
      <c r="AL23" s="133"/>
      <c r="AM23" s="133"/>
      <c r="AN23" s="133"/>
      <c r="AO23" s="133"/>
      <c r="AP23" s="133"/>
      <c r="AQ23" s="133"/>
      <c r="AR23" s="133"/>
      <c r="AS23" s="133"/>
      <c r="AT23" s="133"/>
      <c r="AU23" s="133"/>
      <c r="AV23" s="133"/>
      <c r="AW23" s="133"/>
      <c r="AX23" s="133"/>
      <c r="AY23" s="133"/>
      <c r="AZ23" s="133"/>
      <c r="BA23" s="133"/>
      <c r="BB23" s="133"/>
      <c r="BC23" s="133"/>
      <c r="BD23" s="133"/>
      <c r="BE23" s="133"/>
      <c r="BF23" s="133"/>
      <c r="BG23" s="133"/>
      <c r="BH23" s="133"/>
      <c r="BI23" s="133">
        <v>7383.10009259259</v>
      </c>
      <c r="BJ23" s="133"/>
      <c r="BK23" s="133"/>
      <c r="BL23" s="133"/>
      <c r="BM23" s="133"/>
      <c r="BN23" s="133"/>
      <c r="BO23" s="133"/>
      <c r="BP23" s="133"/>
      <c r="BQ23" s="133"/>
      <c r="BR23" s="133"/>
      <c r="BS23" s="133"/>
      <c r="BT23" s="133"/>
      <c r="BU23" s="133"/>
      <c r="BV23" s="133"/>
      <c r="BW23" s="133"/>
      <c r="BX23" s="133"/>
      <c r="BY23" s="133"/>
      <c r="BZ23" s="133"/>
      <c r="CA23" s="133"/>
      <c r="CB23" s="133"/>
      <c r="CC23" s="133"/>
      <c r="CD23" s="133"/>
      <c r="CE23" s="133"/>
      <c r="CF23" s="133"/>
      <c r="CG23" s="133"/>
      <c r="CH23" s="133"/>
      <c r="CI23" s="133"/>
      <c r="CJ23" s="133"/>
      <c r="CK23" s="133"/>
      <c r="CL23" s="133"/>
      <c r="CM23" s="133"/>
      <c r="CN23" s="133"/>
      <c r="CO23" s="133"/>
      <c r="CP23" s="133"/>
      <c r="CQ23" s="133"/>
      <c r="CR23" s="133"/>
      <c r="CS23" s="133"/>
      <c r="CT23" s="133"/>
      <c r="CU23" s="133"/>
      <c r="CV23" s="133"/>
      <c r="CW23" s="133"/>
      <c r="CX23" s="133"/>
      <c r="CY23" s="133"/>
      <c r="CZ23" s="133"/>
      <c r="DA23" s="133"/>
      <c r="DB23" s="133"/>
      <c r="DC23" s="133"/>
      <c r="DD23" s="133"/>
      <c r="DE23" s="133"/>
      <c r="DF23" s="133"/>
      <c r="DG23" s="133"/>
      <c r="DH23" s="133"/>
      <c r="DI23" s="133"/>
      <c r="DJ23" s="133"/>
      <c r="DK23" s="133"/>
      <c r="DL23" s="133"/>
      <c r="DM23" s="133"/>
      <c r="DN23" s="133"/>
      <c r="DO23" s="133"/>
      <c r="DP23" s="133"/>
      <c r="DQ23" s="133"/>
      <c r="DR23" s="133"/>
      <c r="DS23" s="133"/>
      <c r="DT23" s="133"/>
      <c r="DU23" s="133"/>
      <c r="DV23" s="133"/>
      <c r="DW23" s="133">
        <v>0</v>
      </c>
      <c r="DX23" s="133"/>
      <c r="DY23" s="133"/>
      <c r="DZ23" s="133"/>
      <c r="EA23" s="133">
        <v>7383.10009259259</v>
      </c>
      <c r="EB23" s="133">
        <v>0</v>
      </c>
      <c r="EC23" s="133">
        <v>0</v>
      </c>
      <c r="ED23" s="133">
        <v>0</v>
      </c>
      <c r="EE23" s="133">
        <v>0</v>
      </c>
      <c r="EF23" s="133">
        <v>0</v>
      </c>
      <c r="EG23" s="133">
        <v>0</v>
      </c>
      <c r="EH23" s="133"/>
      <c r="EI23" s="133"/>
      <c r="EJ23" s="133">
        <v>7383.10009259259</v>
      </c>
      <c r="EK23" s="133">
        <v>7383.10009259259</v>
      </c>
      <c r="EL23" s="133">
        <v>0</v>
      </c>
      <c r="EM23" s="133">
        <v>0</v>
      </c>
      <c r="EN23" s="133">
        <v>0</v>
      </c>
      <c r="EO23" s="133">
        <v>0</v>
      </c>
      <c r="EP23" s="133">
        <v>0</v>
      </c>
      <c r="EQ23" s="133"/>
      <c r="ER23" s="133"/>
      <c r="ES23" s="133"/>
      <c r="ET23" s="133">
        <v>7469.2001967592596</v>
      </c>
      <c r="EU23" s="133"/>
      <c r="EV23" s="133">
        <v>7469.2001967592596</v>
      </c>
    </row>
    <row r="24" spans="1:152">
      <c r="A24" s="269" t="s">
        <v>163</v>
      </c>
      <c r="B24" s="133"/>
      <c r="C24" s="133"/>
      <c r="D24" s="133"/>
      <c r="E24" s="133">
        <v>0</v>
      </c>
      <c r="F24" s="133">
        <v>4823.89990740741</v>
      </c>
      <c r="G24" s="133">
        <v>4578.7001967592596</v>
      </c>
      <c r="H24" s="133">
        <v>4823.89990740741</v>
      </c>
      <c r="I24" s="133">
        <v>4833.10009259259</v>
      </c>
      <c r="J24" s="133">
        <v>4820.10009259259</v>
      </c>
      <c r="K24" s="133">
        <v>4812.2001967592596</v>
      </c>
      <c r="L24" s="133">
        <v>4812.2001967592596</v>
      </c>
      <c r="M24" s="133">
        <v>4812.2001967592596</v>
      </c>
      <c r="N24" s="133"/>
      <c r="O24" s="133"/>
      <c r="P24" s="133">
        <v>0</v>
      </c>
      <c r="Q24" s="133">
        <v>0</v>
      </c>
      <c r="R24" s="133">
        <v>0</v>
      </c>
      <c r="S24" s="133">
        <v>0</v>
      </c>
      <c r="T24" s="133"/>
      <c r="U24" s="133">
        <v>4799.5</v>
      </c>
      <c r="V24" s="133">
        <v>4799.5</v>
      </c>
      <c r="W24" s="133"/>
      <c r="X24" s="133">
        <v>4799.5</v>
      </c>
      <c r="Y24" s="133">
        <v>4812.2001967592596</v>
      </c>
      <c r="Z24" s="133">
        <v>4812.2001967592596</v>
      </c>
      <c r="AA24" s="133">
        <v>0</v>
      </c>
      <c r="AB24" s="133"/>
      <c r="AC24" s="133">
        <v>0</v>
      </c>
      <c r="AD24" s="133">
        <v>4818</v>
      </c>
      <c r="AE24" s="133">
        <v>4812.2001967592596</v>
      </c>
      <c r="AF24" s="133">
        <v>4693</v>
      </c>
      <c r="AG24" s="133">
        <v>4812.2001967592596</v>
      </c>
      <c r="AH24" s="133">
        <v>0</v>
      </c>
      <c r="AI24" s="133">
        <v>4812.2001967592596</v>
      </c>
      <c r="AJ24" s="133">
        <v>4812.2001967592596</v>
      </c>
      <c r="AK24" s="133">
        <v>0</v>
      </c>
      <c r="AL24" s="133">
        <v>4578.7001967592596</v>
      </c>
      <c r="AM24" s="133">
        <v>4578.7001967592596</v>
      </c>
      <c r="AN24" s="133">
        <v>4812.2001967592596</v>
      </c>
      <c r="AO24" s="133">
        <v>4812.2001967592596</v>
      </c>
      <c r="AP24" s="133">
        <v>4812.2001967592596</v>
      </c>
      <c r="AQ24" s="133">
        <v>4812.2001967592596</v>
      </c>
      <c r="AR24" s="133">
        <v>4812.2001967592596</v>
      </c>
      <c r="AS24" s="133">
        <v>4812.2001967592596</v>
      </c>
      <c r="AT24" s="133"/>
      <c r="AU24" s="133"/>
      <c r="AV24" s="133">
        <v>4812.2001967592596</v>
      </c>
      <c r="AW24" s="133">
        <v>4812.2001967592596</v>
      </c>
      <c r="AX24" s="133">
        <v>4812.2001967592596</v>
      </c>
      <c r="AY24" s="133">
        <v>4812.2001967592596</v>
      </c>
      <c r="AZ24" s="133"/>
      <c r="BA24" s="133"/>
      <c r="BB24" s="133">
        <v>4578.7001967592596</v>
      </c>
      <c r="BC24" s="133">
        <v>4812.2001967592596</v>
      </c>
      <c r="BD24" s="133">
        <v>0</v>
      </c>
      <c r="BE24" s="133">
        <v>0</v>
      </c>
      <c r="BF24" s="133">
        <v>0</v>
      </c>
      <c r="BG24" s="133">
        <v>0</v>
      </c>
      <c r="BH24" s="133">
        <v>0</v>
      </c>
      <c r="BI24" s="133">
        <v>4812.2001967592596</v>
      </c>
      <c r="BJ24" s="133">
        <v>0</v>
      </c>
      <c r="BK24" s="133">
        <v>0</v>
      </c>
      <c r="BL24" s="133">
        <v>0</v>
      </c>
      <c r="BM24" s="133">
        <v>0</v>
      </c>
      <c r="BN24" s="133">
        <v>0</v>
      </c>
      <c r="BO24" s="133">
        <v>0</v>
      </c>
      <c r="BP24" s="133">
        <v>0</v>
      </c>
      <c r="BQ24" s="133"/>
      <c r="BR24" s="133">
        <v>0</v>
      </c>
      <c r="BS24" s="133"/>
      <c r="BT24" s="133"/>
      <c r="BU24" s="133"/>
      <c r="BV24" s="133"/>
      <c r="BW24" s="133"/>
      <c r="BX24" s="133"/>
      <c r="BY24" s="133"/>
      <c r="BZ24" s="133">
        <v>0</v>
      </c>
      <c r="CA24" s="133"/>
      <c r="CB24" s="133"/>
      <c r="CC24" s="133"/>
      <c r="CD24" s="133"/>
      <c r="CE24" s="133"/>
      <c r="CF24" s="133"/>
      <c r="CG24" s="133">
        <v>0</v>
      </c>
      <c r="CH24" s="133">
        <v>0</v>
      </c>
      <c r="CI24" s="133">
        <v>0</v>
      </c>
      <c r="CJ24" s="133"/>
      <c r="CK24" s="133"/>
      <c r="CL24" s="133"/>
      <c r="CM24" s="133"/>
      <c r="CN24" s="133">
        <v>0</v>
      </c>
      <c r="CO24" s="133"/>
      <c r="CP24" s="133"/>
      <c r="CQ24" s="133"/>
      <c r="CR24" s="133"/>
      <c r="CS24" s="133"/>
      <c r="CT24" s="133"/>
      <c r="CU24" s="133"/>
      <c r="CV24" s="133">
        <v>0</v>
      </c>
      <c r="CW24" s="133">
        <v>4812.2001967592596</v>
      </c>
      <c r="CX24" s="133">
        <v>4578.7001967592596</v>
      </c>
      <c r="CY24" s="133">
        <v>4578.7001967592596</v>
      </c>
      <c r="CZ24" s="133">
        <v>4578.7001967592596</v>
      </c>
      <c r="DA24" s="133">
        <v>4812.2001967592596</v>
      </c>
      <c r="DB24" s="133"/>
      <c r="DC24" s="133"/>
      <c r="DD24" s="133"/>
      <c r="DE24" s="133">
        <v>0</v>
      </c>
      <c r="DF24" s="133"/>
      <c r="DG24" s="133">
        <v>0</v>
      </c>
      <c r="DH24" s="133">
        <v>0</v>
      </c>
      <c r="DI24" s="133"/>
      <c r="DJ24" s="133">
        <v>0</v>
      </c>
      <c r="DK24" s="133"/>
      <c r="DL24" s="133"/>
      <c r="DM24" s="133"/>
      <c r="DN24" s="133"/>
      <c r="DO24" s="133"/>
      <c r="DP24" s="133">
        <v>0</v>
      </c>
      <c r="DQ24" s="133">
        <v>0</v>
      </c>
      <c r="DR24" s="133"/>
      <c r="DS24" s="133">
        <v>0</v>
      </c>
      <c r="DT24" s="133">
        <v>0</v>
      </c>
      <c r="DU24" s="133"/>
      <c r="DV24" s="133"/>
      <c r="DW24" s="133">
        <v>0</v>
      </c>
      <c r="DX24" s="133"/>
      <c r="DY24" s="133">
        <v>0</v>
      </c>
      <c r="DZ24" s="133"/>
      <c r="EA24" s="133">
        <v>4812.2001967592596</v>
      </c>
      <c r="EB24" s="133">
        <v>0</v>
      </c>
      <c r="EC24" s="133">
        <v>0</v>
      </c>
      <c r="ED24" s="133">
        <v>0</v>
      </c>
      <c r="EE24" s="133">
        <v>0</v>
      </c>
      <c r="EF24" s="133">
        <v>0</v>
      </c>
      <c r="EG24" s="133">
        <v>0</v>
      </c>
      <c r="EH24" s="133"/>
      <c r="EI24" s="133"/>
      <c r="EJ24" s="133">
        <v>4812.2001967592596</v>
      </c>
      <c r="EK24" s="133">
        <v>4583.7001967592596</v>
      </c>
      <c r="EL24" s="133">
        <v>0</v>
      </c>
      <c r="EM24" s="133">
        <v>0</v>
      </c>
      <c r="EN24" s="133">
        <v>0</v>
      </c>
      <c r="EO24" s="133">
        <v>0</v>
      </c>
      <c r="EP24" s="133">
        <v>0</v>
      </c>
      <c r="EQ24" s="133"/>
      <c r="ER24" s="133"/>
      <c r="ES24" s="133">
        <v>4823.89990740741</v>
      </c>
      <c r="ET24" s="133">
        <v>4823.89990740741</v>
      </c>
      <c r="EU24" s="133">
        <v>0</v>
      </c>
      <c r="EV24" s="133">
        <v>4833.10009259259</v>
      </c>
    </row>
    <row r="25" spans="1:152">
      <c r="A25" s="270" t="s">
        <v>87</v>
      </c>
      <c r="B25" s="133"/>
      <c r="C25" s="133"/>
      <c r="D25" s="133"/>
      <c r="E25" s="133">
        <v>0</v>
      </c>
      <c r="F25" s="133">
        <v>4823.89990740741</v>
      </c>
      <c r="G25" s="133">
        <v>4578.7001967592596</v>
      </c>
      <c r="H25" s="133">
        <v>4823.89990740741</v>
      </c>
      <c r="I25" s="133">
        <v>4833.10009259259</v>
      </c>
      <c r="J25" s="133">
        <v>4820.10009259259</v>
      </c>
      <c r="K25" s="133">
        <v>4812.2001967592596</v>
      </c>
      <c r="L25" s="133">
        <v>4812.2001967592596</v>
      </c>
      <c r="M25" s="133">
        <v>4812.2001967592596</v>
      </c>
      <c r="N25" s="133"/>
      <c r="O25" s="133"/>
      <c r="P25" s="133">
        <v>0</v>
      </c>
      <c r="Q25" s="133">
        <v>0</v>
      </c>
      <c r="R25" s="133">
        <v>0</v>
      </c>
      <c r="S25" s="133">
        <v>0</v>
      </c>
      <c r="T25" s="133"/>
      <c r="U25" s="133">
        <v>4799.5</v>
      </c>
      <c r="V25" s="133">
        <v>4799.5</v>
      </c>
      <c r="W25" s="133"/>
      <c r="X25" s="133">
        <v>4799.5</v>
      </c>
      <c r="Y25" s="133">
        <v>4812.2001967592596</v>
      </c>
      <c r="Z25" s="133">
        <v>4812.2001967592596</v>
      </c>
      <c r="AA25" s="133">
        <v>0</v>
      </c>
      <c r="AB25" s="133"/>
      <c r="AC25" s="133">
        <v>0</v>
      </c>
      <c r="AD25" s="133">
        <v>4818</v>
      </c>
      <c r="AE25" s="133">
        <v>4812.2001967592596</v>
      </c>
      <c r="AF25" s="133">
        <v>4693</v>
      </c>
      <c r="AG25" s="133">
        <v>4812.2001967592596</v>
      </c>
      <c r="AH25" s="133">
        <v>0</v>
      </c>
      <c r="AI25" s="133">
        <v>4812.2001967592596</v>
      </c>
      <c r="AJ25" s="133">
        <v>4812.2001967592596</v>
      </c>
      <c r="AK25" s="133"/>
      <c r="AL25" s="133">
        <v>4578.7001967592596</v>
      </c>
      <c r="AM25" s="133">
        <v>4578.7001967592596</v>
      </c>
      <c r="AN25" s="133">
        <v>4812.2001967592596</v>
      </c>
      <c r="AO25" s="133">
        <v>4812.2001967592596</v>
      </c>
      <c r="AP25" s="133">
        <v>4812.2001967592596</v>
      </c>
      <c r="AQ25" s="133">
        <v>4812.2001967592596</v>
      </c>
      <c r="AR25" s="133">
        <v>4812.2001967592596</v>
      </c>
      <c r="AS25" s="133">
        <v>4812.2001967592596</v>
      </c>
      <c r="AT25" s="133"/>
      <c r="AU25" s="133"/>
      <c r="AV25" s="133">
        <v>4812.2001967592596</v>
      </c>
      <c r="AW25" s="133">
        <v>4812.2001967592596</v>
      </c>
      <c r="AX25" s="133">
        <v>4812.2001967592596</v>
      </c>
      <c r="AY25" s="133">
        <v>4812.2001967592596</v>
      </c>
      <c r="AZ25" s="133"/>
      <c r="BA25" s="133"/>
      <c r="BB25" s="133">
        <v>4578.7001967592596</v>
      </c>
      <c r="BC25" s="133">
        <v>4812.2001967592596</v>
      </c>
      <c r="BD25" s="133">
        <v>0</v>
      </c>
      <c r="BE25" s="133">
        <v>0</v>
      </c>
      <c r="BF25" s="133">
        <v>0</v>
      </c>
      <c r="BG25" s="133">
        <v>0</v>
      </c>
      <c r="BH25" s="133">
        <v>0</v>
      </c>
      <c r="BI25" s="133">
        <v>0</v>
      </c>
      <c r="BJ25" s="133">
        <v>0</v>
      </c>
      <c r="BK25" s="133">
        <v>0</v>
      </c>
      <c r="BL25" s="133">
        <v>0</v>
      </c>
      <c r="BM25" s="133">
        <v>0</v>
      </c>
      <c r="BN25" s="133">
        <v>0</v>
      </c>
      <c r="BO25" s="133">
        <v>0</v>
      </c>
      <c r="BP25" s="133">
        <v>0</v>
      </c>
      <c r="BQ25" s="133"/>
      <c r="BR25" s="133">
        <v>0</v>
      </c>
      <c r="BS25" s="133"/>
      <c r="BT25" s="133"/>
      <c r="BU25" s="133"/>
      <c r="BV25" s="133"/>
      <c r="BW25" s="133"/>
      <c r="BX25" s="133"/>
      <c r="BY25" s="133"/>
      <c r="BZ25" s="133">
        <v>0</v>
      </c>
      <c r="CA25" s="133"/>
      <c r="CB25" s="133"/>
      <c r="CC25" s="133"/>
      <c r="CD25" s="133"/>
      <c r="CE25" s="133"/>
      <c r="CF25" s="133"/>
      <c r="CG25" s="133">
        <v>0</v>
      </c>
      <c r="CH25" s="133">
        <v>0</v>
      </c>
      <c r="CI25" s="133">
        <v>0</v>
      </c>
      <c r="CJ25" s="133"/>
      <c r="CK25" s="133"/>
      <c r="CL25" s="133"/>
      <c r="CM25" s="133"/>
      <c r="CN25" s="133">
        <v>0</v>
      </c>
      <c r="CO25" s="133"/>
      <c r="CP25" s="133"/>
      <c r="CQ25" s="133"/>
      <c r="CR25" s="133"/>
      <c r="CS25" s="133"/>
      <c r="CT25" s="133"/>
      <c r="CU25" s="133"/>
      <c r="CV25" s="133">
        <v>0</v>
      </c>
      <c r="CW25" s="133">
        <v>4812.2001967592596</v>
      </c>
      <c r="CX25" s="133">
        <v>4578.7001967592596</v>
      </c>
      <c r="CY25" s="133">
        <v>4578.7001967592596</v>
      </c>
      <c r="CZ25" s="133">
        <v>4578.7001967592596</v>
      </c>
      <c r="DA25" s="133">
        <v>4812.2001967592596</v>
      </c>
      <c r="DB25" s="133"/>
      <c r="DC25" s="133"/>
      <c r="DD25" s="133"/>
      <c r="DE25" s="133">
        <v>0</v>
      </c>
      <c r="DF25" s="133"/>
      <c r="DG25" s="133">
        <v>0</v>
      </c>
      <c r="DH25" s="133">
        <v>0</v>
      </c>
      <c r="DI25" s="133"/>
      <c r="DJ25" s="133">
        <v>0</v>
      </c>
      <c r="DK25" s="133"/>
      <c r="DL25" s="133"/>
      <c r="DM25" s="133"/>
      <c r="DN25" s="133"/>
      <c r="DO25" s="133"/>
      <c r="DP25" s="133"/>
      <c r="DQ25" s="133"/>
      <c r="DR25" s="133"/>
      <c r="DS25" s="133"/>
      <c r="DT25" s="133"/>
      <c r="DU25" s="133"/>
      <c r="DV25" s="133"/>
      <c r="DW25" s="133"/>
      <c r="DX25" s="133"/>
      <c r="DY25" s="133"/>
      <c r="DZ25" s="133"/>
      <c r="EA25" s="133"/>
      <c r="EB25" s="133"/>
      <c r="EC25" s="133"/>
      <c r="ED25" s="133"/>
      <c r="EE25" s="133"/>
      <c r="EF25" s="133"/>
      <c r="EG25" s="133"/>
      <c r="EH25" s="133"/>
      <c r="EI25" s="133"/>
      <c r="EJ25" s="133"/>
      <c r="EK25" s="133"/>
      <c r="EL25" s="133"/>
      <c r="EM25" s="133"/>
      <c r="EN25" s="133"/>
      <c r="EO25" s="133"/>
      <c r="EP25" s="133"/>
      <c r="EQ25" s="133"/>
      <c r="ER25" s="133"/>
      <c r="ES25" s="133"/>
      <c r="ET25" s="133"/>
      <c r="EU25" s="133">
        <v>0</v>
      </c>
      <c r="EV25" s="133">
        <v>4833.10009259259</v>
      </c>
    </row>
    <row r="26" spans="1:152">
      <c r="A26" s="270" t="s">
        <v>172</v>
      </c>
      <c r="B26" s="133"/>
      <c r="C26" s="133"/>
      <c r="D26" s="133"/>
      <c r="E26" s="133"/>
      <c r="F26" s="133"/>
      <c r="G26" s="133"/>
      <c r="H26" s="133"/>
      <c r="I26" s="133"/>
      <c r="J26" s="133"/>
      <c r="K26" s="133"/>
      <c r="L26" s="133"/>
      <c r="M26" s="133"/>
      <c r="N26" s="133"/>
      <c r="O26" s="133"/>
      <c r="P26" s="133">
        <v>0</v>
      </c>
      <c r="Q26" s="133"/>
      <c r="R26" s="133"/>
      <c r="S26" s="133"/>
      <c r="T26" s="133"/>
      <c r="U26" s="133"/>
      <c r="V26" s="133">
        <v>0</v>
      </c>
      <c r="W26" s="133"/>
      <c r="X26" s="133">
        <v>0</v>
      </c>
      <c r="Y26" s="133"/>
      <c r="Z26" s="133"/>
      <c r="AA26" s="133"/>
      <c r="AB26" s="133"/>
      <c r="AC26" s="133"/>
      <c r="AD26" s="133"/>
      <c r="AE26" s="133"/>
      <c r="AF26" s="133"/>
      <c r="AG26" s="133">
        <v>0</v>
      </c>
      <c r="AH26" s="133"/>
      <c r="AI26" s="133"/>
      <c r="AJ26" s="133"/>
      <c r="AK26" s="133">
        <v>0</v>
      </c>
      <c r="AL26" s="133">
        <v>0</v>
      </c>
      <c r="AM26" s="133">
        <v>0</v>
      </c>
      <c r="AN26" s="133"/>
      <c r="AO26" s="133"/>
      <c r="AP26" s="133"/>
      <c r="AQ26" s="133"/>
      <c r="AR26" s="133"/>
      <c r="AS26" s="133"/>
      <c r="AT26" s="133"/>
      <c r="AU26" s="133"/>
      <c r="AV26" s="133"/>
      <c r="AW26" s="133"/>
      <c r="AX26" s="133"/>
      <c r="AY26" s="133"/>
      <c r="AZ26" s="133"/>
      <c r="BA26" s="133"/>
      <c r="BB26" s="133"/>
      <c r="BC26" s="133"/>
      <c r="BD26" s="133"/>
      <c r="BE26" s="133"/>
      <c r="BF26" s="133"/>
      <c r="BG26" s="133"/>
      <c r="BH26" s="133"/>
      <c r="BI26" s="133"/>
      <c r="BJ26" s="133"/>
      <c r="BK26" s="133"/>
      <c r="BL26" s="133"/>
      <c r="BM26" s="133"/>
      <c r="BN26" s="133"/>
      <c r="BO26" s="133"/>
      <c r="BP26" s="133"/>
      <c r="BQ26" s="133"/>
      <c r="BR26" s="133"/>
      <c r="BS26" s="133"/>
      <c r="BT26" s="133"/>
      <c r="BU26" s="133"/>
      <c r="BV26" s="133"/>
      <c r="BW26" s="133"/>
      <c r="BX26" s="133"/>
      <c r="BY26" s="133"/>
      <c r="BZ26" s="133"/>
      <c r="CA26" s="133"/>
      <c r="CB26" s="133"/>
      <c r="CC26" s="133"/>
      <c r="CD26" s="133"/>
      <c r="CE26" s="133"/>
      <c r="CF26" s="133"/>
      <c r="CG26" s="133"/>
      <c r="CH26" s="133"/>
      <c r="CI26" s="133"/>
      <c r="CJ26" s="133"/>
      <c r="CK26" s="133"/>
      <c r="CL26" s="133"/>
      <c r="CM26" s="133"/>
      <c r="CN26" s="133"/>
      <c r="CO26" s="133"/>
      <c r="CP26" s="133"/>
      <c r="CQ26" s="133"/>
      <c r="CR26" s="133"/>
      <c r="CS26" s="133"/>
      <c r="CT26" s="133"/>
      <c r="CU26" s="133"/>
      <c r="CV26" s="133"/>
      <c r="CW26" s="133"/>
      <c r="CX26" s="133"/>
      <c r="CY26" s="133"/>
      <c r="CZ26" s="133"/>
      <c r="DA26" s="133"/>
      <c r="DB26" s="133"/>
      <c r="DC26" s="133"/>
      <c r="DD26" s="133"/>
      <c r="DE26" s="133"/>
      <c r="DF26" s="133"/>
      <c r="DG26" s="133"/>
      <c r="DH26" s="133"/>
      <c r="DI26" s="133"/>
      <c r="DJ26" s="133"/>
      <c r="DK26" s="133"/>
      <c r="DL26" s="133"/>
      <c r="DM26" s="133"/>
      <c r="DN26" s="133"/>
      <c r="DO26" s="133"/>
      <c r="DP26" s="133">
        <v>0</v>
      </c>
      <c r="DQ26" s="133">
        <v>0</v>
      </c>
      <c r="DR26" s="133"/>
      <c r="DS26" s="133">
        <v>0</v>
      </c>
      <c r="DT26" s="133">
        <v>0</v>
      </c>
      <c r="DU26" s="133"/>
      <c r="DV26" s="133"/>
      <c r="DW26" s="133"/>
      <c r="DX26" s="133"/>
      <c r="DY26" s="133">
        <v>0</v>
      </c>
      <c r="DZ26" s="133"/>
      <c r="EA26" s="133"/>
      <c r="EB26" s="133"/>
      <c r="EC26" s="133"/>
      <c r="ED26" s="133"/>
      <c r="EE26" s="133"/>
      <c r="EF26" s="133"/>
      <c r="EG26" s="133"/>
      <c r="EH26" s="133"/>
      <c r="EI26" s="133"/>
      <c r="EJ26" s="133"/>
      <c r="EK26" s="133"/>
      <c r="EL26" s="133"/>
      <c r="EM26" s="133"/>
      <c r="EN26" s="133"/>
      <c r="EO26" s="133"/>
      <c r="EP26" s="133"/>
      <c r="EQ26" s="133"/>
      <c r="ER26" s="133"/>
      <c r="ES26" s="133">
        <v>4823.89990740741</v>
      </c>
      <c r="ET26" s="133"/>
      <c r="EU26" s="133"/>
      <c r="EV26" s="133">
        <v>4823.89990740741</v>
      </c>
    </row>
    <row r="27" spans="1:152">
      <c r="A27" s="270" t="s">
        <v>173</v>
      </c>
      <c r="B27" s="133"/>
      <c r="C27" s="133"/>
      <c r="D27" s="133"/>
      <c r="E27" s="133"/>
      <c r="F27" s="133"/>
      <c r="G27" s="133"/>
      <c r="H27" s="133">
        <v>4812.2001967592596</v>
      </c>
      <c r="I27" s="133"/>
      <c r="J27" s="133"/>
      <c r="K27" s="133"/>
      <c r="L27" s="133"/>
      <c r="M27" s="133"/>
      <c r="N27" s="133"/>
      <c r="O27" s="133"/>
      <c r="P27" s="133"/>
      <c r="Q27" s="133"/>
      <c r="R27" s="133"/>
      <c r="S27" s="133"/>
      <c r="T27" s="133"/>
      <c r="U27" s="133"/>
      <c r="V27" s="133"/>
      <c r="W27" s="133"/>
      <c r="X27" s="133"/>
      <c r="Y27" s="133"/>
      <c r="Z27" s="133"/>
      <c r="AA27" s="133"/>
      <c r="AB27" s="133"/>
      <c r="AC27" s="133"/>
      <c r="AD27" s="133"/>
      <c r="AE27" s="133"/>
      <c r="AF27" s="133"/>
      <c r="AG27" s="133"/>
      <c r="AH27" s="133"/>
      <c r="AI27" s="133"/>
      <c r="AJ27" s="133"/>
      <c r="AK27" s="133"/>
      <c r="AL27" s="133"/>
      <c r="AM27" s="133"/>
      <c r="AN27" s="133"/>
      <c r="AO27" s="133"/>
      <c r="AP27" s="133"/>
      <c r="AQ27" s="133"/>
      <c r="AR27" s="133"/>
      <c r="AS27" s="133"/>
      <c r="AT27" s="133"/>
      <c r="AU27" s="133"/>
      <c r="AV27" s="133"/>
      <c r="AW27" s="133"/>
      <c r="AX27" s="133"/>
      <c r="AY27" s="133"/>
      <c r="AZ27" s="133"/>
      <c r="BA27" s="133"/>
      <c r="BB27" s="133"/>
      <c r="BC27" s="133"/>
      <c r="BD27" s="133"/>
      <c r="BE27" s="133"/>
      <c r="BF27" s="133"/>
      <c r="BG27" s="133"/>
      <c r="BH27" s="133"/>
      <c r="BI27" s="133">
        <v>4812.2001967592596</v>
      </c>
      <c r="BJ27" s="133"/>
      <c r="BK27" s="133"/>
      <c r="BL27" s="133"/>
      <c r="BM27" s="133"/>
      <c r="BN27" s="133"/>
      <c r="BO27" s="133"/>
      <c r="BP27" s="133"/>
      <c r="BQ27" s="133"/>
      <c r="BR27" s="133"/>
      <c r="BS27" s="133"/>
      <c r="BT27" s="133"/>
      <c r="BU27" s="133"/>
      <c r="BV27" s="133"/>
      <c r="BW27" s="133"/>
      <c r="BX27" s="133"/>
      <c r="BY27" s="133"/>
      <c r="BZ27" s="133"/>
      <c r="CA27" s="133"/>
      <c r="CB27" s="133"/>
      <c r="CC27" s="133"/>
      <c r="CD27" s="133"/>
      <c r="CE27" s="133"/>
      <c r="CF27" s="133"/>
      <c r="CG27" s="133"/>
      <c r="CH27" s="133"/>
      <c r="CI27" s="133"/>
      <c r="CJ27" s="133"/>
      <c r="CK27" s="133"/>
      <c r="CL27" s="133"/>
      <c r="CM27" s="133"/>
      <c r="CN27" s="133"/>
      <c r="CO27" s="133"/>
      <c r="CP27" s="133"/>
      <c r="CQ27" s="133"/>
      <c r="CR27" s="133"/>
      <c r="CS27" s="133"/>
      <c r="CT27" s="133"/>
      <c r="CU27" s="133"/>
      <c r="CV27" s="133"/>
      <c r="CW27" s="133"/>
      <c r="CX27" s="133"/>
      <c r="CY27" s="133"/>
      <c r="CZ27" s="133"/>
      <c r="DA27" s="133"/>
      <c r="DB27" s="133"/>
      <c r="DC27" s="133"/>
      <c r="DD27" s="133"/>
      <c r="DE27" s="133"/>
      <c r="DF27" s="133"/>
      <c r="DG27" s="133"/>
      <c r="DH27" s="133"/>
      <c r="DI27" s="133"/>
      <c r="DJ27" s="133"/>
      <c r="DK27" s="133"/>
      <c r="DL27" s="133"/>
      <c r="DM27" s="133"/>
      <c r="DN27" s="133"/>
      <c r="DO27" s="133"/>
      <c r="DP27" s="133"/>
      <c r="DQ27" s="133"/>
      <c r="DR27" s="133"/>
      <c r="DS27" s="133"/>
      <c r="DT27" s="133"/>
      <c r="DU27" s="133"/>
      <c r="DV27" s="133"/>
      <c r="DW27" s="133">
        <v>0</v>
      </c>
      <c r="DX27" s="133"/>
      <c r="DY27" s="133"/>
      <c r="DZ27" s="133"/>
      <c r="EA27" s="133">
        <v>4812.2001967592596</v>
      </c>
      <c r="EB27" s="133">
        <v>0</v>
      </c>
      <c r="EC27" s="133">
        <v>0</v>
      </c>
      <c r="ED27" s="133">
        <v>0</v>
      </c>
      <c r="EE27" s="133">
        <v>0</v>
      </c>
      <c r="EF27" s="133">
        <v>0</v>
      </c>
      <c r="EG27" s="133">
        <v>0</v>
      </c>
      <c r="EH27" s="133"/>
      <c r="EI27" s="133"/>
      <c r="EJ27" s="133">
        <v>4812.2001967592596</v>
      </c>
      <c r="EK27" s="133">
        <v>4583.7001967592596</v>
      </c>
      <c r="EL27" s="133">
        <v>0</v>
      </c>
      <c r="EM27" s="133">
        <v>0</v>
      </c>
      <c r="EN27" s="133">
        <v>0</v>
      </c>
      <c r="EO27" s="133">
        <v>0</v>
      </c>
      <c r="EP27" s="133">
        <v>0</v>
      </c>
      <c r="EQ27" s="133"/>
      <c r="ER27" s="133"/>
      <c r="ES27" s="133"/>
      <c r="ET27" s="133">
        <v>4823.89990740741</v>
      </c>
      <c r="EU27" s="133"/>
      <c r="EV27" s="133">
        <v>4823.89990740741</v>
      </c>
    </row>
    <row r="28" spans="1:152">
      <c r="A28" s="269" t="s">
        <v>166</v>
      </c>
      <c r="B28" s="133"/>
      <c r="C28" s="133"/>
      <c r="D28" s="133"/>
      <c r="E28" s="133"/>
      <c r="F28" s="133">
        <v>3563</v>
      </c>
      <c r="G28" s="133">
        <v>3113.3000462963</v>
      </c>
      <c r="H28" s="133">
        <v>3563</v>
      </c>
      <c r="I28" s="133">
        <v>3474.5</v>
      </c>
      <c r="J28" s="133">
        <v>3563</v>
      </c>
      <c r="K28" s="133">
        <v>3479</v>
      </c>
      <c r="L28" s="133">
        <v>3479</v>
      </c>
      <c r="M28" s="133"/>
      <c r="N28" s="133"/>
      <c r="O28" s="133"/>
      <c r="P28" s="133">
        <v>0</v>
      </c>
      <c r="Q28" s="133">
        <v>0</v>
      </c>
      <c r="R28" s="133">
        <v>0</v>
      </c>
      <c r="S28" s="133">
        <v>0</v>
      </c>
      <c r="T28" s="133"/>
      <c r="U28" s="133">
        <v>3530</v>
      </c>
      <c r="V28" s="133">
        <v>3530</v>
      </c>
      <c r="W28" s="133"/>
      <c r="X28" s="133">
        <v>3530</v>
      </c>
      <c r="Y28" s="133">
        <v>3465.1999537037</v>
      </c>
      <c r="Z28" s="133">
        <v>3465.1999537037</v>
      </c>
      <c r="AA28" s="133">
        <v>0</v>
      </c>
      <c r="AB28" s="133"/>
      <c r="AC28" s="133">
        <v>0</v>
      </c>
      <c r="AD28" s="133">
        <v>3465.1999537037</v>
      </c>
      <c r="AE28" s="133">
        <v>3465.1999537037</v>
      </c>
      <c r="AF28" s="133">
        <v>3465.1999537037</v>
      </c>
      <c r="AG28" s="133">
        <v>3465.1999537037</v>
      </c>
      <c r="AH28" s="133">
        <v>0</v>
      </c>
      <c r="AI28" s="133">
        <v>3340.5</v>
      </c>
      <c r="AJ28" s="133">
        <v>3465.1999537037</v>
      </c>
      <c r="AK28" s="133"/>
      <c r="AL28" s="133">
        <v>3113.3000462963</v>
      </c>
      <c r="AM28" s="133">
        <v>3113.3000462963</v>
      </c>
      <c r="AN28" s="133">
        <v>3340.1999537037</v>
      </c>
      <c r="AO28" s="133">
        <v>3340.1999537037</v>
      </c>
      <c r="AP28" s="133">
        <v>3465.1999537037</v>
      </c>
      <c r="AQ28" s="133">
        <v>3464.6999537037</v>
      </c>
      <c r="AR28" s="133">
        <v>3340.1999537037</v>
      </c>
      <c r="AS28" s="133">
        <v>3340.5</v>
      </c>
      <c r="AT28" s="133"/>
      <c r="AU28" s="133"/>
      <c r="AV28" s="133">
        <v>3340.1999537037</v>
      </c>
      <c r="AW28" s="133">
        <v>3340.5</v>
      </c>
      <c r="AX28" s="133">
        <v>3340.5</v>
      </c>
      <c r="AY28" s="133">
        <v>3340.5</v>
      </c>
      <c r="AZ28" s="133">
        <v>0</v>
      </c>
      <c r="BA28" s="133">
        <v>0</v>
      </c>
      <c r="BB28" s="133">
        <v>3113.3000462963</v>
      </c>
      <c r="BC28" s="133">
        <v>3340.1999537037</v>
      </c>
      <c r="BD28" s="133">
        <v>0</v>
      </c>
      <c r="BE28" s="133">
        <v>0</v>
      </c>
      <c r="BF28" s="133">
        <v>0</v>
      </c>
      <c r="BG28" s="133">
        <v>0</v>
      </c>
      <c r="BH28" s="133">
        <v>0</v>
      </c>
      <c r="BI28" s="133">
        <v>3465.1999537037</v>
      </c>
      <c r="BJ28" s="133">
        <v>0</v>
      </c>
      <c r="BK28" s="133">
        <v>0</v>
      </c>
      <c r="BL28" s="133">
        <v>0</v>
      </c>
      <c r="BM28" s="133">
        <v>0</v>
      </c>
      <c r="BN28" s="133">
        <v>0</v>
      </c>
      <c r="BO28" s="133">
        <v>0</v>
      </c>
      <c r="BP28" s="133">
        <v>0</v>
      </c>
      <c r="BQ28" s="133"/>
      <c r="BR28" s="133"/>
      <c r="BS28" s="133">
        <v>0</v>
      </c>
      <c r="BT28" s="133">
        <v>0</v>
      </c>
      <c r="BU28" s="133">
        <v>0</v>
      </c>
      <c r="BV28" s="133">
        <v>0</v>
      </c>
      <c r="BW28" s="133">
        <v>0</v>
      </c>
      <c r="BX28" s="133">
        <v>0</v>
      </c>
      <c r="BY28" s="133">
        <v>0</v>
      </c>
      <c r="BZ28" s="133">
        <v>0</v>
      </c>
      <c r="CA28" s="133">
        <v>0</v>
      </c>
      <c r="CB28" s="133"/>
      <c r="CC28" s="133"/>
      <c r="CD28" s="133"/>
      <c r="CE28" s="133"/>
      <c r="CF28" s="133"/>
      <c r="CG28" s="133">
        <v>0</v>
      </c>
      <c r="CH28" s="133"/>
      <c r="CI28" s="133"/>
      <c r="CJ28" s="133"/>
      <c r="CK28" s="133"/>
      <c r="CL28" s="133"/>
      <c r="CM28" s="133"/>
      <c r="CN28" s="133"/>
      <c r="CO28" s="133"/>
      <c r="CP28" s="133"/>
      <c r="CQ28" s="133"/>
      <c r="CR28" s="133"/>
      <c r="CS28" s="133"/>
      <c r="CT28" s="133"/>
      <c r="CU28" s="133"/>
      <c r="CV28" s="133"/>
      <c r="CW28" s="133">
        <v>3340.1999537037</v>
      </c>
      <c r="CX28" s="133">
        <v>3113.3000462963</v>
      </c>
      <c r="CY28" s="133">
        <v>3113.3000462963</v>
      </c>
      <c r="CZ28" s="133">
        <v>3113.3000462963</v>
      </c>
      <c r="DA28" s="133">
        <v>3340.1999537037</v>
      </c>
      <c r="DB28" s="133">
        <v>0</v>
      </c>
      <c r="DC28" s="133"/>
      <c r="DD28" s="133"/>
      <c r="DE28" s="133"/>
      <c r="DF28" s="133"/>
      <c r="DG28" s="133">
        <v>0</v>
      </c>
      <c r="DH28" s="133">
        <v>0</v>
      </c>
      <c r="DI28" s="133"/>
      <c r="DJ28" s="133">
        <v>0</v>
      </c>
      <c r="DK28" s="133"/>
      <c r="DL28" s="133"/>
      <c r="DM28" s="133"/>
      <c r="DN28" s="133"/>
      <c r="DO28" s="133"/>
      <c r="DP28" s="133"/>
      <c r="DQ28" s="133"/>
      <c r="DR28" s="133"/>
      <c r="DS28" s="133">
        <v>0</v>
      </c>
      <c r="DT28" s="133"/>
      <c r="DU28" s="133"/>
      <c r="DV28" s="133"/>
      <c r="DW28" s="133">
        <v>0</v>
      </c>
      <c r="DX28" s="133">
        <v>0</v>
      </c>
      <c r="DY28" s="133"/>
      <c r="DZ28" s="133"/>
      <c r="EA28" s="133">
        <v>3465.1999537037</v>
      </c>
      <c r="EB28" s="133"/>
      <c r="EC28" s="133">
        <v>0</v>
      </c>
      <c r="ED28" s="133">
        <v>0</v>
      </c>
      <c r="EE28" s="133">
        <v>0</v>
      </c>
      <c r="EF28" s="133">
        <v>0</v>
      </c>
      <c r="EG28" s="133">
        <v>0</v>
      </c>
      <c r="EH28" s="133"/>
      <c r="EI28" s="133"/>
      <c r="EJ28" s="133">
        <v>3340.1999537037</v>
      </c>
      <c r="EK28" s="133">
        <v>3113.3000462963</v>
      </c>
      <c r="EL28" s="133"/>
      <c r="EM28" s="133"/>
      <c r="EN28" s="133"/>
      <c r="EO28" s="133"/>
      <c r="EP28" s="133"/>
      <c r="EQ28" s="133"/>
      <c r="ER28" s="133"/>
      <c r="ES28" s="133"/>
      <c r="ET28" s="133"/>
      <c r="EU28" s="133">
        <v>0</v>
      </c>
      <c r="EV28" s="133">
        <v>3563</v>
      </c>
    </row>
    <row r="29" spans="1:152">
      <c r="A29" s="270" t="s">
        <v>87</v>
      </c>
      <c r="B29" s="133"/>
      <c r="C29" s="133"/>
      <c r="D29" s="133"/>
      <c r="E29" s="133"/>
      <c r="F29" s="133">
        <v>3563</v>
      </c>
      <c r="G29" s="133">
        <v>3113.3000462963</v>
      </c>
      <c r="H29" s="133">
        <v>3563</v>
      </c>
      <c r="I29" s="133">
        <v>3474.5</v>
      </c>
      <c r="J29" s="133">
        <v>3563</v>
      </c>
      <c r="K29" s="133">
        <v>3479</v>
      </c>
      <c r="L29" s="133">
        <v>3479</v>
      </c>
      <c r="M29" s="133"/>
      <c r="N29" s="133"/>
      <c r="O29" s="133"/>
      <c r="P29" s="133">
        <v>0</v>
      </c>
      <c r="Q29" s="133">
        <v>0</v>
      </c>
      <c r="R29" s="133">
        <v>0</v>
      </c>
      <c r="S29" s="133">
        <v>0</v>
      </c>
      <c r="T29" s="133"/>
      <c r="U29" s="133">
        <v>3530</v>
      </c>
      <c r="V29" s="133">
        <v>3530</v>
      </c>
      <c r="W29" s="133"/>
      <c r="X29" s="133">
        <v>3530</v>
      </c>
      <c r="Y29" s="133">
        <v>3465.1999537037</v>
      </c>
      <c r="Z29" s="133">
        <v>3465.1999537037</v>
      </c>
      <c r="AA29" s="133">
        <v>0</v>
      </c>
      <c r="AB29" s="133"/>
      <c r="AC29" s="133">
        <v>0</v>
      </c>
      <c r="AD29" s="133">
        <v>3465.1999537037</v>
      </c>
      <c r="AE29" s="133">
        <v>3465.1999537037</v>
      </c>
      <c r="AF29" s="133">
        <v>3465.1999537037</v>
      </c>
      <c r="AG29" s="133">
        <v>3465.1999537037</v>
      </c>
      <c r="AH29" s="133">
        <v>0</v>
      </c>
      <c r="AI29" s="133">
        <v>3340.5</v>
      </c>
      <c r="AJ29" s="133">
        <v>3465.1999537037</v>
      </c>
      <c r="AK29" s="133"/>
      <c r="AL29" s="133">
        <v>3113.3000462963</v>
      </c>
      <c r="AM29" s="133">
        <v>3113.3000462963</v>
      </c>
      <c r="AN29" s="133">
        <v>3340.1999537037</v>
      </c>
      <c r="AO29" s="133">
        <v>3340.1999537037</v>
      </c>
      <c r="AP29" s="133">
        <v>3465.1999537037</v>
      </c>
      <c r="AQ29" s="133">
        <v>3464.6999537037</v>
      </c>
      <c r="AR29" s="133">
        <v>3340.1999537037</v>
      </c>
      <c r="AS29" s="133">
        <v>3340.5</v>
      </c>
      <c r="AT29" s="133"/>
      <c r="AU29" s="133"/>
      <c r="AV29" s="133">
        <v>3340.1999537037</v>
      </c>
      <c r="AW29" s="133">
        <v>3340.5</v>
      </c>
      <c r="AX29" s="133">
        <v>3340.5</v>
      </c>
      <c r="AY29" s="133">
        <v>3340.5</v>
      </c>
      <c r="AZ29" s="133">
        <v>0</v>
      </c>
      <c r="BA29" s="133">
        <v>0</v>
      </c>
      <c r="BB29" s="133">
        <v>3113.3000462963</v>
      </c>
      <c r="BC29" s="133">
        <v>3340.1999537037</v>
      </c>
      <c r="BD29" s="133">
        <v>0</v>
      </c>
      <c r="BE29" s="133">
        <v>0</v>
      </c>
      <c r="BF29" s="133">
        <v>0</v>
      </c>
      <c r="BG29" s="133">
        <v>0</v>
      </c>
      <c r="BH29" s="133">
        <v>0</v>
      </c>
      <c r="BI29" s="133">
        <v>0</v>
      </c>
      <c r="BJ29" s="133">
        <v>0</v>
      </c>
      <c r="BK29" s="133">
        <v>0</v>
      </c>
      <c r="BL29" s="133">
        <v>0</v>
      </c>
      <c r="BM29" s="133">
        <v>0</v>
      </c>
      <c r="BN29" s="133">
        <v>0</v>
      </c>
      <c r="BO29" s="133">
        <v>0</v>
      </c>
      <c r="BP29" s="133">
        <v>0</v>
      </c>
      <c r="BQ29" s="133"/>
      <c r="BR29" s="133"/>
      <c r="BS29" s="133">
        <v>0</v>
      </c>
      <c r="BT29" s="133">
        <v>0</v>
      </c>
      <c r="BU29" s="133">
        <v>0</v>
      </c>
      <c r="BV29" s="133">
        <v>0</v>
      </c>
      <c r="BW29" s="133">
        <v>0</v>
      </c>
      <c r="BX29" s="133">
        <v>0</v>
      </c>
      <c r="BY29" s="133">
        <v>0</v>
      </c>
      <c r="BZ29" s="133">
        <v>0</v>
      </c>
      <c r="CA29" s="133">
        <v>0</v>
      </c>
      <c r="CB29" s="133"/>
      <c r="CC29" s="133"/>
      <c r="CD29" s="133"/>
      <c r="CE29" s="133"/>
      <c r="CF29" s="133"/>
      <c r="CG29" s="133">
        <v>0</v>
      </c>
      <c r="CH29" s="133"/>
      <c r="CI29" s="133"/>
      <c r="CJ29" s="133"/>
      <c r="CK29" s="133"/>
      <c r="CL29" s="133"/>
      <c r="CM29" s="133"/>
      <c r="CN29" s="133"/>
      <c r="CO29" s="133"/>
      <c r="CP29" s="133"/>
      <c r="CQ29" s="133"/>
      <c r="CR29" s="133"/>
      <c r="CS29" s="133"/>
      <c r="CT29" s="133"/>
      <c r="CU29" s="133"/>
      <c r="CV29" s="133"/>
      <c r="CW29" s="133">
        <v>3340.1999537037</v>
      </c>
      <c r="CX29" s="133">
        <v>3113.3000462963</v>
      </c>
      <c r="CY29" s="133">
        <v>3113.3000462963</v>
      </c>
      <c r="CZ29" s="133">
        <v>3113.3000462963</v>
      </c>
      <c r="DA29" s="133">
        <v>3340.1999537037</v>
      </c>
      <c r="DB29" s="133">
        <v>0</v>
      </c>
      <c r="DC29" s="133"/>
      <c r="DD29" s="133"/>
      <c r="DE29" s="133"/>
      <c r="DF29" s="133"/>
      <c r="DG29" s="133">
        <v>0</v>
      </c>
      <c r="DH29" s="133">
        <v>0</v>
      </c>
      <c r="DI29" s="133"/>
      <c r="DJ29" s="133">
        <v>0</v>
      </c>
      <c r="DK29" s="133"/>
      <c r="DL29" s="133"/>
      <c r="DM29" s="133"/>
      <c r="DN29" s="133"/>
      <c r="DO29" s="133"/>
      <c r="DP29" s="133"/>
      <c r="DQ29" s="133"/>
      <c r="DR29" s="133"/>
      <c r="DS29" s="133"/>
      <c r="DT29" s="133"/>
      <c r="DU29" s="133"/>
      <c r="DV29" s="133"/>
      <c r="DW29" s="133"/>
      <c r="DX29" s="133"/>
      <c r="DY29" s="133"/>
      <c r="DZ29" s="133"/>
      <c r="EA29" s="133"/>
      <c r="EB29" s="133"/>
      <c r="EC29" s="133"/>
      <c r="ED29" s="133"/>
      <c r="EE29" s="133"/>
      <c r="EF29" s="133"/>
      <c r="EG29" s="133"/>
      <c r="EH29" s="133"/>
      <c r="EI29" s="133"/>
      <c r="EJ29" s="133"/>
      <c r="EK29" s="133"/>
      <c r="EL29" s="133"/>
      <c r="EM29" s="133"/>
      <c r="EN29" s="133"/>
      <c r="EO29" s="133"/>
      <c r="EP29" s="133"/>
      <c r="EQ29" s="133"/>
      <c r="ER29" s="133"/>
      <c r="ES29" s="133"/>
      <c r="ET29" s="133"/>
      <c r="EU29" s="133">
        <v>0</v>
      </c>
      <c r="EV29" s="133">
        <v>3563</v>
      </c>
    </row>
    <row r="30" spans="1:152">
      <c r="A30" s="270" t="s">
        <v>172</v>
      </c>
      <c r="B30" s="133"/>
      <c r="C30" s="133"/>
      <c r="D30" s="133"/>
      <c r="E30" s="133"/>
      <c r="F30" s="133"/>
      <c r="G30" s="133"/>
      <c r="H30" s="133"/>
      <c r="I30" s="133"/>
      <c r="J30" s="133"/>
      <c r="K30" s="133"/>
      <c r="L30" s="133"/>
      <c r="M30" s="133"/>
      <c r="N30" s="133"/>
      <c r="O30" s="133"/>
      <c r="P30" s="133"/>
      <c r="Q30" s="133"/>
      <c r="R30" s="133"/>
      <c r="S30" s="133"/>
      <c r="T30" s="133"/>
      <c r="U30" s="133"/>
      <c r="V30" s="133">
        <v>0</v>
      </c>
      <c r="W30" s="133"/>
      <c r="X30" s="133">
        <v>0</v>
      </c>
      <c r="Y30" s="133"/>
      <c r="Z30" s="133"/>
      <c r="AA30" s="133"/>
      <c r="AB30" s="133"/>
      <c r="AC30" s="133"/>
      <c r="AD30" s="133"/>
      <c r="AE30" s="133"/>
      <c r="AF30" s="133"/>
      <c r="AG30" s="133">
        <v>0</v>
      </c>
      <c r="AH30" s="133"/>
      <c r="AI30" s="133"/>
      <c r="AJ30" s="133"/>
      <c r="AK30" s="133"/>
      <c r="AL30" s="133"/>
      <c r="AM30" s="133">
        <v>0</v>
      </c>
      <c r="AN30" s="133"/>
      <c r="AO30" s="133"/>
      <c r="AP30" s="133"/>
      <c r="AQ30" s="133"/>
      <c r="AR30" s="133"/>
      <c r="AS30" s="133"/>
      <c r="AT30" s="133"/>
      <c r="AU30" s="133"/>
      <c r="AV30" s="133"/>
      <c r="AW30" s="133"/>
      <c r="AX30" s="133"/>
      <c r="AY30" s="133"/>
      <c r="AZ30" s="133"/>
      <c r="BA30" s="133"/>
      <c r="BB30" s="133"/>
      <c r="BC30" s="133"/>
      <c r="BD30" s="133"/>
      <c r="BE30" s="133"/>
      <c r="BF30" s="133"/>
      <c r="BG30" s="133"/>
      <c r="BH30" s="133"/>
      <c r="BI30" s="133"/>
      <c r="BJ30" s="133"/>
      <c r="BK30" s="133"/>
      <c r="BL30" s="133"/>
      <c r="BM30" s="133"/>
      <c r="BN30" s="133"/>
      <c r="BO30" s="133"/>
      <c r="BP30" s="133"/>
      <c r="BQ30" s="133"/>
      <c r="BR30" s="133"/>
      <c r="BS30" s="133"/>
      <c r="BT30" s="133"/>
      <c r="BU30" s="133"/>
      <c r="BV30" s="133"/>
      <c r="BW30" s="133"/>
      <c r="BX30" s="133"/>
      <c r="BY30" s="133"/>
      <c r="BZ30" s="133"/>
      <c r="CA30" s="133"/>
      <c r="CB30" s="133"/>
      <c r="CC30" s="133"/>
      <c r="CD30" s="133"/>
      <c r="CE30" s="133"/>
      <c r="CF30" s="133"/>
      <c r="CG30" s="133"/>
      <c r="CH30" s="133"/>
      <c r="CI30" s="133"/>
      <c r="CJ30" s="133"/>
      <c r="CK30" s="133"/>
      <c r="CL30" s="133"/>
      <c r="CM30" s="133"/>
      <c r="CN30" s="133"/>
      <c r="CO30" s="133"/>
      <c r="CP30" s="133"/>
      <c r="CQ30" s="133"/>
      <c r="CR30" s="133"/>
      <c r="CS30" s="133"/>
      <c r="CT30" s="133"/>
      <c r="CU30" s="133"/>
      <c r="CV30" s="133"/>
      <c r="CW30" s="133"/>
      <c r="CX30" s="133"/>
      <c r="CY30" s="133"/>
      <c r="CZ30" s="133"/>
      <c r="DA30" s="133"/>
      <c r="DB30" s="133"/>
      <c r="DC30" s="133"/>
      <c r="DD30" s="133"/>
      <c r="DE30" s="133"/>
      <c r="DF30" s="133"/>
      <c r="DG30" s="133"/>
      <c r="DH30" s="133"/>
      <c r="DI30" s="133"/>
      <c r="DJ30" s="133"/>
      <c r="DK30" s="133"/>
      <c r="DL30" s="133"/>
      <c r="DM30" s="133"/>
      <c r="DN30" s="133"/>
      <c r="DO30" s="133"/>
      <c r="DP30" s="133"/>
      <c r="DQ30" s="133"/>
      <c r="DR30" s="133"/>
      <c r="DS30" s="133">
        <v>0</v>
      </c>
      <c r="DT30" s="133"/>
      <c r="DU30" s="133"/>
      <c r="DV30" s="133"/>
      <c r="DW30" s="133"/>
      <c r="DX30" s="133">
        <v>0</v>
      </c>
      <c r="DY30" s="133"/>
      <c r="DZ30" s="133"/>
      <c r="EA30" s="133"/>
      <c r="EB30" s="133"/>
      <c r="EC30" s="133"/>
      <c r="ED30" s="133"/>
      <c r="EE30" s="133"/>
      <c r="EF30" s="133"/>
      <c r="EG30" s="133"/>
      <c r="EH30" s="133"/>
      <c r="EI30" s="133"/>
      <c r="EJ30" s="133"/>
      <c r="EK30" s="133"/>
      <c r="EL30" s="133"/>
      <c r="EM30" s="133"/>
      <c r="EN30" s="133"/>
      <c r="EO30" s="133"/>
      <c r="EP30" s="133"/>
      <c r="EQ30" s="133"/>
      <c r="ER30" s="133"/>
      <c r="ES30" s="133"/>
      <c r="ET30" s="133"/>
      <c r="EU30" s="133"/>
      <c r="EV30" s="133">
        <v>0</v>
      </c>
    </row>
    <row r="31" spans="1:152">
      <c r="A31" s="270" t="s">
        <v>173</v>
      </c>
      <c r="B31" s="133"/>
      <c r="C31" s="133"/>
      <c r="D31" s="133"/>
      <c r="E31" s="133"/>
      <c r="F31" s="133"/>
      <c r="G31" s="133"/>
      <c r="H31" s="133">
        <v>3465.1999537037</v>
      </c>
      <c r="I31" s="133"/>
      <c r="J31" s="133"/>
      <c r="K31" s="133"/>
      <c r="L31" s="133"/>
      <c r="M31" s="133"/>
      <c r="N31" s="133"/>
      <c r="O31" s="133"/>
      <c r="P31" s="133"/>
      <c r="Q31" s="133"/>
      <c r="R31" s="133"/>
      <c r="S31" s="133"/>
      <c r="T31" s="133"/>
      <c r="U31" s="133"/>
      <c r="V31" s="133"/>
      <c r="W31" s="133"/>
      <c r="X31" s="133"/>
      <c r="Y31" s="133"/>
      <c r="Z31" s="133"/>
      <c r="AA31" s="133"/>
      <c r="AB31" s="133"/>
      <c r="AC31" s="133"/>
      <c r="AD31" s="133"/>
      <c r="AE31" s="133"/>
      <c r="AF31" s="133"/>
      <c r="AG31" s="133"/>
      <c r="AH31" s="133"/>
      <c r="AI31" s="133"/>
      <c r="AJ31" s="133"/>
      <c r="AK31" s="133"/>
      <c r="AL31" s="133"/>
      <c r="AM31" s="133"/>
      <c r="AN31" s="133"/>
      <c r="AO31" s="133"/>
      <c r="AP31" s="133"/>
      <c r="AQ31" s="133"/>
      <c r="AR31" s="133"/>
      <c r="AS31" s="133"/>
      <c r="AT31" s="133"/>
      <c r="AU31" s="133"/>
      <c r="AV31" s="133"/>
      <c r="AW31" s="133"/>
      <c r="AX31" s="133"/>
      <c r="AY31" s="133"/>
      <c r="AZ31" s="133"/>
      <c r="BA31" s="133"/>
      <c r="BB31" s="133"/>
      <c r="BC31" s="133"/>
      <c r="BD31" s="133"/>
      <c r="BE31" s="133"/>
      <c r="BF31" s="133"/>
      <c r="BG31" s="133"/>
      <c r="BH31" s="133"/>
      <c r="BI31" s="133">
        <v>3465.1999537037</v>
      </c>
      <c r="BJ31" s="133"/>
      <c r="BK31" s="133"/>
      <c r="BL31" s="133"/>
      <c r="BM31" s="133"/>
      <c r="BN31" s="133"/>
      <c r="BO31" s="133"/>
      <c r="BP31" s="133"/>
      <c r="BQ31" s="133"/>
      <c r="BR31" s="133"/>
      <c r="BS31" s="133"/>
      <c r="BT31" s="133"/>
      <c r="BU31" s="133"/>
      <c r="BV31" s="133"/>
      <c r="BW31" s="133"/>
      <c r="BX31" s="133"/>
      <c r="BY31" s="133"/>
      <c r="BZ31" s="133"/>
      <c r="CA31" s="133"/>
      <c r="CB31" s="133"/>
      <c r="CC31" s="133"/>
      <c r="CD31" s="133"/>
      <c r="CE31" s="133"/>
      <c r="CF31" s="133"/>
      <c r="CG31" s="133"/>
      <c r="CH31" s="133"/>
      <c r="CI31" s="133"/>
      <c r="CJ31" s="133"/>
      <c r="CK31" s="133"/>
      <c r="CL31" s="133"/>
      <c r="CM31" s="133"/>
      <c r="CN31" s="133"/>
      <c r="CO31" s="133"/>
      <c r="CP31" s="133"/>
      <c r="CQ31" s="133"/>
      <c r="CR31" s="133"/>
      <c r="CS31" s="133"/>
      <c r="CT31" s="133"/>
      <c r="CU31" s="133"/>
      <c r="CV31" s="133"/>
      <c r="CW31" s="133"/>
      <c r="CX31" s="133"/>
      <c r="CY31" s="133"/>
      <c r="CZ31" s="133"/>
      <c r="DA31" s="133"/>
      <c r="DB31" s="133"/>
      <c r="DC31" s="133"/>
      <c r="DD31" s="133"/>
      <c r="DE31" s="133"/>
      <c r="DF31" s="133"/>
      <c r="DG31" s="133"/>
      <c r="DH31" s="133"/>
      <c r="DI31" s="133"/>
      <c r="DJ31" s="133"/>
      <c r="DK31" s="133"/>
      <c r="DL31" s="133"/>
      <c r="DM31" s="133"/>
      <c r="DN31" s="133"/>
      <c r="DO31" s="133"/>
      <c r="DP31" s="133"/>
      <c r="DQ31" s="133"/>
      <c r="DR31" s="133"/>
      <c r="DS31" s="133"/>
      <c r="DT31" s="133"/>
      <c r="DU31" s="133"/>
      <c r="DV31" s="133"/>
      <c r="DW31" s="133">
        <v>0</v>
      </c>
      <c r="DX31" s="133"/>
      <c r="DY31" s="133"/>
      <c r="DZ31" s="133"/>
      <c r="EA31" s="133">
        <v>3465.1999537037</v>
      </c>
      <c r="EB31" s="133"/>
      <c r="EC31" s="133">
        <v>0</v>
      </c>
      <c r="ED31" s="133">
        <v>0</v>
      </c>
      <c r="EE31" s="133">
        <v>0</v>
      </c>
      <c r="EF31" s="133">
        <v>0</v>
      </c>
      <c r="EG31" s="133">
        <v>0</v>
      </c>
      <c r="EH31" s="133"/>
      <c r="EI31" s="133"/>
      <c r="EJ31" s="133">
        <v>3340.1999537037</v>
      </c>
      <c r="EK31" s="133">
        <v>3113.3000462963</v>
      </c>
      <c r="EL31" s="133"/>
      <c r="EM31" s="133"/>
      <c r="EN31" s="133"/>
      <c r="EO31" s="133"/>
      <c r="EP31" s="133"/>
      <c r="EQ31" s="133"/>
      <c r="ER31" s="133"/>
      <c r="ES31" s="133"/>
      <c r="ET31" s="133"/>
      <c r="EU31" s="133"/>
      <c r="EV31" s="133">
        <v>3465.1999537037</v>
      </c>
    </row>
    <row r="32" spans="1:152">
      <c r="A32" s="269" t="s">
        <v>149</v>
      </c>
      <c r="B32" s="133"/>
      <c r="C32" s="133">
        <v>0</v>
      </c>
      <c r="D32" s="133"/>
      <c r="E32" s="133">
        <v>0</v>
      </c>
      <c r="F32" s="133">
        <v>5179.89990740741</v>
      </c>
      <c r="G32" s="133">
        <v>4706.39990740741</v>
      </c>
      <c r="H32" s="133">
        <v>5179.89990740741</v>
      </c>
      <c r="I32" s="133">
        <v>5079.2001967592596</v>
      </c>
      <c r="J32" s="133">
        <v>5170.7998032407404</v>
      </c>
      <c r="K32" s="133">
        <v>5096.89990740741</v>
      </c>
      <c r="L32" s="133">
        <v>5096.89990740741</v>
      </c>
      <c r="M32" s="133">
        <v>5096.89990740741</v>
      </c>
      <c r="N32" s="133"/>
      <c r="O32" s="133"/>
      <c r="P32" s="133">
        <v>0</v>
      </c>
      <c r="Q32" s="133">
        <v>0</v>
      </c>
      <c r="R32" s="133">
        <v>0</v>
      </c>
      <c r="S32" s="133">
        <v>0</v>
      </c>
      <c r="T32" s="133"/>
      <c r="U32" s="133">
        <v>5157.5</v>
      </c>
      <c r="V32" s="133">
        <v>5157.5</v>
      </c>
      <c r="W32" s="133"/>
      <c r="X32" s="133">
        <v>5157.5</v>
      </c>
      <c r="Y32" s="133">
        <v>5078.7001967592596</v>
      </c>
      <c r="Z32" s="133">
        <v>5078.7001967592596</v>
      </c>
      <c r="AA32" s="133">
        <v>0</v>
      </c>
      <c r="AB32" s="133"/>
      <c r="AC32" s="133">
        <v>0</v>
      </c>
      <c r="AD32" s="133">
        <v>5078.7001967592596</v>
      </c>
      <c r="AE32" s="133">
        <v>5078.7001967592596</v>
      </c>
      <c r="AF32" s="133">
        <v>5078.7001967592596</v>
      </c>
      <c r="AG32" s="133">
        <v>5078.7001967592596</v>
      </c>
      <c r="AH32" s="133">
        <v>0</v>
      </c>
      <c r="AI32" s="133">
        <v>4953.7001967592596</v>
      </c>
      <c r="AJ32" s="133">
        <v>5078.7001967592596</v>
      </c>
      <c r="AK32" s="133"/>
      <c r="AL32" s="133">
        <v>4706.39990740741</v>
      </c>
      <c r="AM32" s="133">
        <v>4706.39990740741</v>
      </c>
      <c r="AN32" s="133">
        <v>4953.7001967592596</v>
      </c>
      <c r="AO32" s="133">
        <v>4953.7001967592596</v>
      </c>
      <c r="AP32" s="133">
        <v>5080</v>
      </c>
      <c r="AQ32" s="133">
        <v>5057.5</v>
      </c>
      <c r="AR32" s="133">
        <v>4953.7001967592596</v>
      </c>
      <c r="AS32" s="133">
        <v>4953.7001967592596</v>
      </c>
      <c r="AT32" s="133"/>
      <c r="AU32" s="133"/>
      <c r="AV32" s="133">
        <v>4953.7001967592596</v>
      </c>
      <c r="AW32" s="133">
        <v>4953.7001967592596</v>
      </c>
      <c r="AX32" s="133">
        <v>4953.7001967592596</v>
      </c>
      <c r="AY32" s="133">
        <v>4953.7001967592596</v>
      </c>
      <c r="AZ32" s="133"/>
      <c r="BA32" s="133"/>
      <c r="BB32" s="133">
        <v>4706.39990740741</v>
      </c>
      <c r="BC32" s="133">
        <v>4953.7001967592596</v>
      </c>
      <c r="BD32" s="133">
        <v>0</v>
      </c>
      <c r="BE32" s="133">
        <v>0</v>
      </c>
      <c r="BF32" s="133">
        <v>0</v>
      </c>
      <c r="BG32" s="133">
        <v>0</v>
      </c>
      <c r="BH32" s="133">
        <v>0</v>
      </c>
      <c r="BI32" s="133">
        <v>5078.7001967592596</v>
      </c>
      <c r="BJ32" s="133">
        <v>0</v>
      </c>
      <c r="BK32" s="133">
        <v>0</v>
      </c>
      <c r="BL32" s="133">
        <v>0</v>
      </c>
      <c r="BM32" s="133">
        <v>0</v>
      </c>
      <c r="BN32" s="133">
        <v>0</v>
      </c>
      <c r="BO32" s="133">
        <v>0</v>
      </c>
      <c r="BP32" s="133">
        <v>0</v>
      </c>
      <c r="BQ32" s="133"/>
      <c r="BR32" s="133">
        <v>0</v>
      </c>
      <c r="BS32" s="133">
        <v>0</v>
      </c>
      <c r="BT32" s="133"/>
      <c r="BU32" s="133"/>
      <c r="BV32" s="133"/>
      <c r="BW32" s="133"/>
      <c r="BX32" s="133"/>
      <c r="BY32" s="133"/>
      <c r="BZ32" s="133"/>
      <c r="CA32" s="133"/>
      <c r="CB32" s="133"/>
      <c r="CC32" s="133"/>
      <c r="CD32" s="133"/>
      <c r="CE32" s="133"/>
      <c r="CF32" s="133">
        <v>0</v>
      </c>
      <c r="CG32" s="133"/>
      <c r="CH32" s="133"/>
      <c r="CI32" s="133"/>
      <c r="CJ32" s="133"/>
      <c r="CK32" s="133"/>
      <c r="CL32" s="133"/>
      <c r="CM32" s="133"/>
      <c r="CN32" s="133">
        <v>0</v>
      </c>
      <c r="CO32" s="133"/>
      <c r="CP32" s="133"/>
      <c r="CQ32" s="133"/>
      <c r="CR32" s="133"/>
      <c r="CS32" s="133"/>
      <c r="CT32" s="133">
        <v>0</v>
      </c>
      <c r="CU32" s="133"/>
      <c r="CV32" s="133">
        <v>0</v>
      </c>
      <c r="CW32" s="133">
        <v>4953.7001967592596</v>
      </c>
      <c r="CX32" s="133">
        <v>4706.39990740741</v>
      </c>
      <c r="CY32" s="133">
        <v>4706.39990740741</v>
      </c>
      <c r="CZ32" s="133">
        <v>4706.39990740741</v>
      </c>
      <c r="DA32" s="133">
        <v>4953.7001967592596</v>
      </c>
      <c r="DB32" s="133">
        <v>0</v>
      </c>
      <c r="DC32" s="133"/>
      <c r="DD32" s="133">
        <v>0</v>
      </c>
      <c r="DE32" s="133"/>
      <c r="DF32" s="133"/>
      <c r="DG32" s="133">
        <v>0</v>
      </c>
      <c r="DH32" s="133">
        <v>0</v>
      </c>
      <c r="DI32" s="133">
        <v>0</v>
      </c>
      <c r="DJ32" s="133">
        <v>0</v>
      </c>
      <c r="DK32" s="133"/>
      <c r="DL32" s="133"/>
      <c r="DM32" s="133"/>
      <c r="DN32" s="133"/>
      <c r="DO32" s="133"/>
      <c r="DP32" s="133">
        <v>0</v>
      </c>
      <c r="DQ32" s="133">
        <v>0</v>
      </c>
      <c r="DR32" s="133"/>
      <c r="DS32" s="133">
        <v>0</v>
      </c>
      <c r="DT32" s="133">
        <v>0</v>
      </c>
      <c r="DU32" s="133"/>
      <c r="DV32" s="133"/>
      <c r="DW32" s="133">
        <v>0</v>
      </c>
      <c r="DX32" s="133">
        <v>0</v>
      </c>
      <c r="DY32" s="133"/>
      <c r="DZ32" s="133">
        <v>0</v>
      </c>
      <c r="EA32" s="133">
        <v>5078.7001967592596</v>
      </c>
      <c r="EB32" s="133">
        <v>0</v>
      </c>
      <c r="EC32" s="133">
        <v>0</v>
      </c>
      <c r="ED32" s="133">
        <v>0</v>
      </c>
      <c r="EE32" s="133">
        <v>0</v>
      </c>
      <c r="EF32" s="133">
        <v>0</v>
      </c>
      <c r="EG32" s="133">
        <v>0</v>
      </c>
      <c r="EH32" s="133"/>
      <c r="EI32" s="133"/>
      <c r="EJ32" s="133">
        <v>4953.7001967592596</v>
      </c>
      <c r="EK32" s="133">
        <v>4706.39990740741</v>
      </c>
      <c r="EL32" s="133">
        <v>0</v>
      </c>
      <c r="EM32" s="133"/>
      <c r="EN32" s="133"/>
      <c r="EO32" s="133"/>
      <c r="EP32" s="133"/>
      <c r="EQ32" s="133"/>
      <c r="ER32" s="133"/>
      <c r="ES32" s="133"/>
      <c r="ET32" s="133"/>
      <c r="EU32" s="133"/>
      <c r="EV32" s="133">
        <v>5179.89990740741</v>
      </c>
    </row>
    <row r="33" spans="1:152">
      <c r="A33" s="270" t="s">
        <v>87</v>
      </c>
      <c r="B33" s="133"/>
      <c r="C33" s="133">
        <v>0</v>
      </c>
      <c r="D33" s="133"/>
      <c r="E33" s="133">
        <v>0</v>
      </c>
      <c r="F33" s="133">
        <v>5179.89990740741</v>
      </c>
      <c r="G33" s="133">
        <v>4706.39990740741</v>
      </c>
      <c r="H33" s="133">
        <v>5179.89990740741</v>
      </c>
      <c r="I33" s="133">
        <v>5079.2001967592596</v>
      </c>
      <c r="J33" s="133">
        <v>5170.7998032407404</v>
      </c>
      <c r="K33" s="133">
        <v>5096.89990740741</v>
      </c>
      <c r="L33" s="133">
        <v>5096.89990740741</v>
      </c>
      <c r="M33" s="133">
        <v>5096.89990740741</v>
      </c>
      <c r="N33" s="133"/>
      <c r="O33" s="133"/>
      <c r="P33" s="133">
        <v>0</v>
      </c>
      <c r="Q33" s="133">
        <v>0</v>
      </c>
      <c r="R33" s="133">
        <v>0</v>
      </c>
      <c r="S33" s="133">
        <v>0</v>
      </c>
      <c r="T33" s="133"/>
      <c r="U33" s="133">
        <v>5157.5</v>
      </c>
      <c r="V33" s="133">
        <v>5157.5</v>
      </c>
      <c r="W33" s="133"/>
      <c r="X33" s="133">
        <v>5157.5</v>
      </c>
      <c r="Y33" s="133">
        <v>5078.7001967592596</v>
      </c>
      <c r="Z33" s="133">
        <v>5078.7001967592596</v>
      </c>
      <c r="AA33" s="133">
        <v>0</v>
      </c>
      <c r="AB33" s="133"/>
      <c r="AC33" s="133">
        <v>0</v>
      </c>
      <c r="AD33" s="133">
        <v>5078.7001967592596</v>
      </c>
      <c r="AE33" s="133">
        <v>5078.7001967592596</v>
      </c>
      <c r="AF33" s="133">
        <v>5078.7001967592596</v>
      </c>
      <c r="AG33" s="133">
        <v>5078.7001967592596</v>
      </c>
      <c r="AH33" s="133">
        <v>0</v>
      </c>
      <c r="AI33" s="133">
        <v>4953.7001967592596</v>
      </c>
      <c r="AJ33" s="133">
        <v>5078.7001967592596</v>
      </c>
      <c r="AK33" s="133"/>
      <c r="AL33" s="133">
        <v>4706.39990740741</v>
      </c>
      <c r="AM33" s="133">
        <v>4706.39990740741</v>
      </c>
      <c r="AN33" s="133">
        <v>4953.7001967592596</v>
      </c>
      <c r="AO33" s="133">
        <v>4953.7001967592596</v>
      </c>
      <c r="AP33" s="133">
        <v>5080</v>
      </c>
      <c r="AQ33" s="133">
        <v>5057.5</v>
      </c>
      <c r="AR33" s="133">
        <v>4953.7001967592596</v>
      </c>
      <c r="AS33" s="133">
        <v>4953.7001967592596</v>
      </c>
      <c r="AT33" s="133"/>
      <c r="AU33" s="133"/>
      <c r="AV33" s="133">
        <v>4953.7001967592596</v>
      </c>
      <c r="AW33" s="133">
        <v>4953.7001967592596</v>
      </c>
      <c r="AX33" s="133">
        <v>4953.7001967592596</v>
      </c>
      <c r="AY33" s="133">
        <v>4953.7001967592596</v>
      </c>
      <c r="AZ33" s="133"/>
      <c r="BA33" s="133"/>
      <c r="BB33" s="133">
        <v>4706.39990740741</v>
      </c>
      <c r="BC33" s="133">
        <v>4953.7001967592596</v>
      </c>
      <c r="BD33" s="133">
        <v>0</v>
      </c>
      <c r="BE33" s="133">
        <v>0</v>
      </c>
      <c r="BF33" s="133">
        <v>0</v>
      </c>
      <c r="BG33" s="133">
        <v>0</v>
      </c>
      <c r="BH33" s="133">
        <v>0</v>
      </c>
      <c r="BI33" s="133">
        <v>0</v>
      </c>
      <c r="BJ33" s="133">
        <v>0</v>
      </c>
      <c r="BK33" s="133">
        <v>0</v>
      </c>
      <c r="BL33" s="133">
        <v>0</v>
      </c>
      <c r="BM33" s="133">
        <v>0</v>
      </c>
      <c r="BN33" s="133">
        <v>0</v>
      </c>
      <c r="BO33" s="133">
        <v>0</v>
      </c>
      <c r="BP33" s="133">
        <v>0</v>
      </c>
      <c r="BQ33" s="133"/>
      <c r="BR33" s="133">
        <v>0</v>
      </c>
      <c r="BS33" s="133">
        <v>0</v>
      </c>
      <c r="BT33" s="133"/>
      <c r="BU33" s="133"/>
      <c r="BV33" s="133"/>
      <c r="BW33" s="133"/>
      <c r="BX33" s="133"/>
      <c r="BY33" s="133"/>
      <c r="BZ33" s="133"/>
      <c r="CA33" s="133"/>
      <c r="CB33" s="133"/>
      <c r="CC33" s="133"/>
      <c r="CD33" s="133"/>
      <c r="CE33" s="133"/>
      <c r="CF33" s="133">
        <v>0</v>
      </c>
      <c r="CG33" s="133"/>
      <c r="CH33" s="133"/>
      <c r="CI33" s="133"/>
      <c r="CJ33" s="133"/>
      <c r="CK33" s="133"/>
      <c r="CL33" s="133"/>
      <c r="CM33" s="133"/>
      <c r="CN33" s="133">
        <v>0</v>
      </c>
      <c r="CO33" s="133"/>
      <c r="CP33" s="133"/>
      <c r="CQ33" s="133"/>
      <c r="CR33" s="133"/>
      <c r="CS33" s="133"/>
      <c r="CT33" s="133">
        <v>0</v>
      </c>
      <c r="CU33" s="133"/>
      <c r="CV33" s="133">
        <v>0</v>
      </c>
      <c r="CW33" s="133">
        <v>4953.7001967592596</v>
      </c>
      <c r="CX33" s="133">
        <v>4706.39990740741</v>
      </c>
      <c r="CY33" s="133">
        <v>4706.39990740741</v>
      </c>
      <c r="CZ33" s="133">
        <v>4706.39990740741</v>
      </c>
      <c r="DA33" s="133">
        <v>4953.7001967592596</v>
      </c>
      <c r="DB33" s="133">
        <v>0</v>
      </c>
      <c r="DC33" s="133"/>
      <c r="DD33" s="133">
        <v>0</v>
      </c>
      <c r="DE33" s="133"/>
      <c r="DF33" s="133"/>
      <c r="DG33" s="133">
        <v>0</v>
      </c>
      <c r="DH33" s="133">
        <v>0</v>
      </c>
      <c r="DI33" s="133">
        <v>0</v>
      </c>
      <c r="DJ33" s="133">
        <v>0</v>
      </c>
      <c r="DK33" s="133"/>
      <c r="DL33" s="133"/>
      <c r="DM33" s="133"/>
      <c r="DN33" s="133"/>
      <c r="DO33" s="133"/>
      <c r="DP33" s="133"/>
      <c r="DQ33" s="133"/>
      <c r="DR33" s="133"/>
      <c r="DS33" s="133"/>
      <c r="DT33" s="133"/>
      <c r="DU33" s="133"/>
      <c r="DV33" s="133"/>
      <c r="DW33" s="133"/>
      <c r="DX33" s="133"/>
      <c r="DY33" s="133"/>
      <c r="DZ33" s="133"/>
      <c r="EA33" s="133"/>
      <c r="EB33" s="133"/>
      <c r="EC33" s="133"/>
      <c r="ED33" s="133"/>
      <c r="EE33" s="133"/>
      <c r="EF33" s="133"/>
      <c r="EG33" s="133"/>
      <c r="EH33" s="133"/>
      <c r="EI33" s="133"/>
      <c r="EJ33" s="133"/>
      <c r="EK33" s="133"/>
      <c r="EL33" s="133"/>
      <c r="EM33" s="133"/>
      <c r="EN33" s="133"/>
      <c r="EO33" s="133"/>
      <c r="EP33" s="133"/>
      <c r="EQ33" s="133"/>
      <c r="ER33" s="133"/>
      <c r="ES33" s="133"/>
      <c r="ET33" s="133"/>
      <c r="EU33" s="133"/>
      <c r="EV33" s="133">
        <v>5179.89990740741</v>
      </c>
    </row>
    <row r="34" spans="1:152">
      <c r="A34" s="270" t="s">
        <v>172</v>
      </c>
      <c r="B34" s="133"/>
      <c r="C34" s="133"/>
      <c r="D34" s="133"/>
      <c r="E34" s="133"/>
      <c r="F34" s="133"/>
      <c r="G34" s="133"/>
      <c r="H34" s="133"/>
      <c r="I34" s="133"/>
      <c r="J34" s="133"/>
      <c r="K34" s="133"/>
      <c r="L34" s="133"/>
      <c r="M34" s="133"/>
      <c r="N34" s="133"/>
      <c r="O34" s="133"/>
      <c r="P34" s="133">
        <v>0</v>
      </c>
      <c r="Q34" s="133"/>
      <c r="R34" s="133"/>
      <c r="S34" s="133"/>
      <c r="T34" s="133"/>
      <c r="U34" s="133"/>
      <c r="V34" s="133">
        <v>0</v>
      </c>
      <c r="W34" s="133"/>
      <c r="X34" s="133">
        <v>0</v>
      </c>
      <c r="Y34" s="133"/>
      <c r="Z34" s="133"/>
      <c r="AA34" s="133"/>
      <c r="AB34" s="133"/>
      <c r="AC34" s="133"/>
      <c r="AD34" s="133"/>
      <c r="AE34" s="133"/>
      <c r="AF34" s="133"/>
      <c r="AG34" s="133"/>
      <c r="AH34" s="133"/>
      <c r="AI34" s="133"/>
      <c r="AJ34" s="133"/>
      <c r="AK34" s="133"/>
      <c r="AL34" s="133"/>
      <c r="AM34" s="133"/>
      <c r="AN34" s="133"/>
      <c r="AO34" s="133"/>
      <c r="AP34" s="133"/>
      <c r="AQ34" s="133"/>
      <c r="AR34" s="133"/>
      <c r="AS34" s="133"/>
      <c r="AT34" s="133"/>
      <c r="AU34" s="133"/>
      <c r="AV34" s="133"/>
      <c r="AW34" s="133"/>
      <c r="AX34" s="133"/>
      <c r="AY34" s="133"/>
      <c r="AZ34" s="133"/>
      <c r="BA34" s="133"/>
      <c r="BB34" s="133"/>
      <c r="BC34" s="133"/>
      <c r="BD34" s="133"/>
      <c r="BE34" s="133"/>
      <c r="BF34" s="133"/>
      <c r="BG34" s="133"/>
      <c r="BH34" s="133"/>
      <c r="BI34" s="133"/>
      <c r="BJ34" s="133"/>
      <c r="BK34" s="133"/>
      <c r="BL34" s="133"/>
      <c r="BM34" s="133"/>
      <c r="BN34" s="133"/>
      <c r="BO34" s="133"/>
      <c r="BP34" s="133"/>
      <c r="BQ34" s="133"/>
      <c r="BR34" s="133"/>
      <c r="BS34" s="133"/>
      <c r="BT34" s="133"/>
      <c r="BU34" s="133"/>
      <c r="BV34" s="133"/>
      <c r="BW34" s="133"/>
      <c r="BX34" s="133"/>
      <c r="BY34" s="133"/>
      <c r="BZ34" s="133"/>
      <c r="CA34" s="133"/>
      <c r="CB34" s="133"/>
      <c r="CC34" s="133"/>
      <c r="CD34" s="133"/>
      <c r="CE34" s="133"/>
      <c r="CF34" s="133"/>
      <c r="CG34" s="133"/>
      <c r="CH34" s="133"/>
      <c r="CI34" s="133"/>
      <c r="CJ34" s="133"/>
      <c r="CK34" s="133"/>
      <c r="CL34" s="133"/>
      <c r="CM34" s="133"/>
      <c r="CN34" s="133"/>
      <c r="CO34" s="133"/>
      <c r="CP34" s="133"/>
      <c r="CQ34" s="133"/>
      <c r="CR34" s="133"/>
      <c r="CS34" s="133"/>
      <c r="CT34" s="133"/>
      <c r="CU34" s="133"/>
      <c r="CV34" s="133"/>
      <c r="CW34" s="133"/>
      <c r="CX34" s="133"/>
      <c r="CY34" s="133"/>
      <c r="CZ34" s="133"/>
      <c r="DA34" s="133"/>
      <c r="DB34" s="133"/>
      <c r="DC34" s="133"/>
      <c r="DD34" s="133"/>
      <c r="DE34" s="133"/>
      <c r="DF34" s="133"/>
      <c r="DG34" s="133"/>
      <c r="DH34" s="133"/>
      <c r="DI34" s="133"/>
      <c r="DJ34" s="133"/>
      <c r="DK34" s="133"/>
      <c r="DL34" s="133"/>
      <c r="DM34" s="133"/>
      <c r="DN34" s="133"/>
      <c r="DO34" s="133"/>
      <c r="DP34" s="133">
        <v>0</v>
      </c>
      <c r="DQ34" s="133">
        <v>0</v>
      </c>
      <c r="DR34" s="133"/>
      <c r="DS34" s="133">
        <v>0</v>
      </c>
      <c r="DT34" s="133">
        <v>0</v>
      </c>
      <c r="DU34" s="133"/>
      <c r="DV34" s="133"/>
      <c r="DW34" s="133"/>
      <c r="DX34" s="133">
        <v>0</v>
      </c>
      <c r="DY34" s="133"/>
      <c r="DZ34" s="133">
        <v>0</v>
      </c>
      <c r="EA34" s="133"/>
      <c r="EB34" s="133"/>
      <c r="EC34" s="133"/>
      <c r="ED34" s="133"/>
      <c r="EE34" s="133"/>
      <c r="EF34" s="133"/>
      <c r="EG34" s="133"/>
      <c r="EH34" s="133"/>
      <c r="EI34" s="133"/>
      <c r="EJ34" s="133"/>
      <c r="EK34" s="133"/>
      <c r="EL34" s="133"/>
      <c r="EM34" s="133"/>
      <c r="EN34" s="133"/>
      <c r="EO34" s="133"/>
      <c r="EP34" s="133"/>
      <c r="EQ34" s="133"/>
      <c r="ER34" s="133"/>
      <c r="ES34" s="133"/>
      <c r="ET34" s="133"/>
      <c r="EU34" s="133"/>
      <c r="EV34" s="133">
        <v>0</v>
      </c>
    </row>
    <row r="35" spans="1:152">
      <c r="A35" s="270" t="s">
        <v>173</v>
      </c>
      <c r="B35" s="133"/>
      <c r="C35" s="133"/>
      <c r="D35" s="133"/>
      <c r="E35" s="133"/>
      <c r="F35" s="133"/>
      <c r="G35" s="133"/>
      <c r="H35" s="133">
        <v>5078.7001967592596</v>
      </c>
      <c r="I35" s="133"/>
      <c r="J35" s="133"/>
      <c r="K35" s="133"/>
      <c r="L35" s="133"/>
      <c r="M35" s="133"/>
      <c r="N35" s="133"/>
      <c r="O35" s="133"/>
      <c r="P35" s="133"/>
      <c r="Q35" s="133"/>
      <c r="R35" s="133"/>
      <c r="S35" s="133"/>
      <c r="T35" s="133"/>
      <c r="U35" s="133"/>
      <c r="V35" s="133"/>
      <c r="W35" s="133"/>
      <c r="X35" s="133"/>
      <c r="Y35" s="133"/>
      <c r="Z35" s="133"/>
      <c r="AA35" s="133"/>
      <c r="AB35" s="133"/>
      <c r="AC35" s="133"/>
      <c r="AD35" s="133"/>
      <c r="AE35" s="133"/>
      <c r="AF35" s="133"/>
      <c r="AG35" s="133"/>
      <c r="AH35" s="133"/>
      <c r="AI35" s="133"/>
      <c r="AJ35" s="133"/>
      <c r="AK35" s="133"/>
      <c r="AL35" s="133"/>
      <c r="AM35" s="133"/>
      <c r="AN35" s="133"/>
      <c r="AO35" s="133"/>
      <c r="AP35" s="133"/>
      <c r="AQ35" s="133"/>
      <c r="AR35" s="133"/>
      <c r="AS35" s="133"/>
      <c r="AT35" s="133"/>
      <c r="AU35" s="133"/>
      <c r="AV35" s="133"/>
      <c r="AW35" s="133"/>
      <c r="AX35" s="133"/>
      <c r="AY35" s="133"/>
      <c r="AZ35" s="133"/>
      <c r="BA35" s="133"/>
      <c r="BB35" s="133"/>
      <c r="BC35" s="133"/>
      <c r="BD35" s="133"/>
      <c r="BE35" s="133"/>
      <c r="BF35" s="133"/>
      <c r="BG35" s="133"/>
      <c r="BH35" s="133"/>
      <c r="BI35" s="133">
        <v>5078.7001967592596</v>
      </c>
      <c r="BJ35" s="133"/>
      <c r="BK35" s="133"/>
      <c r="BL35" s="133"/>
      <c r="BM35" s="133"/>
      <c r="BN35" s="133"/>
      <c r="BO35" s="133"/>
      <c r="BP35" s="133"/>
      <c r="BQ35" s="133"/>
      <c r="BR35" s="133"/>
      <c r="BS35" s="133"/>
      <c r="BT35" s="133"/>
      <c r="BU35" s="133"/>
      <c r="BV35" s="133"/>
      <c r="BW35" s="133"/>
      <c r="BX35" s="133"/>
      <c r="BY35" s="133"/>
      <c r="BZ35" s="133"/>
      <c r="CA35" s="133"/>
      <c r="CB35" s="133"/>
      <c r="CC35" s="133"/>
      <c r="CD35" s="133"/>
      <c r="CE35" s="133"/>
      <c r="CF35" s="133"/>
      <c r="CG35" s="133"/>
      <c r="CH35" s="133"/>
      <c r="CI35" s="133"/>
      <c r="CJ35" s="133"/>
      <c r="CK35" s="133"/>
      <c r="CL35" s="133"/>
      <c r="CM35" s="133"/>
      <c r="CN35" s="133"/>
      <c r="CO35" s="133"/>
      <c r="CP35" s="133"/>
      <c r="CQ35" s="133"/>
      <c r="CR35" s="133"/>
      <c r="CS35" s="133"/>
      <c r="CT35" s="133"/>
      <c r="CU35" s="133"/>
      <c r="CV35" s="133"/>
      <c r="CW35" s="133"/>
      <c r="CX35" s="133"/>
      <c r="CY35" s="133"/>
      <c r="CZ35" s="133"/>
      <c r="DA35" s="133"/>
      <c r="DB35" s="133"/>
      <c r="DC35" s="133"/>
      <c r="DD35" s="133"/>
      <c r="DE35" s="133"/>
      <c r="DF35" s="133"/>
      <c r="DG35" s="133"/>
      <c r="DH35" s="133"/>
      <c r="DI35" s="133"/>
      <c r="DJ35" s="133"/>
      <c r="DK35" s="133"/>
      <c r="DL35" s="133"/>
      <c r="DM35" s="133"/>
      <c r="DN35" s="133"/>
      <c r="DO35" s="133"/>
      <c r="DP35" s="133"/>
      <c r="DQ35" s="133"/>
      <c r="DR35" s="133"/>
      <c r="DS35" s="133"/>
      <c r="DT35" s="133"/>
      <c r="DU35" s="133"/>
      <c r="DV35" s="133"/>
      <c r="DW35" s="133">
        <v>0</v>
      </c>
      <c r="DX35" s="133"/>
      <c r="DY35" s="133"/>
      <c r="DZ35" s="133"/>
      <c r="EA35" s="133">
        <v>5078.7001967592596</v>
      </c>
      <c r="EB35" s="133">
        <v>0</v>
      </c>
      <c r="EC35" s="133">
        <v>0</v>
      </c>
      <c r="ED35" s="133">
        <v>0</v>
      </c>
      <c r="EE35" s="133">
        <v>0</v>
      </c>
      <c r="EF35" s="133">
        <v>0</v>
      </c>
      <c r="EG35" s="133">
        <v>0</v>
      </c>
      <c r="EH35" s="133"/>
      <c r="EI35" s="133"/>
      <c r="EJ35" s="133">
        <v>4953.7001967592596</v>
      </c>
      <c r="EK35" s="133">
        <v>4706.39990740741</v>
      </c>
      <c r="EL35" s="133">
        <v>0</v>
      </c>
      <c r="EM35" s="133"/>
      <c r="EN35" s="133"/>
      <c r="EO35" s="133"/>
      <c r="EP35" s="133"/>
      <c r="EQ35" s="133"/>
      <c r="ER35" s="133"/>
      <c r="ES35" s="133"/>
      <c r="ET35" s="133"/>
      <c r="EU35" s="133"/>
      <c r="EV35" s="133">
        <v>5078.7001967592596</v>
      </c>
    </row>
    <row r="36" spans="1:152">
      <c r="A36" s="269" t="s">
        <v>150</v>
      </c>
      <c r="B36" s="133"/>
      <c r="C36" s="133">
        <v>0</v>
      </c>
      <c r="D36" s="133"/>
      <c r="E36" s="133">
        <v>0</v>
      </c>
      <c r="F36" s="133">
        <v>4074.60009259259</v>
      </c>
      <c r="G36" s="133">
        <v>3743.39990740741</v>
      </c>
      <c r="H36" s="133">
        <v>4074.60009259259</v>
      </c>
      <c r="I36" s="133">
        <v>3997.10009259259</v>
      </c>
      <c r="J36" s="133">
        <v>4058.8000462963</v>
      </c>
      <c r="K36" s="133">
        <v>4058.8000462963</v>
      </c>
      <c r="L36" s="133">
        <v>4058.8000462963</v>
      </c>
      <c r="M36" s="133">
        <v>4058.8000462963</v>
      </c>
      <c r="N36" s="133">
        <v>3986.5</v>
      </c>
      <c r="O36" s="133"/>
      <c r="P36" s="133">
        <v>0</v>
      </c>
      <c r="Q36" s="133">
        <v>0</v>
      </c>
      <c r="R36" s="133">
        <v>0</v>
      </c>
      <c r="S36" s="133">
        <v>0</v>
      </c>
      <c r="T36" s="133">
        <v>0</v>
      </c>
      <c r="U36" s="133">
        <v>4030</v>
      </c>
      <c r="V36" s="133">
        <v>4030</v>
      </c>
      <c r="W36" s="133"/>
      <c r="X36" s="133">
        <v>4030</v>
      </c>
      <c r="Y36" s="133">
        <v>3985</v>
      </c>
      <c r="Z36" s="133">
        <v>3985</v>
      </c>
      <c r="AA36" s="133">
        <v>0</v>
      </c>
      <c r="AB36" s="133">
        <v>3743.39990740741</v>
      </c>
      <c r="AC36" s="133">
        <v>0</v>
      </c>
      <c r="AD36" s="133">
        <v>3985</v>
      </c>
      <c r="AE36" s="133">
        <v>3985</v>
      </c>
      <c r="AF36" s="133">
        <v>3985</v>
      </c>
      <c r="AG36" s="133">
        <v>3985</v>
      </c>
      <c r="AH36" s="133">
        <v>0</v>
      </c>
      <c r="AI36" s="133">
        <v>3985</v>
      </c>
      <c r="AJ36" s="133">
        <v>3985</v>
      </c>
      <c r="AK36" s="133">
        <v>3985</v>
      </c>
      <c r="AL36" s="133">
        <v>3743.39990740741</v>
      </c>
      <c r="AM36" s="133">
        <v>3743.39990740741</v>
      </c>
      <c r="AN36" s="133">
        <v>3985</v>
      </c>
      <c r="AO36" s="133">
        <v>3985</v>
      </c>
      <c r="AP36" s="133">
        <v>3985</v>
      </c>
      <c r="AQ36" s="133">
        <v>3985</v>
      </c>
      <c r="AR36" s="133">
        <v>3985</v>
      </c>
      <c r="AS36" s="133">
        <v>3985</v>
      </c>
      <c r="AT36" s="133"/>
      <c r="AU36" s="133"/>
      <c r="AV36" s="133">
        <v>3985</v>
      </c>
      <c r="AW36" s="133">
        <v>3985</v>
      </c>
      <c r="AX36" s="133">
        <v>3985</v>
      </c>
      <c r="AY36" s="133">
        <v>3985</v>
      </c>
      <c r="AZ36" s="133"/>
      <c r="BA36" s="133"/>
      <c r="BB36" s="133">
        <v>3743.39990740741</v>
      </c>
      <c r="BC36" s="133">
        <v>3985</v>
      </c>
      <c r="BD36" s="133">
        <v>0</v>
      </c>
      <c r="BE36" s="133">
        <v>0</v>
      </c>
      <c r="BF36" s="133">
        <v>0</v>
      </c>
      <c r="BG36" s="133">
        <v>0</v>
      </c>
      <c r="BH36" s="133">
        <v>0</v>
      </c>
      <c r="BI36" s="133">
        <v>3985</v>
      </c>
      <c r="BJ36" s="133">
        <v>0</v>
      </c>
      <c r="BK36" s="133">
        <v>0</v>
      </c>
      <c r="BL36" s="133">
        <v>0</v>
      </c>
      <c r="BM36" s="133">
        <v>0</v>
      </c>
      <c r="BN36" s="133">
        <v>0</v>
      </c>
      <c r="BO36" s="133">
        <v>0</v>
      </c>
      <c r="BP36" s="133">
        <v>0</v>
      </c>
      <c r="BQ36" s="133">
        <v>0</v>
      </c>
      <c r="BR36" s="133">
        <v>0</v>
      </c>
      <c r="BS36" s="133">
        <v>0</v>
      </c>
      <c r="BT36" s="133"/>
      <c r="BU36" s="133"/>
      <c r="BV36" s="133"/>
      <c r="BW36" s="133"/>
      <c r="BX36" s="133"/>
      <c r="BY36" s="133"/>
      <c r="BZ36" s="133"/>
      <c r="CA36" s="133"/>
      <c r="CB36" s="133"/>
      <c r="CC36" s="133"/>
      <c r="CD36" s="133"/>
      <c r="CE36" s="133"/>
      <c r="CF36" s="133">
        <v>0</v>
      </c>
      <c r="CG36" s="133"/>
      <c r="CH36" s="133"/>
      <c r="CI36" s="133"/>
      <c r="CJ36" s="133"/>
      <c r="CK36" s="133"/>
      <c r="CL36" s="133"/>
      <c r="CM36" s="133"/>
      <c r="CN36" s="133"/>
      <c r="CO36" s="133"/>
      <c r="CP36" s="133"/>
      <c r="CQ36" s="133"/>
      <c r="CR36" s="133"/>
      <c r="CS36" s="133"/>
      <c r="CT36" s="133"/>
      <c r="CU36" s="133"/>
      <c r="CV36" s="133"/>
      <c r="CW36" s="133">
        <v>3986.5</v>
      </c>
      <c r="CX36" s="133">
        <v>3743.39990740741</v>
      </c>
      <c r="CY36" s="133">
        <v>3743.39990740741</v>
      </c>
      <c r="CZ36" s="133">
        <v>3743.39990740741</v>
      </c>
      <c r="DA36" s="133">
        <v>3986.5</v>
      </c>
      <c r="DB36" s="133">
        <v>0</v>
      </c>
      <c r="DC36" s="133"/>
      <c r="DD36" s="133"/>
      <c r="DE36" s="133"/>
      <c r="DF36" s="133"/>
      <c r="DG36" s="133">
        <v>0</v>
      </c>
      <c r="DH36" s="133">
        <v>0</v>
      </c>
      <c r="DI36" s="133">
        <v>0</v>
      </c>
      <c r="DJ36" s="133">
        <v>0</v>
      </c>
      <c r="DK36" s="133">
        <v>3986.5</v>
      </c>
      <c r="DL36" s="133"/>
      <c r="DM36" s="133">
        <v>0</v>
      </c>
      <c r="DN36" s="133">
        <v>0</v>
      </c>
      <c r="DO36" s="133">
        <v>0</v>
      </c>
      <c r="DP36" s="133">
        <v>0</v>
      </c>
      <c r="DQ36" s="133">
        <v>0</v>
      </c>
      <c r="DR36" s="133"/>
      <c r="DS36" s="133">
        <v>0</v>
      </c>
      <c r="DT36" s="133">
        <v>0</v>
      </c>
      <c r="DU36" s="133"/>
      <c r="DV36" s="133"/>
      <c r="DW36" s="133">
        <v>0</v>
      </c>
      <c r="DX36" s="133">
        <v>0</v>
      </c>
      <c r="DY36" s="133"/>
      <c r="DZ36" s="133">
        <v>0</v>
      </c>
      <c r="EA36" s="133">
        <v>3985</v>
      </c>
      <c r="EB36" s="133">
        <v>0</v>
      </c>
      <c r="EC36" s="133">
        <v>0</v>
      </c>
      <c r="ED36" s="133">
        <v>0</v>
      </c>
      <c r="EE36" s="133">
        <v>0</v>
      </c>
      <c r="EF36" s="133">
        <v>0</v>
      </c>
      <c r="EG36" s="133">
        <v>0</v>
      </c>
      <c r="EH36" s="133">
        <v>0</v>
      </c>
      <c r="EI36" s="133"/>
      <c r="EJ36" s="133">
        <v>3985</v>
      </c>
      <c r="EK36" s="133">
        <v>3743.39990740741</v>
      </c>
      <c r="EL36" s="133">
        <v>0</v>
      </c>
      <c r="EM36" s="133"/>
      <c r="EN36" s="133"/>
      <c r="EO36" s="133"/>
      <c r="EP36" s="133"/>
      <c r="EQ36" s="133"/>
      <c r="ER36" s="133"/>
      <c r="ES36" s="133">
        <v>4074.60009259259</v>
      </c>
      <c r="ET36" s="133">
        <v>4074.60009259259</v>
      </c>
      <c r="EU36" s="133">
        <v>0</v>
      </c>
      <c r="EV36" s="133">
        <v>4074.60009259259</v>
      </c>
    </row>
    <row r="37" spans="1:152">
      <c r="A37" s="270" t="s">
        <v>87</v>
      </c>
      <c r="B37" s="133"/>
      <c r="C37" s="133">
        <v>0</v>
      </c>
      <c r="D37" s="133"/>
      <c r="E37" s="133">
        <v>0</v>
      </c>
      <c r="F37" s="133">
        <v>4074.60009259259</v>
      </c>
      <c r="G37" s="133">
        <v>3743.39990740741</v>
      </c>
      <c r="H37" s="133">
        <v>4074.60009259259</v>
      </c>
      <c r="I37" s="133">
        <v>3997.10009259259</v>
      </c>
      <c r="J37" s="133">
        <v>4058.8000462963</v>
      </c>
      <c r="K37" s="133">
        <v>4058.8000462963</v>
      </c>
      <c r="L37" s="133">
        <v>4058.8000462963</v>
      </c>
      <c r="M37" s="133">
        <v>4058.8000462963</v>
      </c>
      <c r="N37" s="133">
        <v>3986.5</v>
      </c>
      <c r="O37" s="133"/>
      <c r="P37" s="133">
        <v>0</v>
      </c>
      <c r="Q37" s="133">
        <v>0</v>
      </c>
      <c r="R37" s="133">
        <v>0</v>
      </c>
      <c r="S37" s="133">
        <v>0</v>
      </c>
      <c r="T37" s="133">
        <v>0</v>
      </c>
      <c r="U37" s="133">
        <v>4030</v>
      </c>
      <c r="V37" s="133">
        <v>4030</v>
      </c>
      <c r="W37" s="133"/>
      <c r="X37" s="133">
        <v>4030</v>
      </c>
      <c r="Y37" s="133">
        <v>3985</v>
      </c>
      <c r="Z37" s="133">
        <v>3985</v>
      </c>
      <c r="AA37" s="133">
        <v>0</v>
      </c>
      <c r="AB37" s="133">
        <v>3743.39990740741</v>
      </c>
      <c r="AC37" s="133">
        <v>0</v>
      </c>
      <c r="AD37" s="133">
        <v>3985</v>
      </c>
      <c r="AE37" s="133">
        <v>3985</v>
      </c>
      <c r="AF37" s="133">
        <v>3985</v>
      </c>
      <c r="AG37" s="133">
        <v>3985</v>
      </c>
      <c r="AH37" s="133">
        <v>0</v>
      </c>
      <c r="AI37" s="133">
        <v>3985</v>
      </c>
      <c r="AJ37" s="133">
        <v>3985</v>
      </c>
      <c r="AK37" s="133">
        <v>3985</v>
      </c>
      <c r="AL37" s="133">
        <v>3743.39990740741</v>
      </c>
      <c r="AM37" s="133">
        <v>3743.39990740741</v>
      </c>
      <c r="AN37" s="133">
        <v>3985</v>
      </c>
      <c r="AO37" s="133">
        <v>3985</v>
      </c>
      <c r="AP37" s="133">
        <v>3985</v>
      </c>
      <c r="AQ37" s="133">
        <v>3985</v>
      </c>
      <c r="AR37" s="133">
        <v>3985</v>
      </c>
      <c r="AS37" s="133">
        <v>3985</v>
      </c>
      <c r="AT37" s="133"/>
      <c r="AU37" s="133"/>
      <c r="AV37" s="133">
        <v>3985</v>
      </c>
      <c r="AW37" s="133">
        <v>3985</v>
      </c>
      <c r="AX37" s="133">
        <v>3985</v>
      </c>
      <c r="AY37" s="133">
        <v>3985</v>
      </c>
      <c r="AZ37" s="133"/>
      <c r="BA37" s="133"/>
      <c r="BB37" s="133">
        <v>3743.39990740741</v>
      </c>
      <c r="BC37" s="133">
        <v>3985</v>
      </c>
      <c r="BD37" s="133">
        <v>0</v>
      </c>
      <c r="BE37" s="133">
        <v>0</v>
      </c>
      <c r="BF37" s="133">
        <v>0</v>
      </c>
      <c r="BG37" s="133">
        <v>0</v>
      </c>
      <c r="BH37" s="133">
        <v>0</v>
      </c>
      <c r="BI37" s="133">
        <v>0</v>
      </c>
      <c r="BJ37" s="133">
        <v>0</v>
      </c>
      <c r="BK37" s="133">
        <v>0</v>
      </c>
      <c r="BL37" s="133">
        <v>0</v>
      </c>
      <c r="BM37" s="133">
        <v>0</v>
      </c>
      <c r="BN37" s="133">
        <v>0</v>
      </c>
      <c r="BO37" s="133">
        <v>0</v>
      </c>
      <c r="BP37" s="133">
        <v>0</v>
      </c>
      <c r="BQ37" s="133">
        <v>0</v>
      </c>
      <c r="BR37" s="133">
        <v>0</v>
      </c>
      <c r="BS37" s="133">
        <v>0</v>
      </c>
      <c r="BT37" s="133"/>
      <c r="BU37" s="133"/>
      <c r="BV37" s="133"/>
      <c r="BW37" s="133"/>
      <c r="BX37" s="133"/>
      <c r="BY37" s="133"/>
      <c r="BZ37" s="133"/>
      <c r="CA37" s="133"/>
      <c r="CB37" s="133"/>
      <c r="CC37" s="133"/>
      <c r="CD37" s="133"/>
      <c r="CE37" s="133"/>
      <c r="CF37" s="133">
        <v>0</v>
      </c>
      <c r="CG37" s="133"/>
      <c r="CH37" s="133"/>
      <c r="CI37" s="133"/>
      <c r="CJ37" s="133"/>
      <c r="CK37" s="133"/>
      <c r="CL37" s="133"/>
      <c r="CM37" s="133"/>
      <c r="CN37" s="133"/>
      <c r="CO37" s="133"/>
      <c r="CP37" s="133"/>
      <c r="CQ37" s="133"/>
      <c r="CR37" s="133"/>
      <c r="CS37" s="133"/>
      <c r="CT37" s="133"/>
      <c r="CU37" s="133"/>
      <c r="CV37" s="133"/>
      <c r="CW37" s="133">
        <v>3986.5</v>
      </c>
      <c r="CX37" s="133">
        <v>3743.39990740741</v>
      </c>
      <c r="CY37" s="133">
        <v>3743.39990740741</v>
      </c>
      <c r="CZ37" s="133">
        <v>3743.39990740741</v>
      </c>
      <c r="DA37" s="133">
        <v>3986.5</v>
      </c>
      <c r="DB37" s="133">
        <v>0</v>
      </c>
      <c r="DC37" s="133"/>
      <c r="DD37" s="133"/>
      <c r="DE37" s="133"/>
      <c r="DF37" s="133"/>
      <c r="DG37" s="133">
        <v>0</v>
      </c>
      <c r="DH37" s="133">
        <v>0</v>
      </c>
      <c r="DI37" s="133">
        <v>0</v>
      </c>
      <c r="DJ37" s="133">
        <v>0</v>
      </c>
      <c r="DK37" s="133">
        <v>3986.5</v>
      </c>
      <c r="DL37" s="133"/>
      <c r="DM37" s="133"/>
      <c r="DN37" s="133"/>
      <c r="DO37" s="133"/>
      <c r="DP37" s="133"/>
      <c r="DQ37" s="133"/>
      <c r="DR37" s="133"/>
      <c r="DS37" s="133"/>
      <c r="DT37" s="133"/>
      <c r="DU37" s="133"/>
      <c r="DV37" s="133"/>
      <c r="DW37" s="133"/>
      <c r="DX37" s="133"/>
      <c r="DY37" s="133"/>
      <c r="DZ37" s="133"/>
      <c r="EA37" s="133"/>
      <c r="EB37" s="133"/>
      <c r="EC37" s="133"/>
      <c r="ED37" s="133"/>
      <c r="EE37" s="133"/>
      <c r="EF37" s="133"/>
      <c r="EG37" s="133"/>
      <c r="EH37" s="133"/>
      <c r="EI37" s="133"/>
      <c r="EJ37" s="133"/>
      <c r="EK37" s="133"/>
      <c r="EL37" s="133"/>
      <c r="EM37" s="133"/>
      <c r="EN37" s="133"/>
      <c r="EO37" s="133"/>
      <c r="EP37" s="133"/>
      <c r="EQ37" s="133"/>
      <c r="ER37" s="133"/>
      <c r="ES37" s="133"/>
      <c r="ET37" s="133"/>
      <c r="EU37" s="133">
        <v>0</v>
      </c>
      <c r="EV37" s="133">
        <v>4074.60009259259</v>
      </c>
    </row>
    <row r="38" spans="1:152">
      <c r="A38" s="270" t="s">
        <v>172</v>
      </c>
      <c r="B38" s="133"/>
      <c r="C38" s="133"/>
      <c r="D38" s="133"/>
      <c r="E38" s="133">
        <v>0</v>
      </c>
      <c r="F38" s="133"/>
      <c r="G38" s="133"/>
      <c r="H38" s="133"/>
      <c r="I38" s="133"/>
      <c r="J38" s="133"/>
      <c r="K38" s="133"/>
      <c r="L38" s="133"/>
      <c r="M38" s="133"/>
      <c r="N38" s="133"/>
      <c r="O38" s="133"/>
      <c r="P38" s="133">
        <v>0</v>
      </c>
      <c r="Q38" s="133"/>
      <c r="R38" s="133"/>
      <c r="S38" s="133"/>
      <c r="T38" s="133"/>
      <c r="U38" s="133"/>
      <c r="V38" s="133">
        <v>0</v>
      </c>
      <c r="W38" s="133"/>
      <c r="X38" s="133">
        <v>0</v>
      </c>
      <c r="Y38" s="133"/>
      <c r="Z38" s="133"/>
      <c r="AA38" s="133"/>
      <c r="AB38" s="133"/>
      <c r="AC38" s="133"/>
      <c r="AD38" s="133"/>
      <c r="AE38" s="133"/>
      <c r="AF38" s="133"/>
      <c r="AG38" s="133"/>
      <c r="AH38" s="133"/>
      <c r="AI38" s="133"/>
      <c r="AJ38" s="133"/>
      <c r="AK38" s="133"/>
      <c r="AL38" s="133"/>
      <c r="AM38" s="133">
        <v>0</v>
      </c>
      <c r="AN38" s="133"/>
      <c r="AO38" s="133"/>
      <c r="AP38" s="133"/>
      <c r="AQ38" s="133"/>
      <c r="AR38" s="133"/>
      <c r="AS38" s="133"/>
      <c r="AT38" s="133"/>
      <c r="AU38" s="133"/>
      <c r="AV38" s="133"/>
      <c r="AW38" s="133"/>
      <c r="AX38" s="133"/>
      <c r="AY38" s="133"/>
      <c r="AZ38" s="133"/>
      <c r="BA38" s="133"/>
      <c r="BB38" s="133"/>
      <c r="BC38" s="133"/>
      <c r="BD38" s="133"/>
      <c r="BE38" s="133"/>
      <c r="BF38" s="133"/>
      <c r="BG38" s="133"/>
      <c r="BH38" s="133"/>
      <c r="BI38" s="133"/>
      <c r="BJ38" s="133"/>
      <c r="BK38" s="133"/>
      <c r="BL38" s="133"/>
      <c r="BM38" s="133"/>
      <c r="BN38" s="133"/>
      <c r="BO38" s="133"/>
      <c r="BP38" s="133"/>
      <c r="BQ38" s="133"/>
      <c r="BR38" s="133"/>
      <c r="BS38" s="133"/>
      <c r="BT38" s="133"/>
      <c r="BU38" s="133"/>
      <c r="BV38" s="133"/>
      <c r="BW38" s="133"/>
      <c r="BX38" s="133"/>
      <c r="BY38" s="133"/>
      <c r="BZ38" s="133"/>
      <c r="CA38" s="133"/>
      <c r="CB38" s="133"/>
      <c r="CC38" s="133"/>
      <c r="CD38" s="133"/>
      <c r="CE38" s="133"/>
      <c r="CF38" s="133"/>
      <c r="CG38" s="133"/>
      <c r="CH38" s="133"/>
      <c r="CI38" s="133"/>
      <c r="CJ38" s="133"/>
      <c r="CK38" s="133"/>
      <c r="CL38" s="133"/>
      <c r="CM38" s="133"/>
      <c r="CN38" s="133"/>
      <c r="CO38" s="133"/>
      <c r="CP38" s="133"/>
      <c r="CQ38" s="133"/>
      <c r="CR38" s="133"/>
      <c r="CS38" s="133"/>
      <c r="CT38" s="133"/>
      <c r="CU38" s="133"/>
      <c r="CV38" s="133"/>
      <c r="CW38" s="133"/>
      <c r="CX38" s="133"/>
      <c r="CY38" s="133"/>
      <c r="CZ38" s="133"/>
      <c r="DA38" s="133"/>
      <c r="DB38" s="133"/>
      <c r="DC38" s="133"/>
      <c r="DD38" s="133"/>
      <c r="DE38" s="133"/>
      <c r="DF38" s="133"/>
      <c r="DG38" s="133"/>
      <c r="DH38" s="133"/>
      <c r="DI38" s="133"/>
      <c r="DJ38" s="133"/>
      <c r="DK38" s="133"/>
      <c r="DL38" s="133"/>
      <c r="DM38" s="133">
        <v>0</v>
      </c>
      <c r="DN38" s="133">
        <v>0</v>
      </c>
      <c r="DO38" s="133">
        <v>0</v>
      </c>
      <c r="DP38" s="133">
        <v>0</v>
      </c>
      <c r="DQ38" s="133">
        <v>0</v>
      </c>
      <c r="DR38" s="133"/>
      <c r="DS38" s="133">
        <v>0</v>
      </c>
      <c r="DT38" s="133">
        <v>0</v>
      </c>
      <c r="DU38" s="133"/>
      <c r="DV38" s="133"/>
      <c r="DW38" s="133"/>
      <c r="DX38" s="133">
        <v>0</v>
      </c>
      <c r="DY38" s="133"/>
      <c r="DZ38" s="133">
        <v>0</v>
      </c>
      <c r="EA38" s="133"/>
      <c r="EB38" s="133"/>
      <c r="EC38" s="133"/>
      <c r="ED38" s="133"/>
      <c r="EE38" s="133"/>
      <c r="EF38" s="133"/>
      <c r="EG38" s="133"/>
      <c r="EH38" s="133"/>
      <c r="EI38" s="133"/>
      <c r="EJ38" s="133"/>
      <c r="EK38" s="133"/>
      <c r="EL38" s="133"/>
      <c r="EM38" s="133"/>
      <c r="EN38" s="133"/>
      <c r="EO38" s="133"/>
      <c r="EP38" s="133"/>
      <c r="EQ38" s="133"/>
      <c r="ER38" s="133"/>
      <c r="ES38" s="133">
        <v>4074.60009259259</v>
      </c>
      <c r="ET38" s="133"/>
      <c r="EU38" s="133"/>
      <c r="EV38" s="133">
        <v>4074.60009259259</v>
      </c>
    </row>
    <row r="39" spans="1:152">
      <c r="A39" s="270" t="s">
        <v>173</v>
      </c>
      <c r="B39" s="133"/>
      <c r="C39" s="133"/>
      <c r="D39" s="133"/>
      <c r="E39" s="133"/>
      <c r="F39" s="133"/>
      <c r="G39" s="133"/>
      <c r="H39" s="133">
        <v>3985</v>
      </c>
      <c r="I39" s="133"/>
      <c r="J39" s="133"/>
      <c r="K39" s="133"/>
      <c r="L39" s="133"/>
      <c r="M39" s="133"/>
      <c r="N39" s="133"/>
      <c r="O39" s="133"/>
      <c r="P39" s="133"/>
      <c r="Q39" s="133"/>
      <c r="R39" s="133"/>
      <c r="S39" s="133"/>
      <c r="T39" s="133"/>
      <c r="U39" s="133"/>
      <c r="V39" s="133"/>
      <c r="W39" s="133"/>
      <c r="X39" s="133"/>
      <c r="Y39" s="133"/>
      <c r="Z39" s="133"/>
      <c r="AA39" s="133"/>
      <c r="AB39" s="133"/>
      <c r="AC39" s="133"/>
      <c r="AD39" s="133"/>
      <c r="AE39" s="133"/>
      <c r="AF39" s="133"/>
      <c r="AG39" s="133"/>
      <c r="AH39" s="133"/>
      <c r="AI39" s="133"/>
      <c r="AJ39" s="133"/>
      <c r="AK39" s="133"/>
      <c r="AL39" s="133"/>
      <c r="AM39" s="133"/>
      <c r="AN39" s="133"/>
      <c r="AO39" s="133"/>
      <c r="AP39" s="133"/>
      <c r="AQ39" s="133"/>
      <c r="AR39" s="133"/>
      <c r="AS39" s="133"/>
      <c r="AT39" s="133"/>
      <c r="AU39" s="133"/>
      <c r="AV39" s="133"/>
      <c r="AW39" s="133"/>
      <c r="AX39" s="133"/>
      <c r="AY39" s="133"/>
      <c r="AZ39" s="133"/>
      <c r="BA39" s="133"/>
      <c r="BB39" s="133"/>
      <c r="BC39" s="133"/>
      <c r="BD39" s="133"/>
      <c r="BE39" s="133"/>
      <c r="BF39" s="133"/>
      <c r="BG39" s="133"/>
      <c r="BH39" s="133"/>
      <c r="BI39" s="133">
        <v>3985</v>
      </c>
      <c r="BJ39" s="133"/>
      <c r="BK39" s="133"/>
      <c r="BL39" s="133"/>
      <c r="BM39" s="133"/>
      <c r="BN39" s="133"/>
      <c r="BO39" s="133"/>
      <c r="BP39" s="133"/>
      <c r="BQ39" s="133"/>
      <c r="BR39" s="133"/>
      <c r="BS39" s="133"/>
      <c r="BT39" s="133"/>
      <c r="BU39" s="133"/>
      <c r="BV39" s="133"/>
      <c r="BW39" s="133"/>
      <c r="BX39" s="133"/>
      <c r="BY39" s="133"/>
      <c r="BZ39" s="133"/>
      <c r="CA39" s="133"/>
      <c r="CB39" s="133"/>
      <c r="CC39" s="133"/>
      <c r="CD39" s="133"/>
      <c r="CE39" s="133"/>
      <c r="CF39" s="133"/>
      <c r="CG39" s="133"/>
      <c r="CH39" s="133"/>
      <c r="CI39" s="133"/>
      <c r="CJ39" s="133"/>
      <c r="CK39" s="133"/>
      <c r="CL39" s="133"/>
      <c r="CM39" s="133"/>
      <c r="CN39" s="133"/>
      <c r="CO39" s="133"/>
      <c r="CP39" s="133"/>
      <c r="CQ39" s="133"/>
      <c r="CR39" s="133"/>
      <c r="CS39" s="133"/>
      <c r="CT39" s="133"/>
      <c r="CU39" s="133"/>
      <c r="CV39" s="133"/>
      <c r="CW39" s="133"/>
      <c r="CX39" s="133"/>
      <c r="CY39" s="133"/>
      <c r="CZ39" s="133"/>
      <c r="DA39" s="133"/>
      <c r="DB39" s="133"/>
      <c r="DC39" s="133"/>
      <c r="DD39" s="133"/>
      <c r="DE39" s="133"/>
      <c r="DF39" s="133"/>
      <c r="DG39" s="133"/>
      <c r="DH39" s="133"/>
      <c r="DI39" s="133"/>
      <c r="DJ39" s="133"/>
      <c r="DK39" s="133"/>
      <c r="DL39" s="133"/>
      <c r="DM39" s="133"/>
      <c r="DN39" s="133"/>
      <c r="DO39" s="133"/>
      <c r="DP39" s="133"/>
      <c r="DQ39" s="133"/>
      <c r="DR39" s="133"/>
      <c r="DS39" s="133"/>
      <c r="DT39" s="133"/>
      <c r="DU39" s="133"/>
      <c r="DV39" s="133"/>
      <c r="DW39" s="133">
        <v>0</v>
      </c>
      <c r="DX39" s="133"/>
      <c r="DY39" s="133"/>
      <c r="DZ39" s="133"/>
      <c r="EA39" s="133">
        <v>3985</v>
      </c>
      <c r="EB39" s="133">
        <v>0</v>
      </c>
      <c r="EC39" s="133">
        <v>0</v>
      </c>
      <c r="ED39" s="133">
        <v>0</v>
      </c>
      <c r="EE39" s="133">
        <v>0</v>
      </c>
      <c r="EF39" s="133">
        <v>0</v>
      </c>
      <c r="EG39" s="133">
        <v>0</v>
      </c>
      <c r="EH39" s="133">
        <v>0</v>
      </c>
      <c r="EI39" s="133"/>
      <c r="EJ39" s="133">
        <v>3985</v>
      </c>
      <c r="EK39" s="133">
        <v>3743.39990740741</v>
      </c>
      <c r="EL39" s="133">
        <v>0</v>
      </c>
      <c r="EM39" s="133"/>
      <c r="EN39" s="133"/>
      <c r="EO39" s="133"/>
      <c r="EP39" s="133"/>
      <c r="EQ39" s="133"/>
      <c r="ER39" s="133"/>
      <c r="ES39" s="133"/>
      <c r="ET39" s="133">
        <v>4074.60009259259</v>
      </c>
      <c r="EU39" s="133"/>
      <c r="EV39" s="133">
        <v>4074.60009259259</v>
      </c>
    </row>
    <row r="40" spans="1:152">
      <c r="A40" s="269" t="s">
        <v>151</v>
      </c>
      <c r="B40" s="133"/>
      <c r="C40" s="133">
        <v>0</v>
      </c>
      <c r="D40" s="133"/>
      <c r="E40" s="133">
        <v>0</v>
      </c>
      <c r="F40" s="133">
        <v>1989.3000462963</v>
      </c>
      <c r="G40" s="133">
        <v>1526.90002314815</v>
      </c>
      <c r="H40" s="133">
        <v>1989.3000462963</v>
      </c>
      <c r="I40" s="133">
        <v>1936</v>
      </c>
      <c r="J40" s="133">
        <v>1982.6999537037</v>
      </c>
      <c r="K40" s="133">
        <v>1989.3000462963</v>
      </c>
      <c r="L40" s="133">
        <v>1989.3000462963</v>
      </c>
      <c r="M40" s="133">
        <v>1989.3000462963</v>
      </c>
      <c r="N40" s="133"/>
      <c r="O40" s="133"/>
      <c r="P40" s="133">
        <v>0</v>
      </c>
      <c r="Q40" s="133">
        <v>0</v>
      </c>
      <c r="R40" s="133">
        <v>0</v>
      </c>
      <c r="S40" s="133">
        <v>0</v>
      </c>
      <c r="T40" s="133"/>
      <c r="U40" s="133">
        <v>1966.40002314815</v>
      </c>
      <c r="V40" s="133">
        <v>1966.40002314815</v>
      </c>
      <c r="W40" s="133"/>
      <c r="X40" s="133">
        <v>1966.40002314815</v>
      </c>
      <c r="Y40" s="133">
        <v>1898.09997685185</v>
      </c>
      <c r="Z40" s="133">
        <v>1898.09997685185</v>
      </c>
      <c r="AA40" s="133">
        <v>0</v>
      </c>
      <c r="AB40" s="133"/>
      <c r="AC40" s="133">
        <v>0</v>
      </c>
      <c r="AD40" s="133">
        <v>1898.09997685185</v>
      </c>
      <c r="AE40" s="133">
        <v>1898.09997685185</v>
      </c>
      <c r="AF40" s="133">
        <v>1898.09997685185</v>
      </c>
      <c r="AG40" s="133">
        <v>1898.09997685185</v>
      </c>
      <c r="AH40" s="133">
        <v>0</v>
      </c>
      <c r="AI40" s="133">
        <v>1781.8000462963</v>
      </c>
      <c r="AJ40" s="133">
        <v>1898.09997685185</v>
      </c>
      <c r="AK40" s="133"/>
      <c r="AL40" s="133">
        <v>1526.90002314815</v>
      </c>
      <c r="AM40" s="133">
        <v>1526.90002314815</v>
      </c>
      <c r="AN40" s="133">
        <v>1781.8000462963</v>
      </c>
      <c r="AO40" s="133">
        <v>1781.8000462963</v>
      </c>
      <c r="AP40" s="133">
        <v>1931.59997685185</v>
      </c>
      <c r="AQ40" s="133">
        <v>1931.59997685185</v>
      </c>
      <c r="AR40" s="133">
        <v>1781.8000462963</v>
      </c>
      <c r="AS40" s="133">
        <v>1781.8000462963</v>
      </c>
      <c r="AT40" s="133"/>
      <c r="AU40" s="133"/>
      <c r="AV40" s="133">
        <v>1781.8000462963</v>
      </c>
      <c r="AW40" s="133">
        <v>1781.8000462963</v>
      </c>
      <c r="AX40" s="133">
        <v>1781.8000462963</v>
      </c>
      <c r="AY40" s="133">
        <v>1781.8000462963</v>
      </c>
      <c r="AZ40" s="133"/>
      <c r="BA40" s="133"/>
      <c r="BB40" s="133">
        <v>1526.90002314815</v>
      </c>
      <c r="BC40" s="133">
        <v>1781.8000462963</v>
      </c>
      <c r="BD40" s="133">
        <v>0</v>
      </c>
      <c r="BE40" s="133">
        <v>0</v>
      </c>
      <c r="BF40" s="133">
        <v>0</v>
      </c>
      <c r="BG40" s="133">
        <v>0</v>
      </c>
      <c r="BH40" s="133">
        <v>0</v>
      </c>
      <c r="BI40" s="133">
        <v>1906.8000462963</v>
      </c>
      <c r="BJ40" s="133">
        <v>0</v>
      </c>
      <c r="BK40" s="133">
        <v>0</v>
      </c>
      <c r="BL40" s="133">
        <v>0</v>
      </c>
      <c r="BM40" s="133">
        <v>0</v>
      </c>
      <c r="BN40" s="133">
        <v>0</v>
      </c>
      <c r="BO40" s="133">
        <v>0</v>
      </c>
      <c r="BP40" s="133">
        <v>0</v>
      </c>
      <c r="BQ40" s="133"/>
      <c r="BR40" s="133">
        <v>0</v>
      </c>
      <c r="BS40" s="133">
        <v>0</v>
      </c>
      <c r="BT40" s="133"/>
      <c r="BU40" s="133"/>
      <c r="BV40" s="133"/>
      <c r="BW40" s="133"/>
      <c r="BX40" s="133"/>
      <c r="BY40" s="133"/>
      <c r="BZ40" s="133"/>
      <c r="CA40" s="133"/>
      <c r="CB40" s="133"/>
      <c r="CC40" s="133"/>
      <c r="CD40" s="133"/>
      <c r="CE40" s="133"/>
      <c r="CF40" s="133"/>
      <c r="CG40" s="133">
        <v>0</v>
      </c>
      <c r="CH40" s="133"/>
      <c r="CI40" s="133"/>
      <c r="CJ40" s="133"/>
      <c r="CK40" s="133"/>
      <c r="CL40" s="133"/>
      <c r="CM40" s="133"/>
      <c r="CN40" s="133"/>
      <c r="CO40" s="133"/>
      <c r="CP40" s="133"/>
      <c r="CQ40" s="133"/>
      <c r="CR40" s="133"/>
      <c r="CS40" s="133"/>
      <c r="CT40" s="133"/>
      <c r="CU40" s="133"/>
      <c r="CV40" s="133">
        <v>0</v>
      </c>
      <c r="CW40" s="133">
        <v>1781.8000462963</v>
      </c>
      <c r="CX40" s="133">
        <v>1526.90002314815</v>
      </c>
      <c r="CY40" s="133">
        <v>1526.90002314815</v>
      </c>
      <c r="CZ40" s="133">
        <v>1526.90002314815</v>
      </c>
      <c r="DA40" s="133">
        <v>1781.8000462963</v>
      </c>
      <c r="DB40" s="133">
        <v>0</v>
      </c>
      <c r="DC40" s="133"/>
      <c r="DD40" s="133"/>
      <c r="DE40" s="133"/>
      <c r="DF40" s="133"/>
      <c r="DG40" s="133">
        <v>0</v>
      </c>
      <c r="DH40" s="133">
        <v>0</v>
      </c>
      <c r="DI40" s="133">
        <v>0</v>
      </c>
      <c r="DJ40" s="133">
        <v>0</v>
      </c>
      <c r="DK40" s="133"/>
      <c r="DL40" s="133"/>
      <c r="DM40" s="133"/>
      <c r="DN40" s="133"/>
      <c r="DO40" s="133"/>
      <c r="DP40" s="133">
        <v>0</v>
      </c>
      <c r="DQ40" s="133">
        <v>0</v>
      </c>
      <c r="DR40" s="133"/>
      <c r="DS40" s="133">
        <v>0</v>
      </c>
      <c r="DT40" s="133">
        <v>0</v>
      </c>
      <c r="DU40" s="133"/>
      <c r="DV40" s="133"/>
      <c r="DW40" s="133">
        <v>0</v>
      </c>
      <c r="DX40" s="133">
        <v>0</v>
      </c>
      <c r="DY40" s="133"/>
      <c r="DZ40" s="133">
        <v>0</v>
      </c>
      <c r="EA40" s="133">
        <v>1898.09997685185</v>
      </c>
      <c r="EB40" s="133">
        <v>0</v>
      </c>
      <c r="EC40" s="133">
        <v>0</v>
      </c>
      <c r="ED40" s="133">
        <v>0</v>
      </c>
      <c r="EE40" s="133">
        <v>0</v>
      </c>
      <c r="EF40" s="133">
        <v>0</v>
      </c>
      <c r="EG40" s="133">
        <v>0</v>
      </c>
      <c r="EH40" s="133"/>
      <c r="EI40" s="133"/>
      <c r="EJ40" s="133">
        <v>1781.8000462963</v>
      </c>
      <c r="EK40" s="133">
        <v>1526.90002314815</v>
      </c>
      <c r="EL40" s="133">
        <v>0</v>
      </c>
      <c r="EM40" s="133"/>
      <c r="EN40" s="133"/>
      <c r="EO40" s="133"/>
      <c r="EP40" s="133"/>
      <c r="EQ40" s="133"/>
      <c r="ER40" s="133"/>
      <c r="ES40" s="133"/>
      <c r="ET40" s="133"/>
      <c r="EU40" s="133"/>
      <c r="EV40" s="133">
        <v>1989.3000462963</v>
      </c>
    </row>
    <row r="41" spans="1:152">
      <c r="A41" s="270" t="s">
        <v>87</v>
      </c>
      <c r="B41" s="133"/>
      <c r="C41" s="133">
        <v>0</v>
      </c>
      <c r="D41" s="133"/>
      <c r="E41" s="133">
        <v>0</v>
      </c>
      <c r="F41" s="133">
        <v>1989.3000462963</v>
      </c>
      <c r="G41" s="133">
        <v>1526.90002314815</v>
      </c>
      <c r="H41" s="133">
        <v>1989.3000462963</v>
      </c>
      <c r="I41" s="133">
        <v>1936</v>
      </c>
      <c r="J41" s="133">
        <v>1982.6999537037</v>
      </c>
      <c r="K41" s="133">
        <v>1989.3000462963</v>
      </c>
      <c r="L41" s="133">
        <v>1989.3000462963</v>
      </c>
      <c r="M41" s="133">
        <v>1989.3000462963</v>
      </c>
      <c r="N41" s="133"/>
      <c r="O41" s="133"/>
      <c r="P41" s="133">
        <v>0</v>
      </c>
      <c r="Q41" s="133">
        <v>0</v>
      </c>
      <c r="R41" s="133">
        <v>0</v>
      </c>
      <c r="S41" s="133">
        <v>0</v>
      </c>
      <c r="T41" s="133"/>
      <c r="U41" s="133">
        <v>1966.40002314815</v>
      </c>
      <c r="V41" s="133">
        <v>1966.40002314815</v>
      </c>
      <c r="W41" s="133"/>
      <c r="X41" s="133">
        <v>1966.40002314815</v>
      </c>
      <c r="Y41" s="133">
        <v>1898.09997685185</v>
      </c>
      <c r="Z41" s="133">
        <v>1898.09997685185</v>
      </c>
      <c r="AA41" s="133">
        <v>0</v>
      </c>
      <c r="AB41" s="133"/>
      <c r="AC41" s="133">
        <v>0</v>
      </c>
      <c r="AD41" s="133">
        <v>1898.09997685185</v>
      </c>
      <c r="AE41" s="133">
        <v>1898.09997685185</v>
      </c>
      <c r="AF41" s="133">
        <v>1898.09997685185</v>
      </c>
      <c r="AG41" s="133">
        <v>1898.09997685185</v>
      </c>
      <c r="AH41" s="133">
        <v>0</v>
      </c>
      <c r="AI41" s="133">
        <v>1781.8000462963</v>
      </c>
      <c r="AJ41" s="133">
        <v>1898.09997685185</v>
      </c>
      <c r="AK41" s="133"/>
      <c r="AL41" s="133">
        <v>1526.90002314815</v>
      </c>
      <c r="AM41" s="133">
        <v>1526.90002314815</v>
      </c>
      <c r="AN41" s="133">
        <v>1781.8000462963</v>
      </c>
      <c r="AO41" s="133">
        <v>1781.8000462963</v>
      </c>
      <c r="AP41" s="133">
        <v>1931.59997685185</v>
      </c>
      <c r="AQ41" s="133">
        <v>1931.59997685185</v>
      </c>
      <c r="AR41" s="133">
        <v>1781.8000462963</v>
      </c>
      <c r="AS41" s="133">
        <v>1781.8000462963</v>
      </c>
      <c r="AT41" s="133"/>
      <c r="AU41" s="133"/>
      <c r="AV41" s="133">
        <v>1781.8000462963</v>
      </c>
      <c r="AW41" s="133">
        <v>1781.8000462963</v>
      </c>
      <c r="AX41" s="133">
        <v>1781.8000462963</v>
      </c>
      <c r="AY41" s="133">
        <v>1781.8000462963</v>
      </c>
      <c r="AZ41" s="133"/>
      <c r="BA41" s="133"/>
      <c r="BB41" s="133">
        <v>1526.90002314815</v>
      </c>
      <c r="BC41" s="133">
        <v>1781.8000462963</v>
      </c>
      <c r="BD41" s="133">
        <v>0</v>
      </c>
      <c r="BE41" s="133">
        <v>0</v>
      </c>
      <c r="BF41" s="133">
        <v>0</v>
      </c>
      <c r="BG41" s="133">
        <v>0</v>
      </c>
      <c r="BH41" s="133">
        <v>0</v>
      </c>
      <c r="BI41" s="133">
        <v>0</v>
      </c>
      <c r="BJ41" s="133">
        <v>0</v>
      </c>
      <c r="BK41" s="133">
        <v>0</v>
      </c>
      <c r="BL41" s="133">
        <v>0</v>
      </c>
      <c r="BM41" s="133">
        <v>0</v>
      </c>
      <c r="BN41" s="133">
        <v>0</v>
      </c>
      <c r="BO41" s="133">
        <v>0</v>
      </c>
      <c r="BP41" s="133">
        <v>0</v>
      </c>
      <c r="BQ41" s="133"/>
      <c r="BR41" s="133">
        <v>0</v>
      </c>
      <c r="BS41" s="133">
        <v>0</v>
      </c>
      <c r="BT41" s="133"/>
      <c r="BU41" s="133"/>
      <c r="BV41" s="133"/>
      <c r="BW41" s="133"/>
      <c r="BX41" s="133"/>
      <c r="BY41" s="133"/>
      <c r="BZ41" s="133"/>
      <c r="CA41" s="133"/>
      <c r="CB41" s="133"/>
      <c r="CC41" s="133"/>
      <c r="CD41" s="133"/>
      <c r="CE41" s="133"/>
      <c r="CF41" s="133"/>
      <c r="CG41" s="133">
        <v>0</v>
      </c>
      <c r="CH41" s="133"/>
      <c r="CI41" s="133"/>
      <c r="CJ41" s="133"/>
      <c r="CK41" s="133"/>
      <c r="CL41" s="133"/>
      <c r="CM41" s="133"/>
      <c r="CN41" s="133"/>
      <c r="CO41" s="133"/>
      <c r="CP41" s="133"/>
      <c r="CQ41" s="133"/>
      <c r="CR41" s="133"/>
      <c r="CS41" s="133"/>
      <c r="CT41" s="133"/>
      <c r="CU41" s="133"/>
      <c r="CV41" s="133">
        <v>0</v>
      </c>
      <c r="CW41" s="133">
        <v>1781.8000462963</v>
      </c>
      <c r="CX41" s="133">
        <v>1526.90002314815</v>
      </c>
      <c r="CY41" s="133">
        <v>1526.90002314815</v>
      </c>
      <c r="CZ41" s="133">
        <v>1526.90002314815</v>
      </c>
      <c r="DA41" s="133">
        <v>1781.8000462963</v>
      </c>
      <c r="DB41" s="133">
        <v>0</v>
      </c>
      <c r="DC41" s="133"/>
      <c r="DD41" s="133"/>
      <c r="DE41" s="133"/>
      <c r="DF41" s="133"/>
      <c r="DG41" s="133">
        <v>0</v>
      </c>
      <c r="DH41" s="133">
        <v>0</v>
      </c>
      <c r="DI41" s="133">
        <v>0</v>
      </c>
      <c r="DJ41" s="133">
        <v>0</v>
      </c>
      <c r="DK41" s="133"/>
      <c r="DL41" s="133"/>
      <c r="DM41" s="133"/>
      <c r="DN41" s="133"/>
      <c r="DO41" s="133"/>
      <c r="DP41" s="133"/>
      <c r="DQ41" s="133"/>
      <c r="DR41" s="133"/>
      <c r="DS41" s="133"/>
      <c r="DT41" s="133"/>
      <c r="DU41" s="133"/>
      <c r="DV41" s="133"/>
      <c r="DW41" s="133"/>
      <c r="DX41" s="133"/>
      <c r="DY41" s="133"/>
      <c r="DZ41" s="133"/>
      <c r="EA41" s="133"/>
      <c r="EB41" s="133"/>
      <c r="EC41" s="133"/>
      <c r="ED41" s="133"/>
      <c r="EE41" s="133"/>
      <c r="EF41" s="133"/>
      <c r="EG41" s="133"/>
      <c r="EH41" s="133"/>
      <c r="EI41" s="133"/>
      <c r="EJ41" s="133"/>
      <c r="EK41" s="133"/>
      <c r="EL41" s="133"/>
      <c r="EM41" s="133"/>
      <c r="EN41" s="133"/>
      <c r="EO41" s="133"/>
      <c r="EP41" s="133"/>
      <c r="EQ41" s="133"/>
      <c r="ER41" s="133"/>
      <c r="ES41" s="133"/>
      <c r="ET41" s="133"/>
      <c r="EU41" s="133"/>
      <c r="EV41" s="133">
        <v>1989.3000462963</v>
      </c>
    </row>
    <row r="42" spans="1:152">
      <c r="A42" s="270" t="s">
        <v>172</v>
      </c>
      <c r="B42" s="133"/>
      <c r="C42" s="133"/>
      <c r="D42" s="133"/>
      <c r="E42" s="133">
        <v>0</v>
      </c>
      <c r="F42" s="133"/>
      <c r="G42" s="133"/>
      <c r="H42" s="133"/>
      <c r="I42" s="133"/>
      <c r="J42" s="133"/>
      <c r="K42" s="133"/>
      <c r="L42" s="133"/>
      <c r="M42" s="133"/>
      <c r="N42" s="133"/>
      <c r="O42" s="133"/>
      <c r="P42" s="133">
        <v>0</v>
      </c>
      <c r="Q42" s="133"/>
      <c r="R42" s="133"/>
      <c r="S42" s="133"/>
      <c r="T42" s="133"/>
      <c r="U42" s="133"/>
      <c r="V42" s="133">
        <v>0</v>
      </c>
      <c r="W42" s="133"/>
      <c r="X42" s="133">
        <v>0</v>
      </c>
      <c r="Y42" s="133"/>
      <c r="Z42" s="133"/>
      <c r="AA42" s="133"/>
      <c r="AB42" s="133"/>
      <c r="AC42" s="133"/>
      <c r="AD42" s="133"/>
      <c r="AE42" s="133"/>
      <c r="AF42" s="133"/>
      <c r="AG42" s="133"/>
      <c r="AH42" s="133"/>
      <c r="AI42" s="133"/>
      <c r="AJ42" s="133"/>
      <c r="AK42" s="133"/>
      <c r="AL42" s="133"/>
      <c r="AM42" s="133"/>
      <c r="AN42" s="133"/>
      <c r="AO42" s="133"/>
      <c r="AP42" s="133"/>
      <c r="AQ42" s="133"/>
      <c r="AR42" s="133"/>
      <c r="AS42" s="133"/>
      <c r="AT42" s="133"/>
      <c r="AU42" s="133"/>
      <c r="AV42" s="133"/>
      <c r="AW42" s="133"/>
      <c r="AX42" s="133"/>
      <c r="AY42" s="133"/>
      <c r="AZ42" s="133"/>
      <c r="BA42" s="133"/>
      <c r="BB42" s="133"/>
      <c r="BC42" s="133"/>
      <c r="BD42" s="133"/>
      <c r="BE42" s="133"/>
      <c r="BF42" s="133"/>
      <c r="BG42" s="133"/>
      <c r="BH42" s="133"/>
      <c r="BI42" s="133"/>
      <c r="BJ42" s="133"/>
      <c r="BK42" s="133"/>
      <c r="BL42" s="133"/>
      <c r="BM42" s="133"/>
      <c r="BN42" s="133"/>
      <c r="BO42" s="133"/>
      <c r="BP42" s="133"/>
      <c r="BQ42" s="133"/>
      <c r="BR42" s="133"/>
      <c r="BS42" s="133"/>
      <c r="BT42" s="133"/>
      <c r="BU42" s="133"/>
      <c r="BV42" s="133"/>
      <c r="BW42" s="133"/>
      <c r="BX42" s="133"/>
      <c r="BY42" s="133"/>
      <c r="BZ42" s="133"/>
      <c r="CA42" s="133"/>
      <c r="CB42" s="133"/>
      <c r="CC42" s="133"/>
      <c r="CD42" s="133"/>
      <c r="CE42" s="133"/>
      <c r="CF42" s="133"/>
      <c r="CG42" s="133"/>
      <c r="CH42" s="133"/>
      <c r="CI42" s="133"/>
      <c r="CJ42" s="133"/>
      <c r="CK42" s="133"/>
      <c r="CL42" s="133"/>
      <c r="CM42" s="133"/>
      <c r="CN42" s="133"/>
      <c r="CO42" s="133"/>
      <c r="CP42" s="133"/>
      <c r="CQ42" s="133"/>
      <c r="CR42" s="133"/>
      <c r="CS42" s="133"/>
      <c r="CT42" s="133"/>
      <c r="CU42" s="133"/>
      <c r="CV42" s="133"/>
      <c r="CW42" s="133"/>
      <c r="CX42" s="133"/>
      <c r="CY42" s="133"/>
      <c r="CZ42" s="133"/>
      <c r="DA42" s="133"/>
      <c r="DB42" s="133"/>
      <c r="DC42" s="133"/>
      <c r="DD42" s="133"/>
      <c r="DE42" s="133"/>
      <c r="DF42" s="133"/>
      <c r="DG42" s="133"/>
      <c r="DH42" s="133"/>
      <c r="DI42" s="133"/>
      <c r="DJ42" s="133"/>
      <c r="DK42" s="133"/>
      <c r="DL42" s="133"/>
      <c r="DM42" s="133"/>
      <c r="DN42" s="133"/>
      <c r="DO42" s="133"/>
      <c r="DP42" s="133">
        <v>0</v>
      </c>
      <c r="DQ42" s="133">
        <v>0</v>
      </c>
      <c r="DR42" s="133"/>
      <c r="DS42" s="133">
        <v>0</v>
      </c>
      <c r="DT42" s="133">
        <v>0</v>
      </c>
      <c r="DU42" s="133"/>
      <c r="DV42" s="133"/>
      <c r="DW42" s="133"/>
      <c r="DX42" s="133">
        <v>0</v>
      </c>
      <c r="DY42" s="133"/>
      <c r="DZ42" s="133">
        <v>0</v>
      </c>
      <c r="EA42" s="133"/>
      <c r="EB42" s="133"/>
      <c r="EC42" s="133"/>
      <c r="ED42" s="133"/>
      <c r="EE42" s="133"/>
      <c r="EF42" s="133"/>
      <c r="EG42" s="133"/>
      <c r="EH42" s="133"/>
      <c r="EI42" s="133"/>
      <c r="EJ42" s="133"/>
      <c r="EK42" s="133"/>
      <c r="EL42" s="133"/>
      <c r="EM42" s="133"/>
      <c r="EN42" s="133"/>
      <c r="EO42" s="133"/>
      <c r="EP42" s="133"/>
      <c r="EQ42" s="133"/>
      <c r="ER42" s="133"/>
      <c r="ES42" s="133"/>
      <c r="ET42" s="133"/>
      <c r="EU42" s="133"/>
      <c r="EV42" s="133">
        <v>0</v>
      </c>
    </row>
    <row r="43" spans="1:152">
      <c r="A43" s="270" t="s">
        <v>173</v>
      </c>
      <c r="B43" s="133"/>
      <c r="C43" s="133"/>
      <c r="D43" s="133"/>
      <c r="E43" s="133"/>
      <c r="F43" s="133"/>
      <c r="G43" s="133"/>
      <c r="H43" s="133">
        <v>1906.8000462963</v>
      </c>
      <c r="I43" s="133"/>
      <c r="J43" s="133"/>
      <c r="K43" s="133"/>
      <c r="L43" s="133"/>
      <c r="M43" s="133"/>
      <c r="N43" s="133"/>
      <c r="O43" s="133"/>
      <c r="P43" s="133"/>
      <c r="Q43" s="133"/>
      <c r="R43" s="133"/>
      <c r="S43" s="133"/>
      <c r="T43" s="133"/>
      <c r="U43" s="133"/>
      <c r="V43" s="133"/>
      <c r="W43" s="133"/>
      <c r="X43" s="133"/>
      <c r="Y43" s="133"/>
      <c r="Z43" s="133"/>
      <c r="AA43" s="133"/>
      <c r="AB43" s="133"/>
      <c r="AC43" s="133"/>
      <c r="AD43" s="133"/>
      <c r="AE43" s="133"/>
      <c r="AF43" s="133"/>
      <c r="AG43" s="133"/>
      <c r="AH43" s="133"/>
      <c r="AI43" s="133"/>
      <c r="AJ43" s="133"/>
      <c r="AK43" s="133"/>
      <c r="AL43" s="133"/>
      <c r="AM43" s="133"/>
      <c r="AN43" s="133"/>
      <c r="AO43" s="133"/>
      <c r="AP43" s="133"/>
      <c r="AQ43" s="133"/>
      <c r="AR43" s="133"/>
      <c r="AS43" s="133"/>
      <c r="AT43" s="133"/>
      <c r="AU43" s="133"/>
      <c r="AV43" s="133"/>
      <c r="AW43" s="133"/>
      <c r="AX43" s="133"/>
      <c r="AY43" s="133"/>
      <c r="AZ43" s="133"/>
      <c r="BA43" s="133"/>
      <c r="BB43" s="133"/>
      <c r="BC43" s="133"/>
      <c r="BD43" s="133"/>
      <c r="BE43" s="133"/>
      <c r="BF43" s="133"/>
      <c r="BG43" s="133"/>
      <c r="BH43" s="133"/>
      <c r="BI43" s="133">
        <v>1906.8000462963</v>
      </c>
      <c r="BJ43" s="133"/>
      <c r="BK43" s="133"/>
      <c r="BL43" s="133"/>
      <c r="BM43" s="133"/>
      <c r="BN43" s="133"/>
      <c r="BO43" s="133"/>
      <c r="BP43" s="133"/>
      <c r="BQ43" s="133"/>
      <c r="BR43" s="133"/>
      <c r="BS43" s="133"/>
      <c r="BT43" s="133"/>
      <c r="BU43" s="133"/>
      <c r="BV43" s="133"/>
      <c r="BW43" s="133"/>
      <c r="BX43" s="133"/>
      <c r="BY43" s="133"/>
      <c r="BZ43" s="133"/>
      <c r="CA43" s="133"/>
      <c r="CB43" s="133"/>
      <c r="CC43" s="133"/>
      <c r="CD43" s="133"/>
      <c r="CE43" s="133"/>
      <c r="CF43" s="133"/>
      <c r="CG43" s="133"/>
      <c r="CH43" s="133"/>
      <c r="CI43" s="133"/>
      <c r="CJ43" s="133"/>
      <c r="CK43" s="133"/>
      <c r="CL43" s="133"/>
      <c r="CM43" s="133"/>
      <c r="CN43" s="133"/>
      <c r="CO43" s="133"/>
      <c r="CP43" s="133"/>
      <c r="CQ43" s="133"/>
      <c r="CR43" s="133"/>
      <c r="CS43" s="133"/>
      <c r="CT43" s="133"/>
      <c r="CU43" s="133"/>
      <c r="CV43" s="133"/>
      <c r="CW43" s="133"/>
      <c r="CX43" s="133"/>
      <c r="CY43" s="133"/>
      <c r="CZ43" s="133"/>
      <c r="DA43" s="133"/>
      <c r="DB43" s="133"/>
      <c r="DC43" s="133"/>
      <c r="DD43" s="133"/>
      <c r="DE43" s="133"/>
      <c r="DF43" s="133"/>
      <c r="DG43" s="133"/>
      <c r="DH43" s="133"/>
      <c r="DI43" s="133"/>
      <c r="DJ43" s="133"/>
      <c r="DK43" s="133"/>
      <c r="DL43" s="133"/>
      <c r="DM43" s="133"/>
      <c r="DN43" s="133"/>
      <c r="DO43" s="133"/>
      <c r="DP43" s="133"/>
      <c r="DQ43" s="133"/>
      <c r="DR43" s="133"/>
      <c r="DS43" s="133"/>
      <c r="DT43" s="133"/>
      <c r="DU43" s="133"/>
      <c r="DV43" s="133"/>
      <c r="DW43" s="133">
        <v>0</v>
      </c>
      <c r="DX43" s="133"/>
      <c r="DY43" s="133"/>
      <c r="DZ43" s="133"/>
      <c r="EA43" s="133">
        <v>1898.09997685185</v>
      </c>
      <c r="EB43" s="133">
        <v>0</v>
      </c>
      <c r="EC43" s="133">
        <v>0</v>
      </c>
      <c r="ED43" s="133">
        <v>0</v>
      </c>
      <c r="EE43" s="133">
        <v>0</v>
      </c>
      <c r="EF43" s="133">
        <v>0</v>
      </c>
      <c r="EG43" s="133">
        <v>0</v>
      </c>
      <c r="EH43" s="133"/>
      <c r="EI43" s="133"/>
      <c r="EJ43" s="133">
        <v>1781.8000462963</v>
      </c>
      <c r="EK43" s="133">
        <v>1526.90002314815</v>
      </c>
      <c r="EL43" s="133">
        <v>0</v>
      </c>
      <c r="EM43" s="133"/>
      <c r="EN43" s="133"/>
      <c r="EO43" s="133"/>
      <c r="EP43" s="133"/>
      <c r="EQ43" s="133"/>
      <c r="ER43" s="133"/>
      <c r="ES43" s="133"/>
      <c r="ET43" s="133"/>
      <c r="EU43" s="133"/>
      <c r="EV43" s="133">
        <v>1906.8000462963</v>
      </c>
    </row>
    <row r="44" spans="1:152">
      <c r="A44" s="269" t="s">
        <v>152</v>
      </c>
      <c r="B44" s="133"/>
      <c r="C44" s="133">
        <v>0</v>
      </c>
      <c r="D44" s="133"/>
      <c r="E44" s="133">
        <v>0</v>
      </c>
      <c r="F44" s="133">
        <v>1838.40002314815</v>
      </c>
      <c r="G44" s="133">
        <v>1770.3000462963</v>
      </c>
      <c r="H44" s="133">
        <v>1838.40002314815</v>
      </c>
      <c r="I44" s="133">
        <v>1770.3000462963</v>
      </c>
      <c r="J44" s="133">
        <v>1838.40002314815</v>
      </c>
      <c r="K44" s="133">
        <v>1785.59997685185</v>
      </c>
      <c r="L44" s="133">
        <v>1793.3000462963</v>
      </c>
      <c r="M44" s="133"/>
      <c r="N44" s="133">
        <v>1770.3000462963</v>
      </c>
      <c r="O44" s="133"/>
      <c r="P44" s="133">
        <v>0</v>
      </c>
      <c r="Q44" s="133">
        <v>0</v>
      </c>
      <c r="R44" s="133">
        <v>0</v>
      </c>
      <c r="S44" s="133">
        <v>0</v>
      </c>
      <c r="T44" s="133"/>
      <c r="U44" s="133">
        <v>1817.90002314815</v>
      </c>
      <c r="V44" s="133">
        <v>1817.90002314815</v>
      </c>
      <c r="W44" s="133"/>
      <c r="X44" s="133">
        <v>1817.90002314815</v>
      </c>
      <c r="Y44" s="133">
        <v>1770.3000462963</v>
      </c>
      <c r="Z44" s="133">
        <v>1770.3000462963</v>
      </c>
      <c r="AA44" s="133">
        <v>0</v>
      </c>
      <c r="AB44" s="133">
        <v>1770.3000462963</v>
      </c>
      <c r="AC44" s="133">
        <v>0</v>
      </c>
      <c r="AD44" s="133">
        <v>1770.3000462963</v>
      </c>
      <c r="AE44" s="133">
        <v>1770.3000462963</v>
      </c>
      <c r="AF44" s="133">
        <v>1770.3000462963</v>
      </c>
      <c r="AG44" s="133">
        <v>1770.3000462963</v>
      </c>
      <c r="AH44" s="133">
        <v>0</v>
      </c>
      <c r="AI44" s="133">
        <v>1770.3000462963</v>
      </c>
      <c r="AJ44" s="133">
        <v>1770.3000462963</v>
      </c>
      <c r="AK44" s="133">
        <v>1770.3000462963</v>
      </c>
      <c r="AL44" s="133">
        <v>1770.3000462963</v>
      </c>
      <c r="AM44" s="133">
        <v>1770.3000462963</v>
      </c>
      <c r="AN44" s="133">
        <v>1770.3000462963</v>
      </c>
      <c r="AO44" s="133">
        <v>1770.3000462963</v>
      </c>
      <c r="AP44" s="133">
        <v>1770.3000462963</v>
      </c>
      <c r="AQ44" s="133">
        <v>1770.3000462963</v>
      </c>
      <c r="AR44" s="133">
        <v>1770.3000462963</v>
      </c>
      <c r="AS44" s="133">
        <v>1770.3000462963</v>
      </c>
      <c r="AT44" s="133"/>
      <c r="AU44" s="133"/>
      <c r="AV44" s="133">
        <v>1770.3000462963</v>
      </c>
      <c r="AW44" s="133">
        <v>1770.3000462963</v>
      </c>
      <c r="AX44" s="133">
        <v>1770.3000462963</v>
      </c>
      <c r="AY44" s="133">
        <v>1770.3000462963</v>
      </c>
      <c r="AZ44" s="133"/>
      <c r="BA44" s="133"/>
      <c r="BB44" s="133">
        <v>1770.3000462963</v>
      </c>
      <c r="BC44" s="133">
        <v>1770.3000462963</v>
      </c>
      <c r="BD44" s="133">
        <v>0</v>
      </c>
      <c r="BE44" s="133">
        <v>0</v>
      </c>
      <c r="BF44" s="133">
        <v>0</v>
      </c>
      <c r="BG44" s="133">
        <v>0</v>
      </c>
      <c r="BH44" s="133">
        <v>0</v>
      </c>
      <c r="BI44" s="133">
        <v>1770.3000462963</v>
      </c>
      <c r="BJ44" s="133">
        <v>0</v>
      </c>
      <c r="BK44" s="133">
        <v>0</v>
      </c>
      <c r="BL44" s="133">
        <v>0</v>
      </c>
      <c r="BM44" s="133">
        <v>0</v>
      </c>
      <c r="BN44" s="133">
        <v>0</v>
      </c>
      <c r="BO44" s="133">
        <v>0</v>
      </c>
      <c r="BP44" s="133">
        <v>0</v>
      </c>
      <c r="BQ44" s="133"/>
      <c r="BR44" s="133"/>
      <c r="BS44" s="133">
        <v>0</v>
      </c>
      <c r="BT44" s="133"/>
      <c r="BU44" s="133"/>
      <c r="BV44" s="133"/>
      <c r="BW44" s="133"/>
      <c r="BX44" s="133"/>
      <c r="BY44" s="133"/>
      <c r="BZ44" s="133"/>
      <c r="CA44" s="133"/>
      <c r="CB44" s="133"/>
      <c r="CC44" s="133"/>
      <c r="CD44" s="133"/>
      <c r="CE44" s="133"/>
      <c r="CF44" s="133"/>
      <c r="CG44" s="133">
        <v>0</v>
      </c>
      <c r="CH44" s="133"/>
      <c r="CI44" s="133"/>
      <c r="CJ44" s="133"/>
      <c r="CK44" s="133"/>
      <c r="CL44" s="133"/>
      <c r="CM44" s="133"/>
      <c r="CN44" s="133"/>
      <c r="CO44" s="133"/>
      <c r="CP44" s="133"/>
      <c r="CQ44" s="133"/>
      <c r="CR44" s="133"/>
      <c r="CS44" s="133"/>
      <c r="CT44" s="133"/>
      <c r="CU44" s="133"/>
      <c r="CV44" s="133"/>
      <c r="CW44" s="133">
        <v>1770.3000462963</v>
      </c>
      <c r="CX44" s="133">
        <v>1770.3000462963</v>
      </c>
      <c r="CY44" s="133">
        <v>1770.3000462963</v>
      </c>
      <c r="CZ44" s="133">
        <v>1770.3000462963</v>
      </c>
      <c r="DA44" s="133">
        <v>1770.3000462963</v>
      </c>
      <c r="DB44" s="133">
        <v>0</v>
      </c>
      <c r="DC44" s="133"/>
      <c r="DD44" s="133"/>
      <c r="DE44" s="133"/>
      <c r="DF44" s="133"/>
      <c r="DG44" s="133"/>
      <c r="DH44" s="133"/>
      <c r="DI44" s="133"/>
      <c r="DJ44" s="133"/>
      <c r="DK44" s="133">
        <v>0</v>
      </c>
      <c r="DL44" s="133">
        <v>0</v>
      </c>
      <c r="DM44" s="133">
        <v>0</v>
      </c>
      <c r="DN44" s="133">
        <v>0</v>
      </c>
      <c r="DO44" s="133">
        <v>0</v>
      </c>
      <c r="DP44" s="133">
        <v>0</v>
      </c>
      <c r="DQ44" s="133">
        <v>0</v>
      </c>
      <c r="DR44" s="133"/>
      <c r="DS44" s="133">
        <v>0</v>
      </c>
      <c r="DT44" s="133">
        <v>0</v>
      </c>
      <c r="DU44" s="133"/>
      <c r="DV44" s="133"/>
      <c r="DW44" s="133">
        <v>0</v>
      </c>
      <c r="DX44" s="133">
        <v>0</v>
      </c>
      <c r="DY44" s="133"/>
      <c r="DZ44" s="133"/>
      <c r="EA44" s="133">
        <v>1770.3000462963</v>
      </c>
      <c r="EB44" s="133">
        <v>0</v>
      </c>
      <c r="EC44" s="133">
        <v>0</v>
      </c>
      <c r="ED44" s="133">
        <v>0</v>
      </c>
      <c r="EE44" s="133">
        <v>0</v>
      </c>
      <c r="EF44" s="133">
        <v>0</v>
      </c>
      <c r="EG44" s="133">
        <v>0</v>
      </c>
      <c r="EH44" s="133">
        <v>0</v>
      </c>
      <c r="EI44" s="133"/>
      <c r="EJ44" s="133">
        <v>1770.3000462963</v>
      </c>
      <c r="EK44" s="133">
        <v>1770.3000462963</v>
      </c>
      <c r="EL44" s="133"/>
      <c r="EM44" s="133"/>
      <c r="EN44" s="133"/>
      <c r="EO44" s="133"/>
      <c r="EP44" s="133"/>
      <c r="EQ44" s="133"/>
      <c r="ER44" s="133"/>
      <c r="ES44" s="133"/>
      <c r="ET44" s="133"/>
      <c r="EU44" s="133"/>
      <c r="EV44" s="133">
        <v>1838.40002314815</v>
      </c>
    </row>
    <row r="45" spans="1:152">
      <c r="A45" s="270" t="s">
        <v>87</v>
      </c>
      <c r="B45" s="133"/>
      <c r="C45" s="133">
        <v>0</v>
      </c>
      <c r="D45" s="133"/>
      <c r="E45" s="133"/>
      <c r="F45" s="133">
        <v>1838.40002314815</v>
      </c>
      <c r="G45" s="133">
        <v>1770.3000462963</v>
      </c>
      <c r="H45" s="133">
        <v>1838.40002314815</v>
      </c>
      <c r="I45" s="133">
        <v>1770.3000462963</v>
      </c>
      <c r="J45" s="133">
        <v>1838.40002314815</v>
      </c>
      <c r="K45" s="133">
        <v>1785.59997685185</v>
      </c>
      <c r="L45" s="133">
        <v>1793.3000462963</v>
      </c>
      <c r="M45" s="133"/>
      <c r="N45" s="133">
        <v>1770.3000462963</v>
      </c>
      <c r="O45" s="133"/>
      <c r="P45" s="133">
        <v>0</v>
      </c>
      <c r="Q45" s="133">
        <v>0</v>
      </c>
      <c r="R45" s="133">
        <v>0</v>
      </c>
      <c r="S45" s="133">
        <v>0</v>
      </c>
      <c r="T45" s="133"/>
      <c r="U45" s="133">
        <v>1817.90002314815</v>
      </c>
      <c r="V45" s="133">
        <v>1817.90002314815</v>
      </c>
      <c r="W45" s="133"/>
      <c r="X45" s="133">
        <v>1817.90002314815</v>
      </c>
      <c r="Y45" s="133">
        <v>1770.3000462963</v>
      </c>
      <c r="Z45" s="133">
        <v>1770.3000462963</v>
      </c>
      <c r="AA45" s="133">
        <v>0</v>
      </c>
      <c r="AB45" s="133">
        <v>1770.3000462963</v>
      </c>
      <c r="AC45" s="133">
        <v>0</v>
      </c>
      <c r="AD45" s="133">
        <v>1770.3000462963</v>
      </c>
      <c r="AE45" s="133">
        <v>1770.3000462963</v>
      </c>
      <c r="AF45" s="133">
        <v>1770.3000462963</v>
      </c>
      <c r="AG45" s="133">
        <v>1770.3000462963</v>
      </c>
      <c r="AH45" s="133">
        <v>0</v>
      </c>
      <c r="AI45" s="133">
        <v>1770.3000462963</v>
      </c>
      <c r="AJ45" s="133">
        <v>1770.3000462963</v>
      </c>
      <c r="AK45" s="133">
        <v>1770.3000462963</v>
      </c>
      <c r="AL45" s="133">
        <v>1770.3000462963</v>
      </c>
      <c r="AM45" s="133">
        <v>1770.3000462963</v>
      </c>
      <c r="AN45" s="133">
        <v>1770.3000462963</v>
      </c>
      <c r="AO45" s="133">
        <v>1770.3000462963</v>
      </c>
      <c r="AP45" s="133">
        <v>1770.3000462963</v>
      </c>
      <c r="AQ45" s="133">
        <v>1770.3000462963</v>
      </c>
      <c r="AR45" s="133">
        <v>1770.3000462963</v>
      </c>
      <c r="AS45" s="133">
        <v>1770.3000462963</v>
      </c>
      <c r="AT45" s="133"/>
      <c r="AU45" s="133"/>
      <c r="AV45" s="133">
        <v>1770.3000462963</v>
      </c>
      <c r="AW45" s="133">
        <v>1770.3000462963</v>
      </c>
      <c r="AX45" s="133">
        <v>1770.3000462963</v>
      </c>
      <c r="AY45" s="133">
        <v>1770.3000462963</v>
      </c>
      <c r="AZ45" s="133"/>
      <c r="BA45" s="133"/>
      <c r="BB45" s="133">
        <v>1770.3000462963</v>
      </c>
      <c r="BC45" s="133">
        <v>1770.3000462963</v>
      </c>
      <c r="BD45" s="133">
        <v>0</v>
      </c>
      <c r="BE45" s="133">
        <v>0</v>
      </c>
      <c r="BF45" s="133">
        <v>0</v>
      </c>
      <c r="BG45" s="133">
        <v>0</v>
      </c>
      <c r="BH45" s="133">
        <v>0</v>
      </c>
      <c r="BI45" s="133">
        <v>0</v>
      </c>
      <c r="BJ45" s="133">
        <v>0</v>
      </c>
      <c r="BK45" s="133">
        <v>0</v>
      </c>
      <c r="BL45" s="133">
        <v>0</v>
      </c>
      <c r="BM45" s="133">
        <v>0</v>
      </c>
      <c r="BN45" s="133">
        <v>0</v>
      </c>
      <c r="BO45" s="133">
        <v>0</v>
      </c>
      <c r="BP45" s="133">
        <v>0</v>
      </c>
      <c r="BQ45" s="133"/>
      <c r="BR45" s="133"/>
      <c r="BS45" s="133">
        <v>0</v>
      </c>
      <c r="BT45" s="133"/>
      <c r="BU45" s="133"/>
      <c r="BV45" s="133"/>
      <c r="BW45" s="133"/>
      <c r="BX45" s="133"/>
      <c r="BY45" s="133"/>
      <c r="BZ45" s="133"/>
      <c r="CA45" s="133"/>
      <c r="CB45" s="133"/>
      <c r="CC45" s="133"/>
      <c r="CD45" s="133"/>
      <c r="CE45" s="133"/>
      <c r="CF45" s="133"/>
      <c r="CG45" s="133">
        <v>0</v>
      </c>
      <c r="CH45" s="133"/>
      <c r="CI45" s="133"/>
      <c r="CJ45" s="133"/>
      <c r="CK45" s="133"/>
      <c r="CL45" s="133"/>
      <c r="CM45" s="133"/>
      <c r="CN45" s="133"/>
      <c r="CO45" s="133"/>
      <c r="CP45" s="133"/>
      <c r="CQ45" s="133"/>
      <c r="CR45" s="133"/>
      <c r="CS45" s="133"/>
      <c r="CT45" s="133"/>
      <c r="CU45" s="133"/>
      <c r="CV45" s="133"/>
      <c r="CW45" s="133">
        <v>1770.3000462963</v>
      </c>
      <c r="CX45" s="133">
        <v>1770.3000462963</v>
      </c>
      <c r="CY45" s="133">
        <v>1770.3000462963</v>
      </c>
      <c r="CZ45" s="133">
        <v>1770.3000462963</v>
      </c>
      <c r="DA45" s="133">
        <v>1770.3000462963</v>
      </c>
      <c r="DB45" s="133">
        <v>0</v>
      </c>
      <c r="DC45" s="133"/>
      <c r="DD45" s="133"/>
      <c r="DE45" s="133"/>
      <c r="DF45" s="133"/>
      <c r="DG45" s="133"/>
      <c r="DH45" s="133"/>
      <c r="DI45" s="133"/>
      <c r="DJ45" s="133"/>
      <c r="DK45" s="133">
        <v>0</v>
      </c>
      <c r="DL45" s="133"/>
      <c r="DM45" s="133"/>
      <c r="DN45" s="133"/>
      <c r="DO45" s="133"/>
      <c r="DP45" s="133"/>
      <c r="DQ45" s="133"/>
      <c r="DR45" s="133"/>
      <c r="DS45" s="133"/>
      <c r="DT45" s="133"/>
      <c r="DU45" s="133"/>
      <c r="DV45" s="133"/>
      <c r="DW45" s="133"/>
      <c r="DX45" s="133"/>
      <c r="DY45" s="133"/>
      <c r="DZ45" s="133"/>
      <c r="EA45" s="133"/>
      <c r="EB45" s="133"/>
      <c r="EC45" s="133"/>
      <c r="ED45" s="133"/>
      <c r="EE45" s="133"/>
      <c r="EF45" s="133"/>
      <c r="EG45" s="133"/>
      <c r="EH45" s="133"/>
      <c r="EI45" s="133"/>
      <c r="EJ45" s="133"/>
      <c r="EK45" s="133"/>
      <c r="EL45" s="133"/>
      <c r="EM45" s="133"/>
      <c r="EN45" s="133"/>
      <c r="EO45" s="133"/>
      <c r="EP45" s="133"/>
      <c r="EQ45" s="133"/>
      <c r="ER45" s="133"/>
      <c r="ES45" s="133"/>
      <c r="ET45" s="133"/>
      <c r="EU45" s="133"/>
      <c r="EV45" s="133">
        <v>1838.40002314815</v>
      </c>
    </row>
    <row r="46" spans="1:152">
      <c r="A46" s="270" t="s">
        <v>172</v>
      </c>
      <c r="B46" s="133"/>
      <c r="C46" s="133"/>
      <c r="D46" s="133"/>
      <c r="E46" s="133">
        <v>0</v>
      </c>
      <c r="F46" s="133"/>
      <c r="G46" s="133"/>
      <c r="H46" s="133"/>
      <c r="I46" s="133"/>
      <c r="J46" s="133"/>
      <c r="K46" s="133"/>
      <c r="L46" s="133"/>
      <c r="M46" s="133"/>
      <c r="N46" s="133"/>
      <c r="O46" s="133"/>
      <c r="P46" s="133">
        <v>0</v>
      </c>
      <c r="Q46" s="133"/>
      <c r="R46" s="133"/>
      <c r="S46" s="133"/>
      <c r="T46" s="133"/>
      <c r="U46" s="133"/>
      <c r="V46" s="133">
        <v>0</v>
      </c>
      <c r="W46" s="133"/>
      <c r="X46" s="133"/>
      <c r="Y46" s="133"/>
      <c r="Z46" s="133"/>
      <c r="AA46" s="133"/>
      <c r="AB46" s="133"/>
      <c r="AC46" s="133"/>
      <c r="AD46" s="133"/>
      <c r="AE46" s="133"/>
      <c r="AF46" s="133"/>
      <c r="AG46" s="133"/>
      <c r="AH46" s="133"/>
      <c r="AI46" s="133"/>
      <c r="AJ46" s="133"/>
      <c r="AK46" s="133"/>
      <c r="AL46" s="133"/>
      <c r="AM46" s="133"/>
      <c r="AN46" s="133"/>
      <c r="AO46" s="133"/>
      <c r="AP46" s="133"/>
      <c r="AQ46" s="133"/>
      <c r="AR46" s="133"/>
      <c r="AS46" s="133"/>
      <c r="AT46" s="133"/>
      <c r="AU46" s="133"/>
      <c r="AV46" s="133"/>
      <c r="AW46" s="133"/>
      <c r="AX46" s="133"/>
      <c r="AY46" s="133"/>
      <c r="AZ46" s="133"/>
      <c r="BA46" s="133"/>
      <c r="BB46" s="133"/>
      <c r="BC46" s="133"/>
      <c r="BD46" s="133"/>
      <c r="BE46" s="133"/>
      <c r="BF46" s="133"/>
      <c r="BG46" s="133"/>
      <c r="BH46" s="133"/>
      <c r="BI46" s="133"/>
      <c r="BJ46" s="133"/>
      <c r="BK46" s="133"/>
      <c r="BL46" s="133"/>
      <c r="BM46" s="133"/>
      <c r="BN46" s="133"/>
      <c r="BO46" s="133"/>
      <c r="BP46" s="133"/>
      <c r="BQ46" s="133"/>
      <c r="BR46" s="133"/>
      <c r="BS46" s="133"/>
      <c r="BT46" s="133"/>
      <c r="BU46" s="133"/>
      <c r="BV46" s="133"/>
      <c r="BW46" s="133"/>
      <c r="BX46" s="133"/>
      <c r="BY46" s="133"/>
      <c r="BZ46" s="133"/>
      <c r="CA46" s="133"/>
      <c r="CB46" s="133"/>
      <c r="CC46" s="133"/>
      <c r="CD46" s="133"/>
      <c r="CE46" s="133"/>
      <c r="CF46" s="133"/>
      <c r="CG46" s="133"/>
      <c r="CH46" s="133"/>
      <c r="CI46" s="133"/>
      <c r="CJ46" s="133"/>
      <c r="CK46" s="133"/>
      <c r="CL46" s="133"/>
      <c r="CM46" s="133"/>
      <c r="CN46" s="133"/>
      <c r="CO46" s="133"/>
      <c r="CP46" s="133"/>
      <c r="CQ46" s="133"/>
      <c r="CR46" s="133"/>
      <c r="CS46" s="133"/>
      <c r="CT46" s="133"/>
      <c r="CU46" s="133"/>
      <c r="CV46" s="133"/>
      <c r="CW46" s="133"/>
      <c r="CX46" s="133"/>
      <c r="CY46" s="133"/>
      <c r="CZ46" s="133"/>
      <c r="DA46" s="133"/>
      <c r="DB46" s="133"/>
      <c r="DC46" s="133"/>
      <c r="DD46" s="133"/>
      <c r="DE46" s="133"/>
      <c r="DF46" s="133"/>
      <c r="DG46" s="133"/>
      <c r="DH46" s="133"/>
      <c r="DI46" s="133"/>
      <c r="DJ46" s="133"/>
      <c r="DK46" s="133"/>
      <c r="DL46" s="133">
        <v>0</v>
      </c>
      <c r="DM46" s="133">
        <v>0</v>
      </c>
      <c r="DN46" s="133">
        <v>0</v>
      </c>
      <c r="DO46" s="133">
        <v>0</v>
      </c>
      <c r="DP46" s="133">
        <v>0</v>
      </c>
      <c r="DQ46" s="133">
        <v>0</v>
      </c>
      <c r="DR46" s="133"/>
      <c r="DS46" s="133">
        <v>0</v>
      </c>
      <c r="DT46" s="133">
        <v>0</v>
      </c>
      <c r="DU46" s="133"/>
      <c r="DV46" s="133"/>
      <c r="DW46" s="133"/>
      <c r="DX46" s="133">
        <v>0</v>
      </c>
      <c r="DY46" s="133"/>
      <c r="DZ46" s="133"/>
      <c r="EA46" s="133"/>
      <c r="EB46" s="133"/>
      <c r="EC46" s="133"/>
      <c r="ED46" s="133"/>
      <c r="EE46" s="133"/>
      <c r="EF46" s="133"/>
      <c r="EG46" s="133"/>
      <c r="EH46" s="133"/>
      <c r="EI46" s="133"/>
      <c r="EJ46" s="133"/>
      <c r="EK46" s="133"/>
      <c r="EL46" s="133"/>
      <c r="EM46" s="133"/>
      <c r="EN46" s="133"/>
      <c r="EO46" s="133"/>
      <c r="EP46" s="133"/>
      <c r="EQ46" s="133"/>
      <c r="ER46" s="133"/>
      <c r="ES46" s="133"/>
      <c r="ET46" s="133"/>
      <c r="EU46" s="133"/>
      <c r="EV46" s="133">
        <v>0</v>
      </c>
    </row>
    <row r="47" spans="1:152">
      <c r="A47" s="270" t="s">
        <v>173</v>
      </c>
      <c r="B47" s="133"/>
      <c r="C47" s="133"/>
      <c r="D47" s="133"/>
      <c r="E47" s="133"/>
      <c r="F47" s="133"/>
      <c r="G47" s="133"/>
      <c r="H47" s="133">
        <v>1770.3000462963</v>
      </c>
      <c r="I47" s="133"/>
      <c r="J47" s="133"/>
      <c r="K47" s="133"/>
      <c r="L47" s="133"/>
      <c r="M47" s="133"/>
      <c r="N47" s="133"/>
      <c r="O47" s="133"/>
      <c r="P47" s="133"/>
      <c r="Q47" s="133"/>
      <c r="R47" s="133"/>
      <c r="S47" s="133"/>
      <c r="T47" s="133"/>
      <c r="U47" s="133"/>
      <c r="V47" s="133"/>
      <c r="W47" s="133"/>
      <c r="X47" s="133"/>
      <c r="Y47" s="133"/>
      <c r="Z47" s="133"/>
      <c r="AA47" s="133"/>
      <c r="AB47" s="133"/>
      <c r="AC47" s="133"/>
      <c r="AD47" s="133"/>
      <c r="AE47" s="133"/>
      <c r="AF47" s="133"/>
      <c r="AG47" s="133"/>
      <c r="AH47" s="133"/>
      <c r="AI47" s="133"/>
      <c r="AJ47" s="133"/>
      <c r="AK47" s="133"/>
      <c r="AL47" s="133"/>
      <c r="AM47" s="133"/>
      <c r="AN47" s="133"/>
      <c r="AO47" s="133"/>
      <c r="AP47" s="133"/>
      <c r="AQ47" s="133"/>
      <c r="AR47" s="133"/>
      <c r="AS47" s="133"/>
      <c r="AT47" s="133"/>
      <c r="AU47" s="133"/>
      <c r="AV47" s="133"/>
      <c r="AW47" s="133"/>
      <c r="AX47" s="133"/>
      <c r="AY47" s="133"/>
      <c r="AZ47" s="133"/>
      <c r="BA47" s="133"/>
      <c r="BB47" s="133"/>
      <c r="BC47" s="133"/>
      <c r="BD47" s="133"/>
      <c r="BE47" s="133"/>
      <c r="BF47" s="133"/>
      <c r="BG47" s="133"/>
      <c r="BH47" s="133"/>
      <c r="BI47" s="133">
        <v>1770.3000462963</v>
      </c>
      <c r="BJ47" s="133"/>
      <c r="BK47" s="133"/>
      <c r="BL47" s="133"/>
      <c r="BM47" s="133"/>
      <c r="BN47" s="133"/>
      <c r="BO47" s="133"/>
      <c r="BP47" s="133"/>
      <c r="BQ47" s="133"/>
      <c r="BR47" s="133"/>
      <c r="BS47" s="133"/>
      <c r="BT47" s="133"/>
      <c r="BU47" s="133"/>
      <c r="BV47" s="133"/>
      <c r="BW47" s="133"/>
      <c r="BX47" s="133"/>
      <c r="BY47" s="133"/>
      <c r="BZ47" s="133"/>
      <c r="CA47" s="133"/>
      <c r="CB47" s="133"/>
      <c r="CC47" s="133"/>
      <c r="CD47" s="133"/>
      <c r="CE47" s="133"/>
      <c r="CF47" s="133"/>
      <c r="CG47" s="133"/>
      <c r="CH47" s="133"/>
      <c r="CI47" s="133"/>
      <c r="CJ47" s="133"/>
      <c r="CK47" s="133"/>
      <c r="CL47" s="133"/>
      <c r="CM47" s="133"/>
      <c r="CN47" s="133"/>
      <c r="CO47" s="133"/>
      <c r="CP47" s="133"/>
      <c r="CQ47" s="133"/>
      <c r="CR47" s="133"/>
      <c r="CS47" s="133"/>
      <c r="CT47" s="133"/>
      <c r="CU47" s="133"/>
      <c r="CV47" s="133"/>
      <c r="CW47" s="133"/>
      <c r="CX47" s="133"/>
      <c r="CY47" s="133"/>
      <c r="CZ47" s="133"/>
      <c r="DA47" s="133"/>
      <c r="DB47" s="133"/>
      <c r="DC47" s="133"/>
      <c r="DD47" s="133"/>
      <c r="DE47" s="133"/>
      <c r="DF47" s="133"/>
      <c r="DG47" s="133"/>
      <c r="DH47" s="133"/>
      <c r="DI47" s="133"/>
      <c r="DJ47" s="133"/>
      <c r="DK47" s="133"/>
      <c r="DL47" s="133"/>
      <c r="DM47" s="133"/>
      <c r="DN47" s="133"/>
      <c r="DO47" s="133"/>
      <c r="DP47" s="133"/>
      <c r="DQ47" s="133"/>
      <c r="DR47" s="133"/>
      <c r="DS47" s="133"/>
      <c r="DT47" s="133"/>
      <c r="DU47" s="133"/>
      <c r="DV47" s="133"/>
      <c r="DW47" s="133">
        <v>0</v>
      </c>
      <c r="DX47" s="133"/>
      <c r="DY47" s="133"/>
      <c r="DZ47" s="133"/>
      <c r="EA47" s="133">
        <v>1770.3000462963</v>
      </c>
      <c r="EB47" s="133">
        <v>0</v>
      </c>
      <c r="EC47" s="133">
        <v>0</v>
      </c>
      <c r="ED47" s="133">
        <v>0</v>
      </c>
      <c r="EE47" s="133">
        <v>0</v>
      </c>
      <c r="EF47" s="133">
        <v>0</v>
      </c>
      <c r="EG47" s="133">
        <v>0</v>
      </c>
      <c r="EH47" s="133">
        <v>0</v>
      </c>
      <c r="EI47" s="133"/>
      <c r="EJ47" s="133">
        <v>1770.3000462963</v>
      </c>
      <c r="EK47" s="133">
        <v>1770.3000462963</v>
      </c>
      <c r="EL47" s="133"/>
      <c r="EM47" s="133"/>
      <c r="EN47" s="133"/>
      <c r="EO47" s="133"/>
      <c r="EP47" s="133"/>
      <c r="EQ47" s="133"/>
      <c r="ER47" s="133"/>
      <c r="ES47" s="133"/>
      <c r="ET47" s="133"/>
      <c r="EU47" s="133"/>
      <c r="EV47" s="133">
        <v>1770.3000462963</v>
      </c>
    </row>
    <row r="48" spans="1:152">
      <c r="A48" s="269" t="s">
        <v>145</v>
      </c>
      <c r="B48" s="133">
        <v>1714.09997685185</v>
      </c>
      <c r="C48" s="133"/>
      <c r="D48" s="133"/>
      <c r="E48" s="133">
        <v>0</v>
      </c>
      <c r="F48" s="133">
        <v>1825.90002314815</v>
      </c>
      <c r="G48" s="133">
        <v>1704.6999537037</v>
      </c>
      <c r="H48" s="133">
        <v>1825.90002314815</v>
      </c>
      <c r="I48" s="133">
        <v>1713.09997685185</v>
      </c>
      <c r="J48" s="133">
        <v>1810.3000462963</v>
      </c>
      <c r="K48" s="133">
        <v>1806.3000462963</v>
      </c>
      <c r="L48" s="133">
        <v>1806.3000462963</v>
      </c>
      <c r="M48" s="133">
        <v>1806.3000462963</v>
      </c>
      <c r="N48" s="133">
        <v>1713.09997685185</v>
      </c>
      <c r="O48" s="133"/>
      <c r="P48" s="133">
        <v>0</v>
      </c>
      <c r="Q48" s="133">
        <v>0</v>
      </c>
      <c r="R48" s="133">
        <v>0</v>
      </c>
      <c r="S48" s="133">
        <v>0</v>
      </c>
      <c r="T48" s="133"/>
      <c r="U48" s="133">
        <v>1790.59997685185</v>
      </c>
      <c r="V48" s="133">
        <v>1790.59997685185</v>
      </c>
      <c r="W48" s="133"/>
      <c r="X48" s="133">
        <v>1790.59997685185</v>
      </c>
      <c r="Y48" s="133">
        <v>1704.6999537037</v>
      </c>
      <c r="Z48" s="133">
        <v>1704.6999537037</v>
      </c>
      <c r="AA48" s="133">
        <v>0</v>
      </c>
      <c r="AB48" s="133">
        <v>1704.6999537037</v>
      </c>
      <c r="AC48" s="133">
        <v>0</v>
      </c>
      <c r="AD48" s="133">
        <v>1704.6999537037</v>
      </c>
      <c r="AE48" s="133">
        <v>1704.6999537037</v>
      </c>
      <c r="AF48" s="133"/>
      <c r="AG48" s="133"/>
      <c r="AH48" s="133">
        <v>0</v>
      </c>
      <c r="AI48" s="133">
        <v>1704.6999537037</v>
      </c>
      <c r="AJ48" s="133">
        <v>1704.6999537037</v>
      </c>
      <c r="AK48" s="133">
        <v>1704.6999537037</v>
      </c>
      <c r="AL48" s="133">
        <v>1704.6999537037</v>
      </c>
      <c r="AM48" s="133"/>
      <c r="AN48" s="133">
        <v>1704.6999537037</v>
      </c>
      <c r="AO48" s="133">
        <v>1704.6999537037</v>
      </c>
      <c r="AP48" s="133">
        <v>1714.09997685185</v>
      </c>
      <c r="AQ48" s="133">
        <v>1714.09997685185</v>
      </c>
      <c r="AR48" s="133">
        <v>1704.6999537037</v>
      </c>
      <c r="AS48" s="133">
        <v>1704.6999537037</v>
      </c>
      <c r="AT48" s="133"/>
      <c r="AU48" s="133"/>
      <c r="AV48" s="133">
        <v>1704.6999537037</v>
      </c>
      <c r="AW48" s="133">
        <v>1704.6999537037</v>
      </c>
      <c r="AX48" s="133">
        <v>1704.6999537037</v>
      </c>
      <c r="AY48" s="133">
        <v>1704.6999537037</v>
      </c>
      <c r="AZ48" s="133"/>
      <c r="BA48" s="133"/>
      <c r="BB48" s="133">
        <v>1704.6999537037</v>
      </c>
      <c r="BC48" s="133">
        <v>1704.6999537037</v>
      </c>
      <c r="BD48" s="133">
        <v>0</v>
      </c>
      <c r="BE48" s="133">
        <v>0</v>
      </c>
      <c r="BF48" s="133">
        <v>0</v>
      </c>
      <c r="BG48" s="133"/>
      <c r="BH48" s="133">
        <v>0</v>
      </c>
      <c r="BI48" s="133">
        <v>1704.6999537037</v>
      </c>
      <c r="BJ48" s="133">
        <v>0</v>
      </c>
      <c r="BK48" s="133">
        <v>0</v>
      </c>
      <c r="BL48" s="133">
        <v>0</v>
      </c>
      <c r="BM48" s="133">
        <v>0</v>
      </c>
      <c r="BN48" s="133">
        <v>0</v>
      </c>
      <c r="BO48" s="133">
        <v>0</v>
      </c>
      <c r="BP48" s="133">
        <v>0</v>
      </c>
      <c r="BQ48" s="133"/>
      <c r="BR48" s="133"/>
      <c r="BS48" s="133">
        <v>0</v>
      </c>
      <c r="BT48" s="133">
        <v>0</v>
      </c>
      <c r="BU48" s="133">
        <v>0</v>
      </c>
      <c r="BV48" s="133">
        <v>0</v>
      </c>
      <c r="BW48" s="133">
        <v>0</v>
      </c>
      <c r="BX48" s="133">
        <v>0</v>
      </c>
      <c r="BY48" s="133">
        <v>0</v>
      </c>
      <c r="BZ48" s="133"/>
      <c r="CA48" s="133"/>
      <c r="CB48" s="133"/>
      <c r="CC48" s="133"/>
      <c r="CD48" s="133"/>
      <c r="CE48" s="133"/>
      <c r="CF48" s="133"/>
      <c r="CG48" s="133"/>
      <c r="CH48" s="133"/>
      <c r="CI48" s="133"/>
      <c r="CJ48" s="133"/>
      <c r="CK48" s="133"/>
      <c r="CL48" s="133"/>
      <c r="CM48" s="133"/>
      <c r="CN48" s="133"/>
      <c r="CO48" s="133"/>
      <c r="CP48" s="133"/>
      <c r="CQ48" s="133"/>
      <c r="CR48" s="133"/>
      <c r="CS48" s="133"/>
      <c r="CT48" s="133"/>
      <c r="CU48" s="133"/>
      <c r="CV48" s="133"/>
      <c r="CW48" s="133">
        <v>1704.6999537037</v>
      </c>
      <c r="CX48" s="133">
        <v>1704.6999537037</v>
      </c>
      <c r="CY48" s="133">
        <v>1704.6999537037</v>
      </c>
      <c r="CZ48" s="133">
        <v>1704.6999537037</v>
      </c>
      <c r="DA48" s="133">
        <v>1704.6999537037</v>
      </c>
      <c r="DB48" s="133">
        <v>0</v>
      </c>
      <c r="DC48" s="133"/>
      <c r="DD48" s="133"/>
      <c r="DE48" s="133">
        <v>0</v>
      </c>
      <c r="DF48" s="133"/>
      <c r="DG48" s="133">
        <v>0</v>
      </c>
      <c r="DH48" s="133">
        <v>0</v>
      </c>
      <c r="DI48" s="133">
        <v>0</v>
      </c>
      <c r="DJ48" s="133">
        <v>0</v>
      </c>
      <c r="DK48" s="133">
        <v>0</v>
      </c>
      <c r="DL48" s="133"/>
      <c r="DM48" s="133">
        <v>0</v>
      </c>
      <c r="DN48" s="133">
        <v>0</v>
      </c>
      <c r="DO48" s="133"/>
      <c r="DP48" s="133">
        <v>0</v>
      </c>
      <c r="DQ48" s="133">
        <v>0</v>
      </c>
      <c r="DR48" s="133"/>
      <c r="DS48" s="133">
        <v>0</v>
      </c>
      <c r="DT48" s="133">
        <v>0</v>
      </c>
      <c r="DU48" s="133"/>
      <c r="DV48" s="133"/>
      <c r="DW48" s="133">
        <v>0</v>
      </c>
      <c r="DX48" s="133">
        <v>0</v>
      </c>
      <c r="DY48" s="133"/>
      <c r="DZ48" s="133">
        <v>0</v>
      </c>
      <c r="EA48" s="133">
        <v>1704.6999537037</v>
      </c>
      <c r="EB48" s="133">
        <v>0</v>
      </c>
      <c r="EC48" s="133">
        <v>0</v>
      </c>
      <c r="ED48" s="133">
        <v>0</v>
      </c>
      <c r="EE48" s="133">
        <v>0</v>
      </c>
      <c r="EF48" s="133">
        <v>0</v>
      </c>
      <c r="EG48" s="133">
        <v>0</v>
      </c>
      <c r="EH48" s="133"/>
      <c r="EI48" s="133"/>
      <c r="EJ48" s="133">
        <v>1704.6999537037</v>
      </c>
      <c r="EK48" s="133">
        <v>1704.6999537037</v>
      </c>
      <c r="EL48" s="133"/>
      <c r="EM48" s="133"/>
      <c r="EN48" s="133"/>
      <c r="EO48" s="133"/>
      <c r="EP48" s="133"/>
      <c r="EQ48" s="133"/>
      <c r="ER48" s="133"/>
      <c r="ES48" s="133"/>
      <c r="ET48" s="133"/>
      <c r="EU48" s="133">
        <v>0</v>
      </c>
      <c r="EV48" s="133">
        <v>1825.90002314815</v>
      </c>
    </row>
    <row r="49" spans="1:152">
      <c r="A49" s="270" t="s">
        <v>87</v>
      </c>
      <c r="B49" s="133">
        <v>1714.09997685185</v>
      </c>
      <c r="C49" s="133"/>
      <c r="D49" s="133"/>
      <c r="E49" s="133"/>
      <c r="F49" s="133">
        <v>1825.90002314815</v>
      </c>
      <c r="G49" s="133">
        <v>1704.6999537037</v>
      </c>
      <c r="H49" s="133">
        <v>1825.90002314815</v>
      </c>
      <c r="I49" s="133">
        <v>1713.09997685185</v>
      </c>
      <c r="J49" s="133">
        <v>1810.3000462963</v>
      </c>
      <c r="K49" s="133">
        <v>1806.3000462963</v>
      </c>
      <c r="L49" s="133">
        <v>1806.3000462963</v>
      </c>
      <c r="M49" s="133">
        <v>1806.3000462963</v>
      </c>
      <c r="N49" s="133">
        <v>1713.09997685185</v>
      </c>
      <c r="O49" s="133"/>
      <c r="P49" s="133">
        <v>0</v>
      </c>
      <c r="Q49" s="133">
        <v>0</v>
      </c>
      <c r="R49" s="133">
        <v>0</v>
      </c>
      <c r="S49" s="133">
        <v>0</v>
      </c>
      <c r="T49" s="133"/>
      <c r="U49" s="133">
        <v>1790.59997685185</v>
      </c>
      <c r="V49" s="133">
        <v>1790.59997685185</v>
      </c>
      <c r="W49" s="133"/>
      <c r="X49" s="133">
        <v>1790.59997685185</v>
      </c>
      <c r="Y49" s="133">
        <v>1704.6999537037</v>
      </c>
      <c r="Z49" s="133">
        <v>1704.6999537037</v>
      </c>
      <c r="AA49" s="133">
        <v>0</v>
      </c>
      <c r="AB49" s="133">
        <v>1704.6999537037</v>
      </c>
      <c r="AC49" s="133">
        <v>0</v>
      </c>
      <c r="AD49" s="133">
        <v>1704.6999537037</v>
      </c>
      <c r="AE49" s="133">
        <v>1704.6999537037</v>
      </c>
      <c r="AF49" s="133"/>
      <c r="AG49" s="133"/>
      <c r="AH49" s="133">
        <v>0</v>
      </c>
      <c r="AI49" s="133">
        <v>1704.6999537037</v>
      </c>
      <c r="AJ49" s="133">
        <v>1704.6999537037</v>
      </c>
      <c r="AK49" s="133">
        <v>1704.6999537037</v>
      </c>
      <c r="AL49" s="133">
        <v>1704.6999537037</v>
      </c>
      <c r="AM49" s="133"/>
      <c r="AN49" s="133">
        <v>1704.6999537037</v>
      </c>
      <c r="AO49" s="133">
        <v>1704.6999537037</v>
      </c>
      <c r="AP49" s="133">
        <v>1714.09997685185</v>
      </c>
      <c r="AQ49" s="133">
        <v>1714.09997685185</v>
      </c>
      <c r="AR49" s="133">
        <v>1704.6999537037</v>
      </c>
      <c r="AS49" s="133">
        <v>1704.6999537037</v>
      </c>
      <c r="AT49" s="133"/>
      <c r="AU49" s="133"/>
      <c r="AV49" s="133">
        <v>1704.6999537037</v>
      </c>
      <c r="AW49" s="133">
        <v>1704.6999537037</v>
      </c>
      <c r="AX49" s="133">
        <v>1704.6999537037</v>
      </c>
      <c r="AY49" s="133">
        <v>1704.6999537037</v>
      </c>
      <c r="AZ49" s="133"/>
      <c r="BA49" s="133"/>
      <c r="BB49" s="133">
        <v>1704.6999537037</v>
      </c>
      <c r="BC49" s="133">
        <v>1704.6999537037</v>
      </c>
      <c r="BD49" s="133">
        <v>0</v>
      </c>
      <c r="BE49" s="133">
        <v>0</v>
      </c>
      <c r="BF49" s="133">
        <v>0</v>
      </c>
      <c r="BG49" s="133"/>
      <c r="BH49" s="133">
        <v>0</v>
      </c>
      <c r="BI49" s="133">
        <v>0</v>
      </c>
      <c r="BJ49" s="133">
        <v>0</v>
      </c>
      <c r="BK49" s="133">
        <v>0</v>
      </c>
      <c r="BL49" s="133">
        <v>0</v>
      </c>
      <c r="BM49" s="133">
        <v>0</v>
      </c>
      <c r="BN49" s="133">
        <v>0</v>
      </c>
      <c r="BO49" s="133">
        <v>0</v>
      </c>
      <c r="BP49" s="133">
        <v>0</v>
      </c>
      <c r="BQ49" s="133"/>
      <c r="BR49" s="133"/>
      <c r="BS49" s="133">
        <v>0</v>
      </c>
      <c r="BT49" s="133">
        <v>0</v>
      </c>
      <c r="BU49" s="133">
        <v>0</v>
      </c>
      <c r="BV49" s="133">
        <v>0</v>
      </c>
      <c r="BW49" s="133">
        <v>0</v>
      </c>
      <c r="BX49" s="133">
        <v>0</v>
      </c>
      <c r="BY49" s="133">
        <v>0</v>
      </c>
      <c r="BZ49" s="133"/>
      <c r="CA49" s="133"/>
      <c r="CB49" s="133"/>
      <c r="CC49" s="133"/>
      <c r="CD49" s="133"/>
      <c r="CE49" s="133"/>
      <c r="CF49" s="133"/>
      <c r="CG49" s="133"/>
      <c r="CH49" s="133"/>
      <c r="CI49" s="133"/>
      <c r="CJ49" s="133"/>
      <c r="CK49" s="133"/>
      <c r="CL49" s="133"/>
      <c r="CM49" s="133"/>
      <c r="CN49" s="133"/>
      <c r="CO49" s="133"/>
      <c r="CP49" s="133"/>
      <c r="CQ49" s="133"/>
      <c r="CR49" s="133"/>
      <c r="CS49" s="133"/>
      <c r="CT49" s="133"/>
      <c r="CU49" s="133"/>
      <c r="CV49" s="133"/>
      <c r="CW49" s="133">
        <v>1704.6999537037</v>
      </c>
      <c r="CX49" s="133">
        <v>1704.6999537037</v>
      </c>
      <c r="CY49" s="133">
        <v>1704.6999537037</v>
      </c>
      <c r="CZ49" s="133">
        <v>1704.6999537037</v>
      </c>
      <c r="DA49" s="133">
        <v>1704.6999537037</v>
      </c>
      <c r="DB49" s="133">
        <v>0</v>
      </c>
      <c r="DC49" s="133"/>
      <c r="DD49" s="133"/>
      <c r="DE49" s="133">
        <v>0</v>
      </c>
      <c r="DF49" s="133"/>
      <c r="DG49" s="133">
        <v>0</v>
      </c>
      <c r="DH49" s="133">
        <v>0</v>
      </c>
      <c r="DI49" s="133">
        <v>0</v>
      </c>
      <c r="DJ49" s="133">
        <v>0</v>
      </c>
      <c r="DK49" s="133">
        <v>0</v>
      </c>
      <c r="DL49" s="133"/>
      <c r="DM49" s="133"/>
      <c r="DN49" s="133"/>
      <c r="DO49" s="133"/>
      <c r="DP49" s="133"/>
      <c r="DQ49" s="133"/>
      <c r="DR49" s="133"/>
      <c r="DS49" s="133"/>
      <c r="DT49" s="133"/>
      <c r="DU49" s="133"/>
      <c r="DV49" s="133"/>
      <c r="DW49" s="133"/>
      <c r="DX49" s="133"/>
      <c r="DY49" s="133"/>
      <c r="DZ49" s="133"/>
      <c r="EA49" s="133"/>
      <c r="EB49" s="133"/>
      <c r="EC49" s="133"/>
      <c r="ED49" s="133"/>
      <c r="EE49" s="133"/>
      <c r="EF49" s="133"/>
      <c r="EG49" s="133"/>
      <c r="EH49" s="133"/>
      <c r="EI49" s="133"/>
      <c r="EJ49" s="133"/>
      <c r="EK49" s="133"/>
      <c r="EL49" s="133"/>
      <c r="EM49" s="133"/>
      <c r="EN49" s="133"/>
      <c r="EO49" s="133"/>
      <c r="EP49" s="133"/>
      <c r="EQ49" s="133"/>
      <c r="ER49" s="133"/>
      <c r="ES49" s="133"/>
      <c r="ET49" s="133"/>
      <c r="EU49" s="133">
        <v>0</v>
      </c>
      <c r="EV49" s="133">
        <v>1825.90002314815</v>
      </c>
    </row>
    <row r="50" spans="1:152">
      <c r="A50" s="270" t="s">
        <v>172</v>
      </c>
      <c r="B50" s="133"/>
      <c r="C50" s="133"/>
      <c r="D50" s="133"/>
      <c r="E50" s="133">
        <v>0</v>
      </c>
      <c r="F50" s="133"/>
      <c r="G50" s="133"/>
      <c r="H50" s="133"/>
      <c r="I50" s="133"/>
      <c r="J50" s="133"/>
      <c r="K50" s="133"/>
      <c r="L50" s="133"/>
      <c r="M50" s="133"/>
      <c r="N50" s="133"/>
      <c r="O50" s="133"/>
      <c r="P50" s="133">
        <v>0</v>
      </c>
      <c r="Q50" s="133"/>
      <c r="R50" s="133"/>
      <c r="S50" s="133"/>
      <c r="T50" s="133"/>
      <c r="U50" s="133"/>
      <c r="V50" s="133">
        <v>0</v>
      </c>
      <c r="W50" s="133"/>
      <c r="X50" s="133"/>
      <c r="Y50" s="133"/>
      <c r="Z50" s="133"/>
      <c r="AA50" s="133"/>
      <c r="AB50" s="133"/>
      <c r="AC50" s="133"/>
      <c r="AD50" s="133"/>
      <c r="AE50" s="133"/>
      <c r="AF50" s="133"/>
      <c r="AG50" s="133"/>
      <c r="AH50" s="133"/>
      <c r="AI50" s="133"/>
      <c r="AJ50" s="133"/>
      <c r="AK50" s="133"/>
      <c r="AL50" s="133"/>
      <c r="AM50" s="133"/>
      <c r="AN50" s="133"/>
      <c r="AO50" s="133"/>
      <c r="AP50" s="133"/>
      <c r="AQ50" s="133"/>
      <c r="AR50" s="133"/>
      <c r="AS50" s="133"/>
      <c r="AT50" s="133"/>
      <c r="AU50" s="133"/>
      <c r="AV50" s="133"/>
      <c r="AW50" s="133"/>
      <c r="AX50" s="133"/>
      <c r="AY50" s="133"/>
      <c r="AZ50" s="133"/>
      <c r="BA50" s="133"/>
      <c r="BB50" s="133"/>
      <c r="BC50" s="133"/>
      <c r="BD50" s="133"/>
      <c r="BE50" s="133"/>
      <c r="BF50" s="133"/>
      <c r="BG50" s="133"/>
      <c r="BH50" s="133"/>
      <c r="BI50" s="133"/>
      <c r="BJ50" s="133"/>
      <c r="BK50" s="133"/>
      <c r="BL50" s="133"/>
      <c r="BM50" s="133"/>
      <c r="BN50" s="133"/>
      <c r="BO50" s="133"/>
      <c r="BP50" s="133"/>
      <c r="BQ50" s="133"/>
      <c r="BR50" s="133"/>
      <c r="BS50" s="133"/>
      <c r="BT50" s="133"/>
      <c r="BU50" s="133"/>
      <c r="BV50" s="133"/>
      <c r="BW50" s="133"/>
      <c r="BX50" s="133"/>
      <c r="BY50" s="133"/>
      <c r="BZ50" s="133"/>
      <c r="CA50" s="133"/>
      <c r="CB50" s="133"/>
      <c r="CC50" s="133"/>
      <c r="CD50" s="133"/>
      <c r="CE50" s="133"/>
      <c r="CF50" s="133"/>
      <c r="CG50" s="133"/>
      <c r="CH50" s="133"/>
      <c r="CI50" s="133"/>
      <c r="CJ50" s="133"/>
      <c r="CK50" s="133"/>
      <c r="CL50" s="133"/>
      <c r="CM50" s="133"/>
      <c r="CN50" s="133"/>
      <c r="CO50" s="133"/>
      <c r="CP50" s="133"/>
      <c r="CQ50" s="133"/>
      <c r="CR50" s="133"/>
      <c r="CS50" s="133"/>
      <c r="CT50" s="133"/>
      <c r="CU50" s="133"/>
      <c r="CV50" s="133"/>
      <c r="CW50" s="133"/>
      <c r="CX50" s="133"/>
      <c r="CY50" s="133"/>
      <c r="CZ50" s="133"/>
      <c r="DA50" s="133"/>
      <c r="DB50" s="133"/>
      <c r="DC50" s="133"/>
      <c r="DD50" s="133"/>
      <c r="DE50" s="133"/>
      <c r="DF50" s="133"/>
      <c r="DG50" s="133"/>
      <c r="DH50" s="133"/>
      <c r="DI50" s="133"/>
      <c r="DJ50" s="133"/>
      <c r="DK50" s="133"/>
      <c r="DL50" s="133"/>
      <c r="DM50" s="133">
        <v>0</v>
      </c>
      <c r="DN50" s="133">
        <v>0</v>
      </c>
      <c r="DO50" s="133"/>
      <c r="DP50" s="133">
        <v>0</v>
      </c>
      <c r="DQ50" s="133">
        <v>0</v>
      </c>
      <c r="DR50" s="133"/>
      <c r="DS50" s="133">
        <v>0</v>
      </c>
      <c r="DT50" s="133">
        <v>0</v>
      </c>
      <c r="DU50" s="133"/>
      <c r="DV50" s="133"/>
      <c r="DW50" s="133"/>
      <c r="DX50" s="133">
        <v>0</v>
      </c>
      <c r="DY50" s="133"/>
      <c r="DZ50" s="133">
        <v>0</v>
      </c>
      <c r="EA50" s="133"/>
      <c r="EB50" s="133"/>
      <c r="EC50" s="133"/>
      <c r="ED50" s="133"/>
      <c r="EE50" s="133"/>
      <c r="EF50" s="133"/>
      <c r="EG50" s="133"/>
      <c r="EH50" s="133"/>
      <c r="EI50" s="133"/>
      <c r="EJ50" s="133"/>
      <c r="EK50" s="133"/>
      <c r="EL50" s="133"/>
      <c r="EM50" s="133"/>
      <c r="EN50" s="133"/>
      <c r="EO50" s="133"/>
      <c r="EP50" s="133"/>
      <c r="EQ50" s="133"/>
      <c r="ER50" s="133"/>
      <c r="ES50" s="133"/>
      <c r="ET50" s="133"/>
      <c r="EU50" s="133"/>
      <c r="EV50" s="133">
        <v>0</v>
      </c>
    </row>
    <row r="51" spans="1:152">
      <c r="A51" s="270" t="s">
        <v>173</v>
      </c>
      <c r="B51" s="133"/>
      <c r="C51" s="133"/>
      <c r="D51" s="133"/>
      <c r="E51" s="133"/>
      <c r="F51" s="133"/>
      <c r="G51" s="133"/>
      <c r="H51" s="133">
        <v>1704.6999537037</v>
      </c>
      <c r="I51" s="133"/>
      <c r="J51" s="133"/>
      <c r="K51" s="133"/>
      <c r="L51" s="133"/>
      <c r="M51" s="133"/>
      <c r="N51" s="133"/>
      <c r="O51" s="133"/>
      <c r="P51" s="133"/>
      <c r="Q51" s="133"/>
      <c r="R51" s="133"/>
      <c r="S51" s="133"/>
      <c r="T51" s="133"/>
      <c r="U51" s="133"/>
      <c r="V51" s="133"/>
      <c r="W51" s="133"/>
      <c r="X51" s="133"/>
      <c r="Y51" s="133"/>
      <c r="Z51" s="133"/>
      <c r="AA51" s="133"/>
      <c r="AB51" s="133"/>
      <c r="AC51" s="133"/>
      <c r="AD51" s="133"/>
      <c r="AE51" s="133"/>
      <c r="AF51" s="133"/>
      <c r="AG51" s="133"/>
      <c r="AH51" s="133"/>
      <c r="AI51" s="133"/>
      <c r="AJ51" s="133"/>
      <c r="AK51" s="133"/>
      <c r="AL51" s="133"/>
      <c r="AM51" s="133"/>
      <c r="AN51" s="133"/>
      <c r="AO51" s="133"/>
      <c r="AP51" s="133"/>
      <c r="AQ51" s="133"/>
      <c r="AR51" s="133"/>
      <c r="AS51" s="133"/>
      <c r="AT51" s="133"/>
      <c r="AU51" s="133"/>
      <c r="AV51" s="133"/>
      <c r="AW51" s="133"/>
      <c r="AX51" s="133"/>
      <c r="AY51" s="133"/>
      <c r="AZ51" s="133"/>
      <c r="BA51" s="133"/>
      <c r="BB51" s="133"/>
      <c r="BC51" s="133"/>
      <c r="BD51" s="133"/>
      <c r="BE51" s="133"/>
      <c r="BF51" s="133"/>
      <c r="BG51" s="133"/>
      <c r="BH51" s="133"/>
      <c r="BI51" s="133">
        <v>1704.6999537037</v>
      </c>
      <c r="BJ51" s="133"/>
      <c r="BK51" s="133"/>
      <c r="BL51" s="133"/>
      <c r="BM51" s="133"/>
      <c r="BN51" s="133"/>
      <c r="BO51" s="133"/>
      <c r="BP51" s="133"/>
      <c r="BQ51" s="133"/>
      <c r="BR51" s="133"/>
      <c r="BS51" s="133"/>
      <c r="BT51" s="133"/>
      <c r="BU51" s="133"/>
      <c r="BV51" s="133"/>
      <c r="BW51" s="133"/>
      <c r="BX51" s="133"/>
      <c r="BY51" s="133"/>
      <c r="BZ51" s="133"/>
      <c r="CA51" s="133"/>
      <c r="CB51" s="133"/>
      <c r="CC51" s="133"/>
      <c r="CD51" s="133"/>
      <c r="CE51" s="133"/>
      <c r="CF51" s="133"/>
      <c r="CG51" s="133"/>
      <c r="CH51" s="133"/>
      <c r="CI51" s="133"/>
      <c r="CJ51" s="133"/>
      <c r="CK51" s="133"/>
      <c r="CL51" s="133"/>
      <c r="CM51" s="133"/>
      <c r="CN51" s="133"/>
      <c r="CO51" s="133"/>
      <c r="CP51" s="133"/>
      <c r="CQ51" s="133"/>
      <c r="CR51" s="133"/>
      <c r="CS51" s="133"/>
      <c r="CT51" s="133"/>
      <c r="CU51" s="133"/>
      <c r="CV51" s="133"/>
      <c r="CW51" s="133"/>
      <c r="CX51" s="133"/>
      <c r="CY51" s="133"/>
      <c r="CZ51" s="133"/>
      <c r="DA51" s="133"/>
      <c r="DB51" s="133"/>
      <c r="DC51" s="133"/>
      <c r="DD51" s="133"/>
      <c r="DE51" s="133"/>
      <c r="DF51" s="133"/>
      <c r="DG51" s="133"/>
      <c r="DH51" s="133"/>
      <c r="DI51" s="133"/>
      <c r="DJ51" s="133"/>
      <c r="DK51" s="133"/>
      <c r="DL51" s="133"/>
      <c r="DM51" s="133"/>
      <c r="DN51" s="133"/>
      <c r="DO51" s="133"/>
      <c r="DP51" s="133"/>
      <c r="DQ51" s="133"/>
      <c r="DR51" s="133"/>
      <c r="DS51" s="133"/>
      <c r="DT51" s="133"/>
      <c r="DU51" s="133"/>
      <c r="DV51" s="133"/>
      <c r="DW51" s="133">
        <v>0</v>
      </c>
      <c r="DX51" s="133"/>
      <c r="DY51" s="133"/>
      <c r="DZ51" s="133"/>
      <c r="EA51" s="133">
        <v>1704.6999537037</v>
      </c>
      <c r="EB51" s="133">
        <v>0</v>
      </c>
      <c r="EC51" s="133">
        <v>0</v>
      </c>
      <c r="ED51" s="133">
        <v>0</v>
      </c>
      <c r="EE51" s="133">
        <v>0</v>
      </c>
      <c r="EF51" s="133">
        <v>0</v>
      </c>
      <c r="EG51" s="133">
        <v>0</v>
      </c>
      <c r="EH51" s="133"/>
      <c r="EI51" s="133"/>
      <c r="EJ51" s="133">
        <v>1704.6999537037</v>
      </c>
      <c r="EK51" s="133">
        <v>1704.6999537037</v>
      </c>
      <c r="EL51" s="133"/>
      <c r="EM51" s="133"/>
      <c r="EN51" s="133"/>
      <c r="EO51" s="133"/>
      <c r="EP51" s="133"/>
      <c r="EQ51" s="133"/>
      <c r="ER51" s="133"/>
      <c r="ES51" s="133"/>
      <c r="ET51" s="133"/>
      <c r="EU51" s="133"/>
      <c r="EV51" s="133">
        <v>1704.6999537037</v>
      </c>
    </row>
    <row r="52" spans="1:152">
      <c r="A52" s="269" t="s">
        <v>167</v>
      </c>
      <c r="B52" s="133"/>
      <c r="C52" s="133"/>
      <c r="D52" s="133"/>
      <c r="E52" s="133">
        <v>0</v>
      </c>
      <c r="F52" s="133">
        <v>1944.40002314815</v>
      </c>
      <c r="G52" s="133">
        <v>1518.8000462963</v>
      </c>
      <c r="H52" s="133">
        <v>1944.40002314815</v>
      </c>
      <c r="I52" s="133">
        <v>1829.3000462963</v>
      </c>
      <c r="J52" s="133">
        <v>1944.40002314815</v>
      </c>
      <c r="K52" s="133">
        <v>1943.90002314815</v>
      </c>
      <c r="L52" s="133">
        <v>1943.90002314815</v>
      </c>
      <c r="M52" s="133">
        <v>1943.90002314815</v>
      </c>
      <c r="N52" s="133"/>
      <c r="O52" s="133">
        <v>0</v>
      </c>
      <c r="P52" s="133">
        <v>0</v>
      </c>
      <c r="Q52" s="133">
        <v>0</v>
      </c>
      <c r="R52" s="133">
        <v>0</v>
      </c>
      <c r="S52" s="133">
        <v>0</v>
      </c>
      <c r="T52" s="133"/>
      <c r="U52" s="133">
        <v>1934.6999537037</v>
      </c>
      <c r="V52" s="133">
        <v>1934.6999537037</v>
      </c>
      <c r="W52" s="133"/>
      <c r="X52" s="133">
        <v>1934.6999537037</v>
      </c>
      <c r="Y52" s="133">
        <v>1863.40002314815</v>
      </c>
      <c r="Z52" s="133">
        <v>1863.40002314815</v>
      </c>
      <c r="AA52" s="133">
        <v>0</v>
      </c>
      <c r="AB52" s="133"/>
      <c r="AC52" s="133">
        <v>0</v>
      </c>
      <c r="AD52" s="133">
        <v>1863.40002314815</v>
      </c>
      <c r="AE52" s="133">
        <v>1863.40002314815</v>
      </c>
      <c r="AF52" s="133">
        <v>1863.40002314815</v>
      </c>
      <c r="AG52" s="133">
        <v>1863.40002314815</v>
      </c>
      <c r="AH52" s="133">
        <v>0</v>
      </c>
      <c r="AI52" s="133">
        <v>1751.5</v>
      </c>
      <c r="AJ52" s="133">
        <v>1863.40002314815</v>
      </c>
      <c r="AK52" s="133"/>
      <c r="AL52" s="133">
        <v>1518.8000462963</v>
      </c>
      <c r="AM52" s="133">
        <v>1518.8000462963</v>
      </c>
      <c r="AN52" s="133">
        <v>1751.5</v>
      </c>
      <c r="AO52" s="133">
        <v>1751.5</v>
      </c>
      <c r="AP52" s="133">
        <v>1944.40002314815</v>
      </c>
      <c r="AQ52" s="133">
        <v>1944.40002314815</v>
      </c>
      <c r="AR52" s="133">
        <v>1751.5</v>
      </c>
      <c r="AS52" s="133">
        <v>1751.5</v>
      </c>
      <c r="AT52" s="133"/>
      <c r="AU52" s="133"/>
      <c r="AV52" s="133">
        <v>1751.5</v>
      </c>
      <c r="AW52" s="133">
        <v>1751.5</v>
      </c>
      <c r="AX52" s="133">
        <v>1751.5</v>
      </c>
      <c r="AY52" s="133">
        <v>1751.5</v>
      </c>
      <c r="AZ52" s="133"/>
      <c r="BA52" s="133"/>
      <c r="BB52" s="133">
        <v>1518.8000462963</v>
      </c>
      <c r="BC52" s="133">
        <v>1751.5</v>
      </c>
      <c r="BD52" s="133">
        <v>0</v>
      </c>
      <c r="BE52" s="133">
        <v>0</v>
      </c>
      <c r="BF52" s="133">
        <v>0</v>
      </c>
      <c r="BG52" s="133">
        <v>0</v>
      </c>
      <c r="BH52" s="133">
        <v>0</v>
      </c>
      <c r="BI52" s="133">
        <v>1863.40002314815</v>
      </c>
      <c r="BJ52" s="133">
        <v>0</v>
      </c>
      <c r="BK52" s="133">
        <v>0</v>
      </c>
      <c r="BL52" s="133">
        <v>0</v>
      </c>
      <c r="BM52" s="133">
        <v>0</v>
      </c>
      <c r="BN52" s="133">
        <v>0</v>
      </c>
      <c r="BO52" s="133">
        <v>0</v>
      </c>
      <c r="BP52" s="133">
        <v>0</v>
      </c>
      <c r="BQ52" s="133"/>
      <c r="BR52" s="133">
        <v>0</v>
      </c>
      <c r="BS52" s="133">
        <v>0</v>
      </c>
      <c r="BT52" s="133"/>
      <c r="BU52" s="133"/>
      <c r="BV52" s="133"/>
      <c r="BW52" s="133"/>
      <c r="BX52" s="133"/>
      <c r="BY52" s="133"/>
      <c r="BZ52" s="133"/>
      <c r="CA52" s="133"/>
      <c r="CB52" s="133"/>
      <c r="CC52" s="133"/>
      <c r="CD52" s="133"/>
      <c r="CE52" s="133"/>
      <c r="CF52" s="133"/>
      <c r="CG52" s="133"/>
      <c r="CH52" s="133"/>
      <c r="CI52" s="133"/>
      <c r="CJ52" s="133"/>
      <c r="CK52" s="133"/>
      <c r="CL52" s="133"/>
      <c r="CM52" s="133"/>
      <c r="CN52" s="133">
        <v>0</v>
      </c>
      <c r="CO52" s="133"/>
      <c r="CP52" s="133"/>
      <c r="CQ52" s="133"/>
      <c r="CR52" s="133"/>
      <c r="CS52" s="133"/>
      <c r="CT52" s="133">
        <v>0</v>
      </c>
      <c r="CU52" s="133"/>
      <c r="CV52" s="133"/>
      <c r="CW52" s="133">
        <v>1751.5</v>
      </c>
      <c r="CX52" s="133">
        <v>1518.8000462963</v>
      </c>
      <c r="CY52" s="133">
        <v>1518.8000462963</v>
      </c>
      <c r="CZ52" s="133">
        <v>1518.8000462963</v>
      </c>
      <c r="DA52" s="133">
        <v>1751.5</v>
      </c>
      <c r="DB52" s="133">
        <v>0</v>
      </c>
      <c r="DC52" s="133"/>
      <c r="DD52" s="133"/>
      <c r="DE52" s="133"/>
      <c r="DF52" s="133"/>
      <c r="DG52" s="133">
        <v>0</v>
      </c>
      <c r="DH52" s="133">
        <v>0</v>
      </c>
      <c r="DI52" s="133">
        <v>0</v>
      </c>
      <c r="DJ52" s="133">
        <v>0</v>
      </c>
      <c r="DK52" s="133"/>
      <c r="DL52" s="133"/>
      <c r="DM52" s="133"/>
      <c r="DN52" s="133"/>
      <c r="DO52" s="133"/>
      <c r="DP52" s="133">
        <v>0</v>
      </c>
      <c r="DQ52" s="133">
        <v>0</v>
      </c>
      <c r="DR52" s="133"/>
      <c r="DS52" s="133">
        <v>0</v>
      </c>
      <c r="DT52" s="133"/>
      <c r="DU52" s="133"/>
      <c r="DV52" s="133"/>
      <c r="DW52" s="133">
        <v>0</v>
      </c>
      <c r="DX52" s="133">
        <v>0</v>
      </c>
      <c r="DY52" s="133"/>
      <c r="DZ52" s="133">
        <v>0</v>
      </c>
      <c r="EA52" s="133">
        <v>1863.40002314815</v>
      </c>
      <c r="EB52" s="133">
        <v>0</v>
      </c>
      <c r="EC52" s="133">
        <v>0</v>
      </c>
      <c r="ED52" s="133">
        <v>0</v>
      </c>
      <c r="EE52" s="133">
        <v>0</v>
      </c>
      <c r="EF52" s="133"/>
      <c r="EG52" s="133">
        <v>0</v>
      </c>
      <c r="EH52" s="133"/>
      <c r="EI52" s="133"/>
      <c r="EJ52" s="133">
        <v>1751.5</v>
      </c>
      <c r="EK52" s="133">
        <v>1518.8000462963</v>
      </c>
      <c r="EL52" s="133">
        <v>0</v>
      </c>
      <c r="EM52" s="133">
        <v>0</v>
      </c>
      <c r="EN52" s="133">
        <v>0</v>
      </c>
      <c r="EO52" s="133">
        <v>0</v>
      </c>
      <c r="EP52" s="133">
        <v>0</v>
      </c>
      <c r="EQ52" s="133"/>
      <c r="ER52" s="133"/>
      <c r="ES52" s="133"/>
      <c r="ET52" s="133"/>
      <c r="EU52" s="133"/>
      <c r="EV52" s="133">
        <v>1944.40002314815</v>
      </c>
    </row>
    <row r="53" spans="1:152">
      <c r="A53" s="270" t="s">
        <v>87</v>
      </c>
      <c r="B53" s="133"/>
      <c r="C53" s="133"/>
      <c r="D53" s="133"/>
      <c r="E53" s="133"/>
      <c r="F53" s="133">
        <v>1944.40002314815</v>
      </c>
      <c r="G53" s="133">
        <v>1518.8000462963</v>
      </c>
      <c r="H53" s="133">
        <v>1944.40002314815</v>
      </c>
      <c r="I53" s="133">
        <v>1829.3000462963</v>
      </c>
      <c r="J53" s="133">
        <v>1944.40002314815</v>
      </c>
      <c r="K53" s="133">
        <v>1943.90002314815</v>
      </c>
      <c r="L53" s="133">
        <v>1943.90002314815</v>
      </c>
      <c r="M53" s="133">
        <v>1943.90002314815</v>
      </c>
      <c r="N53" s="133"/>
      <c r="O53" s="133"/>
      <c r="P53" s="133">
        <v>0</v>
      </c>
      <c r="Q53" s="133">
        <v>0</v>
      </c>
      <c r="R53" s="133">
        <v>0</v>
      </c>
      <c r="S53" s="133">
        <v>0</v>
      </c>
      <c r="T53" s="133"/>
      <c r="U53" s="133">
        <v>1934.6999537037</v>
      </c>
      <c r="V53" s="133">
        <v>1934.6999537037</v>
      </c>
      <c r="W53" s="133"/>
      <c r="X53" s="133">
        <v>1934.6999537037</v>
      </c>
      <c r="Y53" s="133">
        <v>1863.40002314815</v>
      </c>
      <c r="Z53" s="133">
        <v>1863.40002314815</v>
      </c>
      <c r="AA53" s="133">
        <v>0</v>
      </c>
      <c r="AB53" s="133"/>
      <c r="AC53" s="133">
        <v>0</v>
      </c>
      <c r="AD53" s="133">
        <v>1863.40002314815</v>
      </c>
      <c r="AE53" s="133">
        <v>1863.40002314815</v>
      </c>
      <c r="AF53" s="133">
        <v>1863.40002314815</v>
      </c>
      <c r="AG53" s="133">
        <v>1863.40002314815</v>
      </c>
      <c r="AH53" s="133">
        <v>0</v>
      </c>
      <c r="AI53" s="133">
        <v>1751.5</v>
      </c>
      <c r="AJ53" s="133">
        <v>1863.40002314815</v>
      </c>
      <c r="AK53" s="133"/>
      <c r="AL53" s="133">
        <v>1518.8000462963</v>
      </c>
      <c r="AM53" s="133">
        <v>1518.8000462963</v>
      </c>
      <c r="AN53" s="133">
        <v>1751.5</v>
      </c>
      <c r="AO53" s="133">
        <v>1751.5</v>
      </c>
      <c r="AP53" s="133">
        <v>1944.40002314815</v>
      </c>
      <c r="AQ53" s="133">
        <v>1944.40002314815</v>
      </c>
      <c r="AR53" s="133">
        <v>1751.5</v>
      </c>
      <c r="AS53" s="133">
        <v>1751.5</v>
      </c>
      <c r="AT53" s="133"/>
      <c r="AU53" s="133"/>
      <c r="AV53" s="133">
        <v>1751.5</v>
      </c>
      <c r="AW53" s="133">
        <v>1751.5</v>
      </c>
      <c r="AX53" s="133">
        <v>1751.5</v>
      </c>
      <c r="AY53" s="133">
        <v>1751.5</v>
      </c>
      <c r="AZ53" s="133"/>
      <c r="BA53" s="133"/>
      <c r="BB53" s="133">
        <v>1518.8000462963</v>
      </c>
      <c r="BC53" s="133">
        <v>1751.5</v>
      </c>
      <c r="BD53" s="133">
        <v>0</v>
      </c>
      <c r="BE53" s="133">
        <v>0</v>
      </c>
      <c r="BF53" s="133">
        <v>0</v>
      </c>
      <c r="BG53" s="133">
        <v>0</v>
      </c>
      <c r="BH53" s="133">
        <v>0</v>
      </c>
      <c r="BI53" s="133">
        <v>0</v>
      </c>
      <c r="BJ53" s="133">
        <v>0</v>
      </c>
      <c r="BK53" s="133">
        <v>0</v>
      </c>
      <c r="BL53" s="133">
        <v>0</v>
      </c>
      <c r="BM53" s="133">
        <v>0</v>
      </c>
      <c r="BN53" s="133">
        <v>0</v>
      </c>
      <c r="BO53" s="133">
        <v>0</v>
      </c>
      <c r="BP53" s="133">
        <v>0</v>
      </c>
      <c r="BQ53" s="133"/>
      <c r="BR53" s="133">
        <v>0</v>
      </c>
      <c r="BS53" s="133">
        <v>0</v>
      </c>
      <c r="BT53" s="133"/>
      <c r="BU53" s="133"/>
      <c r="BV53" s="133"/>
      <c r="BW53" s="133"/>
      <c r="BX53" s="133"/>
      <c r="BY53" s="133"/>
      <c r="BZ53" s="133"/>
      <c r="CA53" s="133"/>
      <c r="CB53" s="133"/>
      <c r="CC53" s="133"/>
      <c r="CD53" s="133"/>
      <c r="CE53" s="133"/>
      <c r="CF53" s="133"/>
      <c r="CG53" s="133"/>
      <c r="CH53" s="133"/>
      <c r="CI53" s="133"/>
      <c r="CJ53" s="133"/>
      <c r="CK53" s="133"/>
      <c r="CL53" s="133"/>
      <c r="CM53" s="133"/>
      <c r="CN53" s="133">
        <v>0</v>
      </c>
      <c r="CO53" s="133"/>
      <c r="CP53" s="133"/>
      <c r="CQ53" s="133"/>
      <c r="CR53" s="133"/>
      <c r="CS53" s="133"/>
      <c r="CT53" s="133">
        <v>0</v>
      </c>
      <c r="CU53" s="133"/>
      <c r="CV53" s="133"/>
      <c r="CW53" s="133">
        <v>1751.5</v>
      </c>
      <c r="CX53" s="133">
        <v>1518.8000462963</v>
      </c>
      <c r="CY53" s="133">
        <v>1518.8000462963</v>
      </c>
      <c r="CZ53" s="133">
        <v>1518.8000462963</v>
      </c>
      <c r="DA53" s="133">
        <v>1751.5</v>
      </c>
      <c r="DB53" s="133">
        <v>0</v>
      </c>
      <c r="DC53" s="133"/>
      <c r="DD53" s="133"/>
      <c r="DE53" s="133"/>
      <c r="DF53" s="133"/>
      <c r="DG53" s="133">
        <v>0</v>
      </c>
      <c r="DH53" s="133">
        <v>0</v>
      </c>
      <c r="DI53" s="133">
        <v>0</v>
      </c>
      <c r="DJ53" s="133">
        <v>0</v>
      </c>
      <c r="DK53" s="133"/>
      <c r="DL53" s="133"/>
      <c r="DM53" s="133"/>
      <c r="DN53" s="133"/>
      <c r="DO53" s="133"/>
      <c r="DP53" s="133"/>
      <c r="DQ53" s="133"/>
      <c r="DR53" s="133"/>
      <c r="DS53" s="133"/>
      <c r="DT53" s="133"/>
      <c r="DU53" s="133"/>
      <c r="DV53" s="133"/>
      <c r="DW53" s="133"/>
      <c r="DX53" s="133"/>
      <c r="DY53" s="133"/>
      <c r="DZ53" s="133"/>
      <c r="EA53" s="133"/>
      <c r="EB53" s="133"/>
      <c r="EC53" s="133"/>
      <c r="ED53" s="133"/>
      <c r="EE53" s="133"/>
      <c r="EF53" s="133"/>
      <c r="EG53" s="133"/>
      <c r="EH53" s="133"/>
      <c r="EI53" s="133"/>
      <c r="EJ53" s="133"/>
      <c r="EK53" s="133"/>
      <c r="EL53" s="133"/>
      <c r="EM53" s="133"/>
      <c r="EN53" s="133"/>
      <c r="EO53" s="133"/>
      <c r="EP53" s="133"/>
      <c r="EQ53" s="133"/>
      <c r="ER53" s="133"/>
      <c r="ES53" s="133"/>
      <c r="ET53" s="133"/>
      <c r="EU53" s="133"/>
      <c r="EV53" s="133">
        <v>1944.40002314815</v>
      </c>
    </row>
    <row r="54" spans="1:152">
      <c r="A54" s="270" t="s">
        <v>172</v>
      </c>
      <c r="B54" s="133"/>
      <c r="C54" s="133"/>
      <c r="D54" s="133"/>
      <c r="E54" s="133">
        <v>0</v>
      </c>
      <c r="F54" s="133"/>
      <c r="G54" s="133"/>
      <c r="H54" s="133"/>
      <c r="I54" s="133"/>
      <c r="J54" s="133"/>
      <c r="K54" s="133"/>
      <c r="L54" s="133"/>
      <c r="M54" s="133"/>
      <c r="N54" s="133"/>
      <c r="O54" s="133">
        <v>0</v>
      </c>
      <c r="P54" s="133">
        <v>0</v>
      </c>
      <c r="Q54" s="133"/>
      <c r="R54" s="133"/>
      <c r="S54" s="133"/>
      <c r="T54" s="133"/>
      <c r="U54" s="133"/>
      <c r="V54" s="133">
        <v>0</v>
      </c>
      <c r="W54" s="133"/>
      <c r="X54" s="133">
        <v>0</v>
      </c>
      <c r="Y54" s="133"/>
      <c r="Z54" s="133"/>
      <c r="AA54" s="133"/>
      <c r="AB54" s="133"/>
      <c r="AC54" s="133"/>
      <c r="AD54" s="133"/>
      <c r="AE54" s="133"/>
      <c r="AF54" s="133"/>
      <c r="AG54" s="133"/>
      <c r="AH54" s="133"/>
      <c r="AI54" s="133"/>
      <c r="AJ54" s="133"/>
      <c r="AK54" s="133"/>
      <c r="AL54" s="133"/>
      <c r="AM54" s="133">
        <v>0</v>
      </c>
      <c r="AN54" s="133"/>
      <c r="AO54" s="133"/>
      <c r="AP54" s="133"/>
      <c r="AQ54" s="133"/>
      <c r="AR54" s="133"/>
      <c r="AS54" s="133"/>
      <c r="AT54" s="133"/>
      <c r="AU54" s="133"/>
      <c r="AV54" s="133"/>
      <c r="AW54" s="133"/>
      <c r="AX54" s="133"/>
      <c r="AY54" s="133"/>
      <c r="AZ54" s="133"/>
      <c r="BA54" s="133"/>
      <c r="BB54" s="133"/>
      <c r="BC54" s="133"/>
      <c r="BD54" s="133"/>
      <c r="BE54" s="133"/>
      <c r="BF54" s="133"/>
      <c r="BG54" s="133"/>
      <c r="BH54" s="133"/>
      <c r="BI54" s="133"/>
      <c r="BJ54" s="133"/>
      <c r="BK54" s="133"/>
      <c r="BL54" s="133"/>
      <c r="BM54" s="133"/>
      <c r="BN54" s="133"/>
      <c r="BO54" s="133"/>
      <c r="BP54" s="133"/>
      <c r="BQ54" s="133"/>
      <c r="BR54" s="133"/>
      <c r="BS54" s="133"/>
      <c r="BT54" s="133"/>
      <c r="BU54" s="133"/>
      <c r="BV54" s="133"/>
      <c r="BW54" s="133"/>
      <c r="BX54" s="133"/>
      <c r="BY54" s="133"/>
      <c r="BZ54" s="133"/>
      <c r="CA54" s="133"/>
      <c r="CB54" s="133"/>
      <c r="CC54" s="133"/>
      <c r="CD54" s="133"/>
      <c r="CE54" s="133"/>
      <c r="CF54" s="133"/>
      <c r="CG54" s="133"/>
      <c r="CH54" s="133"/>
      <c r="CI54" s="133"/>
      <c r="CJ54" s="133"/>
      <c r="CK54" s="133"/>
      <c r="CL54" s="133"/>
      <c r="CM54" s="133"/>
      <c r="CN54" s="133"/>
      <c r="CO54" s="133"/>
      <c r="CP54" s="133"/>
      <c r="CQ54" s="133"/>
      <c r="CR54" s="133"/>
      <c r="CS54" s="133"/>
      <c r="CT54" s="133"/>
      <c r="CU54" s="133"/>
      <c r="CV54" s="133"/>
      <c r="CW54" s="133"/>
      <c r="CX54" s="133"/>
      <c r="CY54" s="133"/>
      <c r="CZ54" s="133"/>
      <c r="DA54" s="133"/>
      <c r="DB54" s="133"/>
      <c r="DC54" s="133"/>
      <c r="DD54" s="133"/>
      <c r="DE54" s="133"/>
      <c r="DF54" s="133"/>
      <c r="DG54" s="133"/>
      <c r="DH54" s="133"/>
      <c r="DI54" s="133"/>
      <c r="DJ54" s="133"/>
      <c r="DK54" s="133"/>
      <c r="DL54" s="133"/>
      <c r="DM54" s="133"/>
      <c r="DN54" s="133"/>
      <c r="DO54" s="133"/>
      <c r="DP54" s="133">
        <v>0</v>
      </c>
      <c r="DQ54" s="133">
        <v>0</v>
      </c>
      <c r="DR54" s="133"/>
      <c r="DS54" s="133">
        <v>0</v>
      </c>
      <c r="DT54" s="133"/>
      <c r="DU54" s="133"/>
      <c r="DV54" s="133"/>
      <c r="DW54" s="133"/>
      <c r="DX54" s="133">
        <v>0</v>
      </c>
      <c r="DY54" s="133"/>
      <c r="DZ54" s="133">
        <v>0</v>
      </c>
      <c r="EA54" s="133"/>
      <c r="EB54" s="133"/>
      <c r="EC54" s="133"/>
      <c r="ED54" s="133"/>
      <c r="EE54" s="133"/>
      <c r="EF54" s="133"/>
      <c r="EG54" s="133"/>
      <c r="EH54" s="133"/>
      <c r="EI54" s="133"/>
      <c r="EJ54" s="133"/>
      <c r="EK54" s="133"/>
      <c r="EL54" s="133"/>
      <c r="EM54" s="133"/>
      <c r="EN54" s="133"/>
      <c r="EO54" s="133"/>
      <c r="EP54" s="133"/>
      <c r="EQ54" s="133"/>
      <c r="ER54" s="133"/>
      <c r="ES54" s="133"/>
      <c r="ET54" s="133"/>
      <c r="EU54" s="133"/>
      <c r="EV54" s="133">
        <v>0</v>
      </c>
    </row>
    <row r="55" spans="1:152">
      <c r="A55" s="270" t="s">
        <v>173</v>
      </c>
      <c r="B55" s="133"/>
      <c r="C55" s="133"/>
      <c r="D55" s="133"/>
      <c r="E55" s="133"/>
      <c r="F55" s="133"/>
      <c r="G55" s="133"/>
      <c r="H55" s="133">
        <v>1863.40002314815</v>
      </c>
      <c r="I55" s="133"/>
      <c r="J55" s="133"/>
      <c r="K55" s="133"/>
      <c r="L55" s="133"/>
      <c r="M55" s="133"/>
      <c r="N55" s="133"/>
      <c r="O55" s="133"/>
      <c r="P55" s="133"/>
      <c r="Q55" s="133"/>
      <c r="R55" s="133"/>
      <c r="S55" s="133"/>
      <c r="T55" s="133"/>
      <c r="U55" s="133"/>
      <c r="V55" s="133"/>
      <c r="W55" s="133"/>
      <c r="X55" s="133"/>
      <c r="Y55" s="133"/>
      <c r="Z55" s="133"/>
      <c r="AA55" s="133"/>
      <c r="AB55" s="133"/>
      <c r="AC55" s="133"/>
      <c r="AD55" s="133"/>
      <c r="AE55" s="133"/>
      <c r="AF55" s="133"/>
      <c r="AG55" s="133"/>
      <c r="AH55" s="133"/>
      <c r="AI55" s="133"/>
      <c r="AJ55" s="133"/>
      <c r="AK55" s="133"/>
      <c r="AL55" s="133"/>
      <c r="AM55" s="133"/>
      <c r="AN55" s="133"/>
      <c r="AO55" s="133"/>
      <c r="AP55" s="133"/>
      <c r="AQ55" s="133"/>
      <c r="AR55" s="133"/>
      <c r="AS55" s="133"/>
      <c r="AT55" s="133"/>
      <c r="AU55" s="133"/>
      <c r="AV55" s="133"/>
      <c r="AW55" s="133"/>
      <c r="AX55" s="133"/>
      <c r="AY55" s="133"/>
      <c r="AZ55" s="133"/>
      <c r="BA55" s="133"/>
      <c r="BB55" s="133"/>
      <c r="BC55" s="133"/>
      <c r="BD55" s="133"/>
      <c r="BE55" s="133"/>
      <c r="BF55" s="133"/>
      <c r="BG55" s="133"/>
      <c r="BH55" s="133"/>
      <c r="BI55" s="133">
        <v>1863.40002314815</v>
      </c>
      <c r="BJ55" s="133"/>
      <c r="BK55" s="133"/>
      <c r="BL55" s="133"/>
      <c r="BM55" s="133"/>
      <c r="BN55" s="133"/>
      <c r="BO55" s="133"/>
      <c r="BP55" s="133"/>
      <c r="BQ55" s="133"/>
      <c r="BR55" s="133"/>
      <c r="BS55" s="133"/>
      <c r="BT55" s="133"/>
      <c r="BU55" s="133"/>
      <c r="BV55" s="133"/>
      <c r="BW55" s="133"/>
      <c r="BX55" s="133"/>
      <c r="BY55" s="133"/>
      <c r="BZ55" s="133"/>
      <c r="CA55" s="133"/>
      <c r="CB55" s="133"/>
      <c r="CC55" s="133"/>
      <c r="CD55" s="133"/>
      <c r="CE55" s="133"/>
      <c r="CF55" s="133"/>
      <c r="CG55" s="133"/>
      <c r="CH55" s="133"/>
      <c r="CI55" s="133"/>
      <c r="CJ55" s="133"/>
      <c r="CK55" s="133"/>
      <c r="CL55" s="133"/>
      <c r="CM55" s="133"/>
      <c r="CN55" s="133"/>
      <c r="CO55" s="133"/>
      <c r="CP55" s="133"/>
      <c r="CQ55" s="133"/>
      <c r="CR55" s="133"/>
      <c r="CS55" s="133"/>
      <c r="CT55" s="133"/>
      <c r="CU55" s="133"/>
      <c r="CV55" s="133"/>
      <c r="CW55" s="133"/>
      <c r="CX55" s="133"/>
      <c r="CY55" s="133"/>
      <c r="CZ55" s="133"/>
      <c r="DA55" s="133"/>
      <c r="DB55" s="133"/>
      <c r="DC55" s="133"/>
      <c r="DD55" s="133"/>
      <c r="DE55" s="133"/>
      <c r="DF55" s="133"/>
      <c r="DG55" s="133"/>
      <c r="DH55" s="133"/>
      <c r="DI55" s="133"/>
      <c r="DJ55" s="133"/>
      <c r="DK55" s="133"/>
      <c r="DL55" s="133"/>
      <c r="DM55" s="133"/>
      <c r="DN55" s="133"/>
      <c r="DO55" s="133"/>
      <c r="DP55" s="133"/>
      <c r="DQ55" s="133"/>
      <c r="DR55" s="133"/>
      <c r="DS55" s="133"/>
      <c r="DT55" s="133"/>
      <c r="DU55" s="133"/>
      <c r="DV55" s="133"/>
      <c r="DW55" s="133">
        <v>0</v>
      </c>
      <c r="DX55" s="133"/>
      <c r="DY55" s="133"/>
      <c r="DZ55" s="133"/>
      <c r="EA55" s="133">
        <v>1863.40002314815</v>
      </c>
      <c r="EB55" s="133">
        <v>0</v>
      </c>
      <c r="EC55" s="133">
        <v>0</v>
      </c>
      <c r="ED55" s="133">
        <v>0</v>
      </c>
      <c r="EE55" s="133">
        <v>0</v>
      </c>
      <c r="EF55" s="133"/>
      <c r="EG55" s="133">
        <v>0</v>
      </c>
      <c r="EH55" s="133"/>
      <c r="EI55" s="133"/>
      <c r="EJ55" s="133">
        <v>1751.5</v>
      </c>
      <c r="EK55" s="133">
        <v>1518.8000462963</v>
      </c>
      <c r="EL55" s="133">
        <v>0</v>
      </c>
      <c r="EM55" s="133">
        <v>0</v>
      </c>
      <c r="EN55" s="133">
        <v>0</v>
      </c>
      <c r="EO55" s="133">
        <v>0</v>
      </c>
      <c r="EP55" s="133">
        <v>0</v>
      </c>
      <c r="EQ55" s="133"/>
      <c r="ER55" s="133"/>
      <c r="ES55" s="133"/>
      <c r="ET55" s="133"/>
      <c r="EU55" s="133"/>
      <c r="EV55" s="133">
        <v>1863.40002314815</v>
      </c>
    </row>
    <row r="56" spans="1:152">
      <c r="A56" s="269" t="s">
        <v>153</v>
      </c>
      <c r="B56" s="133"/>
      <c r="C56" s="133">
        <v>0</v>
      </c>
      <c r="D56" s="133"/>
      <c r="E56" s="133">
        <v>0</v>
      </c>
      <c r="F56" s="133">
        <v>1645.59997685185</v>
      </c>
      <c r="G56" s="133">
        <v>1191.1999537037</v>
      </c>
      <c r="H56" s="133">
        <v>1645.59997685185</v>
      </c>
      <c r="I56" s="133">
        <v>1558.5</v>
      </c>
      <c r="J56" s="133">
        <v>1630.59997685185</v>
      </c>
      <c r="K56" s="133">
        <v>1645.59997685185</v>
      </c>
      <c r="L56" s="133">
        <v>1645.59997685185</v>
      </c>
      <c r="M56" s="133">
        <v>1645.59997685185</v>
      </c>
      <c r="N56" s="133"/>
      <c r="O56" s="133"/>
      <c r="P56" s="133">
        <v>0</v>
      </c>
      <c r="Q56" s="133">
        <v>0</v>
      </c>
      <c r="R56" s="133">
        <v>0</v>
      </c>
      <c r="S56" s="133">
        <v>0</v>
      </c>
      <c r="T56" s="133"/>
      <c r="U56" s="133">
        <v>1628.09997685185</v>
      </c>
      <c r="V56" s="133">
        <v>1628.09997685185</v>
      </c>
      <c r="W56" s="133"/>
      <c r="X56" s="133">
        <v>1628.09997685185</v>
      </c>
      <c r="Y56" s="133">
        <v>1560</v>
      </c>
      <c r="Z56" s="133">
        <v>1560</v>
      </c>
      <c r="AA56" s="133">
        <v>0</v>
      </c>
      <c r="AB56" s="133"/>
      <c r="AC56" s="133">
        <v>0</v>
      </c>
      <c r="AD56" s="133">
        <v>1560</v>
      </c>
      <c r="AE56" s="133">
        <v>1560</v>
      </c>
      <c r="AF56" s="133">
        <v>1560</v>
      </c>
      <c r="AG56" s="133">
        <v>1560</v>
      </c>
      <c r="AH56" s="133">
        <v>0</v>
      </c>
      <c r="AI56" s="133">
        <v>1435</v>
      </c>
      <c r="AJ56" s="133">
        <v>1560</v>
      </c>
      <c r="AK56" s="133">
        <v>0</v>
      </c>
      <c r="AL56" s="133">
        <v>1191.1999537037</v>
      </c>
      <c r="AM56" s="133">
        <v>1191.1999537037</v>
      </c>
      <c r="AN56" s="133">
        <v>1435</v>
      </c>
      <c r="AO56" s="133">
        <v>1435</v>
      </c>
      <c r="AP56" s="133">
        <v>1560</v>
      </c>
      <c r="AQ56" s="133">
        <v>1435</v>
      </c>
      <c r="AR56" s="133">
        <v>1435</v>
      </c>
      <c r="AS56" s="133">
        <v>1435</v>
      </c>
      <c r="AT56" s="133"/>
      <c r="AU56" s="133"/>
      <c r="AV56" s="133">
        <v>1435</v>
      </c>
      <c r="AW56" s="133">
        <v>1435</v>
      </c>
      <c r="AX56" s="133">
        <v>1435</v>
      </c>
      <c r="AY56" s="133">
        <v>1435</v>
      </c>
      <c r="AZ56" s="133"/>
      <c r="BA56" s="133"/>
      <c r="BB56" s="133">
        <v>1191.1999537037</v>
      </c>
      <c r="BC56" s="133">
        <v>1435</v>
      </c>
      <c r="BD56" s="133">
        <v>0</v>
      </c>
      <c r="BE56" s="133">
        <v>0</v>
      </c>
      <c r="BF56" s="133">
        <v>0</v>
      </c>
      <c r="BG56" s="133">
        <v>0</v>
      </c>
      <c r="BH56" s="133">
        <v>0</v>
      </c>
      <c r="BI56" s="133">
        <v>1560</v>
      </c>
      <c r="BJ56" s="133">
        <v>0</v>
      </c>
      <c r="BK56" s="133">
        <v>0</v>
      </c>
      <c r="BL56" s="133">
        <v>0</v>
      </c>
      <c r="BM56" s="133">
        <v>0</v>
      </c>
      <c r="BN56" s="133">
        <v>0</v>
      </c>
      <c r="BO56" s="133">
        <v>0</v>
      </c>
      <c r="BP56" s="133">
        <v>0</v>
      </c>
      <c r="BQ56" s="133"/>
      <c r="BR56" s="133">
        <v>0</v>
      </c>
      <c r="BS56" s="133">
        <v>0</v>
      </c>
      <c r="BT56" s="133"/>
      <c r="BU56" s="133"/>
      <c r="BV56" s="133"/>
      <c r="BW56" s="133"/>
      <c r="BX56" s="133"/>
      <c r="BY56" s="133"/>
      <c r="BZ56" s="133"/>
      <c r="CA56" s="133"/>
      <c r="CB56" s="133"/>
      <c r="CC56" s="133"/>
      <c r="CD56" s="133"/>
      <c r="CE56" s="133"/>
      <c r="CF56" s="133"/>
      <c r="CG56" s="133"/>
      <c r="CH56" s="133"/>
      <c r="CI56" s="133"/>
      <c r="CJ56" s="133"/>
      <c r="CK56" s="133"/>
      <c r="CL56" s="133"/>
      <c r="CM56" s="133"/>
      <c r="CN56" s="133"/>
      <c r="CO56" s="133"/>
      <c r="CP56" s="133"/>
      <c r="CQ56" s="133"/>
      <c r="CR56" s="133"/>
      <c r="CS56" s="133"/>
      <c r="CT56" s="133">
        <v>0</v>
      </c>
      <c r="CU56" s="133"/>
      <c r="CV56" s="133">
        <v>0</v>
      </c>
      <c r="CW56" s="133">
        <v>1435</v>
      </c>
      <c r="CX56" s="133">
        <v>1191.1999537037</v>
      </c>
      <c r="CY56" s="133">
        <v>1191.1999537037</v>
      </c>
      <c r="CZ56" s="133">
        <v>1191.1999537037</v>
      </c>
      <c r="DA56" s="133">
        <v>1435</v>
      </c>
      <c r="DB56" s="133">
        <v>0</v>
      </c>
      <c r="DC56" s="133"/>
      <c r="DD56" s="133"/>
      <c r="DE56" s="133"/>
      <c r="DF56" s="133"/>
      <c r="DG56" s="133">
        <v>0</v>
      </c>
      <c r="DH56" s="133">
        <v>0</v>
      </c>
      <c r="DI56" s="133">
        <v>0</v>
      </c>
      <c r="DJ56" s="133">
        <v>0</v>
      </c>
      <c r="DK56" s="133"/>
      <c r="DL56" s="133"/>
      <c r="DM56" s="133"/>
      <c r="DN56" s="133"/>
      <c r="DO56" s="133"/>
      <c r="DP56" s="133">
        <v>0</v>
      </c>
      <c r="DQ56" s="133">
        <v>0</v>
      </c>
      <c r="DR56" s="133"/>
      <c r="DS56" s="133">
        <v>0</v>
      </c>
      <c r="DT56" s="133"/>
      <c r="DU56" s="133"/>
      <c r="DV56" s="133"/>
      <c r="DW56" s="133">
        <v>0</v>
      </c>
      <c r="DX56" s="133">
        <v>0</v>
      </c>
      <c r="DY56" s="133"/>
      <c r="DZ56" s="133">
        <v>0</v>
      </c>
      <c r="EA56" s="133">
        <v>1560</v>
      </c>
      <c r="EB56" s="133">
        <v>0</v>
      </c>
      <c r="EC56" s="133">
        <v>0</v>
      </c>
      <c r="ED56" s="133">
        <v>0</v>
      </c>
      <c r="EE56" s="133">
        <v>0</v>
      </c>
      <c r="EF56" s="133">
        <v>0</v>
      </c>
      <c r="EG56" s="133">
        <v>0</v>
      </c>
      <c r="EH56" s="133"/>
      <c r="EI56" s="133"/>
      <c r="EJ56" s="133">
        <v>1435</v>
      </c>
      <c r="EK56" s="133">
        <v>1191.1999537037</v>
      </c>
      <c r="EL56" s="133">
        <v>0</v>
      </c>
      <c r="EM56" s="133"/>
      <c r="EN56" s="133"/>
      <c r="EO56" s="133"/>
      <c r="EP56" s="133"/>
      <c r="EQ56" s="133"/>
      <c r="ER56" s="133"/>
      <c r="ES56" s="133"/>
      <c r="ET56" s="133"/>
      <c r="EU56" s="133"/>
      <c r="EV56" s="133">
        <v>1645.59997685185</v>
      </c>
    </row>
    <row r="57" spans="1:152">
      <c r="A57" s="270" t="s">
        <v>87</v>
      </c>
      <c r="B57" s="133"/>
      <c r="C57" s="133">
        <v>0</v>
      </c>
      <c r="D57" s="133"/>
      <c r="E57" s="133">
        <v>0</v>
      </c>
      <c r="F57" s="133">
        <v>1645.59997685185</v>
      </c>
      <c r="G57" s="133">
        <v>1191.1999537037</v>
      </c>
      <c r="H57" s="133">
        <v>1645.59997685185</v>
      </c>
      <c r="I57" s="133">
        <v>1558.5</v>
      </c>
      <c r="J57" s="133">
        <v>1630.59997685185</v>
      </c>
      <c r="K57" s="133">
        <v>1645.59997685185</v>
      </c>
      <c r="L57" s="133">
        <v>1645.59997685185</v>
      </c>
      <c r="M57" s="133">
        <v>1645.59997685185</v>
      </c>
      <c r="N57" s="133"/>
      <c r="O57" s="133"/>
      <c r="P57" s="133">
        <v>0</v>
      </c>
      <c r="Q57" s="133">
        <v>0</v>
      </c>
      <c r="R57" s="133">
        <v>0</v>
      </c>
      <c r="S57" s="133">
        <v>0</v>
      </c>
      <c r="T57" s="133"/>
      <c r="U57" s="133">
        <v>1628.09997685185</v>
      </c>
      <c r="V57" s="133">
        <v>1628.09997685185</v>
      </c>
      <c r="W57" s="133"/>
      <c r="X57" s="133">
        <v>1628.09997685185</v>
      </c>
      <c r="Y57" s="133">
        <v>1560</v>
      </c>
      <c r="Z57" s="133">
        <v>1560</v>
      </c>
      <c r="AA57" s="133">
        <v>0</v>
      </c>
      <c r="AB57" s="133"/>
      <c r="AC57" s="133">
        <v>0</v>
      </c>
      <c r="AD57" s="133">
        <v>1560</v>
      </c>
      <c r="AE57" s="133">
        <v>1560</v>
      </c>
      <c r="AF57" s="133">
        <v>1560</v>
      </c>
      <c r="AG57" s="133">
        <v>1560</v>
      </c>
      <c r="AH57" s="133">
        <v>0</v>
      </c>
      <c r="AI57" s="133">
        <v>1435</v>
      </c>
      <c r="AJ57" s="133">
        <v>1560</v>
      </c>
      <c r="AK57" s="133"/>
      <c r="AL57" s="133">
        <v>1191.1999537037</v>
      </c>
      <c r="AM57" s="133">
        <v>1191.1999537037</v>
      </c>
      <c r="AN57" s="133">
        <v>1435</v>
      </c>
      <c r="AO57" s="133">
        <v>1435</v>
      </c>
      <c r="AP57" s="133">
        <v>1560</v>
      </c>
      <c r="AQ57" s="133">
        <v>1435</v>
      </c>
      <c r="AR57" s="133">
        <v>1435</v>
      </c>
      <c r="AS57" s="133">
        <v>1435</v>
      </c>
      <c r="AT57" s="133"/>
      <c r="AU57" s="133"/>
      <c r="AV57" s="133">
        <v>1435</v>
      </c>
      <c r="AW57" s="133">
        <v>1435</v>
      </c>
      <c r="AX57" s="133">
        <v>1435</v>
      </c>
      <c r="AY57" s="133">
        <v>1435</v>
      </c>
      <c r="AZ57" s="133"/>
      <c r="BA57" s="133"/>
      <c r="BB57" s="133">
        <v>1191.1999537037</v>
      </c>
      <c r="BC57" s="133">
        <v>1435</v>
      </c>
      <c r="BD57" s="133">
        <v>0</v>
      </c>
      <c r="BE57" s="133">
        <v>0</v>
      </c>
      <c r="BF57" s="133">
        <v>0</v>
      </c>
      <c r="BG57" s="133">
        <v>0</v>
      </c>
      <c r="BH57" s="133">
        <v>0</v>
      </c>
      <c r="BI57" s="133">
        <v>0</v>
      </c>
      <c r="BJ57" s="133">
        <v>0</v>
      </c>
      <c r="BK57" s="133">
        <v>0</v>
      </c>
      <c r="BL57" s="133">
        <v>0</v>
      </c>
      <c r="BM57" s="133">
        <v>0</v>
      </c>
      <c r="BN57" s="133">
        <v>0</v>
      </c>
      <c r="BO57" s="133">
        <v>0</v>
      </c>
      <c r="BP57" s="133">
        <v>0</v>
      </c>
      <c r="BQ57" s="133"/>
      <c r="BR57" s="133">
        <v>0</v>
      </c>
      <c r="BS57" s="133">
        <v>0</v>
      </c>
      <c r="BT57" s="133"/>
      <c r="BU57" s="133"/>
      <c r="BV57" s="133"/>
      <c r="BW57" s="133"/>
      <c r="BX57" s="133"/>
      <c r="BY57" s="133"/>
      <c r="BZ57" s="133"/>
      <c r="CA57" s="133"/>
      <c r="CB57" s="133"/>
      <c r="CC57" s="133"/>
      <c r="CD57" s="133"/>
      <c r="CE57" s="133"/>
      <c r="CF57" s="133"/>
      <c r="CG57" s="133"/>
      <c r="CH57" s="133"/>
      <c r="CI57" s="133"/>
      <c r="CJ57" s="133"/>
      <c r="CK57" s="133"/>
      <c r="CL57" s="133"/>
      <c r="CM57" s="133"/>
      <c r="CN57" s="133"/>
      <c r="CO57" s="133"/>
      <c r="CP57" s="133"/>
      <c r="CQ57" s="133"/>
      <c r="CR57" s="133"/>
      <c r="CS57" s="133"/>
      <c r="CT57" s="133">
        <v>0</v>
      </c>
      <c r="CU57" s="133"/>
      <c r="CV57" s="133">
        <v>0</v>
      </c>
      <c r="CW57" s="133">
        <v>1435</v>
      </c>
      <c r="CX57" s="133">
        <v>1191.1999537037</v>
      </c>
      <c r="CY57" s="133">
        <v>1191.1999537037</v>
      </c>
      <c r="CZ57" s="133">
        <v>1191.1999537037</v>
      </c>
      <c r="DA57" s="133">
        <v>1435</v>
      </c>
      <c r="DB57" s="133">
        <v>0</v>
      </c>
      <c r="DC57" s="133"/>
      <c r="DD57" s="133"/>
      <c r="DE57" s="133"/>
      <c r="DF57" s="133"/>
      <c r="DG57" s="133">
        <v>0</v>
      </c>
      <c r="DH57" s="133">
        <v>0</v>
      </c>
      <c r="DI57" s="133">
        <v>0</v>
      </c>
      <c r="DJ57" s="133">
        <v>0</v>
      </c>
      <c r="DK57" s="133"/>
      <c r="DL57" s="133"/>
      <c r="DM57" s="133"/>
      <c r="DN57" s="133"/>
      <c r="DO57" s="133"/>
      <c r="DP57" s="133"/>
      <c r="DQ57" s="133"/>
      <c r="DR57" s="133"/>
      <c r="DS57" s="133"/>
      <c r="DT57" s="133"/>
      <c r="DU57" s="133"/>
      <c r="DV57" s="133"/>
      <c r="DW57" s="133"/>
      <c r="DX57" s="133"/>
      <c r="DY57" s="133"/>
      <c r="DZ57" s="133"/>
      <c r="EA57" s="133"/>
      <c r="EB57" s="133"/>
      <c r="EC57" s="133"/>
      <c r="ED57" s="133"/>
      <c r="EE57" s="133"/>
      <c r="EF57" s="133"/>
      <c r="EG57" s="133"/>
      <c r="EH57" s="133"/>
      <c r="EI57" s="133"/>
      <c r="EJ57" s="133"/>
      <c r="EK57" s="133"/>
      <c r="EL57" s="133"/>
      <c r="EM57" s="133"/>
      <c r="EN57" s="133"/>
      <c r="EO57" s="133"/>
      <c r="EP57" s="133"/>
      <c r="EQ57" s="133"/>
      <c r="ER57" s="133"/>
      <c r="ES57" s="133"/>
      <c r="ET57" s="133"/>
      <c r="EU57" s="133"/>
      <c r="EV57" s="133">
        <v>1645.59997685185</v>
      </c>
    </row>
    <row r="58" spans="1:152">
      <c r="A58" s="270" t="s">
        <v>172</v>
      </c>
      <c r="B58" s="133"/>
      <c r="C58" s="133"/>
      <c r="D58" s="133"/>
      <c r="E58" s="133">
        <v>0</v>
      </c>
      <c r="F58" s="133"/>
      <c r="G58" s="133"/>
      <c r="H58" s="133"/>
      <c r="I58" s="133"/>
      <c r="J58" s="133"/>
      <c r="K58" s="133"/>
      <c r="L58" s="133"/>
      <c r="M58" s="133"/>
      <c r="N58" s="133"/>
      <c r="O58" s="133"/>
      <c r="P58" s="133">
        <v>0</v>
      </c>
      <c r="Q58" s="133"/>
      <c r="R58" s="133"/>
      <c r="S58" s="133"/>
      <c r="T58" s="133"/>
      <c r="U58" s="133"/>
      <c r="V58" s="133">
        <v>0</v>
      </c>
      <c r="W58" s="133"/>
      <c r="X58" s="133">
        <v>0</v>
      </c>
      <c r="Y58" s="133"/>
      <c r="Z58" s="133"/>
      <c r="AA58" s="133"/>
      <c r="AB58" s="133"/>
      <c r="AC58" s="133"/>
      <c r="AD58" s="133"/>
      <c r="AE58" s="133"/>
      <c r="AF58" s="133"/>
      <c r="AG58" s="133"/>
      <c r="AH58" s="133"/>
      <c r="AI58" s="133"/>
      <c r="AJ58" s="133"/>
      <c r="AK58" s="133">
        <v>0</v>
      </c>
      <c r="AL58" s="133"/>
      <c r="AM58" s="133">
        <v>0</v>
      </c>
      <c r="AN58" s="133"/>
      <c r="AO58" s="133"/>
      <c r="AP58" s="133"/>
      <c r="AQ58" s="133"/>
      <c r="AR58" s="133"/>
      <c r="AS58" s="133"/>
      <c r="AT58" s="133"/>
      <c r="AU58" s="133"/>
      <c r="AV58" s="133"/>
      <c r="AW58" s="133"/>
      <c r="AX58" s="133"/>
      <c r="AY58" s="133"/>
      <c r="AZ58" s="133"/>
      <c r="BA58" s="133"/>
      <c r="BB58" s="133"/>
      <c r="BC58" s="133"/>
      <c r="BD58" s="133"/>
      <c r="BE58" s="133"/>
      <c r="BF58" s="133"/>
      <c r="BG58" s="133"/>
      <c r="BH58" s="133"/>
      <c r="BI58" s="133"/>
      <c r="BJ58" s="133"/>
      <c r="BK58" s="133"/>
      <c r="BL58" s="133"/>
      <c r="BM58" s="133"/>
      <c r="BN58" s="133"/>
      <c r="BO58" s="133"/>
      <c r="BP58" s="133"/>
      <c r="BQ58" s="133"/>
      <c r="BR58" s="133"/>
      <c r="BS58" s="133"/>
      <c r="BT58" s="133"/>
      <c r="BU58" s="133"/>
      <c r="BV58" s="133"/>
      <c r="BW58" s="133"/>
      <c r="BX58" s="133"/>
      <c r="BY58" s="133"/>
      <c r="BZ58" s="133"/>
      <c r="CA58" s="133"/>
      <c r="CB58" s="133"/>
      <c r="CC58" s="133"/>
      <c r="CD58" s="133"/>
      <c r="CE58" s="133"/>
      <c r="CF58" s="133"/>
      <c r="CG58" s="133"/>
      <c r="CH58" s="133"/>
      <c r="CI58" s="133"/>
      <c r="CJ58" s="133"/>
      <c r="CK58" s="133"/>
      <c r="CL58" s="133"/>
      <c r="CM58" s="133"/>
      <c r="CN58" s="133"/>
      <c r="CO58" s="133"/>
      <c r="CP58" s="133"/>
      <c r="CQ58" s="133"/>
      <c r="CR58" s="133"/>
      <c r="CS58" s="133"/>
      <c r="CT58" s="133"/>
      <c r="CU58" s="133"/>
      <c r="CV58" s="133"/>
      <c r="CW58" s="133"/>
      <c r="CX58" s="133"/>
      <c r="CY58" s="133"/>
      <c r="CZ58" s="133"/>
      <c r="DA58" s="133"/>
      <c r="DB58" s="133"/>
      <c r="DC58" s="133"/>
      <c r="DD58" s="133"/>
      <c r="DE58" s="133"/>
      <c r="DF58" s="133"/>
      <c r="DG58" s="133"/>
      <c r="DH58" s="133"/>
      <c r="DI58" s="133"/>
      <c r="DJ58" s="133"/>
      <c r="DK58" s="133"/>
      <c r="DL58" s="133"/>
      <c r="DM58" s="133"/>
      <c r="DN58" s="133"/>
      <c r="DO58" s="133"/>
      <c r="DP58" s="133">
        <v>0</v>
      </c>
      <c r="DQ58" s="133">
        <v>0</v>
      </c>
      <c r="DR58" s="133"/>
      <c r="DS58" s="133">
        <v>0</v>
      </c>
      <c r="DT58" s="133"/>
      <c r="DU58" s="133"/>
      <c r="DV58" s="133"/>
      <c r="DW58" s="133"/>
      <c r="DX58" s="133">
        <v>0</v>
      </c>
      <c r="DY58" s="133"/>
      <c r="DZ58" s="133">
        <v>0</v>
      </c>
      <c r="EA58" s="133"/>
      <c r="EB58" s="133"/>
      <c r="EC58" s="133"/>
      <c r="ED58" s="133"/>
      <c r="EE58" s="133"/>
      <c r="EF58" s="133"/>
      <c r="EG58" s="133"/>
      <c r="EH58" s="133"/>
      <c r="EI58" s="133"/>
      <c r="EJ58" s="133"/>
      <c r="EK58" s="133"/>
      <c r="EL58" s="133"/>
      <c r="EM58" s="133"/>
      <c r="EN58" s="133"/>
      <c r="EO58" s="133"/>
      <c r="EP58" s="133"/>
      <c r="EQ58" s="133"/>
      <c r="ER58" s="133"/>
      <c r="ES58" s="133"/>
      <c r="ET58" s="133"/>
      <c r="EU58" s="133"/>
      <c r="EV58" s="133">
        <v>0</v>
      </c>
    </row>
    <row r="59" spans="1:152">
      <c r="A59" s="270" t="s">
        <v>173</v>
      </c>
      <c r="B59" s="133"/>
      <c r="C59" s="133"/>
      <c r="D59" s="133"/>
      <c r="E59" s="133"/>
      <c r="F59" s="133"/>
      <c r="G59" s="133"/>
      <c r="H59" s="133">
        <v>1560</v>
      </c>
      <c r="I59" s="133"/>
      <c r="J59" s="133"/>
      <c r="K59" s="133"/>
      <c r="L59" s="133"/>
      <c r="M59" s="133"/>
      <c r="N59" s="133"/>
      <c r="O59" s="133"/>
      <c r="P59" s="133"/>
      <c r="Q59" s="133"/>
      <c r="R59" s="133"/>
      <c r="S59" s="133"/>
      <c r="T59" s="133"/>
      <c r="U59" s="133"/>
      <c r="V59" s="133"/>
      <c r="W59" s="133"/>
      <c r="X59" s="133"/>
      <c r="Y59" s="133"/>
      <c r="Z59" s="133"/>
      <c r="AA59" s="133"/>
      <c r="AB59" s="133"/>
      <c r="AC59" s="133"/>
      <c r="AD59" s="133"/>
      <c r="AE59" s="133"/>
      <c r="AF59" s="133"/>
      <c r="AG59" s="133"/>
      <c r="AH59" s="133"/>
      <c r="AI59" s="133"/>
      <c r="AJ59" s="133"/>
      <c r="AK59" s="133"/>
      <c r="AL59" s="133"/>
      <c r="AM59" s="133"/>
      <c r="AN59" s="133"/>
      <c r="AO59" s="133"/>
      <c r="AP59" s="133"/>
      <c r="AQ59" s="133"/>
      <c r="AR59" s="133"/>
      <c r="AS59" s="133"/>
      <c r="AT59" s="133"/>
      <c r="AU59" s="133"/>
      <c r="AV59" s="133"/>
      <c r="AW59" s="133"/>
      <c r="AX59" s="133"/>
      <c r="AY59" s="133"/>
      <c r="AZ59" s="133"/>
      <c r="BA59" s="133"/>
      <c r="BB59" s="133"/>
      <c r="BC59" s="133"/>
      <c r="BD59" s="133"/>
      <c r="BE59" s="133"/>
      <c r="BF59" s="133"/>
      <c r="BG59" s="133"/>
      <c r="BH59" s="133"/>
      <c r="BI59" s="133">
        <v>1560</v>
      </c>
      <c r="BJ59" s="133"/>
      <c r="BK59" s="133"/>
      <c r="BL59" s="133"/>
      <c r="BM59" s="133"/>
      <c r="BN59" s="133"/>
      <c r="BO59" s="133"/>
      <c r="BP59" s="133"/>
      <c r="BQ59" s="133"/>
      <c r="BR59" s="133"/>
      <c r="BS59" s="133"/>
      <c r="BT59" s="133"/>
      <c r="BU59" s="133"/>
      <c r="BV59" s="133"/>
      <c r="BW59" s="133"/>
      <c r="BX59" s="133"/>
      <c r="BY59" s="133"/>
      <c r="BZ59" s="133"/>
      <c r="CA59" s="133"/>
      <c r="CB59" s="133"/>
      <c r="CC59" s="133"/>
      <c r="CD59" s="133"/>
      <c r="CE59" s="133"/>
      <c r="CF59" s="133"/>
      <c r="CG59" s="133"/>
      <c r="CH59" s="133"/>
      <c r="CI59" s="133"/>
      <c r="CJ59" s="133"/>
      <c r="CK59" s="133"/>
      <c r="CL59" s="133"/>
      <c r="CM59" s="133"/>
      <c r="CN59" s="133"/>
      <c r="CO59" s="133"/>
      <c r="CP59" s="133"/>
      <c r="CQ59" s="133"/>
      <c r="CR59" s="133"/>
      <c r="CS59" s="133"/>
      <c r="CT59" s="133"/>
      <c r="CU59" s="133"/>
      <c r="CV59" s="133"/>
      <c r="CW59" s="133"/>
      <c r="CX59" s="133"/>
      <c r="CY59" s="133"/>
      <c r="CZ59" s="133"/>
      <c r="DA59" s="133"/>
      <c r="DB59" s="133"/>
      <c r="DC59" s="133"/>
      <c r="DD59" s="133"/>
      <c r="DE59" s="133"/>
      <c r="DF59" s="133"/>
      <c r="DG59" s="133"/>
      <c r="DH59" s="133"/>
      <c r="DI59" s="133"/>
      <c r="DJ59" s="133"/>
      <c r="DK59" s="133"/>
      <c r="DL59" s="133"/>
      <c r="DM59" s="133"/>
      <c r="DN59" s="133"/>
      <c r="DO59" s="133"/>
      <c r="DP59" s="133"/>
      <c r="DQ59" s="133"/>
      <c r="DR59" s="133"/>
      <c r="DS59" s="133"/>
      <c r="DT59" s="133"/>
      <c r="DU59" s="133"/>
      <c r="DV59" s="133"/>
      <c r="DW59" s="133">
        <v>0</v>
      </c>
      <c r="DX59" s="133"/>
      <c r="DY59" s="133"/>
      <c r="DZ59" s="133"/>
      <c r="EA59" s="133">
        <v>1560</v>
      </c>
      <c r="EB59" s="133">
        <v>0</v>
      </c>
      <c r="EC59" s="133">
        <v>0</v>
      </c>
      <c r="ED59" s="133">
        <v>0</v>
      </c>
      <c r="EE59" s="133">
        <v>0</v>
      </c>
      <c r="EF59" s="133">
        <v>0</v>
      </c>
      <c r="EG59" s="133">
        <v>0</v>
      </c>
      <c r="EH59" s="133"/>
      <c r="EI59" s="133"/>
      <c r="EJ59" s="133">
        <v>1435</v>
      </c>
      <c r="EK59" s="133">
        <v>1191.1999537037</v>
      </c>
      <c r="EL59" s="133">
        <v>0</v>
      </c>
      <c r="EM59" s="133"/>
      <c r="EN59" s="133"/>
      <c r="EO59" s="133"/>
      <c r="EP59" s="133"/>
      <c r="EQ59" s="133"/>
      <c r="ER59" s="133"/>
      <c r="ES59" s="133"/>
      <c r="ET59" s="133"/>
      <c r="EU59" s="133"/>
      <c r="EV59" s="133">
        <v>1560</v>
      </c>
    </row>
    <row r="60" spans="1:152">
      <c r="A60" s="269" t="s">
        <v>154</v>
      </c>
      <c r="B60" s="133"/>
      <c r="C60" s="133">
        <v>0</v>
      </c>
      <c r="D60" s="133"/>
      <c r="E60" s="133">
        <v>0</v>
      </c>
      <c r="F60" s="133">
        <v>2835.8000462963</v>
      </c>
      <c r="G60" s="133">
        <v>2670.8000462963</v>
      </c>
      <c r="H60" s="133">
        <v>2835.8000462963</v>
      </c>
      <c r="I60" s="133">
        <v>2792.89990740741</v>
      </c>
      <c r="J60" s="133">
        <v>2835.8000462963</v>
      </c>
      <c r="K60" s="133">
        <v>2809.3000462963</v>
      </c>
      <c r="L60" s="133">
        <v>2809.3000462963</v>
      </c>
      <c r="M60" s="133">
        <v>2809.3000462963</v>
      </c>
      <c r="N60" s="133"/>
      <c r="O60" s="133"/>
      <c r="P60" s="133">
        <v>0</v>
      </c>
      <c r="Q60" s="133">
        <v>0</v>
      </c>
      <c r="R60" s="133">
        <v>0</v>
      </c>
      <c r="S60" s="133">
        <v>0</v>
      </c>
      <c r="T60" s="133"/>
      <c r="U60" s="133">
        <v>2812.8000462963</v>
      </c>
      <c r="V60" s="133">
        <v>2812.8000462963</v>
      </c>
      <c r="W60" s="133"/>
      <c r="X60" s="133">
        <v>2812.8000462963</v>
      </c>
      <c r="Y60" s="133">
        <v>2795.8000462963</v>
      </c>
      <c r="Z60" s="133">
        <v>2795.8000462963</v>
      </c>
      <c r="AA60" s="133">
        <v>0</v>
      </c>
      <c r="AB60" s="133"/>
      <c r="AC60" s="133">
        <v>0</v>
      </c>
      <c r="AD60" s="133">
        <v>2795.8000462963</v>
      </c>
      <c r="AE60" s="133">
        <v>2795.8000462963</v>
      </c>
      <c r="AF60" s="133">
        <v>2795.8000462963</v>
      </c>
      <c r="AG60" s="133">
        <v>2795.8000462963</v>
      </c>
      <c r="AH60" s="133">
        <v>0</v>
      </c>
      <c r="AI60" s="133">
        <v>2670.8000462963</v>
      </c>
      <c r="AJ60" s="133">
        <v>2795.8000462963</v>
      </c>
      <c r="AK60" s="133"/>
      <c r="AL60" s="133">
        <v>2670.8000462963</v>
      </c>
      <c r="AM60" s="133">
        <v>2670.8000462963</v>
      </c>
      <c r="AN60" s="133">
        <v>2670.8000462963</v>
      </c>
      <c r="AO60" s="133">
        <v>2670.8000462963</v>
      </c>
      <c r="AP60" s="133">
        <v>2795.8000462963</v>
      </c>
      <c r="AQ60" s="133">
        <v>2792.89990740741</v>
      </c>
      <c r="AR60" s="133">
        <v>2670.8000462963</v>
      </c>
      <c r="AS60" s="133">
        <v>2670.8000462963</v>
      </c>
      <c r="AT60" s="133"/>
      <c r="AU60" s="133"/>
      <c r="AV60" s="133">
        <v>2670.8000462963</v>
      </c>
      <c r="AW60" s="133">
        <v>2670.8000462963</v>
      </c>
      <c r="AX60" s="133">
        <v>2670.8000462963</v>
      </c>
      <c r="AY60" s="133">
        <v>2670.8000462963</v>
      </c>
      <c r="AZ60" s="133"/>
      <c r="BA60" s="133"/>
      <c r="BB60" s="133">
        <v>2670.8000462963</v>
      </c>
      <c r="BC60" s="133">
        <v>2670.8000462963</v>
      </c>
      <c r="BD60" s="133">
        <v>0</v>
      </c>
      <c r="BE60" s="133">
        <v>0</v>
      </c>
      <c r="BF60" s="133">
        <v>0</v>
      </c>
      <c r="BG60" s="133">
        <v>0</v>
      </c>
      <c r="BH60" s="133">
        <v>0</v>
      </c>
      <c r="BI60" s="133">
        <v>2795.8000462963</v>
      </c>
      <c r="BJ60" s="133">
        <v>0</v>
      </c>
      <c r="BK60" s="133">
        <v>0</v>
      </c>
      <c r="BL60" s="133">
        <v>0</v>
      </c>
      <c r="BM60" s="133">
        <v>0</v>
      </c>
      <c r="BN60" s="133">
        <v>0</v>
      </c>
      <c r="BO60" s="133">
        <v>0</v>
      </c>
      <c r="BP60" s="133">
        <v>0</v>
      </c>
      <c r="BQ60" s="133"/>
      <c r="BR60" s="133">
        <v>0</v>
      </c>
      <c r="BS60" s="133">
        <v>0</v>
      </c>
      <c r="BT60" s="133">
        <v>0</v>
      </c>
      <c r="BU60" s="133">
        <v>0</v>
      </c>
      <c r="BV60" s="133">
        <v>0</v>
      </c>
      <c r="BW60" s="133">
        <v>0</v>
      </c>
      <c r="BX60" s="133">
        <v>0</v>
      </c>
      <c r="BY60" s="133">
        <v>0</v>
      </c>
      <c r="BZ60" s="133">
        <v>0</v>
      </c>
      <c r="CA60" s="133">
        <v>0</v>
      </c>
      <c r="CB60" s="133"/>
      <c r="CC60" s="133"/>
      <c r="CD60" s="133"/>
      <c r="CE60" s="133"/>
      <c r="CF60" s="133"/>
      <c r="CG60" s="133"/>
      <c r="CH60" s="133">
        <v>0</v>
      </c>
      <c r="CI60" s="133"/>
      <c r="CJ60" s="133"/>
      <c r="CK60" s="133"/>
      <c r="CL60" s="133"/>
      <c r="CM60" s="133"/>
      <c r="CN60" s="133"/>
      <c r="CO60" s="133"/>
      <c r="CP60" s="133"/>
      <c r="CQ60" s="133"/>
      <c r="CR60" s="133"/>
      <c r="CS60" s="133"/>
      <c r="CT60" s="133">
        <v>0</v>
      </c>
      <c r="CU60" s="133"/>
      <c r="CV60" s="133">
        <v>0</v>
      </c>
      <c r="CW60" s="133">
        <v>2670.8000462963</v>
      </c>
      <c r="CX60" s="133">
        <v>2670.8000462963</v>
      </c>
      <c r="CY60" s="133">
        <v>2670.8000462963</v>
      </c>
      <c r="CZ60" s="133">
        <v>2670.8000462963</v>
      </c>
      <c r="DA60" s="133">
        <v>2670.8000462963</v>
      </c>
      <c r="DB60" s="133">
        <v>0</v>
      </c>
      <c r="DC60" s="133"/>
      <c r="DD60" s="133"/>
      <c r="DE60" s="133"/>
      <c r="DF60" s="133"/>
      <c r="DG60" s="133">
        <v>0</v>
      </c>
      <c r="DH60" s="133">
        <v>0</v>
      </c>
      <c r="DI60" s="133">
        <v>0</v>
      </c>
      <c r="DJ60" s="133">
        <v>0</v>
      </c>
      <c r="DK60" s="133"/>
      <c r="DL60" s="133"/>
      <c r="DM60" s="133"/>
      <c r="DN60" s="133"/>
      <c r="DO60" s="133"/>
      <c r="DP60" s="133">
        <v>0</v>
      </c>
      <c r="DQ60" s="133">
        <v>0</v>
      </c>
      <c r="DR60" s="133"/>
      <c r="DS60" s="133">
        <v>0</v>
      </c>
      <c r="DT60" s="133">
        <v>0</v>
      </c>
      <c r="DU60" s="133"/>
      <c r="DV60" s="133"/>
      <c r="DW60" s="133">
        <v>0</v>
      </c>
      <c r="DX60" s="133"/>
      <c r="DY60" s="133">
        <v>0</v>
      </c>
      <c r="DZ60" s="133">
        <v>0</v>
      </c>
      <c r="EA60" s="133">
        <v>2795.8000462963</v>
      </c>
      <c r="EB60" s="133">
        <v>0</v>
      </c>
      <c r="EC60" s="133">
        <v>0</v>
      </c>
      <c r="ED60" s="133">
        <v>0</v>
      </c>
      <c r="EE60" s="133"/>
      <c r="EF60" s="133">
        <v>0</v>
      </c>
      <c r="EG60" s="133">
        <v>0</v>
      </c>
      <c r="EH60" s="133"/>
      <c r="EI60" s="133"/>
      <c r="EJ60" s="133">
        <v>2670.8000462963</v>
      </c>
      <c r="EK60" s="133">
        <v>2670.8000462963</v>
      </c>
      <c r="EL60" s="133"/>
      <c r="EM60" s="133"/>
      <c r="EN60" s="133"/>
      <c r="EO60" s="133"/>
      <c r="EP60" s="133"/>
      <c r="EQ60" s="133"/>
      <c r="ER60" s="133"/>
      <c r="ES60" s="133"/>
      <c r="ET60" s="133"/>
      <c r="EU60" s="133"/>
      <c r="EV60" s="133">
        <v>2835.8000462963</v>
      </c>
    </row>
    <row r="61" spans="1:152">
      <c r="A61" s="270" t="s">
        <v>87</v>
      </c>
      <c r="B61" s="133"/>
      <c r="C61" s="133">
        <v>0</v>
      </c>
      <c r="D61" s="133"/>
      <c r="E61" s="133">
        <v>0</v>
      </c>
      <c r="F61" s="133">
        <v>2835.8000462963</v>
      </c>
      <c r="G61" s="133">
        <v>2670.8000462963</v>
      </c>
      <c r="H61" s="133">
        <v>2835.8000462963</v>
      </c>
      <c r="I61" s="133">
        <v>2792.89990740741</v>
      </c>
      <c r="J61" s="133">
        <v>2835.8000462963</v>
      </c>
      <c r="K61" s="133">
        <v>2809.3000462963</v>
      </c>
      <c r="L61" s="133">
        <v>2809.3000462963</v>
      </c>
      <c r="M61" s="133">
        <v>2809.3000462963</v>
      </c>
      <c r="N61" s="133"/>
      <c r="O61" s="133"/>
      <c r="P61" s="133">
        <v>0</v>
      </c>
      <c r="Q61" s="133">
        <v>0</v>
      </c>
      <c r="R61" s="133">
        <v>0</v>
      </c>
      <c r="S61" s="133">
        <v>0</v>
      </c>
      <c r="T61" s="133"/>
      <c r="U61" s="133">
        <v>2812.8000462963</v>
      </c>
      <c r="V61" s="133">
        <v>2812.8000462963</v>
      </c>
      <c r="W61" s="133"/>
      <c r="X61" s="133">
        <v>2812.8000462963</v>
      </c>
      <c r="Y61" s="133">
        <v>2795.8000462963</v>
      </c>
      <c r="Z61" s="133">
        <v>2795.8000462963</v>
      </c>
      <c r="AA61" s="133">
        <v>0</v>
      </c>
      <c r="AB61" s="133"/>
      <c r="AC61" s="133">
        <v>0</v>
      </c>
      <c r="AD61" s="133">
        <v>2795.8000462963</v>
      </c>
      <c r="AE61" s="133">
        <v>2795.8000462963</v>
      </c>
      <c r="AF61" s="133">
        <v>2795.8000462963</v>
      </c>
      <c r="AG61" s="133">
        <v>2795.8000462963</v>
      </c>
      <c r="AH61" s="133">
        <v>0</v>
      </c>
      <c r="AI61" s="133">
        <v>2670.8000462963</v>
      </c>
      <c r="AJ61" s="133">
        <v>2795.8000462963</v>
      </c>
      <c r="AK61" s="133"/>
      <c r="AL61" s="133">
        <v>2670.8000462963</v>
      </c>
      <c r="AM61" s="133">
        <v>2670.8000462963</v>
      </c>
      <c r="AN61" s="133">
        <v>2670.8000462963</v>
      </c>
      <c r="AO61" s="133">
        <v>2670.8000462963</v>
      </c>
      <c r="AP61" s="133">
        <v>2795.8000462963</v>
      </c>
      <c r="AQ61" s="133">
        <v>2792.89990740741</v>
      </c>
      <c r="AR61" s="133">
        <v>2670.8000462963</v>
      </c>
      <c r="AS61" s="133">
        <v>2670.8000462963</v>
      </c>
      <c r="AT61" s="133"/>
      <c r="AU61" s="133"/>
      <c r="AV61" s="133">
        <v>2670.8000462963</v>
      </c>
      <c r="AW61" s="133">
        <v>2670.8000462963</v>
      </c>
      <c r="AX61" s="133">
        <v>2670.8000462963</v>
      </c>
      <c r="AY61" s="133">
        <v>2670.8000462963</v>
      </c>
      <c r="AZ61" s="133"/>
      <c r="BA61" s="133"/>
      <c r="BB61" s="133">
        <v>2670.8000462963</v>
      </c>
      <c r="BC61" s="133">
        <v>2670.8000462963</v>
      </c>
      <c r="BD61" s="133">
        <v>0</v>
      </c>
      <c r="BE61" s="133">
        <v>0</v>
      </c>
      <c r="BF61" s="133">
        <v>0</v>
      </c>
      <c r="BG61" s="133">
        <v>0</v>
      </c>
      <c r="BH61" s="133">
        <v>0</v>
      </c>
      <c r="BI61" s="133">
        <v>0</v>
      </c>
      <c r="BJ61" s="133">
        <v>0</v>
      </c>
      <c r="BK61" s="133">
        <v>0</v>
      </c>
      <c r="BL61" s="133">
        <v>0</v>
      </c>
      <c r="BM61" s="133">
        <v>0</v>
      </c>
      <c r="BN61" s="133">
        <v>0</v>
      </c>
      <c r="BO61" s="133">
        <v>0</v>
      </c>
      <c r="BP61" s="133">
        <v>0</v>
      </c>
      <c r="BQ61" s="133"/>
      <c r="BR61" s="133">
        <v>0</v>
      </c>
      <c r="BS61" s="133">
        <v>0</v>
      </c>
      <c r="BT61" s="133">
        <v>0</v>
      </c>
      <c r="BU61" s="133">
        <v>0</v>
      </c>
      <c r="BV61" s="133">
        <v>0</v>
      </c>
      <c r="BW61" s="133">
        <v>0</v>
      </c>
      <c r="BX61" s="133">
        <v>0</v>
      </c>
      <c r="BY61" s="133">
        <v>0</v>
      </c>
      <c r="BZ61" s="133">
        <v>0</v>
      </c>
      <c r="CA61" s="133">
        <v>0</v>
      </c>
      <c r="CB61" s="133"/>
      <c r="CC61" s="133"/>
      <c r="CD61" s="133"/>
      <c r="CE61" s="133"/>
      <c r="CF61" s="133"/>
      <c r="CG61" s="133"/>
      <c r="CH61" s="133">
        <v>0</v>
      </c>
      <c r="CI61" s="133"/>
      <c r="CJ61" s="133"/>
      <c r="CK61" s="133"/>
      <c r="CL61" s="133"/>
      <c r="CM61" s="133"/>
      <c r="CN61" s="133"/>
      <c r="CO61" s="133"/>
      <c r="CP61" s="133"/>
      <c r="CQ61" s="133"/>
      <c r="CR61" s="133"/>
      <c r="CS61" s="133"/>
      <c r="CT61" s="133">
        <v>0</v>
      </c>
      <c r="CU61" s="133"/>
      <c r="CV61" s="133">
        <v>0</v>
      </c>
      <c r="CW61" s="133">
        <v>2670.8000462963</v>
      </c>
      <c r="CX61" s="133">
        <v>2670.8000462963</v>
      </c>
      <c r="CY61" s="133">
        <v>2670.8000462963</v>
      </c>
      <c r="CZ61" s="133">
        <v>2670.8000462963</v>
      </c>
      <c r="DA61" s="133">
        <v>2670.8000462963</v>
      </c>
      <c r="DB61" s="133">
        <v>0</v>
      </c>
      <c r="DC61" s="133"/>
      <c r="DD61" s="133"/>
      <c r="DE61" s="133"/>
      <c r="DF61" s="133"/>
      <c r="DG61" s="133">
        <v>0</v>
      </c>
      <c r="DH61" s="133">
        <v>0</v>
      </c>
      <c r="DI61" s="133">
        <v>0</v>
      </c>
      <c r="DJ61" s="133">
        <v>0</v>
      </c>
      <c r="DK61" s="133"/>
      <c r="DL61" s="133"/>
      <c r="DM61" s="133"/>
      <c r="DN61" s="133"/>
      <c r="DO61" s="133"/>
      <c r="DP61" s="133"/>
      <c r="DQ61" s="133"/>
      <c r="DR61" s="133"/>
      <c r="DS61" s="133"/>
      <c r="DT61" s="133"/>
      <c r="DU61" s="133"/>
      <c r="DV61" s="133"/>
      <c r="DW61" s="133"/>
      <c r="DX61" s="133"/>
      <c r="DY61" s="133"/>
      <c r="DZ61" s="133"/>
      <c r="EA61" s="133"/>
      <c r="EB61" s="133"/>
      <c r="EC61" s="133"/>
      <c r="ED61" s="133"/>
      <c r="EE61" s="133"/>
      <c r="EF61" s="133"/>
      <c r="EG61" s="133"/>
      <c r="EH61" s="133"/>
      <c r="EI61" s="133"/>
      <c r="EJ61" s="133"/>
      <c r="EK61" s="133"/>
      <c r="EL61" s="133"/>
      <c r="EM61" s="133"/>
      <c r="EN61" s="133"/>
      <c r="EO61" s="133"/>
      <c r="EP61" s="133"/>
      <c r="EQ61" s="133"/>
      <c r="ER61" s="133"/>
      <c r="ES61" s="133"/>
      <c r="ET61" s="133"/>
      <c r="EU61" s="133"/>
      <c r="EV61" s="133">
        <v>2835.8000462963</v>
      </c>
    </row>
    <row r="62" spans="1:152">
      <c r="A62" s="270" t="s">
        <v>172</v>
      </c>
      <c r="B62" s="133"/>
      <c r="C62" s="133"/>
      <c r="D62" s="133"/>
      <c r="E62" s="133">
        <v>0</v>
      </c>
      <c r="F62" s="133"/>
      <c r="G62" s="133"/>
      <c r="H62" s="133"/>
      <c r="I62" s="133"/>
      <c r="J62" s="133"/>
      <c r="K62" s="133"/>
      <c r="L62" s="133"/>
      <c r="M62" s="133"/>
      <c r="N62" s="133"/>
      <c r="O62" s="133"/>
      <c r="P62" s="133">
        <v>0</v>
      </c>
      <c r="Q62" s="133"/>
      <c r="R62" s="133"/>
      <c r="S62" s="133"/>
      <c r="T62" s="133"/>
      <c r="U62" s="133"/>
      <c r="V62" s="133">
        <v>0</v>
      </c>
      <c r="W62" s="133"/>
      <c r="X62" s="133">
        <v>0</v>
      </c>
      <c r="Y62" s="133"/>
      <c r="Z62" s="133"/>
      <c r="AA62" s="133"/>
      <c r="AB62" s="133"/>
      <c r="AC62" s="133"/>
      <c r="AD62" s="133"/>
      <c r="AE62" s="133"/>
      <c r="AF62" s="133"/>
      <c r="AG62" s="133"/>
      <c r="AH62" s="133"/>
      <c r="AI62" s="133"/>
      <c r="AJ62" s="133"/>
      <c r="AK62" s="133"/>
      <c r="AL62" s="133">
        <v>0</v>
      </c>
      <c r="AM62" s="133">
        <v>0</v>
      </c>
      <c r="AN62" s="133"/>
      <c r="AO62" s="133"/>
      <c r="AP62" s="133"/>
      <c r="AQ62" s="133"/>
      <c r="AR62" s="133"/>
      <c r="AS62" s="133"/>
      <c r="AT62" s="133"/>
      <c r="AU62" s="133"/>
      <c r="AV62" s="133"/>
      <c r="AW62" s="133"/>
      <c r="AX62" s="133"/>
      <c r="AY62" s="133"/>
      <c r="AZ62" s="133"/>
      <c r="BA62" s="133"/>
      <c r="BB62" s="133"/>
      <c r="BC62" s="133"/>
      <c r="BD62" s="133"/>
      <c r="BE62" s="133"/>
      <c r="BF62" s="133"/>
      <c r="BG62" s="133"/>
      <c r="BH62" s="133"/>
      <c r="BI62" s="133"/>
      <c r="BJ62" s="133"/>
      <c r="BK62" s="133"/>
      <c r="BL62" s="133"/>
      <c r="BM62" s="133"/>
      <c r="BN62" s="133"/>
      <c r="BO62" s="133"/>
      <c r="BP62" s="133"/>
      <c r="BQ62" s="133"/>
      <c r="BR62" s="133"/>
      <c r="BS62" s="133"/>
      <c r="BT62" s="133"/>
      <c r="BU62" s="133"/>
      <c r="BV62" s="133"/>
      <c r="BW62" s="133"/>
      <c r="BX62" s="133"/>
      <c r="BY62" s="133"/>
      <c r="BZ62" s="133"/>
      <c r="CA62" s="133"/>
      <c r="CB62" s="133"/>
      <c r="CC62" s="133"/>
      <c r="CD62" s="133"/>
      <c r="CE62" s="133"/>
      <c r="CF62" s="133"/>
      <c r="CG62" s="133"/>
      <c r="CH62" s="133"/>
      <c r="CI62" s="133"/>
      <c r="CJ62" s="133"/>
      <c r="CK62" s="133"/>
      <c r="CL62" s="133"/>
      <c r="CM62" s="133"/>
      <c r="CN62" s="133"/>
      <c r="CO62" s="133"/>
      <c r="CP62" s="133"/>
      <c r="CQ62" s="133"/>
      <c r="CR62" s="133"/>
      <c r="CS62" s="133"/>
      <c r="CT62" s="133"/>
      <c r="CU62" s="133"/>
      <c r="CV62" s="133"/>
      <c r="CW62" s="133"/>
      <c r="CX62" s="133"/>
      <c r="CY62" s="133"/>
      <c r="CZ62" s="133"/>
      <c r="DA62" s="133"/>
      <c r="DB62" s="133"/>
      <c r="DC62" s="133"/>
      <c r="DD62" s="133"/>
      <c r="DE62" s="133"/>
      <c r="DF62" s="133"/>
      <c r="DG62" s="133"/>
      <c r="DH62" s="133"/>
      <c r="DI62" s="133"/>
      <c r="DJ62" s="133"/>
      <c r="DK62" s="133"/>
      <c r="DL62" s="133"/>
      <c r="DM62" s="133"/>
      <c r="DN62" s="133"/>
      <c r="DO62" s="133"/>
      <c r="DP62" s="133">
        <v>0</v>
      </c>
      <c r="DQ62" s="133">
        <v>0</v>
      </c>
      <c r="DR62" s="133"/>
      <c r="DS62" s="133">
        <v>0</v>
      </c>
      <c r="DT62" s="133">
        <v>0</v>
      </c>
      <c r="DU62" s="133"/>
      <c r="DV62" s="133"/>
      <c r="DW62" s="133"/>
      <c r="DX62" s="133"/>
      <c r="DY62" s="133">
        <v>0</v>
      </c>
      <c r="DZ62" s="133">
        <v>0</v>
      </c>
      <c r="EA62" s="133"/>
      <c r="EB62" s="133"/>
      <c r="EC62" s="133"/>
      <c r="ED62" s="133"/>
      <c r="EE62" s="133"/>
      <c r="EF62" s="133"/>
      <c r="EG62" s="133"/>
      <c r="EH62" s="133"/>
      <c r="EI62" s="133"/>
      <c r="EJ62" s="133"/>
      <c r="EK62" s="133"/>
      <c r="EL62" s="133"/>
      <c r="EM62" s="133"/>
      <c r="EN62" s="133"/>
      <c r="EO62" s="133"/>
      <c r="EP62" s="133"/>
      <c r="EQ62" s="133"/>
      <c r="ER62" s="133"/>
      <c r="ES62" s="133"/>
      <c r="ET62" s="133"/>
      <c r="EU62" s="133"/>
      <c r="EV62" s="133">
        <v>0</v>
      </c>
    </row>
    <row r="63" spans="1:152">
      <c r="A63" s="270" t="s">
        <v>173</v>
      </c>
      <c r="B63" s="133"/>
      <c r="C63" s="133"/>
      <c r="D63" s="133"/>
      <c r="E63" s="133"/>
      <c r="F63" s="133"/>
      <c r="G63" s="133"/>
      <c r="H63" s="133">
        <v>2795.8000462963</v>
      </c>
      <c r="I63" s="133"/>
      <c r="J63" s="133"/>
      <c r="K63" s="133"/>
      <c r="L63" s="133"/>
      <c r="M63" s="133"/>
      <c r="N63" s="133"/>
      <c r="O63" s="133"/>
      <c r="P63" s="133"/>
      <c r="Q63" s="133"/>
      <c r="R63" s="133"/>
      <c r="S63" s="133"/>
      <c r="T63" s="133"/>
      <c r="U63" s="133"/>
      <c r="V63" s="133"/>
      <c r="W63" s="133"/>
      <c r="X63" s="133"/>
      <c r="Y63" s="133"/>
      <c r="Z63" s="133"/>
      <c r="AA63" s="133"/>
      <c r="AB63" s="133"/>
      <c r="AC63" s="133"/>
      <c r="AD63" s="133"/>
      <c r="AE63" s="133"/>
      <c r="AF63" s="133"/>
      <c r="AG63" s="133"/>
      <c r="AH63" s="133"/>
      <c r="AI63" s="133"/>
      <c r="AJ63" s="133"/>
      <c r="AK63" s="133"/>
      <c r="AL63" s="133"/>
      <c r="AM63" s="133"/>
      <c r="AN63" s="133"/>
      <c r="AO63" s="133"/>
      <c r="AP63" s="133"/>
      <c r="AQ63" s="133"/>
      <c r="AR63" s="133"/>
      <c r="AS63" s="133"/>
      <c r="AT63" s="133"/>
      <c r="AU63" s="133"/>
      <c r="AV63" s="133"/>
      <c r="AW63" s="133"/>
      <c r="AX63" s="133"/>
      <c r="AY63" s="133"/>
      <c r="AZ63" s="133"/>
      <c r="BA63" s="133"/>
      <c r="BB63" s="133"/>
      <c r="BC63" s="133"/>
      <c r="BD63" s="133"/>
      <c r="BE63" s="133"/>
      <c r="BF63" s="133"/>
      <c r="BG63" s="133"/>
      <c r="BH63" s="133"/>
      <c r="BI63" s="133">
        <v>2795.8000462963</v>
      </c>
      <c r="BJ63" s="133"/>
      <c r="BK63" s="133"/>
      <c r="BL63" s="133"/>
      <c r="BM63" s="133"/>
      <c r="BN63" s="133"/>
      <c r="BO63" s="133"/>
      <c r="BP63" s="133"/>
      <c r="BQ63" s="133"/>
      <c r="BR63" s="133"/>
      <c r="BS63" s="133"/>
      <c r="BT63" s="133"/>
      <c r="BU63" s="133"/>
      <c r="BV63" s="133"/>
      <c r="BW63" s="133"/>
      <c r="BX63" s="133"/>
      <c r="BY63" s="133"/>
      <c r="BZ63" s="133"/>
      <c r="CA63" s="133"/>
      <c r="CB63" s="133"/>
      <c r="CC63" s="133"/>
      <c r="CD63" s="133"/>
      <c r="CE63" s="133"/>
      <c r="CF63" s="133"/>
      <c r="CG63" s="133"/>
      <c r="CH63" s="133"/>
      <c r="CI63" s="133"/>
      <c r="CJ63" s="133"/>
      <c r="CK63" s="133"/>
      <c r="CL63" s="133"/>
      <c r="CM63" s="133"/>
      <c r="CN63" s="133"/>
      <c r="CO63" s="133"/>
      <c r="CP63" s="133"/>
      <c r="CQ63" s="133"/>
      <c r="CR63" s="133"/>
      <c r="CS63" s="133"/>
      <c r="CT63" s="133"/>
      <c r="CU63" s="133"/>
      <c r="CV63" s="133"/>
      <c r="CW63" s="133"/>
      <c r="CX63" s="133"/>
      <c r="CY63" s="133"/>
      <c r="CZ63" s="133"/>
      <c r="DA63" s="133"/>
      <c r="DB63" s="133"/>
      <c r="DC63" s="133"/>
      <c r="DD63" s="133"/>
      <c r="DE63" s="133"/>
      <c r="DF63" s="133"/>
      <c r="DG63" s="133"/>
      <c r="DH63" s="133"/>
      <c r="DI63" s="133"/>
      <c r="DJ63" s="133"/>
      <c r="DK63" s="133"/>
      <c r="DL63" s="133"/>
      <c r="DM63" s="133"/>
      <c r="DN63" s="133"/>
      <c r="DO63" s="133"/>
      <c r="DP63" s="133"/>
      <c r="DQ63" s="133"/>
      <c r="DR63" s="133"/>
      <c r="DS63" s="133"/>
      <c r="DT63" s="133"/>
      <c r="DU63" s="133"/>
      <c r="DV63" s="133"/>
      <c r="DW63" s="133">
        <v>0</v>
      </c>
      <c r="DX63" s="133"/>
      <c r="DY63" s="133"/>
      <c r="DZ63" s="133"/>
      <c r="EA63" s="133">
        <v>2795.8000462963</v>
      </c>
      <c r="EB63" s="133">
        <v>0</v>
      </c>
      <c r="EC63" s="133">
        <v>0</v>
      </c>
      <c r="ED63" s="133">
        <v>0</v>
      </c>
      <c r="EE63" s="133"/>
      <c r="EF63" s="133">
        <v>0</v>
      </c>
      <c r="EG63" s="133">
        <v>0</v>
      </c>
      <c r="EH63" s="133"/>
      <c r="EI63" s="133"/>
      <c r="EJ63" s="133">
        <v>2670.8000462963</v>
      </c>
      <c r="EK63" s="133">
        <v>2670.8000462963</v>
      </c>
      <c r="EL63" s="133"/>
      <c r="EM63" s="133"/>
      <c r="EN63" s="133"/>
      <c r="EO63" s="133"/>
      <c r="EP63" s="133"/>
      <c r="EQ63" s="133"/>
      <c r="ER63" s="133"/>
      <c r="ES63" s="133"/>
      <c r="ET63" s="133"/>
      <c r="EU63" s="133"/>
      <c r="EV63" s="133">
        <v>2795.8000462963</v>
      </c>
    </row>
    <row r="64" spans="1:152">
      <c r="A64" s="269" t="s">
        <v>168</v>
      </c>
      <c r="B64" s="133"/>
      <c r="C64" s="133"/>
      <c r="D64" s="133"/>
      <c r="E64" s="133">
        <v>0</v>
      </c>
      <c r="F64" s="133">
        <v>5291.2998032407404</v>
      </c>
      <c r="G64" s="133">
        <v>5199.39990740741</v>
      </c>
      <c r="H64" s="133">
        <v>5291.2998032407404</v>
      </c>
      <c r="I64" s="133">
        <v>5246.7998032407404</v>
      </c>
      <c r="J64" s="133">
        <v>5291.2998032407404</v>
      </c>
      <c r="K64" s="133">
        <v>5283.2001967592596</v>
      </c>
      <c r="L64" s="133">
        <v>5283.2001967592596</v>
      </c>
      <c r="M64" s="133">
        <v>5283.2001967592596</v>
      </c>
      <c r="N64" s="133"/>
      <c r="O64" s="133"/>
      <c r="P64" s="133">
        <v>0</v>
      </c>
      <c r="Q64" s="133">
        <v>0</v>
      </c>
      <c r="R64" s="133">
        <v>0</v>
      </c>
      <c r="S64" s="133">
        <v>0</v>
      </c>
      <c r="T64" s="133"/>
      <c r="U64" s="133">
        <v>5291.2998032407404</v>
      </c>
      <c r="V64" s="133">
        <v>5291.2998032407404</v>
      </c>
      <c r="W64" s="133"/>
      <c r="X64" s="133">
        <v>5291.2998032407404</v>
      </c>
      <c r="Y64" s="133">
        <v>5199.39990740741</v>
      </c>
      <c r="Z64" s="133">
        <v>5199.39990740741</v>
      </c>
      <c r="AA64" s="133">
        <v>0</v>
      </c>
      <c r="AB64" s="133"/>
      <c r="AC64" s="133">
        <v>0</v>
      </c>
      <c r="AD64" s="133">
        <v>5199.39990740741</v>
      </c>
      <c r="AE64" s="133">
        <v>5199.39990740741</v>
      </c>
      <c r="AF64" s="133">
        <v>5199.39990740741</v>
      </c>
      <c r="AG64" s="133">
        <v>5199.39990740741</v>
      </c>
      <c r="AH64" s="133">
        <v>0</v>
      </c>
      <c r="AI64" s="133">
        <v>5199.39990740741</v>
      </c>
      <c r="AJ64" s="133">
        <v>5291.2998032407404</v>
      </c>
      <c r="AK64" s="133"/>
      <c r="AL64" s="133">
        <v>5199.39990740741</v>
      </c>
      <c r="AM64" s="133">
        <v>5199.39990740741</v>
      </c>
      <c r="AN64" s="133">
        <v>5199.39990740741</v>
      </c>
      <c r="AO64" s="133">
        <v>5199.39990740741</v>
      </c>
      <c r="AP64" s="133">
        <v>5288.7998032407404</v>
      </c>
      <c r="AQ64" s="133">
        <v>5288.7998032407404</v>
      </c>
      <c r="AR64" s="133">
        <v>5199.39990740741</v>
      </c>
      <c r="AS64" s="133">
        <v>5199.39990740741</v>
      </c>
      <c r="AT64" s="133"/>
      <c r="AU64" s="133"/>
      <c r="AV64" s="133">
        <v>5199.39990740741</v>
      </c>
      <c r="AW64" s="133">
        <v>5199.39990740741</v>
      </c>
      <c r="AX64" s="133">
        <v>5199.39990740741</v>
      </c>
      <c r="AY64" s="133">
        <v>5199.39990740741</v>
      </c>
      <c r="AZ64" s="133"/>
      <c r="BA64" s="133"/>
      <c r="BB64" s="133">
        <v>5199.39990740741</v>
      </c>
      <c r="BC64" s="133">
        <v>5199.39990740741</v>
      </c>
      <c r="BD64" s="133">
        <v>0</v>
      </c>
      <c r="BE64" s="133">
        <v>0</v>
      </c>
      <c r="BF64" s="133">
        <v>0</v>
      </c>
      <c r="BG64" s="133">
        <v>0</v>
      </c>
      <c r="BH64" s="133">
        <v>0</v>
      </c>
      <c r="BI64" s="133">
        <v>5199.39990740741</v>
      </c>
      <c r="BJ64" s="133">
        <v>0</v>
      </c>
      <c r="BK64" s="133">
        <v>0</v>
      </c>
      <c r="BL64" s="133">
        <v>0</v>
      </c>
      <c r="BM64" s="133">
        <v>0</v>
      </c>
      <c r="BN64" s="133">
        <v>0</v>
      </c>
      <c r="BO64" s="133">
        <v>0</v>
      </c>
      <c r="BP64" s="133">
        <v>0</v>
      </c>
      <c r="BQ64" s="133"/>
      <c r="BR64" s="133">
        <v>0</v>
      </c>
      <c r="BS64" s="133"/>
      <c r="BT64" s="133">
        <v>0</v>
      </c>
      <c r="BU64" s="133">
        <v>0</v>
      </c>
      <c r="BV64" s="133">
        <v>0</v>
      </c>
      <c r="BW64" s="133">
        <v>0</v>
      </c>
      <c r="BX64" s="133">
        <v>0</v>
      </c>
      <c r="BY64" s="133">
        <v>0</v>
      </c>
      <c r="BZ64" s="133"/>
      <c r="CA64" s="133"/>
      <c r="CB64" s="133"/>
      <c r="CC64" s="133"/>
      <c r="CD64" s="133"/>
      <c r="CE64" s="133"/>
      <c r="CF64" s="133"/>
      <c r="CG64" s="133"/>
      <c r="CH64" s="133"/>
      <c r="CI64" s="133"/>
      <c r="CJ64" s="133"/>
      <c r="CK64" s="133"/>
      <c r="CL64" s="133"/>
      <c r="CM64" s="133"/>
      <c r="CN64" s="133"/>
      <c r="CO64" s="133"/>
      <c r="CP64" s="133"/>
      <c r="CQ64" s="133"/>
      <c r="CR64" s="133"/>
      <c r="CS64" s="133"/>
      <c r="CT64" s="133">
        <v>0</v>
      </c>
      <c r="CU64" s="133"/>
      <c r="CV64" s="133">
        <v>0</v>
      </c>
      <c r="CW64" s="133">
        <v>5199.39990740741</v>
      </c>
      <c r="CX64" s="133">
        <v>5199.39990740741</v>
      </c>
      <c r="CY64" s="133">
        <v>5199.39990740741</v>
      </c>
      <c r="CZ64" s="133">
        <v>5199.39990740741</v>
      </c>
      <c r="DA64" s="133">
        <v>5199.39990740741</v>
      </c>
      <c r="DB64" s="133"/>
      <c r="DC64" s="133"/>
      <c r="DD64" s="133"/>
      <c r="DE64" s="133">
        <v>0</v>
      </c>
      <c r="DF64" s="133"/>
      <c r="DG64" s="133">
        <v>0</v>
      </c>
      <c r="DH64" s="133">
        <v>0</v>
      </c>
      <c r="DI64" s="133">
        <v>0</v>
      </c>
      <c r="DJ64" s="133">
        <v>0</v>
      </c>
      <c r="DK64" s="133"/>
      <c r="DL64" s="133"/>
      <c r="DM64" s="133"/>
      <c r="DN64" s="133"/>
      <c r="DO64" s="133"/>
      <c r="DP64" s="133">
        <v>0</v>
      </c>
      <c r="DQ64" s="133">
        <v>0</v>
      </c>
      <c r="DR64" s="133"/>
      <c r="DS64" s="133">
        <v>0</v>
      </c>
      <c r="DT64" s="133">
        <v>0</v>
      </c>
      <c r="DU64" s="133"/>
      <c r="DV64" s="133"/>
      <c r="DW64" s="133">
        <v>0</v>
      </c>
      <c r="DX64" s="133">
        <v>0</v>
      </c>
      <c r="DY64" s="133"/>
      <c r="DZ64" s="133">
        <v>0</v>
      </c>
      <c r="EA64" s="133">
        <v>5199.39990740741</v>
      </c>
      <c r="EB64" s="133">
        <v>0</v>
      </c>
      <c r="EC64" s="133">
        <v>0</v>
      </c>
      <c r="ED64" s="133">
        <v>0</v>
      </c>
      <c r="EE64" s="133">
        <v>0</v>
      </c>
      <c r="EF64" s="133">
        <v>0</v>
      </c>
      <c r="EG64" s="133">
        <v>0</v>
      </c>
      <c r="EH64" s="133"/>
      <c r="EI64" s="133"/>
      <c r="EJ64" s="133">
        <v>5199.39990740741</v>
      </c>
      <c r="EK64" s="133">
        <v>5199.39990740741</v>
      </c>
      <c r="EL64" s="133"/>
      <c r="EM64" s="133"/>
      <c r="EN64" s="133"/>
      <c r="EO64" s="133"/>
      <c r="EP64" s="133"/>
      <c r="EQ64" s="133"/>
      <c r="ER64" s="133"/>
      <c r="ES64" s="133"/>
      <c r="ET64" s="133"/>
      <c r="EU64" s="133"/>
      <c r="EV64" s="133">
        <v>5291.2998032407404</v>
      </c>
    </row>
    <row r="65" spans="1:152">
      <c r="A65" s="270" t="s">
        <v>87</v>
      </c>
      <c r="B65" s="133"/>
      <c r="C65" s="133"/>
      <c r="D65" s="133"/>
      <c r="E65" s="133"/>
      <c r="F65" s="133">
        <v>5291.2998032407404</v>
      </c>
      <c r="G65" s="133">
        <v>5199.39990740741</v>
      </c>
      <c r="H65" s="133">
        <v>5291.2998032407404</v>
      </c>
      <c r="I65" s="133">
        <v>5246.7998032407404</v>
      </c>
      <c r="J65" s="133">
        <v>5291.2998032407404</v>
      </c>
      <c r="K65" s="133">
        <v>5283.2001967592596</v>
      </c>
      <c r="L65" s="133">
        <v>5283.2001967592596</v>
      </c>
      <c r="M65" s="133">
        <v>5283.2001967592596</v>
      </c>
      <c r="N65" s="133"/>
      <c r="O65" s="133"/>
      <c r="P65" s="133">
        <v>0</v>
      </c>
      <c r="Q65" s="133">
        <v>0</v>
      </c>
      <c r="R65" s="133">
        <v>0</v>
      </c>
      <c r="S65" s="133">
        <v>0</v>
      </c>
      <c r="T65" s="133"/>
      <c r="U65" s="133">
        <v>5291.2998032407404</v>
      </c>
      <c r="V65" s="133">
        <v>5291.2998032407404</v>
      </c>
      <c r="W65" s="133"/>
      <c r="X65" s="133">
        <v>5291.2998032407404</v>
      </c>
      <c r="Y65" s="133">
        <v>5199.39990740741</v>
      </c>
      <c r="Z65" s="133">
        <v>5199.39990740741</v>
      </c>
      <c r="AA65" s="133">
        <v>0</v>
      </c>
      <c r="AB65" s="133"/>
      <c r="AC65" s="133">
        <v>0</v>
      </c>
      <c r="AD65" s="133">
        <v>5199.39990740741</v>
      </c>
      <c r="AE65" s="133">
        <v>5199.39990740741</v>
      </c>
      <c r="AF65" s="133">
        <v>5199.39990740741</v>
      </c>
      <c r="AG65" s="133">
        <v>5199.39990740741</v>
      </c>
      <c r="AH65" s="133">
        <v>0</v>
      </c>
      <c r="AI65" s="133">
        <v>5199.39990740741</v>
      </c>
      <c r="AJ65" s="133">
        <v>5291.2998032407404</v>
      </c>
      <c r="AK65" s="133"/>
      <c r="AL65" s="133">
        <v>5199.39990740741</v>
      </c>
      <c r="AM65" s="133">
        <v>5199.39990740741</v>
      </c>
      <c r="AN65" s="133">
        <v>5199.39990740741</v>
      </c>
      <c r="AO65" s="133">
        <v>5199.39990740741</v>
      </c>
      <c r="AP65" s="133">
        <v>5288.7998032407404</v>
      </c>
      <c r="AQ65" s="133">
        <v>5288.7998032407404</v>
      </c>
      <c r="AR65" s="133">
        <v>5199.39990740741</v>
      </c>
      <c r="AS65" s="133">
        <v>5199.39990740741</v>
      </c>
      <c r="AT65" s="133"/>
      <c r="AU65" s="133"/>
      <c r="AV65" s="133">
        <v>5199.39990740741</v>
      </c>
      <c r="AW65" s="133">
        <v>5199.39990740741</v>
      </c>
      <c r="AX65" s="133">
        <v>5199.39990740741</v>
      </c>
      <c r="AY65" s="133">
        <v>5199.39990740741</v>
      </c>
      <c r="AZ65" s="133"/>
      <c r="BA65" s="133"/>
      <c r="BB65" s="133">
        <v>5199.39990740741</v>
      </c>
      <c r="BC65" s="133">
        <v>5199.39990740741</v>
      </c>
      <c r="BD65" s="133">
        <v>0</v>
      </c>
      <c r="BE65" s="133">
        <v>0</v>
      </c>
      <c r="BF65" s="133">
        <v>0</v>
      </c>
      <c r="BG65" s="133">
        <v>0</v>
      </c>
      <c r="BH65" s="133">
        <v>0</v>
      </c>
      <c r="BI65" s="133">
        <v>0</v>
      </c>
      <c r="BJ65" s="133">
        <v>0</v>
      </c>
      <c r="BK65" s="133">
        <v>0</v>
      </c>
      <c r="BL65" s="133">
        <v>0</v>
      </c>
      <c r="BM65" s="133">
        <v>0</v>
      </c>
      <c r="BN65" s="133">
        <v>0</v>
      </c>
      <c r="BO65" s="133">
        <v>0</v>
      </c>
      <c r="BP65" s="133">
        <v>0</v>
      </c>
      <c r="BQ65" s="133"/>
      <c r="BR65" s="133">
        <v>0</v>
      </c>
      <c r="BS65" s="133"/>
      <c r="BT65" s="133">
        <v>0</v>
      </c>
      <c r="BU65" s="133">
        <v>0</v>
      </c>
      <c r="BV65" s="133">
        <v>0</v>
      </c>
      <c r="BW65" s="133">
        <v>0</v>
      </c>
      <c r="BX65" s="133">
        <v>0</v>
      </c>
      <c r="BY65" s="133">
        <v>0</v>
      </c>
      <c r="BZ65" s="133"/>
      <c r="CA65" s="133"/>
      <c r="CB65" s="133"/>
      <c r="CC65" s="133"/>
      <c r="CD65" s="133"/>
      <c r="CE65" s="133"/>
      <c r="CF65" s="133"/>
      <c r="CG65" s="133"/>
      <c r="CH65" s="133"/>
      <c r="CI65" s="133"/>
      <c r="CJ65" s="133"/>
      <c r="CK65" s="133"/>
      <c r="CL65" s="133"/>
      <c r="CM65" s="133"/>
      <c r="CN65" s="133"/>
      <c r="CO65" s="133"/>
      <c r="CP65" s="133"/>
      <c r="CQ65" s="133"/>
      <c r="CR65" s="133"/>
      <c r="CS65" s="133"/>
      <c r="CT65" s="133">
        <v>0</v>
      </c>
      <c r="CU65" s="133"/>
      <c r="CV65" s="133">
        <v>0</v>
      </c>
      <c r="CW65" s="133">
        <v>5199.39990740741</v>
      </c>
      <c r="CX65" s="133">
        <v>5199.39990740741</v>
      </c>
      <c r="CY65" s="133">
        <v>5199.39990740741</v>
      </c>
      <c r="CZ65" s="133">
        <v>5199.39990740741</v>
      </c>
      <c r="DA65" s="133">
        <v>5199.39990740741</v>
      </c>
      <c r="DB65" s="133"/>
      <c r="DC65" s="133"/>
      <c r="DD65" s="133"/>
      <c r="DE65" s="133">
        <v>0</v>
      </c>
      <c r="DF65" s="133"/>
      <c r="DG65" s="133">
        <v>0</v>
      </c>
      <c r="DH65" s="133">
        <v>0</v>
      </c>
      <c r="DI65" s="133">
        <v>0</v>
      </c>
      <c r="DJ65" s="133">
        <v>0</v>
      </c>
      <c r="DK65" s="133"/>
      <c r="DL65" s="133"/>
      <c r="DM65" s="133"/>
      <c r="DN65" s="133"/>
      <c r="DO65" s="133"/>
      <c r="DP65" s="133"/>
      <c r="DQ65" s="133"/>
      <c r="DR65" s="133"/>
      <c r="DS65" s="133"/>
      <c r="DT65" s="133"/>
      <c r="DU65" s="133"/>
      <c r="DV65" s="133"/>
      <c r="DW65" s="133"/>
      <c r="DX65" s="133"/>
      <c r="DY65" s="133"/>
      <c r="DZ65" s="133"/>
      <c r="EA65" s="133"/>
      <c r="EB65" s="133"/>
      <c r="EC65" s="133"/>
      <c r="ED65" s="133"/>
      <c r="EE65" s="133"/>
      <c r="EF65" s="133"/>
      <c r="EG65" s="133"/>
      <c r="EH65" s="133"/>
      <c r="EI65" s="133"/>
      <c r="EJ65" s="133"/>
      <c r="EK65" s="133"/>
      <c r="EL65" s="133"/>
      <c r="EM65" s="133"/>
      <c r="EN65" s="133"/>
      <c r="EO65" s="133"/>
      <c r="EP65" s="133"/>
      <c r="EQ65" s="133"/>
      <c r="ER65" s="133"/>
      <c r="ES65" s="133"/>
      <c r="ET65" s="133"/>
      <c r="EU65" s="133"/>
      <c r="EV65" s="133">
        <v>5291.2998032407404</v>
      </c>
    </row>
    <row r="66" spans="1:152">
      <c r="A66" s="270" t="s">
        <v>172</v>
      </c>
      <c r="B66" s="133"/>
      <c r="C66" s="133"/>
      <c r="D66" s="133"/>
      <c r="E66" s="133">
        <v>0</v>
      </c>
      <c r="F66" s="133"/>
      <c r="G66" s="133"/>
      <c r="H66" s="133"/>
      <c r="I66" s="133"/>
      <c r="J66" s="133"/>
      <c r="K66" s="133"/>
      <c r="L66" s="133"/>
      <c r="M66" s="133"/>
      <c r="N66" s="133"/>
      <c r="O66" s="133"/>
      <c r="P66" s="133">
        <v>0</v>
      </c>
      <c r="Q66" s="133"/>
      <c r="R66" s="133"/>
      <c r="S66" s="133"/>
      <c r="T66" s="133"/>
      <c r="U66" s="133"/>
      <c r="V66" s="133">
        <v>0</v>
      </c>
      <c r="W66" s="133"/>
      <c r="X66" s="133">
        <v>0</v>
      </c>
      <c r="Y66" s="133"/>
      <c r="Z66" s="133"/>
      <c r="AA66" s="133"/>
      <c r="AB66" s="133"/>
      <c r="AC66" s="133"/>
      <c r="AD66" s="133"/>
      <c r="AE66" s="133"/>
      <c r="AF66" s="133"/>
      <c r="AG66" s="133"/>
      <c r="AH66" s="133"/>
      <c r="AI66" s="133"/>
      <c r="AJ66" s="133"/>
      <c r="AK66" s="133"/>
      <c r="AL66" s="133"/>
      <c r="AM66" s="133"/>
      <c r="AN66" s="133"/>
      <c r="AO66" s="133"/>
      <c r="AP66" s="133"/>
      <c r="AQ66" s="133"/>
      <c r="AR66" s="133"/>
      <c r="AS66" s="133"/>
      <c r="AT66" s="133"/>
      <c r="AU66" s="133"/>
      <c r="AV66" s="133"/>
      <c r="AW66" s="133"/>
      <c r="AX66" s="133"/>
      <c r="AY66" s="133"/>
      <c r="AZ66" s="133"/>
      <c r="BA66" s="133"/>
      <c r="BB66" s="133"/>
      <c r="BC66" s="133"/>
      <c r="BD66" s="133"/>
      <c r="BE66" s="133"/>
      <c r="BF66" s="133"/>
      <c r="BG66" s="133"/>
      <c r="BH66" s="133"/>
      <c r="BI66" s="133"/>
      <c r="BJ66" s="133"/>
      <c r="BK66" s="133"/>
      <c r="BL66" s="133"/>
      <c r="BM66" s="133"/>
      <c r="BN66" s="133"/>
      <c r="BO66" s="133"/>
      <c r="BP66" s="133"/>
      <c r="BQ66" s="133"/>
      <c r="BR66" s="133"/>
      <c r="BS66" s="133"/>
      <c r="BT66" s="133"/>
      <c r="BU66" s="133"/>
      <c r="BV66" s="133"/>
      <c r="BW66" s="133"/>
      <c r="BX66" s="133"/>
      <c r="BY66" s="133"/>
      <c r="BZ66" s="133"/>
      <c r="CA66" s="133"/>
      <c r="CB66" s="133"/>
      <c r="CC66" s="133"/>
      <c r="CD66" s="133"/>
      <c r="CE66" s="133"/>
      <c r="CF66" s="133"/>
      <c r="CG66" s="133"/>
      <c r="CH66" s="133"/>
      <c r="CI66" s="133"/>
      <c r="CJ66" s="133"/>
      <c r="CK66" s="133"/>
      <c r="CL66" s="133"/>
      <c r="CM66" s="133"/>
      <c r="CN66" s="133"/>
      <c r="CO66" s="133"/>
      <c r="CP66" s="133"/>
      <c r="CQ66" s="133"/>
      <c r="CR66" s="133"/>
      <c r="CS66" s="133"/>
      <c r="CT66" s="133"/>
      <c r="CU66" s="133"/>
      <c r="CV66" s="133"/>
      <c r="CW66" s="133"/>
      <c r="CX66" s="133"/>
      <c r="CY66" s="133"/>
      <c r="CZ66" s="133"/>
      <c r="DA66" s="133"/>
      <c r="DB66" s="133"/>
      <c r="DC66" s="133"/>
      <c r="DD66" s="133"/>
      <c r="DE66" s="133"/>
      <c r="DF66" s="133"/>
      <c r="DG66" s="133"/>
      <c r="DH66" s="133"/>
      <c r="DI66" s="133"/>
      <c r="DJ66" s="133"/>
      <c r="DK66" s="133"/>
      <c r="DL66" s="133"/>
      <c r="DM66" s="133"/>
      <c r="DN66" s="133"/>
      <c r="DO66" s="133"/>
      <c r="DP66" s="133">
        <v>0</v>
      </c>
      <c r="DQ66" s="133">
        <v>0</v>
      </c>
      <c r="DR66" s="133"/>
      <c r="DS66" s="133">
        <v>0</v>
      </c>
      <c r="DT66" s="133">
        <v>0</v>
      </c>
      <c r="DU66" s="133"/>
      <c r="DV66" s="133"/>
      <c r="DW66" s="133"/>
      <c r="DX66" s="133">
        <v>0</v>
      </c>
      <c r="DY66" s="133"/>
      <c r="DZ66" s="133">
        <v>0</v>
      </c>
      <c r="EA66" s="133"/>
      <c r="EB66" s="133"/>
      <c r="EC66" s="133"/>
      <c r="ED66" s="133"/>
      <c r="EE66" s="133"/>
      <c r="EF66" s="133"/>
      <c r="EG66" s="133"/>
      <c r="EH66" s="133"/>
      <c r="EI66" s="133"/>
      <c r="EJ66" s="133"/>
      <c r="EK66" s="133"/>
      <c r="EL66" s="133"/>
      <c r="EM66" s="133"/>
      <c r="EN66" s="133"/>
      <c r="EO66" s="133"/>
      <c r="EP66" s="133"/>
      <c r="EQ66" s="133"/>
      <c r="ER66" s="133"/>
      <c r="ES66" s="133"/>
      <c r="ET66" s="133"/>
      <c r="EU66" s="133"/>
      <c r="EV66" s="133">
        <v>0</v>
      </c>
    </row>
    <row r="67" spans="1:152">
      <c r="A67" s="270" t="s">
        <v>173</v>
      </c>
      <c r="B67" s="133"/>
      <c r="C67" s="133"/>
      <c r="D67" s="133"/>
      <c r="E67" s="133"/>
      <c r="F67" s="133"/>
      <c r="G67" s="133"/>
      <c r="H67" s="133">
        <v>5199.39990740741</v>
      </c>
      <c r="I67" s="133"/>
      <c r="J67" s="133"/>
      <c r="K67" s="133"/>
      <c r="L67" s="133"/>
      <c r="M67" s="133"/>
      <c r="N67" s="133"/>
      <c r="O67" s="133"/>
      <c r="P67" s="133"/>
      <c r="Q67" s="133"/>
      <c r="R67" s="133"/>
      <c r="S67" s="133"/>
      <c r="T67" s="133"/>
      <c r="U67" s="133"/>
      <c r="V67" s="133"/>
      <c r="W67" s="133"/>
      <c r="X67" s="133"/>
      <c r="Y67" s="133"/>
      <c r="Z67" s="133"/>
      <c r="AA67" s="133"/>
      <c r="AB67" s="133"/>
      <c r="AC67" s="133"/>
      <c r="AD67" s="133"/>
      <c r="AE67" s="133"/>
      <c r="AF67" s="133"/>
      <c r="AG67" s="133"/>
      <c r="AH67" s="133"/>
      <c r="AI67" s="133"/>
      <c r="AJ67" s="133"/>
      <c r="AK67" s="133"/>
      <c r="AL67" s="133"/>
      <c r="AM67" s="133"/>
      <c r="AN67" s="133"/>
      <c r="AO67" s="133"/>
      <c r="AP67" s="133"/>
      <c r="AQ67" s="133"/>
      <c r="AR67" s="133"/>
      <c r="AS67" s="133"/>
      <c r="AT67" s="133"/>
      <c r="AU67" s="133"/>
      <c r="AV67" s="133"/>
      <c r="AW67" s="133"/>
      <c r="AX67" s="133"/>
      <c r="AY67" s="133"/>
      <c r="AZ67" s="133"/>
      <c r="BA67" s="133"/>
      <c r="BB67" s="133"/>
      <c r="BC67" s="133"/>
      <c r="BD67" s="133"/>
      <c r="BE67" s="133"/>
      <c r="BF67" s="133"/>
      <c r="BG67" s="133"/>
      <c r="BH67" s="133"/>
      <c r="BI67" s="133">
        <v>5199.39990740741</v>
      </c>
      <c r="BJ67" s="133"/>
      <c r="BK67" s="133"/>
      <c r="BL67" s="133"/>
      <c r="BM67" s="133"/>
      <c r="BN67" s="133"/>
      <c r="BO67" s="133"/>
      <c r="BP67" s="133"/>
      <c r="BQ67" s="133"/>
      <c r="BR67" s="133"/>
      <c r="BS67" s="133"/>
      <c r="BT67" s="133"/>
      <c r="BU67" s="133"/>
      <c r="BV67" s="133"/>
      <c r="BW67" s="133"/>
      <c r="BX67" s="133"/>
      <c r="BY67" s="133"/>
      <c r="BZ67" s="133"/>
      <c r="CA67" s="133"/>
      <c r="CB67" s="133"/>
      <c r="CC67" s="133"/>
      <c r="CD67" s="133"/>
      <c r="CE67" s="133"/>
      <c r="CF67" s="133"/>
      <c r="CG67" s="133"/>
      <c r="CH67" s="133"/>
      <c r="CI67" s="133"/>
      <c r="CJ67" s="133"/>
      <c r="CK67" s="133"/>
      <c r="CL67" s="133"/>
      <c r="CM67" s="133"/>
      <c r="CN67" s="133"/>
      <c r="CO67" s="133"/>
      <c r="CP67" s="133"/>
      <c r="CQ67" s="133"/>
      <c r="CR67" s="133"/>
      <c r="CS67" s="133"/>
      <c r="CT67" s="133"/>
      <c r="CU67" s="133"/>
      <c r="CV67" s="133"/>
      <c r="CW67" s="133"/>
      <c r="CX67" s="133"/>
      <c r="CY67" s="133"/>
      <c r="CZ67" s="133"/>
      <c r="DA67" s="133"/>
      <c r="DB67" s="133"/>
      <c r="DC67" s="133"/>
      <c r="DD67" s="133"/>
      <c r="DE67" s="133"/>
      <c r="DF67" s="133"/>
      <c r="DG67" s="133"/>
      <c r="DH67" s="133"/>
      <c r="DI67" s="133"/>
      <c r="DJ67" s="133"/>
      <c r="DK67" s="133"/>
      <c r="DL67" s="133"/>
      <c r="DM67" s="133"/>
      <c r="DN67" s="133"/>
      <c r="DO67" s="133"/>
      <c r="DP67" s="133"/>
      <c r="DQ67" s="133"/>
      <c r="DR67" s="133"/>
      <c r="DS67" s="133"/>
      <c r="DT67" s="133"/>
      <c r="DU67" s="133"/>
      <c r="DV67" s="133"/>
      <c r="DW67" s="133">
        <v>0</v>
      </c>
      <c r="DX67" s="133"/>
      <c r="DY67" s="133"/>
      <c r="DZ67" s="133"/>
      <c r="EA67" s="133">
        <v>5199.39990740741</v>
      </c>
      <c r="EB67" s="133">
        <v>0</v>
      </c>
      <c r="EC67" s="133">
        <v>0</v>
      </c>
      <c r="ED67" s="133">
        <v>0</v>
      </c>
      <c r="EE67" s="133">
        <v>0</v>
      </c>
      <c r="EF67" s="133">
        <v>0</v>
      </c>
      <c r="EG67" s="133">
        <v>0</v>
      </c>
      <c r="EH67" s="133"/>
      <c r="EI67" s="133"/>
      <c r="EJ67" s="133">
        <v>5199.39990740741</v>
      </c>
      <c r="EK67" s="133">
        <v>5199.39990740741</v>
      </c>
      <c r="EL67" s="133"/>
      <c r="EM67" s="133"/>
      <c r="EN67" s="133"/>
      <c r="EO67" s="133"/>
      <c r="EP67" s="133"/>
      <c r="EQ67" s="133"/>
      <c r="ER67" s="133"/>
      <c r="ES67" s="133"/>
      <c r="ET67" s="133"/>
      <c r="EU67" s="133"/>
      <c r="EV67" s="133">
        <v>5199.39990740741</v>
      </c>
    </row>
    <row r="68" spans="1:152">
      <c r="A68" s="269" t="s">
        <v>155</v>
      </c>
      <c r="B68" s="133"/>
      <c r="C68" s="133">
        <v>0</v>
      </c>
      <c r="D68" s="133"/>
      <c r="E68" s="133">
        <v>0</v>
      </c>
      <c r="F68" s="133">
        <v>4420.5</v>
      </c>
      <c r="G68" s="133">
        <v>3998.60009259259</v>
      </c>
      <c r="H68" s="133">
        <v>4420.5</v>
      </c>
      <c r="I68" s="133">
        <v>4303.10009259259</v>
      </c>
      <c r="J68" s="133">
        <v>4420</v>
      </c>
      <c r="K68" s="133">
        <v>4382.10009259259</v>
      </c>
      <c r="L68" s="133">
        <v>4382.10009259259</v>
      </c>
      <c r="M68" s="133">
        <v>4382.10009259259</v>
      </c>
      <c r="N68" s="133"/>
      <c r="O68" s="133">
        <v>0</v>
      </c>
      <c r="P68" s="133">
        <v>0</v>
      </c>
      <c r="Q68" s="133">
        <v>0</v>
      </c>
      <c r="R68" s="133">
        <v>0</v>
      </c>
      <c r="S68" s="133">
        <v>0</v>
      </c>
      <c r="T68" s="133"/>
      <c r="U68" s="133">
        <v>4420</v>
      </c>
      <c r="V68" s="133">
        <v>4420</v>
      </c>
      <c r="W68" s="133"/>
      <c r="X68" s="133">
        <v>4420</v>
      </c>
      <c r="Y68" s="133">
        <v>4369.7998032407404</v>
      </c>
      <c r="Z68" s="133">
        <v>4369.7998032407404</v>
      </c>
      <c r="AA68" s="133">
        <v>0</v>
      </c>
      <c r="AB68" s="133"/>
      <c r="AC68" s="133">
        <v>0</v>
      </c>
      <c r="AD68" s="133">
        <v>4369.7998032407404</v>
      </c>
      <c r="AE68" s="133">
        <v>4369.7998032407404</v>
      </c>
      <c r="AF68" s="133">
        <v>4369.7998032407404</v>
      </c>
      <c r="AG68" s="133">
        <v>4369.7998032407404</v>
      </c>
      <c r="AH68" s="133">
        <v>0</v>
      </c>
      <c r="AI68" s="133">
        <v>4244.7998032407404</v>
      </c>
      <c r="AJ68" s="133">
        <v>4369.7998032407404</v>
      </c>
      <c r="AK68" s="133"/>
      <c r="AL68" s="133">
        <v>3998.60009259259</v>
      </c>
      <c r="AM68" s="133">
        <v>3998.60009259259</v>
      </c>
      <c r="AN68" s="133">
        <v>4244.7998032407404</v>
      </c>
      <c r="AO68" s="133">
        <v>4244.7998032407404</v>
      </c>
      <c r="AP68" s="133">
        <v>4369.7998032407404</v>
      </c>
      <c r="AQ68" s="133">
        <v>4244.7998032407404</v>
      </c>
      <c r="AR68" s="133">
        <v>4244.7998032407404</v>
      </c>
      <c r="AS68" s="133">
        <v>4244.7998032407404</v>
      </c>
      <c r="AT68" s="133"/>
      <c r="AU68" s="133"/>
      <c r="AV68" s="133">
        <v>4244.7998032407404</v>
      </c>
      <c r="AW68" s="133">
        <v>4244.7998032407404</v>
      </c>
      <c r="AX68" s="133">
        <v>4244.7998032407404</v>
      </c>
      <c r="AY68" s="133">
        <v>4244.7998032407404</v>
      </c>
      <c r="AZ68" s="133"/>
      <c r="BA68" s="133"/>
      <c r="BB68" s="133">
        <v>3998.60009259259</v>
      </c>
      <c r="BC68" s="133">
        <v>4244.7998032407404</v>
      </c>
      <c r="BD68" s="133">
        <v>0</v>
      </c>
      <c r="BE68" s="133">
        <v>0</v>
      </c>
      <c r="BF68" s="133">
        <v>0</v>
      </c>
      <c r="BG68" s="133">
        <v>0</v>
      </c>
      <c r="BH68" s="133">
        <v>0</v>
      </c>
      <c r="BI68" s="133">
        <v>4369.7998032407404</v>
      </c>
      <c r="BJ68" s="133">
        <v>0</v>
      </c>
      <c r="BK68" s="133">
        <v>0</v>
      </c>
      <c r="BL68" s="133">
        <v>0</v>
      </c>
      <c r="BM68" s="133">
        <v>0</v>
      </c>
      <c r="BN68" s="133">
        <v>0</v>
      </c>
      <c r="BO68" s="133">
        <v>0</v>
      </c>
      <c r="BP68" s="133">
        <v>0</v>
      </c>
      <c r="BQ68" s="133"/>
      <c r="BR68" s="133">
        <v>0</v>
      </c>
      <c r="BS68" s="133">
        <v>0</v>
      </c>
      <c r="BT68" s="133"/>
      <c r="BU68" s="133"/>
      <c r="BV68" s="133"/>
      <c r="BW68" s="133"/>
      <c r="BX68" s="133"/>
      <c r="BY68" s="133"/>
      <c r="BZ68" s="133"/>
      <c r="CA68" s="133"/>
      <c r="CB68" s="133"/>
      <c r="CC68" s="133"/>
      <c r="CD68" s="133"/>
      <c r="CE68" s="133"/>
      <c r="CF68" s="133">
        <v>0</v>
      </c>
      <c r="CG68" s="133"/>
      <c r="CH68" s="133"/>
      <c r="CI68" s="133">
        <v>0</v>
      </c>
      <c r="CJ68" s="133"/>
      <c r="CK68" s="133"/>
      <c r="CL68" s="133"/>
      <c r="CM68" s="133"/>
      <c r="CN68" s="133"/>
      <c r="CO68" s="133"/>
      <c r="CP68" s="133"/>
      <c r="CQ68" s="133"/>
      <c r="CR68" s="133"/>
      <c r="CS68" s="133"/>
      <c r="CT68" s="133">
        <v>0</v>
      </c>
      <c r="CU68" s="133"/>
      <c r="CV68" s="133">
        <v>0</v>
      </c>
      <c r="CW68" s="133">
        <v>4244.7998032407404</v>
      </c>
      <c r="CX68" s="133">
        <v>3998.60009259259</v>
      </c>
      <c r="CY68" s="133">
        <v>3998.60009259259</v>
      </c>
      <c r="CZ68" s="133">
        <v>3998.60009259259</v>
      </c>
      <c r="DA68" s="133">
        <v>4244.7998032407404</v>
      </c>
      <c r="DB68" s="133">
        <v>0</v>
      </c>
      <c r="DC68" s="133"/>
      <c r="DD68" s="133"/>
      <c r="DE68" s="133"/>
      <c r="DF68" s="133"/>
      <c r="DG68" s="133">
        <v>0</v>
      </c>
      <c r="DH68" s="133">
        <v>0</v>
      </c>
      <c r="DI68" s="133">
        <v>0</v>
      </c>
      <c r="DJ68" s="133">
        <v>0</v>
      </c>
      <c r="DK68" s="133"/>
      <c r="DL68" s="133"/>
      <c r="DM68" s="133"/>
      <c r="DN68" s="133"/>
      <c r="DO68" s="133"/>
      <c r="DP68" s="133">
        <v>0</v>
      </c>
      <c r="DQ68" s="133">
        <v>0</v>
      </c>
      <c r="DR68" s="133"/>
      <c r="DS68" s="133">
        <v>0</v>
      </c>
      <c r="DT68" s="133">
        <v>0</v>
      </c>
      <c r="DU68" s="133"/>
      <c r="DV68" s="133"/>
      <c r="DW68" s="133">
        <v>0</v>
      </c>
      <c r="DX68" s="133">
        <v>0</v>
      </c>
      <c r="DY68" s="133"/>
      <c r="DZ68" s="133">
        <v>0</v>
      </c>
      <c r="EA68" s="133">
        <v>4369.7998032407404</v>
      </c>
      <c r="EB68" s="133">
        <v>0</v>
      </c>
      <c r="EC68" s="133">
        <v>0</v>
      </c>
      <c r="ED68" s="133">
        <v>0</v>
      </c>
      <c r="EE68" s="133">
        <v>0</v>
      </c>
      <c r="EF68" s="133">
        <v>0</v>
      </c>
      <c r="EG68" s="133">
        <v>0</v>
      </c>
      <c r="EH68" s="133"/>
      <c r="EI68" s="133"/>
      <c r="EJ68" s="133">
        <v>4244.7998032407404</v>
      </c>
      <c r="EK68" s="133">
        <v>3998.60009259259</v>
      </c>
      <c r="EL68" s="133">
        <v>0</v>
      </c>
      <c r="EM68" s="133"/>
      <c r="EN68" s="133"/>
      <c r="EO68" s="133"/>
      <c r="EP68" s="133"/>
      <c r="EQ68" s="133"/>
      <c r="ER68" s="133"/>
      <c r="ES68" s="133"/>
      <c r="ET68" s="133"/>
      <c r="EU68" s="133">
        <v>0</v>
      </c>
      <c r="EV68" s="133">
        <v>4420.5</v>
      </c>
    </row>
    <row r="69" spans="1:152">
      <c r="A69" s="270" t="s">
        <v>87</v>
      </c>
      <c r="B69" s="133"/>
      <c r="C69" s="133">
        <v>0</v>
      </c>
      <c r="D69" s="133"/>
      <c r="E69" s="133">
        <v>0</v>
      </c>
      <c r="F69" s="133">
        <v>4420.5</v>
      </c>
      <c r="G69" s="133">
        <v>3998.60009259259</v>
      </c>
      <c r="H69" s="133">
        <v>4420.5</v>
      </c>
      <c r="I69" s="133">
        <v>4303.10009259259</v>
      </c>
      <c r="J69" s="133">
        <v>4420</v>
      </c>
      <c r="K69" s="133">
        <v>4382.10009259259</v>
      </c>
      <c r="L69" s="133">
        <v>4382.10009259259</v>
      </c>
      <c r="M69" s="133">
        <v>4382.10009259259</v>
      </c>
      <c r="N69" s="133"/>
      <c r="O69" s="133"/>
      <c r="P69" s="133">
        <v>0</v>
      </c>
      <c r="Q69" s="133">
        <v>0</v>
      </c>
      <c r="R69" s="133">
        <v>0</v>
      </c>
      <c r="S69" s="133">
        <v>0</v>
      </c>
      <c r="T69" s="133"/>
      <c r="U69" s="133">
        <v>4420</v>
      </c>
      <c r="V69" s="133">
        <v>4420</v>
      </c>
      <c r="W69" s="133"/>
      <c r="X69" s="133">
        <v>4420</v>
      </c>
      <c r="Y69" s="133">
        <v>4369.7998032407404</v>
      </c>
      <c r="Z69" s="133">
        <v>4369.7998032407404</v>
      </c>
      <c r="AA69" s="133">
        <v>0</v>
      </c>
      <c r="AB69" s="133"/>
      <c r="AC69" s="133">
        <v>0</v>
      </c>
      <c r="AD69" s="133">
        <v>4369.7998032407404</v>
      </c>
      <c r="AE69" s="133">
        <v>4369.7998032407404</v>
      </c>
      <c r="AF69" s="133">
        <v>4369.7998032407404</v>
      </c>
      <c r="AG69" s="133">
        <v>4369.7998032407404</v>
      </c>
      <c r="AH69" s="133">
        <v>0</v>
      </c>
      <c r="AI69" s="133">
        <v>4244.7998032407404</v>
      </c>
      <c r="AJ69" s="133">
        <v>4369.7998032407404</v>
      </c>
      <c r="AK69" s="133"/>
      <c r="AL69" s="133">
        <v>3998.60009259259</v>
      </c>
      <c r="AM69" s="133">
        <v>3998.60009259259</v>
      </c>
      <c r="AN69" s="133">
        <v>4244.7998032407404</v>
      </c>
      <c r="AO69" s="133">
        <v>4244.7998032407404</v>
      </c>
      <c r="AP69" s="133">
        <v>4369.7998032407404</v>
      </c>
      <c r="AQ69" s="133">
        <v>4244.7998032407404</v>
      </c>
      <c r="AR69" s="133">
        <v>4244.7998032407404</v>
      </c>
      <c r="AS69" s="133">
        <v>4244.7998032407404</v>
      </c>
      <c r="AT69" s="133"/>
      <c r="AU69" s="133"/>
      <c r="AV69" s="133">
        <v>4244.7998032407404</v>
      </c>
      <c r="AW69" s="133">
        <v>4244.7998032407404</v>
      </c>
      <c r="AX69" s="133">
        <v>4244.7998032407404</v>
      </c>
      <c r="AY69" s="133">
        <v>4244.7998032407404</v>
      </c>
      <c r="AZ69" s="133"/>
      <c r="BA69" s="133"/>
      <c r="BB69" s="133">
        <v>3998.60009259259</v>
      </c>
      <c r="BC69" s="133">
        <v>4244.7998032407404</v>
      </c>
      <c r="BD69" s="133">
        <v>0</v>
      </c>
      <c r="BE69" s="133">
        <v>0</v>
      </c>
      <c r="BF69" s="133">
        <v>0</v>
      </c>
      <c r="BG69" s="133">
        <v>0</v>
      </c>
      <c r="BH69" s="133">
        <v>0</v>
      </c>
      <c r="BI69" s="133">
        <v>0</v>
      </c>
      <c r="BJ69" s="133">
        <v>0</v>
      </c>
      <c r="BK69" s="133">
        <v>0</v>
      </c>
      <c r="BL69" s="133">
        <v>0</v>
      </c>
      <c r="BM69" s="133">
        <v>0</v>
      </c>
      <c r="BN69" s="133">
        <v>0</v>
      </c>
      <c r="BO69" s="133">
        <v>0</v>
      </c>
      <c r="BP69" s="133">
        <v>0</v>
      </c>
      <c r="BQ69" s="133"/>
      <c r="BR69" s="133">
        <v>0</v>
      </c>
      <c r="BS69" s="133">
        <v>0</v>
      </c>
      <c r="BT69" s="133"/>
      <c r="BU69" s="133"/>
      <c r="BV69" s="133"/>
      <c r="BW69" s="133"/>
      <c r="BX69" s="133"/>
      <c r="BY69" s="133"/>
      <c r="BZ69" s="133"/>
      <c r="CA69" s="133"/>
      <c r="CB69" s="133"/>
      <c r="CC69" s="133"/>
      <c r="CD69" s="133"/>
      <c r="CE69" s="133"/>
      <c r="CF69" s="133">
        <v>0</v>
      </c>
      <c r="CG69" s="133"/>
      <c r="CH69" s="133"/>
      <c r="CI69" s="133">
        <v>0</v>
      </c>
      <c r="CJ69" s="133"/>
      <c r="CK69" s="133"/>
      <c r="CL69" s="133"/>
      <c r="CM69" s="133"/>
      <c r="CN69" s="133"/>
      <c r="CO69" s="133"/>
      <c r="CP69" s="133"/>
      <c r="CQ69" s="133"/>
      <c r="CR69" s="133"/>
      <c r="CS69" s="133"/>
      <c r="CT69" s="133">
        <v>0</v>
      </c>
      <c r="CU69" s="133"/>
      <c r="CV69" s="133">
        <v>0</v>
      </c>
      <c r="CW69" s="133">
        <v>4244.7998032407404</v>
      </c>
      <c r="CX69" s="133">
        <v>3998.60009259259</v>
      </c>
      <c r="CY69" s="133">
        <v>3998.60009259259</v>
      </c>
      <c r="CZ69" s="133">
        <v>3998.60009259259</v>
      </c>
      <c r="DA69" s="133">
        <v>4244.7998032407404</v>
      </c>
      <c r="DB69" s="133">
        <v>0</v>
      </c>
      <c r="DC69" s="133"/>
      <c r="DD69" s="133"/>
      <c r="DE69" s="133"/>
      <c r="DF69" s="133"/>
      <c r="DG69" s="133">
        <v>0</v>
      </c>
      <c r="DH69" s="133">
        <v>0</v>
      </c>
      <c r="DI69" s="133">
        <v>0</v>
      </c>
      <c r="DJ69" s="133">
        <v>0</v>
      </c>
      <c r="DK69" s="133"/>
      <c r="DL69" s="133"/>
      <c r="DM69" s="133"/>
      <c r="DN69" s="133"/>
      <c r="DO69" s="133"/>
      <c r="DP69" s="133"/>
      <c r="DQ69" s="133"/>
      <c r="DR69" s="133"/>
      <c r="DS69" s="133"/>
      <c r="DT69" s="133"/>
      <c r="DU69" s="133"/>
      <c r="DV69" s="133"/>
      <c r="DW69" s="133"/>
      <c r="DX69" s="133"/>
      <c r="DY69" s="133"/>
      <c r="DZ69" s="133"/>
      <c r="EA69" s="133"/>
      <c r="EB69" s="133"/>
      <c r="EC69" s="133"/>
      <c r="ED69" s="133"/>
      <c r="EE69" s="133"/>
      <c r="EF69" s="133"/>
      <c r="EG69" s="133"/>
      <c r="EH69" s="133"/>
      <c r="EI69" s="133"/>
      <c r="EJ69" s="133"/>
      <c r="EK69" s="133"/>
      <c r="EL69" s="133"/>
      <c r="EM69" s="133"/>
      <c r="EN69" s="133"/>
      <c r="EO69" s="133"/>
      <c r="EP69" s="133"/>
      <c r="EQ69" s="133"/>
      <c r="ER69" s="133"/>
      <c r="ES69" s="133"/>
      <c r="ET69" s="133"/>
      <c r="EU69" s="133">
        <v>0</v>
      </c>
      <c r="EV69" s="133">
        <v>4420.5</v>
      </c>
    </row>
    <row r="70" spans="1:152">
      <c r="A70" s="270" t="s">
        <v>172</v>
      </c>
      <c r="B70" s="133"/>
      <c r="C70" s="133"/>
      <c r="D70" s="133"/>
      <c r="E70" s="133">
        <v>0</v>
      </c>
      <c r="F70" s="133"/>
      <c r="G70" s="133"/>
      <c r="H70" s="133"/>
      <c r="I70" s="133"/>
      <c r="J70" s="133"/>
      <c r="K70" s="133"/>
      <c r="L70" s="133"/>
      <c r="M70" s="133"/>
      <c r="N70" s="133"/>
      <c r="O70" s="133">
        <v>0</v>
      </c>
      <c r="P70" s="133">
        <v>0</v>
      </c>
      <c r="Q70" s="133"/>
      <c r="R70" s="133"/>
      <c r="S70" s="133"/>
      <c r="T70" s="133"/>
      <c r="U70" s="133"/>
      <c r="V70" s="133">
        <v>0</v>
      </c>
      <c r="W70" s="133"/>
      <c r="X70" s="133">
        <v>0</v>
      </c>
      <c r="Y70" s="133"/>
      <c r="Z70" s="133"/>
      <c r="AA70" s="133"/>
      <c r="AB70" s="133"/>
      <c r="AC70" s="133"/>
      <c r="AD70" s="133"/>
      <c r="AE70" s="133"/>
      <c r="AF70" s="133"/>
      <c r="AG70" s="133"/>
      <c r="AH70" s="133"/>
      <c r="AI70" s="133"/>
      <c r="AJ70" s="133"/>
      <c r="AK70" s="133"/>
      <c r="AL70" s="133"/>
      <c r="AM70" s="133"/>
      <c r="AN70" s="133"/>
      <c r="AO70" s="133"/>
      <c r="AP70" s="133"/>
      <c r="AQ70" s="133"/>
      <c r="AR70" s="133"/>
      <c r="AS70" s="133"/>
      <c r="AT70" s="133"/>
      <c r="AU70" s="133"/>
      <c r="AV70" s="133"/>
      <c r="AW70" s="133"/>
      <c r="AX70" s="133"/>
      <c r="AY70" s="133"/>
      <c r="AZ70" s="133"/>
      <c r="BA70" s="133"/>
      <c r="BB70" s="133"/>
      <c r="BC70" s="133"/>
      <c r="BD70" s="133"/>
      <c r="BE70" s="133"/>
      <c r="BF70" s="133"/>
      <c r="BG70" s="133"/>
      <c r="BH70" s="133"/>
      <c r="BI70" s="133"/>
      <c r="BJ70" s="133"/>
      <c r="BK70" s="133"/>
      <c r="BL70" s="133"/>
      <c r="BM70" s="133"/>
      <c r="BN70" s="133"/>
      <c r="BO70" s="133"/>
      <c r="BP70" s="133"/>
      <c r="BQ70" s="133"/>
      <c r="BR70" s="133"/>
      <c r="BS70" s="133"/>
      <c r="BT70" s="133"/>
      <c r="BU70" s="133"/>
      <c r="BV70" s="133"/>
      <c r="BW70" s="133"/>
      <c r="BX70" s="133"/>
      <c r="BY70" s="133"/>
      <c r="BZ70" s="133"/>
      <c r="CA70" s="133"/>
      <c r="CB70" s="133"/>
      <c r="CC70" s="133"/>
      <c r="CD70" s="133"/>
      <c r="CE70" s="133"/>
      <c r="CF70" s="133"/>
      <c r="CG70" s="133"/>
      <c r="CH70" s="133"/>
      <c r="CI70" s="133"/>
      <c r="CJ70" s="133"/>
      <c r="CK70" s="133"/>
      <c r="CL70" s="133"/>
      <c r="CM70" s="133"/>
      <c r="CN70" s="133"/>
      <c r="CO70" s="133"/>
      <c r="CP70" s="133"/>
      <c r="CQ70" s="133"/>
      <c r="CR70" s="133"/>
      <c r="CS70" s="133"/>
      <c r="CT70" s="133"/>
      <c r="CU70" s="133"/>
      <c r="CV70" s="133"/>
      <c r="CW70" s="133"/>
      <c r="CX70" s="133"/>
      <c r="CY70" s="133"/>
      <c r="CZ70" s="133"/>
      <c r="DA70" s="133"/>
      <c r="DB70" s="133"/>
      <c r="DC70" s="133"/>
      <c r="DD70" s="133"/>
      <c r="DE70" s="133"/>
      <c r="DF70" s="133"/>
      <c r="DG70" s="133"/>
      <c r="DH70" s="133"/>
      <c r="DI70" s="133"/>
      <c r="DJ70" s="133"/>
      <c r="DK70" s="133"/>
      <c r="DL70" s="133"/>
      <c r="DM70" s="133"/>
      <c r="DN70" s="133"/>
      <c r="DO70" s="133"/>
      <c r="DP70" s="133">
        <v>0</v>
      </c>
      <c r="DQ70" s="133">
        <v>0</v>
      </c>
      <c r="DR70" s="133"/>
      <c r="DS70" s="133">
        <v>0</v>
      </c>
      <c r="DT70" s="133">
        <v>0</v>
      </c>
      <c r="DU70" s="133"/>
      <c r="DV70" s="133"/>
      <c r="DW70" s="133"/>
      <c r="DX70" s="133">
        <v>0</v>
      </c>
      <c r="DY70" s="133"/>
      <c r="DZ70" s="133">
        <v>0</v>
      </c>
      <c r="EA70" s="133"/>
      <c r="EB70" s="133"/>
      <c r="EC70" s="133"/>
      <c r="ED70" s="133"/>
      <c r="EE70" s="133"/>
      <c r="EF70" s="133"/>
      <c r="EG70" s="133"/>
      <c r="EH70" s="133"/>
      <c r="EI70" s="133"/>
      <c r="EJ70" s="133"/>
      <c r="EK70" s="133"/>
      <c r="EL70" s="133"/>
      <c r="EM70" s="133"/>
      <c r="EN70" s="133"/>
      <c r="EO70" s="133"/>
      <c r="EP70" s="133"/>
      <c r="EQ70" s="133"/>
      <c r="ER70" s="133"/>
      <c r="ES70" s="133"/>
      <c r="ET70" s="133"/>
      <c r="EU70" s="133"/>
      <c r="EV70" s="133">
        <v>0</v>
      </c>
    </row>
    <row r="71" spans="1:152">
      <c r="A71" s="270" t="s">
        <v>173</v>
      </c>
      <c r="B71" s="133"/>
      <c r="C71" s="133"/>
      <c r="D71" s="133"/>
      <c r="E71" s="133"/>
      <c r="F71" s="133"/>
      <c r="G71" s="133"/>
      <c r="H71" s="133">
        <v>4369.7998032407404</v>
      </c>
      <c r="I71" s="133"/>
      <c r="J71" s="133"/>
      <c r="K71" s="133"/>
      <c r="L71" s="133"/>
      <c r="M71" s="133"/>
      <c r="N71" s="133"/>
      <c r="O71" s="133"/>
      <c r="P71" s="133"/>
      <c r="Q71" s="133"/>
      <c r="R71" s="133"/>
      <c r="S71" s="133"/>
      <c r="T71" s="133"/>
      <c r="U71" s="133"/>
      <c r="V71" s="133"/>
      <c r="W71" s="133"/>
      <c r="X71" s="133"/>
      <c r="Y71" s="133"/>
      <c r="Z71" s="133"/>
      <c r="AA71" s="133"/>
      <c r="AB71" s="133"/>
      <c r="AC71" s="133"/>
      <c r="AD71" s="133"/>
      <c r="AE71" s="133"/>
      <c r="AF71" s="133"/>
      <c r="AG71" s="133"/>
      <c r="AH71" s="133"/>
      <c r="AI71" s="133"/>
      <c r="AJ71" s="133"/>
      <c r="AK71" s="133"/>
      <c r="AL71" s="133"/>
      <c r="AM71" s="133"/>
      <c r="AN71" s="133"/>
      <c r="AO71" s="133"/>
      <c r="AP71" s="133"/>
      <c r="AQ71" s="133"/>
      <c r="AR71" s="133"/>
      <c r="AS71" s="133"/>
      <c r="AT71" s="133"/>
      <c r="AU71" s="133"/>
      <c r="AV71" s="133"/>
      <c r="AW71" s="133"/>
      <c r="AX71" s="133"/>
      <c r="AY71" s="133"/>
      <c r="AZ71" s="133"/>
      <c r="BA71" s="133"/>
      <c r="BB71" s="133"/>
      <c r="BC71" s="133"/>
      <c r="BD71" s="133"/>
      <c r="BE71" s="133"/>
      <c r="BF71" s="133"/>
      <c r="BG71" s="133"/>
      <c r="BH71" s="133"/>
      <c r="BI71" s="133">
        <v>4369.7998032407404</v>
      </c>
      <c r="BJ71" s="133"/>
      <c r="BK71" s="133"/>
      <c r="BL71" s="133"/>
      <c r="BM71" s="133"/>
      <c r="BN71" s="133"/>
      <c r="BO71" s="133"/>
      <c r="BP71" s="133"/>
      <c r="BQ71" s="133"/>
      <c r="BR71" s="133"/>
      <c r="BS71" s="133"/>
      <c r="BT71" s="133"/>
      <c r="BU71" s="133"/>
      <c r="BV71" s="133"/>
      <c r="BW71" s="133"/>
      <c r="BX71" s="133"/>
      <c r="BY71" s="133"/>
      <c r="BZ71" s="133"/>
      <c r="CA71" s="133"/>
      <c r="CB71" s="133"/>
      <c r="CC71" s="133"/>
      <c r="CD71" s="133"/>
      <c r="CE71" s="133"/>
      <c r="CF71" s="133"/>
      <c r="CG71" s="133"/>
      <c r="CH71" s="133"/>
      <c r="CI71" s="133"/>
      <c r="CJ71" s="133"/>
      <c r="CK71" s="133"/>
      <c r="CL71" s="133"/>
      <c r="CM71" s="133"/>
      <c r="CN71" s="133"/>
      <c r="CO71" s="133"/>
      <c r="CP71" s="133"/>
      <c r="CQ71" s="133"/>
      <c r="CR71" s="133"/>
      <c r="CS71" s="133"/>
      <c r="CT71" s="133"/>
      <c r="CU71" s="133"/>
      <c r="CV71" s="133"/>
      <c r="CW71" s="133"/>
      <c r="CX71" s="133"/>
      <c r="CY71" s="133"/>
      <c r="CZ71" s="133"/>
      <c r="DA71" s="133"/>
      <c r="DB71" s="133"/>
      <c r="DC71" s="133"/>
      <c r="DD71" s="133"/>
      <c r="DE71" s="133"/>
      <c r="DF71" s="133"/>
      <c r="DG71" s="133"/>
      <c r="DH71" s="133"/>
      <c r="DI71" s="133"/>
      <c r="DJ71" s="133"/>
      <c r="DK71" s="133"/>
      <c r="DL71" s="133"/>
      <c r="DM71" s="133"/>
      <c r="DN71" s="133"/>
      <c r="DO71" s="133"/>
      <c r="DP71" s="133"/>
      <c r="DQ71" s="133"/>
      <c r="DR71" s="133"/>
      <c r="DS71" s="133"/>
      <c r="DT71" s="133"/>
      <c r="DU71" s="133"/>
      <c r="DV71" s="133"/>
      <c r="DW71" s="133">
        <v>0</v>
      </c>
      <c r="DX71" s="133"/>
      <c r="DY71" s="133"/>
      <c r="DZ71" s="133"/>
      <c r="EA71" s="133">
        <v>4369.7998032407404</v>
      </c>
      <c r="EB71" s="133">
        <v>0</v>
      </c>
      <c r="EC71" s="133">
        <v>0</v>
      </c>
      <c r="ED71" s="133">
        <v>0</v>
      </c>
      <c r="EE71" s="133">
        <v>0</v>
      </c>
      <c r="EF71" s="133">
        <v>0</v>
      </c>
      <c r="EG71" s="133">
        <v>0</v>
      </c>
      <c r="EH71" s="133"/>
      <c r="EI71" s="133"/>
      <c r="EJ71" s="133">
        <v>4244.7998032407404</v>
      </c>
      <c r="EK71" s="133">
        <v>3998.60009259259</v>
      </c>
      <c r="EL71" s="133">
        <v>0</v>
      </c>
      <c r="EM71" s="133"/>
      <c r="EN71" s="133"/>
      <c r="EO71" s="133"/>
      <c r="EP71" s="133"/>
      <c r="EQ71" s="133"/>
      <c r="ER71" s="133"/>
      <c r="ES71" s="133"/>
      <c r="ET71" s="133"/>
      <c r="EU71" s="133"/>
      <c r="EV71" s="133">
        <v>4369.7998032407404</v>
      </c>
    </row>
    <row r="72" spans="1:152">
      <c r="A72" s="269" t="s">
        <v>156</v>
      </c>
      <c r="B72" s="133"/>
      <c r="C72" s="133">
        <v>0</v>
      </c>
      <c r="D72" s="133"/>
      <c r="E72" s="133">
        <v>0</v>
      </c>
      <c r="F72" s="133">
        <v>4833.10009259259</v>
      </c>
      <c r="G72" s="133">
        <v>4756.5</v>
      </c>
      <c r="H72" s="133">
        <v>4833.10009259259</v>
      </c>
      <c r="I72" s="133">
        <v>4765.2998032407404</v>
      </c>
      <c r="J72" s="133">
        <v>4833.10009259259</v>
      </c>
      <c r="K72" s="133">
        <v>4777.2998032407404</v>
      </c>
      <c r="L72" s="133">
        <v>4777.2998032407404</v>
      </c>
      <c r="M72" s="133"/>
      <c r="N72" s="133">
        <v>4765.2998032407404</v>
      </c>
      <c r="O72" s="133"/>
      <c r="P72" s="133">
        <v>0</v>
      </c>
      <c r="Q72" s="133">
        <v>0</v>
      </c>
      <c r="R72" s="133">
        <v>0</v>
      </c>
      <c r="S72" s="133">
        <v>0</v>
      </c>
      <c r="T72" s="133"/>
      <c r="U72" s="133">
        <v>4806.5</v>
      </c>
      <c r="V72" s="133">
        <v>4806.5</v>
      </c>
      <c r="W72" s="133"/>
      <c r="X72" s="133">
        <v>4806.5</v>
      </c>
      <c r="Y72" s="133">
        <v>4756.5</v>
      </c>
      <c r="Z72" s="133">
        <v>4756.5</v>
      </c>
      <c r="AA72" s="133">
        <v>0</v>
      </c>
      <c r="AB72" s="133">
        <v>4762.5</v>
      </c>
      <c r="AC72" s="133">
        <v>0</v>
      </c>
      <c r="AD72" s="133">
        <v>4756.5</v>
      </c>
      <c r="AE72" s="133">
        <v>4756.5</v>
      </c>
      <c r="AF72" s="133">
        <v>4756.5</v>
      </c>
      <c r="AG72" s="133">
        <v>4756.5</v>
      </c>
      <c r="AH72" s="133">
        <v>0</v>
      </c>
      <c r="AI72" s="133">
        <v>4756.5</v>
      </c>
      <c r="AJ72" s="133">
        <v>4756.5</v>
      </c>
      <c r="AK72" s="133">
        <v>4693.2001967592596</v>
      </c>
      <c r="AL72" s="133">
        <v>4756.5</v>
      </c>
      <c r="AM72" s="133">
        <v>4756.5</v>
      </c>
      <c r="AN72" s="133">
        <v>4756.5</v>
      </c>
      <c r="AO72" s="133">
        <v>4756.5</v>
      </c>
      <c r="AP72" s="133">
        <v>4756.5</v>
      </c>
      <c r="AQ72" s="133">
        <v>4756.5</v>
      </c>
      <c r="AR72" s="133">
        <v>4756.5</v>
      </c>
      <c r="AS72" s="133">
        <v>4756.5</v>
      </c>
      <c r="AT72" s="133"/>
      <c r="AU72" s="133"/>
      <c r="AV72" s="133">
        <v>4756.5</v>
      </c>
      <c r="AW72" s="133">
        <v>4756.5</v>
      </c>
      <c r="AX72" s="133">
        <v>4756.5</v>
      </c>
      <c r="AY72" s="133">
        <v>4756.5</v>
      </c>
      <c r="AZ72" s="133"/>
      <c r="BA72" s="133"/>
      <c r="BB72" s="133">
        <v>4756.5</v>
      </c>
      <c r="BC72" s="133">
        <v>4756.5</v>
      </c>
      <c r="BD72" s="133">
        <v>0</v>
      </c>
      <c r="BE72" s="133">
        <v>0</v>
      </c>
      <c r="BF72" s="133">
        <v>0</v>
      </c>
      <c r="BG72" s="133">
        <v>0</v>
      </c>
      <c r="BH72" s="133">
        <v>0</v>
      </c>
      <c r="BI72" s="133">
        <v>4756.5</v>
      </c>
      <c r="BJ72" s="133">
        <v>0</v>
      </c>
      <c r="BK72" s="133">
        <v>0</v>
      </c>
      <c r="BL72" s="133">
        <v>0</v>
      </c>
      <c r="BM72" s="133">
        <v>0</v>
      </c>
      <c r="BN72" s="133">
        <v>0</v>
      </c>
      <c r="BO72" s="133">
        <v>0</v>
      </c>
      <c r="BP72" s="133">
        <v>0</v>
      </c>
      <c r="BQ72" s="133"/>
      <c r="BR72" s="133"/>
      <c r="BS72" s="133">
        <v>0</v>
      </c>
      <c r="BT72" s="133"/>
      <c r="BU72" s="133"/>
      <c r="BV72" s="133"/>
      <c r="BW72" s="133"/>
      <c r="BX72" s="133"/>
      <c r="BY72" s="133"/>
      <c r="BZ72" s="133"/>
      <c r="CA72" s="133"/>
      <c r="CB72" s="133"/>
      <c r="CC72" s="133"/>
      <c r="CD72" s="133"/>
      <c r="CE72" s="133"/>
      <c r="CF72" s="133">
        <v>0</v>
      </c>
      <c r="CG72" s="133"/>
      <c r="CH72" s="133"/>
      <c r="CI72" s="133"/>
      <c r="CJ72" s="133"/>
      <c r="CK72" s="133"/>
      <c r="CL72" s="133"/>
      <c r="CM72" s="133"/>
      <c r="CN72" s="133">
        <v>0</v>
      </c>
      <c r="CO72" s="133"/>
      <c r="CP72" s="133"/>
      <c r="CQ72" s="133"/>
      <c r="CR72" s="133"/>
      <c r="CS72" s="133"/>
      <c r="CT72" s="133"/>
      <c r="CU72" s="133"/>
      <c r="CV72" s="133"/>
      <c r="CW72" s="133">
        <v>4756.5</v>
      </c>
      <c r="CX72" s="133">
        <v>4756.5</v>
      </c>
      <c r="CY72" s="133">
        <v>4756.5</v>
      </c>
      <c r="CZ72" s="133">
        <v>4756.5</v>
      </c>
      <c r="DA72" s="133">
        <v>4756.5</v>
      </c>
      <c r="DB72" s="133">
        <v>0</v>
      </c>
      <c r="DC72" s="133"/>
      <c r="DD72" s="133"/>
      <c r="DE72" s="133"/>
      <c r="DF72" s="133"/>
      <c r="DG72" s="133"/>
      <c r="DH72" s="133"/>
      <c r="DI72" s="133"/>
      <c r="DJ72" s="133"/>
      <c r="DK72" s="133">
        <v>0</v>
      </c>
      <c r="DL72" s="133"/>
      <c r="DM72" s="133">
        <v>0</v>
      </c>
      <c r="DN72" s="133">
        <v>0</v>
      </c>
      <c r="DO72" s="133">
        <v>0</v>
      </c>
      <c r="DP72" s="133">
        <v>0</v>
      </c>
      <c r="DQ72" s="133">
        <v>0</v>
      </c>
      <c r="DR72" s="133"/>
      <c r="DS72" s="133">
        <v>0</v>
      </c>
      <c r="DT72" s="133">
        <v>0</v>
      </c>
      <c r="DU72" s="133"/>
      <c r="DV72" s="133"/>
      <c r="DW72" s="133">
        <v>0</v>
      </c>
      <c r="DX72" s="133">
        <v>0</v>
      </c>
      <c r="DY72" s="133"/>
      <c r="DZ72" s="133"/>
      <c r="EA72" s="133">
        <v>4756.5</v>
      </c>
      <c r="EB72" s="133">
        <v>0</v>
      </c>
      <c r="EC72" s="133">
        <v>0</v>
      </c>
      <c r="ED72" s="133">
        <v>0</v>
      </c>
      <c r="EE72" s="133">
        <v>0</v>
      </c>
      <c r="EF72" s="133">
        <v>0</v>
      </c>
      <c r="EG72" s="133">
        <v>0</v>
      </c>
      <c r="EH72" s="133">
        <v>0</v>
      </c>
      <c r="EI72" s="133">
        <v>4756.5</v>
      </c>
      <c r="EJ72" s="133">
        <v>4756.5</v>
      </c>
      <c r="EK72" s="133">
        <v>4756.5</v>
      </c>
      <c r="EL72" s="133"/>
      <c r="EM72" s="133"/>
      <c r="EN72" s="133"/>
      <c r="EO72" s="133"/>
      <c r="EP72" s="133"/>
      <c r="EQ72" s="133"/>
      <c r="ER72" s="133"/>
      <c r="ES72" s="133"/>
      <c r="ET72" s="133"/>
      <c r="EU72" s="133"/>
      <c r="EV72" s="133">
        <v>4833.10009259259</v>
      </c>
    </row>
    <row r="73" spans="1:152">
      <c r="A73" s="270" t="s">
        <v>87</v>
      </c>
      <c r="B73" s="133"/>
      <c r="C73" s="133">
        <v>0</v>
      </c>
      <c r="D73" s="133"/>
      <c r="E73" s="133"/>
      <c r="F73" s="133">
        <v>4833.10009259259</v>
      </c>
      <c r="G73" s="133">
        <v>4756.5</v>
      </c>
      <c r="H73" s="133">
        <v>4833.10009259259</v>
      </c>
      <c r="I73" s="133">
        <v>4765.2998032407404</v>
      </c>
      <c r="J73" s="133">
        <v>4833.10009259259</v>
      </c>
      <c r="K73" s="133">
        <v>4777.2998032407404</v>
      </c>
      <c r="L73" s="133">
        <v>4777.2998032407404</v>
      </c>
      <c r="M73" s="133"/>
      <c r="N73" s="133">
        <v>4765.2998032407404</v>
      </c>
      <c r="O73" s="133"/>
      <c r="P73" s="133">
        <v>0</v>
      </c>
      <c r="Q73" s="133">
        <v>0</v>
      </c>
      <c r="R73" s="133">
        <v>0</v>
      </c>
      <c r="S73" s="133">
        <v>0</v>
      </c>
      <c r="T73" s="133"/>
      <c r="U73" s="133">
        <v>4806.5</v>
      </c>
      <c r="V73" s="133">
        <v>4806.5</v>
      </c>
      <c r="W73" s="133"/>
      <c r="X73" s="133">
        <v>4806.5</v>
      </c>
      <c r="Y73" s="133">
        <v>4756.5</v>
      </c>
      <c r="Z73" s="133">
        <v>4756.5</v>
      </c>
      <c r="AA73" s="133">
        <v>0</v>
      </c>
      <c r="AB73" s="133">
        <v>4762.5</v>
      </c>
      <c r="AC73" s="133">
        <v>0</v>
      </c>
      <c r="AD73" s="133">
        <v>4756.5</v>
      </c>
      <c r="AE73" s="133">
        <v>4756.5</v>
      </c>
      <c r="AF73" s="133">
        <v>4756.5</v>
      </c>
      <c r="AG73" s="133">
        <v>4756.5</v>
      </c>
      <c r="AH73" s="133">
        <v>0</v>
      </c>
      <c r="AI73" s="133">
        <v>4756.5</v>
      </c>
      <c r="AJ73" s="133">
        <v>4756.5</v>
      </c>
      <c r="AK73" s="133">
        <v>4693.2001967592596</v>
      </c>
      <c r="AL73" s="133">
        <v>4756.5</v>
      </c>
      <c r="AM73" s="133">
        <v>4756.5</v>
      </c>
      <c r="AN73" s="133">
        <v>4756.5</v>
      </c>
      <c r="AO73" s="133">
        <v>4756.5</v>
      </c>
      <c r="AP73" s="133">
        <v>4756.5</v>
      </c>
      <c r="AQ73" s="133">
        <v>4756.5</v>
      </c>
      <c r="AR73" s="133">
        <v>4756.5</v>
      </c>
      <c r="AS73" s="133">
        <v>4756.5</v>
      </c>
      <c r="AT73" s="133"/>
      <c r="AU73" s="133"/>
      <c r="AV73" s="133">
        <v>4756.5</v>
      </c>
      <c r="AW73" s="133">
        <v>4756.5</v>
      </c>
      <c r="AX73" s="133">
        <v>4756.5</v>
      </c>
      <c r="AY73" s="133">
        <v>4756.5</v>
      </c>
      <c r="AZ73" s="133"/>
      <c r="BA73" s="133"/>
      <c r="BB73" s="133">
        <v>4756.5</v>
      </c>
      <c r="BC73" s="133">
        <v>4756.5</v>
      </c>
      <c r="BD73" s="133">
        <v>0</v>
      </c>
      <c r="BE73" s="133">
        <v>0</v>
      </c>
      <c r="BF73" s="133">
        <v>0</v>
      </c>
      <c r="BG73" s="133">
        <v>0</v>
      </c>
      <c r="BH73" s="133">
        <v>0</v>
      </c>
      <c r="BI73" s="133">
        <v>0</v>
      </c>
      <c r="BJ73" s="133">
        <v>0</v>
      </c>
      <c r="BK73" s="133">
        <v>0</v>
      </c>
      <c r="BL73" s="133">
        <v>0</v>
      </c>
      <c r="BM73" s="133">
        <v>0</v>
      </c>
      <c r="BN73" s="133">
        <v>0</v>
      </c>
      <c r="BO73" s="133">
        <v>0</v>
      </c>
      <c r="BP73" s="133">
        <v>0</v>
      </c>
      <c r="BQ73" s="133"/>
      <c r="BR73" s="133"/>
      <c r="BS73" s="133">
        <v>0</v>
      </c>
      <c r="BT73" s="133"/>
      <c r="BU73" s="133"/>
      <c r="BV73" s="133"/>
      <c r="BW73" s="133"/>
      <c r="BX73" s="133"/>
      <c r="BY73" s="133"/>
      <c r="BZ73" s="133"/>
      <c r="CA73" s="133"/>
      <c r="CB73" s="133"/>
      <c r="CC73" s="133"/>
      <c r="CD73" s="133"/>
      <c r="CE73" s="133"/>
      <c r="CF73" s="133">
        <v>0</v>
      </c>
      <c r="CG73" s="133"/>
      <c r="CH73" s="133"/>
      <c r="CI73" s="133"/>
      <c r="CJ73" s="133"/>
      <c r="CK73" s="133"/>
      <c r="CL73" s="133"/>
      <c r="CM73" s="133"/>
      <c r="CN73" s="133">
        <v>0</v>
      </c>
      <c r="CO73" s="133"/>
      <c r="CP73" s="133"/>
      <c r="CQ73" s="133"/>
      <c r="CR73" s="133"/>
      <c r="CS73" s="133"/>
      <c r="CT73" s="133"/>
      <c r="CU73" s="133"/>
      <c r="CV73" s="133"/>
      <c r="CW73" s="133">
        <v>4756.5</v>
      </c>
      <c r="CX73" s="133">
        <v>4756.5</v>
      </c>
      <c r="CY73" s="133">
        <v>4756.5</v>
      </c>
      <c r="CZ73" s="133">
        <v>4756.5</v>
      </c>
      <c r="DA73" s="133">
        <v>4756.5</v>
      </c>
      <c r="DB73" s="133">
        <v>0</v>
      </c>
      <c r="DC73" s="133"/>
      <c r="DD73" s="133"/>
      <c r="DE73" s="133"/>
      <c r="DF73" s="133"/>
      <c r="DG73" s="133"/>
      <c r="DH73" s="133"/>
      <c r="DI73" s="133"/>
      <c r="DJ73" s="133"/>
      <c r="DK73" s="133">
        <v>0</v>
      </c>
      <c r="DL73" s="133"/>
      <c r="DM73" s="133"/>
      <c r="DN73" s="133"/>
      <c r="DO73" s="133"/>
      <c r="DP73" s="133"/>
      <c r="DQ73" s="133"/>
      <c r="DR73" s="133"/>
      <c r="DS73" s="133"/>
      <c r="DT73" s="133"/>
      <c r="DU73" s="133"/>
      <c r="DV73" s="133"/>
      <c r="DW73" s="133"/>
      <c r="DX73" s="133"/>
      <c r="DY73" s="133"/>
      <c r="DZ73" s="133"/>
      <c r="EA73" s="133"/>
      <c r="EB73" s="133"/>
      <c r="EC73" s="133"/>
      <c r="ED73" s="133"/>
      <c r="EE73" s="133"/>
      <c r="EF73" s="133"/>
      <c r="EG73" s="133"/>
      <c r="EH73" s="133"/>
      <c r="EI73" s="133"/>
      <c r="EJ73" s="133"/>
      <c r="EK73" s="133"/>
      <c r="EL73" s="133"/>
      <c r="EM73" s="133"/>
      <c r="EN73" s="133"/>
      <c r="EO73" s="133"/>
      <c r="EP73" s="133"/>
      <c r="EQ73" s="133"/>
      <c r="ER73" s="133"/>
      <c r="ES73" s="133"/>
      <c r="ET73" s="133"/>
      <c r="EU73" s="133"/>
      <c r="EV73" s="133">
        <v>4833.10009259259</v>
      </c>
    </row>
    <row r="74" spans="1:152">
      <c r="A74" s="270" t="s">
        <v>172</v>
      </c>
      <c r="B74" s="133"/>
      <c r="C74" s="133"/>
      <c r="D74" s="133"/>
      <c r="E74" s="133">
        <v>0</v>
      </c>
      <c r="F74" s="133"/>
      <c r="G74" s="133"/>
      <c r="H74" s="133"/>
      <c r="I74" s="133"/>
      <c r="J74" s="133"/>
      <c r="K74" s="133"/>
      <c r="L74" s="133"/>
      <c r="M74" s="133"/>
      <c r="N74" s="133"/>
      <c r="O74" s="133"/>
      <c r="P74" s="133">
        <v>0</v>
      </c>
      <c r="Q74" s="133"/>
      <c r="R74" s="133"/>
      <c r="S74" s="133"/>
      <c r="T74" s="133"/>
      <c r="U74" s="133"/>
      <c r="V74" s="133">
        <v>0</v>
      </c>
      <c r="W74" s="133"/>
      <c r="X74" s="133"/>
      <c r="Y74" s="133"/>
      <c r="Z74" s="133"/>
      <c r="AA74" s="133"/>
      <c r="AB74" s="133"/>
      <c r="AC74" s="133"/>
      <c r="AD74" s="133"/>
      <c r="AE74" s="133"/>
      <c r="AF74" s="133"/>
      <c r="AG74" s="133"/>
      <c r="AH74" s="133"/>
      <c r="AI74" s="133"/>
      <c r="AJ74" s="133"/>
      <c r="AK74" s="133"/>
      <c r="AL74" s="133"/>
      <c r="AM74" s="133"/>
      <c r="AN74" s="133"/>
      <c r="AO74" s="133"/>
      <c r="AP74" s="133"/>
      <c r="AQ74" s="133"/>
      <c r="AR74" s="133"/>
      <c r="AS74" s="133"/>
      <c r="AT74" s="133"/>
      <c r="AU74" s="133"/>
      <c r="AV74" s="133"/>
      <c r="AW74" s="133"/>
      <c r="AX74" s="133"/>
      <c r="AY74" s="133"/>
      <c r="AZ74" s="133"/>
      <c r="BA74" s="133"/>
      <c r="BB74" s="133"/>
      <c r="BC74" s="133"/>
      <c r="BD74" s="133"/>
      <c r="BE74" s="133"/>
      <c r="BF74" s="133"/>
      <c r="BG74" s="133"/>
      <c r="BH74" s="133"/>
      <c r="BI74" s="133"/>
      <c r="BJ74" s="133"/>
      <c r="BK74" s="133"/>
      <c r="BL74" s="133"/>
      <c r="BM74" s="133"/>
      <c r="BN74" s="133"/>
      <c r="BO74" s="133"/>
      <c r="BP74" s="133"/>
      <c r="BQ74" s="133"/>
      <c r="BR74" s="133"/>
      <c r="BS74" s="133"/>
      <c r="BT74" s="133"/>
      <c r="BU74" s="133"/>
      <c r="BV74" s="133"/>
      <c r="BW74" s="133"/>
      <c r="BX74" s="133"/>
      <c r="BY74" s="133"/>
      <c r="BZ74" s="133"/>
      <c r="CA74" s="133"/>
      <c r="CB74" s="133"/>
      <c r="CC74" s="133"/>
      <c r="CD74" s="133"/>
      <c r="CE74" s="133"/>
      <c r="CF74" s="133"/>
      <c r="CG74" s="133"/>
      <c r="CH74" s="133"/>
      <c r="CI74" s="133"/>
      <c r="CJ74" s="133"/>
      <c r="CK74" s="133"/>
      <c r="CL74" s="133"/>
      <c r="CM74" s="133"/>
      <c r="CN74" s="133"/>
      <c r="CO74" s="133"/>
      <c r="CP74" s="133"/>
      <c r="CQ74" s="133"/>
      <c r="CR74" s="133"/>
      <c r="CS74" s="133"/>
      <c r="CT74" s="133"/>
      <c r="CU74" s="133"/>
      <c r="CV74" s="133"/>
      <c r="CW74" s="133"/>
      <c r="CX74" s="133"/>
      <c r="CY74" s="133"/>
      <c r="CZ74" s="133"/>
      <c r="DA74" s="133"/>
      <c r="DB74" s="133"/>
      <c r="DC74" s="133"/>
      <c r="DD74" s="133"/>
      <c r="DE74" s="133"/>
      <c r="DF74" s="133"/>
      <c r="DG74" s="133"/>
      <c r="DH74" s="133"/>
      <c r="DI74" s="133"/>
      <c r="DJ74" s="133"/>
      <c r="DK74" s="133"/>
      <c r="DL74" s="133"/>
      <c r="DM74" s="133">
        <v>0</v>
      </c>
      <c r="DN74" s="133">
        <v>0</v>
      </c>
      <c r="DO74" s="133">
        <v>0</v>
      </c>
      <c r="DP74" s="133">
        <v>0</v>
      </c>
      <c r="DQ74" s="133">
        <v>0</v>
      </c>
      <c r="DR74" s="133"/>
      <c r="DS74" s="133">
        <v>0</v>
      </c>
      <c r="DT74" s="133">
        <v>0</v>
      </c>
      <c r="DU74" s="133"/>
      <c r="DV74" s="133"/>
      <c r="DW74" s="133"/>
      <c r="DX74" s="133">
        <v>0</v>
      </c>
      <c r="DY74" s="133"/>
      <c r="DZ74" s="133"/>
      <c r="EA74" s="133"/>
      <c r="EB74" s="133"/>
      <c r="EC74" s="133"/>
      <c r="ED74" s="133"/>
      <c r="EE74" s="133"/>
      <c r="EF74" s="133"/>
      <c r="EG74" s="133"/>
      <c r="EH74" s="133"/>
      <c r="EI74" s="133"/>
      <c r="EJ74" s="133"/>
      <c r="EK74" s="133"/>
      <c r="EL74" s="133"/>
      <c r="EM74" s="133"/>
      <c r="EN74" s="133"/>
      <c r="EO74" s="133"/>
      <c r="EP74" s="133"/>
      <c r="EQ74" s="133"/>
      <c r="ER74" s="133"/>
      <c r="ES74" s="133"/>
      <c r="ET74" s="133"/>
      <c r="EU74" s="133"/>
      <c r="EV74" s="133">
        <v>0</v>
      </c>
    </row>
    <row r="75" spans="1:152">
      <c r="A75" s="270" t="s">
        <v>173</v>
      </c>
      <c r="B75" s="133"/>
      <c r="C75" s="133"/>
      <c r="D75" s="133"/>
      <c r="E75" s="133"/>
      <c r="F75" s="133"/>
      <c r="G75" s="133"/>
      <c r="H75" s="133">
        <v>4756.5</v>
      </c>
      <c r="I75" s="133"/>
      <c r="J75" s="133"/>
      <c r="K75" s="133"/>
      <c r="L75" s="133"/>
      <c r="M75" s="133"/>
      <c r="N75" s="133"/>
      <c r="O75" s="133"/>
      <c r="P75" s="133"/>
      <c r="Q75" s="133"/>
      <c r="R75" s="133"/>
      <c r="S75" s="133"/>
      <c r="T75" s="133"/>
      <c r="U75" s="133"/>
      <c r="V75" s="133"/>
      <c r="W75" s="133"/>
      <c r="X75" s="133"/>
      <c r="Y75" s="133"/>
      <c r="Z75" s="133"/>
      <c r="AA75" s="133"/>
      <c r="AB75" s="133"/>
      <c r="AC75" s="133"/>
      <c r="AD75" s="133"/>
      <c r="AE75" s="133"/>
      <c r="AF75" s="133"/>
      <c r="AG75" s="133"/>
      <c r="AH75" s="133"/>
      <c r="AI75" s="133"/>
      <c r="AJ75" s="133"/>
      <c r="AK75" s="133"/>
      <c r="AL75" s="133"/>
      <c r="AM75" s="133"/>
      <c r="AN75" s="133"/>
      <c r="AO75" s="133"/>
      <c r="AP75" s="133"/>
      <c r="AQ75" s="133"/>
      <c r="AR75" s="133"/>
      <c r="AS75" s="133"/>
      <c r="AT75" s="133"/>
      <c r="AU75" s="133"/>
      <c r="AV75" s="133"/>
      <c r="AW75" s="133"/>
      <c r="AX75" s="133"/>
      <c r="AY75" s="133"/>
      <c r="AZ75" s="133"/>
      <c r="BA75" s="133"/>
      <c r="BB75" s="133"/>
      <c r="BC75" s="133"/>
      <c r="BD75" s="133"/>
      <c r="BE75" s="133"/>
      <c r="BF75" s="133"/>
      <c r="BG75" s="133"/>
      <c r="BH75" s="133"/>
      <c r="BI75" s="133">
        <v>4756.5</v>
      </c>
      <c r="BJ75" s="133"/>
      <c r="BK75" s="133"/>
      <c r="BL75" s="133"/>
      <c r="BM75" s="133"/>
      <c r="BN75" s="133"/>
      <c r="BO75" s="133"/>
      <c r="BP75" s="133"/>
      <c r="BQ75" s="133"/>
      <c r="BR75" s="133"/>
      <c r="BS75" s="133"/>
      <c r="BT75" s="133"/>
      <c r="BU75" s="133"/>
      <c r="BV75" s="133"/>
      <c r="BW75" s="133"/>
      <c r="BX75" s="133"/>
      <c r="BY75" s="133"/>
      <c r="BZ75" s="133"/>
      <c r="CA75" s="133"/>
      <c r="CB75" s="133"/>
      <c r="CC75" s="133"/>
      <c r="CD75" s="133"/>
      <c r="CE75" s="133"/>
      <c r="CF75" s="133"/>
      <c r="CG75" s="133"/>
      <c r="CH75" s="133"/>
      <c r="CI75" s="133"/>
      <c r="CJ75" s="133"/>
      <c r="CK75" s="133"/>
      <c r="CL75" s="133"/>
      <c r="CM75" s="133"/>
      <c r="CN75" s="133"/>
      <c r="CO75" s="133"/>
      <c r="CP75" s="133"/>
      <c r="CQ75" s="133"/>
      <c r="CR75" s="133"/>
      <c r="CS75" s="133"/>
      <c r="CT75" s="133"/>
      <c r="CU75" s="133"/>
      <c r="CV75" s="133"/>
      <c r="CW75" s="133"/>
      <c r="CX75" s="133"/>
      <c r="CY75" s="133"/>
      <c r="CZ75" s="133"/>
      <c r="DA75" s="133"/>
      <c r="DB75" s="133"/>
      <c r="DC75" s="133"/>
      <c r="DD75" s="133"/>
      <c r="DE75" s="133"/>
      <c r="DF75" s="133"/>
      <c r="DG75" s="133"/>
      <c r="DH75" s="133"/>
      <c r="DI75" s="133"/>
      <c r="DJ75" s="133"/>
      <c r="DK75" s="133"/>
      <c r="DL75" s="133"/>
      <c r="DM75" s="133"/>
      <c r="DN75" s="133"/>
      <c r="DO75" s="133"/>
      <c r="DP75" s="133"/>
      <c r="DQ75" s="133"/>
      <c r="DR75" s="133"/>
      <c r="DS75" s="133"/>
      <c r="DT75" s="133"/>
      <c r="DU75" s="133"/>
      <c r="DV75" s="133"/>
      <c r="DW75" s="133">
        <v>0</v>
      </c>
      <c r="DX75" s="133"/>
      <c r="DY75" s="133"/>
      <c r="DZ75" s="133"/>
      <c r="EA75" s="133">
        <v>4756.5</v>
      </c>
      <c r="EB75" s="133">
        <v>0</v>
      </c>
      <c r="EC75" s="133">
        <v>0</v>
      </c>
      <c r="ED75" s="133">
        <v>0</v>
      </c>
      <c r="EE75" s="133">
        <v>0</v>
      </c>
      <c r="EF75" s="133">
        <v>0</v>
      </c>
      <c r="EG75" s="133">
        <v>0</v>
      </c>
      <c r="EH75" s="133">
        <v>0</v>
      </c>
      <c r="EI75" s="133">
        <v>4756.5</v>
      </c>
      <c r="EJ75" s="133">
        <v>4756.5</v>
      </c>
      <c r="EK75" s="133">
        <v>4756.5</v>
      </c>
      <c r="EL75" s="133"/>
      <c r="EM75" s="133"/>
      <c r="EN75" s="133"/>
      <c r="EO75" s="133"/>
      <c r="EP75" s="133"/>
      <c r="EQ75" s="133"/>
      <c r="ER75" s="133"/>
      <c r="ES75" s="133"/>
      <c r="ET75" s="133"/>
      <c r="EU75" s="133"/>
      <c r="EV75" s="133">
        <v>4756.5</v>
      </c>
    </row>
    <row r="76" spans="1:152">
      <c r="A76" s="269" t="s">
        <v>157</v>
      </c>
      <c r="B76" s="133"/>
      <c r="C76" s="133">
        <v>0</v>
      </c>
      <c r="D76" s="133"/>
      <c r="E76" s="133">
        <v>0</v>
      </c>
      <c r="F76" s="133">
        <v>5287.60009259259</v>
      </c>
      <c r="G76" s="133">
        <v>5081</v>
      </c>
      <c r="H76" s="133">
        <v>5287.60009259259</v>
      </c>
      <c r="I76" s="133">
        <v>5255.2001967592596</v>
      </c>
      <c r="J76" s="133">
        <v>5279.60009259259</v>
      </c>
      <c r="K76" s="133">
        <v>5261.2998032407404</v>
      </c>
      <c r="L76" s="133">
        <v>5261.2998032407404</v>
      </c>
      <c r="M76" s="133">
        <v>5261.2998032407404</v>
      </c>
      <c r="N76" s="133"/>
      <c r="O76" s="133">
        <v>0</v>
      </c>
      <c r="P76" s="133">
        <v>0</v>
      </c>
      <c r="Q76" s="133">
        <v>0</v>
      </c>
      <c r="R76" s="133">
        <v>0</v>
      </c>
      <c r="S76" s="133">
        <v>0</v>
      </c>
      <c r="T76" s="133"/>
      <c r="U76" s="133">
        <v>5268.7001967592596</v>
      </c>
      <c r="V76" s="133">
        <v>5268.7001967592596</v>
      </c>
      <c r="W76" s="133"/>
      <c r="X76" s="133">
        <v>5268.7001967592596</v>
      </c>
      <c r="Y76" s="133">
        <v>5206</v>
      </c>
      <c r="Z76" s="133">
        <v>5206</v>
      </c>
      <c r="AA76" s="133">
        <v>0</v>
      </c>
      <c r="AB76" s="133"/>
      <c r="AC76" s="133">
        <v>0</v>
      </c>
      <c r="AD76" s="133">
        <v>5206</v>
      </c>
      <c r="AE76" s="133">
        <v>5206</v>
      </c>
      <c r="AF76" s="133">
        <v>5206</v>
      </c>
      <c r="AG76" s="133">
        <v>5206</v>
      </c>
      <c r="AH76" s="133">
        <v>0</v>
      </c>
      <c r="AI76" s="133">
        <v>5081</v>
      </c>
      <c r="AJ76" s="133">
        <v>5206</v>
      </c>
      <c r="AK76" s="133"/>
      <c r="AL76" s="133">
        <v>5081</v>
      </c>
      <c r="AM76" s="133">
        <v>5081</v>
      </c>
      <c r="AN76" s="133">
        <v>5081</v>
      </c>
      <c r="AO76" s="133">
        <v>5081</v>
      </c>
      <c r="AP76" s="133">
        <v>5242.60009259259</v>
      </c>
      <c r="AQ76" s="133">
        <v>5081</v>
      </c>
      <c r="AR76" s="133">
        <v>5081</v>
      </c>
      <c r="AS76" s="133">
        <v>5081</v>
      </c>
      <c r="AT76" s="133"/>
      <c r="AU76" s="133"/>
      <c r="AV76" s="133">
        <v>5081</v>
      </c>
      <c r="AW76" s="133">
        <v>5081</v>
      </c>
      <c r="AX76" s="133">
        <v>5081</v>
      </c>
      <c r="AY76" s="133">
        <v>5081</v>
      </c>
      <c r="AZ76" s="133"/>
      <c r="BA76" s="133"/>
      <c r="BB76" s="133">
        <v>5081</v>
      </c>
      <c r="BC76" s="133">
        <v>5081</v>
      </c>
      <c r="BD76" s="133">
        <v>0</v>
      </c>
      <c r="BE76" s="133">
        <v>0</v>
      </c>
      <c r="BF76" s="133">
        <v>0</v>
      </c>
      <c r="BG76" s="133">
        <v>0</v>
      </c>
      <c r="BH76" s="133">
        <v>0</v>
      </c>
      <c r="BI76" s="133">
        <v>5206</v>
      </c>
      <c r="BJ76" s="133">
        <v>0</v>
      </c>
      <c r="BK76" s="133">
        <v>0</v>
      </c>
      <c r="BL76" s="133">
        <v>0</v>
      </c>
      <c r="BM76" s="133">
        <v>0</v>
      </c>
      <c r="BN76" s="133">
        <v>0</v>
      </c>
      <c r="BO76" s="133">
        <v>0</v>
      </c>
      <c r="BP76" s="133">
        <v>0</v>
      </c>
      <c r="BQ76" s="133"/>
      <c r="BR76" s="133">
        <v>0</v>
      </c>
      <c r="BS76" s="133">
        <v>0</v>
      </c>
      <c r="BT76" s="133">
        <v>0</v>
      </c>
      <c r="BU76" s="133">
        <v>0</v>
      </c>
      <c r="BV76" s="133">
        <v>0</v>
      </c>
      <c r="BW76" s="133">
        <v>0</v>
      </c>
      <c r="BX76" s="133">
        <v>0</v>
      </c>
      <c r="BY76" s="133">
        <v>0</v>
      </c>
      <c r="BZ76" s="133">
        <v>0</v>
      </c>
      <c r="CA76" s="133">
        <v>0</v>
      </c>
      <c r="CB76" s="133"/>
      <c r="CC76" s="133"/>
      <c r="CD76" s="133"/>
      <c r="CE76" s="133"/>
      <c r="CF76" s="133"/>
      <c r="CG76" s="133"/>
      <c r="CH76" s="133"/>
      <c r="CI76" s="133"/>
      <c r="CJ76" s="133"/>
      <c r="CK76" s="133"/>
      <c r="CL76" s="133"/>
      <c r="CM76" s="133"/>
      <c r="CN76" s="133"/>
      <c r="CO76" s="133"/>
      <c r="CP76" s="133"/>
      <c r="CQ76" s="133"/>
      <c r="CR76" s="133"/>
      <c r="CS76" s="133"/>
      <c r="CT76" s="133">
        <v>0</v>
      </c>
      <c r="CU76" s="133"/>
      <c r="CV76" s="133">
        <v>0</v>
      </c>
      <c r="CW76" s="133">
        <v>5081</v>
      </c>
      <c r="CX76" s="133">
        <v>5081</v>
      </c>
      <c r="CY76" s="133">
        <v>5081</v>
      </c>
      <c r="CZ76" s="133">
        <v>5081</v>
      </c>
      <c r="DA76" s="133">
        <v>5081</v>
      </c>
      <c r="DB76" s="133">
        <v>0</v>
      </c>
      <c r="DC76" s="133"/>
      <c r="DD76" s="133"/>
      <c r="DE76" s="133"/>
      <c r="DF76" s="133"/>
      <c r="DG76" s="133">
        <v>0</v>
      </c>
      <c r="DH76" s="133">
        <v>0</v>
      </c>
      <c r="DI76" s="133">
        <v>0</v>
      </c>
      <c r="DJ76" s="133">
        <v>0</v>
      </c>
      <c r="DK76" s="133"/>
      <c r="DL76" s="133"/>
      <c r="DM76" s="133"/>
      <c r="DN76" s="133"/>
      <c r="DO76" s="133"/>
      <c r="DP76" s="133">
        <v>0</v>
      </c>
      <c r="DQ76" s="133">
        <v>0</v>
      </c>
      <c r="DR76" s="133"/>
      <c r="DS76" s="133">
        <v>0</v>
      </c>
      <c r="DT76" s="133">
        <v>0</v>
      </c>
      <c r="DU76" s="133"/>
      <c r="DV76" s="133"/>
      <c r="DW76" s="133">
        <v>0</v>
      </c>
      <c r="DX76" s="133"/>
      <c r="DY76" s="133">
        <v>0</v>
      </c>
      <c r="DZ76" s="133">
        <v>0</v>
      </c>
      <c r="EA76" s="133">
        <v>5206</v>
      </c>
      <c r="EB76" s="133">
        <v>0</v>
      </c>
      <c r="EC76" s="133">
        <v>0</v>
      </c>
      <c r="ED76" s="133">
        <v>0</v>
      </c>
      <c r="EE76" s="133">
        <v>0</v>
      </c>
      <c r="EF76" s="133">
        <v>0</v>
      </c>
      <c r="EG76" s="133">
        <v>0</v>
      </c>
      <c r="EH76" s="133"/>
      <c r="EI76" s="133"/>
      <c r="EJ76" s="133">
        <v>5081</v>
      </c>
      <c r="EK76" s="133">
        <v>5081</v>
      </c>
      <c r="EL76" s="133"/>
      <c r="EM76" s="133"/>
      <c r="EN76" s="133"/>
      <c r="EO76" s="133"/>
      <c r="EP76" s="133"/>
      <c r="EQ76" s="133"/>
      <c r="ER76" s="133"/>
      <c r="ES76" s="133"/>
      <c r="ET76" s="133"/>
      <c r="EU76" s="133"/>
      <c r="EV76" s="133">
        <v>5287.60009259259</v>
      </c>
    </row>
    <row r="77" spans="1:152">
      <c r="A77" s="270" t="s">
        <v>87</v>
      </c>
      <c r="B77" s="133"/>
      <c r="C77" s="133">
        <v>0</v>
      </c>
      <c r="D77" s="133"/>
      <c r="E77" s="133">
        <v>0</v>
      </c>
      <c r="F77" s="133">
        <v>5287.60009259259</v>
      </c>
      <c r="G77" s="133">
        <v>5081</v>
      </c>
      <c r="H77" s="133">
        <v>5287.60009259259</v>
      </c>
      <c r="I77" s="133">
        <v>5255.2001967592596</v>
      </c>
      <c r="J77" s="133">
        <v>5279.60009259259</v>
      </c>
      <c r="K77" s="133">
        <v>5261.2998032407404</v>
      </c>
      <c r="L77" s="133">
        <v>5261.2998032407404</v>
      </c>
      <c r="M77" s="133">
        <v>5261.2998032407404</v>
      </c>
      <c r="N77" s="133"/>
      <c r="O77" s="133"/>
      <c r="P77" s="133">
        <v>0</v>
      </c>
      <c r="Q77" s="133">
        <v>0</v>
      </c>
      <c r="R77" s="133">
        <v>0</v>
      </c>
      <c r="S77" s="133">
        <v>0</v>
      </c>
      <c r="T77" s="133"/>
      <c r="U77" s="133">
        <v>5268.7001967592596</v>
      </c>
      <c r="V77" s="133">
        <v>5268.7001967592596</v>
      </c>
      <c r="W77" s="133"/>
      <c r="X77" s="133">
        <v>5268.7001967592596</v>
      </c>
      <c r="Y77" s="133">
        <v>5206</v>
      </c>
      <c r="Z77" s="133">
        <v>5206</v>
      </c>
      <c r="AA77" s="133">
        <v>0</v>
      </c>
      <c r="AB77" s="133"/>
      <c r="AC77" s="133">
        <v>0</v>
      </c>
      <c r="AD77" s="133">
        <v>5206</v>
      </c>
      <c r="AE77" s="133">
        <v>5206</v>
      </c>
      <c r="AF77" s="133">
        <v>5206</v>
      </c>
      <c r="AG77" s="133">
        <v>5206</v>
      </c>
      <c r="AH77" s="133">
        <v>0</v>
      </c>
      <c r="AI77" s="133">
        <v>5081</v>
      </c>
      <c r="AJ77" s="133">
        <v>5206</v>
      </c>
      <c r="AK77" s="133"/>
      <c r="AL77" s="133">
        <v>5081</v>
      </c>
      <c r="AM77" s="133">
        <v>5081</v>
      </c>
      <c r="AN77" s="133">
        <v>5081</v>
      </c>
      <c r="AO77" s="133">
        <v>5081</v>
      </c>
      <c r="AP77" s="133">
        <v>5242.60009259259</v>
      </c>
      <c r="AQ77" s="133">
        <v>5081</v>
      </c>
      <c r="AR77" s="133">
        <v>5081</v>
      </c>
      <c r="AS77" s="133">
        <v>5081</v>
      </c>
      <c r="AT77" s="133"/>
      <c r="AU77" s="133"/>
      <c r="AV77" s="133">
        <v>5081</v>
      </c>
      <c r="AW77" s="133">
        <v>5081</v>
      </c>
      <c r="AX77" s="133">
        <v>5081</v>
      </c>
      <c r="AY77" s="133">
        <v>5081</v>
      </c>
      <c r="AZ77" s="133"/>
      <c r="BA77" s="133"/>
      <c r="BB77" s="133">
        <v>5081</v>
      </c>
      <c r="BC77" s="133">
        <v>5081</v>
      </c>
      <c r="BD77" s="133">
        <v>0</v>
      </c>
      <c r="BE77" s="133">
        <v>0</v>
      </c>
      <c r="BF77" s="133">
        <v>0</v>
      </c>
      <c r="BG77" s="133">
        <v>0</v>
      </c>
      <c r="BH77" s="133">
        <v>0</v>
      </c>
      <c r="BI77" s="133">
        <v>0</v>
      </c>
      <c r="BJ77" s="133">
        <v>0</v>
      </c>
      <c r="BK77" s="133">
        <v>0</v>
      </c>
      <c r="BL77" s="133">
        <v>0</v>
      </c>
      <c r="BM77" s="133">
        <v>0</v>
      </c>
      <c r="BN77" s="133">
        <v>0</v>
      </c>
      <c r="BO77" s="133">
        <v>0</v>
      </c>
      <c r="BP77" s="133">
        <v>0</v>
      </c>
      <c r="BQ77" s="133"/>
      <c r="BR77" s="133">
        <v>0</v>
      </c>
      <c r="BS77" s="133">
        <v>0</v>
      </c>
      <c r="BT77" s="133">
        <v>0</v>
      </c>
      <c r="BU77" s="133">
        <v>0</v>
      </c>
      <c r="BV77" s="133">
        <v>0</v>
      </c>
      <c r="BW77" s="133">
        <v>0</v>
      </c>
      <c r="BX77" s="133">
        <v>0</v>
      </c>
      <c r="BY77" s="133">
        <v>0</v>
      </c>
      <c r="BZ77" s="133">
        <v>0</v>
      </c>
      <c r="CA77" s="133">
        <v>0</v>
      </c>
      <c r="CB77" s="133"/>
      <c r="CC77" s="133"/>
      <c r="CD77" s="133"/>
      <c r="CE77" s="133"/>
      <c r="CF77" s="133"/>
      <c r="CG77" s="133"/>
      <c r="CH77" s="133"/>
      <c r="CI77" s="133"/>
      <c r="CJ77" s="133"/>
      <c r="CK77" s="133"/>
      <c r="CL77" s="133"/>
      <c r="CM77" s="133"/>
      <c r="CN77" s="133"/>
      <c r="CO77" s="133"/>
      <c r="CP77" s="133"/>
      <c r="CQ77" s="133"/>
      <c r="CR77" s="133"/>
      <c r="CS77" s="133"/>
      <c r="CT77" s="133">
        <v>0</v>
      </c>
      <c r="CU77" s="133"/>
      <c r="CV77" s="133">
        <v>0</v>
      </c>
      <c r="CW77" s="133">
        <v>5081</v>
      </c>
      <c r="CX77" s="133">
        <v>5081</v>
      </c>
      <c r="CY77" s="133">
        <v>5081</v>
      </c>
      <c r="CZ77" s="133">
        <v>5081</v>
      </c>
      <c r="DA77" s="133">
        <v>5081</v>
      </c>
      <c r="DB77" s="133">
        <v>0</v>
      </c>
      <c r="DC77" s="133"/>
      <c r="DD77" s="133"/>
      <c r="DE77" s="133"/>
      <c r="DF77" s="133"/>
      <c r="DG77" s="133">
        <v>0</v>
      </c>
      <c r="DH77" s="133">
        <v>0</v>
      </c>
      <c r="DI77" s="133">
        <v>0</v>
      </c>
      <c r="DJ77" s="133">
        <v>0</v>
      </c>
      <c r="DK77" s="133"/>
      <c r="DL77" s="133"/>
      <c r="DM77" s="133"/>
      <c r="DN77" s="133"/>
      <c r="DO77" s="133"/>
      <c r="DP77" s="133"/>
      <c r="DQ77" s="133"/>
      <c r="DR77" s="133"/>
      <c r="DS77" s="133"/>
      <c r="DT77" s="133"/>
      <c r="DU77" s="133"/>
      <c r="DV77" s="133"/>
      <c r="DW77" s="133"/>
      <c r="DX77" s="133"/>
      <c r="DY77" s="133"/>
      <c r="DZ77" s="133"/>
      <c r="EA77" s="133"/>
      <c r="EB77" s="133"/>
      <c r="EC77" s="133"/>
      <c r="ED77" s="133"/>
      <c r="EE77" s="133"/>
      <c r="EF77" s="133"/>
      <c r="EG77" s="133"/>
      <c r="EH77" s="133"/>
      <c r="EI77" s="133"/>
      <c r="EJ77" s="133"/>
      <c r="EK77" s="133"/>
      <c r="EL77" s="133"/>
      <c r="EM77" s="133"/>
      <c r="EN77" s="133"/>
      <c r="EO77" s="133"/>
      <c r="EP77" s="133"/>
      <c r="EQ77" s="133"/>
      <c r="ER77" s="133"/>
      <c r="ES77" s="133"/>
      <c r="ET77" s="133"/>
      <c r="EU77" s="133"/>
      <c r="EV77" s="133">
        <v>5287.60009259259</v>
      </c>
    </row>
    <row r="78" spans="1:152">
      <c r="A78" s="270" t="s">
        <v>172</v>
      </c>
      <c r="B78" s="133"/>
      <c r="C78" s="133"/>
      <c r="D78" s="133"/>
      <c r="E78" s="133">
        <v>0</v>
      </c>
      <c r="F78" s="133"/>
      <c r="G78" s="133"/>
      <c r="H78" s="133"/>
      <c r="I78" s="133"/>
      <c r="J78" s="133"/>
      <c r="K78" s="133"/>
      <c r="L78" s="133"/>
      <c r="M78" s="133"/>
      <c r="N78" s="133"/>
      <c r="O78" s="133">
        <v>0</v>
      </c>
      <c r="P78" s="133"/>
      <c r="Q78" s="133"/>
      <c r="R78" s="133"/>
      <c r="S78" s="133"/>
      <c r="T78" s="133"/>
      <c r="U78" s="133"/>
      <c r="V78" s="133">
        <v>0</v>
      </c>
      <c r="W78" s="133"/>
      <c r="X78" s="133">
        <v>0</v>
      </c>
      <c r="Y78" s="133"/>
      <c r="Z78" s="133"/>
      <c r="AA78" s="133"/>
      <c r="AB78" s="133"/>
      <c r="AC78" s="133"/>
      <c r="AD78" s="133"/>
      <c r="AE78" s="133"/>
      <c r="AF78" s="133"/>
      <c r="AG78" s="133"/>
      <c r="AH78" s="133"/>
      <c r="AI78" s="133"/>
      <c r="AJ78" s="133"/>
      <c r="AK78" s="133"/>
      <c r="AL78" s="133">
        <v>0</v>
      </c>
      <c r="AM78" s="133">
        <v>0</v>
      </c>
      <c r="AN78" s="133"/>
      <c r="AO78" s="133"/>
      <c r="AP78" s="133"/>
      <c r="AQ78" s="133"/>
      <c r="AR78" s="133"/>
      <c r="AS78" s="133"/>
      <c r="AT78" s="133"/>
      <c r="AU78" s="133"/>
      <c r="AV78" s="133"/>
      <c r="AW78" s="133"/>
      <c r="AX78" s="133"/>
      <c r="AY78" s="133"/>
      <c r="AZ78" s="133"/>
      <c r="BA78" s="133"/>
      <c r="BB78" s="133"/>
      <c r="BC78" s="133"/>
      <c r="BD78" s="133"/>
      <c r="BE78" s="133"/>
      <c r="BF78" s="133"/>
      <c r="BG78" s="133"/>
      <c r="BH78" s="133"/>
      <c r="BI78" s="133"/>
      <c r="BJ78" s="133"/>
      <c r="BK78" s="133"/>
      <c r="BL78" s="133"/>
      <c r="BM78" s="133"/>
      <c r="BN78" s="133"/>
      <c r="BO78" s="133"/>
      <c r="BP78" s="133"/>
      <c r="BQ78" s="133"/>
      <c r="BR78" s="133"/>
      <c r="BS78" s="133"/>
      <c r="BT78" s="133"/>
      <c r="BU78" s="133"/>
      <c r="BV78" s="133"/>
      <c r="BW78" s="133"/>
      <c r="BX78" s="133"/>
      <c r="BY78" s="133"/>
      <c r="BZ78" s="133"/>
      <c r="CA78" s="133"/>
      <c r="CB78" s="133"/>
      <c r="CC78" s="133"/>
      <c r="CD78" s="133"/>
      <c r="CE78" s="133"/>
      <c r="CF78" s="133"/>
      <c r="CG78" s="133"/>
      <c r="CH78" s="133"/>
      <c r="CI78" s="133"/>
      <c r="CJ78" s="133"/>
      <c r="CK78" s="133"/>
      <c r="CL78" s="133"/>
      <c r="CM78" s="133"/>
      <c r="CN78" s="133"/>
      <c r="CO78" s="133"/>
      <c r="CP78" s="133"/>
      <c r="CQ78" s="133"/>
      <c r="CR78" s="133"/>
      <c r="CS78" s="133"/>
      <c r="CT78" s="133"/>
      <c r="CU78" s="133"/>
      <c r="CV78" s="133"/>
      <c r="CW78" s="133"/>
      <c r="CX78" s="133"/>
      <c r="CY78" s="133"/>
      <c r="CZ78" s="133"/>
      <c r="DA78" s="133"/>
      <c r="DB78" s="133"/>
      <c r="DC78" s="133"/>
      <c r="DD78" s="133"/>
      <c r="DE78" s="133"/>
      <c r="DF78" s="133"/>
      <c r="DG78" s="133"/>
      <c r="DH78" s="133"/>
      <c r="DI78" s="133"/>
      <c r="DJ78" s="133"/>
      <c r="DK78" s="133"/>
      <c r="DL78" s="133"/>
      <c r="DM78" s="133"/>
      <c r="DN78" s="133"/>
      <c r="DO78" s="133"/>
      <c r="DP78" s="133">
        <v>0</v>
      </c>
      <c r="DQ78" s="133">
        <v>0</v>
      </c>
      <c r="DR78" s="133"/>
      <c r="DS78" s="133">
        <v>0</v>
      </c>
      <c r="DT78" s="133">
        <v>0</v>
      </c>
      <c r="DU78" s="133"/>
      <c r="DV78" s="133"/>
      <c r="DW78" s="133"/>
      <c r="DX78" s="133"/>
      <c r="DY78" s="133">
        <v>0</v>
      </c>
      <c r="DZ78" s="133">
        <v>0</v>
      </c>
      <c r="EA78" s="133"/>
      <c r="EB78" s="133"/>
      <c r="EC78" s="133"/>
      <c r="ED78" s="133"/>
      <c r="EE78" s="133"/>
      <c r="EF78" s="133"/>
      <c r="EG78" s="133"/>
      <c r="EH78" s="133"/>
      <c r="EI78" s="133"/>
      <c r="EJ78" s="133"/>
      <c r="EK78" s="133"/>
      <c r="EL78" s="133"/>
      <c r="EM78" s="133"/>
      <c r="EN78" s="133"/>
      <c r="EO78" s="133"/>
      <c r="EP78" s="133"/>
      <c r="EQ78" s="133"/>
      <c r="ER78" s="133"/>
      <c r="ES78" s="133"/>
      <c r="ET78" s="133"/>
      <c r="EU78" s="133"/>
      <c r="EV78" s="133">
        <v>0</v>
      </c>
    </row>
    <row r="79" spans="1:152">
      <c r="A79" s="270" t="s">
        <v>173</v>
      </c>
      <c r="B79" s="133"/>
      <c r="C79" s="133"/>
      <c r="D79" s="133"/>
      <c r="E79" s="133"/>
      <c r="F79" s="133"/>
      <c r="G79" s="133"/>
      <c r="H79" s="133">
        <v>5206</v>
      </c>
      <c r="I79" s="133"/>
      <c r="J79" s="133"/>
      <c r="K79" s="133"/>
      <c r="L79" s="133"/>
      <c r="M79" s="133"/>
      <c r="N79" s="133"/>
      <c r="O79" s="133"/>
      <c r="P79" s="133"/>
      <c r="Q79" s="133"/>
      <c r="R79" s="133"/>
      <c r="S79" s="133"/>
      <c r="T79" s="133"/>
      <c r="U79" s="133"/>
      <c r="V79" s="133"/>
      <c r="W79" s="133"/>
      <c r="X79" s="133"/>
      <c r="Y79" s="133"/>
      <c r="Z79" s="133"/>
      <c r="AA79" s="133"/>
      <c r="AB79" s="133"/>
      <c r="AC79" s="133"/>
      <c r="AD79" s="133"/>
      <c r="AE79" s="133"/>
      <c r="AF79" s="133"/>
      <c r="AG79" s="133"/>
      <c r="AH79" s="133"/>
      <c r="AI79" s="133"/>
      <c r="AJ79" s="133"/>
      <c r="AK79" s="133"/>
      <c r="AL79" s="133"/>
      <c r="AM79" s="133"/>
      <c r="AN79" s="133"/>
      <c r="AO79" s="133"/>
      <c r="AP79" s="133"/>
      <c r="AQ79" s="133"/>
      <c r="AR79" s="133"/>
      <c r="AS79" s="133"/>
      <c r="AT79" s="133"/>
      <c r="AU79" s="133"/>
      <c r="AV79" s="133"/>
      <c r="AW79" s="133"/>
      <c r="AX79" s="133"/>
      <c r="AY79" s="133"/>
      <c r="AZ79" s="133"/>
      <c r="BA79" s="133"/>
      <c r="BB79" s="133"/>
      <c r="BC79" s="133"/>
      <c r="BD79" s="133"/>
      <c r="BE79" s="133"/>
      <c r="BF79" s="133"/>
      <c r="BG79" s="133"/>
      <c r="BH79" s="133"/>
      <c r="BI79" s="133">
        <v>5206</v>
      </c>
      <c r="BJ79" s="133"/>
      <c r="BK79" s="133"/>
      <c r="BL79" s="133"/>
      <c r="BM79" s="133"/>
      <c r="BN79" s="133"/>
      <c r="BO79" s="133"/>
      <c r="BP79" s="133"/>
      <c r="BQ79" s="133"/>
      <c r="BR79" s="133"/>
      <c r="BS79" s="133"/>
      <c r="BT79" s="133"/>
      <c r="BU79" s="133"/>
      <c r="BV79" s="133"/>
      <c r="BW79" s="133"/>
      <c r="BX79" s="133"/>
      <c r="BY79" s="133"/>
      <c r="BZ79" s="133"/>
      <c r="CA79" s="133"/>
      <c r="CB79" s="133"/>
      <c r="CC79" s="133"/>
      <c r="CD79" s="133"/>
      <c r="CE79" s="133"/>
      <c r="CF79" s="133"/>
      <c r="CG79" s="133"/>
      <c r="CH79" s="133"/>
      <c r="CI79" s="133"/>
      <c r="CJ79" s="133"/>
      <c r="CK79" s="133"/>
      <c r="CL79" s="133"/>
      <c r="CM79" s="133"/>
      <c r="CN79" s="133"/>
      <c r="CO79" s="133"/>
      <c r="CP79" s="133"/>
      <c r="CQ79" s="133"/>
      <c r="CR79" s="133"/>
      <c r="CS79" s="133"/>
      <c r="CT79" s="133"/>
      <c r="CU79" s="133"/>
      <c r="CV79" s="133"/>
      <c r="CW79" s="133"/>
      <c r="CX79" s="133"/>
      <c r="CY79" s="133"/>
      <c r="CZ79" s="133"/>
      <c r="DA79" s="133"/>
      <c r="DB79" s="133"/>
      <c r="DC79" s="133"/>
      <c r="DD79" s="133"/>
      <c r="DE79" s="133"/>
      <c r="DF79" s="133"/>
      <c r="DG79" s="133"/>
      <c r="DH79" s="133"/>
      <c r="DI79" s="133"/>
      <c r="DJ79" s="133"/>
      <c r="DK79" s="133"/>
      <c r="DL79" s="133"/>
      <c r="DM79" s="133"/>
      <c r="DN79" s="133"/>
      <c r="DO79" s="133"/>
      <c r="DP79" s="133"/>
      <c r="DQ79" s="133"/>
      <c r="DR79" s="133"/>
      <c r="DS79" s="133"/>
      <c r="DT79" s="133"/>
      <c r="DU79" s="133"/>
      <c r="DV79" s="133"/>
      <c r="DW79" s="133">
        <v>0</v>
      </c>
      <c r="DX79" s="133"/>
      <c r="DY79" s="133"/>
      <c r="DZ79" s="133"/>
      <c r="EA79" s="133">
        <v>5206</v>
      </c>
      <c r="EB79" s="133">
        <v>0</v>
      </c>
      <c r="EC79" s="133">
        <v>0</v>
      </c>
      <c r="ED79" s="133">
        <v>0</v>
      </c>
      <c r="EE79" s="133">
        <v>0</v>
      </c>
      <c r="EF79" s="133">
        <v>0</v>
      </c>
      <c r="EG79" s="133">
        <v>0</v>
      </c>
      <c r="EH79" s="133"/>
      <c r="EI79" s="133"/>
      <c r="EJ79" s="133">
        <v>5081</v>
      </c>
      <c r="EK79" s="133">
        <v>5081</v>
      </c>
      <c r="EL79" s="133"/>
      <c r="EM79" s="133"/>
      <c r="EN79" s="133"/>
      <c r="EO79" s="133"/>
      <c r="EP79" s="133"/>
      <c r="EQ79" s="133"/>
      <c r="ER79" s="133"/>
      <c r="ES79" s="133"/>
      <c r="ET79" s="133"/>
      <c r="EU79" s="133"/>
      <c r="EV79" s="133">
        <v>5206</v>
      </c>
    </row>
    <row r="80" spans="1:152">
      <c r="A80" s="269" t="s">
        <v>169</v>
      </c>
      <c r="B80" s="133"/>
      <c r="C80" s="133"/>
      <c r="D80" s="133"/>
      <c r="E80" s="133">
        <v>0</v>
      </c>
      <c r="F80" s="133">
        <v>1602.40002314815</v>
      </c>
      <c r="G80" s="133">
        <v>1247.90002314815</v>
      </c>
      <c r="H80" s="133">
        <v>1602.40002314815</v>
      </c>
      <c r="I80" s="133"/>
      <c r="J80" s="133">
        <v>1586.40002314815</v>
      </c>
      <c r="K80" s="133">
        <v>1521.40002314815</v>
      </c>
      <c r="L80" s="133">
        <v>1521.40002314815</v>
      </c>
      <c r="M80" s="133"/>
      <c r="N80" s="133"/>
      <c r="O80" s="133"/>
      <c r="P80" s="133">
        <v>0</v>
      </c>
      <c r="Q80" s="133">
        <v>0</v>
      </c>
      <c r="R80" s="133">
        <v>0</v>
      </c>
      <c r="S80" s="133">
        <v>0</v>
      </c>
      <c r="T80" s="133"/>
      <c r="U80" s="133">
        <v>1586.40002314815</v>
      </c>
      <c r="V80" s="133">
        <v>1586.40002314815</v>
      </c>
      <c r="W80" s="133"/>
      <c r="X80" s="133">
        <v>1586.40002314815</v>
      </c>
      <c r="Y80" s="133">
        <v>1492.6999537037</v>
      </c>
      <c r="Z80" s="133">
        <v>1492.6999537037</v>
      </c>
      <c r="AA80" s="133">
        <v>0</v>
      </c>
      <c r="AB80" s="133"/>
      <c r="AC80" s="133">
        <v>0</v>
      </c>
      <c r="AD80" s="133">
        <v>1492.6999537037</v>
      </c>
      <c r="AE80" s="133">
        <v>1492.6999537037</v>
      </c>
      <c r="AF80" s="133">
        <v>1492.6999537037</v>
      </c>
      <c r="AG80" s="133">
        <v>1492.6999537037</v>
      </c>
      <c r="AH80" s="133">
        <v>0</v>
      </c>
      <c r="AI80" s="133">
        <v>1492.6999537037</v>
      </c>
      <c r="AJ80" s="133">
        <v>1492.6999537037</v>
      </c>
      <c r="AK80" s="133"/>
      <c r="AL80" s="133">
        <v>1247.90002314815</v>
      </c>
      <c r="AM80" s="133">
        <v>1247.90002314815</v>
      </c>
      <c r="AN80" s="133">
        <v>1492.6999537037</v>
      </c>
      <c r="AO80" s="133">
        <v>1492.6999537037</v>
      </c>
      <c r="AP80" s="133">
        <v>1510.5</v>
      </c>
      <c r="AQ80" s="133">
        <v>1494.1999537037</v>
      </c>
      <c r="AR80" s="133">
        <v>1492.6999537037</v>
      </c>
      <c r="AS80" s="133">
        <v>1492.6999537037</v>
      </c>
      <c r="AT80" s="133"/>
      <c r="AU80" s="133"/>
      <c r="AV80" s="133">
        <v>1492.6999537037</v>
      </c>
      <c r="AW80" s="133">
        <v>1492.6999537037</v>
      </c>
      <c r="AX80" s="133">
        <v>1492.6999537037</v>
      </c>
      <c r="AY80" s="133">
        <v>1492.6999537037</v>
      </c>
      <c r="AZ80" s="133"/>
      <c r="BA80" s="133"/>
      <c r="BB80" s="133">
        <v>1247.90002314815</v>
      </c>
      <c r="BC80" s="133">
        <v>1492.6999537037</v>
      </c>
      <c r="BD80" s="133">
        <v>0</v>
      </c>
      <c r="BE80" s="133">
        <v>0</v>
      </c>
      <c r="BF80" s="133">
        <v>0</v>
      </c>
      <c r="BG80" s="133">
        <v>0</v>
      </c>
      <c r="BH80" s="133">
        <v>0</v>
      </c>
      <c r="BI80" s="133">
        <v>1492.6999537037</v>
      </c>
      <c r="BJ80" s="133">
        <v>0</v>
      </c>
      <c r="BK80" s="133">
        <v>0</v>
      </c>
      <c r="BL80" s="133">
        <v>0</v>
      </c>
      <c r="BM80" s="133">
        <v>0</v>
      </c>
      <c r="BN80" s="133">
        <v>0</v>
      </c>
      <c r="BO80" s="133">
        <v>0</v>
      </c>
      <c r="BP80" s="133">
        <v>0</v>
      </c>
      <c r="BQ80" s="133"/>
      <c r="BR80" s="133"/>
      <c r="BS80" s="133">
        <v>0</v>
      </c>
      <c r="BT80" s="133"/>
      <c r="BU80" s="133"/>
      <c r="BV80" s="133"/>
      <c r="BW80" s="133"/>
      <c r="BX80" s="133"/>
      <c r="BY80" s="133"/>
      <c r="BZ80" s="133"/>
      <c r="CA80" s="133"/>
      <c r="CB80" s="133"/>
      <c r="CC80" s="133"/>
      <c r="CD80" s="133"/>
      <c r="CE80" s="133"/>
      <c r="CF80" s="133"/>
      <c r="CG80" s="133"/>
      <c r="CH80" s="133"/>
      <c r="CI80" s="133"/>
      <c r="CJ80" s="133"/>
      <c r="CK80" s="133"/>
      <c r="CL80" s="133"/>
      <c r="CM80" s="133"/>
      <c r="CN80" s="133"/>
      <c r="CO80" s="133"/>
      <c r="CP80" s="133"/>
      <c r="CQ80" s="133"/>
      <c r="CR80" s="133"/>
      <c r="CS80" s="133"/>
      <c r="CT80" s="133"/>
      <c r="CU80" s="133"/>
      <c r="CV80" s="133">
        <v>0</v>
      </c>
      <c r="CW80" s="133">
        <v>1492.6999537037</v>
      </c>
      <c r="CX80" s="133">
        <v>1247.90002314815</v>
      </c>
      <c r="CY80" s="133">
        <v>1247.90002314815</v>
      </c>
      <c r="CZ80" s="133">
        <v>1247.90002314815</v>
      </c>
      <c r="DA80" s="133">
        <v>1492.6999537037</v>
      </c>
      <c r="DB80" s="133">
        <v>0</v>
      </c>
      <c r="DC80" s="133"/>
      <c r="DD80" s="133"/>
      <c r="DE80" s="133"/>
      <c r="DF80" s="133"/>
      <c r="DG80" s="133">
        <v>0</v>
      </c>
      <c r="DH80" s="133">
        <v>0</v>
      </c>
      <c r="DI80" s="133">
        <v>0</v>
      </c>
      <c r="DJ80" s="133">
        <v>0</v>
      </c>
      <c r="DK80" s="133"/>
      <c r="DL80" s="133"/>
      <c r="DM80" s="133"/>
      <c r="DN80" s="133"/>
      <c r="DO80" s="133"/>
      <c r="DP80" s="133">
        <v>0</v>
      </c>
      <c r="DQ80" s="133"/>
      <c r="DR80" s="133"/>
      <c r="DS80" s="133">
        <v>0</v>
      </c>
      <c r="DT80" s="133">
        <v>0</v>
      </c>
      <c r="DU80" s="133"/>
      <c r="DV80" s="133"/>
      <c r="DW80" s="133">
        <v>0</v>
      </c>
      <c r="DX80" s="133">
        <v>0</v>
      </c>
      <c r="DY80" s="133"/>
      <c r="DZ80" s="133"/>
      <c r="EA80" s="133">
        <v>1492.6999537037</v>
      </c>
      <c r="EB80" s="133">
        <v>0</v>
      </c>
      <c r="EC80" s="133">
        <v>0</v>
      </c>
      <c r="ED80" s="133">
        <v>0</v>
      </c>
      <c r="EE80" s="133">
        <v>0</v>
      </c>
      <c r="EF80" s="133">
        <v>0</v>
      </c>
      <c r="EG80" s="133">
        <v>0</v>
      </c>
      <c r="EH80" s="133"/>
      <c r="EI80" s="133"/>
      <c r="EJ80" s="133">
        <v>1492.6999537037</v>
      </c>
      <c r="EK80" s="133">
        <v>1247.90002314815</v>
      </c>
      <c r="EL80" s="133"/>
      <c r="EM80" s="133"/>
      <c r="EN80" s="133"/>
      <c r="EO80" s="133"/>
      <c r="EP80" s="133"/>
      <c r="EQ80" s="133"/>
      <c r="ER80" s="133"/>
      <c r="ES80" s="133">
        <v>1247.90002314815</v>
      </c>
      <c r="ET80" s="133">
        <v>1247.90002314815</v>
      </c>
      <c r="EU80" s="133"/>
      <c r="EV80" s="133">
        <v>1602.40002314815</v>
      </c>
    </row>
    <row r="81" spans="1:152">
      <c r="A81" s="270" t="s">
        <v>87</v>
      </c>
      <c r="B81" s="133"/>
      <c r="C81" s="133"/>
      <c r="D81" s="133"/>
      <c r="E81" s="133"/>
      <c r="F81" s="133">
        <v>1602.40002314815</v>
      </c>
      <c r="G81" s="133">
        <v>1247.90002314815</v>
      </c>
      <c r="H81" s="133">
        <v>1602.40002314815</v>
      </c>
      <c r="I81" s="133"/>
      <c r="J81" s="133">
        <v>1586.40002314815</v>
      </c>
      <c r="K81" s="133">
        <v>1521.40002314815</v>
      </c>
      <c r="L81" s="133">
        <v>1521.40002314815</v>
      </c>
      <c r="M81" s="133"/>
      <c r="N81" s="133"/>
      <c r="O81" s="133"/>
      <c r="P81" s="133">
        <v>0</v>
      </c>
      <c r="Q81" s="133">
        <v>0</v>
      </c>
      <c r="R81" s="133">
        <v>0</v>
      </c>
      <c r="S81" s="133">
        <v>0</v>
      </c>
      <c r="T81" s="133"/>
      <c r="U81" s="133">
        <v>1586.40002314815</v>
      </c>
      <c r="V81" s="133">
        <v>1586.40002314815</v>
      </c>
      <c r="W81" s="133"/>
      <c r="X81" s="133">
        <v>1586.40002314815</v>
      </c>
      <c r="Y81" s="133">
        <v>1492.6999537037</v>
      </c>
      <c r="Z81" s="133">
        <v>1492.6999537037</v>
      </c>
      <c r="AA81" s="133">
        <v>0</v>
      </c>
      <c r="AB81" s="133"/>
      <c r="AC81" s="133">
        <v>0</v>
      </c>
      <c r="AD81" s="133">
        <v>1492.6999537037</v>
      </c>
      <c r="AE81" s="133">
        <v>1492.6999537037</v>
      </c>
      <c r="AF81" s="133">
        <v>1492.6999537037</v>
      </c>
      <c r="AG81" s="133">
        <v>1492.6999537037</v>
      </c>
      <c r="AH81" s="133">
        <v>0</v>
      </c>
      <c r="AI81" s="133">
        <v>1492.6999537037</v>
      </c>
      <c r="AJ81" s="133">
        <v>1492.6999537037</v>
      </c>
      <c r="AK81" s="133"/>
      <c r="AL81" s="133">
        <v>1247.90002314815</v>
      </c>
      <c r="AM81" s="133">
        <v>1247.90002314815</v>
      </c>
      <c r="AN81" s="133">
        <v>1492.6999537037</v>
      </c>
      <c r="AO81" s="133">
        <v>1492.6999537037</v>
      </c>
      <c r="AP81" s="133">
        <v>1510.5</v>
      </c>
      <c r="AQ81" s="133">
        <v>1494.1999537037</v>
      </c>
      <c r="AR81" s="133">
        <v>1492.6999537037</v>
      </c>
      <c r="AS81" s="133">
        <v>1492.6999537037</v>
      </c>
      <c r="AT81" s="133"/>
      <c r="AU81" s="133"/>
      <c r="AV81" s="133">
        <v>1492.6999537037</v>
      </c>
      <c r="AW81" s="133">
        <v>1492.6999537037</v>
      </c>
      <c r="AX81" s="133">
        <v>1492.6999537037</v>
      </c>
      <c r="AY81" s="133">
        <v>1492.6999537037</v>
      </c>
      <c r="AZ81" s="133"/>
      <c r="BA81" s="133"/>
      <c r="BB81" s="133">
        <v>1247.90002314815</v>
      </c>
      <c r="BC81" s="133">
        <v>1492.6999537037</v>
      </c>
      <c r="BD81" s="133">
        <v>0</v>
      </c>
      <c r="BE81" s="133">
        <v>0</v>
      </c>
      <c r="BF81" s="133">
        <v>0</v>
      </c>
      <c r="BG81" s="133">
        <v>0</v>
      </c>
      <c r="BH81" s="133">
        <v>0</v>
      </c>
      <c r="BI81" s="133">
        <v>0</v>
      </c>
      <c r="BJ81" s="133">
        <v>0</v>
      </c>
      <c r="BK81" s="133">
        <v>0</v>
      </c>
      <c r="BL81" s="133">
        <v>0</v>
      </c>
      <c r="BM81" s="133">
        <v>0</v>
      </c>
      <c r="BN81" s="133">
        <v>0</v>
      </c>
      <c r="BO81" s="133">
        <v>0</v>
      </c>
      <c r="BP81" s="133">
        <v>0</v>
      </c>
      <c r="BQ81" s="133"/>
      <c r="BR81" s="133"/>
      <c r="BS81" s="133">
        <v>0</v>
      </c>
      <c r="BT81" s="133"/>
      <c r="BU81" s="133"/>
      <c r="BV81" s="133"/>
      <c r="BW81" s="133"/>
      <c r="BX81" s="133"/>
      <c r="BY81" s="133"/>
      <c r="BZ81" s="133"/>
      <c r="CA81" s="133"/>
      <c r="CB81" s="133"/>
      <c r="CC81" s="133"/>
      <c r="CD81" s="133"/>
      <c r="CE81" s="133"/>
      <c r="CF81" s="133"/>
      <c r="CG81" s="133"/>
      <c r="CH81" s="133"/>
      <c r="CI81" s="133"/>
      <c r="CJ81" s="133"/>
      <c r="CK81" s="133"/>
      <c r="CL81" s="133"/>
      <c r="CM81" s="133"/>
      <c r="CN81" s="133"/>
      <c r="CO81" s="133"/>
      <c r="CP81" s="133"/>
      <c r="CQ81" s="133"/>
      <c r="CR81" s="133"/>
      <c r="CS81" s="133"/>
      <c r="CT81" s="133"/>
      <c r="CU81" s="133"/>
      <c r="CV81" s="133">
        <v>0</v>
      </c>
      <c r="CW81" s="133">
        <v>1492.6999537037</v>
      </c>
      <c r="CX81" s="133">
        <v>1247.90002314815</v>
      </c>
      <c r="CY81" s="133">
        <v>1247.90002314815</v>
      </c>
      <c r="CZ81" s="133">
        <v>1247.90002314815</v>
      </c>
      <c r="DA81" s="133">
        <v>1492.6999537037</v>
      </c>
      <c r="DB81" s="133">
        <v>0</v>
      </c>
      <c r="DC81" s="133"/>
      <c r="DD81" s="133"/>
      <c r="DE81" s="133"/>
      <c r="DF81" s="133"/>
      <c r="DG81" s="133">
        <v>0</v>
      </c>
      <c r="DH81" s="133">
        <v>0</v>
      </c>
      <c r="DI81" s="133">
        <v>0</v>
      </c>
      <c r="DJ81" s="133">
        <v>0</v>
      </c>
      <c r="DK81" s="133"/>
      <c r="DL81" s="133"/>
      <c r="DM81" s="133"/>
      <c r="DN81" s="133"/>
      <c r="DO81" s="133"/>
      <c r="DP81" s="133"/>
      <c r="DQ81" s="133"/>
      <c r="DR81" s="133"/>
      <c r="DS81" s="133"/>
      <c r="DT81" s="133"/>
      <c r="DU81" s="133"/>
      <c r="DV81" s="133"/>
      <c r="DW81" s="133"/>
      <c r="DX81" s="133"/>
      <c r="DY81" s="133"/>
      <c r="DZ81" s="133"/>
      <c r="EA81" s="133"/>
      <c r="EB81" s="133"/>
      <c r="EC81" s="133"/>
      <c r="ED81" s="133"/>
      <c r="EE81" s="133"/>
      <c r="EF81" s="133"/>
      <c r="EG81" s="133"/>
      <c r="EH81" s="133"/>
      <c r="EI81" s="133"/>
      <c r="EJ81" s="133"/>
      <c r="EK81" s="133"/>
      <c r="EL81" s="133"/>
      <c r="EM81" s="133"/>
      <c r="EN81" s="133"/>
      <c r="EO81" s="133"/>
      <c r="EP81" s="133"/>
      <c r="EQ81" s="133"/>
      <c r="ER81" s="133"/>
      <c r="ES81" s="133"/>
      <c r="ET81" s="133"/>
      <c r="EU81" s="133"/>
      <c r="EV81" s="133">
        <v>1602.40002314815</v>
      </c>
    </row>
    <row r="82" spans="1:152">
      <c r="A82" s="270" t="s">
        <v>172</v>
      </c>
      <c r="B82" s="133"/>
      <c r="C82" s="133"/>
      <c r="D82" s="133"/>
      <c r="E82" s="133">
        <v>0</v>
      </c>
      <c r="F82" s="133"/>
      <c r="G82" s="133"/>
      <c r="H82" s="133"/>
      <c r="I82" s="133"/>
      <c r="J82" s="133"/>
      <c r="K82" s="133"/>
      <c r="L82" s="133"/>
      <c r="M82" s="133"/>
      <c r="N82" s="133"/>
      <c r="O82" s="133"/>
      <c r="P82" s="133">
        <v>0</v>
      </c>
      <c r="Q82" s="133"/>
      <c r="R82" s="133"/>
      <c r="S82" s="133"/>
      <c r="T82" s="133"/>
      <c r="U82" s="133"/>
      <c r="V82" s="133">
        <v>0</v>
      </c>
      <c r="W82" s="133"/>
      <c r="X82" s="133"/>
      <c r="Y82" s="133"/>
      <c r="Z82" s="133"/>
      <c r="AA82" s="133"/>
      <c r="AB82" s="133"/>
      <c r="AC82" s="133"/>
      <c r="AD82" s="133"/>
      <c r="AE82" s="133"/>
      <c r="AF82" s="133"/>
      <c r="AG82" s="133"/>
      <c r="AH82" s="133"/>
      <c r="AI82" s="133"/>
      <c r="AJ82" s="133"/>
      <c r="AK82" s="133"/>
      <c r="AL82" s="133"/>
      <c r="AM82" s="133"/>
      <c r="AN82" s="133"/>
      <c r="AO82" s="133"/>
      <c r="AP82" s="133"/>
      <c r="AQ82" s="133"/>
      <c r="AR82" s="133"/>
      <c r="AS82" s="133"/>
      <c r="AT82" s="133"/>
      <c r="AU82" s="133"/>
      <c r="AV82" s="133"/>
      <c r="AW82" s="133"/>
      <c r="AX82" s="133"/>
      <c r="AY82" s="133"/>
      <c r="AZ82" s="133"/>
      <c r="BA82" s="133"/>
      <c r="BB82" s="133"/>
      <c r="BC82" s="133"/>
      <c r="BD82" s="133"/>
      <c r="BE82" s="133"/>
      <c r="BF82" s="133"/>
      <c r="BG82" s="133"/>
      <c r="BH82" s="133"/>
      <c r="BI82" s="133"/>
      <c r="BJ82" s="133"/>
      <c r="BK82" s="133"/>
      <c r="BL82" s="133"/>
      <c r="BM82" s="133"/>
      <c r="BN82" s="133"/>
      <c r="BO82" s="133"/>
      <c r="BP82" s="133"/>
      <c r="BQ82" s="133"/>
      <c r="BR82" s="133"/>
      <c r="BS82" s="133"/>
      <c r="BT82" s="133"/>
      <c r="BU82" s="133"/>
      <c r="BV82" s="133"/>
      <c r="BW82" s="133"/>
      <c r="BX82" s="133"/>
      <c r="BY82" s="133"/>
      <c r="BZ82" s="133"/>
      <c r="CA82" s="133"/>
      <c r="CB82" s="133"/>
      <c r="CC82" s="133"/>
      <c r="CD82" s="133"/>
      <c r="CE82" s="133"/>
      <c r="CF82" s="133"/>
      <c r="CG82" s="133"/>
      <c r="CH82" s="133"/>
      <c r="CI82" s="133"/>
      <c r="CJ82" s="133"/>
      <c r="CK82" s="133"/>
      <c r="CL82" s="133"/>
      <c r="CM82" s="133"/>
      <c r="CN82" s="133"/>
      <c r="CO82" s="133"/>
      <c r="CP82" s="133"/>
      <c r="CQ82" s="133"/>
      <c r="CR82" s="133"/>
      <c r="CS82" s="133"/>
      <c r="CT82" s="133"/>
      <c r="CU82" s="133"/>
      <c r="CV82" s="133"/>
      <c r="CW82" s="133"/>
      <c r="CX82" s="133"/>
      <c r="CY82" s="133"/>
      <c r="CZ82" s="133"/>
      <c r="DA82" s="133"/>
      <c r="DB82" s="133"/>
      <c r="DC82" s="133"/>
      <c r="DD82" s="133"/>
      <c r="DE82" s="133"/>
      <c r="DF82" s="133"/>
      <c r="DG82" s="133"/>
      <c r="DH82" s="133"/>
      <c r="DI82" s="133"/>
      <c r="DJ82" s="133"/>
      <c r="DK82" s="133"/>
      <c r="DL82" s="133"/>
      <c r="DM82" s="133"/>
      <c r="DN82" s="133"/>
      <c r="DO82" s="133"/>
      <c r="DP82" s="133">
        <v>0</v>
      </c>
      <c r="DQ82" s="133"/>
      <c r="DR82" s="133"/>
      <c r="DS82" s="133">
        <v>0</v>
      </c>
      <c r="DT82" s="133">
        <v>0</v>
      </c>
      <c r="DU82" s="133"/>
      <c r="DV82" s="133"/>
      <c r="DW82" s="133"/>
      <c r="DX82" s="133">
        <v>0</v>
      </c>
      <c r="DY82" s="133"/>
      <c r="DZ82" s="133"/>
      <c r="EA82" s="133"/>
      <c r="EB82" s="133"/>
      <c r="EC82" s="133"/>
      <c r="ED82" s="133"/>
      <c r="EE82" s="133"/>
      <c r="EF82" s="133"/>
      <c r="EG82" s="133"/>
      <c r="EH82" s="133"/>
      <c r="EI82" s="133"/>
      <c r="EJ82" s="133"/>
      <c r="EK82" s="133"/>
      <c r="EL82" s="133"/>
      <c r="EM82" s="133"/>
      <c r="EN82" s="133"/>
      <c r="EO82" s="133"/>
      <c r="EP82" s="133"/>
      <c r="EQ82" s="133"/>
      <c r="ER82" s="133"/>
      <c r="ES82" s="133">
        <v>1247.90002314815</v>
      </c>
      <c r="ET82" s="133"/>
      <c r="EU82" s="133"/>
      <c r="EV82" s="133">
        <v>1247.90002314815</v>
      </c>
    </row>
    <row r="83" spans="1:152">
      <c r="A83" s="270" t="s">
        <v>173</v>
      </c>
      <c r="B83" s="133"/>
      <c r="C83" s="133"/>
      <c r="D83" s="133"/>
      <c r="E83" s="133"/>
      <c r="F83" s="133"/>
      <c r="G83" s="133"/>
      <c r="H83" s="133">
        <v>1492.6999537037</v>
      </c>
      <c r="I83" s="133"/>
      <c r="J83" s="133"/>
      <c r="K83" s="133"/>
      <c r="L83" s="133"/>
      <c r="M83" s="133"/>
      <c r="N83" s="133"/>
      <c r="O83" s="133"/>
      <c r="P83" s="133"/>
      <c r="Q83" s="133"/>
      <c r="R83" s="133"/>
      <c r="S83" s="133"/>
      <c r="T83" s="133"/>
      <c r="U83" s="133"/>
      <c r="V83" s="133"/>
      <c r="W83" s="133"/>
      <c r="X83" s="133"/>
      <c r="Y83" s="133"/>
      <c r="Z83" s="133"/>
      <c r="AA83" s="133"/>
      <c r="AB83" s="133"/>
      <c r="AC83" s="133"/>
      <c r="AD83" s="133"/>
      <c r="AE83" s="133"/>
      <c r="AF83" s="133"/>
      <c r="AG83" s="133"/>
      <c r="AH83" s="133"/>
      <c r="AI83" s="133"/>
      <c r="AJ83" s="133"/>
      <c r="AK83" s="133"/>
      <c r="AL83" s="133"/>
      <c r="AM83" s="133"/>
      <c r="AN83" s="133"/>
      <c r="AO83" s="133"/>
      <c r="AP83" s="133"/>
      <c r="AQ83" s="133"/>
      <c r="AR83" s="133"/>
      <c r="AS83" s="133"/>
      <c r="AT83" s="133"/>
      <c r="AU83" s="133"/>
      <c r="AV83" s="133"/>
      <c r="AW83" s="133"/>
      <c r="AX83" s="133"/>
      <c r="AY83" s="133"/>
      <c r="AZ83" s="133"/>
      <c r="BA83" s="133"/>
      <c r="BB83" s="133"/>
      <c r="BC83" s="133"/>
      <c r="BD83" s="133"/>
      <c r="BE83" s="133"/>
      <c r="BF83" s="133"/>
      <c r="BG83" s="133"/>
      <c r="BH83" s="133"/>
      <c r="BI83" s="133">
        <v>1492.6999537037</v>
      </c>
      <c r="BJ83" s="133"/>
      <c r="BK83" s="133"/>
      <c r="BL83" s="133"/>
      <c r="BM83" s="133"/>
      <c r="BN83" s="133"/>
      <c r="BO83" s="133"/>
      <c r="BP83" s="133"/>
      <c r="BQ83" s="133"/>
      <c r="BR83" s="133"/>
      <c r="BS83" s="133"/>
      <c r="BT83" s="133"/>
      <c r="BU83" s="133"/>
      <c r="BV83" s="133"/>
      <c r="BW83" s="133"/>
      <c r="BX83" s="133"/>
      <c r="BY83" s="133"/>
      <c r="BZ83" s="133"/>
      <c r="CA83" s="133"/>
      <c r="CB83" s="133"/>
      <c r="CC83" s="133"/>
      <c r="CD83" s="133"/>
      <c r="CE83" s="133"/>
      <c r="CF83" s="133"/>
      <c r="CG83" s="133"/>
      <c r="CH83" s="133"/>
      <c r="CI83" s="133"/>
      <c r="CJ83" s="133"/>
      <c r="CK83" s="133"/>
      <c r="CL83" s="133"/>
      <c r="CM83" s="133"/>
      <c r="CN83" s="133"/>
      <c r="CO83" s="133"/>
      <c r="CP83" s="133"/>
      <c r="CQ83" s="133"/>
      <c r="CR83" s="133"/>
      <c r="CS83" s="133"/>
      <c r="CT83" s="133"/>
      <c r="CU83" s="133"/>
      <c r="CV83" s="133"/>
      <c r="CW83" s="133"/>
      <c r="CX83" s="133"/>
      <c r="CY83" s="133"/>
      <c r="CZ83" s="133"/>
      <c r="DA83" s="133"/>
      <c r="DB83" s="133"/>
      <c r="DC83" s="133"/>
      <c r="DD83" s="133"/>
      <c r="DE83" s="133"/>
      <c r="DF83" s="133"/>
      <c r="DG83" s="133"/>
      <c r="DH83" s="133"/>
      <c r="DI83" s="133"/>
      <c r="DJ83" s="133"/>
      <c r="DK83" s="133"/>
      <c r="DL83" s="133"/>
      <c r="DM83" s="133"/>
      <c r="DN83" s="133"/>
      <c r="DO83" s="133"/>
      <c r="DP83" s="133"/>
      <c r="DQ83" s="133"/>
      <c r="DR83" s="133"/>
      <c r="DS83" s="133"/>
      <c r="DT83" s="133"/>
      <c r="DU83" s="133"/>
      <c r="DV83" s="133"/>
      <c r="DW83" s="133">
        <v>0</v>
      </c>
      <c r="DX83" s="133"/>
      <c r="DY83" s="133"/>
      <c r="DZ83" s="133"/>
      <c r="EA83" s="133">
        <v>1492.6999537037</v>
      </c>
      <c r="EB83" s="133">
        <v>0</v>
      </c>
      <c r="EC83" s="133">
        <v>0</v>
      </c>
      <c r="ED83" s="133">
        <v>0</v>
      </c>
      <c r="EE83" s="133">
        <v>0</v>
      </c>
      <c r="EF83" s="133">
        <v>0</v>
      </c>
      <c r="EG83" s="133">
        <v>0</v>
      </c>
      <c r="EH83" s="133"/>
      <c r="EI83" s="133"/>
      <c r="EJ83" s="133">
        <v>1492.6999537037</v>
      </c>
      <c r="EK83" s="133">
        <v>1247.90002314815</v>
      </c>
      <c r="EL83" s="133"/>
      <c r="EM83" s="133"/>
      <c r="EN83" s="133"/>
      <c r="EO83" s="133"/>
      <c r="EP83" s="133"/>
      <c r="EQ83" s="133"/>
      <c r="ER83" s="133"/>
      <c r="ES83" s="133"/>
      <c r="ET83" s="133">
        <v>1247.90002314815</v>
      </c>
      <c r="EU83" s="133"/>
      <c r="EV83" s="133">
        <v>1492.6999537037</v>
      </c>
    </row>
    <row r="84" spans="1:152">
      <c r="A84" s="269" t="s">
        <v>170</v>
      </c>
      <c r="B84" s="133"/>
      <c r="C84" s="133"/>
      <c r="D84" s="133"/>
      <c r="E84" s="133">
        <v>0</v>
      </c>
      <c r="F84" s="133">
        <v>1530.5</v>
      </c>
      <c r="G84" s="133">
        <v>1325.40002314815</v>
      </c>
      <c r="H84" s="133">
        <v>1530.5</v>
      </c>
      <c r="I84" s="133">
        <v>1467.09997685185</v>
      </c>
      <c r="J84" s="133">
        <v>1530.5</v>
      </c>
      <c r="K84" s="133">
        <v>1530.5</v>
      </c>
      <c r="L84" s="133">
        <v>1530.5</v>
      </c>
      <c r="M84" s="133"/>
      <c r="N84" s="133">
        <v>1453.59997685185</v>
      </c>
      <c r="O84" s="133"/>
      <c r="P84" s="133">
        <v>0</v>
      </c>
      <c r="Q84" s="133">
        <v>0</v>
      </c>
      <c r="R84" s="133">
        <v>0</v>
      </c>
      <c r="S84" s="133">
        <v>0</v>
      </c>
      <c r="T84" s="133"/>
      <c r="U84" s="133">
        <v>1500.09997685185</v>
      </c>
      <c r="V84" s="133">
        <v>1500.09997685185</v>
      </c>
      <c r="W84" s="133"/>
      <c r="X84" s="133">
        <v>1500.09997685185</v>
      </c>
      <c r="Y84" s="133">
        <v>1450.09997685185</v>
      </c>
      <c r="Z84" s="133">
        <v>1450.09997685185</v>
      </c>
      <c r="AA84" s="133">
        <v>0</v>
      </c>
      <c r="AB84" s="133">
        <v>1325.59997685185</v>
      </c>
      <c r="AC84" s="133">
        <v>0</v>
      </c>
      <c r="AD84" s="133">
        <v>1451.59997685185</v>
      </c>
      <c r="AE84" s="133">
        <v>1450.09997685185</v>
      </c>
      <c r="AF84" s="133">
        <v>1450.09997685185</v>
      </c>
      <c r="AG84" s="133">
        <v>1450.09997685185</v>
      </c>
      <c r="AH84" s="133">
        <v>0</v>
      </c>
      <c r="AI84" s="133">
        <v>1325.40002314815</v>
      </c>
      <c r="AJ84" s="133">
        <v>1450.09997685185</v>
      </c>
      <c r="AK84" s="133">
        <v>1453.59997685185</v>
      </c>
      <c r="AL84" s="133">
        <v>1325.40002314815</v>
      </c>
      <c r="AM84" s="133">
        <v>1325.40002314815</v>
      </c>
      <c r="AN84" s="133">
        <v>1325.40002314815</v>
      </c>
      <c r="AO84" s="133">
        <v>1325.40002314815</v>
      </c>
      <c r="AP84" s="133">
        <v>1453.59997685185</v>
      </c>
      <c r="AQ84" s="133">
        <v>1453.59997685185</v>
      </c>
      <c r="AR84" s="133">
        <v>1325.40002314815</v>
      </c>
      <c r="AS84" s="133">
        <v>1325.40002314815</v>
      </c>
      <c r="AT84" s="133"/>
      <c r="AU84" s="133"/>
      <c r="AV84" s="133">
        <v>1325.40002314815</v>
      </c>
      <c r="AW84" s="133">
        <v>1325.40002314815</v>
      </c>
      <c r="AX84" s="133">
        <v>1325.40002314815</v>
      </c>
      <c r="AY84" s="133">
        <v>1325.40002314815</v>
      </c>
      <c r="AZ84" s="133"/>
      <c r="BA84" s="133"/>
      <c r="BB84" s="133">
        <v>1325.40002314815</v>
      </c>
      <c r="BC84" s="133">
        <v>1325.40002314815</v>
      </c>
      <c r="BD84" s="133">
        <v>0</v>
      </c>
      <c r="BE84" s="133">
        <v>0</v>
      </c>
      <c r="BF84" s="133">
        <v>0</v>
      </c>
      <c r="BG84" s="133">
        <v>0</v>
      </c>
      <c r="BH84" s="133">
        <v>0</v>
      </c>
      <c r="BI84" s="133">
        <v>1450.09997685185</v>
      </c>
      <c r="BJ84" s="133">
        <v>0</v>
      </c>
      <c r="BK84" s="133">
        <v>0</v>
      </c>
      <c r="BL84" s="133">
        <v>0</v>
      </c>
      <c r="BM84" s="133">
        <v>0</v>
      </c>
      <c r="BN84" s="133">
        <v>0</v>
      </c>
      <c r="BO84" s="133">
        <v>0</v>
      </c>
      <c r="BP84" s="133">
        <v>0</v>
      </c>
      <c r="BQ84" s="133"/>
      <c r="BR84" s="133">
        <v>0</v>
      </c>
      <c r="BS84" s="133">
        <v>0</v>
      </c>
      <c r="BT84" s="133"/>
      <c r="BU84" s="133"/>
      <c r="BV84" s="133"/>
      <c r="BW84" s="133"/>
      <c r="BX84" s="133"/>
      <c r="BY84" s="133"/>
      <c r="BZ84" s="133"/>
      <c r="CA84" s="133"/>
      <c r="CB84" s="133"/>
      <c r="CC84" s="133"/>
      <c r="CD84" s="133"/>
      <c r="CE84" s="133"/>
      <c r="CF84" s="133"/>
      <c r="CG84" s="133"/>
      <c r="CH84" s="133"/>
      <c r="CI84" s="133"/>
      <c r="CJ84" s="133"/>
      <c r="CK84" s="133"/>
      <c r="CL84" s="133"/>
      <c r="CM84" s="133"/>
      <c r="CN84" s="133"/>
      <c r="CO84" s="133"/>
      <c r="CP84" s="133"/>
      <c r="CQ84" s="133"/>
      <c r="CR84" s="133"/>
      <c r="CS84" s="133"/>
      <c r="CT84" s="133"/>
      <c r="CU84" s="133"/>
      <c r="CV84" s="133"/>
      <c r="CW84" s="133">
        <v>1325.40002314815</v>
      </c>
      <c r="CX84" s="133">
        <v>1325.40002314815</v>
      </c>
      <c r="CY84" s="133">
        <v>1325.40002314815</v>
      </c>
      <c r="CZ84" s="133">
        <v>1325.40002314815</v>
      </c>
      <c r="DA84" s="133">
        <v>1325.40002314815</v>
      </c>
      <c r="DB84" s="133">
        <v>0</v>
      </c>
      <c r="DC84" s="133"/>
      <c r="DD84" s="133"/>
      <c r="DE84" s="133">
        <v>0</v>
      </c>
      <c r="DF84" s="133"/>
      <c r="DG84" s="133">
        <v>0</v>
      </c>
      <c r="DH84" s="133">
        <v>0</v>
      </c>
      <c r="DI84" s="133"/>
      <c r="DJ84" s="133">
        <v>0</v>
      </c>
      <c r="DK84" s="133">
        <v>0</v>
      </c>
      <c r="DL84" s="133"/>
      <c r="DM84" s="133">
        <v>0</v>
      </c>
      <c r="DN84" s="133">
        <v>0</v>
      </c>
      <c r="DO84" s="133">
        <v>0</v>
      </c>
      <c r="DP84" s="133">
        <v>0</v>
      </c>
      <c r="DQ84" s="133">
        <v>0</v>
      </c>
      <c r="DR84" s="133">
        <v>0</v>
      </c>
      <c r="DS84" s="133">
        <v>0</v>
      </c>
      <c r="DT84" s="133">
        <v>0</v>
      </c>
      <c r="DU84" s="133"/>
      <c r="DV84" s="133"/>
      <c r="DW84" s="133">
        <v>0</v>
      </c>
      <c r="DX84" s="133"/>
      <c r="DY84" s="133"/>
      <c r="DZ84" s="133"/>
      <c r="EA84" s="133">
        <v>1450.09997685185</v>
      </c>
      <c r="EB84" s="133"/>
      <c r="EC84" s="133">
        <v>0</v>
      </c>
      <c r="ED84" s="133">
        <v>0</v>
      </c>
      <c r="EE84" s="133"/>
      <c r="EF84" s="133"/>
      <c r="EG84" s="133">
        <v>0</v>
      </c>
      <c r="EH84" s="133">
        <v>0</v>
      </c>
      <c r="EI84" s="133"/>
      <c r="EJ84" s="133">
        <v>1325.40002314815</v>
      </c>
      <c r="EK84" s="133">
        <v>1325.40002314815</v>
      </c>
      <c r="EL84" s="133">
        <v>0</v>
      </c>
      <c r="EM84" s="133"/>
      <c r="EN84" s="133"/>
      <c r="EO84" s="133"/>
      <c r="EP84" s="133"/>
      <c r="EQ84" s="133"/>
      <c r="ER84" s="133"/>
      <c r="ES84" s="133"/>
      <c r="ET84" s="133"/>
      <c r="EU84" s="133"/>
      <c r="EV84" s="133">
        <v>1530.5</v>
      </c>
    </row>
    <row r="85" spans="1:152">
      <c r="A85" s="270" t="s">
        <v>87</v>
      </c>
      <c r="B85" s="133"/>
      <c r="C85" s="133"/>
      <c r="D85" s="133"/>
      <c r="E85" s="133"/>
      <c r="F85" s="133">
        <v>1530.5</v>
      </c>
      <c r="G85" s="133">
        <v>1325.40002314815</v>
      </c>
      <c r="H85" s="133">
        <v>1530.5</v>
      </c>
      <c r="I85" s="133">
        <v>1467.09997685185</v>
      </c>
      <c r="J85" s="133">
        <v>1530.5</v>
      </c>
      <c r="K85" s="133">
        <v>1530.5</v>
      </c>
      <c r="L85" s="133">
        <v>1530.5</v>
      </c>
      <c r="M85" s="133"/>
      <c r="N85" s="133">
        <v>1453.59997685185</v>
      </c>
      <c r="O85" s="133"/>
      <c r="P85" s="133">
        <v>0</v>
      </c>
      <c r="Q85" s="133">
        <v>0</v>
      </c>
      <c r="R85" s="133">
        <v>0</v>
      </c>
      <c r="S85" s="133">
        <v>0</v>
      </c>
      <c r="T85" s="133"/>
      <c r="U85" s="133">
        <v>1500.09997685185</v>
      </c>
      <c r="V85" s="133">
        <v>1500.09997685185</v>
      </c>
      <c r="W85" s="133"/>
      <c r="X85" s="133">
        <v>1500.09997685185</v>
      </c>
      <c r="Y85" s="133">
        <v>1450.09997685185</v>
      </c>
      <c r="Z85" s="133">
        <v>1450.09997685185</v>
      </c>
      <c r="AA85" s="133">
        <v>0</v>
      </c>
      <c r="AB85" s="133">
        <v>1325.59997685185</v>
      </c>
      <c r="AC85" s="133">
        <v>0</v>
      </c>
      <c r="AD85" s="133">
        <v>1451.59997685185</v>
      </c>
      <c r="AE85" s="133">
        <v>1450.09997685185</v>
      </c>
      <c r="AF85" s="133">
        <v>1450.09997685185</v>
      </c>
      <c r="AG85" s="133">
        <v>1450.09997685185</v>
      </c>
      <c r="AH85" s="133">
        <v>0</v>
      </c>
      <c r="AI85" s="133">
        <v>1325.40002314815</v>
      </c>
      <c r="AJ85" s="133">
        <v>1450.09997685185</v>
      </c>
      <c r="AK85" s="133">
        <v>1453.59997685185</v>
      </c>
      <c r="AL85" s="133">
        <v>1325.40002314815</v>
      </c>
      <c r="AM85" s="133">
        <v>1325.40002314815</v>
      </c>
      <c r="AN85" s="133">
        <v>1325.40002314815</v>
      </c>
      <c r="AO85" s="133">
        <v>1325.40002314815</v>
      </c>
      <c r="AP85" s="133">
        <v>1453.59997685185</v>
      </c>
      <c r="AQ85" s="133">
        <v>1453.59997685185</v>
      </c>
      <c r="AR85" s="133">
        <v>1325.40002314815</v>
      </c>
      <c r="AS85" s="133">
        <v>1325.40002314815</v>
      </c>
      <c r="AT85" s="133"/>
      <c r="AU85" s="133"/>
      <c r="AV85" s="133">
        <v>1325.40002314815</v>
      </c>
      <c r="AW85" s="133">
        <v>1325.40002314815</v>
      </c>
      <c r="AX85" s="133">
        <v>1325.40002314815</v>
      </c>
      <c r="AY85" s="133">
        <v>1325.40002314815</v>
      </c>
      <c r="AZ85" s="133"/>
      <c r="BA85" s="133"/>
      <c r="BB85" s="133">
        <v>1325.40002314815</v>
      </c>
      <c r="BC85" s="133">
        <v>1325.40002314815</v>
      </c>
      <c r="BD85" s="133">
        <v>0</v>
      </c>
      <c r="BE85" s="133">
        <v>0</v>
      </c>
      <c r="BF85" s="133">
        <v>0</v>
      </c>
      <c r="BG85" s="133">
        <v>0</v>
      </c>
      <c r="BH85" s="133">
        <v>0</v>
      </c>
      <c r="BI85" s="133">
        <v>0</v>
      </c>
      <c r="BJ85" s="133">
        <v>0</v>
      </c>
      <c r="BK85" s="133">
        <v>0</v>
      </c>
      <c r="BL85" s="133">
        <v>0</v>
      </c>
      <c r="BM85" s="133">
        <v>0</v>
      </c>
      <c r="BN85" s="133">
        <v>0</v>
      </c>
      <c r="BO85" s="133">
        <v>0</v>
      </c>
      <c r="BP85" s="133">
        <v>0</v>
      </c>
      <c r="BQ85" s="133"/>
      <c r="BR85" s="133">
        <v>0</v>
      </c>
      <c r="BS85" s="133">
        <v>0</v>
      </c>
      <c r="BT85" s="133"/>
      <c r="BU85" s="133"/>
      <c r="BV85" s="133"/>
      <c r="BW85" s="133"/>
      <c r="BX85" s="133"/>
      <c r="BY85" s="133"/>
      <c r="BZ85" s="133"/>
      <c r="CA85" s="133"/>
      <c r="CB85" s="133"/>
      <c r="CC85" s="133"/>
      <c r="CD85" s="133"/>
      <c r="CE85" s="133"/>
      <c r="CF85" s="133"/>
      <c r="CG85" s="133"/>
      <c r="CH85" s="133"/>
      <c r="CI85" s="133"/>
      <c r="CJ85" s="133"/>
      <c r="CK85" s="133"/>
      <c r="CL85" s="133"/>
      <c r="CM85" s="133"/>
      <c r="CN85" s="133"/>
      <c r="CO85" s="133"/>
      <c r="CP85" s="133"/>
      <c r="CQ85" s="133"/>
      <c r="CR85" s="133"/>
      <c r="CS85" s="133"/>
      <c r="CT85" s="133"/>
      <c r="CU85" s="133"/>
      <c r="CV85" s="133"/>
      <c r="CW85" s="133">
        <v>1325.40002314815</v>
      </c>
      <c r="CX85" s="133">
        <v>1325.40002314815</v>
      </c>
      <c r="CY85" s="133">
        <v>1325.40002314815</v>
      </c>
      <c r="CZ85" s="133">
        <v>1325.40002314815</v>
      </c>
      <c r="DA85" s="133">
        <v>1325.40002314815</v>
      </c>
      <c r="DB85" s="133">
        <v>0</v>
      </c>
      <c r="DC85" s="133"/>
      <c r="DD85" s="133"/>
      <c r="DE85" s="133">
        <v>0</v>
      </c>
      <c r="DF85" s="133"/>
      <c r="DG85" s="133">
        <v>0</v>
      </c>
      <c r="DH85" s="133">
        <v>0</v>
      </c>
      <c r="DI85" s="133"/>
      <c r="DJ85" s="133">
        <v>0</v>
      </c>
      <c r="DK85" s="133">
        <v>0</v>
      </c>
      <c r="DL85" s="133"/>
      <c r="DM85" s="133"/>
      <c r="DN85" s="133"/>
      <c r="DO85" s="133"/>
      <c r="DP85" s="133"/>
      <c r="DQ85" s="133"/>
      <c r="DR85" s="133"/>
      <c r="DS85" s="133"/>
      <c r="DT85" s="133"/>
      <c r="DU85" s="133"/>
      <c r="DV85" s="133"/>
      <c r="DW85" s="133"/>
      <c r="DX85" s="133"/>
      <c r="DY85" s="133"/>
      <c r="DZ85" s="133"/>
      <c r="EA85" s="133"/>
      <c r="EB85" s="133"/>
      <c r="EC85" s="133"/>
      <c r="ED85" s="133"/>
      <c r="EE85" s="133"/>
      <c r="EF85" s="133"/>
      <c r="EG85" s="133"/>
      <c r="EH85" s="133"/>
      <c r="EI85" s="133"/>
      <c r="EJ85" s="133"/>
      <c r="EK85" s="133"/>
      <c r="EL85" s="133"/>
      <c r="EM85" s="133"/>
      <c r="EN85" s="133"/>
      <c r="EO85" s="133"/>
      <c r="EP85" s="133"/>
      <c r="EQ85" s="133"/>
      <c r="ER85" s="133"/>
      <c r="ES85" s="133"/>
      <c r="ET85" s="133"/>
      <c r="EU85" s="133"/>
      <c r="EV85" s="133">
        <v>1530.5</v>
      </c>
    </row>
    <row r="86" spans="1:152">
      <c r="A86" s="270" t="s">
        <v>172</v>
      </c>
      <c r="B86" s="133"/>
      <c r="C86" s="133"/>
      <c r="D86" s="133"/>
      <c r="E86" s="133">
        <v>0</v>
      </c>
      <c r="F86" s="133"/>
      <c r="G86" s="133"/>
      <c r="H86" s="133"/>
      <c r="I86" s="133"/>
      <c r="J86" s="133"/>
      <c r="K86" s="133"/>
      <c r="L86" s="133"/>
      <c r="M86" s="133"/>
      <c r="N86" s="133"/>
      <c r="O86" s="133"/>
      <c r="P86" s="133">
        <v>0</v>
      </c>
      <c r="Q86" s="133"/>
      <c r="R86" s="133"/>
      <c r="S86" s="133"/>
      <c r="T86" s="133"/>
      <c r="U86" s="133"/>
      <c r="V86" s="133">
        <v>0</v>
      </c>
      <c r="W86" s="133"/>
      <c r="X86" s="133">
        <v>0</v>
      </c>
      <c r="Y86" s="133"/>
      <c r="Z86" s="133"/>
      <c r="AA86" s="133"/>
      <c r="AB86" s="133"/>
      <c r="AC86" s="133"/>
      <c r="AD86" s="133"/>
      <c r="AE86" s="133"/>
      <c r="AF86" s="133"/>
      <c r="AG86" s="133"/>
      <c r="AH86" s="133"/>
      <c r="AI86" s="133"/>
      <c r="AJ86" s="133"/>
      <c r="AK86" s="133">
        <v>0</v>
      </c>
      <c r="AL86" s="133">
        <v>0</v>
      </c>
      <c r="AM86" s="133">
        <v>0</v>
      </c>
      <c r="AN86" s="133"/>
      <c r="AO86" s="133"/>
      <c r="AP86" s="133"/>
      <c r="AQ86" s="133"/>
      <c r="AR86" s="133"/>
      <c r="AS86" s="133"/>
      <c r="AT86" s="133"/>
      <c r="AU86" s="133"/>
      <c r="AV86" s="133"/>
      <c r="AW86" s="133"/>
      <c r="AX86" s="133"/>
      <c r="AY86" s="133"/>
      <c r="AZ86" s="133"/>
      <c r="BA86" s="133"/>
      <c r="BB86" s="133"/>
      <c r="BC86" s="133"/>
      <c r="BD86" s="133"/>
      <c r="BE86" s="133"/>
      <c r="BF86" s="133"/>
      <c r="BG86" s="133"/>
      <c r="BH86" s="133"/>
      <c r="BI86" s="133"/>
      <c r="BJ86" s="133"/>
      <c r="BK86" s="133"/>
      <c r="BL86" s="133"/>
      <c r="BM86" s="133"/>
      <c r="BN86" s="133"/>
      <c r="BO86" s="133"/>
      <c r="BP86" s="133"/>
      <c r="BQ86" s="133"/>
      <c r="BR86" s="133"/>
      <c r="BS86" s="133"/>
      <c r="BT86" s="133"/>
      <c r="BU86" s="133"/>
      <c r="BV86" s="133"/>
      <c r="BW86" s="133"/>
      <c r="BX86" s="133"/>
      <c r="BY86" s="133"/>
      <c r="BZ86" s="133"/>
      <c r="CA86" s="133"/>
      <c r="CB86" s="133"/>
      <c r="CC86" s="133"/>
      <c r="CD86" s="133"/>
      <c r="CE86" s="133"/>
      <c r="CF86" s="133"/>
      <c r="CG86" s="133"/>
      <c r="CH86" s="133"/>
      <c r="CI86" s="133"/>
      <c r="CJ86" s="133"/>
      <c r="CK86" s="133"/>
      <c r="CL86" s="133"/>
      <c r="CM86" s="133"/>
      <c r="CN86" s="133"/>
      <c r="CO86" s="133"/>
      <c r="CP86" s="133"/>
      <c r="CQ86" s="133"/>
      <c r="CR86" s="133"/>
      <c r="CS86" s="133"/>
      <c r="CT86" s="133"/>
      <c r="CU86" s="133"/>
      <c r="CV86" s="133"/>
      <c r="CW86" s="133"/>
      <c r="CX86" s="133"/>
      <c r="CY86" s="133"/>
      <c r="CZ86" s="133"/>
      <c r="DA86" s="133"/>
      <c r="DB86" s="133"/>
      <c r="DC86" s="133"/>
      <c r="DD86" s="133"/>
      <c r="DE86" s="133"/>
      <c r="DF86" s="133"/>
      <c r="DG86" s="133"/>
      <c r="DH86" s="133"/>
      <c r="DI86" s="133"/>
      <c r="DJ86" s="133"/>
      <c r="DK86" s="133"/>
      <c r="DL86" s="133"/>
      <c r="DM86" s="133">
        <v>0</v>
      </c>
      <c r="DN86" s="133">
        <v>0</v>
      </c>
      <c r="DO86" s="133">
        <v>0</v>
      </c>
      <c r="DP86" s="133">
        <v>0</v>
      </c>
      <c r="DQ86" s="133">
        <v>0</v>
      </c>
      <c r="DR86" s="133">
        <v>0</v>
      </c>
      <c r="DS86" s="133">
        <v>0</v>
      </c>
      <c r="DT86" s="133">
        <v>0</v>
      </c>
      <c r="DU86" s="133"/>
      <c r="DV86" s="133"/>
      <c r="DW86" s="133"/>
      <c r="DX86" s="133"/>
      <c r="DY86" s="133"/>
      <c r="DZ86" s="133"/>
      <c r="EA86" s="133"/>
      <c r="EB86" s="133"/>
      <c r="EC86" s="133"/>
      <c r="ED86" s="133"/>
      <c r="EE86" s="133"/>
      <c r="EF86" s="133"/>
      <c r="EG86" s="133"/>
      <c r="EH86" s="133"/>
      <c r="EI86" s="133"/>
      <c r="EJ86" s="133"/>
      <c r="EK86" s="133"/>
      <c r="EL86" s="133"/>
      <c r="EM86" s="133"/>
      <c r="EN86" s="133"/>
      <c r="EO86" s="133"/>
      <c r="EP86" s="133"/>
      <c r="EQ86" s="133"/>
      <c r="ER86" s="133"/>
      <c r="ES86" s="133"/>
      <c r="ET86" s="133"/>
      <c r="EU86" s="133"/>
      <c r="EV86" s="133">
        <v>0</v>
      </c>
    </row>
    <row r="87" spans="1:152">
      <c r="A87" s="270" t="s">
        <v>173</v>
      </c>
      <c r="B87" s="133"/>
      <c r="C87" s="133"/>
      <c r="D87" s="133"/>
      <c r="E87" s="133"/>
      <c r="F87" s="133"/>
      <c r="G87" s="133"/>
      <c r="H87" s="133">
        <v>1450.09997685185</v>
      </c>
      <c r="I87" s="133"/>
      <c r="J87" s="133"/>
      <c r="K87" s="133"/>
      <c r="L87" s="133"/>
      <c r="M87" s="133"/>
      <c r="N87" s="133"/>
      <c r="O87" s="133"/>
      <c r="P87" s="133"/>
      <c r="Q87" s="133"/>
      <c r="R87" s="133"/>
      <c r="S87" s="133"/>
      <c r="T87" s="133"/>
      <c r="U87" s="133"/>
      <c r="V87" s="133"/>
      <c r="W87" s="133"/>
      <c r="X87" s="133"/>
      <c r="Y87" s="133"/>
      <c r="Z87" s="133"/>
      <c r="AA87" s="133"/>
      <c r="AB87" s="133"/>
      <c r="AC87" s="133"/>
      <c r="AD87" s="133"/>
      <c r="AE87" s="133"/>
      <c r="AF87" s="133"/>
      <c r="AG87" s="133"/>
      <c r="AH87" s="133"/>
      <c r="AI87" s="133"/>
      <c r="AJ87" s="133"/>
      <c r="AK87" s="133"/>
      <c r="AL87" s="133"/>
      <c r="AM87" s="133"/>
      <c r="AN87" s="133"/>
      <c r="AO87" s="133"/>
      <c r="AP87" s="133"/>
      <c r="AQ87" s="133"/>
      <c r="AR87" s="133"/>
      <c r="AS87" s="133"/>
      <c r="AT87" s="133"/>
      <c r="AU87" s="133"/>
      <c r="AV87" s="133"/>
      <c r="AW87" s="133"/>
      <c r="AX87" s="133"/>
      <c r="AY87" s="133"/>
      <c r="AZ87" s="133"/>
      <c r="BA87" s="133"/>
      <c r="BB87" s="133"/>
      <c r="BC87" s="133"/>
      <c r="BD87" s="133"/>
      <c r="BE87" s="133"/>
      <c r="BF87" s="133"/>
      <c r="BG87" s="133"/>
      <c r="BH87" s="133"/>
      <c r="BI87" s="133">
        <v>1450.09997685185</v>
      </c>
      <c r="BJ87" s="133"/>
      <c r="BK87" s="133"/>
      <c r="BL87" s="133"/>
      <c r="BM87" s="133"/>
      <c r="BN87" s="133"/>
      <c r="BO87" s="133"/>
      <c r="BP87" s="133"/>
      <c r="BQ87" s="133"/>
      <c r="BR87" s="133"/>
      <c r="BS87" s="133"/>
      <c r="BT87" s="133"/>
      <c r="BU87" s="133"/>
      <c r="BV87" s="133"/>
      <c r="BW87" s="133"/>
      <c r="BX87" s="133"/>
      <c r="BY87" s="133"/>
      <c r="BZ87" s="133"/>
      <c r="CA87" s="133"/>
      <c r="CB87" s="133"/>
      <c r="CC87" s="133"/>
      <c r="CD87" s="133"/>
      <c r="CE87" s="133"/>
      <c r="CF87" s="133"/>
      <c r="CG87" s="133"/>
      <c r="CH87" s="133"/>
      <c r="CI87" s="133"/>
      <c r="CJ87" s="133"/>
      <c r="CK87" s="133"/>
      <c r="CL87" s="133"/>
      <c r="CM87" s="133"/>
      <c r="CN87" s="133"/>
      <c r="CO87" s="133"/>
      <c r="CP87" s="133"/>
      <c r="CQ87" s="133"/>
      <c r="CR87" s="133"/>
      <c r="CS87" s="133"/>
      <c r="CT87" s="133"/>
      <c r="CU87" s="133"/>
      <c r="CV87" s="133"/>
      <c r="CW87" s="133"/>
      <c r="CX87" s="133"/>
      <c r="CY87" s="133"/>
      <c r="CZ87" s="133"/>
      <c r="DA87" s="133"/>
      <c r="DB87" s="133"/>
      <c r="DC87" s="133"/>
      <c r="DD87" s="133"/>
      <c r="DE87" s="133"/>
      <c r="DF87" s="133"/>
      <c r="DG87" s="133"/>
      <c r="DH87" s="133"/>
      <c r="DI87" s="133"/>
      <c r="DJ87" s="133"/>
      <c r="DK87" s="133"/>
      <c r="DL87" s="133"/>
      <c r="DM87" s="133"/>
      <c r="DN87" s="133"/>
      <c r="DO87" s="133"/>
      <c r="DP87" s="133"/>
      <c r="DQ87" s="133"/>
      <c r="DR87" s="133"/>
      <c r="DS87" s="133"/>
      <c r="DT87" s="133"/>
      <c r="DU87" s="133"/>
      <c r="DV87" s="133"/>
      <c r="DW87" s="133">
        <v>0</v>
      </c>
      <c r="DX87" s="133"/>
      <c r="DY87" s="133"/>
      <c r="DZ87" s="133"/>
      <c r="EA87" s="133">
        <v>1450.09997685185</v>
      </c>
      <c r="EB87" s="133"/>
      <c r="EC87" s="133">
        <v>0</v>
      </c>
      <c r="ED87" s="133">
        <v>0</v>
      </c>
      <c r="EE87" s="133"/>
      <c r="EF87" s="133"/>
      <c r="EG87" s="133">
        <v>0</v>
      </c>
      <c r="EH87" s="133">
        <v>0</v>
      </c>
      <c r="EI87" s="133"/>
      <c r="EJ87" s="133">
        <v>1325.40002314815</v>
      </c>
      <c r="EK87" s="133">
        <v>1325.40002314815</v>
      </c>
      <c r="EL87" s="133">
        <v>0</v>
      </c>
      <c r="EM87" s="133"/>
      <c r="EN87" s="133"/>
      <c r="EO87" s="133"/>
      <c r="EP87" s="133"/>
      <c r="EQ87" s="133"/>
      <c r="ER87" s="133"/>
      <c r="ES87" s="133"/>
      <c r="ET87" s="133"/>
      <c r="EU87" s="133"/>
      <c r="EV87" s="133">
        <v>1450.09997685185</v>
      </c>
    </row>
    <row r="88" spans="1:152">
      <c r="A88" s="269" t="s">
        <v>158</v>
      </c>
      <c r="B88" s="133"/>
      <c r="C88" s="133">
        <v>0</v>
      </c>
      <c r="D88" s="133"/>
      <c r="E88" s="133">
        <v>0</v>
      </c>
      <c r="F88" s="133">
        <v>5447.2001967592596</v>
      </c>
      <c r="G88" s="133">
        <v>4990.10009259259</v>
      </c>
      <c r="H88" s="133">
        <v>5447.2001967592596</v>
      </c>
      <c r="I88" s="133">
        <v>5363.7001967592596</v>
      </c>
      <c r="J88" s="133">
        <v>5447.2001967592596</v>
      </c>
      <c r="K88" s="133">
        <v>5447.2001967592596</v>
      </c>
      <c r="L88" s="133">
        <v>5447.2001967592596</v>
      </c>
      <c r="M88" s="133">
        <v>5447.2001967592596</v>
      </c>
      <c r="N88" s="133"/>
      <c r="O88" s="133"/>
      <c r="P88" s="133">
        <v>0</v>
      </c>
      <c r="Q88" s="133">
        <v>0</v>
      </c>
      <c r="R88" s="133">
        <v>0</v>
      </c>
      <c r="S88" s="133">
        <v>0</v>
      </c>
      <c r="T88" s="133"/>
      <c r="U88" s="133">
        <v>5405.10009259259</v>
      </c>
      <c r="V88" s="133">
        <v>5405.10009259259</v>
      </c>
      <c r="W88" s="133"/>
      <c r="X88" s="133">
        <v>5405.10009259259</v>
      </c>
      <c r="Y88" s="133">
        <v>5360.10009259259</v>
      </c>
      <c r="Z88" s="133">
        <v>5360.10009259259</v>
      </c>
      <c r="AA88" s="133">
        <v>0</v>
      </c>
      <c r="AB88" s="133"/>
      <c r="AC88" s="133">
        <v>0</v>
      </c>
      <c r="AD88" s="133">
        <v>5360.10009259259</v>
      </c>
      <c r="AE88" s="133">
        <v>5360.10009259259</v>
      </c>
      <c r="AF88" s="133">
        <v>5360.10009259259</v>
      </c>
      <c r="AG88" s="133">
        <v>5360.10009259259</v>
      </c>
      <c r="AH88" s="133">
        <v>0</v>
      </c>
      <c r="AI88" s="133">
        <v>5235.10009259259</v>
      </c>
      <c r="AJ88" s="133">
        <v>5360.10009259259</v>
      </c>
      <c r="AK88" s="133"/>
      <c r="AL88" s="133">
        <v>4990.10009259259</v>
      </c>
      <c r="AM88" s="133">
        <v>4990.10009259259</v>
      </c>
      <c r="AN88" s="133">
        <v>5235.10009259259</v>
      </c>
      <c r="AO88" s="133">
        <v>5235.10009259259</v>
      </c>
      <c r="AP88" s="133">
        <v>5360.10009259259</v>
      </c>
      <c r="AQ88" s="133">
        <v>5235.10009259259</v>
      </c>
      <c r="AR88" s="133">
        <v>5235.10009259259</v>
      </c>
      <c r="AS88" s="133">
        <v>5235.10009259259</v>
      </c>
      <c r="AT88" s="133"/>
      <c r="AU88" s="133"/>
      <c r="AV88" s="133">
        <v>5235.10009259259</v>
      </c>
      <c r="AW88" s="133">
        <v>5235.10009259259</v>
      </c>
      <c r="AX88" s="133">
        <v>5235.10009259259</v>
      </c>
      <c r="AY88" s="133">
        <v>5235.10009259259</v>
      </c>
      <c r="AZ88" s="133"/>
      <c r="BA88" s="133"/>
      <c r="BB88" s="133">
        <v>4990.10009259259</v>
      </c>
      <c r="BC88" s="133">
        <v>5235.10009259259</v>
      </c>
      <c r="BD88" s="133">
        <v>0</v>
      </c>
      <c r="BE88" s="133">
        <v>0</v>
      </c>
      <c r="BF88" s="133">
        <v>0</v>
      </c>
      <c r="BG88" s="133">
        <v>0</v>
      </c>
      <c r="BH88" s="133">
        <v>0</v>
      </c>
      <c r="BI88" s="133">
        <v>5360.10009259259</v>
      </c>
      <c r="BJ88" s="133">
        <v>0</v>
      </c>
      <c r="BK88" s="133">
        <v>0</v>
      </c>
      <c r="BL88" s="133">
        <v>0</v>
      </c>
      <c r="BM88" s="133">
        <v>0</v>
      </c>
      <c r="BN88" s="133">
        <v>0</v>
      </c>
      <c r="BO88" s="133">
        <v>0</v>
      </c>
      <c r="BP88" s="133">
        <v>0</v>
      </c>
      <c r="BQ88" s="133"/>
      <c r="BR88" s="133">
        <v>0</v>
      </c>
      <c r="BS88" s="133">
        <v>0</v>
      </c>
      <c r="BT88" s="133"/>
      <c r="BU88" s="133"/>
      <c r="BV88" s="133"/>
      <c r="BW88" s="133"/>
      <c r="BX88" s="133"/>
      <c r="BY88" s="133"/>
      <c r="BZ88" s="133"/>
      <c r="CA88" s="133"/>
      <c r="CB88" s="133"/>
      <c r="CC88" s="133"/>
      <c r="CD88" s="133"/>
      <c r="CE88" s="133"/>
      <c r="CF88" s="133"/>
      <c r="CG88" s="133"/>
      <c r="CH88" s="133"/>
      <c r="CI88" s="133"/>
      <c r="CJ88" s="133"/>
      <c r="CK88" s="133"/>
      <c r="CL88" s="133"/>
      <c r="CM88" s="133"/>
      <c r="CN88" s="133"/>
      <c r="CO88" s="133"/>
      <c r="CP88" s="133"/>
      <c r="CQ88" s="133"/>
      <c r="CR88" s="133"/>
      <c r="CS88" s="133"/>
      <c r="CT88" s="133"/>
      <c r="CU88" s="133"/>
      <c r="CV88" s="133"/>
      <c r="CW88" s="133">
        <v>5235.10009259259</v>
      </c>
      <c r="CX88" s="133">
        <v>4990.10009259259</v>
      </c>
      <c r="CY88" s="133">
        <v>4990.10009259259</v>
      </c>
      <c r="CZ88" s="133">
        <v>4990.10009259259</v>
      </c>
      <c r="DA88" s="133">
        <v>5235.10009259259</v>
      </c>
      <c r="DB88" s="133"/>
      <c r="DC88" s="133"/>
      <c r="DD88" s="133"/>
      <c r="DE88" s="133"/>
      <c r="DF88" s="133"/>
      <c r="DG88" s="133">
        <v>0</v>
      </c>
      <c r="DH88" s="133">
        <v>0</v>
      </c>
      <c r="DI88" s="133">
        <v>0</v>
      </c>
      <c r="DJ88" s="133">
        <v>0</v>
      </c>
      <c r="DK88" s="133"/>
      <c r="DL88" s="133"/>
      <c r="DM88" s="133"/>
      <c r="DN88" s="133"/>
      <c r="DO88" s="133"/>
      <c r="DP88" s="133">
        <v>0</v>
      </c>
      <c r="DQ88" s="133">
        <v>0</v>
      </c>
      <c r="DR88" s="133"/>
      <c r="DS88" s="133">
        <v>0</v>
      </c>
      <c r="DT88" s="133">
        <v>0</v>
      </c>
      <c r="DU88" s="133"/>
      <c r="DV88" s="133"/>
      <c r="DW88" s="133">
        <v>0</v>
      </c>
      <c r="DX88" s="133">
        <v>0</v>
      </c>
      <c r="DY88" s="133"/>
      <c r="DZ88" s="133">
        <v>0</v>
      </c>
      <c r="EA88" s="133">
        <v>5360.10009259259</v>
      </c>
      <c r="EB88" s="133">
        <v>0</v>
      </c>
      <c r="EC88" s="133">
        <v>0</v>
      </c>
      <c r="ED88" s="133">
        <v>0</v>
      </c>
      <c r="EE88" s="133">
        <v>0</v>
      </c>
      <c r="EF88" s="133">
        <v>0</v>
      </c>
      <c r="EG88" s="133">
        <v>0</v>
      </c>
      <c r="EH88" s="133"/>
      <c r="EI88" s="133"/>
      <c r="EJ88" s="133">
        <v>5235.10009259259</v>
      </c>
      <c r="EK88" s="133">
        <v>4990.10009259259</v>
      </c>
      <c r="EL88" s="133">
        <v>0</v>
      </c>
      <c r="EM88" s="133"/>
      <c r="EN88" s="133"/>
      <c r="EO88" s="133"/>
      <c r="EP88" s="133"/>
      <c r="EQ88" s="133"/>
      <c r="ER88" s="133"/>
      <c r="ES88" s="133"/>
      <c r="ET88" s="133"/>
      <c r="EU88" s="133">
        <v>0</v>
      </c>
      <c r="EV88" s="133">
        <v>5447.2001967592596</v>
      </c>
    </row>
    <row r="89" spans="1:152">
      <c r="A89" s="270" t="s">
        <v>87</v>
      </c>
      <c r="B89" s="133"/>
      <c r="C89" s="133">
        <v>0</v>
      </c>
      <c r="D89" s="133"/>
      <c r="E89" s="133">
        <v>0</v>
      </c>
      <c r="F89" s="133">
        <v>5447.2001967592596</v>
      </c>
      <c r="G89" s="133">
        <v>4990.10009259259</v>
      </c>
      <c r="H89" s="133">
        <v>5447.2001967592596</v>
      </c>
      <c r="I89" s="133">
        <v>5363.7001967592596</v>
      </c>
      <c r="J89" s="133">
        <v>5447.2001967592596</v>
      </c>
      <c r="K89" s="133">
        <v>5447.2001967592596</v>
      </c>
      <c r="L89" s="133">
        <v>5447.2001967592596</v>
      </c>
      <c r="M89" s="133">
        <v>5447.2001967592596</v>
      </c>
      <c r="N89" s="133"/>
      <c r="O89" s="133"/>
      <c r="P89" s="133">
        <v>0</v>
      </c>
      <c r="Q89" s="133">
        <v>0</v>
      </c>
      <c r="R89" s="133">
        <v>0</v>
      </c>
      <c r="S89" s="133">
        <v>0</v>
      </c>
      <c r="T89" s="133"/>
      <c r="U89" s="133">
        <v>5405.10009259259</v>
      </c>
      <c r="V89" s="133">
        <v>5405.10009259259</v>
      </c>
      <c r="W89" s="133"/>
      <c r="X89" s="133">
        <v>5405.10009259259</v>
      </c>
      <c r="Y89" s="133">
        <v>5360.10009259259</v>
      </c>
      <c r="Z89" s="133">
        <v>5360.10009259259</v>
      </c>
      <c r="AA89" s="133">
        <v>0</v>
      </c>
      <c r="AB89" s="133"/>
      <c r="AC89" s="133">
        <v>0</v>
      </c>
      <c r="AD89" s="133">
        <v>5360.10009259259</v>
      </c>
      <c r="AE89" s="133">
        <v>5360.10009259259</v>
      </c>
      <c r="AF89" s="133">
        <v>5360.10009259259</v>
      </c>
      <c r="AG89" s="133">
        <v>5360.10009259259</v>
      </c>
      <c r="AH89" s="133">
        <v>0</v>
      </c>
      <c r="AI89" s="133">
        <v>5235.10009259259</v>
      </c>
      <c r="AJ89" s="133">
        <v>5360.10009259259</v>
      </c>
      <c r="AK89" s="133"/>
      <c r="AL89" s="133">
        <v>4990.10009259259</v>
      </c>
      <c r="AM89" s="133">
        <v>4990.10009259259</v>
      </c>
      <c r="AN89" s="133">
        <v>5235.10009259259</v>
      </c>
      <c r="AO89" s="133">
        <v>5235.10009259259</v>
      </c>
      <c r="AP89" s="133">
        <v>5360.10009259259</v>
      </c>
      <c r="AQ89" s="133">
        <v>5235.10009259259</v>
      </c>
      <c r="AR89" s="133">
        <v>5235.10009259259</v>
      </c>
      <c r="AS89" s="133">
        <v>5235.10009259259</v>
      </c>
      <c r="AT89" s="133"/>
      <c r="AU89" s="133"/>
      <c r="AV89" s="133">
        <v>5235.10009259259</v>
      </c>
      <c r="AW89" s="133">
        <v>5235.10009259259</v>
      </c>
      <c r="AX89" s="133">
        <v>5235.10009259259</v>
      </c>
      <c r="AY89" s="133">
        <v>5235.10009259259</v>
      </c>
      <c r="AZ89" s="133"/>
      <c r="BA89" s="133"/>
      <c r="BB89" s="133">
        <v>4990.10009259259</v>
      </c>
      <c r="BC89" s="133">
        <v>5235.10009259259</v>
      </c>
      <c r="BD89" s="133">
        <v>0</v>
      </c>
      <c r="BE89" s="133">
        <v>0</v>
      </c>
      <c r="BF89" s="133">
        <v>0</v>
      </c>
      <c r="BG89" s="133">
        <v>0</v>
      </c>
      <c r="BH89" s="133">
        <v>0</v>
      </c>
      <c r="BI89" s="133">
        <v>0</v>
      </c>
      <c r="BJ89" s="133">
        <v>0</v>
      </c>
      <c r="BK89" s="133">
        <v>0</v>
      </c>
      <c r="BL89" s="133">
        <v>0</v>
      </c>
      <c r="BM89" s="133">
        <v>0</v>
      </c>
      <c r="BN89" s="133">
        <v>0</v>
      </c>
      <c r="BO89" s="133">
        <v>0</v>
      </c>
      <c r="BP89" s="133">
        <v>0</v>
      </c>
      <c r="BQ89" s="133"/>
      <c r="BR89" s="133">
        <v>0</v>
      </c>
      <c r="BS89" s="133">
        <v>0</v>
      </c>
      <c r="BT89" s="133"/>
      <c r="BU89" s="133"/>
      <c r="BV89" s="133"/>
      <c r="BW89" s="133"/>
      <c r="BX89" s="133"/>
      <c r="BY89" s="133"/>
      <c r="BZ89" s="133"/>
      <c r="CA89" s="133"/>
      <c r="CB89" s="133"/>
      <c r="CC89" s="133"/>
      <c r="CD89" s="133"/>
      <c r="CE89" s="133"/>
      <c r="CF89" s="133"/>
      <c r="CG89" s="133"/>
      <c r="CH89" s="133"/>
      <c r="CI89" s="133"/>
      <c r="CJ89" s="133"/>
      <c r="CK89" s="133"/>
      <c r="CL89" s="133"/>
      <c r="CM89" s="133"/>
      <c r="CN89" s="133"/>
      <c r="CO89" s="133"/>
      <c r="CP89" s="133"/>
      <c r="CQ89" s="133"/>
      <c r="CR89" s="133"/>
      <c r="CS89" s="133"/>
      <c r="CT89" s="133"/>
      <c r="CU89" s="133"/>
      <c r="CV89" s="133"/>
      <c r="CW89" s="133">
        <v>5235.10009259259</v>
      </c>
      <c r="CX89" s="133">
        <v>4990.10009259259</v>
      </c>
      <c r="CY89" s="133">
        <v>4990.10009259259</v>
      </c>
      <c r="CZ89" s="133">
        <v>4990.10009259259</v>
      </c>
      <c r="DA89" s="133">
        <v>5235.10009259259</v>
      </c>
      <c r="DB89" s="133"/>
      <c r="DC89" s="133"/>
      <c r="DD89" s="133"/>
      <c r="DE89" s="133"/>
      <c r="DF89" s="133"/>
      <c r="DG89" s="133">
        <v>0</v>
      </c>
      <c r="DH89" s="133">
        <v>0</v>
      </c>
      <c r="DI89" s="133">
        <v>0</v>
      </c>
      <c r="DJ89" s="133">
        <v>0</v>
      </c>
      <c r="DK89" s="133"/>
      <c r="DL89" s="133"/>
      <c r="DM89" s="133"/>
      <c r="DN89" s="133"/>
      <c r="DO89" s="133"/>
      <c r="DP89" s="133"/>
      <c r="DQ89" s="133"/>
      <c r="DR89" s="133"/>
      <c r="DS89" s="133"/>
      <c r="DT89" s="133"/>
      <c r="DU89" s="133"/>
      <c r="DV89" s="133"/>
      <c r="DW89" s="133"/>
      <c r="DX89" s="133"/>
      <c r="DY89" s="133"/>
      <c r="DZ89" s="133"/>
      <c r="EA89" s="133"/>
      <c r="EB89" s="133"/>
      <c r="EC89" s="133"/>
      <c r="ED89" s="133"/>
      <c r="EE89" s="133"/>
      <c r="EF89" s="133"/>
      <c r="EG89" s="133"/>
      <c r="EH89" s="133"/>
      <c r="EI89" s="133"/>
      <c r="EJ89" s="133"/>
      <c r="EK89" s="133"/>
      <c r="EL89" s="133"/>
      <c r="EM89" s="133"/>
      <c r="EN89" s="133"/>
      <c r="EO89" s="133"/>
      <c r="EP89" s="133"/>
      <c r="EQ89" s="133"/>
      <c r="ER89" s="133"/>
      <c r="ES89" s="133"/>
      <c r="ET89" s="133"/>
      <c r="EU89" s="133">
        <v>0</v>
      </c>
      <c r="EV89" s="133">
        <v>5447.2001967592596</v>
      </c>
    </row>
    <row r="90" spans="1:152">
      <c r="A90" s="270" t="s">
        <v>172</v>
      </c>
      <c r="B90" s="133"/>
      <c r="C90" s="133"/>
      <c r="D90" s="133"/>
      <c r="E90" s="133">
        <v>0</v>
      </c>
      <c r="F90" s="133"/>
      <c r="G90" s="133"/>
      <c r="H90" s="133"/>
      <c r="I90" s="133"/>
      <c r="J90" s="133"/>
      <c r="K90" s="133"/>
      <c r="L90" s="133"/>
      <c r="M90" s="133"/>
      <c r="N90" s="133"/>
      <c r="O90" s="133"/>
      <c r="P90" s="133">
        <v>0</v>
      </c>
      <c r="Q90" s="133"/>
      <c r="R90" s="133"/>
      <c r="S90" s="133"/>
      <c r="T90" s="133"/>
      <c r="U90" s="133"/>
      <c r="V90" s="133">
        <v>0</v>
      </c>
      <c r="W90" s="133"/>
      <c r="X90" s="133">
        <v>0</v>
      </c>
      <c r="Y90" s="133"/>
      <c r="Z90" s="133"/>
      <c r="AA90" s="133"/>
      <c r="AB90" s="133"/>
      <c r="AC90" s="133"/>
      <c r="AD90" s="133"/>
      <c r="AE90" s="133"/>
      <c r="AF90" s="133"/>
      <c r="AG90" s="133"/>
      <c r="AH90" s="133"/>
      <c r="AI90" s="133"/>
      <c r="AJ90" s="133"/>
      <c r="AK90" s="133"/>
      <c r="AL90" s="133"/>
      <c r="AM90" s="133">
        <v>0</v>
      </c>
      <c r="AN90" s="133"/>
      <c r="AO90" s="133"/>
      <c r="AP90" s="133"/>
      <c r="AQ90" s="133"/>
      <c r="AR90" s="133"/>
      <c r="AS90" s="133"/>
      <c r="AT90" s="133"/>
      <c r="AU90" s="133"/>
      <c r="AV90" s="133"/>
      <c r="AW90" s="133"/>
      <c r="AX90" s="133"/>
      <c r="AY90" s="133"/>
      <c r="AZ90" s="133"/>
      <c r="BA90" s="133"/>
      <c r="BB90" s="133"/>
      <c r="BC90" s="133"/>
      <c r="BD90" s="133"/>
      <c r="BE90" s="133"/>
      <c r="BF90" s="133"/>
      <c r="BG90" s="133"/>
      <c r="BH90" s="133"/>
      <c r="BI90" s="133"/>
      <c r="BJ90" s="133"/>
      <c r="BK90" s="133"/>
      <c r="BL90" s="133"/>
      <c r="BM90" s="133"/>
      <c r="BN90" s="133"/>
      <c r="BO90" s="133"/>
      <c r="BP90" s="133"/>
      <c r="BQ90" s="133"/>
      <c r="BR90" s="133"/>
      <c r="BS90" s="133"/>
      <c r="BT90" s="133"/>
      <c r="BU90" s="133"/>
      <c r="BV90" s="133"/>
      <c r="BW90" s="133"/>
      <c r="BX90" s="133"/>
      <c r="BY90" s="133"/>
      <c r="BZ90" s="133"/>
      <c r="CA90" s="133"/>
      <c r="CB90" s="133"/>
      <c r="CC90" s="133"/>
      <c r="CD90" s="133"/>
      <c r="CE90" s="133"/>
      <c r="CF90" s="133"/>
      <c r="CG90" s="133"/>
      <c r="CH90" s="133"/>
      <c r="CI90" s="133"/>
      <c r="CJ90" s="133"/>
      <c r="CK90" s="133"/>
      <c r="CL90" s="133"/>
      <c r="CM90" s="133"/>
      <c r="CN90" s="133"/>
      <c r="CO90" s="133"/>
      <c r="CP90" s="133"/>
      <c r="CQ90" s="133"/>
      <c r="CR90" s="133"/>
      <c r="CS90" s="133"/>
      <c r="CT90" s="133"/>
      <c r="CU90" s="133"/>
      <c r="CV90" s="133"/>
      <c r="CW90" s="133"/>
      <c r="CX90" s="133"/>
      <c r="CY90" s="133"/>
      <c r="CZ90" s="133"/>
      <c r="DA90" s="133"/>
      <c r="DB90" s="133"/>
      <c r="DC90" s="133"/>
      <c r="DD90" s="133"/>
      <c r="DE90" s="133"/>
      <c r="DF90" s="133"/>
      <c r="DG90" s="133"/>
      <c r="DH90" s="133"/>
      <c r="DI90" s="133"/>
      <c r="DJ90" s="133"/>
      <c r="DK90" s="133"/>
      <c r="DL90" s="133"/>
      <c r="DM90" s="133"/>
      <c r="DN90" s="133"/>
      <c r="DO90" s="133"/>
      <c r="DP90" s="133">
        <v>0</v>
      </c>
      <c r="DQ90" s="133">
        <v>0</v>
      </c>
      <c r="DR90" s="133"/>
      <c r="DS90" s="133">
        <v>0</v>
      </c>
      <c r="DT90" s="133">
        <v>0</v>
      </c>
      <c r="DU90" s="133"/>
      <c r="DV90" s="133"/>
      <c r="DW90" s="133"/>
      <c r="DX90" s="133">
        <v>0</v>
      </c>
      <c r="DY90" s="133"/>
      <c r="DZ90" s="133">
        <v>0</v>
      </c>
      <c r="EA90" s="133"/>
      <c r="EB90" s="133"/>
      <c r="EC90" s="133"/>
      <c r="ED90" s="133"/>
      <c r="EE90" s="133"/>
      <c r="EF90" s="133"/>
      <c r="EG90" s="133"/>
      <c r="EH90" s="133"/>
      <c r="EI90" s="133"/>
      <c r="EJ90" s="133"/>
      <c r="EK90" s="133"/>
      <c r="EL90" s="133"/>
      <c r="EM90" s="133"/>
      <c r="EN90" s="133"/>
      <c r="EO90" s="133"/>
      <c r="EP90" s="133"/>
      <c r="EQ90" s="133"/>
      <c r="ER90" s="133"/>
      <c r="ES90" s="133"/>
      <c r="ET90" s="133"/>
      <c r="EU90" s="133"/>
      <c r="EV90" s="133">
        <v>0</v>
      </c>
    </row>
    <row r="91" spans="1:152">
      <c r="A91" s="270" t="s">
        <v>173</v>
      </c>
      <c r="B91" s="133"/>
      <c r="C91" s="133"/>
      <c r="D91" s="133"/>
      <c r="E91" s="133"/>
      <c r="F91" s="133"/>
      <c r="G91" s="133"/>
      <c r="H91" s="133">
        <v>5360.10009259259</v>
      </c>
      <c r="I91" s="133"/>
      <c r="J91" s="133"/>
      <c r="K91" s="133"/>
      <c r="L91" s="133"/>
      <c r="M91" s="133"/>
      <c r="N91" s="133"/>
      <c r="O91" s="133"/>
      <c r="P91" s="133"/>
      <c r="Q91" s="133"/>
      <c r="R91" s="133"/>
      <c r="S91" s="133"/>
      <c r="T91" s="133"/>
      <c r="U91" s="133"/>
      <c r="V91" s="133"/>
      <c r="W91" s="133"/>
      <c r="X91" s="133"/>
      <c r="Y91" s="133"/>
      <c r="Z91" s="133"/>
      <c r="AA91" s="133"/>
      <c r="AB91" s="133"/>
      <c r="AC91" s="133"/>
      <c r="AD91" s="133"/>
      <c r="AE91" s="133"/>
      <c r="AF91" s="133"/>
      <c r="AG91" s="133"/>
      <c r="AH91" s="133"/>
      <c r="AI91" s="133"/>
      <c r="AJ91" s="133"/>
      <c r="AK91" s="133"/>
      <c r="AL91" s="133"/>
      <c r="AM91" s="133"/>
      <c r="AN91" s="133"/>
      <c r="AO91" s="133"/>
      <c r="AP91" s="133"/>
      <c r="AQ91" s="133"/>
      <c r="AR91" s="133"/>
      <c r="AS91" s="133"/>
      <c r="AT91" s="133"/>
      <c r="AU91" s="133"/>
      <c r="AV91" s="133"/>
      <c r="AW91" s="133"/>
      <c r="AX91" s="133"/>
      <c r="AY91" s="133"/>
      <c r="AZ91" s="133"/>
      <c r="BA91" s="133"/>
      <c r="BB91" s="133"/>
      <c r="BC91" s="133"/>
      <c r="BD91" s="133"/>
      <c r="BE91" s="133"/>
      <c r="BF91" s="133"/>
      <c r="BG91" s="133"/>
      <c r="BH91" s="133"/>
      <c r="BI91" s="133">
        <v>5360.10009259259</v>
      </c>
      <c r="BJ91" s="133"/>
      <c r="BK91" s="133"/>
      <c r="BL91" s="133"/>
      <c r="BM91" s="133"/>
      <c r="BN91" s="133"/>
      <c r="BO91" s="133"/>
      <c r="BP91" s="133"/>
      <c r="BQ91" s="133"/>
      <c r="BR91" s="133"/>
      <c r="BS91" s="133"/>
      <c r="BT91" s="133"/>
      <c r="BU91" s="133"/>
      <c r="BV91" s="133"/>
      <c r="BW91" s="133"/>
      <c r="BX91" s="133"/>
      <c r="BY91" s="133"/>
      <c r="BZ91" s="133"/>
      <c r="CA91" s="133"/>
      <c r="CB91" s="133"/>
      <c r="CC91" s="133"/>
      <c r="CD91" s="133"/>
      <c r="CE91" s="133"/>
      <c r="CF91" s="133"/>
      <c r="CG91" s="133"/>
      <c r="CH91" s="133"/>
      <c r="CI91" s="133"/>
      <c r="CJ91" s="133"/>
      <c r="CK91" s="133"/>
      <c r="CL91" s="133"/>
      <c r="CM91" s="133"/>
      <c r="CN91" s="133"/>
      <c r="CO91" s="133"/>
      <c r="CP91" s="133"/>
      <c r="CQ91" s="133"/>
      <c r="CR91" s="133"/>
      <c r="CS91" s="133"/>
      <c r="CT91" s="133"/>
      <c r="CU91" s="133"/>
      <c r="CV91" s="133"/>
      <c r="CW91" s="133"/>
      <c r="CX91" s="133"/>
      <c r="CY91" s="133"/>
      <c r="CZ91" s="133"/>
      <c r="DA91" s="133"/>
      <c r="DB91" s="133"/>
      <c r="DC91" s="133"/>
      <c r="DD91" s="133"/>
      <c r="DE91" s="133"/>
      <c r="DF91" s="133"/>
      <c r="DG91" s="133"/>
      <c r="DH91" s="133"/>
      <c r="DI91" s="133"/>
      <c r="DJ91" s="133"/>
      <c r="DK91" s="133"/>
      <c r="DL91" s="133"/>
      <c r="DM91" s="133"/>
      <c r="DN91" s="133"/>
      <c r="DO91" s="133"/>
      <c r="DP91" s="133"/>
      <c r="DQ91" s="133"/>
      <c r="DR91" s="133"/>
      <c r="DS91" s="133"/>
      <c r="DT91" s="133"/>
      <c r="DU91" s="133"/>
      <c r="DV91" s="133"/>
      <c r="DW91" s="133">
        <v>0</v>
      </c>
      <c r="DX91" s="133"/>
      <c r="DY91" s="133"/>
      <c r="DZ91" s="133"/>
      <c r="EA91" s="133">
        <v>5360.10009259259</v>
      </c>
      <c r="EB91" s="133">
        <v>0</v>
      </c>
      <c r="EC91" s="133">
        <v>0</v>
      </c>
      <c r="ED91" s="133">
        <v>0</v>
      </c>
      <c r="EE91" s="133">
        <v>0</v>
      </c>
      <c r="EF91" s="133">
        <v>0</v>
      </c>
      <c r="EG91" s="133">
        <v>0</v>
      </c>
      <c r="EH91" s="133"/>
      <c r="EI91" s="133"/>
      <c r="EJ91" s="133">
        <v>5235.10009259259</v>
      </c>
      <c r="EK91" s="133">
        <v>4990.10009259259</v>
      </c>
      <c r="EL91" s="133">
        <v>0</v>
      </c>
      <c r="EM91" s="133"/>
      <c r="EN91" s="133"/>
      <c r="EO91" s="133"/>
      <c r="EP91" s="133"/>
      <c r="EQ91" s="133"/>
      <c r="ER91" s="133"/>
      <c r="ES91" s="133"/>
      <c r="ET91" s="133"/>
      <c r="EU91" s="133"/>
      <c r="EV91" s="133">
        <v>5360.10009259259</v>
      </c>
    </row>
    <row r="92" spans="1:152">
      <c r="A92" s="269" t="s">
        <v>159</v>
      </c>
      <c r="B92" s="133"/>
      <c r="C92" s="133">
        <v>0</v>
      </c>
      <c r="D92" s="133"/>
      <c r="E92" s="133">
        <v>0</v>
      </c>
      <c r="F92" s="133">
        <v>3247.1999537037</v>
      </c>
      <c r="G92" s="133">
        <v>2918.1999537037</v>
      </c>
      <c r="H92" s="133">
        <v>3247.1999537037</v>
      </c>
      <c r="I92" s="133">
        <v>3155</v>
      </c>
      <c r="J92" s="133">
        <v>3247.1999537037</v>
      </c>
      <c r="K92" s="133">
        <v>3242.1999537037</v>
      </c>
      <c r="L92" s="133">
        <v>3242.1999537037</v>
      </c>
      <c r="M92" s="133">
        <v>3242.1999537037</v>
      </c>
      <c r="N92" s="133"/>
      <c r="O92" s="133"/>
      <c r="P92" s="133">
        <v>0</v>
      </c>
      <c r="Q92" s="133">
        <v>0</v>
      </c>
      <c r="R92" s="133">
        <v>0</v>
      </c>
      <c r="S92" s="133">
        <v>0</v>
      </c>
      <c r="T92" s="133"/>
      <c r="U92" s="133">
        <v>3205</v>
      </c>
      <c r="V92" s="133">
        <v>3205</v>
      </c>
      <c r="W92" s="133"/>
      <c r="X92" s="133">
        <v>3205</v>
      </c>
      <c r="Y92" s="133">
        <v>3155</v>
      </c>
      <c r="Z92" s="133">
        <v>3155</v>
      </c>
      <c r="AA92" s="133">
        <v>0</v>
      </c>
      <c r="AB92" s="133"/>
      <c r="AC92" s="133">
        <v>0</v>
      </c>
      <c r="AD92" s="133">
        <v>3155</v>
      </c>
      <c r="AE92" s="133">
        <v>3155</v>
      </c>
      <c r="AF92" s="133">
        <v>3155</v>
      </c>
      <c r="AG92" s="133">
        <v>3155</v>
      </c>
      <c r="AH92" s="133">
        <v>0</v>
      </c>
      <c r="AI92" s="133">
        <v>3158.1999537037</v>
      </c>
      <c r="AJ92" s="133">
        <v>3155</v>
      </c>
      <c r="AK92" s="133"/>
      <c r="AL92" s="133">
        <v>2918.1999537037</v>
      </c>
      <c r="AM92" s="133">
        <v>2918.1999537037</v>
      </c>
      <c r="AN92" s="133">
        <v>3158.1999537037</v>
      </c>
      <c r="AO92" s="133">
        <v>3158.1999537037</v>
      </c>
      <c r="AP92" s="133">
        <v>3155</v>
      </c>
      <c r="AQ92" s="133">
        <v>3155</v>
      </c>
      <c r="AR92" s="133">
        <v>3158.1999537037</v>
      </c>
      <c r="AS92" s="133">
        <v>3158.1999537037</v>
      </c>
      <c r="AT92" s="133"/>
      <c r="AU92" s="133"/>
      <c r="AV92" s="133">
        <v>3158.1999537037</v>
      </c>
      <c r="AW92" s="133">
        <v>3158.1999537037</v>
      </c>
      <c r="AX92" s="133">
        <v>3158.1999537037</v>
      </c>
      <c r="AY92" s="133">
        <v>3158.1999537037</v>
      </c>
      <c r="AZ92" s="133"/>
      <c r="BA92" s="133"/>
      <c r="BB92" s="133">
        <v>2918.1999537037</v>
      </c>
      <c r="BC92" s="133">
        <v>3158.1999537037</v>
      </c>
      <c r="BD92" s="133">
        <v>0</v>
      </c>
      <c r="BE92" s="133">
        <v>0</v>
      </c>
      <c r="BF92" s="133">
        <v>0</v>
      </c>
      <c r="BG92" s="133">
        <v>0</v>
      </c>
      <c r="BH92" s="133">
        <v>0</v>
      </c>
      <c r="BI92" s="133">
        <v>3155</v>
      </c>
      <c r="BJ92" s="133">
        <v>0</v>
      </c>
      <c r="BK92" s="133">
        <v>0</v>
      </c>
      <c r="BL92" s="133">
        <v>0</v>
      </c>
      <c r="BM92" s="133">
        <v>0</v>
      </c>
      <c r="BN92" s="133">
        <v>0</v>
      </c>
      <c r="BO92" s="133">
        <v>0</v>
      </c>
      <c r="BP92" s="133">
        <v>0</v>
      </c>
      <c r="BQ92" s="133"/>
      <c r="BR92" s="133">
        <v>0</v>
      </c>
      <c r="BS92" s="133">
        <v>0</v>
      </c>
      <c r="BT92" s="133"/>
      <c r="BU92" s="133"/>
      <c r="BV92" s="133"/>
      <c r="BW92" s="133"/>
      <c r="BX92" s="133"/>
      <c r="BY92" s="133"/>
      <c r="BZ92" s="133"/>
      <c r="CA92" s="133"/>
      <c r="CB92" s="133"/>
      <c r="CC92" s="133"/>
      <c r="CD92" s="133"/>
      <c r="CE92" s="133"/>
      <c r="CF92" s="133"/>
      <c r="CG92" s="133"/>
      <c r="CH92" s="133"/>
      <c r="CI92" s="133"/>
      <c r="CJ92" s="133"/>
      <c r="CK92" s="133"/>
      <c r="CL92" s="133"/>
      <c r="CM92" s="133"/>
      <c r="CN92" s="133"/>
      <c r="CO92" s="133"/>
      <c r="CP92" s="133"/>
      <c r="CQ92" s="133"/>
      <c r="CR92" s="133"/>
      <c r="CS92" s="133"/>
      <c r="CT92" s="133"/>
      <c r="CU92" s="133"/>
      <c r="CV92" s="133"/>
      <c r="CW92" s="133">
        <v>3158.1999537037</v>
      </c>
      <c r="CX92" s="133">
        <v>2918.1999537037</v>
      </c>
      <c r="CY92" s="133">
        <v>2918.1999537037</v>
      </c>
      <c r="CZ92" s="133">
        <v>2918.1999537037</v>
      </c>
      <c r="DA92" s="133">
        <v>3155</v>
      </c>
      <c r="DB92" s="133">
        <v>0</v>
      </c>
      <c r="DC92" s="133"/>
      <c r="DD92" s="133"/>
      <c r="DE92" s="133"/>
      <c r="DF92" s="133"/>
      <c r="DG92" s="133">
        <v>0</v>
      </c>
      <c r="DH92" s="133">
        <v>0</v>
      </c>
      <c r="DI92" s="133">
        <v>0</v>
      </c>
      <c r="DJ92" s="133">
        <v>0</v>
      </c>
      <c r="DK92" s="133"/>
      <c r="DL92" s="133"/>
      <c r="DM92" s="133"/>
      <c r="DN92" s="133"/>
      <c r="DO92" s="133"/>
      <c r="DP92" s="133">
        <v>0</v>
      </c>
      <c r="DQ92" s="133">
        <v>0</v>
      </c>
      <c r="DR92" s="133"/>
      <c r="DS92" s="133">
        <v>0</v>
      </c>
      <c r="DT92" s="133">
        <v>0</v>
      </c>
      <c r="DU92" s="133"/>
      <c r="DV92" s="133"/>
      <c r="DW92" s="133">
        <v>0</v>
      </c>
      <c r="DX92" s="133">
        <v>0</v>
      </c>
      <c r="DY92" s="133"/>
      <c r="DZ92" s="133">
        <v>0</v>
      </c>
      <c r="EA92" s="133">
        <v>3155</v>
      </c>
      <c r="EB92" s="133">
        <v>0</v>
      </c>
      <c r="EC92" s="133">
        <v>0</v>
      </c>
      <c r="ED92" s="133">
        <v>0</v>
      </c>
      <c r="EE92" s="133"/>
      <c r="EF92" s="133"/>
      <c r="EG92" s="133">
        <v>0</v>
      </c>
      <c r="EH92" s="133"/>
      <c r="EI92" s="133"/>
      <c r="EJ92" s="133">
        <v>3158.1999537037</v>
      </c>
      <c r="EK92" s="133">
        <v>2918.1999537037</v>
      </c>
      <c r="EL92" s="133"/>
      <c r="EM92" s="133"/>
      <c r="EN92" s="133"/>
      <c r="EO92" s="133"/>
      <c r="EP92" s="133"/>
      <c r="EQ92" s="133"/>
      <c r="ER92" s="133"/>
      <c r="ES92" s="133"/>
      <c r="ET92" s="133"/>
      <c r="EU92" s="133"/>
      <c r="EV92" s="133">
        <v>3247.1999537037</v>
      </c>
    </row>
    <row r="93" spans="1:152">
      <c r="A93" s="270" t="s">
        <v>87</v>
      </c>
      <c r="B93" s="133"/>
      <c r="C93" s="133">
        <v>0</v>
      </c>
      <c r="D93" s="133"/>
      <c r="E93" s="133">
        <v>0</v>
      </c>
      <c r="F93" s="133">
        <v>3247.1999537037</v>
      </c>
      <c r="G93" s="133">
        <v>2918.1999537037</v>
      </c>
      <c r="H93" s="133">
        <v>3247.1999537037</v>
      </c>
      <c r="I93" s="133">
        <v>3155</v>
      </c>
      <c r="J93" s="133">
        <v>3247.1999537037</v>
      </c>
      <c r="K93" s="133">
        <v>3242.1999537037</v>
      </c>
      <c r="L93" s="133">
        <v>3242.1999537037</v>
      </c>
      <c r="M93" s="133">
        <v>3242.1999537037</v>
      </c>
      <c r="N93" s="133"/>
      <c r="O93" s="133"/>
      <c r="P93" s="133">
        <v>0</v>
      </c>
      <c r="Q93" s="133">
        <v>0</v>
      </c>
      <c r="R93" s="133">
        <v>0</v>
      </c>
      <c r="S93" s="133">
        <v>0</v>
      </c>
      <c r="T93" s="133"/>
      <c r="U93" s="133">
        <v>3205</v>
      </c>
      <c r="V93" s="133">
        <v>3205</v>
      </c>
      <c r="W93" s="133"/>
      <c r="X93" s="133">
        <v>3205</v>
      </c>
      <c r="Y93" s="133">
        <v>3155</v>
      </c>
      <c r="Z93" s="133">
        <v>3155</v>
      </c>
      <c r="AA93" s="133">
        <v>0</v>
      </c>
      <c r="AB93" s="133"/>
      <c r="AC93" s="133">
        <v>0</v>
      </c>
      <c r="AD93" s="133">
        <v>3155</v>
      </c>
      <c r="AE93" s="133">
        <v>3155</v>
      </c>
      <c r="AF93" s="133">
        <v>3155</v>
      </c>
      <c r="AG93" s="133">
        <v>3155</v>
      </c>
      <c r="AH93" s="133">
        <v>0</v>
      </c>
      <c r="AI93" s="133">
        <v>3158.1999537037</v>
      </c>
      <c r="AJ93" s="133">
        <v>3155</v>
      </c>
      <c r="AK93" s="133"/>
      <c r="AL93" s="133">
        <v>2918.1999537037</v>
      </c>
      <c r="AM93" s="133">
        <v>2918.1999537037</v>
      </c>
      <c r="AN93" s="133">
        <v>3158.1999537037</v>
      </c>
      <c r="AO93" s="133">
        <v>3158.1999537037</v>
      </c>
      <c r="AP93" s="133">
        <v>3155</v>
      </c>
      <c r="AQ93" s="133">
        <v>3155</v>
      </c>
      <c r="AR93" s="133">
        <v>3158.1999537037</v>
      </c>
      <c r="AS93" s="133">
        <v>3158.1999537037</v>
      </c>
      <c r="AT93" s="133"/>
      <c r="AU93" s="133"/>
      <c r="AV93" s="133">
        <v>3158.1999537037</v>
      </c>
      <c r="AW93" s="133">
        <v>3158.1999537037</v>
      </c>
      <c r="AX93" s="133">
        <v>3158.1999537037</v>
      </c>
      <c r="AY93" s="133">
        <v>3158.1999537037</v>
      </c>
      <c r="AZ93" s="133"/>
      <c r="BA93" s="133"/>
      <c r="BB93" s="133">
        <v>2918.1999537037</v>
      </c>
      <c r="BC93" s="133">
        <v>3158.1999537037</v>
      </c>
      <c r="BD93" s="133">
        <v>0</v>
      </c>
      <c r="BE93" s="133">
        <v>0</v>
      </c>
      <c r="BF93" s="133">
        <v>0</v>
      </c>
      <c r="BG93" s="133">
        <v>0</v>
      </c>
      <c r="BH93" s="133">
        <v>0</v>
      </c>
      <c r="BI93" s="133">
        <v>0</v>
      </c>
      <c r="BJ93" s="133">
        <v>0</v>
      </c>
      <c r="BK93" s="133">
        <v>0</v>
      </c>
      <c r="BL93" s="133">
        <v>0</v>
      </c>
      <c r="BM93" s="133">
        <v>0</v>
      </c>
      <c r="BN93" s="133">
        <v>0</v>
      </c>
      <c r="BO93" s="133">
        <v>0</v>
      </c>
      <c r="BP93" s="133">
        <v>0</v>
      </c>
      <c r="BQ93" s="133"/>
      <c r="BR93" s="133">
        <v>0</v>
      </c>
      <c r="BS93" s="133">
        <v>0</v>
      </c>
      <c r="BT93" s="133"/>
      <c r="BU93" s="133"/>
      <c r="BV93" s="133"/>
      <c r="BW93" s="133"/>
      <c r="BX93" s="133"/>
      <c r="BY93" s="133"/>
      <c r="BZ93" s="133"/>
      <c r="CA93" s="133"/>
      <c r="CB93" s="133"/>
      <c r="CC93" s="133"/>
      <c r="CD93" s="133"/>
      <c r="CE93" s="133"/>
      <c r="CF93" s="133"/>
      <c r="CG93" s="133"/>
      <c r="CH93" s="133"/>
      <c r="CI93" s="133"/>
      <c r="CJ93" s="133"/>
      <c r="CK93" s="133"/>
      <c r="CL93" s="133"/>
      <c r="CM93" s="133"/>
      <c r="CN93" s="133"/>
      <c r="CO93" s="133"/>
      <c r="CP93" s="133"/>
      <c r="CQ93" s="133"/>
      <c r="CR93" s="133"/>
      <c r="CS93" s="133"/>
      <c r="CT93" s="133"/>
      <c r="CU93" s="133"/>
      <c r="CV93" s="133"/>
      <c r="CW93" s="133">
        <v>3158.1999537037</v>
      </c>
      <c r="CX93" s="133">
        <v>2918.1999537037</v>
      </c>
      <c r="CY93" s="133">
        <v>2918.1999537037</v>
      </c>
      <c r="CZ93" s="133">
        <v>2918.1999537037</v>
      </c>
      <c r="DA93" s="133">
        <v>3155</v>
      </c>
      <c r="DB93" s="133">
        <v>0</v>
      </c>
      <c r="DC93" s="133"/>
      <c r="DD93" s="133"/>
      <c r="DE93" s="133"/>
      <c r="DF93" s="133"/>
      <c r="DG93" s="133">
        <v>0</v>
      </c>
      <c r="DH93" s="133">
        <v>0</v>
      </c>
      <c r="DI93" s="133">
        <v>0</v>
      </c>
      <c r="DJ93" s="133">
        <v>0</v>
      </c>
      <c r="DK93" s="133"/>
      <c r="DL93" s="133"/>
      <c r="DM93" s="133"/>
      <c r="DN93" s="133"/>
      <c r="DO93" s="133"/>
      <c r="DP93" s="133"/>
      <c r="DQ93" s="133"/>
      <c r="DR93" s="133"/>
      <c r="DS93" s="133"/>
      <c r="DT93" s="133"/>
      <c r="DU93" s="133"/>
      <c r="DV93" s="133"/>
      <c r="DW93" s="133"/>
      <c r="DX93" s="133"/>
      <c r="DY93" s="133"/>
      <c r="DZ93" s="133"/>
      <c r="EA93" s="133"/>
      <c r="EB93" s="133"/>
      <c r="EC93" s="133"/>
      <c r="ED93" s="133"/>
      <c r="EE93" s="133"/>
      <c r="EF93" s="133"/>
      <c r="EG93" s="133"/>
      <c r="EH93" s="133"/>
      <c r="EI93" s="133"/>
      <c r="EJ93" s="133"/>
      <c r="EK93" s="133"/>
      <c r="EL93" s="133"/>
      <c r="EM93" s="133"/>
      <c r="EN93" s="133"/>
      <c r="EO93" s="133"/>
      <c r="EP93" s="133"/>
      <c r="EQ93" s="133"/>
      <c r="ER93" s="133"/>
      <c r="ES93" s="133"/>
      <c r="ET93" s="133"/>
      <c r="EU93" s="133"/>
      <c r="EV93" s="133">
        <v>3247.1999537037</v>
      </c>
    </row>
    <row r="94" spans="1:152">
      <c r="A94" s="270" t="s">
        <v>172</v>
      </c>
      <c r="B94" s="133"/>
      <c r="C94" s="133"/>
      <c r="D94" s="133"/>
      <c r="E94" s="133">
        <v>0</v>
      </c>
      <c r="F94" s="133"/>
      <c r="G94" s="133"/>
      <c r="H94" s="133"/>
      <c r="I94" s="133"/>
      <c r="J94" s="133"/>
      <c r="K94" s="133"/>
      <c r="L94" s="133"/>
      <c r="M94" s="133"/>
      <c r="N94" s="133"/>
      <c r="O94" s="133"/>
      <c r="P94" s="133">
        <v>0</v>
      </c>
      <c r="Q94" s="133"/>
      <c r="R94" s="133"/>
      <c r="S94" s="133"/>
      <c r="T94" s="133"/>
      <c r="U94" s="133"/>
      <c r="V94" s="133">
        <v>0</v>
      </c>
      <c r="W94" s="133"/>
      <c r="X94" s="133">
        <v>0</v>
      </c>
      <c r="Y94" s="133"/>
      <c r="Z94" s="133"/>
      <c r="AA94" s="133"/>
      <c r="AB94" s="133"/>
      <c r="AC94" s="133"/>
      <c r="AD94" s="133"/>
      <c r="AE94" s="133"/>
      <c r="AF94" s="133"/>
      <c r="AG94" s="133"/>
      <c r="AH94" s="133"/>
      <c r="AI94" s="133"/>
      <c r="AJ94" s="133"/>
      <c r="AK94" s="133"/>
      <c r="AL94" s="133"/>
      <c r="AM94" s="133"/>
      <c r="AN94" s="133"/>
      <c r="AO94" s="133"/>
      <c r="AP94" s="133"/>
      <c r="AQ94" s="133"/>
      <c r="AR94" s="133"/>
      <c r="AS94" s="133"/>
      <c r="AT94" s="133"/>
      <c r="AU94" s="133"/>
      <c r="AV94" s="133"/>
      <c r="AW94" s="133"/>
      <c r="AX94" s="133"/>
      <c r="AY94" s="133"/>
      <c r="AZ94" s="133"/>
      <c r="BA94" s="133"/>
      <c r="BB94" s="133"/>
      <c r="BC94" s="133"/>
      <c r="BD94" s="133"/>
      <c r="BE94" s="133"/>
      <c r="BF94" s="133"/>
      <c r="BG94" s="133"/>
      <c r="BH94" s="133"/>
      <c r="BI94" s="133"/>
      <c r="BJ94" s="133"/>
      <c r="BK94" s="133"/>
      <c r="BL94" s="133"/>
      <c r="BM94" s="133"/>
      <c r="BN94" s="133"/>
      <c r="BO94" s="133"/>
      <c r="BP94" s="133"/>
      <c r="BQ94" s="133"/>
      <c r="BR94" s="133"/>
      <c r="BS94" s="133"/>
      <c r="BT94" s="133"/>
      <c r="BU94" s="133"/>
      <c r="BV94" s="133"/>
      <c r="BW94" s="133"/>
      <c r="BX94" s="133"/>
      <c r="BY94" s="133"/>
      <c r="BZ94" s="133"/>
      <c r="CA94" s="133"/>
      <c r="CB94" s="133"/>
      <c r="CC94" s="133"/>
      <c r="CD94" s="133"/>
      <c r="CE94" s="133"/>
      <c r="CF94" s="133"/>
      <c r="CG94" s="133"/>
      <c r="CH94" s="133"/>
      <c r="CI94" s="133"/>
      <c r="CJ94" s="133"/>
      <c r="CK94" s="133"/>
      <c r="CL94" s="133"/>
      <c r="CM94" s="133"/>
      <c r="CN94" s="133"/>
      <c r="CO94" s="133"/>
      <c r="CP94" s="133"/>
      <c r="CQ94" s="133"/>
      <c r="CR94" s="133"/>
      <c r="CS94" s="133"/>
      <c r="CT94" s="133"/>
      <c r="CU94" s="133"/>
      <c r="CV94" s="133"/>
      <c r="CW94" s="133"/>
      <c r="CX94" s="133"/>
      <c r="CY94" s="133"/>
      <c r="CZ94" s="133"/>
      <c r="DA94" s="133"/>
      <c r="DB94" s="133"/>
      <c r="DC94" s="133"/>
      <c r="DD94" s="133"/>
      <c r="DE94" s="133"/>
      <c r="DF94" s="133"/>
      <c r="DG94" s="133"/>
      <c r="DH94" s="133"/>
      <c r="DI94" s="133"/>
      <c r="DJ94" s="133"/>
      <c r="DK94" s="133"/>
      <c r="DL94" s="133"/>
      <c r="DM94" s="133"/>
      <c r="DN94" s="133"/>
      <c r="DO94" s="133"/>
      <c r="DP94" s="133">
        <v>0</v>
      </c>
      <c r="DQ94" s="133">
        <v>0</v>
      </c>
      <c r="DR94" s="133"/>
      <c r="DS94" s="133">
        <v>0</v>
      </c>
      <c r="DT94" s="133">
        <v>0</v>
      </c>
      <c r="DU94" s="133"/>
      <c r="DV94" s="133"/>
      <c r="DW94" s="133"/>
      <c r="DX94" s="133">
        <v>0</v>
      </c>
      <c r="DY94" s="133"/>
      <c r="DZ94" s="133">
        <v>0</v>
      </c>
      <c r="EA94" s="133"/>
      <c r="EB94" s="133"/>
      <c r="EC94" s="133"/>
      <c r="ED94" s="133"/>
      <c r="EE94" s="133"/>
      <c r="EF94" s="133"/>
      <c r="EG94" s="133"/>
      <c r="EH94" s="133"/>
      <c r="EI94" s="133"/>
      <c r="EJ94" s="133"/>
      <c r="EK94" s="133"/>
      <c r="EL94" s="133"/>
      <c r="EM94" s="133"/>
      <c r="EN94" s="133"/>
      <c r="EO94" s="133"/>
      <c r="EP94" s="133"/>
      <c r="EQ94" s="133"/>
      <c r="ER94" s="133"/>
      <c r="ES94" s="133"/>
      <c r="ET94" s="133"/>
      <c r="EU94" s="133"/>
      <c r="EV94" s="133">
        <v>0</v>
      </c>
    </row>
    <row r="95" spans="1:152">
      <c r="A95" s="270" t="s">
        <v>173</v>
      </c>
      <c r="B95" s="133"/>
      <c r="C95" s="133"/>
      <c r="D95" s="133"/>
      <c r="E95" s="133"/>
      <c r="F95" s="133"/>
      <c r="G95" s="133"/>
      <c r="H95" s="133">
        <v>3155</v>
      </c>
      <c r="I95" s="133"/>
      <c r="J95" s="133"/>
      <c r="K95" s="133"/>
      <c r="L95" s="133"/>
      <c r="M95" s="133"/>
      <c r="N95" s="133"/>
      <c r="O95" s="133"/>
      <c r="P95" s="133"/>
      <c r="Q95" s="133"/>
      <c r="R95" s="133"/>
      <c r="S95" s="133"/>
      <c r="T95" s="133"/>
      <c r="U95" s="133"/>
      <c r="V95" s="133"/>
      <c r="W95" s="133"/>
      <c r="X95" s="133"/>
      <c r="Y95" s="133"/>
      <c r="Z95" s="133"/>
      <c r="AA95" s="133"/>
      <c r="AB95" s="133"/>
      <c r="AC95" s="133"/>
      <c r="AD95" s="133"/>
      <c r="AE95" s="133"/>
      <c r="AF95" s="133"/>
      <c r="AG95" s="133"/>
      <c r="AH95" s="133"/>
      <c r="AI95" s="133"/>
      <c r="AJ95" s="133"/>
      <c r="AK95" s="133"/>
      <c r="AL95" s="133"/>
      <c r="AM95" s="133"/>
      <c r="AN95" s="133"/>
      <c r="AO95" s="133"/>
      <c r="AP95" s="133"/>
      <c r="AQ95" s="133"/>
      <c r="AR95" s="133"/>
      <c r="AS95" s="133"/>
      <c r="AT95" s="133"/>
      <c r="AU95" s="133"/>
      <c r="AV95" s="133"/>
      <c r="AW95" s="133"/>
      <c r="AX95" s="133"/>
      <c r="AY95" s="133"/>
      <c r="AZ95" s="133"/>
      <c r="BA95" s="133"/>
      <c r="BB95" s="133"/>
      <c r="BC95" s="133"/>
      <c r="BD95" s="133"/>
      <c r="BE95" s="133"/>
      <c r="BF95" s="133"/>
      <c r="BG95" s="133"/>
      <c r="BH95" s="133"/>
      <c r="BI95" s="133">
        <v>3155</v>
      </c>
      <c r="BJ95" s="133"/>
      <c r="BK95" s="133"/>
      <c r="BL95" s="133"/>
      <c r="BM95" s="133"/>
      <c r="BN95" s="133"/>
      <c r="BO95" s="133"/>
      <c r="BP95" s="133"/>
      <c r="BQ95" s="133"/>
      <c r="BR95" s="133"/>
      <c r="BS95" s="133"/>
      <c r="BT95" s="133"/>
      <c r="BU95" s="133"/>
      <c r="BV95" s="133"/>
      <c r="BW95" s="133"/>
      <c r="BX95" s="133"/>
      <c r="BY95" s="133"/>
      <c r="BZ95" s="133"/>
      <c r="CA95" s="133"/>
      <c r="CB95" s="133"/>
      <c r="CC95" s="133"/>
      <c r="CD95" s="133"/>
      <c r="CE95" s="133"/>
      <c r="CF95" s="133"/>
      <c r="CG95" s="133"/>
      <c r="CH95" s="133"/>
      <c r="CI95" s="133"/>
      <c r="CJ95" s="133"/>
      <c r="CK95" s="133"/>
      <c r="CL95" s="133"/>
      <c r="CM95" s="133"/>
      <c r="CN95" s="133"/>
      <c r="CO95" s="133"/>
      <c r="CP95" s="133"/>
      <c r="CQ95" s="133"/>
      <c r="CR95" s="133"/>
      <c r="CS95" s="133"/>
      <c r="CT95" s="133"/>
      <c r="CU95" s="133"/>
      <c r="CV95" s="133"/>
      <c r="CW95" s="133"/>
      <c r="CX95" s="133"/>
      <c r="CY95" s="133"/>
      <c r="CZ95" s="133"/>
      <c r="DA95" s="133"/>
      <c r="DB95" s="133"/>
      <c r="DC95" s="133"/>
      <c r="DD95" s="133"/>
      <c r="DE95" s="133"/>
      <c r="DF95" s="133"/>
      <c r="DG95" s="133"/>
      <c r="DH95" s="133"/>
      <c r="DI95" s="133"/>
      <c r="DJ95" s="133"/>
      <c r="DK95" s="133"/>
      <c r="DL95" s="133"/>
      <c r="DM95" s="133"/>
      <c r="DN95" s="133"/>
      <c r="DO95" s="133"/>
      <c r="DP95" s="133"/>
      <c r="DQ95" s="133"/>
      <c r="DR95" s="133"/>
      <c r="DS95" s="133"/>
      <c r="DT95" s="133"/>
      <c r="DU95" s="133"/>
      <c r="DV95" s="133"/>
      <c r="DW95" s="133">
        <v>0</v>
      </c>
      <c r="DX95" s="133"/>
      <c r="DY95" s="133"/>
      <c r="DZ95" s="133"/>
      <c r="EA95" s="133">
        <v>3155</v>
      </c>
      <c r="EB95" s="133">
        <v>0</v>
      </c>
      <c r="EC95" s="133">
        <v>0</v>
      </c>
      <c r="ED95" s="133">
        <v>0</v>
      </c>
      <c r="EE95" s="133"/>
      <c r="EF95" s="133"/>
      <c r="EG95" s="133">
        <v>0</v>
      </c>
      <c r="EH95" s="133"/>
      <c r="EI95" s="133"/>
      <c r="EJ95" s="133">
        <v>3158.1999537037</v>
      </c>
      <c r="EK95" s="133">
        <v>2918.1999537037</v>
      </c>
      <c r="EL95" s="133"/>
      <c r="EM95" s="133"/>
      <c r="EN95" s="133"/>
      <c r="EO95" s="133"/>
      <c r="EP95" s="133"/>
      <c r="EQ95" s="133"/>
      <c r="ER95" s="133"/>
      <c r="ES95" s="133"/>
      <c r="ET95" s="133"/>
      <c r="EU95" s="133"/>
      <c r="EV95" s="133">
        <v>3158.1999537037</v>
      </c>
    </row>
    <row r="96" spans="1:152">
      <c r="A96" s="269" t="s">
        <v>160</v>
      </c>
      <c r="B96" s="133"/>
      <c r="C96" s="133">
        <v>0</v>
      </c>
      <c r="D96" s="133"/>
      <c r="E96" s="133">
        <v>0</v>
      </c>
      <c r="F96" s="133">
        <v>3033.60009259259</v>
      </c>
      <c r="G96" s="133">
        <v>2969.10009259259</v>
      </c>
      <c r="H96" s="133">
        <v>3033.60009259259</v>
      </c>
      <c r="I96" s="133">
        <v>2972.3000462963</v>
      </c>
      <c r="J96" s="133">
        <v>3029.10009259259</v>
      </c>
      <c r="K96" s="133">
        <v>3029.10009259259</v>
      </c>
      <c r="L96" s="133">
        <v>3029.10009259259</v>
      </c>
      <c r="M96" s="133">
        <v>3029.10009259259</v>
      </c>
      <c r="N96" s="133"/>
      <c r="O96" s="133"/>
      <c r="P96" s="133">
        <v>0</v>
      </c>
      <c r="Q96" s="133">
        <v>0</v>
      </c>
      <c r="R96" s="133">
        <v>0</v>
      </c>
      <c r="S96" s="133">
        <v>0</v>
      </c>
      <c r="T96" s="133"/>
      <c r="U96" s="133">
        <v>3012.8000462963</v>
      </c>
      <c r="V96" s="133">
        <v>3012.8000462963</v>
      </c>
      <c r="W96" s="133"/>
      <c r="X96" s="133">
        <v>3012.8000462963</v>
      </c>
      <c r="Y96" s="133">
        <v>2969.10009259259</v>
      </c>
      <c r="Z96" s="133">
        <v>2969.10009259259</v>
      </c>
      <c r="AA96" s="133">
        <v>0</v>
      </c>
      <c r="AB96" s="133"/>
      <c r="AC96" s="133">
        <v>0</v>
      </c>
      <c r="AD96" s="133">
        <v>2969.10009259259</v>
      </c>
      <c r="AE96" s="133">
        <v>2969.10009259259</v>
      </c>
      <c r="AF96" s="133">
        <v>2969.10009259259</v>
      </c>
      <c r="AG96" s="133">
        <v>2969.10009259259</v>
      </c>
      <c r="AH96" s="133">
        <v>0</v>
      </c>
      <c r="AI96" s="133">
        <v>2969.10009259259</v>
      </c>
      <c r="AJ96" s="133">
        <v>2969.10009259259</v>
      </c>
      <c r="AK96" s="133">
        <v>0</v>
      </c>
      <c r="AL96" s="133">
        <v>2969.10009259259</v>
      </c>
      <c r="AM96" s="133">
        <v>2969.10009259259</v>
      </c>
      <c r="AN96" s="133">
        <v>2969.10009259259</v>
      </c>
      <c r="AO96" s="133">
        <v>2969.10009259259</v>
      </c>
      <c r="AP96" s="133">
        <v>2969.10009259259</v>
      </c>
      <c r="AQ96" s="133">
        <v>2969.10009259259</v>
      </c>
      <c r="AR96" s="133">
        <v>2969.10009259259</v>
      </c>
      <c r="AS96" s="133">
        <v>2969.10009259259</v>
      </c>
      <c r="AT96" s="133"/>
      <c r="AU96" s="133"/>
      <c r="AV96" s="133">
        <v>2969.10009259259</v>
      </c>
      <c r="AW96" s="133">
        <v>2969.10009259259</v>
      </c>
      <c r="AX96" s="133">
        <v>2969.10009259259</v>
      </c>
      <c r="AY96" s="133">
        <v>2969.10009259259</v>
      </c>
      <c r="AZ96" s="133"/>
      <c r="BA96" s="133"/>
      <c r="BB96" s="133">
        <v>2969.10009259259</v>
      </c>
      <c r="BC96" s="133">
        <v>2969.10009259259</v>
      </c>
      <c r="BD96" s="133">
        <v>0</v>
      </c>
      <c r="BE96" s="133">
        <v>0</v>
      </c>
      <c r="BF96" s="133">
        <v>0</v>
      </c>
      <c r="BG96" s="133">
        <v>0</v>
      </c>
      <c r="BH96" s="133">
        <v>0</v>
      </c>
      <c r="BI96" s="133">
        <v>2969.10009259259</v>
      </c>
      <c r="BJ96" s="133">
        <v>0</v>
      </c>
      <c r="BK96" s="133">
        <v>0</v>
      </c>
      <c r="BL96" s="133">
        <v>0</v>
      </c>
      <c r="BM96" s="133">
        <v>0</v>
      </c>
      <c r="BN96" s="133">
        <v>0</v>
      </c>
      <c r="BO96" s="133">
        <v>0</v>
      </c>
      <c r="BP96" s="133">
        <v>0</v>
      </c>
      <c r="BQ96" s="133"/>
      <c r="BR96" s="133">
        <v>0</v>
      </c>
      <c r="BS96" s="133">
        <v>0</v>
      </c>
      <c r="BT96" s="133">
        <v>0</v>
      </c>
      <c r="BU96" s="133">
        <v>0</v>
      </c>
      <c r="BV96" s="133">
        <v>0</v>
      </c>
      <c r="BW96" s="133">
        <v>0</v>
      </c>
      <c r="BX96" s="133">
        <v>0</v>
      </c>
      <c r="BY96" s="133">
        <v>0</v>
      </c>
      <c r="BZ96" s="133">
        <v>0</v>
      </c>
      <c r="CA96" s="133">
        <v>0</v>
      </c>
      <c r="CB96" s="133"/>
      <c r="CC96" s="133"/>
      <c r="CD96" s="133"/>
      <c r="CE96" s="133"/>
      <c r="CF96" s="133"/>
      <c r="CG96" s="133"/>
      <c r="CH96" s="133"/>
      <c r="CI96" s="133"/>
      <c r="CJ96" s="133"/>
      <c r="CK96" s="133"/>
      <c r="CL96" s="133"/>
      <c r="CM96" s="133"/>
      <c r="CN96" s="133"/>
      <c r="CO96" s="133"/>
      <c r="CP96" s="133"/>
      <c r="CQ96" s="133"/>
      <c r="CR96" s="133"/>
      <c r="CS96" s="133"/>
      <c r="CT96" s="133"/>
      <c r="CU96" s="133"/>
      <c r="CV96" s="133"/>
      <c r="CW96" s="133">
        <v>2969.10009259259</v>
      </c>
      <c r="CX96" s="133">
        <v>2969.10009259259</v>
      </c>
      <c r="CY96" s="133">
        <v>2969.10009259259</v>
      </c>
      <c r="CZ96" s="133">
        <v>2969.10009259259</v>
      </c>
      <c r="DA96" s="133">
        <v>2969.10009259259</v>
      </c>
      <c r="DB96" s="133">
        <v>0</v>
      </c>
      <c r="DC96" s="133"/>
      <c r="DD96" s="133"/>
      <c r="DE96" s="133">
        <v>0</v>
      </c>
      <c r="DF96" s="133"/>
      <c r="DG96" s="133">
        <v>0</v>
      </c>
      <c r="DH96" s="133">
        <v>0</v>
      </c>
      <c r="DI96" s="133">
        <v>0</v>
      </c>
      <c r="DJ96" s="133">
        <v>0</v>
      </c>
      <c r="DK96" s="133"/>
      <c r="DL96" s="133"/>
      <c r="DM96" s="133"/>
      <c r="DN96" s="133">
        <v>0</v>
      </c>
      <c r="DO96" s="133"/>
      <c r="DP96" s="133">
        <v>0</v>
      </c>
      <c r="DQ96" s="133">
        <v>0</v>
      </c>
      <c r="DR96" s="133"/>
      <c r="DS96" s="133">
        <v>0</v>
      </c>
      <c r="DT96" s="133">
        <v>0</v>
      </c>
      <c r="DU96" s="133"/>
      <c r="DV96" s="133"/>
      <c r="DW96" s="133">
        <v>0</v>
      </c>
      <c r="DX96" s="133"/>
      <c r="DY96" s="133">
        <v>0</v>
      </c>
      <c r="DZ96" s="133">
        <v>0</v>
      </c>
      <c r="EA96" s="133">
        <v>2969.10009259259</v>
      </c>
      <c r="EB96" s="133">
        <v>0</v>
      </c>
      <c r="EC96" s="133">
        <v>0</v>
      </c>
      <c r="ED96" s="133">
        <v>0</v>
      </c>
      <c r="EE96" s="133">
        <v>0</v>
      </c>
      <c r="EF96" s="133">
        <v>0</v>
      </c>
      <c r="EG96" s="133">
        <v>0</v>
      </c>
      <c r="EH96" s="133"/>
      <c r="EI96" s="133">
        <v>2969.10009259259</v>
      </c>
      <c r="EJ96" s="133">
        <v>2969.10009259259</v>
      </c>
      <c r="EK96" s="133">
        <v>2969.10009259259</v>
      </c>
      <c r="EL96" s="133">
        <v>0</v>
      </c>
      <c r="EM96" s="133"/>
      <c r="EN96" s="133"/>
      <c r="EO96" s="133"/>
      <c r="EP96" s="133"/>
      <c r="EQ96" s="133"/>
      <c r="ER96" s="133"/>
      <c r="ES96" s="133"/>
      <c r="ET96" s="133">
        <v>3033.60009259259</v>
      </c>
      <c r="EU96" s="133"/>
      <c r="EV96" s="133">
        <v>3033.60009259259</v>
      </c>
    </row>
    <row r="97" spans="1:152">
      <c r="A97" s="270" t="s">
        <v>87</v>
      </c>
      <c r="B97" s="133"/>
      <c r="C97" s="133">
        <v>0</v>
      </c>
      <c r="D97" s="133"/>
      <c r="E97" s="133">
        <v>0</v>
      </c>
      <c r="F97" s="133">
        <v>3033.60009259259</v>
      </c>
      <c r="G97" s="133">
        <v>2969.10009259259</v>
      </c>
      <c r="H97" s="133">
        <v>3033.60009259259</v>
      </c>
      <c r="I97" s="133">
        <v>2972.3000462963</v>
      </c>
      <c r="J97" s="133">
        <v>3029.10009259259</v>
      </c>
      <c r="K97" s="133">
        <v>3029.10009259259</v>
      </c>
      <c r="L97" s="133">
        <v>3029.10009259259</v>
      </c>
      <c r="M97" s="133">
        <v>3029.10009259259</v>
      </c>
      <c r="N97" s="133"/>
      <c r="O97" s="133"/>
      <c r="P97" s="133">
        <v>0</v>
      </c>
      <c r="Q97" s="133">
        <v>0</v>
      </c>
      <c r="R97" s="133">
        <v>0</v>
      </c>
      <c r="S97" s="133">
        <v>0</v>
      </c>
      <c r="T97" s="133"/>
      <c r="U97" s="133">
        <v>3012.8000462963</v>
      </c>
      <c r="V97" s="133">
        <v>3012.8000462963</v>
      </c>
      <c r="W97" s="133"/>
      <c r="X97" s="133">
        <v>3012.8000462963</v>
      </c>
      <c r="Y97" s="133">
        <v>2969.10009259259</v>
      </c>
      <c r="Z97" s="133">
        <v>2969.10009259259</v>
      </c>
      <c r="AA97" s="133">
        <v>0</v>
      </c>
      <c r="AB97" s="133"/>
      <c r="AC97" s="133">
        <v>0</v>
      </c>
      <c r="AD97" s="133">
        <v>2969.10009259259</v>
      </c>
      <c r="AE97" s="133">
        <v>2969.10009259259</v>
      </c>
      <c r="AF97" s="133">
        <v>2969.10009259259</v>
      </c>
      <c r="AG97" s="133">
        <v>2969.10009259259</v>
      </c>
      <c r="AH97" s="133">
        <v>0</v>
      </c>
      <c r="AI97" s="133">
        <v>2969.10009259259</v>
      </c>
      <c r="AJ97" s="133">
        <v>2969.10009259259</v>
      </c>
      <c r="AK97" s="133"/>
      <c r="AL97" s="133">
        <v>2969.10009259259</v>
      </c>
      <c r="AM97" s="133">
        <v>2969.10009259259</v>
      </c>
      <c r="AN97" s="133">
        <v>2969.10009259259</v>
      </c>
      <c r="AO97" s="133">
        <v>2969.10009259259</v>
      </c>
      <c r="AP97" s="133">
        <v>2969.10009259259</v>
      </c>
      <c r="AQ97" s="133">
        <v>2969.10009259259</v>
      </c>
      <c r="AR97" s="133">
        <v>2969.10009259259</v>
      </c>
      <c r="AS97" s="133">
        <v>2969.10009259259</v>
      </c>
      <c r="AT97" s="133"/>
      <c r="AU97" s="133"/>
      <c r="AV97" s="133">
        <v>2969.10009259259</v>
      </c>
      <c r="AW97" s="133">
        <v>2969.10009259259</v>
      </c>
      <c r="AX97" s="133">
        <v>2969.10009259259</v>
      </c>
      <c r="AY97" s="133">
        <v>2969.10009259259</v>
      </c>
      <c r="AZ97" s="133"/>
      <c r="BA97" s="133"/>
      <c r="BB97" s="133">
        <v>2969.10009259259</v>
      </c>
      <c r="BC97" s="133">
        <v>2969.10009259259</v>
      </c>
      <c r="BD97" s="133">
        <v>0</v>
      </c>
      <c r="BE97" s="133">
        <v>0</v>
      </c>
      <c r="BF97" s="133">
        <v>0</v>
      </c>
      <c r="BG97" s="133">
        <v>0</v>
      </c>
      <c r="BH97" s="133">
        <v>0</v>
      </c>
      <c r="BI97" s="133">
        <v>0</v>
      </c>
      <c r="BJ97" s="133">
        <v>0</v>
      </c>
      <c r="BK97" s="133">
        <v>0</v>
      </c>
      <c r="BL97" s="133">
        <v>0</v>
      </c>
      <c r="BM97" s="133">
        <v>0</v>
      </c>
      <c r="BN97" s="133">
        <v>0</v>
      </c>
      <c r="BO97" s="133">
        <v>0</v>
      </c>
      <c r="BP97" s="133">
        <v>0</v>
      </c>
      <c r="BQ97" s="133"/>
      <c r="BR97" s="133">
        <v>0</v>
      </c>
      <c r="BS97" s="133">
        <v>0</v>
      </c>
      <c r="BT97" s="133">
        <v>0</v>
      </c>
      <c r="BU97" s="133">
        <v>0</v>
      </c>
      <c r="BV97" s="133">
        <v>0</v>
      </c>
      <c r="BW97" s="133">
        <v>0</v>
      </c>
      <c r="BX97" s="133">
        <v>0</v>
      </c>
      <c r="BY97" s="133">
        <v>0</v>
      </c>
      <c r="BZ97" s="133">
        <v>0</v>
      </c>
      <c r="CA97" s="133">
        <v>0</v>
      </c>
      <c r="CB97" s="133"/>
      <c r="CC97" s="133"/>
      <c r="CD97" s="133"/>
      <c r="CE97" s="133"/>
      <c r="CF97" s="133"/>
      <c r="CG97" s="133"/>
      <c r="CH97" s="133"/>
      <c r="CI97" s="133"/>
      <c r="CJ97" s="133"/>
      <c r="CK97" s="133"/>
      <c r="CL97" s="133"/>
      <c r="CM97" s="133"/>
      <c r="CN97" s="133"/>
      <c r="CO97" s="133"/>
      <c r="CP97" s="133"/>
      <c r="CQ97" s="133"/>
      <c r="CR97" s="133"/>
      <c r="CS97" s="133"/>
      <c r="CT97" s="133"/>
      <c r="CU97" s="133"/>
      <c r="CV97" s="133"/>
      <c r="CW97" s="133">
        <v>2969.10009259259</v>
      </c>
      <c r="CX97" s="133">
        <v>2969.10009259259</v>
      </c>
      <c r="CY97" s="133">
        <v>2969.10009259259</v>
      </c>
      <c r="CZ97" s="133">
        <v>2969.10009259259</v>
      </c>
      <c r="DA97" s="133">
        <v>2969.10009259259</v>
      </c>
      <c r="DB97" s="133">
        <v>0</v>
      </c>
      <c r="DC97" s="133"/>
      <c r="DD97" s="133"/>
      <c r="DE97" s="133">
        <v>0</v>
      </c>
      <c r="DF97" s="133"/>
      <c r="DG97" s="133">
        <v>0</v>
      </c>
      <c r="DH97" s="133">
        <v>0</v>
      </c>
      <c r="DI97" s="133">
        <v>0</v>
      </c>
      <c r="DJ97" s="133">
        <v>0</v>
      </c>
      <c r="DK97" s="133"/>
      <c r="DL97" s="133"/>
      <c r="DM97" s="133"/>
      <c r="DN97" s="133"/>
      <c r="DO97" s="133"/>
      <c r="DP97" s="133"/>
      <c r="DQ97" s="133"/>
      <c r="DR97" s="133"/>
      <c r="DS97" s="133"/>
      <c r="DT97" s="133"/>
      <c r="DU97" s="133"/>
      <c r="DV97" s="133"/>
      <c r="DW97" s="133"/>
      <c r="DX97" s="133"/>
      <c r="DY97" s="133"/>
      <c r="DZ97" s="133"/>
      <c r="EA97" s="133"/>
      <c r="EB97" s="133"/>
      <c r="EC97" s="133"/>
      <c r="ED97" s="133"/>
      <c r="EE97" s="133"/>
      <c r="EF97" s="133"/>
      <c r="EG97" s="133"/>
      <c r="EH97" s="133"/>
      <c r="EI97" s="133"/>
      <c r="EJ97" s="133"/>
      <c r="EK97" s="133"/>
      <c r="EL97" s="133"/>
      <c r="EM97" s="133"/>
      <c r="EN97" s="133"/>
      <c r="EO97" s="133"/>
      <c r="EP97" s="133"/>
      <c r="EQ97" s="133"/>
      <c r="ER97" s="133"/>
      <c r="ES97" s="133"/>
      <c r="ET97" s="133"/>
      <c r="EU97" s="133"/>
      <c r="EV97" s="133">
        <v>3033.60009259259</v>
      </c>
    </row>
    <row r="98" spans="1:152">
      <c r="A98" s="270" t="s">
        <v>172</v>
      </c>
      <c r="B98" s="133"/>
      <c r="C98" s="133"/>
      <c r="D98" s="133"/>
      <c r="E98" s="133">
        <v>0</v>
      </c>
      <c r="F98" s="133"/>
      <c r="G98" s="133"/>
      <c r="H98" s="133"/>
      <c r="I98" s="133"/>
      <c r="J98" s="133"/>
      <c r="K98" s="133"/>
      <c r="L98" s="133"/>
      <c r="M98" s="133"/>
      <c r="N98" s="133"/>
      <c r="O98" s="133"/>
      <c r="P98" s="133">
        <v>0</v>
      </c>
      <c r="Q98" s="133"/>
      <c r="R98" s="133"/>
      <c r="S98" s="133"/>
      <c r="T98" s="133"/>
      <c r="U98" s="133"/>
      <c r="V98" s="133">
        <v>0</v>
      </c>
      <c r="W98" s="133"/>
      <c r="X98" s="133">
        <v>0</v>
      </c>
      <c r="Y98" s="133"/>
      <c r="Z98" s="133"/>
      <c r="AA98" s="133"/>
      <c r="AB98" s="133"/>
      <c r="AC98" s="133"/>
      <c r="AD98" s="133"/>
      <c r="AE98" s="133"/>
      <c r="AF98" s="133"/>
      <c r="AG98" s="133">
        <v>0</v>
      </c>
      <c r="AH98" s="133"/>
      <c r="AI98" s="133"/>
      <c r="AJ98" s="133"/>
      <c r="AK98" s="133">
        <v>0</v>
      </c>
      <c r="AL98" s="133">
        <v>0</v>
      </c>
      <c r="AM98" s="133">
        <v>0</v>
      </c>
      <c r="AN98" s="133"/>
      <c r="AO98" s="133"/>
      <c r="AP98" s="133"/>
      <c r="AQ98" s="133"/>
      <c r="AR98" s="133"/>
      <c r="AS98" s="133"/>
      <c r="AT98" s="133"/>
      <c r="AU98" s="133"/>
      <c r="AV98" s="133"/>
      <c r="AW98" s="133"/>
      <c r="AX98" s="133"/>
      <c r="AY98" s="133"/>
      <c r="AZ98" s="133"/>
      <c r="BA98" s="133"/>
      <c r="BB98" s="133"/>
      <c r="BC98" s="133"/>
      <c r="BD98" s="133"/>
      <c r="BE98" s="133"/>
      <c r="BF98" s="133"/>
      <c r="BG98" s="133"/>
      <c r="BH98" s="133"/>
      <c r="BI98" s="133"/>
      <c r="BJ98" s="133"/>
      <c r="BK98" s="133"/>
      <c r="BL98" s="133"/>
      <c r="BM98" s="133"/>
      <c r="BN98" s="133"/>
      <c r="BO98" s="133"/>
      <c r="BP98" s="133"/>
      <c r="BQ98" s="133"/>
      <c r="BR98" s="133"/>
      <c r="BS98" s="133"/>
      <c r="BT98" s="133"/>
      <c r="BU98" s="133"/>
      <c r="BV98" s="133"/>
      <c r="BW98" s="133"/>
      <c r="BX98" s="133"/>
      <c r="BY98" s="133"/>
      <c r="BZ98" s="133"/>
      <c r="CA98" s="133"/>
      <c r="CB98" s="133"/>
      <c r="CC98" s="133"/>
      <c r="CD98" s="133"/>
      <c r="CE98" s="133"/>
      <c r="CF98" s="133"/>
      <c r="CG98" s="133"/>
      <c r="CH98" s="133"/>
      <c r="CI98" s="133"/>
      <c r="CJ98" s="133"/>
      <c r="CK98" s="133"/>
      <c r="CL98" s="133"/>
      <c r="CM98" s="133"/>
      <c r="CN98" s="133"/>
      <c r="CO98" s="133"/>
      <c r="CP98" s="133"/>
      <c r="CQ98" s="133"/>
      <c r="CR98" s="133"/>
      <c r="CS98" s="133"/>
      <c r="CT98" s="133"/>
      <c r="CU98" s="133"/>
      <c r="CV98" s="133"/>
      <c r="CW98" s="133"/>
      <c r="CX98" s="133"/>
      <c r="CY98" s="133"/>
      <c r="CZ98" s="133"/>
      <c r="DA98" s="133"/>
      <c r="DB98" s="133"/>
      <c r="DC98" s="133"/>
      <c r="DD98" s="133"/>
      <c r="DE98" s="133"/>
      <c r="DF98" s="133"/>
      <c r="DG98" s="133"/>
      <c r="DH98" s="133"/>
      <c r="DI98" s="133"/>
      <c r="DJ98" s="133"/>
      <c r="DK98" s="133"/>
      <c r="DL98" s="133"/>
      <c r="DM98" s="133"/>
      <c r="DN98" s="133">
        <v>0</v>
      </c>
      <c r="DO98" s="133"/>
      <c r="DP98" s="133">
        <v>0</v>
      </c>
      <c r="DQ98" s="133">
        <v>0</v>
      </c>
      <c r="DR98" s="133"/>
      <c r="DS98" s="133">
        <v>0</v>
      </c>
      <c r="DT98" s="133">
        <v>0</v>
      </c>
      <c r="DU98" s="133"/>
      <c r="DV98" s="133"/>
      <c r="DW98" s="133"/>
      <c r="DX98" s="133"/>
      <c r="DY98" s="133">
        <v>0</v>
      </c>
      <c r="DZ98" s="133">
        <v>0</v>
      </c>
      <c r="EA98" s="133"/>
      <c r="EB98" s="133"/>
      <c r="EC98" s="133"/>
      <c r="ED98" s="133"/>
      <c r="EE98" s="133"/>
      <c r="EF98" s="133"/>
      <c r="EG98" s="133"/>
      <c r="EH98" s="133"/>
      <c r="EI98" s="133"/>
      <c r="EJ98" s="133"/>
      <c r="EK98" s="133"/>
      <c r="EL98" s="133"/>
      <c r="EM98" s="133"/>
      <c r="EN98" s="133"/>
      <c r="EO98" s="133"/>
      <c r="EP98" s="133"/>
      <c r="EQ98" s="133"/>
      <c r="ER98" s="133"/>
      <c r="ES98" s="133"/>
      <c r="ET98" s="133"/>
      <c r="EU98" s="133"/>
      <c r="EV98" s="133">
        <v>0</v>
      </c>
    </row>
    <row r="99" spans="1:152">
      <c r="A99" s="270" t="s">
        <v>173</v>
      </c>
      <c r="B99" s="133"/>
      <c r="C99" s="133"/>
      <c r="D99" s="133"/>
      <c r="E99" s="133"/>
      <c r="F99" s="133"/>
      <c r="G99" s="133"/>
      <c r="H99" s="133">
        <v>2969.10009259259</v>
      </c>
      <c r="I99" s="133"/>
      <c r="J99" s="133"/>
      <c r="K99" s="133"/>
      <c r="L99" s="133"/>
      <c r="M99" s="133"/>
      <c r="N99" s="133"/>
      <c r="O99" s="133"/>
      <c r="P99" s="133"/>
      <c r="Q99" s="133"/>
      <c r="R99" s="133"/>
      <c r="S99" s="133"/>
      <c r="T99" s="133"/>
      <c r="U99" s="133"/>
      <c r="V99" s="133"/>
      <c r="W99" s="133"/>
      <c r="X99" s="133"/>
      <c r="Y99" s="133"/>
      <c r="Z99" s="133"/>
      <c r="AA99" s="133"/>
      <c r="AB99" s="133"/>
      <c r="AC99" s="133"/>
      <c r="AD99" s="133"/>
      <c r="AE99" s="133"/>
      <c r="AF99" s="133"/>
      <c r="AG99" s="133"/>
      <c r="AH99" s="133"/>
      <c r="AI99" s="133"/>
      <c r="AJ99" s="133"/>
      <c r="AK99" s="133"/>
      <c r="AL99" s="133"/>
      <c r="AM99" s="133"/>
      <c r="AN99" s="133"/>
      <c r="AO99" s="133"/>
      <c r="AP99" s="133"/>
      <c r="AQ99" s="133"/>
      <c r="AR99" s="133"/>
      <c r="AS99" s="133"/>
      <c r="AT99" s="133"/>
      <c r="AU99" s="133"/>
      <c r="AV99" s="133"/>
      <c r="AW99" s="133"/>
      <c r="AX99" s="133"/>
      <c r="AY99" s="133"/>
      <c r="AZ99" s="133"/>
      <c r="BA99" s="133"/>
      <c r="BB99" s="133"/>
      <c r="BC99" s="133"/>
      <c r="BD99" s="133"/>
      <c r="BE99" s="133"/>
      <c r="BF99" s="133"/>
      <c r="BG99" s="133"/>
      <c r="BH99" s="133"/>
      <c r="BI99" s="133">
        <v>2969.10009259259</v>
      </c>
      <c r="BJ99" s="133"/>
      <c r="BK99" s="133"/>
      <c r="BL99" s="133"/>
      <c r="BM99" s="133"/>
      <c r="BN99" s="133"/>
      <c r="BO99" s="133"/>
      <c r="BP99" s="133"/>
      <c r="BQ99" s="133"/>
      <c r="BR99" s="133"/>
      <c r="BS99" s="133"/>
      <c r="BT99" s="133"/>
      <c r="BU99" s="133"/>
      <c r="BV99" s="133"/>
      <c r="BW99" s="133"/>
      <c r="BX99" s="133"/>
      <c r="BY99" s="133"/>
      <c r="BZ99" s="133"/>
      <c r="CA99" s="133"/>
      <c r="CB99" s="133"/>
      <c r="CC99" s="133"/>
      <c r="CD99" s="133"/>
      <c r="CE99" s="133"/>
      <c r="CF99" s="133"/>
      <c r="CG99" s="133"/>
      <c r="CH99" s="133"/>
      <c r="CI99" s="133"/>
      <c r="CJ99" s="133"/>
      <c r="CK99" s="133"/>
      <c r="CL99" s="133"/>
      <c r="CM99" s="133"/>
      <c r="CN99" s="133"/>
      <c r="CO99" s="133"/>
      <c r="CP99" s="133"/>
      <c r="CQ99" s="133"/>
      <c r="CR99" s="133"/>
      <c r="CS99" s="133"/>
      <c r="CT99" s="133"/>
      <c r="CU99" s="133"/>
      <c r="CV99" s="133"/>
      <c r="CW99" s="133"/>
      <c r="CX99" s="133"/>
      <c r="CY99" s="133"/>
      <c r="CZ99" s="133"/>
      <c r="DA99" s="133"/>
      <c r="DB99" s="133"/>
      <c r="DC99" s="133"/>
      <c r="DD99" s="133"/>
      <c r="DE99" s="133"/>
      <c r="DF99" s="133"/>
      <c r="DG99" s="133"/>
      <c r="DH99" s="133"/>
      <c r="DI99" s="133"/>
      <c r="DJ99" s="133"/>
      <c r="DK99" s="133"/>
      <c r="DL99" s="133"/>
      <c r="DM99" s="133"/>
      <c r="DN99" s="133"/>
      <c r="DO99" s="133"/>
      <c r="DP99" s="133"/>
      <c r="DQ99" s="133"/>
      <c r="DR99" s="133"/>
      <c r="DS99" s="133"/>
      <c r="DT99" s="133"/>
      <c r="DU99" s="133"/>
      <c r="DV99" s="133"/>
      <c r="DW99" s="133">
        <v>0</v>
      </c>
      <c r="DX99" s="133"/>
      <c r="DY99" s="133"/>
      <c r="DZ99" s="133"/>
      <c r="EA99" s="133">
        <v>2969.10009259259</v>
      </c>
      <c r="EB99" s="133">
        <v>0</v>
      </c>
      <c r="EC99" s="133">
        <v>0</v>
      </c>
      <c r="ED99" s="133">
        <v>0</v>
      </c>
      <c r="EE99" s="133">
        <v>0</v>
      </c>
      <c r="EF99" s="133">
        <v>0</v>
      </c>
      <c r="EG99" s="133">
        <v>0</v>
      </c>
      <c r="EH99" s="133"/>
      <c r="EI99" s="133">
        <v>2969.10009259259</v>
      </c>
      <c r="EJ99" s="133">
        <v>2969.10009259259</v>
      </c>
      <c r="EK99" s="133">
        <v>2969.10009259259</v>
      </c>
      <c r="EL99" s="133">
        <v>0</v>
      </c>
      <c r="EM99" s="133"/>
      <c r="EN99" s="133"/>
      <c r="EO99" s="133"/>
      <c r="EP99" s="133"/>
      <c r="EQ99" s="133"/>
      <c r="ER99" s="133"/>
      <c r="ES99" s="133"/>
      <c r="ET99" s="133">
        <v>3033.60009259259</v>
      </c>
      <c r="EU99" s="133"/>
      <c r="EV99" s="133">
        <v>3033.60009259259</v>
      </c>
    </row>
    <row r="100" spans="1:152">
      <c r="A100" s="268" t="s">
        <v>175</v>
      </c>
      <c r="B100" s="133">
        <v>1714.09997685185</v>
      </c>
      <c r="C100" s="133">
        <v>0</v>
      </c>
      <c r="D100" s="133">
        <v>7219</v>
      </c>
      <c r="E100" s="133">
        <v>0</v>
      </c>
      <c r="F100" s="133">
        <v>7809.39990740741</v>
      </c>
      <c r="G100" s="133">
        <v>7458.7001967592596</v>
      </c>
      <c r="H100" s="133">
        <v>7809.39990740741</v>
      </c>
      <c r="I100" s="133">
        <v>7776.5</v>
      </c>
      <c r="J100" s="133">
        <v>7796.39990740741</v>
      </c>
      <c r="K100" s="133">
        <v>7779.10009259259</v>
      </c>
      <c r="L100" s="133">
        <v>7779.10009259259</v>
      </c>
      <c r="M100" s="133">
        <v>7779.10009259259</v>
      </c>
      <c r="N100" s="133">
        <v>7749.89990740741</v>
      </c>
      <c r="O100" s="133">
        <v>0</v>
      </c>
      <c r="P100" s="133">
        <v>0</v>
      </c>
      <c r="Q100" s="133">
        <v>0</v>
      </c>
      <c r="R100" s="133">
        <v>0</v>
      </c>
      <c r="S100" s="133">
        <v>0</v>
      </c>
      <c r="T100" s="133">
        <v>0</v>
      </c>
      <c r="U100" s="133">
        <v>7787.2001967592596</v>
      </c>
      <c r="V100" s="133">
        <v>7787.2001967592596</v>
      </c>
      <c r="W100" s="133">
        <v>7194.89990740741</v>
      </c>
      <c r="X100" s="133">
        <v>7787.2001967592596</v>
      </c>
      <c r="Y100" s="133">
        <v>7703.7001967592596</v>
      </c>
      <c r="Z100" s="133">
        <v>7703.7001967592596</v>
      </c>
      <c r="AA100" s="133">
        <v>0</v>
      </c>
      <c r="AB100" s="133">
        <v>7749.89990740741</v>
      </c>
      <c r="AC100" s="133">
        <v>0</v>
      </c>
      <c r="AD100" s="133">
        <v>7703.7001967592596</v>
      </c>
      <c r="AE100" s="133">
        <v>7703.7001967592596</v>
      </c>
      <c r="AF100" s="133">
        <v>7703.7001967592596</v>
      </c>
      <c r="AG100" s="133">
        <v>7703.7001967592596</v>
      </c>
      <c r="AH100" s="133">
        <v>0</v>
      </c>
      <c r="AI100" s="133">
        <v>7703.7001967592596</v>
      </c>
      <c r="AJ100" s="133">
        <v>7703.7001967592596</v>
      </c>
      <c r="AK100" s="133">
        <v>7703.2001967592596</v>
      </c>
      <c r="AL100" s="133">
        <v>7458.7001967592596</v>
      </c>
      <c r="AM100" s="133">
        <v>7458.7001967592596</v>
      </c>
      <c r="AN100" s="133">
        <v>7703.7001967592596</v>
      </c>
      <c r="AO100" s="133">
        <v>7703.7001967592596</v>
      </c>
      <c r="AP100" s="133">
        <v>7749.89990740741</v>
      </c>
      <c r="AQ100" s="133">
        <v>7749.89990740741</v>
      </c>
      <c r="AR100" s="133">
        <v>7703.7001967592596</v>
      </c>
      <c r="AS100" s="133">
        <v>7703.7001967592596</v>
      </c>
      <c r="AT100" s="133">
        <v>7001</v>
      </c>
      <c r="AU100" s="133">
        <v>7001</v>
      </c>
      <c r="AV100" s="133">
        <v>7703.7001967592596</v>
      </c>
      <c r="AW100" s="133">
        <v>7703.7001967592596</v>
      </c>
      <c r="AX100" s="133">
        <v>7703.7001967592596</v>
      </c>
      <c r="AY100" s="133">
        <v>7703.7001967592596</v>
      </c>
      <c r="AZ100" s="133">
        <v>0</v>
      </c>
      <c r="BA100" s="133">
        <v>0</v>
      </c>
      <c r="BB100" s="133">
        <v>7458.7001967592596</v>
      </c>
      <c r="BC100" s="133">
        <v>7703.7001967592596</v>
      </c>
      <c r="BD100" s="133">
        <v>0</v>
      </c>
      <c r="BE100" s="133">
        <v>0</v>
      </c>
      <c r="BF100" s="133">
        <v>0</v>
      </c>
      <c r="BG100" s="133">
        <v>0</v>
      </c>
      <c r="BH100" s="133">
        <v>0</v>
      </c>
      <c r="BI100" s="133">
        <v>7703.7001967592596</v>
      </c>
      <c r="BJ100" s="133">
        <v>0</v>
      </c>
      <c r="BK100" s="133">
        <v>0</v>
      </c>
      <c r="BL100" s="133">
        <v>0</v>
      </c>
      <c r="BM100" s="133">
        <v>0</v>
      </c>
      <c r="BN100" s="133">
        <v>0</v>
      </c>
      <c r="BO100" s="133">
        <v>0</v>
      </c>
      <c r="BP100" s="133">
        <v>0</v>
      </c>
      <c r="BQ100" s="133">
        <v>0</v>
      </c>
      <c r="BR100" s="133">
        <v>0</v>
      </c>
      <c r="BS100" s="133">
        <v>0</v>
      </c>
      <c r="BT100" s="133">
        <v>0</v>
      </c>
      <c r="BU100" s="133">
        <v>0</v>
      </c>
      <c r="BV100" s="133">
        <v>0</v>
      </c>
      <c r="BW100" s="133">
        <v>0</v>
      </c>
      <c r="BX100" s="133">
        <v>0</v>
      </c>
      <c r="BY100" s="133">
        <v>0</v>
      </c>
      <c r="BZ100" s="133">
        <v>0</v>
      </c>
      <c r="CA100" s="133">
        <v>0</v>
      </c>
      <c r="CB100" s="133"/>
      <c r="CC100" s="133"/>
      <c r="CD100" s="133"/>
      <c r="CE100" s="133"/>
      <c r="CF100" s="133">
        <v>0</v>
      </c>
      <c r="CG100" s="133">
        <v>0</v>
      </c>
      <c r="CH100" s="133">
        <v>0</v>
      </c>
      <c r="CI100" s="133">
        <v>0</v>
      </c>
      <c r="CJ100" s="133"/>
      <c r="CK100" s="133"/>
      <c r="CL100" s="133">
        <v>0</v>
      </c>
      <c r="CM100" s="133"/>
      <c r="CN100" s="133">
        <v>0</v>
      </c>
      <c r="CO100" s="133"/>
      <c r="CP100" s="133"/>
      <c r="CQ100" s="133">
        <v>0</v>
      </c>
      <c r="CR100" s="133">
        <v>0</v>
      </c>
      <c r="CS100" s="133">
        <v>0</v>
      </c>
      <c r="CT100" s="133">
        <v>0</v>
      </c>
      <c r="CU100" s="133">
        <v>0</v>
      </c>
      <c r="CV100" s="133">
        <v>0</v>
      </c>
      <c r="CW100" s="133">
        <v>7703.7001967592596</v>
      </c>
      <c r="CX100" s="133">
        <v>7458.7001967592596</v>
      </c>
      <c r="CY100" s="133">
        <v>7458.7001967592596</v>
      </c>
      <c r="CZ100" s="133">
        <v>7458.7001967592596</v>
      </c>
      <c r="DA100" s="133">
        <v>7703.7001967592596</v>
      </c>
      <c r="DB100" s="133">
        <v>0</v>
      </c>
      <c r="DC100" s="133">
        <v>0</v>
      </c>
      <c r="DD100" s="133">
        <v>0</v>
      </c>
      <c r="DE100" s="133">
        <v>0</v>
      </c>
      <c r="DF100" s="133">
        <v>0</v>
      </c>
      <c r="DG100" s="133">
        <v>0</v>
      </c>
      <c r="DH100" s="133">
        <v>0</v>
      </c>
      <c r="DI100" s="133">
        <v>0</v>
      </c>
      <c r="DJ100" s="133">
        <v>0</v>
      </c>
      <c r="DK100" s="133">
        <v>3986.5</v>
      </c>
      <c r="DL100" s="133">
        <v>0</v>
      </c>
      <c r="DM100" s="133">
        <v>0</v>
      </c>
      <c r="DN100" s="133">
        <v>0</v>
      </c>
      <c r="DO100" s="133">
        <v>0</v>
      </c>
      <c r="DP100" s="133">
        <v>0</v>
      </c>
      <c r="DQ100" s="133">
        <v>0</v>
      </c>
      <c r="DR100" s="133">
        <v>0</v>
      </c>
      <c r="DS100" s="133">
        <v>0</v>
      </c>
      <c r="DT100" s="133">
        <v>0</v>
      </c>
      <c r="DU100" s="133">
        <v>0</v>
      </c>
      <c r="DV100" s="133">
        <v>0</v>
      </c>
      <c r="DW100" s="133">
        <v>0</v>
      </c>
      <c r="DX100" s="133">
        <v>0</v>
      </c>
      <c r="DY100" s="133">
        <v>0</v>
      </c>
      <c r="DZ100" s="133">
        <v>0</v>
      </c>
      <c r="EA100" s="133">
        <v>7703.7001967592596</v>
      </c>
      <c r="EB100" s="133">
        <v>0</v>
      </c>
      <c r="EC100" s="133">
        <v>0</v>
      </c>
      <c r="ED100" s="133">
        <v>0</v>
      </c>
      <c r="EE100" s="133">
        <v>0</v>
      </c>
      <c r="EF100" s="133">
        <v>0</v>
      </c>
      <c r="EG100" s="133">
        <v>0</v>
      </c>
      <c r="EH100" s="133">
        <v>0</v>
      </c>
      <c r="EI100" s="133">
        <v>4756.5</v>
      </c>
      <c r="EJ100" s="133">
        <v>7703.7001967592596</v>
      </c>
      <c r="EK100" s="133">
        <v>7458.7001967592596</v>
      </c>
      <c r="EL100" s="133">
        <v>0</v>
      </c>
      <c r="EM100" s="133">
        <v>0</v>
      </c>
      <c r="EN100" s="133">
        <v>0</v>
      </c>
      <c r="EO100" s="133">
        <v>0</v>
      </c>
      <c r="EP100" s="133">
        <v>0</v>
      </c>
      <c r="EQ100" s="133">
        <v>6461.39990740741</v>
      </c>
      <c r="ER100" s="133">
        <v>6703.39990740741</v>
      </c>
      <c r="ES100" s="133">
        <v>7232.10009259259</v>
      </c>
      <c r="ET100" s="133">
        <v>7469.2001967592596</v>
      </c>
      <c r="EU100" s="133">
        <v>0</v>
      </c>
      <c r="EV100" s="133">
        <v>7809.39990740741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>
  <sheetPr codeName="Sheet7"/>
  <dimension ref="A1:EV100"/>
  <sheetViews>
    <sheetView workbookViewId="0">
      <selection activeCell="C2" sqref="C2"/>
    </sheetView>
  </sheetViews>
  <sheetFormatPr defaultRowHeight="15"/>
  <cols>
    <col min="1" max="1" width="17.5703125" bestFit="1" customWidth="1"/>
    <col min="2" max="2" width="16.28515625" bestFit="1" customWidth="1"/>
    <col min="3" max="3" width="7.28515625" bestFit="1" customWidth="1"/>
    <col min="4" max="4" width="6.5703125" bestFit="1" customWidth="1"/>
    <col min="5" max="6" width="7.28515625" bestFit="1" customWidth="1"/>
    <col min="7" max="7" width="6" bestFit="1" customWidth="1"/>
    <col min="8" max="9" width="7.28515625" bestFit="1" customWidth="1"/>
    <col min="10" max="10" width="6.28515625" bestFit="1" customWidth="1"/>
    <col min="11" max="19" width="7.28515625" bestFit="1" customWidth="1"/>
    <col min="20" max="20" width="6.85546875" bestFit="1" customWidth="1"/>
    <col min="21" max="21" width="6.5703125" bestFit="1" customWidth="1"/>
    <col min="22" max="26" width="7.5703125" bestFit="1" customWidth="1"/>
    <col min="27" max="27" width="7.28515625" bestFit="1" customWidth="1"/>
    <col min="28" max="28" width="6.7109375" bestFit="1" customWidth="1"/>
    <col min="29" max="29" width="7.28515625" bestFit="1" customWidth="1"/>
    <col min="30" max="32" width="6.140625" bestFit="1" customWidth="1"/>
    <col min="33" max="33" width="7.5703125" bestFit="1" customWidth="1"/>
    <col min="34" max="34" width="7.28515625" bestFit="1" customWidth="1"/>
    <col min="35" max="36" width="7.140625" bestFit="1" customWidth="1"/>
    <col min="37" max="39" width="7.28515625" bestFit="1" customWidth="1"/>
    <col min="40" max="41" width="7.140625" bestFit="1" customWidth="1"/>
    <col min="42" max="43" width="7.28515625" bestFit="1" customWidth="1"/>
    <col min="44" max="44" width="7" bestFit="1" customWidth="1"/>
    <col min="45" max="45" width="5.7109375" bestFit="1" customWidth="1"/>
    <col min="46" max="51" width="6.7109375" bestFit="1" customWidth="1"/>
    <col min="52" max="53" width="7.28515625" bestFit="1" customWidth="1"/>
    <col min="54" max="54" width="6" bestFit="1" customWidth="1"/>
    <col min="55" max="55" width="5.85546875" bestFit="1" customWidth="1"/>
    <col min="56" max="57" width="7.5703125" bestFit="1" customWidth="1"/>
    <col min="58" max="58" width="7.28515625" bestFit="1" customWidth="1"/>
    <col min="59" max="62" width="7.5703125" bestFit="1" customWidth="1"/>
    <col min="63" max="63" width="7.28515625" bestFit="1" customWidth="1"/>
    <col min="64" max="68" width="7.5703125" bestFit="1" customWidth="1"/>
    <col min="69" max="70" width="7.28515625" bestFit="1" customWidth="1"/>
    <col min="71" max="71" width="7.5703125" bestFit="1" customWidth="1"/>
    <col min="72" max="77" width="7.28515625" bestFit="1" customWidth="1"/>
    <col min="78" max="79" width="7.5703125" bestFit="1" customWidth="1"/>
    <col min="80" max="85" width="7.28515625" bestFit="1" customWidth="1"/>
    <col min="86" max="86" width="7" bestFit="1" customWidth="1"/>
    <col min="87" max="87" width="7.140625" bestFit="1" customWidth="1"/>
    <col min="88" max="88" width="6.5703125" bestFit="1" customWidth="1"/>
    <col min="89" max="89" width="7" bestFit="1" customWidth="1"/>
    <col min="90" max="93" width="7.140625" bestFit="1" customWidth="1"/>
    <col min="94" max="99" width="7" bestFit="1" customWidth="1"/>
    <col min="100" max="100" width="7.28515625" bestFit="1" customWidth="1"/>
    <col min="101" max="105" width="6.5703125" bestFit="1" customWidth="1"/>
    <col min="106" max="106" width="7.5703125" bestFit="1" customWidth="1"/>
    <col min="107" max="108" width="7" bestFit="1" customWidth="1"/>
    <col min="109" max="109" width="7.5703125" bestFit="1" customWidth="1"/>
    <col min="110" max="110" width="6.28515625" bestFit="1" customWidth="1"/>
    <col min="111" max="115" width="7.28515625" bestFit="1" customWidth="1"/>
    <col min="116" max="116" width="7" bestFit="1" customWidth="1"/>
    <col min="117" max="118" width="7.28515625" bestFit="1" customWidth="1"/>
    <col min="119" max="119" width="7" bestFit="1" customWidth="1"/>
    <col min="120" max="124" width="7.28515625" bestFit="1" customWidth="1"/>
    <col min="125" max="125" width="7.140625" bestFit="1" customWidth="1"/>
    <col min="126" max="126" width="6.85546875" bestFit="1" customWidth="1"/>
    <col min="127" max="130" width="7.28515625" bestFit="1" customWidth="1"/>
    <col min="131" max="131" width="7" bestFit="1" customWidth="1"/>
    <col min="132" max="136" width="7.28515625" bestFit="1" customWidth="1"/>
    <col min="137" max="137" width="7.5703125" bestFit="1" customWidth="1"/>
    <col min="138" max="138" width="7.28515625" bestFit="1" customWidth="1"/>
    <col min="139" max="139" width="7.5703125" bestFit="1" customWidth="1"/>
    <col min="140" max="141" width="5.7109375" bestFit="1" customWidth="1"/>
    <col min="142" max="146" width="7.5703125" bestFit="1" customWidth="1"/>
    <col min="147" max="147" width="6.28515625" bestFit="1" customWidth="1"/>
    <col min="148" max="148" width="6.85546875" bestFit="1" customWidth="1"/>
    <col min="149" max="149" width="6.140625" bestFit="1" customWidth="1"/>
    <col min="150" max="150" width="5.7109375" bestFit="1" customWidth="1"/>
    <col min="151" max="151" width="7.28515625" bestFit="1" customWidth="1"/>
    <col min="152" max="152" width="11.28515625" bestFit="1" customWidth="1"/>
  </cols>
  <sheetData>
    <row r="1" spans="1:152">
      <c r="A1" s="243" t="s">
        <v>178</v>
      </c>
      <c r="B1" s="247" t="s">
        <v>174</v>
      </c>
    </row>
    <row r="2" spans="1:152">
      <c r="A2" s="247" t="s">
        <v>176</v>
      </c>
      <c r="B2" s="244">
        <v>0</v>
      </c>
      <c r="C2" s="244">
        <v>13</v>
      </c>
      <c r="D2" s="244">
        <v>14</v>
      </c>
      <c r="E2" s="244">
        <v>15</v>
      </c>
      <c r="F2" s="244">
        <v>25</v>
      </c>
      <c r="G2" s="244">
        <v>35</v>
      </c>
      <c r="H2" s="244">
        <v>45</v>
      </c>
      <c r="I2" s="244">
        <v>55</v>
      </c>
      <c r="J2" s="244">
        <v>62</v>
      </c>
      <c r="K2" s="244">
        <v>79</v>
      </c>
      <c r="L2" s="244">
        <v>85</v>
      </c>
      <c r="M2" s="244">
        <v>86</v>
      </c>
      <c r="N2" s="244">
        <v>88</v>
      </c>
      <c r="O2" s="244">
        <v>95</v>
      </c>
      <c r="P2" s="244">
        <v>100</v>
      </c>
      <c r="Q2" s="244">
        <v>101</v>
      </c>
      <c r="R2" s="244">
        <v>102</v>
      </c>
      <c r="S2" s="244">
        <v>103</v>
      </c>
      <c r="T2" s="244">
        <v>116</v>
      </c>
      <c r="U2" s="244">
        <v>130</v>
      </c>
      <c r="V2" s="244">
        <v>135</v>
      </c>
      <c r="W2" s="244">
        <v>140</v>
      </c>
      <c r="X2" s="244">
        <v>145</v>
      </c>
      <c r="Y2" s="244">
        <v>150</v>
      </c>
      <c r="Z2" s="244">
        <v>152</v>
      </c>
      <c r="AA2" s="244">
        <v>160</v>
      </c>
      <c r="AB2" s="244">
        <v>164</v>
      </c>
      <c r="AC2" s="244">
        <v>177</v>
      </c>
      <c r="AD2" s="244">
        <v>192</v>
      </c>
      <c r="AE2" s="244">
        <v>195</v>
      </c>
      <c r="AF2" s="244">
        <v>198</v>
      </c>
      <c r="AG2" s="244">
        <v>200</v>
      </c>
      <c r="AH2" s="244">
        <v>222</v>
      </c>
      <c r="AI2" s="244">
        <v>223</v>
      </c>
      <c r="AJ2" s="244">
        <v>224</v>
      </c>
      <c r="AK2" s="244">
        <v>225</v>
      </c>
      <c r="AL2" s="244">
        <v>226</v>
      </c>
      <c r="AM2" s="244">
        <v>230</v>
      </c>
      <c r="AN2" s="244">
        <v>231</v>
      </c>
      <c r="AO2" s="244">
        <v>234</v>
      </c>
      <c r="AP2" s="244">
        <v>260</v>
      </c>
      <c r="AQ2" s="244">
        <v>261</v>
      </c>
      <c r="AR2" s="244">
        <v>270</v>
      </c>
      <c r="AS2" s="244">
        <v>275</v>
      </c>
      <c r="AT2" s="244">
        <v>286</v>
      </c>
      <c r="AU2" s="244">
        <v>287</v>
      </c>
      <c r="AV2" s="244">
        <v>290</v>
      </c>
      <c r="AW2" s="244">
        <v>291</v>
      </c>
      <c r="AX2" s="244">
        <v>295</v>
      </c>
      <c r="AY2" s="244">
        <v>300</v>
      </c>
      <c r="AZ2" s="244">
        <v>320</v>
      </c>
      <c r="BA2" s="244">
        <v>326</v>
      </c>
      <c r="BB2" s="244">
        <v>400</v>
      </c>
      <c r="BC2" s="244">
        <v>465</v>
      </c>
      <c r="BD2" s="244">
        <v>496</v>
      </c>
      <c r="BE2" s="244">
        <v>500</v>
      </c>
      <c r="BF2" s="244">
        <v>530</v>
      </c>
      <c r="BG2" s="244">
        <v>531</v>
      </c>
      <c r="BH2" s="244">
        <v>532</v>
      </c>
      <c r="BI2" s="244">
        <v>533</v>
      </c>
      <c r="BJ2" s="244">
        <v>534</v>
      </c>
      <c r="BK2" s="244">
        <v>535</v>
      </c>
      <c r="BL2" s="244">
        <v>542</v>
      </c>
      <c r="BM2" s="244">
        <v>551</v>
      </c>
      <c r="BN2" s="244">
        <v>553</v>
      </c>
      <c r="BO2" s="244">
        <v>570</v>
      </c>
      <c r="BP2" s="244">
        <v>580</v>
      </c>
      <c r="BQ2" s="244">
        <v>590</v>
      </c>
      <c r="BR2" s="244">
        <v>591</v>
      </c>
      <c r="BS2" s="244">
        <v>649</v>
      </c>
      <c r="BT2" s="244">
        <v>674</v>
      </c>
      <c r="BU2" s="244">
        <v>675</v>
      </c>
      <c r="BV2" s="244">
        <v>676</v>
      </c>
      <c r="BW2" s="244">
        <v>677</v>
      </c>
      <c r="BX2" s="244">
        <v>678</v>
      </c>
      <c r="BY2" s="244">
        <v>679</v>
      </c>
      <c r="BZ2" s="244">
        <v>680</v>
      </c>
      <c r="CA2" s="244">
        <v>681</v>
      </c>
      <c r="CB2" s="244">
        <v>682</v>
      </c>
      <c r="CC2" s="244">
        <v>683</v>
      </c>
      <c r="CD2" s="244">
        <v>684</v>
      </c>
      <c r="CE2" s="244">
        <v>685</v>
      </c>
      <c r="CF2" s="244">
        <v>700</v>
      </c>
      <c r="CG2" s="244">
        <v>703</v>
      </c>
      <c r="CH2" s="244">
        <v>705</v>
      </c>
      <c r="CI2" s="244">
        <v>708</v>
      </c>
      <c r="CJ2" s="244">
        <v>709</v>
      </c>
      <c r="CK2" s="244">
        <v>710</v>
      </c>
      <c r="CL2" s="244">
        <v>711</v>
      </c>
      <c r="CM2" s="244">
        <v>712</v>
      </c>
      <c r="CN2" s="244">
        <v>714</v>
      </c>
      <c r="CO2" s="244">
        <v>716</v>
      </c>
      <c r="CP2" s="244">
        <v>718</v>
      </c>
      <c r="CQ2" s="244">
        <v>720</v>
      </c>
      <c r="CR2" s="244">
        <v>725</v>
      </c>
      <c r="CS2" s="244">
        <v>730</v>
      </c>
      <c r="CT2" s="244">
        <v>735</v>
      </c>
      <c r="CU2" s="244">
        <v>740</v>
      </c>
      <c r="CV2" s="244">
        <v>745</v>
      </c>
      <c r="CW2" s="244">
        <v>751</v>
      </c>
      <c r="CX2" s="244">
        <v>752</v>
      </c>
      <c r="CY2" s="244">
        <v>754</v>
      </c>
      <c r="CZ2" s="244">
        <v>755</v>
      </c>
      <c r="DA2" s="244">
        <v>757</v>
      </c>
      <c r="DB2" s="244">
        <v>760</v>
      </c>
      <c r="DC2" s="244">
        <v>775</v>
      </c>
      <c r="DD2" s="244">
        <v>780</v>
      </c>
      <c r="DE2" s="244">
        <v>785</v>
      </c>
      <c r="DF2" s="244">
        <v>793</v>
      </c>
      <c r="DG2" s="244">
        <v>800</v>
      </c>
      <c r="DH2" s="244">
        <v>801</v>
      </c>
      <c r="DI2" s="244">
        <v>803</v>
      </c>
      <c r="DJ2" s="244">
        <v>804</v>
      </c>
      <c r="DK2" s="244">
        <v>903</v>
      </c>
      <c r="DL2" s="244">
        <v>5</v>
      </c>
      <c r="DM2" s="244">
        <v>108</v>
      </c>
      <c r="DN2" s="244">
        <v>110</v>
      </c>
      <c r="DO2" s="244">
        <v>115</v>
      </c>
      <c r="DP2" s="244">
        <v>125</v>
      </c>
      <c r="DQ2" s="244">
        <v>155</v>
      </c>
      <c r="DR2" s="244">
        <v>165</v>
      </c>
      <c r="DS2" s="244">
        <v>175</v>
      </c>
      <c r="DT2" s="244">
        <v>220</v>
      </c>
      <c r="DU2" s="244">
        <v>240</v>
      </c>
      <c r="DV2" s="244">
        <v>245</v>
      </c>
      <c r="DW2" s="244">
        <v>250</v>
      </c>
      <c r="DX2" s="244">
        <v>350</v>
      </c>
      <c r="DY2" s="244">
        <v>351</v>
      </c>
      <c r="DZ2" s="244">
        <v>352</v>
      </c>
      <c r="EA2" s="244">
        <v>46</v>
      </c>
      <c r="EB2" s="244">
        <v>105</v>
      </c>
      <c r="EC2" s="244">
        <v>401</v>
      </c>
      <c r="ED2" s="244">
        <v>405</v>
      </c>
      <c r="EE2" s="244">
        <v>406</v>
      </c>
      <c r="EF2" s="244">
        <v>407</v>
      </c>
      <c r="EG2" s="244">
        <v>415</v>
      </c>
      <c r="EH2" s="244">
        <v>445</v>
      </c>
      <c r="EI2" s="244">
        <v>516</v>
      </c>
      <c r="EJ2" s="244">
        <v>520</v>
      </c>
      <c r="EK2" s="244">
        <v>525</v>
      </c>
      <c r="EL2" s="244">
        <v>663</v>
      </c>
      <c r="EM2" s="244">
        <v>665</v>
      </c>
      <c r="EN2" s="244">
        <v>666</v>
      </c>
      <c r="EO2" s="244">
        <v>667</v>
      </c>
      <c r="EP2" s="244">
        <v>668</v>
      </c>
      <c r="EQ2" s="244">
        <v>310</v>
      </c>
      <c r="ER2" s="244">
        <v>470</v>
      </c>
      <c r="ES2" s="244">
        <v>205</v>
      </c>
      <c r="ET2" s="244">
        <v>523</v>
      </c>
      <c r="EU2" s="244">
        <v>161</v>
      </c>
      <c r="EV2" s="244" t="s">
        <v>175</v>
      </c>
    </row>
    <row r="3" spans="1:152">
      <c r="A3" s="268" t="s">
        <v>15</v>
      </c>
      <c r="B3" s="244">
        <v>41960.420138888898</v>
      </c>
      <c r="C3" s="244">
        <v>42111.368055555598</v>
      </c>
      <c r="D3" s="244"/>
      <c r="E3" s="244">
        <v>42111.734722222202</v>
      </c>
      <c r="F3" s="244">
        <v>42111.621527777803</v>
      </c>
      <c r="G3" s="244"/>
      <c r="H3" s="244">
        <v>42111.837500000001</v>
      </c>
      <c r="I3" s="244">
        <v>42060.572916666701</v>
      </c>
      <c r="J3" s="244"/>
      <c r="K3" s="244">
        <v>42078.349305555603</v>
      </c>
      <c r="L3" s="244">
        <v>42080.085416666698</v>
      </c>
      <c r="M3" s="244">
        <v>42068.673611111102</v>
      </c>
      <c r="N3" s="244">
        <v>42059.677083333299</v>
      </c>
      <c r="O3" s="244">
        <v>42081</v>
      </c>
      <c r="P3" s="244">
        <v>42109.620138888902</v>
      </c>
      <c r="Q3" s="244">
        <v>42075.322222222203</v>
      </c>
      <c r="R3" s="244">
        <v>42109.438888888901</v>
      </c>
      <c r="S3" s="244">
        <v>42104</v>
      </c>
      <c r="T3" s="244">
        <v>42104.818055555603</v>
      </c>
      <c r="U3" s="244"/>
      <c r="V3" s="244">
        <v>42104.208333333299</v>
      </c>
      <c r="W3" s="244"/>
      <c r="X3" s="244">
        <v>42068.431250000001</v>
      </c>
      <c r="Y3" s="244"/>
      <c r="Z3" s="244"/>
      <c r="AA3" s="244">
        <v>42111.587500000001</v>
      </c>
      <c r="AB3" s="244"/>
      <c r="AC3" s="244">
        <v>42111</v>
      </c>
      <c r="AD3" s="244"/>
      <c r="AE3" s="244"/>
      <c r="AF3" s="244"/>
      <c r="AG3" s="244">
        <v>42060</v>
      </c>
      <c r="AH3" s="244">
        <v>42099</v>
      </c>
      <c r="AI3" s="244"/>
      <c r="AJ3" s="244"/>
      <c r="AK3" s="244">
        <v>42026</v>
      </c>
      <c r="AL3" s="244">
        <v>42122</v>
      </c>
      <c r="AM3" s="244">
        <v>42070</v>
      </c>
      <c r="AN3" s="244"/>
      <c r="AO3" s="244"/>
      <c r="AP3" s="244">
        <v>42093.838888888902</v>
      </c>
      <c r="AQ3" s="244">
        <v>42074.690972222197</v>
      </c>
      <c r="AR3" s="244"/>
      <c r="AS3" s="244"/>
      <c r="AT3" s="244"/>
      <c r="AU3" s="244"/>
      <c r="AV3" s="244"/>
      <c r="AW3" s="244"/>
      <c r="AX3" s="244"/>
      <c r="AY3" s="244"/>
      <c r="AZ3" s="244">
        <v>41955</v>
      </c>
      <c r="BA3" s="244">
        <v>41955</v>
      </c>
      <c r="BB3" s="244"/>
      <c r="BC3" s="244"/>
      <c r="BD3" s="244">
        <v>42108.409722222197</v>
      </c>
      <c r="BE3" s="244">
        <v>42112.038194444402</v>
      </c>
      <c r="BF3" s="244">
        <v>42083.695138888899</v>
      </c>
      <c r="BG3" s="244">
        <v>42087.394444444399</v>
      </c>
      <c r="BH3" s="244">
        <v>42109.740277777797</v>
      </c>
      <c r="BI3" s="244">
        <v>42104.25</v>
      </c>
      <c r="BJ3" s="244">
        <v>42114.559027777803</v>
      </c>
      <c r="BK3" s="244">
        <v>42107.5756944444</v>
      </c>
      <c r="BL3" s="244">
        <v>42073.4</v>
      </c>
      <c r="BM3" s="244">
        <v>42104</v>
      </c>
      <c r="BN3" s="244">
        <v>42111</v>
      </c>
      <c r="BO3" s="244">
        <v>42115.5756944444</v>
      </c>
      <c r="BP3" s="244">
        <v>42115.577777777798</v>
      </c>
      <c r="BQ3" s="244">
        <v>41968</v>
      </c>
      <c r="BR3" s="244">
        <v>42074</v>
      </c>
      <c r="BS3" s="244">
        <v>42112.022916666698</v>
      </c>
      <c r="BT3" s="244">
        <v>41969</v>
      </c>
      <c r="BU3" s="244">
        <v>41969</v>
      </c>
      <c r="BV3" s="244">
        <v>41969</v>
      </c>
      <c r="BW3" s="244">
        <v>41969</v>
      </c>
      <c r="BX3" s="244">
        <v>41969</v>
      </c>
      <c r="BY3" s="244">
        <v>41969</v>
      </c>
      <c r="BZ3" s="244">
        <v>41793</v>
      </c>
      <c r="CA3" s="244">
        <v>41793</v>
      </c>
      <c r="CB3" s="244">
        <v>41306</v>
      </c>
      <c r="CC3" s="244">
        <v>41306</v>
      </c>
      <c r="CD3" s="244">
        <v>41306</v>
      </c>
      <c r="CE3" s="244">
        <v>41306</v>
      </c>
      <c r="CF3" s="244">
        <v>42111.106249999997</v>
      </c>
      <c r="CG3" s="244">
        <v>42046.351388888899</v>
      </c>
      <c r="CH3" s="244">
        <v>42109</v>
      </c>
      <c r="CI3" s="244">
        <v>41976.720833333296</v>
      </c>
      <c r="CJ3" s="244">
        <v>41214</v>
      </c>
      <c r="CK3" s="244">
        <v>41214</v>
      </c>
      <c r="CL3" s="244">
        <v>40603</v>
      </c>
      <c r="CM3" s="244">
        <v>40603</v>
      </c>
      <c r="CN3" s="244">
        <v>41864.416666666701</v>
      </c>
      <c r="CO3" s="244">
        <v>41730</v>
      </c>
      <c r="CP3" s="244">
        <v>41365</v>
      </c>
      <c r="CQ3" s="244">
        <v>41334</v>
      </c>
      <c r="CR3" s="244">
        <v>41334</v>
      </c>
      <c r="CS3" s="244">
        <v>42095.556250000001</v>
      </c>
      <c r="CT3" s="244">
        <v>46478</v>
      </c>
      <c r="CU3" s="244">
        <v>46478</v>
      </c>
      <c r="CV3" s="244">
        <v>42095.559027777803</v>
      </c>
      <c r="CW3" s="244"/>
      <c r="CX3" s="244"/>
      <c r="CY3" s="244"/>
      <c r="CZ3" s="244"/>
      <c r="DA3" s="244"/>
      <c r="DB3" s="244">
        <v>42088</v>
      </c>
      <c r="DC3" s="244">
        <v>46478</v>
      </c>
      <c r="DD3" s="244">
        <v>42095.560416666704</v>
      </c>
      <c r="DE3" s="244">
        <v>42074</v>
      </c>
      <c r="DF3" s="244">
        <v>41917</v>
      </c>
      <c r="DG3" s="244">
        <v>42111.897916666698</v>
      </c>
      <c r="DH3" s="244">
        <v>42114.399305555598</v>
      </c>
      <c r="DI3" s="244">
        <v>42111.350694444402</v>
      </c>
      <c r="DJ3" s="244">
        <v>42111.472222222197</v>
      </c>
      <c r="DK3" s="244">
        <v>42068.339583333298</v>
      </c>
      <c r="DL3" s="244">
        <v>42060</v>
      </c>
      <c r="DM3" s="244">
        <v>42068.747222222199</v>
      </c>
      <c r="DN3" s="244">
        <v>42045.313888888901</v>
      </c>
      <c r="DO3" s="244">
        <v>42064.633333333302</v>
      </c>
      <c r="DP3" s="244">
        <v>42119.309027777803</v>
      </c>
      <c r="DQ3" s="244">
        <v>42119.0715277778</v>
      </c>
      <c r="DR3" s="244">
        <v>42037</v>
      </c>
      <c r="DS3" s="244">
        <v>42104.460416666698</v>
      </c>
      <c r="DT3" s="244">
        <v>42101.614583333299</v>
      </c>
      <c r="DU3" s="244">
        <v>42004.756249999999</v>
      </c>
      <c r="DV3" s="244">
        <v>42111.591666666704</v>
      </c>
      <c r="DW3" s="244">
        <v>42112.440972222197</v>
      </c>
      <c r="DX3" s="244">
        <v>42123.336805555598</v>
      </c>
      <c r="DY3" s="244">
        <v>42109.643750000003</v>
      </c>
      <c r="DZ3" s="244">
        <v>42009</v>
      </c>
      <c r="EA3" s="244"/>
      <c r="EB3" s="244">
        <v>42109.496527777803</v>
      </c>
      <c r="EC3" s="244">
        <v>42110.563194444403</v>
      </c>
      <c r="ED3" s="244">
        <v>42104</v>
      </c>
      <c r="EE3" s="244">
        <v>42105.463194444397</v>
      </c>
      <c r="EF3" s="244">
        <v>42105.463888888902</v>
      </c>
      <c r="EG3" s="244">
        <v>42110.425694444399</v>
      </c>
      <c r="EH3" s="244">
        <v>42059.543749999997</v>
      </c>
      <c r="EI3" s="244"/>
      <c r="EJ3" s="244"/>
      <c r="EK3" s="244"/>
      <c r="EL3" s="244">
        <v>42081</v>
      </c>
      <c r="EM3" s="244">
        <v>41781</v>
      </c>
      <c r="EN3" s="244">
        <v>41781</v>
      </c>
      <c r="EO3" s="244">
        <v>41781</v>
      </c>
      <c r="EP3" s="244">
        <v>41781</v>
      </c>
      <c r="EQ3" s="244"/>
      <c r="ER3" s="244"/>
      <c r="ES3" s="244"/>
      <c r="ET3" s="244"/>
      <c r="EU3" s="244">
        <v>42111</v>
      </c>
      <c r="EV3" s="244">
        <v>46478</v>
      </c>
    </row>
    <row r="4" spans="1:152">
      <c r="A4" s="269" t="s">
        <v>164</v>
      </c>
      <c r="B4" s="244"/>
      <c r="C4" s="244"/>
      <c r="D4" s="244"/>
      <c r="E4" s="244"/>
      <c r="F4" s="244">
        <v>42111.457638888904</v>
      </c>
      <c r="G4" s="244"/>
      <c r="H4" s="244">
        <v>42110.461111111101</v>
      </c>
      <c r="I4" s="244"/>
      <c r="J4" s="244"/>
      <c r="K4" s="244">
        <v>42065.563888888901</v>
      </c>
      <c r="L4" s="244">
        <v>42065.598611111098</v>
      </c>
      <c r="M4" s="244"/>
      <c r="N4" s="244"/>
      <c r="O4" s="244"/>
      <c r="P4" s="244">
        <v>42109.620138888902</v>
      </c>
      <c r="Q4" s="244">
        <v>42049.620833333298</v>
      </c>
      <c r="R4" s="244">
        <v>42095.5625</v>
      </c>
      <c r="S4" s="244">
        <v>42051.594444444403</v>
      </c>
      <c r="T4" s="244"/>
      <c r="U4" s="244"/>
      <c r="V4" s="244">
        <v>41942</v>
      </c>
      <c r="W4" s="244"/>
      <c r="X4" s="244">
        <v>41989.574999999997</v>
      </c>
      <c r="Y4" s="244"/>
      <c r="Z4" s="244"/>
      <c r="AA4" s="244">
        <v>42109.528472222199</v>
      </c>
      <c r="AB4" s="244"/>
      <c r="AC4" s="244">
        <v>42033.654861111099</v>
      </c>
      <c r="AD4" s="244"/>
      <c r="AE4" s="244"/>
      <c r="AF4" s="244"/>
      <c r="AG4" s="244">
        <v>41759</v>
      </c>
      <c r="AH4" s="244">
        <v>41862</v>
      </c>
      <c r="AI4" s="244"/>
      <c r="AJ4" s="244"/>
      <c r="AK4" s="244">
        <v>41759</v>
      </c>
      <c r="AL4" s="244">
        <v>41759</v>
      </c>
      <c r="AM4" s="244">
        <v>42029</v>
      </c>
      <c r="AN4" s="244"/>
      <c r="AO4" s="244"/>
      <c r="AP4" s="244">
        <v>42068.481249999997</v>
      </c>
      <c r="AQ4" s="244">
        <v>42038.625694444403</v>
      </c>
      <c r="AR4" s="244"/>
      <c r="AS4" s="244"/>
      <c r="AT4" s="244"/>
      <c r="AU4" s="244"/>
      <c r="AV4" s="244"/>
      <c r="AW4" s="244"/>
      <c r="AX4" s="244"/>
      <c r="AY4" s="244"/>
      <c r="AZ4" s="244"/>
      <c r="BA4" s="244"/>
      <c r="BB4" s="244"/>
      <c r="BC4" s="244"/>
      <c r="BD4" s="244">
        <v>42071</v>
      </c>
      <c r="BE4" s="244">
        <v>42090.443749999999</v>
      </c>
      <c r="BF4" s="244">
        <v>41832</v>
      </c>
      <c r="BG4" s="244">
        <v>42067</v>
      </c>
      <c r="BH4" s="244">
        <v>41865</v>
      </c>
      <c r="BI4" s="244">
        <v>42067</v>
      </c>
      <c r="BJ4" s="244">
        <v>42067</v>
      </c>
      <c r="BK4" s="244">
        <v>41836</v>
      </c>
      <c r="BL4" s="244">
        <v>42067</v>
      </c>
      <c r="BM4" s="244">
        <v>41794.5222222222</v>
      </c>
      <c r="BN4" s="244">
        <v>41767.456944444399</v>
      </c>
      <c r="BO4" s="244">
        <v>42090.5131944444</v>
      </c>
      <c r="BP4" s="244">
        <v>42090.514583333301</v>
      </c>
      <c r="BQ4" s="244"/>
      <c r="BR4" s="244">
        <v>41944</v>
      </c>
      <c r="BS4" s="244">
        <v>41767.676388888904</v>
      </c>
      <c r="BT4" s="244"/>
      <c r="BU4" s="244"/>
      <c r="BV4" s="244"/>
      <c r="BW4" s="244"/>
      <c r="BX4" s="244"/>
      <c r="BY4" s="244"/>
      <c r="BZ4" s="244">
        <v>41759</v>
      </c>
      <c r="CA4" s="244">
        <v>41759</v>
      </c>
      <c r="CB4" s="244">
        <v>41122</v>
      </c>
      <c r="CC4" s="244">
        <v>41122</v>
      </c>
      <c r="CD4" s="244">
        <v>41122</v>
      </c>
      <c r="CE4" s="244">
        <v>41122</v>
      </c>
      <c r="CF4" s="244">
        <v>39264</v>
      </c>
      <c r="CG4" s="244">
        <v>40391</v>
      </c>
      <c r="CH4" s="244">
        <v>39264</v>
      </c>
      <c r="CI4" s="244">
        <v>40210</v>
      </c>
      <c r="CJ4" s="244">
        <v>39692</v>
      </c>
      <c r="CK4" s="244">
        <v>39692</v>
      </c>
      <c r="CL4" s="244">
        <v>39692</v>
      </c>
      <c r="CM4" s="244">
        <v>39692</v>
      </c>
      <c r="CN4" s="244">
        <v>41834</v>
      </c>
      <c r="CO4" s="244">
        <v>40391</v>
      </c>
      <c r="CP4" s="244"/>
      <c r="CQ4" s="244">
        <v>40026</v>
      </c>
      <c r="CR4" s="244">
        <v>40026</v>
      </c>
      <c r="CS4" s="244">
        <v>42095.556250000001</v>
      </c>
      <c r="CT4" s="244">
        <v>46478</v>
      </c>
      <c r="CU4" s="244">
        <v>46478</v>
      </c>
      <c r="CV4" s="244">
        <v>42095.559027777803</v>
      </c>
      <c r="CW4" s="244"/>
      <c r="CX4" s="244"/>
      <c r="CY4" s="244"/>
      <c r="CZ4" s="244"/>
      <c r="DA4" s="244"/>
      <c r="DB4" s="244">
        <v>42067</v>
      </c>
      <c r="DC4" s="244">
        <v>46478</v>
      </c>
      <c r="DD4" s="244">
        <v>42095.560416666704</v>
      </c>
      <c r="DE4" s="244">
        <v>41759</v>
      </c>
      <c r="DF4" s="244"/>
      <c r="DG4" s="244">
        <v>42094.706944444399</v>
      </c>
      <c r="DH4" s="244">
        <v>42104.320833333302</v>
      </c>
      <c r="DI4" s="244"/>
      <c r="DJ4" s="244">
        <v>42110.456944444399</v>
      </c>
      <c r="DK4" s="244"/>
      <c r="DL4" s="244"/>
      <c r="DM4" s="244"/>
      <c r="DN4" s="244"/>
      <c r="DO4" s="244"/>
      <c r="DP4" s="244">
        <v>42029</v>
      </c>
      <c r="DQ4" s="244">
        <v>41939</v>
      </c>
      <c r="DR4" s="244">
        <v>42037</v>
      </c>
      <c r="DS4" s="244">
        <v>42099.613194444399</v>
      </c>
      <c r="DT4" s="244">
        <v>42101.614583333299</v>
      </c>
      <c r="DU4" s="244"/>
      <c r="DV4" s="244"/>
      <c r="DW4" s="244">
        <v>42108.554166666698</v>
      </c>
      <c r="DX4" s="244"/>
      <c r="DY4" s="244"/>
      <c r="DZ4" s="244"/>
      <c r="EA4" s="244"/>
      <c r="EB4" s="244"/>
      <c r="EC4" s="244">
        <v>42108.558333333298</v>
      </c>
      <c r="ED4" s="244">
        <v>42062</v>
      </c>
      <c r="EE4" s="244"/>
      <c r="EF4" s="244">
        <v>42042.461111111101</v>
      </c>
      <c r="EG4" s="244">
        <v>41772.661111111098</v>
      </c>
      <c r="EH4" s="244"/>
      <c r="EI4" s="244"/>
      <c r="EJ4" s="244"/>
      <c r="EK4" s="244"/>
      <c r="EL4" s="244">
        <v>41759</v>
      </c>
      <c r="EM4" s="244">
        <v>41759</v>
      </c>
      <c r="EN4" s="244">
        <v>41759</v>
      </c>
      <c r="EO4" s="244">
        <v>41759</v>
      </c>
      <c r="EP4" s="244">
        <v>41759</v>
      </c>
      <c r="EQ4" s="244"/>
      <c r="ER4" s="244"/>
      <c r="ES4" s="244"/>
      <c r="ET4" s="244"/>
      <c r="EU4" s="244">
        <v>42109</v>
      </c>
      <c r="EV4" s="244">
        <v>46478</v>
      </c>
    </row>
    <row r="5" spans="1:152">
      <c r="A5" s="270" t="s">
        <v>87</v>
      </c>
      <c r="B5" s="244"/>
      <c r="C5" s="244"/>
      <c r="D5" s="244"/>
      <c r="E5" s="244"/>
      <c r="F5" s="244">
        <v>42111.457638888904</v>
      </c>
      <c r="G5" s="244"/>
      <c r="H5" s="244">
        <v>42110.461111111101</v>
      </c>
      <c r="I5" s="244"/>
      <c r="J5" s="244"/>
      <c r="K5" s="244">
        <v>42065.563888888901</v>
      </c>
      <c r="L5" s="244">
        <v>42065.598611111098</v>
      </c>
      <c r="M5" s="244"/>
      <c r="N5" s="244"/>
      <c r="O5" s="244"/>
      <c r="P5" s="244">
        <v>42109.620138888902</v>
      </c>
      <c r="Q5" s="244">
        <v>42049.620833333298</v>
      </c>
      <c r="R5" s="244">
        <v>42095.5625</v>
      </c>
      <c r="S5" s="244">
        <v>42051.594444444403</v>
      </c>
      <c r="T5" s="244"/>
      <c r="U5" s="244"/>
      <c r="V5" s="244"/>
      <c r="W5" s="244"/>
      <c r="X5" s="244"/>
      <c r="Y5" s="244"/>
      <c r="Z5" s="244"/>
      <c r="AA5" s="244">
        <v>42109.528472222199</v>
      </c>
      <c r="AB5" s="244"/>
      <c r="AC5" s="244">
        <v>42033.654861111099</v>
      </c>
      <c r="AD5" s="244"/>
      <c r="AE5" s="244"/>
      <c r="AF5" s="244"/>
      <c r="AG5" s="244"/>
      <c r="AH5" s="244">
        <v>41862</v>
      </c>
      <c r="AI5" s="244"/>
      <c r="AJ5" s="244"/>
      <c r="AK5" s="244"/>
      <c r="AL5" s="244"/>
      <c r="AM5" s="244"/>
      <c r="AN5" s="244"/>
      <c r="AO5" s="244"/>
      <c r="AP5" s="244">
        <v>42068.481249999997</v>
      </c>
      <c r="AQ5" s="244">
        <v>42038.625694444403</v>
      </c>
      <c r="AR5" s="244"/>
      <c r="AS5" s="244"/>
      <c r="AT5" s="244"/>
      <c r="AU5" s="244"/>
      <c r="AV5" s="244"/>
      <c r="AW5" s="244"/>
      <c r="AX5" s="244"/>
      <c r="AY5" s="244"/>
      <c r="AZ5" s="244"/>
      <c r="BA5" s="244"/>
      <c r="BB5" s="244"/>
      <c r="BC5" s="244"/>
      <c r="BD5" s="244">
        <v>42071</v>
      </c>
      <c r="BE5" s="244">
        <v>42090.443749999999</v>
      </c>
      <c r="BF5" s="244">
        <v>41832</v>
      </c>
      <c r="BG5" s="244">
        <v>42067</v>
      </c>
      <c r="BH5" s="244">
        <v>41865</v>
      </c>
      <c r="BI5" s="244">
        <v>42067</v>
      </c>
      <c r="BJ5" s="244">
        <v>42067</v>
      </c>
      <c r="BK5" s="244">
        <v>41836</v>
      </c>
      <c r="BL5" s="244">
        <v>42067</v>
      </c>
      <c r="BM5" s="244">
        <v>41794.5222222222</v>
      </c>
      <c r="BN5" s="244">
        <v>41767.456944444399</v>
      </c>
      <c r="BO5" s="244">
        <v>42090.5131944444</v>
      </c>
      <c r="BP5" s="244">
        <v>42090.514583333301</v>
      </c>
      <c r="BQ5" s="244"/>
      <c r="BR5" s="244">
        <v>41944</v>
      </c>
      <c r="BS5" s="244">
        <v>41767.676388888904</v>
      </c>
      <c r="BT5" s="244"/>
      <c r="BU5" s="244"/>
      <c r="BV5" s="244"/>
      <c r="BW5" s="244"/>
      <c r="BX5" s="244"/>
      <c r="BY5" s="244"/>
      <c r="BZ5" s="244">
        <v>41759</v>
      </c>
      <c r="CA5" s="244">
        <v>41759</v>
      </c>
      <c r="CB5" s="244">
        <v>41122</v>
      </c>
      <c r="CC5" s="244">
        <v>41122</v>
      </c>
      <c r="CD5" s="244">
        <v>41122</v>
      </c>
      <c r="CE5" s="244">
        <v>41122</v>
      </c>
      <c r="CF5" s="244">
        <v>39264</v>
      </c>
      <c r="CG5" s="244">
        <v>40391</v>
      </c>
      <c r="CH5" s="244">
        <v>39264</v>
      </c>
      <c r="CI5" s="244">
        <v>40210</v>
      </c>
      <c r="CJ5" s="244">
        <v>39692</v>
      </c>
      <c r="CK5" s="244">
        <v>39692</v>
      </c>
      <c r="CL5" s="244">
        <v>39692</v>
      </c>
      <c r="CM5" s="244">
        <v>39692</v>
      </c>
      <c r="CN5" s="244">
        <v>41834</v>
      </c>
      <c r="CO5" s="244">
        <v>40391</v>
      </c>
      <c r="CP5" s="244"/>
      <c r="CQ5" s="244">
        <v>40026</v>
      </c>
      <c r="CR5" s="244">
        <v>40026</v>
      </c>
      <c r="CS5" s="244">
        <v>42095.556250000001</v>
      </c>
      <c r="CT5" s="244">
        <v>46478</v>
      </c>
      <c r="CU5" s="244">
        <v>46478</v>
      </c>
      <c r="CV5" s="244">
        <v>42095.559027777803</v>
      </c>
      <c r="CW5" s="244"/>
      <c r="CX5" s="244"/>
      <c r="CY5" s="244"/>
      <c r="CZ5" s="244"/>
      <c r="DA5" s="244"/>
      <c r="DB5" s="244">
        <v>42067</v>
      </c>
      <c r="DC5" s="244">
        <v>46478</v>
      </c>
      <c r="DD5" s="244">
        <v>42095.560416666704</v>
      </c>
      <c r="DE5" s="244">
        <v>41759</v>
      </c>
      <c r="DF5" s="244"/>
      <c r="DG5" s="244">
        <v>42094.706944444399</v>
      </c>
      <c r="DH5" s="244">
        <v>42104.320833333302</v>
      </c>
      <c r="DI5" s="244"/>
      <c r="DJ5" s="244">
        <v>42110.456944444399</v>
      </c>
      <c r="DK5" s="244"/>
      <c r="DL5" s="244"/>
      <c r="DM5" s="244"/>
      <c r="DN5" s="244"/>
      <c r="DO5" s="244"/>
      <c r="DP5" s="244"/>
      <c r="DQ5" s="244"/>
      <c r="DR5" s="244"/>
      <c r="DS5" s="244"/>
      <c r="DT5" s="244"/>
      <c r="DU5" s="244"/>
      <c r="DV5" s="244"/>
      <c r="DW5" s="244"/>
      <c r="DX5" s="244"/>
      <c r="DY5" s="244"/>
      <c r="DZ5" s="244"/>
      <c r="EA5" s="244"/>
      <c r="EB5" s="244"/>
      <c r="EC5" s="244"/>
      <c r="ED5" s="244"/>
      <c r="EE5" s="244"/>
      <c r="EF5" s="244"/>
      <c r="EG5" s="244"/>
      <c r="EH5" s="244"/>
      <c r="EI5" s="244"/>
      <c r="EJ5" s="244"/>
      <c r="EK5" s="244"/>
      <c r="EL5" s="244"/>
      <c r="EM5" s="244"/>
      <c r="EN5" s="244"/>
      <c r="EO5" s="244"/>
      <c r="EP5" s="244"/>
      <c r="EQ5" s="244"/>
      <c r="ER5" s="244"/>
      <c r="ES5" s="244"/>
      <c r="ET5" s="244"/>
      <c r="EU5" s="244">
        <v>42109</v>
      </c>
      <c r="EV5" s="244">
        <v>46478</v>
      </c>
    </row>
    <row r="6" spans="1:152">
      <c r="A6" s="270" t="s">
        <v>172</v>
      </c>
      <c r="B6" s="244"/>
      <c r="C6" s="244"/>
      <c r="D6" s="244"/>
      <c r="E6" s="244"/>
      <c r="F6" s="244"/>
      <c r="G6" s="244"/>
      <c r="H6" s="244"/>
      <c r="I6" s="244"/>
      <c r="J6" s="244"/>
      <c r="K6" s="244"/>
      <c r="L6" s="244"/>
      <c r="M6" s="244"/>
      <c r="N6" s="244"/>
      <c r="O6" s="244"/>
      <c r="P6" s="244"/>
      <c r="Q6" s="244"/>
      <c r="R6" s="244"/>
      <c r="S6" s="244"/>
      <c r="T6" s="244"/>
      <c r="U6" s="244"/>
      <c r="V6" s="244">
        <v>41942</v>
      </c>
      <c r="W6" s="244"/>
      <c r="X6" s="244">
        <v>41989.574999999997</v>
      </c>
      <c r="Y6" s="244"/>
      <c r="Z6" s="244"/>
      <c r="AA6" s="244"/>
      <c r="AB6" s="244"/>
      <c r="AC6" s="244"/>
      <c r="AD6" s="244"/>
      <c r="AE6" s="244"/>
      <c r="AF6" s="244"/>
      <c r="AG6" s="244">
        <v>41759</v>
      </c>
      <c r="AH6" s="244"/>
      <c r="AI6" s="244"/>
      <c r="AJ6" s="244"/>
      <c r="AK6" s="244">
        <v>41759</v>
      </c>
      <c r="AL6" s="244">
        <v>41759</v>
      </c>
      <c r="AM6" s="244">
        <v>42029</v>
      </c>
      <c r="AN6" s="244"/>
      <c r="AO6" s="244"/>
      <c r="AP6" s="244"/>
      <c r="AQ6" s="244"/>
      <c r="AR6" s="244"/>
      <c r="AS6" s="244"/>
      <c r="AT6" s="244"/>
      <c r="AU6" s="244"/>
      <c r="AV6" s="244"/>
      <c r="AW6" s="244"/>
      <c r="AX6" s="244"/>
      <c r="AY6" s="244"/>
      <c r="AZ6" s="244"/>
      <c r="BA6" s="244"/>
      <c r="BB6" s="244"/>
      <c r="BC6" s="244"/>
      <c r="BD6" s="244"/>
      <c r="BE6" s="244"/>
      <c r="BF6" s="244"/>
      <c r="BG6" s="244"/>
      <c r="BH6" s="244"/>
      <c r="BI6" s="244"/>
      <c r="BJ6" s="244"/>
      <c r="BK6" s="244"/>
      <c r="BL6" s="244"/>
      <c r="BM6" s="244"/>
      <c r="BN6" s="244"/>
      <c r="BO6" s="244"/>
      <c r="BP6" s="244"/>
      <c r="BQ6" s="244"/>
      <c r="BR6" s="244"/>
      <c r="BS6" s="244"/>
      <c r="BT6" s="244"/>
      <c r="BU6" s="244"/>
      <c r="BV6" s="244"/>
      <c r="BW6" s="244"/>
      <c r="BX6" s="244"/>
      <c r="BY6" s="244"/>
      <c r="BZ6" s="244"/>
      <c r="CA6" s="244"/>
      <c r="CB6" s="244"/>
      <c r="CC6" s="244"/>
      <c r="CD6" s="244"/>
      <c r="CE6" s="244"/>
      <c r="CF6" s="244"/>
      <c r="CG6" s="244"/>
      <c r="CH6" s="244"/>
      <c r="CI6" s="244"/>
      <c r="CJ6" s="244"/>
      <c r="CK6" s="244"/>
      <c r="CL6" s="244"/>
      <c r="CM6" s="244"/>
      <c r="CN6" s="244"/>
      <c r="CO6" s="244"/>
      <c r="CP6" s="244"/>
      <c r="CQ6" s="244"/>
      <c r="CR6" s="244"/>
      <c r="CS6" s="244"/>
      <c r="CT6" s="244"/>
      <c r="CU6" s="244"/>
      <c r="CV6" s="244"/>
      <c r="CW6" s="244"/>
      <c r="CX6" s="244"/>
      <c r="CY6" s="244"/>
      <c r="CZ6" s="244"/>
      <c r="DA6" s="244"/>
      <c r="DB6" s="244"/>
      <c r="DC6" s="244"/>
      <c r="DD6" s="244"/>
      <c r="DE6" s="244"/>
      <c r="DF6" s="244"/>
      <c r="DG6" s="244"/>
      <c r="DH6" s="244"/>
      <c r="DI6" s="244"/>
      <c r="DJ6" s="244"/>
      <c r="DK6" s="244"/>
      <c r="DL6" s="244"/>
      <c r="DM6" s="244"/>
      <c r="DN6" s="244"/>
      <c r="DO6" s="244"/>
      <c r="DP6" s="244">
        <v>42029</v>
      </c>
      <c r="DQ6" s="244">
        <v>41939</v>
      </c>
      <c r="DR6" s="244">
        <v>42037</v>
      </c>
      <c r="DS6" s="244">
        <v>42099.613194444399</v>
      </c>
      <c r="DT6" s="244">
        <v>42101.614583333299</v>
      </c>
      <c r="DU6" s="244"/>
      <c r="DV6" s="244"/>
      <c r="DW6" s="244"/>
      <c r="DX6" s="244"/>
      <c r="DY6" s="244"/>
      <c r="DZ6" s="244"/>
      <c r="EA6" s="244"/>
      <c r="EB6" s="244"/>
      <c r="EC6" s="244"/>
      <c r="ED6" s="244"/>
      <c r="EE6" s="244"/>
      <c r="EF6" s="244"/>
      <c r="EG6" s="244"/>
      <c r="EH6" s="244"/>
      <c r="EI6" s="244"/>
      <c r="EJ6" s="244"/>
      <c r="EK6" s="244"/>
      <c r="EL6" s="244"/>
      <c r="EM6" s="244"/>
      <c r="EN6" s="244"/>
      <c r="EO6" s="244"/>
      <c r="EP6" s="244"/>
      <c r="EQ6" s="244"/>
      <c r="ER6" s="244"/>
      <c r="ES6" s="244"/>
      <c r="ET6" s="244"/>
      <c r="EU6" s="244"/>
      <c r="EV6" s="244">
        <v>42101.614583333299</v>
      </c>
    </row>
    <row r="7" spans="1:152">
      <c r="A7" s="270" t="s">
        <v>173</v>
      </c>
      <c r="B7" s="244"/>
      <c r="C7" s="244"/>
      <c r="D7" s="244"/>
      <c r="E7" s="244"/>
      <c r="F7" s="244"/>
      <c r="G7" s="244"/>
      <c r="H7" s="244"/>
      <c r="I7" s="244"/>
      <c r="J7" s="244"/>
      <c r="K7" s="244"/>
      <c r="L7" s="244"/>
      <c r="M7" s="244"/>
      <c r="N7" s="244"/>
      <c r="O7" s="244"/>
      <c r="P7" s="244"/>
      <c r="Q7" s="244"/>
      <c r="R7" s="244"/>
      <c r="S7" s="244"/>
      <c r="T7" s="244"/>
      <c r="U7" s="244"/>
      <c r="V7" s="244"/>
      <c r="W7" s="244"/>
      <c r="X7" s="244"/>
      <c r="Y7" s="244"/>
      <c r="Z7" s="244"/>
      <c r="AA7" s="244"/>
      <c r="AB7" s="244"/>
      <c r="AC7" s="244"/>
      <c r="AD7" s="244"/>
      <c r="AE7" s="244"/>
      <c r="AF7" s="244"/>
      <c r="AG7" s="244"/>
      <c r="AH7" s="244"/>
      <c r="AI7" s="244"/>
      <c r="AJ7" s="244"/>
      <c r="AK7" s="244"/>
      <c r="AL7" s="244"/>
      <c r="AM7" s="244"/>
      <c r="AN7" s="244"/>
      <c r="AO7" s="244"/>
      <c r="AP7" s="244"/>
      <c r="AQ7" s="244"/>
      <c r="AR7" s="244"/>
      <c r="AS7" s="244"/>
      <c r="AT7" s="244"/>
      <c r="AU7" s="244"/>
      <c r="AV7" s="244"/>
      <c r="AW7" s="244"/>
      <c r="AX7" s="244"/>
      <c r="AY7" s="244"/>
      <c r="AZ7" s="244"/>
      <c r="BA7" s="244"/>
      <c r="BB7" s="244"/>
      <c r="BC7" s="244"/>
      <c r="BD7" s="244"/>
      <c r="BE7" s="244"/>
      <c r="BF7" s="244"/>
      <c r="BG7" s="244"/>
      <c r="BH7" s="244"/>
      <c r="BI7" s="244"/>
      <c r="BJ7" s="244"/>
      <c r="BK7" s="244"/>
      <c r="BL7" s="244"/>
      <c r="BM7" s="244"/>
      <c r="BN7" s="244"/>
      <c r="BO7" s="244"/>
      <c r="BP7" s="244"/>
      <c r="BQ7" s="244"/>
      <c r="BR7" s="244"/>
      <c r="BS7" s="244"/>
      <c r="BT7" s="244"/>
      <c r="BU7" s="244"/>
      <c r="BV7" s="244"/>
      <c r="BW7" s="244"/>
      <c r="BX7" s="244"/>
      <c r="BY7" s="244"/>
      <c r="BZ7" s="244"/>
      <c r="CA7" s="244"/>
      <c r="CB7" s="244"/>
      <c r="CC7" s="244"/>
      <c r="CD7" s="244"/>
      <c r="CE7" s="244"/>
      <c r="CF7" s="244"/>
      <c r="CG7" s="244"/>
      <c r="CH7" s="244"/>
      <c r="CI7" s="244"/>
      <c r="CJ7" s="244"/>
      <c r="CK7" s="244"/>
      <c r="CL7" s="244"/>
      <c r="CM7" s="244"/>
      <c r="CN7" s="244"/>
      <c r="CO7" s="244"/>
      <c r="CP7" s="244"/>
      <c r="CQ7" s="244"/>
      <c r="CR7" s="244"/>
      <c r="CS7" s="244"/>
      <c r="CT7" s="244"/>
      <c r="CU7" s="244"/>
      <c r="CV7" s="244"/>
      <c r="CW7" s="244"/>
      <c r="CX7" s="244"/>
      <c r="CY7" s="244"/>
      <c r="CZ7" s="244"/>
      <c r="DA7" s="244"/>
      <c r="DB7" s="244"/>
      <c r="DC7" s="244"/>
      <c r="DD7" s="244"/>
      <c r="DE7" s="244"/>
      <c r="DF7" s="244"/>
      <c r="DG7" s="244"/>
      <c r="DH7" s="244"/>
      <c r="DI7" s="244"/>
      <c r="DJ7" s="244"/>
      <c r="DK7" s="244"/>
      <c r="DL7" s="244"/>
      <c r="DM7" s="244"/>
      <c r="DN7" s="244"/>
      <c r="DO7" s="244"/>
      <c r="DP7" s="244"/>
      <c r="DQ7" s="244"/>
      <c r="DR7" s="244"/>
      <c r="DS7" s="244"/>
      <c r="DT7" s="244"/>
      <c r="DU7" s="244"/>
      <c r="DV7" s="244"/>
      <c r="DW7" s="244">
        <v>42108.554166666698</v>
      </c>
      <c r="DX7" s="244"/>
      <c r="DY7" s="244"/>
      <c r="DZ7" s="244"/>
      <c r="EA7" s="244"/>
      <c r="EB7" s="244"/>
      <c r="EC7" s="244">
        <v>42108.558333333298</v>
      </c>
      <c r="ED7" s="244">
        <v>42062</v>
      </c>
      <c r="EE7" s="244"/>
      <c r="EF7" s="244">
        <v>42042.461111111101</v>
      </c>
      <c r="EG7" s="244">
        <v>41772.661111111098</v>
      </c>
      <c r="EH7" s="244"/>
      <c r="EI7" s="244"/>
      <c r="EJ7" s="244"/>
      <c r="EK7" s="244"/>
      <c r="EL7" s="244">
        <v>41759</v>
      </c>
      <c r="EM7" s="244">
        <v>41759</v>
      </c>
      <c r="EN7" s="244">
        <v>41759</v>
      </c>
      <c r="EO7" s="244">
        <v>41759</v>
      </c>
      <c r="EP7" s="244">
        <v>41759</v>
      </c>
      <c r="EQ7" s="244"/>
      <c r="ER7" s="244"/>
      <c r="ES7" s="244"/>
      <c r="ET7" s="244"/>
      <c r="EU7" s="244"/>
      <c r="EV7" s="244">
        <v>42108.558333333298</v>
      </c>
    </row>
    <row r="8" spans="1:152">
      <c r="A8" s="269" t="s">
        <v>161</v>
      </c>
      <c r="B8" s="244"/>
      <c r="C8" s="244"/>
      <c r="D8" s="244"/>
      <c r="E8" s="244">
        <v>42024.998611111099</v>
      </c>
      <c r="F8" s="244"/>
      <c r="G8" s="244"/>
      <c r="H8" s="244">
        <v>42088.361111111102</v>
      </c>
      <c r="I8" s="244"/>
      <c r="J8" s="244"/>
      <c r="K8" s="244">
        <v>42024.9819444444</v>
      </c>
      <c r="L8" s="244">
        <v>42024.982638888898</v>
      </c>
      <c r="M8" s="244"/>
      <c r="N8" s="244"/>
      <c r="O8" s="244"/>
      <c r="P8" s="244">
        <v>42074</v>
      </c>
      <c r="Q8" s="244">
        <v>42019.336805555598</v>
      </c>
      <c r="R8" s="244">
        <v>42074.370138888902</v>
      </c>
      <c r="S8" s="244">
        <v>42088.488888888904</v>
      </c>
      <c r="T8" s="244"/>
      <c r="U8" s="244"/>
      <c r="V8" s="244">
        <v>41922.422222222202</v>
      </c>
      <c r="W8" s="244"/>
      <c r="X8" s="244"/>
      <c r="Y8" s="244"/>
      <c r="Z8" s="244"/>
      <c r="AA8" s="244">
        <v>42074</v>
      </c>
      <c r="AB8" s="244"/>
      <c r="AC8" s="244">
        <v>42076.594444444403</v>
      </c>
      <c r="AD8" s="244"/>
      <c r="AE8" s="244"/>
      <c r="AF8" s="244"/>
      <c r="AG8" s="244">
        <v>40796</v>
      </c>
      <c r="AH8" s="244">
        <v>42074</v>
      </c>
      <c r="AI8" s="244"/>
      <c r="AJ8" s="244"/>
      <c r="AK8" s="244"/>
      <c r="AL8" s="244">
        <v>42074</v>
      </c>
      <c r="AM8" s="244">
        <v>42008</v>
      </c>
      <c r="AN8" s="244"/>
      <c r="AO8" s="244"/>
      <c r="AP8" s="244">
        <v>42074</v>
      </c>
      <c r="AQ8" s="244">
        <v>41935.375694444403</v>
      </c>
      <c r="AR8" s="244"/>
      <c r="AS8" s="244"/>
      <c r="AT8" s="244"/>
      <c r="AU8" s="244"/>
      <c r="AV8" s="244"/>
      <c r="AW8" s="244"/>
      <c r="AX8" s="244"/>
      <c r="AY8" s="244"/>
      <c r="AZ8" s="244"/>
      <c r="BA8" s="244"/>
      <c r="BB8" s="244"/>
      <c r="BC8" s="244"/>
      <c r="BD8" s="244">
        <v>42088</v>
      </c>
      <c r="BE8" s="244">
        <v>41909.025694444397</v>
      </c>
      <c r="BF8" s="244">
        <v>41812.329166666699</v>
      </c>
      <c r="BG8" s="244">
        <v>41703</v>
      </c>
      <c r="BH8" s="244">
        <v>41937.623611111099</v>
      </c>
      <c r="BI8" s="244">
        <v>41728</v>
      </c>
      <c r="BJ8" s="244">
        <v>41728</v>
      </c>
      <c r="BK8" s="244">
        <v>42003.354166666701</v>
      </c>
      <c r="BL8" s="244">
        <v>41728</v>
      </c>
      <c r="BM8" s="244">
        <v>41986</v>
      </c>
      <c r="BN8" s="244">
        <v>41980</v>
      </c>
      <c r="BO8" s="244">
        <v>41924.4777777778</v>
      </c>
      <c r="BP8" s="244">
        <v>41924.479166666701</v>
      </c>
      <c r="BQ8" s="244"/>
      <c r="BR8" s="244">
        <v>42074</v>
      </c>
      <c r="BS8" s="244">
        <v>41730</v>
      </c>
      <c r="BT8" s="244"/>
      <c r="BU8" s="244"/>
      <c r="BV8" s="244"/>
      <c r="BW8" s="244"/>
      <c r="BX8" s="244"/>
      <c r="BY8" s="244"/>
      <c r="BZ8" s="244">
        <v>41306</v>
      </c>
      <c r="CA8" s="244">
        <v>41306</v>
      </c>
      <c r="CB8" s="244">
        <v>41306</v>
      </c>
      <c r="CC8" s="244">
        <v>41306</v>
      </c>
      <c r="CD8" s="244">
        <v>41306</v>
      </c>
      <c r="CE8" s="244">
        <v>41306</v>
      </c>
      <c r="CF8" s="244">
        <v>39295</v>
      </c>
      <c r="CG8" s="244">
        <v>41030</v>
      </c>
      <c r="CH8" s="244">
        <v>41000</v>
      </c>
      <c r="CI8" s="244">
        <v>40787</v>
      </c>
      <c r="CJ8" s="244">
        <v>40118</v>
      </c>
      <c r="CK8" s="244">
        <v>40118</v>
      </c>
      <c r="CL8" s="244">
        <v>40330</v>
      </c>
      <c r="CM8" s="244">
        <v>40330</v>
      </c>
      <c r="CN8" s="244">
        <v>41030</v>
      </c>
      <c r="CO8" s="244">
        <v>41030</v>
      </c>
      <c r="CP8" s="244">
        <v>41122</v>
      </c>
      <c r="CQ8" s="244">
        <v>40330</v>
      </c>
      <c r="CR8" s="244">
        <v>41122</v>
      </c>
      <c r="CS8" s="244">
        <v>37895</v>
      </c>
      <c r="CT8" s="244">
        <v>42064</v>
      </c>
      <c r="CU8" s="244">
        <v>38018</v>
      </c>
      <c r="CV8" s="244">
        <v>38018</v>
      </c>
      <c r="CW8" s="244"/>
      <c r="CX8" s="244"/>
      <c r="CY8" s="244"/>
      <c r="CZ8" s="244"/>
      <c r="DA8" s="244"/>
      <c r="DB8" s="244">
        <v>41720</v>
      </c>
      <c r="DC8" s="244">
        <v>37895</v>
      </c>
      <c r="DD8" s="244">
        <v>37895</v>
      </c>
      <c r="DE8" s="244">
        <v>42074</v>
      </c>
      <c r="DF8" s="244">
        <v>41917</v>
      </c>
      <c r="DG8" s="244">
        <v>42074</v>
      </c>
      <c r="DH8" s="244">
        <v>42088</v>
      </c>
      <c r="DI8" s="244"/>
      <c r="DJ8" s="244">
        <v>42088</v>
      </c>
      <c r="DK8" s="244"/>
      <c r="DL8" s="244"/>
      <c r="DM8" s="244">
        <v>42000.447916666701</v>
      </c>
      <c r="DN8" s="244">
        <v>41912.290972222203</v>
      </c>
      <c r="DO8" s="244">
        <v>41912.291666666701</v>
      </c>
      <c r="DP8" s="244">
        <v>42076.306250000001</v>
      </c>
      <c r="DQ8" s="244">
        <v>42074</v>
      </c>
      <c r="DR8" s="244"/>
      <c r="DS8" s="244">
        <v>42074</v>
      </c>
      <c r="DT8" s="244">
        <v>42082.320138888899</v>
      </c>
      <c r="DU8" s="244">
        <v>42004.756249999999</v>
      </c>
      <c r="DV8" s="244"/>
      <c r="DW8" s="244">
        <v>42075.574305555601</v>
      </c>
      <c r="DX8" s="244"/>
      <c r="DY8" s="244">
        <v>41995</v>
      </c>
      <c r="DZ8" s="244">
        <v>42009</v>
      </c>
      <c r="EA8" s="244"/>
      <c r="EB8" s="244">
        <v>42074.368750000001</v>
      </c>
      <c r="EC8" s="244">
        <v>42089.636805555601</v>
      </c>
      <c r="ED8" s="244">
        <v>41937</v>
      </c>
      <c r="EE8" s="244">
        <v>42081</v>
      </c>
      <c r="EF8" s="244">
        <v>41994</v>
      </c>
      <c r="EG8" s="244">
        <v>41725</v>
      </c>
      <c r="EH8" s="244"/>
      <c r="EI8" s="244"/>
      <c r="EJ8" s="244"/>
      <c r="EK8" s="244"/>
      <c r="EL8" s="244">
        <v>42074</v>
      </c>
      <c r="EM8" s="244">
        <v>41061</v>
      </c>
      <c r="EN8" s="244">
        <v>41061</v>
      </c>
      <c r="EO8" s="244">
        <v>41061</v>
      </c>
      <c r="EP8" s="244">
        <v>41061</v>
      </c>
      <c r="EQ8" s="244"/>
      <c r="ER8" s="244"/>
      <c r="ES8" s="244"/>
      <c r="ET8" s="244"/>
      <c r="EU8" s="244"/>
      <c r="EV8" s="244">
        <v>42089.636805555601</v>
      </c>
    </row>
    <row r="9" spans="1:152">
      <c r="A9" s="270" t="s">
        <v>87</v>
      </c>
      <c r="B9" s="244"/>
      <c r="C9" s="244"/>
      <c r="D9" s="244"/>
      <c r="E9" s="244"/>
      <c r="F9" s="244"/>
      <c r="G9" s="244"/>
      <c r="H9" s="244">
        <v>42088.361111111102</v>
      </c>
      <c r="I9" s="244"/>
      <c r="J9" s="244"/>
      <c r="K9" s="244">
        <v>42024.9819444444</v>
      </c>
      <c r="L9" s="244">
        <v>42024.982638888898</v>
      </c>
      <c r="M9" s="244"/>
      <c r="N9" s="244"/>
      <c r="O9" s="244"/>
      <c r="P9" s="244">
        <v>42074</v>
      </c>
      <c r="Q9" s="244">
        <v>42019.336805555598</v>
      </c>
      <c r="R9" s="244">
        <v>42074.370138888902</v>
      </c>
      <c r="S9" s="244">
        <v>42088.488888888904</v>
      </c>
      <c r="T9" s="244"/>
      <c r="U9" s="244"/>
      <c r="V9" s="244"/>
      <c r="W9" s="244"/>
      <c r="X9" s="244"/>
      <c r="Y9" s="244"/>
      <c r="Z9" s="244"/>
      <c r="AA9" s="244">
        <v>42074</v>
      </c>
      <c r="AB9" s="244"/>
      <c r="AC9" s="244">
        <v>42076.594444444403</v>
      </c>
      <c r="AD9" s="244"/>
      <c r="AE9" s="244"/>
      <c r="AF9" s="244"/>
      <c r="AG9" s="244"/>
      <c r="AH9" s="244">
        <v>42074</v>
      </c>
      <c r="AI9" s="244"/>
      <c r="AJ9" s="244"/>
      <c r="AK9" s="244"/>
      <c r="AL9" s="244"/>
      <c r="AM9" s="244"/>
      <c r="AN9" s="244"/>
      <c r="AO9" s="244"/>
      <c r="AP9" s="244">
        <v>42074</v>
      </c>
      <c r="AQ9" s="244">
        <v>41935.375694444403</v>
      </c>
      <c r="AR9" s="244"/>
      <c r="AS9" s="244"/>
      <c r="AT9" s="244"/>
      <c r="AU9" s="244"/>
      <c r="AV9" s="244"/>
      <c r="AW9" s="244"/>
      <c r="AX9" s="244"/>
      <c r="AY9" s="244"/>
      <c r="AZ9" s="244"/>
      <c r="BA9" s="244"/>
      <c r="BB9" s="244"/>
      <c r="BC9" s="244"/>
      <c r="BD9" s="244">
        <v>42088</v>
      </c>
      <c r="BE9" s="244">
        <v>41909.025694444397</v>
      </c>
      <c r="BF9" s="244">
        <v>41812.329166666699</v>
      </c>
      <c r="BG9" s="244">
        <v>41703</v>
      </c>
      <c r="BH9" s="244">
        <v>41937.623611111099</v>
      </c>
      <c r="BI9" s="244">
        <v>41728</v>
      </c>
      <c r="BJ9" s="244">
        <v>41728</v>
      </c>
      <c r="BK9" s="244">
        <v>42003.354166666701</v>
      </c>
      <c r="BL9" s="244">
        <v>41728</v>
      </c>
      <c r="BM9" s="244">
        <v>41986</v>
      </c>
      <c r="BN9" s="244">
        <v>41980</v>
      </c>
      <c r="BO9" s="244">
        <v>41924.4777777778</v>
      </c>
      <c r="BP9" s="244">
        <v>41924.479166666701</v>
      </c>
      <c r="BQ9" s="244"/>
      <c r="BR9" s="244">
        <v>42074</v>
      </c>
      <c r="BS9" s="244">
        <v>41730</v>
      </c>
      <c r="BT9" s="244"/>
      <c r="BU9" s="244"/>
      <c r="BV9" s="244"/>
      <c r="BW9" s="244"/>
      <c r="BX9" s="244"/>
      <c r="BY9" s="244"/>
      <c r="BZ9" s="244">
        <v>41306</v>
      </c>
      <c r="CA9" s="244">
        <v>41306</v>
      </c>
      <c r="CB9" s="244">
        <v>41306</v>
      </c>
      <c r="CC9" s="244">
        <v>41306</v>
      </c>
      <c r="CD9" s="244">
        <v>41306</v>
      </c>
      <c r="CE9" s="244">
        <v>41306</v>
      </c>
      <c r="CF9" s="244">
        <v>39295</v>
      </c>
      <c r="CG9" s="244">
        <v>41030</v>
      </c>
      <c r="CH9" s="244">
        <v>41000</v>
      </c>
      <c r="CI9" s="244">
        <v>40787</v>
      </c>
      <c r="CJ9" s="244">
        <v>40118</v>
      </c>
      <c r="CK9" s="244">
        <v>40118</v>
      </c>
      <c r="CL9" s="244">
        <v>40330</v>
      </c>
      <c r="CM9" s="244">
        <v>40330</v>
      </c>
      <c r="CN9" s="244">
        <v>41030</v>
      </c>
      <c r="CO9" s="244">
        <v>41030</v>
      </c>
      <c r="CP9" s="244">
        <v>41122</v>
      </c>
      <c r="CQ9" s="244">
        <v>40330</v>
      </c>
      <c r="CR9" s="244">
        <v>41122</v>
      </c>
      <c r="CS9" s="244">
        <v>37895</v>
      </c>
      <c r="CT9" s="244">
        <v>42064</v>
      </c>
      <c r="CU9" s="244">
        <v>38018</v>
      </c>
      <c r="CV9" s="244">
        <v>38018</v>
      </c>
      <c r="CW9" s="244"/>
      <c r="CX9" s="244"/>
      <c r="CY9" s="244"/>
      <c r="CZ9" s="244"/>
      <c r="DA9" s="244"/>
      <c r="DB9" s="244">
        <v>41720</v>
      </c>
      <c r="DC9" s="244">
        <v>37895</v>
      </c>
      <c r="DD9" s="244">
        <v>37895</v>
      </c>
      <c r="DE9" s="244">
        <v>42074</v>
      </c>
      <c r="DF9" s="244">
        <v>41917</v>
      </c>
      <c r="DG9" s="244">
        <v>42074</v>
      </c>
      <c r="DH9" s="244">
        <v>42088</v>
      </c>
      <c r="DI9" s="244"/>
      <c r="DJ9" s="244">
        <v>42088</v>
      </c>
      <c r="DK9" s="244"/>
      <c r="DL9" s="244"/>
      <c r="DM9" s="244"/>
      <c r="DN9" s="244"/>
      <c r="DO9" s="244"/>
      <c r="DP9" s="244"/>
      <c r="DQ9" s="244"/>
      <c r="DR9" s="244"/>
      <c r="DS9" s="244"/>
      <c r="DT9" s="244"/>
      <c r="DU9" s="244"/>
      <c r="DV9" s="244"/>
      <c r="DW9" s="244"/>
      <c r="DX9" s="244"/>
      <c r="DY9" s="244"/>
      <c r="DZ9" s="244"/>
      <c r="EA9" s="244"/>
      <c r="EB9" s="244"/>
      <c r="EC9" s="244"/>
      <c r="ED9" s="244"/>
      <c r="EE9" s="244"/>
      <c r="EF9" s="244"/>
      <c r="EG9" s="244"/>
      <c r="EH9" s="244"/>
      <c r="EI9" s="244"/>
      <c r="EJ9" s="244"/>
      <c r="EK9" s="244"/>
      <c r="EL9" s="244"/>
      <c r="EM9" s="244"/>
      <c r="EN9" s="244"/>
      <c r="EO9" s="244"/>
      <c r="EP9" s="244"/>
      <c r="EQ9" s="244"/>
      <c r="ER9" s="244"/>
      <c r="ES9" s="244"/>
      <c r="ET9" s="244"/>
      <c r="EU9" s="244"/>
      <c r="EV9" s="244">
        <v>42088.488888888904</v>
      </c>
    </row>
    <row r="10" spans="1:152">
      <c r="A10" s="270" t="s">
        <v>172</v>
      </c>
      <c r="B10" s="244"/>
      <c r="C10" s="244"/>
      <c r="D10" s="244"/>
      <c r="E10" s="244">
        <v>42024.998611111099</v>
      </c>
      <c r="F10" s="244"/>
      <c r="G10" s="244"/>
      <c r="H10" s="244"/>
      <c r="I10" s="244"/>
      <c r="J10" s="244"/>
      <c r="K10" s="244"/>
      <c r="L10" s="244"/>
      <c r="M10" s="244"/>
      <c r="N10" s="244"/>
      <c r="O10" s="244"/>
      <c r="P10" s="244">
        <v>42007</v>
      </c>
      <c r="Q10" s="244">
        <v>42000.807638888902</v>
      </c>
      <c r="R10" s="244"/>
      <c r="S10" s="244"/>
      <c r="T10" s="244"/>
      <c r="U10" s="244"/>
      <c r="V10" s="244">
        <v>41922.422222222202</v>
      </c>
      <c r="W10" s="244"/>
      <c r="X10" s="244"/>
      <c r="Y10" s="244"/>
      <c r="Z10" s="244"/>
      <c r="AA10" s="244"/>
      <c r="AB10" s="244"/>
      <c r="AC10" s="244"/>
      <c r="AD10" s="244"/>
      <c r="AE10" s="244"/>
      <c r="AF10" s="244"/>
      <c r="AG10" s="244">
        <v>40796</v>
      </c>
      <c r="AH10" s="244"/>
      <c r="AI10" s="244"/>
      <c r="AJ10" s="244"/>
      <c r="AK10" s="244"/>
      <c r="AL10" s="244">
        <v>42074</v>
      </c>
      <c r="AM10" s="244">
        <v>42008</v>
      </c>
      <c r="AN10" s="244"/>
      <c r="AO10" s="244"/>
      <c r="AP10" s="244"/>
      <c r="AQ10" s="244"/>
      <c r="AR10" s="244"/>
      <c r="AS10" s="244"/>
      <c r="AT10" s="244"/>
      <c r="AU10" s="244"/>
      <c r="AV10" s="244"/>
      <c r="AW10" s="244"/>
      <c r="AX10" s="244"/>
      <c r="AY10" s="244"/>
      <c r="AZ10" s="244"/>
      <c r="BA10" s="244"/>
      <c r="BB10" s="244"/>
      <c r="BC10" s="244"/>
      <c r="BD10" s="244"/>
      <c r="BE10" s="244"/>
      <c r="BF10" s="244"/>
      <c r="BG10" s="244"/>
      <c r="BH10" s="244"/>
      <c r="BI10" s="244"/>
      <c r="BJ10" s="244"/>
      <c r="BK10" s="244"/>
      <c r="BL10" s="244"/>
      <c r="BM10" s="244"/>
      <c r="BN10" s="244"/>
      <c r="BO10" s="244"/>
      <c r="BP10" s="244"/>
      <c r="BQ10" s="244"/>
      <c r="BR10" s="244"/>
      <c r="BS10" s="244"/>
      <c r="BT10" s="244"/>
      <c r="BU10" s="244"/>
      <c r="BV10" s="244"/>
      <c r="BW10" s="244"/>
      <c r="BX10" s="244"/>
      <c r="BY10" s="244"/>
      <c r="BZ10" s="244"/>
      <c r="CA10" s="244"/>
      <c r="CB10" s="244"/>
      <c r="CC10" s="244"/>
      <c r="CD10" s="244"/>
      <c r="CE10" s="244"/>
      <c r="CF10" s="244"/>
      <c r="CG10" s="244"/>
      <c r="CH10" s="244"/>
      <c r="CI10" s="244"/>
      <c r="CJ10" s="244"/>
      <c r="CK10" s="244"/>
      <c r="CL10" s="244"/>
      <c r="CM10" s="244"/>
      <c r="CN10" s="244"/>
      <c r="CO10" s="244"/>
      <c r="CP10" s="244"/>
      <c r="CQ10" s="244"/>
      <c r="CR10" s="244"/>
      <c r="CS10" s="244"/>
      <c r="CT10" s="244"/>
      <c r="CU10" s="244"/>
      <c r="CV10" s="244"/>
      <c r="CW10" s="244"/>
      <c r="CX10" s="244"/>
      <c r="CY10" s="244"/>
      <c r="CZ10" s="244"/>
      <c r="DA10" s="244"/>
      <c r="DB10" s="244"/>
      <c r="DC10" s="244"/>
      <c r="DD10" s="244"/>
      <c r="DE10" s="244"/>
      <c r="DF10" s="244"/>
      <c r="DG10" s="244"/>
      <c r="DH10" s="244"/>
      <c r="DI10" s="244"/>
      <c r="DJ10" s="244"/>
      <c r="DK10" s="244"/>
      <c r="DL10" s="244"/>
      <c r="DM10" s="244">
        <v>42000.447916666701</v>
      </c>
      <c r="DN10" s="244">
        <v>41912.290972222203</v>
      </c>
      <c r="DO10" s="244">
        <v>41912.291666666701</v>
      </c>
      <c r="DP10" s="244">
        <v>42076.306250000001</v>
      </c>
      <c r="DQ10" s="244">
        <v>42074</v>
      </c>
      <c r="DR10" s="244"/>
      <c r="DS10" s="244">
        <v>42074</v>
      </c>
      <c r="DT10" s="244">
        <v>42082.320138888899</v>
      </c>
      <c r="DU10" s="244">
        <v>42004.756249999999</v>
      </c>
      <c r="DV10" s="244"/>
      <c r="DW10" s="244">
        <v>42017.716666666704</v>
      </c>
      <c r="DX10" s="244"/>
      <c r="DY10" s="244">
        <v>41995</v>
      </c>
      <c r="DZ10" s="244">
        <v>42009</v>
      </c>
      <c r="EA10" s="244"/>
      <c r="EB10" s="244"/>
      <c r="EC10" s="244"/>
      <c r="ED10" s="244"/>
      <c r="EE10" s="244"/>
      <c r="EF10" s="244"/>
      <c r="EG10" s="244"/>
      <c r="EH10" s="244"/>
      <c r="EI10" s="244"/>
      <c r="EJ10" s="244"/>
      <c r="EK10" s="244"/>
      <c r="EL10" s="244"/>
      <c r="EM10" s="244"/>
      <c r="EN10" s="244"/>
      <c r="EO10" s="244"/>
      <c r="EP10" s="244"/>
      <c r="EQ10" s="244"/>
      <c r="ER10" s="244"/>
      <c r="ES10" s="244"/>
      <c r="ET10" s="244"/>
      <c r="EU10" s="244"/>
      <c r="EV10" s="244">
        <v>42082.320138888899</v>
      </c>
    </row>
    <row r="11" spans="1:152">
      <c r="A11" s="270" t="s">
        <v>173</v>
      </c>
      <c r="B11" s="244"/>
      <c r="C11" s="244"/>
      <c r="D11" s="244"/>
      <c r="E11" s="244"/>
      <c r="F11" s="244"/>
      <c r="G11" s="244"/>
      <c r="H11" s="244"/>
      <c r="I11" s="244"/>
      <c r="J11" s="244"/>
      <c r="K11" s="244"/>
      <c r="L11" s="244"/>
      <c r="M11" s="244"/>
      <c r="N11" s="244"/>
      <c r="O11" s="244"/>
      <c r="P11" s="244"/>
      <c r="Q11" s="244"/>
      <c r="R11" s="244"/>
      <c r="S11" s="244"/>
      <c r="T11" s="244"/>
      <c r="U11" s="244"/>
      <c r="V11" s="244"/>
      <c r="W11" s="244"/>
      <c r="X11" s="244"/>
      <c r="Y11" s="244"/>
      <c r="Z11" s="244"/>
      <c r="AA11" s="244"/>
      <c r="AB11" s="244"/>
      <c r="AC11" s="244"/>
      <c r="AD11" s="244"/>
      <c r="AE11" s="244"/>
      <c r="AF11" s="244"/>
      <c r="AG11" s="244"/>
      <c r="AH11" s="244"/>
      <c r="AI11" s="244"/>
      <c r="AJ11" s="244"/>
      <c r="AK11" s="244"/>
      <c r="AL11" s="244"/>
      <c r="AM11" s="244"/>
      <c r="AN11" s="244"/>
      <c r="AO11" s="244"/>
      <c r="AP11" s="244"/>
      <c r="AQ11" s="244"/>
      <c r="AR11" s="244"/>
      <c r="AS11" s="244"/>
      <c r="AT11" s="244"/>
      <c r="AU11" s="244"/>
      <c r="AV11" s="244"/>
      <c r="AW11" s="244"/>
      <c r="AX11" s="244"/>
      <c r="AY11" s="244"/>
      <c r="AZ11" s="244"/>
      <c r="BA11" s="244"/>
      <c r="BB11" s="244"/>
      <c r="BC11" s="244"/>
      <c r="BD11" s="244"/>
      <c r="BE11" s="244"/>
      <c r="BF11" s="244"/>
      <c r="BG11" s="244"/>
      <c r="BH11" s="244"/>
      <c r="BI11" s="244"/>
      <c r="BJ11" s="244"/>
      <c r="BK11" s="244"/>
      <c r="BL11" s="244"/>
      <c r="BM11" s="244"/>
      <c r="BN11" s="244"/>
      <c r="BO11" s="244"/>
      <c r="BP11" s="244"/>
      <c r="BQ11" s="244"/>
      <c r="BR11" s="244"/>
      <c r="BS11" s="244"/>
      <c r="BT11" s="244"/>
      <c r="BU11" s="244"/>
      <c r="BV11" s="244"/>
      <c r="BW11" s="244"/>
      <c r="BX11" s="244"/>
      <c r="BY11" s="244"/>
      <c r="BZ11" s="244"/>
      <c r="CA11" s="244"/>
      <c r="CB11" s="244"/>
      <c r="CC11" s="244"/>
      <c r="CD11" s="244"/>
      <c r="CE11" s="244"/>
      <c r="CF11" s="244"/>
      <c r="CG11" s="244"/>
      <c r="CH11" s="244"/>
      <c r="CI11" s="244"/>
      <c r="CJ11" s="244"/>
      <c r="CK11" s="244"/>
      <c r="CL11" s="244"/>
      <c r="CM11" s="244"/>
      <c r="CN11" s="244"/>
      <c r="CO11" s="244"/>
      <c r="CP11" s="244"/>
      <c r="CQ11" s="244"/>
      <c r="CR11" s="244"/>
      <c r="CS11" s="244"/>
      <c r="CT11" s="244"/>
      <c r="CU11" s="244"/>
      <c r="CV11" s="244"/>
      <c r="CW11" s="244"/>
      <c r="CX11" s="244"/>
      <c r="CY11" s="244"/>
      <c r="CZ11" s="244"/>
      <c r="DA11" s="244"/>
      <c r="DB11" s="244"/>
      <c r="DC11" s="244"/>
      <c r="DD11" s="244"/>
      <c r="DE11" s="244"/>
      <c r="DF11" s="244"/>
      <c r="DG11" s="244"/>
      <c r="DH11" s="244"/>
      <c r="DI11" s="244"/>
      <c r="DJ11" s="244"/>
      <c r="DK11" s="244"/>
      <c r="DL11" s="244"/>
      <c r="DM11" s="244"/>
      <c r="DN11" s="244"/>
      <c r="DO11" s="244"/>
      <c r="DP11" s="244"/>
      <c r="DQ11" s="244"/>
      <c r="DR11" s="244"/>
      <c r="DS11" s="244"/>
      <c r="DT11" s="244"/>
      <c r="DU11" s="244"/>
      <c r="DV11" s="244"/>
      <c r="DW11" s="244">
        <v>42075.574305555601</v>
      </c>
      <c r="DX11" s="244"/>
      <c r="DY11" s="244"/>
      <c r="DZ11" s="244"/>
      <c r="EA11" s="244"/>
      <c r="EB11" s="244">
        <v>42074.368750000001</v>
      </c>
      <c r="EC11" s="244">
        <v>42089.636805555601</v>
      </c>
      <c r="ED11" s="244">
        <v>41937</v>
      </c>
      <c r="EE11" s="244">
        <v>42081</v>
      </c>
      <c r="EF11" s="244">
        <v>41994</v>
      </c>
      <c r="EG11" s="244">
        <v>41725</v>
      </c>
      <c r="EH11" s="244"/>
      <c r="EI11" s="244"/>
      <c r="EJ11" s="244"/>
      <c r="EK11" s="244"/>
      <c r="EL11" s="244">
        <v>42074</v>
      </c>
      <c r="EM11" s="244">
        <v>41061</v>
      </c>
      <c r="EN11" s="244">
        <v>41061</v>
      </c>
      <c r="EO11" s="244">
        <v>41061</v>
      </c>
      <c r="EP11" s="244">
        <v>41061</v>
      </c>
      <c r="EQ11" s="244"/>
      <c r="ER11" s="244"/>
      <c r="ES11" s="244"/>
      <c r="ET11" s="244"/>
      <c r="EU11" s="244"/>
      <c r="EV11" s="244">
        <v>42089.636805555601</v>
      </c>
    </row>
    <row r="12" spans="1:152">
      <c r="A12" s="269" t="s">
        <v>165</v>
      </c>
      <c r="B12" s="244"/>
      <c r="C12" s="244"/>
      <c r="D12" s="244"/>
      <c r="E12" s="244">
        <v>42062.606249999997</v>
      </c>
      <c r="F12" s="244">
        <v>42102.704166666699</v>
      </c>
      <c r="G12" s="244"/>
      <c r="H12" s="244">
        <v>42102.481249999997</v>
      </c>
      <c r="I12" s="244">
        <v>41955.652083333298</v>
      </c>
      <c r="J12" s="244"/>
      <c r="K12" s="244">
        <v>42060.487500000003</v>
      </c>
      <c r="L12" s="244">
        <v>42060</v>
      </c>
      <c r="M12" s="244">
        <v>42060.489583333299</v>
      </c>
      <c r="N12" s="244">
        <v>41955.654861111099</v>
      </c>
      <c r="O12" s="244"/>
      <c r="P12" s="244">
        <v>42108.693749999999</v>
      </c>
      <c r="Q12" s="244">
        <v>42049.427083333299</v>
      </c>
      <c r="R12" s="244">
        <v>42094.5625</v>
      </c>
      <c r="S12" s="244">
        <v>42029.3125</v>
      </c>
      <c r="T12" s="244"/>
      <c r="U12" s="244"/>
      <c r="V12" s="244">
        <v>42034.400694444397</v>
      </c>
      <c r="W12" s="244"/>
      <c r="X12" s="244">
        <v>41969</v>
      </c>
      <c r="Y12" s="244"/>
      <c r="Z12" s="244"/>
      <c r="AA12" s="244">
        <v>42060</v>
      </c>
      <c r="AB12" s="244"/>
      <c r="AC12" s="244">
        <v>42061</v>
      </c>
      <c r="AD12" s="244"/>
      <c r="AE12" s="244"/>
      <c r="AF12" s="244"/>
      <c r="AG12" s="244">
        <v>41003</v>
      </c>
      <c r="AH12" s="244">
        <v>41841.644444444399</v>
      </c>
      <c r="AI12" s="244"/>
      <c r="AJ12" s="244"/>
      <c r="AK12" s="244">
        <v>41913</v>
      </c>
      <c r="AL12" s="244"/>
      <c r="AM12" s="244"/>
      <c r="AN12" s="244"/>
      <c r="AO12" s="244"/>
      <c r="AP12" s="244">
        <v>41969</v>
      </c>
      <c r="AQ12" s="244">
        <v>41969</v>
      </c>
      <c r="AR12" s="244"/>
      <c r="AS12" s="244"/>
      <c r="AT12" s="244"/>
      <c r="AU12" s="244"/>
      <c r="AV12" s="244"/>
      <c r="AW12" s="244"/>
      <c r="AX12" s="244"/>
      <c r="AY12" s="244"/>
      <c r="AZ12" s="244"/>
      <c r="BA12" s="244"/>
      <c r="BB12" s="244"/>
      <c r="BC12" s="244"/>
      <c r="BD12" s="244">
        <v>42021.472916666702</v>
      </c>
      <c r="BE12" s="244">
        <v>42013.493055555598</v>
      </c>
      <c r="BF12" s="244">
        <v>41953.579166666699</v>
      </c>
      <c r="BG12" s="244">
        <v>42039.972916666702</v>
      </c>
      <c r="BH12" s="244">
        <v>41844.524305555598</v>
      </c>
      <c r="BI12" s="244">
        <v>42039.974999999999</v>
      </c>
      <c r="BJ12" s="244">
        <v>42039.972916666702</v>
      </c>
      <c r="BK12" s="244">
        <v>42004</v>
      </c>
      <c r="BL12" s="244">
        <v>42039.975694444402</v>
      </c>
      <c r="BM12" s="244">
        <v>42040.4465277778</v>
      </c>
      <c r="BN12" s="244">
        <v>42061</v>
      </c>
      <c r="BO12" s="244">
        <v>42040.445138888899</v>
      </c>
      <c r="BP12" s="244">
        <v>42040.447916666701</v>
      </c>
      <c r="BQ12" s="244"/>
      <c r="BR12" s="244"/>
      <c r="BS12" s="244">
        <v>42061</v>
      </c>
      <c r="BT12" s="244">
        <v>41969</v>
      </c>
      <c r="BU12" s="244">
        <v>41969</v>
      </c>
      <c r="BV12" s="244">
        <v>41969</v>
      </c>
      <c r="BW12" s="244">
        <v>41969</v>
      </c>
      <c r="BX12" s="244">
        <v>41969</v>
      </c>
      <c r="BY12" s="244">
        <v>41969</v>
      </c>
      <c r="BZ12" s="244">
        <v>40513</v>
      </c>
      <c r="CA12" s="244">
        <v>40513</v>
      </c>
      <c r="CB12" s="244">
        <v>40513</v>
      </c>
      <c r="CC12" s="244">
        <v>40513</v>
      </c>
      <c r="CD12" s="244">
        <v>40513</v>
      </c>
      <c r="CE12" s="244">
        <v>40513</v>
      </c>
      <c r="CF12" s="244">
        <v>40483</v>
      </c>
      <c r="CG12" s="244">
        <v>40483</v>
      </c>
      <c r="CH12" s="244">
        <v>42109</v>
      </c>
      <c r="CI12" s="244">
        <v>39264</v>
      </c>
      <c r="CJ12" s="244">
        <v>41061</v>
      </c>
      <c r="CK12" s="244">
        <v>41061</v>
      </c>
      <c r="CL12" s="244">
        <v>39448</v>
      </c>
      <c r="CM12" s="244">
        <v>39722</v>
      </c>
      <c r="CN12" s="244">
        <v>41061</v>
      </c>
      <c r="CO12" s="244">
        <v>41395</v>
      </c>
      <c r="CP12" s="244">
        <v>41306</v>
      </c>
      <c r="CQ12" s="244">
        <v>41306</v>
      </c>
      <c r="CR12" s="244">
        <v>41306</v>
      </c>
      <c r="CS12" s="244">
        <v>37712</v>
      </c>
      <c r="CT12" s="244">
        <v>37712</v>
      </c>
      <c r="CU12" s="244">
        <v>38018</v>
      </c>
      <c r="CV12" s="244">
        <v>40483</v>
      </c>
      <c r="CW12" s="244"/>
      <c r="CX12" s="244"/>
      <c r="CY12" s="244"/>
      <c r="CZ12" s="244"/>
      <c r="DA12" s="244"/>
      <c r="DB12" s="244">
        <v>42034</v>
      </c>
      <c r="DC12" s="244">
        <v>41456</v>
      </c>
      <c r="DD12" s="244">
        <v>38018</v>
      </c>
      <c r="DE12" s="244">
        <v>41969</v>
      </c>
      <c r="DF12" s="244"/>
      <c r="DG12" s="244">
        <v>42103.440277777801</v>
      </c>
      <c r="DH12" s="244">
        <v>42114.399305555598</v>
      </c>
      <c r="DI12" s="244">
        <v>41969</v>
      </c>
      <c r="DJ12" s="244">
        <v>42102.468055555597</v>
      </c>
      <c r="DK12" s="244"/>
      <c r="DL12" s="244"/>
      <c r="DM12" s="244">
        <v>41956</v>
      </c>
      <c r="DN12" s="244">
        <v>41842.3881944444</v>
      </c>
      <c r="DO12" s="244"/>
      <c r="DP12" s="244">
        <v>42045.5715277778</v>
      </c>
      <c r="DQ12" s="244">
        <v>42021.894444444399</v>
      </c>
      <c r="DR12" s="244"/>
      <c r="DS12" s="244">
        <v>42002.452083333301</v>
      </c>
      <c r="DT12" s="244">
        <v>42049.422916666699</v>
      </c>
      <c r="DU12" s="244"/>
      <c r="DV12" s="244"/>
      <c r="DW12" s="244">
        <v>42104.963888888902</v>
      </c>
      <c r="DX12" s="244">
        <v>41935.668749999997</v>
      </c>
      <c r="DY12" s="244"/>
      <c r="DZ12" s="244">
        <v>41969</v>
      </c>
      <c r="EA12" s="244"/>
      <c r="EB12" s="244">
        <v>42094.563888888901</v>
      </c>
      <c r="EC12" s="244">
        <v>42107.554861111101</v>
      </c>
      <c r="ED12" s="244">
        <v>41969</v>
      </c>
      <c r="EE12" s="244">
        <v>42025.482638888898</v>
      </c>
      <c r="EF12" s="244">
        <v>42025.483333333301</v>
      </c>
      <c r="EG12" s="244">
        <v>42028.472222222197</v>
      </c>
      <c r="EH12" s="244"/>
      <c r="EI12" s="244"/>
      <c r="EJ12" s="244"/>
      <c r="EK12" s="244"/>
      <c r="EL12" s="244"/>
      <c r="EM12" s="244"/>
      <c r="EN12" s="244"/>
      <c r="EO12" s="244"/>
      <c r="EP12" s="244"/>
      <c r="EQ12" s="244"/>
      <c r="ER12" s="244"/>
      <c r="ES12" s="244"/>
      <c r="ET12" s="244"/>
      <c r="EU12" s="244">
        <v>42060</v>
      </c>
      <c r="EV12" s="244">
        <v>42114.399305555598</v>
      </c>
    </row>
    <row r="13" spans="1:152">
      <c r="A13" s="270" t="s">
        <v>87</v>
      </c>
      <c r="B13" s="244"/>
      <c r="C13" s="244"/>
      <c r="D13" s="244"/>
      <c r="E13" s="244"/>
      <c r="F13" s="244">
        <v>42102.704166666699</v>
      </c>
      <c r="G13" s="244"/>
      <c r="H13" s="244">
        <v>42102.481249999997</v>
      </c>
      <c r="I13" s="244">
        <v>41955.652083333298</v>
      </c>
      <c r="J13" s="244"/>
      <c r="K13" s="244">
        <v>42060.487500000003</v>
      </c>
      <c r="L13" s="244">
        <v>42060</v>
      </c>
      <c r="M13" s="244">
        <v>42060.489583333299</v>
      </c>
      <c r="N13" s="244">
        <v>41955.654861111099</v>
      </c>
      <c r="O13" s="244"/>
      <c r="P13" s="244">
        <v>42108.693749999999</v>
      </c>
      <c r="Q13" s="244">
        <v>42049.427083333299</v>
      </c>
      <c r="R13" s="244">
        <v>42094.5625</v>
      </c>
      <c r="S13" s="244">
        <v>42029.3125</v>
      </c>
      <c r="T13" s="244"/>
      <c r="U13" s="244"/>
      <c r="V13" s="244"/>
      <c r="W13" s="244"/>
      <c r="X13" s="244"/>
      <c r="Y13" s="244"/>
      <c r="Z13" s="244"/>
      <c r="AA13" s="244">
        <v>42060</v>
      </c>
      <c r="AB13" s="244"/>
      <c r="AC13" s="244">
        <v>42061</v>
      </c>
      <c r="AD13" s="244"/>
      <c r="AE13" s="244"/>
      <c r="AF13" s="244"/>
      <c r="AG13" s="244"/>
      <c r="AH13" s="244">
        <v>41841.644444444399</v>
      </c>
      <c r="AI13" s="244"/>
      <c r="AJ13" s="244"/>
      <c r="AK13" s="244">
        <v>41913</v>
      </c>
      <c r="AL13" s="244"/>
      <c r="AM13" s="244"/>
      <c r="AN13" s="244"/>
      <c r="AO13" s="244"/>
      <c r="AP13" s="244">
        <v>41969</v>
      </c>
      <c r="AQ13" s="244">
        <v>41969</v>
      </c>
      <c r="AR13" s="244"/>
      <c r="AS13" s="244"/>
      <c r="AT13" s="244"/>
      <c r="AU13" s="244"/>
      <c r="AV13" s="244"/>
      <c r="AW13" s="244"/>
      <c r="AX13" s="244"/>
      <c r="AY13" s="244"/>
      <c r="AZ13" s="244"/>
      <c r="BA13" s="244"/>
      <c r="BB13" s="244"/>
      <c r="BC13" s="244"/>
      <c r="BD13" s="244">
        <v>42021.472916666702</v>
      </c>
      <c r="BE13" s="244">
        <v>42013.493055555598</v>
      </c>
      <c r="BF13" s="244">
        <v>41953.579166666699</v>
      </c>
      <c r="BG13" s="244">
        <v>42039.972916666702</v>
      </c>
      <c r="BH13" s="244">
        <v>41844.524305555598</v>
      </c>
      <c r="BI13" s="244">
        <v>42039.974999999999</v>
      </c>
      <c r="BJ13" s="244">
        <v>42039.972916666702</v>
      </c>
      <c r="BK13" s="244">
        <v>42004</v>
      </c>
      <c r="BL13" s="244">
        <v>42039.975694444402</v>
      </c>
      <c r="BM13" s="244">
        <v>42040.4465277778</v>
      </c>
      <c r="BN13" s="244">
        <v>42061</v>
      </c>
      <c r="BO13" s="244">
        <v>42040.445138888899</v>
      </c>
      <c r="BP13" s="244">
        <v>42040.447916666701</v>
      </c>
      <c r="BQ13" s="244"/>
      <c r="BR13" s="244"/>
      <c r="BS13" s="244">
        <v>42061</v>
      </c>
      <c r="BT13" s="244">
        <v>41969</v>
      </c>
      <c r="BU13" s="244">
        <v>41969</v>
      </c>
      <c r="BV13" s="244">
        <v>41969</v>
      </c>
      <c r="BW13" s="244">
        <v>41969</v>
      </c>
      <c r="BX13" s="244">
        <v>41969</v>
      </c>
      <c r="BY13" s="244">
        <v>41969</v>
      </c>
      <c r="BZ13" s="244">
        <v>40513</v>
      </c>
      <c r="CA13" s="244">
        <v>40513</v>
      </c>
      <c r="CB13" s="244">
        <v>40513</v>
      </c>
      <c r="CC13" s="244">
        <v>40513</v>
      </c>
      <c r="CD13" s="244">
        <v>40513</v>
      </c>
      <c r="CE13" s="244">
        <v>40513</v>
      </c>
      <c r="CF13" s="244">
        <v>40483</v>
      </c>
      <c r="CG13" s="244">
        <v>40483</v>
      </c>
      <c r="CH13" s="244">
        <v>42109</v>
      </c>
      <c r="CI13" s="244">
        <v>39264</v>
      </c>
      <c r="CJ13" s="244">
        <v>41061</v>
      </c>
      <c r="CK13" s="244">
        <v>41061</v>
      </c>
      <c r="CL13" s="244">
        <v>39448</v>
      </c>
      <c r="CM13" s="244">
        <v>39722</v>
      </c>
      <c r="CN13" s="244">
        <v>41061</v>
      </c>
      <c r="CO13" s="244">
        <v>41395</v>
      </c>
      <c r="CP13" s="244">
        <v>41306</v>
      </c>
      <c r="CQ13" s="244">
        <v>41306</v>
      </c>
      <c r="CR13" s="244">
        <v>41306</v>
      </c>
      <c r="CS13" s="244">
        <v>37712</v>
      </c>
      <c r="CT13" s="244">
        <v>37712</v>
      </c>
      <c r="CU13" s="244">
        <v>38018</v>
      </c>
      <c r="CV13" s="244">
        <v>40483</v>
      </c>
      <c r="CW13" s="244"/>
      <c r="CX13" s="244"/>
      <c r="CY13" s="244"/>
      <c r="CZ13" s="244"/>
      <c r="DA13" s="244"/>
      <c r="DB13" s="244">
        <v>42034</v>
      </c>
      <c r="DC13" s="244">
        <v>41456</v>
      </c>
      <c r="DD13" s="244">
        <v>38018</v>
      </c>
      <c r="DE13" s="244">
        <v>41969</v>
      </c>
      <c r="DF13" s="244"/>
      <c r="DG13" s="244">
        <v>42103.440277777801</v>
      </c>
      <c r="DH13" s="244">
        <v>42114.399305555598</v>
      </c>
      <c r="DI13" s="244">
        <v>41969</v>
      </c>
      <c r="DJ13" s="244">
        <v>42102.468055555597</v>
      </c>
      <c r="DK13" s="244"/>
      <c r="DL13" s="244"/>
      <c r="DM13" s="244"/>
      <c r="DN13" s="244"/>
      <c r="DO13" s="244"/>
      <c r="DP13" s="244"/>
      <c r="DQ13" s="244"/>
      <c r="DR13" s="244"/>
      <c r="DS13" s="244"/>
      <c r="DT13" s="244"/>
      <c r="DU13" s="244"/>
      <c r="DV13" s="244"/>
      <c r="DW13" s="244"/>
      <c r="DX13" s="244"/>
      <c r="DY13" s="244"/>
      <c r="DZ13" s="244"/>
      <c r="EA13" s="244"/>
      <c r="EB13" s="244"/>
      <c r="EC13" s="244"/>
      <c r="ED13" s="244"/>
      <c r="EE13" s="244"/>
      <c r="EF13" s="244"/>
      <c r="EG13" s="244"/>
      <c r="EH13" s="244"/>
      <c r="EI13" s="244"/>
      <c r="EJ13" s="244"/>
      <c r="EK13" s="244"/>
      <c r="EL13" s="244"/>
      <c r="EM13" s="244"/>
      <c r="EN13" s="244"/>
      <c r="EO13" s="244"/>
      <c r="EP13" s="244"/>
      <c r="EQ13" s="244"/>
      <c r="ER13" s="244"/>
      <c r="ES13" s="244"/>
      <c r="ET13" s="244"/>
      <c r="EU13" s="244">
        <v>42060</v>
      </c>
      <c r="EV13" s="244">
        <v>42114.399305555598</v>
      </c>
    </row>
    <row r="14" spans="1:152">
      <c r="A14" s="270" t="s">
        <v>172</v>
      </c>
      <c r="B14" s="244"/>
      <c r="C14" s="244"/>
      <c r="D14" s="244"/>
      <c r="E14" s="244">
        <v>42062.606249999997</v>
      </c>
      <c r="F14" s="244"/>
      <c r="G14" s="244"/>
      <c r="H14" s="244"/>
      <c r="I14" s="244"/>
      <c r="J14" s="244"/>
      <c r="K14" s="244"/>
      <c r="L14" s="244"/>
      <c r="M14" s="244"/>
      <c r="N14" s="244"/>
      <c r="O14" s="244"/>
      <c r="P14" s="244">
        <v>42061.588888888902</v>
      </c>
      <c r="Q14" s="244"/>
      <c r="R14" s="244"/>
      <c r="S14" s="244"/>
      <c r="T14" s="244"/>
      <c r="U14" s="244"/>
      <c r="V14" s="244">
        <v>42034.400694444397</v>
      </c>
      <c r="W14" s="244"/>
      <c r="X14" s="244">
        <v>41969</v>
      </c>
      <c r="Y14" s="244"/>
      <c r="Z14" s="244"/>
      <c r="AA14" s="244"/>
      <c r="AB14" s="244"/>
      <c r="AC14" s="244"/>
      <c r="AD14" s="244"/>
      <c r="AE14" s="244"/>
      <c r="AF14" s="244"/>
      <c r="AG14" s="244">
        <v>41003</v>
      </c>
      <c r="AH14" s="244"/>
      <c r="AI14" s="244"/>
      <c r="AJ14" s="244"/>
      <c r="AK14" s="244"/>
      <c r="AL14" s="244"/>
      <c r="AM14" s="244"/>
      <c r="AN14" s="244"/>
      <c r="AO14" s="244"/>
      <c r="AP14" s="244"/>
      <c r="AQ14" s="244"/>
      <c r="AR14" s="244"/>
      <c r="AS14" s="244"/>
      <c r="AT14" s="244"/>
      <c r="AU14" s="244"/>
      <c r="AV14" s="244"/>
      <c r="AW14" s="244"/>
      <c r="AX14" s="244"/>
      <c r="AY14" s="244"/>
      <c r="AZ14" s="244"/>
      <c r="BA14" s="244"/>
      <c r="BB14" s="244"/>
      <c r="BC14" s="244"/>
      <c r="BD14" s="244"/>
      <c r="BE14" s="244"/>
      <c r="BF14" s="244"/>
      <c r="BG14" s="244"/>
      <c r="BH14" s="244"/>
      <c r="BI14" s="244"/>
      <c r="BJ14" s="244"/>
      <c r="BK14" s="244"/>
      <c r="BL14" s="244"/>
      <c r="BM14" s="244"/>
      <c r="BN14" s="244"/>
      <c r="BO14" s="244"/>
      <c r="BP14" s="244"/>
      <c r="BQ14" s="244"/>
      <c r="BR14" s="244"/>
      <c r="BS14" s="244"/>
      <c r="BT14" s="244"/>
      <c r="BU14" s="244"/>
      <c r="BV14" s="244"/>
      <c r="BW14" s="244"/>
      <c r="BX14" s="244"/>
      <c r="BY14" s="244"/>
      <c r="BZ14" s="244"/>
      <c r="CA14" s="244"/>
      <c r="CB14" s="244"/>
      <c r="CC14" s="244"/>
      <c r="CD14" s="244"/>
      <c r="CE14" s="244"/>
      <c r="CF14" s="244"/>
      <c r="CG14" s="244"/>
      <c r="CH14" s="244"/>
      <c r="CI14" s="244"/>
      <c r="CJ14" s="244"/>
      <c r="CK14" s="244"/>
      <c r="CL14" s="244"/>
      <c r="CM14" s="244"/>
      <c r="CN14" s="244"/>
      <c r="CO14" s="244"/>
      <c r="CP14" s="244"/>
      <c r="CQ14" s="244"/>
      <c r="CR14" s="244"/>
      <c r="CS14" s="244"/>
      <c r="CT14" s="244"/>
      <c r="CU14" s="244"/>
      <c r="CV14" s="244"/>
      <c r="CW14" s="244"/>
      <c r="CX14" s="244"/>
      <c r="CY14" s="244"/>
      <c r="CZ14" s="244"/>
      <c r="DA14" s="244"/>
      <c r="DB14" s="244"/>
      <c r="DC14" s="244"/>
      <c r="DD14" s="244"/>
      <c r="DE14" s="244"/>
      <c r="DF14" s="244"/>
      <c r="DG14" s="244"/>
      <c r="DH14" s="244"/>
      <c r="DI14" s="244"/>
      <c r="DJ14" s="244"/>
      <c r="DK14" s="244"/>
      <c r="DL14" s="244"/>
      <c r="DM14" s="244">
        <v>41956</v>
      </c>
      <c r="DN14" s="244">
        <v>41842.3881944444</v>
      </c>
      <c r="DO14" s="244"/>
      <c r="DP14" s="244">
        <v>42045.5715277778</v>
      </c>
      <c r="DQ14" s="244">
        <v>42021.894444444399</v>
      </c>
      <c r="DR14" s="244"/>
      <c r="DS14" s="244">
        <v>42002.452083333301</v>
      </c>
      <c r="DT14" s="244">
        <v>42049.422916666699</v>
      </c>
      <c r="DU14" s="244"/>
      <c r="DV14" s="244"/>
      <c r="DW14" s="244"/>
      <c r="DX14" s="244">
        <v>41935.668749999997</v>
      </c>
      <c r="DY14" s="244"/>
      <c r="DZ14" s="244">
        <v>41969</v>
      </c>
      <c r="EA14" s="244"/>
      <c r="EB14" s="244"/>
      <c r="EC14" s="244"/>
      <c r="ED14" s="244"/>
      <c r="EE14" s="244"/>
      <c r="EF14" s="244"/>
      <c r="EG14" s="244"/>
      <c r="EH14" s="244"/>
      <c r="EI14" s="244"/>
      <c r="EJ14" s="244"/>
      <c r="EK14" s="244"/>
      <c r="EL14" s="244"/>
      <c r="EM14" s="244"/>
      <c r="EN14" s="244"/>
      <c r="EO14" s="244"/>
      <c r="EP14" s="244"/>
      <c r="EQ14" s="244"/>
      <c r="ER14" s="244"/>
      <c r="ES14" s="244"/>
      <c r="ET14" s="244"/>
      <c r="EU14" s="244"/>
      <c r="EV14" s="244">
        <v>42062.606249999997</v>
      </c>
    </row>
    <row r="15" spans="1:152">
      <c r="A15" s="270" t="s">
        <v>173</v>
      </c>
      <c r="B15" s="244"/>
      <c r="C15" s="244"/>
      <c r="D15" s="244"/>
      <c r="E15" s="244"/>
      <c r="F15" s="244"/>
      <c r="G15" s="244"/>
      <c r="H15" s="244"/>
      <c r="I15" s="244"/>
      <c r="J15" s="244"/>
      <c r="K15" s="244"/>
      <c r="L15" s="244"/>
      <c r="M15" s="244"/>
      <c r="N15" s="244"/>
      <c r="O15" s="244"/>
      <c r="P15" s="244"/>
      <c r="Q15" s="244"/>
      <c r="R15" s="244"/>
      <c r="S15" s="244"/>
      <c r="T15" s="244"/>
      <c r="U15" s="244"/>
      <c r="V15" s="244"/>
      <c r="W15" s="244"/>
      <c r="X15" s="244"/>
      <c r="Y15" s="244"/>
      <c r="Z15" s="244"/>
      <c r="AA15" s="244"/>
      <c r="AB15" s="244"/>
      <c r="AC15" s="244"/>
      <c r="AD15" s="244"/>
      <c r="AE15" s="244"/>
      <c r="AF15" s="244"/>
      <c r="AG15" s="244"/>
      <c r="AH15" s="244"/>
      <c r="AI15" s="244"/>
      <c r="AJ15" s="244"/>
      <c r="AK15" s="244"/>
      <c r="AL15" s="244"/>
      <c r="AM15" s="244"/>
      <c r="AN15" s="244"/>
      <c r="AO15" s="244"/>
      <c r="AP15" s="244"/>
      <c r="AQ15" s="244"/>
      <c r="AR15" s="244"/>
      <c r="AS15" s="244"/>
      <c r="AT15" s="244"/>
      <c r="AU15" s="244"/>
      <c r="AV15" s="244"/>
      <c r="AW15" s="244"/>
      <c r="AX15" s="244"/>
      <c r="AY15" s="244"/>
      <c r="AZ15" s="244"/>
      <c r="BA15" s="244"/>
      <c r="BB15" s="244"/>
      <c r="BC15" s="244"/>
      <c r="BD15" s="244"/>
      <c r="BE15" s="244"/>
      <c r="BF15" s="244"/>
      <c r="BG15" s="244"/>
      <c r="BH15" s="244"/>
      <c r="BI15" s="244"/>
      <c r="BJ15" s="244"/>
      <c r="BK15" s="244"/>
      <c r="BL15" s="244"/>
      <c r="BM15" s="244"/>
      <c r="BN15" s="244"/>
      <c r="BO15" s="244"/>
      <c r="BP15" s="244"/>
      <c r="BQ15" s="244"/>
      <c r="BR15" s="244"/>
      <c r="BS15" s="244"/>
      <c r="BT15" s="244"/>
      <c r="BU15" s="244"/>
      <c r="BV15" s="244"/>
      <c r="BW15" s="244"/>
      <c r="BX15" s="244"/>
      <c r="BY15" s="244"/>
      <c r="BZ15" s="244"/>
      <c r="CA15" s="244"/>
      <c r="CB15" s="244"/>
      <c r="CC15" s="244"/>
      <c r="CD15" s="244"/>
      <c r="CE15" s="244"/>
      <c r="CF15" s="244"/>
      <c r="CG15" s="244"/>
      <c r="CH15" s="244"/>
      <c r="CI15" s="244"/>
      <c r="CJ15" s="244"/>
      <c r="CK15" s="244"/>
      <c r="CL15" s="244"/>
      <c r="CM15" s="244"/>
      <c r="CN15" s="244"/>
      <c r="CO15" s="244"/>
      <c r="CP15" s="244"/>
      <c r="CQ15" s="244"/>
      <c r="CR15" s="244"/>
      <c r="CS15" s="244"/>
      <c r="CT15" s="244"/>
      <c r="CU15" s="244"/>
      <c r="CV15" s="244"/>
      <c r="CW15" s="244"/>
      <c r="CX15" s="244"/>
      <c r="CY15" s="244"/>
      <c r="CZ15" s="244"/>
      <c r="DA15" s="244"/>
      <c r="DB15" s="244"/>
      <c r="DC15" s="244"/>
      <c r="DD15" s="244"/>
      <c r="DE15" s="244"/>
      <c r="DF15" s="244"/>
      <c r="DG15" s="244"/>
      <c r="DH15" s="244"/>
      <c r="DI15" s="244"/>
      <c r="DJ15" s="244"/>
      <c r="DK15" s="244"/>
      <c r="DL15" s="244"/>
      <c r="DM15" s="244"/>
      <c r="DN15" s="244"/>
      <c r="DO15" s="244"/>
      <c r="DP15" s="244"/>
      <c r="DQ15" s="244"/>
      <c r="DR15" s="244"/>
      <c r="DS15" s="244"/>
      <c r="DT15" s="244"/>
      <c r="DU15" s="244"/>
      <c r="DV15" s="244"/>
      <c r="DW15" s="244">
        <v>42104.963888888902</v>
      </c>
      <c r="DX15" s="244"/>
      <c r="DY15" s="244"/>
      <c r="DZ15" s="244"/>
      <c r="EA15" s="244"/>
      <c r="EB15" s="244">
        <v>42094.563888888901</v>
      </c>
      <c r="EC15" s="244">
        <v>42107.554861111101</v>
      </c>
      <c r="ED15" s="244">
        <v>41969</v>
      </c>
      <c r="EE15" s="244">
        <v>42025.482638888898</v>
      </c>
      <c r="EF15" s="244">
        <v>42025.483333333301</v>
      </c>
      <c r="EG15" s="244">
        <v>42028.472222222197</v>
      </c>
      <c r="EH15" s="244"/>
      <c r="EI15" s="244"/>
      <c r="EJ15" s="244"/>
      <c r="EK15" s="244"/>
      <c r="EL15" s="244"/>
      <c r="EM15" s="244"/>
      <c r="EN15" s="244"/>
      <c r="EO15" s="244"/>
      <c r="EP15" s="244"/>
      <c r="EQ15" s="244"/>
      <c r="ER15" s="244"/>
      <c r="ES15" s="244"/>
      <c r="ET15" s="244"/>
      <c r="EU15" s="244"/>
      <c r="EV15" s="244">
        <v>42107.554861111101</v>
      </c>
    </row>
    <row r="16" spans="1:152">
      <c r="A16" s="269" t="s">
        <v>148</v>
      </c>
      <c r="B16" s="244"/>
      <c r="C16" s="244">
        <v>42108.9555555556</v>
      </c>
      <c r="D16" s="244"/>
      <c r="E16" s="244">
        <v>42109.737500000003</v>
      </c>
      <c r="F16" s="244">
        <v>42108.072222222203</v>
      </c>
      <c r="G16" s="244"/>
      <c r="H16" s="244">
        <v>42107.754166666702</v>
      </c>
      <c r="I16" s="244"/>
      <c r="J16" s="244"/>
      <c r="K16" s="244"/>
      <c r="L16" s="244">
        <v>42025.877777777801</v>
      </c>
      <c r="M16" s="244"/>
      <c r="N16" s="244"/>
      <c r="O16" s="244"/>
      <c r="P16" s="244">
        <v>42109.526388888902</v>
      </c>
      <c r="Q16" s="244">
        <v>42018</v>
      </c>
      <c r="R16" s="244">
        <v>42094.400000000001</v>
      </c>
      <c r="S16" s="244">
        <v>42019.412499999999</v>
      </c>
      <c r="T16" s="244"/>
      <c r="U16" s="244"/>
      <c r="V16" s="244">
        <v>41990</v>
      </c>
      <c r="W16" s="244"/>
      <c r="X16" s="244"/>
      <c r="Y16" s="244"/>
      <c r="Z16" s="244"/>
      <c r="AA16" s="244">
        <v>42081</v>
      </c>
      <c r="AB16" s="244"/>
      <c r="AC16" s="244">
        <v>42081.535416666702</v>
      </c>
      <c r="AD16" s="244"/>
      <c r="AE16" s="244"/>
      <c r="AF16" s="244"/>
      <c r="AG16" s="244">
        <v>42060</v>
      </c>
      <c r="AH16" s="244">
        <v>42099</v>
      </c>
      <c r="AI16" s="244"/>
      <c r="AJ16" s="244"/>
      <c r="AK16" s="244"/>
      <c r="AL16" s="244"/>
      <c r="AM16" s="244">
        <v>41961.647916666698</v>
      </c>
      <c r="AN16" s="244"/>
      <c r="AO16" s="244"/>
      <c r="AP16" s="244"/>
      <c r="AQ16" s="244"/>
      <c r="AR16" s="244"/>
      <c r="AS16" s="244"/>
      <c r="AT16" s="244"/>
      <c r="AU16" s="244"/>
      <c r="AV16" s="244"/>
      <c r="AW16" s="244"/>
      <c r="AX16" s="244"/>
      <c r="AY16" s="244"/>
      <c r="AZ16" s="244">
        <v>41955</v>
      </c>
      <c r="BA16" s="244">
        <v>41955</v>
      </c>
      <c r="BB16" s="244"/>
      <c r="BC16" s="244"/>
      <c r="BD16" s="244">
        <v>41985</v>
      </c>
      <c r="BE16" s="244">
        <v>42107.565972222197</v>
      </c>
      <c r="BF16" s="244">
        <v>41972</v>
      </c>
      <c r="BG16" s="244">
        <v>42009</v>
      </c>
      <c r="BH16" s="244">
        <v>42109.740277777797</v>
      </c>
      <c r="BI16" s="244">
        <v>42009</v>
      </c>
      <c r="BJ16" s="244">
        <v>42009</v>
      </c>
      <c r="BK16" s="244">
        <v>42107.5756944444</v>
      </c>
      <c r="BL16" s="244">
        <v>42009</v>
      </c>
      <c r="BM16" s="244">
        <v>41769</v>
      </c>
      <c r="BN16" s="244">
        <v>42081</v>
      </c>
      <c r="BO16" s="244">
        <v>42009</v>
      </c>
      <c r="BP16" s="244">
        <v>42009</v>
      </c>
      <c r="BQ16" s="244"/>
      <c r="BR16" s="244"/>
      <c r="BS16" s="244">
        <v>41446</v>
      </c>
      <c r="BT16" s="244">
        <v>41214</v>
      </c>
      <c r="BU16" s="244">
        <v>41214</v>
      </c>
      <c r="BV16" s="244">
        <v>41214</v>
      </c>
      <c r="BW16" s="244">
        <v>41214</v>
      </c>
      <c r="BX16" s="244">
        <v>41214</v>
      </c>
      <c r="BY16" s="244">
        <v>41214</v>
      </c>
      <c r="BZ16" s="244"/>
      <c r="CA16" s="244"/>
      <c r="CB16" s="244"/>
      <c r="CC16" s="244"/>
      <c r="CD16" s="244"/>
      <c r="CE16" s="244"/>
      <c r="CF16" s="244">
        <v>39814</v>
      </c>
      <c r="CG16" s="244">
        <v>40544</v>
      </c>
      <c r="CH16" s="244">
        <v>39264</v>
      </c>
      <c r="CI16" s="244">
        <v>40603</v>
      </c>
      <c r="CJ16" s="244">
        <v>40603</v>
      </c>
      <c r="CK16" s="244">
        <v>40603</v>
      </c>
      <c r="CL16" s="244">
        <v>40603</v>
      </c>
      <c r="CM16" s="244">
        <v>40603</v>
      </c>
      <c r="CN16" s="244">
        <v>41365</v>
      </c>
      <c r="CO16" s="244">
        <v>40544</v>
      </c>
      <c r="CP16" s="244">
        <v>41365</v>
      </c>
      <c r="CQ16" s="244">
        <v>41334</v>
      </c>
      <c r="CR16" s="244">
        <v>41334</v>
      </c>
      <c r="CS16" s="244">
        <v>40544</v>
      </c>
      <c r="CT16" s="244">
        <v>39083</v>
      </c>
      <c r="CU16" s="244">
        <v>41518</v>
      </c>
      <c r="CV16" s="244">
        <v>42081.602083333302</v>
      </c>
      <c r="CW16" s="244"/>
      <c r="CX16" s="244"/>
      <c r="CY16" s="244"/>
      <c r="CZ16" s="244"/>
      <c r="DA16" s="244"/>
      <c r="DB16" s="244">
        <v>41904</v>
      </c>
      <c r="DC16" s="244">
        <v>41183</v>
      </c>
      <c r="DD16" s="244">
        <v>42064</v>
      </c>
      <c r="DE16" s="244"/>
      <c r="DF16" s="244"/>
      <c r="DG16" s="244">
        <v>42081</v>
      </c>
      <c r="DH16" s="244">
        <v>42110.125694444403</v>
      </c>
      <c r="DI16" s="244"/>
      <c r="DJ16" s="244">
        <v>42107.579861111102</v>
      </c>
      <c r="DK16" s="244"/>
      <c r="DL16" s="244"/>
      <c r="DM16" s="244">
        <v>42020.374305555597</v>
      </c>
      <c r="DN16" s="244">
        <v>41993</v>
      </c>
      <c r="DO16" s="244"/>
      <c r="DP16" s="244">
        <v>42028.925000000003</v>
      </c>
      <c r="DQ16" s="244">
        <v>41980</v>
      </c>
      <c r="DR16" s="244"/>
      <c r="DS16" s="244">
        <v>42086.367361111101</v>
      </c>
      <c r="DT16" s="244">
        <v>41955</v>
      </c>
      <c r="DU16" s="244"/>
      <c r="DV16" s="244">
        <v>42111.591666666704</v>
      </c>
      <c r="DW16" s="244">
        <v>42107.479166666701</v>
      </c>
      <c r="DX16" s="244"/>
      <c r="DY16" s="244">
        <v>42109.643750000003</v>
      </c>
      <c r="DZ16" s="244">
        <v>41679</v>
      </c>
      <c r="EA16" s="244"/>
      <c r="EB16" s="244">
        <v>42081.828472222202</v>
      </c>
      <c r="EC16" s="244">
        <v>42107.592361111099</v>
      </c>
      <c r="ED16" s="244">
        <v>42010.295833333301</v>
      </c>
      <c r="EE16" s="244"/>
      <c r="EF16" s="244"/>
      <c r="EG16" s="244">
        <v>41904</v>
      </c>
      <c r="EH16" s="244"/>
      <c r="EI16" s="244"/>
      <c r="EJ16" s="244"/>
      <c r="EK16" s="244"/>
      <c r="EL16" s="244">
        <v>42081</v>
      </c>
      <c r="EM16" s="244">
        <v>41030</v>
      </c>
      <c r="EN16" s="244"/>
      <c r="EO16" s="244">
        <v>41030</v>
      </c>
      <c r="EP16" s="244"/>
      <c r="EQ16" s="244"/>
      <c r="ER16" s="244"/>
      <c r="ES16" s="244"/>
      <c r="ET16" s="244"/>
      <c r="EU16" s="244"/>
      <c r="EV16" s="244">
        <v>42111.591666666704</v>
      </c>
    </row>
    <row r="17" spans="1:152">
      <c r="A17" s="270" t="s">
        <v>87</v>
      </c>
      <c r="B17" s="244"/>
      <c r="C17" s="244">
        <v>42108.9555555556</v>
      </c>
      <c r="D17" s="244"/>
      <c r="E17" s="244">
        <v>42109.737500000003</v>
      </c>
      <c r="F17" s="244">
        <v>42108.072222222203</v>
      </c>
      <c r="G17" s="244"/>
      <c r="H17" s="244">
        <v>42107.754166666702</v>
      </c>
      <c r="I17" s="244"/>
      <c r="J17" s="244"/>
      <c r="K17" s="244"/>
      <c r="L17" s="244">
        <v>42025.877777777801</v>
      </c>
      <c r="M17" s="244"/>
      <c r="N17" s="244"/>
      <c r="O17" s="244"/>
      <c r="P17" s="244">
        <v>42109.526388888902</v>
      </c>
      <c r="Q17" s="244">
        <v>42018</v>
      </c>
      <c r="R17" s="244">
        <v>42094.400000000001</v>
      </c>
      <c r="S17" s="244">
        <v>42019.412499999999</v>
      </c>
      <c r="T17" s="244"/>
      <c r="U17" s="244"/>
      <c r="V17" s="244"/>
      <c r="W17" s="244"/>
      <c r="X17" s="244"/>
      <c r="Y17" s="244"/>
      <c r="Z17" s="244"/>
      <c r="AA17" s="244">
        <v>42081</v>
      </c>
      <c r="AB17" s="244"/>
      <c r="AC17" s="244">
        <v>42081.535416666702</v>
      </c>
      <c r="AD17" s="244"/>
      <c r="AE17" s="244"/>
      <c r="AF17" s="244"/>
      <c r="AG17" s="244"/>
      <c r="AH17" s="244">
        <v>42099</v>
      </c>
      <c r="AI17" s="244"/>
      <c r="AJ17" s="244"/>
      <c r="AK17" s="244"/>
      <c r="AL17" s="244"/>
      <c r="AM17" s="244"/>
      <c r="AN17" s="244"/>
      <c r="AO17" s="244"/>
      <c r="AP17" s="244"/>
      <c r="AQ17" s="244"/>
      <c r="AR17" s="244"/>
      <c r="AS17" s="244"/>
      <c r="AT17" s="244"/>
      <c r="AU17" s="244"/>
      <c r="AV17" s="244"/>
      <c r="AW17" s="244"/>
      <c r="AX17" s="244"/>
      <c r="AY17" s="244"/>
      <c r="AZ17" s="244">
        <v>41955</v>
      </c>
      <c r="BA17" s="244">
        <v>41955</v>
      </c>
      <c r="BB17" s="244"/>
      <c r="BC17" s="244"/>
      <c r="BD17" s="244">
        <v>41985</v>
      </c>
      <c r="BE17" s="244">
        <v>42107.565972222197</v>
      </c>
      <c r="BF17" s="244">
        <v>41972</v>
      </c>
      <c r="BG17" s="244">
        <v>42009</v>
      </c>
      <c r="BH17" s="244">
        <v>42109.740277777797</v>
      </c>
      <c r="BI17" s="244">
        <v>42009</v>
      </c>
      <c r="BJ17" s="244">
        <v>42009</v>
      </c>
      <c r="BK17" s="244">
        <v>42107.5756944444</v>
      </c>
      <c r="BL17" s="244">
        <v>42009</v>
      </c>
      <c r="BM17" s="244">
        <v>41769</v>
      </c>
      <c r="BN17" s="244">
        <v>42081</v>
      </c>
      <c r="BO17" s="244">
        <v>42009</v>
      </c>
      <c r="BP17" s="244">
        <v>42009</v>
      </c>
      <c r="BQ17" s="244"/>
      <c r="BR17" s="244"/>
      <c r="BS17" s="244">
        <v>41446</v>
      </c>
      <c r="BT17" s="244">
        <v>41214</v>
      </c>
      <c r="BU17" s="244">
        <v>41214</v>
      </c>
      <c r="BV17" s="244">
        <v>41214</v>
      </c>
      <c r="BW17" s="244">
        <v>41214</v>
      </c>
      <c r="BX17" s="244">
        <v>41214</v>
      </c>
      <c r="BY17" s="244">
        <v>41214</v>
      </c>
      <c r="BZ17" s="244"/>
      <c r="CA17" s="244"/>
      <c r="CB17" s="244"/>
      <c r="CC17" s="244"/>
      <c r="CD17" s="244"/>
      <c r="CE17" s="244"/>
      <c r="CF17" s="244">
        <v>39814</v>
      </c>
      <c r="CG17" s="244">
        <v>40544</v>
      </c>
      <c r="CH17" s="244">
        <v>39264</v>
      </c>
      <c r="CI17" s="244">
        <v>40603</v>
      </c>
      <c r="CJ17" s="244">
        <v>40603</v>
      </c>
      <c r="CK17" s="244">
        <v>40603</v>
      </c>
      <c r="CL17" s="244">
        <v>40603</v>
      </c>
      <c r="CM17" s="244">
        <v>40603</v>
      </c>
      <c r="CN17" s="244">
        <v>41365</v>
      </c>
      <c r="CO17" s="244">
        <v>40544</v>
      </c>
      <c r="CP17" s="244">
        <v>41365</v>
      </c>
      <c r="CQ17" s="244">
        <v>41334</v>
      </c>
      <c r="CR17" s="244">
        <v>41334</v>
      </c>
      <c r="CS17" s="244">
        <v>40544</v>
      </c>
      <c r="CT17" s="244">
        <v>39083</v>
      </c>
      <c r="CU17" s="244">
        <v>41518</v>
      </c>
      <c r="CV17" s="244">
        <v>42081.602083333302</v>
      </c>
      <c r="CW17" s="244"/>
      <c r="CX17" s="244"/>
      <c r="CY17" s="244"/>
      <c r="CZ17" s="244"/>
      <c r="DA17" s="244"/>
      <c r="DB17" s="244">
        <v>41904</v>
      </c>
      <c r="DC17" s="244">
        <v>41183</v>
      </c>
      <c r="DD17" s="244">
        <v>42064</v>
      </c>
      <c r="DE17" s="244"/>
      <c r="DF17" s="244"/>
      <c r="DG17" s="244">
        <v>42081</v>
      </c>
      <c r="DH17" s="244">
        <v>42110.125694444403</v>
      </c>
      <c r="DI17" s="244"/>
      <c r="DJ17" s="244">
        <v>42107.579861111102</v>
      </c>
      <c r="DK17" s="244"/>
      <c r="DL17" s="244"/>
      <c r="DM17" s="244"/>
      <c r="DN17" s="244"/>
      <c r="DO17" s="244"/>
      <c r="DP17" s="244"/>
      <c r="DQ17" s="244"/>
      <c r="DR17" s="244"/>
      <c r="DS17" s="244"/>
      <c r="DT17" s="244"/>
      <c r="DU17" s="244"/>
      <c r="DV17" s="244"/>
      <c r="DW17" s="244"/>
      <c r="DX17" s="244"/>
      <c r="DY17" s="244"/>
      <c r="DZ17" s="244"/>
      <c r="EA17" s="244"/>
      <c r="EB17" s="244"/>
      <c r="EC17" s="244"/>
      <c r="ED17" s="244"/>
      <c r="EE17" s="244"/>
      <c r="EF17" s="244"/>
      <c r="EG17" s="244"/>
      <c r="EH17" s="244"/>
      <c r="EI17" s="244"/>
      <c r="EJ17" s="244"/>
      <c r="EK17" s="244"/>
      <c r="EL17" s="244"/>
      <c r="EM17" s="244"/>
      <c r="EN17" s="244"/>
      <c r="EO17" s="244"/>
      <c r="EP17" s="244"/>
      <c r="EQ17" s="244"/>
      <c r="ER17" s="244"/>
      <c r="ES17" s="244"/>
      <c r="ET17" s="244"/>
      <c r="EU17" s="244"/>
      <c r="EV17" s="244">
        <v>42110.125694444403</v>
      </c>
    </row>
    <row r="18" spans="1:152">
      <c r="A18" s="270" t="s">
        <v>172</v>
      </c>
      <c r="B18" s="244"/>
      <c r="C18" s="244"/>
      <c r="D18" s="244"/>
      <c r="E18" s="244">
        <v>42025</v>
      </c>
      <c r="F18" s="244"/>
      <c r="G18" s="244"/>
      <c r="H18" s="244"/>
      <c r="I18" s="244"/>
      <c r="J18" s="244"/>
      <c r="K18" s="244"/>
      <c r="L18" s="244"/>
      <c r="M18" s="244"/>
      <c r="N18" s="244"/>
      <c r="O18" s="244"/>
      <c r="P18" s="244">
        <v>41994.342361111099</v>
      </c>
      <c r="Q18" s="244"/>
      <c r="R18" s="244"/>
      <c r="S18" s="244"/>
      <c r="T18" s="244"/>
      <c r="U18" s="244"/>
      <c r="V18" s="244">
        <v>41990</v>
      </c>
      <c r="W18" s="244"/>
      <c r="X18" s="244"/>
      <c r="Y18" s="244"/>
      <c r="Z18" s="244"/>
      <c r="AA18" s="244"/>
      <c r="AB18" s="244"/>
      <c r="AC18" s="244"/>
      <c r="AD18" s="244"/>
      <c r="AE18" s="244"/>
      <c r="AF18" s="244"/>
      <c r="AG18" s="244">
        <v>42060</v>
      </c>
      <c r="AH18" s="244"/>
      <c r="AI18" s="244"/>
      <c r="AJ18" s="244"/>
      <c r="AK18" s="244"/>
      <c r="AL18" s="244"/>
      <c r="AM18" s="244">
        <v>41961.647916666698</v>
      </c>
      <c r="AN18" s="244"/>
      <c r="AO18" s="244"/>
      <c r="AP18" s="244"/>
      <c r="AQ18" s="244"/>
      <c r="AR18" s="244"/>
      <c r="AS18" s="244"/>
      <c r="AT18" s="244"/>
      <c r="AU18" s="244"/>
      <c r="AV18" s="244"/>
      <c r="AW18" s="244"/>
      <c r="AX18" s="244"/>
      <c r="AY18" s="244"/>
      <c r="AZ18" s="244"/>
      <c r="BA18" s="244"/>
      <c r="BB18" s="244"/>
      <c r="BC18" s="244"/>
      <c r="BD18" s="244"/>
      <c r="BE18" s="244"/>
      <c r="BF18" s="244"/>
      <c r="BG18" s="244"/>
      <c r="BH18" s="244"/>
      <c r="BI18" s="244"/>
      <c r="BJ18" s="244"/>
      <c r="BK18" s="244"/>
      <c r="BL18" s="244"/>
      <c r="BM18" s="244"/>
      <c r="BN18" s="244"/>
      <c r="BO18" s="244"/>
      <c r="BP18" s="244"/>
      <c r="BQ18" s="244"/>
      <c r="BR18" s="244"/>
      <c r="BS18" s="244"/>
      <c r="BT18" s="244"/>
      <c r="BU18" s="244"/>
      <c r="BV18" s="244"/>
      <c r="BW18" s="244"/>
      <c r="BX18" s="244"/>
      <c r="BY18" s="244"/>
      <c r="BZ18" s="244"/>
      <c r="CA18" s="244"/>
      <c r="CB18" s="244"/>
      <c r="CC18" s="244"/>
      <c r="CD18" s="244"/>
      <c r="CE18" s="244"/>
      <c r="CF18" s="244"/>
      <c r="CG18" s="244"/>
      <c r="CH18" s="244"/>
      <c r="CI18" s="244"/>
      <c r="CJ18" s="244"/>
      <c r="CK18" s="244"/>
      <c r="CL18" s="244"/>
      <c r="CM18" s="244"/>
      <c r="CN18" s="244"/>
      <c r="CO18" s="244"/>
      <c r="CP18" s="244"/>
      <c r="CQ18" s="244"/>
      <c r="CR18" s="244"/>
      <c r="CS18" s="244"/>
      <c r="CT18" s="244"/>
      <c r="CU18" s="244"/>
      <c r="CV18" s="244"/>
      <c r="CW18" s="244"/>
      <c r="CX18" s="244"/>
      <c r="CY18" s="244"/>
      <c r="CZ18" s="244"/>
      <c r="DA18" s="244"/>
      <c r="DB18" s="244"/>
      <c r="DC18" s="244"/>
      <c r="DD18" s="244"/>
      <c r="DE18" s="244"/>
      <c r="DF18" s="244"/>
      <c r="DG18" s="244"/>
      <c r="DH18" s="244"/>
      <c r="DI18" s="244"/>
      <c r="DJ18" s="244"/>
      <c r="DK18" s="244"/>
      <c r="DL18" s="244"/>
      <c r="DM18" s="244">
        <v>42020.374305555597</v>
      </c>
      <c r="DN18" s="244">
        <v>41993</v>
      </c>
      <c r="DO18" s="244"/>
      <c r="DP18" s="244">
        <v>42028.925000000003</v>
      </c>
      <c r="DQ18" s="244">
        <v>41980</v>
      </c>
      <c r="DR18" s="244"/>
      <c r="DS18" s="244">
        <v>42086.367361111101</v>
      </c>
      <c r="DT18" s="244">
        <v>41955</v>
      </c>
      <c r="DU18" s="244"/>
      <c r="DV18" s="244">
        <v>42111.591666666704</v>
      </c>
      <c r="DW18" s="244"/>
      <c r="DX18" s="244"/>
      <c r="DY18" s="244">
        <v>42109.643750000003</v>
      </c>
      <c r="DZ18" s="244">
        <v>41679</v>
      </c>
      <c r="EA18" s="244"/>
      <c r="EB18" s="244"/>
      <c r="EC18" s="244"/>
      <c r="ED18" s="244"/>
      <c r="EE18" s="244"/>
      <c r="EF18" s="244"/>
      <c r="EG18" s="244"/>
      <c r="EH18" s="244"/>
      <c r="EI18" s="244"/>
      <c r="EJ18" s="244"/>
      <c r="EK18" s="244"/>
      <c r="EL18" s="244"/>
      <c r="EM18" s="244"/>
      <c r="EN18" s="244"/>
      <c r="EO18" s="244"/>
      <c r="EP18" s="244"/>
      <c r="EQ18" s="244"/>
      <c r="ER18" s="244"/>
      <c r="ES18" s="244"/>
      <c r="ET18" s="244"/>
      <c r="EU18" s="244"/>
      <c r="EV18" s="244">
        <v>42111.591666666704</v>
      </c>
    </row>
    <row r="19" spans="1:152">
      <c r="A19" s="270" t="s">
        <v>173</v>
      </c>
      <c r="B19" s="244"/>
      <c r="C19" s="244"/>
      <c r="D19" s="244"/>
      <c r="E19" s="244"/>
      <c r="F19" s="244"/>
      <c r="G19" s="244"/>
      <c r="H19" s="244"/>
      <c r="I19" s="244"/>
      <c r="J19" s="244"/>
      <c r="K19" s="244"/>
      <c r="L19" s="244"/>
      <c r="M19" s="244"/>
      <c r="N19" s="244"/>
      <c r="O19" s="244"/>
      <c r="P19" s="244"/>
      <c r="Q19" s="244"/>
      <c r="R19" s="244"/>
      <c r="S19" s="244"/>
      <c r="T19" s="244"/>
      <c r="U19" s="244"/>
      <c r="V19" s="244"/>
      <c r="W19" s="244"/>
      <c r="X19" s="244"/>
      <c r="Y19" s="244"/>
      <c r="Z19" s="244"/>
      <c r="AA19" s="244"/>
      <c r="AB19" s="244"/>
      <c r="AC19" s="244"/>
      <c r="AD19" s="244"/>
      <c r="AE19" s="244"/>
      <c r="AF19" s="244"/>
      <c r="AG19" s="244"/>
      <c r="AH19" s="244"/>
      <c r="AI19" s="244"/>
      <c r="AJ19" s="244"/>
      <c r="AK19" s="244"/>
      <c r="AL19" s="244"/>
      <c r="AM19" s="244"/>
      <c r="AN19" s="244"/>
      <c r="AO19" s="244"/>
      <c r="AP19" s="244"/>
      <c r="AQ19" s="244"/>
      <c r="AR19" s="244"/>
      <c r="AS19" s="244"/>
      <c r="AT19" s="244"/>
      <c r="AU19" s="244"/>
      <c r="AV19" s="244"/>
      <c r="AW19" s="244"/>
      <c r="AX19" s="244"/>
      <c r="AY19" s="244"/>
      <c r="AZ19" s="244"/>
      <c r="BA19" s="244"/>
      <c r="BB19" s="244"/>
      <c r="BC19" s="244"/>
      <c r="BD19" s="244"/>
      <c r="BE19" s="244"/>
      <c r="BF19" s="244"/>
      <c r="BG19" s="244"/>
      <c r="BH19" s="244"/>
      <c r="BI19" s="244"/>
      <c r="BJ19" s="244"/>
      <c r="BK19" s="244"/>
      <c r="BL19" s="244"/>
      <c r="BM19" s="244"/>
      <c r="BN19" s="244"/>
      <c r="BO19" s="244"/>
      <c r="BP19" s="244"/>
      <c r="BQ19" s="244"/>
      <c r="BR19" s="244"/>
      <c r="BS19" s="244"/>
      <c r="BT19" s="244"/>
      <c r="BU19" s="244"/>
      <c r="BV19" s="244"/>
      <c r="BW19" s="244"/>
      <c r="BX19" s="244"/>
      <c r="BY19" s="244"/>
      <c r="BZ19" s="244"/>
      <c r="CA19" s="244"/>
      <c r="CB19" s="244"/>
      <c r="CC19" s="244"/>
      <c r="CD19" s="244"/>
      <c r="CE19" s="244"/>
      <c r="CF19" s="244"/>
      <c r="CG19" s="244"/>
      <c r="CH19" s="244"/>
      <c r="CI19" s="244"/>
      <c r="CJ19" s="244"/>
      <c r="CK19" s="244"/>
      <c r="CL19" s="244"/>
      <c r="CM19" s="244"/>
      <c r="CN19" s="244"/>
      <c r="CO19" s="244"/>
      <c r="CP19" s="244"/>
      <c r="CQ19" s="244"/>
      <c r="CR19" s="244"/>
      <c r="CS19" s="244"/>
      <c r="CT19" s="244"/>
      <c r="CU19" s="244"/>
      <c r="CV19" s="244"/>
      <c r="CW19" s="244"/>
      <c r="CX19" s="244"/>
      <c r="CY19" s="244"/>
      <c r="CZ19" s="244"/>
      <c r="DA19" s="244"/>
      <c r="DB19" s="244"/>
      <c r="DC19" s="244"/>
      <c r="DD19" s="244"/>
      <c r="DE19" s="244"/>
      <c r="DF19" s="244"/>
      <c r="DG19" s="244"/>
      <c r="DH19" s="244"/>
      <c r="DI19" s="244"/>
      <c r="DJ19" s="244"/>
      <c r="DK19" s="244"/>
      <c r="DL19" s="244"/>
      <c r="DM19" s="244"/>
      <c r="DN19" s="244"/>
      <c r="DO19" s="244"/>
      <c r="DP19" s="244"/>
      <c r="DQ19" s="244"/>
      <c r="DR19" s="244"/>
      <c r="DS19" s="244"/>
      <c r="DT19" s="244"/>
      <c r="DU19" s="244"/>
      <c r="DV19" s="244"/>
      <c r="DW19" s="244">
        <v>42107.479166666701</v>
      </c>
      <c r="DX19" s="244"/>
      <c r="DY19" s="244"/>
      <c r="DZ19" s="244"/>
      <c r="EA19" s="244"/>
      <c r="EB19" s="244">
        <v>42081.828472222202</v>
      </c>
      <c r="EC19" s="244">
        <v>42107.592361111099</v>
      </c>
      <c r="ED19" s="244">
        <v>42010.295833333301</v>
      </c>
      <c r="EE19" s="244"/>
      <c r="EF19" s="244"/>
      <c r="EG19" s="244">
        <v>41904</v>
      </c>
      <c r="EH19" s="244"/>
      <c r="EI19" s="244"/>
      <c r="EJ19" s="244"/>
      <c r="EK19" s="244"/>
      <c r="EL19" s="244">
        <v>42081</v>
      </c>
      <c r="EM19" s="244">
        <v>41030</v>
      </c>
      <c r="EN19" s="244"/>
      <c r="EO19" s="244">
        <v>41030</v>
      </c>
      <c r="EP19" s="244"/>
      <c r="EQ19" s="244"/>
      <c r="ER19" s="244"/>
      <c r="ES19" s="244"/>
      <c r="ET19" s="244"/>
      <c r="EU19" s="244"/>
      <c r="EV19" s="244">
        <v>42107.592361111099</v>
      </c>
    </row>
    <row r="20" spans="1:152">
      <c r="A20" s="269" t="s">
        <v>162</v>
      </c>
      <c r="B20" s="244"/>
      <c r="C20" s="244"/>
      <c r="D20" s="244"/>
      <c r="E20" s="244">
        <v>42102.736111111102</v>
      </c>
      <c r="F20" s="244">
        <v>42103.9284722222</v>
      </c>
      <c r="G20" s="244"/>
      <c r="H20" s="244">
        <v>42103.871527777803</v>
      </c>
      <c r="I20" s="244"/>
      <c r="J20" s="244"/>
      <c r="K20" s="244">
        <v>42066.422916666699</v>
      </c>
      <c r="L20" s="244">
        <v>42066.392361111102</v>
      </c>
      <c r="M20" s="244">
        <v>42066.4243055556</v>
      </c>
      <c r="N20" s="244"/>
      <c r="O20" s="244"/>
      <c r="P20" s="244">
        <v>42106.659722222197</v>
      </c>
      <c r="Q20" s="244">
        <v>42046.661805555603</v>
      </c>
      <c r="R20" s="244">
        <v>42102.587500000001</v>
      </c>
      <c r="S20" s="244">
        <v>42104</v>
      </c>
      <c r="T20" s="244"/>
      <c r="U20" s="244"/>
      <c r="V20" s="244">
        <v>41965</v>
      </c>
      <c r="W20" s="244"/>
      <c r="X20" s="244">
        <v>41965</v>
      </c>
      <c r="Y20" s="244"/>
      <c r="Z20" s="244"/>
      <c r="AA20" s="244">
        <v>42090.326388888898</v>
      </c>
      <c r="AB20" s="244"/>
      <c r="AC20" s="244">
        <v>42053.449305555601</v>
      </c>
      <c r="AD20" s="244"/>
      <c r="AE20" s="244"/>
      <c r="AF20" s="244"/>
      <c r="AG20" s="244">
        <v>41781</v>
      </c>
      <c r="AH20" s="244">
        <v>41843.568749999999</v>
      </c>
      <c r="AI20" s="244"/>
      <c r="AJ20" s="244"/>
      <c r="AK20" s="244"/>
      <c r="AL20" s="244"/>
      <c r="AM20" s="244">
        <v>42051</v>
      </c>
      <c r="AN20" s="244"/>
      <c r="AO20" s="244"/>
      <c r="AP20" s="244">
        <v>42038.350694444402</v>
      </c>
      <c r="AQ20" s="244">
        <v>42010</v>
      </c>
      <c r="AR20" s="244"/>
      <c r="AS20" s="244"/>
      <c r="AT20" s="244"/>
      <c r="AU20" s="244"/>
      <c r="AV20" s="244"/>
      <c r="AW20" s="244"/>
      <c r="AX20" s="244"/>
      <c r="AY20" s="244"/>
      <c r="AZ20" s="244"/>
      <c r="BA20" s="244"/>
      <c r="BB20" s="244"/>
      <c r="BC20" s="244"/>
      <c r="BD20" s="244">
        <v>42104</v>
      </c>
      <c r="BE20" s="244">
        <v>41937</v>
      </c>
      <c r="BF20" s="244">
        <v>42056</v>
      </c>
      <c r="BG20" s="244">
        <v>41984</v>
      </c>
      <c r="BH20" s="244">
        <v>41814.561805555597</v>
      </c>
      <c r="BI20" s="244">
        <v>41984</v>
      </c>
      <c r="BJ20" s="244">
        <v>41984</v>
      </c>
      <c r="BK20" s="244">
        <v>41914.492361111101</v>
      </c>
      <c r="BL20" s="244">
        <v>41984</v>
      </c>
      <c r="BM20" s="244">
        <v>41940</v>
      </c>
      <c r="BN20" s="244">
        <v>42027.533333333296</v>
      </c>
      <c r="BO20" s="244">
        <v>41787.081250000003</v>
      </c>
      <c r="BP20" s="244">
        <v>41787.081250000003</v>
      </c>
      <c r="BQ20" s="244"/>
      <c r="BR20" s="244">
        <v>41901</v>
      </c>
      <c r="BS20" s="244">
        <v>41386</v>
      </c>
      <c r="BT20" s="244"/>
      <c r="BU20" s="244"/>
      <c r="BV20" s="244"/>
      <c r="BW20" s="244"/>
      <c r="BX20" s="244"/>
      <c r="BY20" s="244"/>
      <c r="BZ20" s="244">
        <v>41781</v>
      </c>
      <c r="CA20" s="244">
        <v>41781</v>
      </c>
      <c r="CB20" s="244">
        <v>41091</v>
      </c>
      <c r="CC20" s="244">
        <v>41091</v>
      </c>
      <c r="CD20" s="244">
        <v>41091</v>
      </c>
      <c r="CE20" s="244">
        <v>41091</v>
      </c>
      <c r="CF20" s="244">
        <v>41821.560416666704</v>
      </c>
      <c r="CG20" s="244">
        <v>41830.486111111102</v>
      </c>
      <c r="CH20" s="244">
        <v>40269</v>
      </c>
      <c r="CI20" s="244">
        <v>39539</v>
      </c>
      <c r="CJ20" s="244">
        <v>39873</v>
      </c>
      <c r="CK20" s="244">
        <v>39873</v>
      </c>
      <c r="CL20" s="244">
        <v>39904</v>
      </c>
      <c r="CM20" s="244">
        <v>39692</v>
      </c>
      <c r="CN20" s="244">
        <v>40210</v>
      </c>
      <c r="CO20" s="244">
        <v>41061</v>
      </c>
      <c r="CP20" s="244">
        <v>41091</v>
      </c>
      <c r="CQ20" s="244">
        <v>41091</v>
      </c>
      <c r="CR20" s="244">
        <v>41091</v>
      </c>
      <c r="CS20" s="244">
        <v>41883</v>
      </c>
      <c r="CT20" s="244">
        <v>41699</v>
      </c>
      <c r="CU20" s="244">
        <v>41306</v>
      </c>
      <c r="CV20" s="244">
        <v>41883</v>
      </c>
      <c r="CW20" s="244"/>
      <c r="CX20" s="244"/>
      <c r="CY20" s="244"/>
      <c r="CZ20" s="244"/>
      <c r="DA20" s="244"/>
      <c r="DB20" s="244">
        <v>42057</v>
      </c>
      <c r="DC20" s="244">
        <v>41883</v>
      </c>
      <c r="DD20" s="244">
        <v>41883</v>
      </c>
      <c r="DE20" s="244">
        <v>41781</v>
      </c>
      <c r="DF20" s="244"/>
      <c r="DG20" s="244">
        <v>42094.583333333299</v>
      </c>
      <c r="DH20" s="244">
        <v>42103</v>
      </c>
      <c r="DI20" s="244"/>
      <c r="DJ20" s="244">
        <v>42103.547916666699</v>
      </c>
      <c r="DK20" s="244"/>
      <c r="DL20" s="244"/>
      <c r="DM20" s="244"/>
      <c r="DN20" s="244"/>
      <c r="DO20" s="244"/>
      <c r="DP20" s="244">
        <v>42083</v>
      </c>
      <c r="DQ20" s="244">
        <v>41968.144444444399</v>
      </c>
      <c r="DR20" s="244"/>
      <c r="DS20" s="244">
        <v>41961</v>
      </c>
      <c r="DT20" s="244"/>
      <c r="DU20" s="244"/>
      <c r="DV20" s="244"/>
      <c r="DW20" s="244">
        <v>42107.628472222197</v>
      </c>
      <c r="DX20" s="244"/>
      <c r="DY20" s="244">
        <v>41991</v>
      </c>
      <c r="DZ20" s="244"/>
      <c r="EA20" s="244"/>
      <c r="EB20" s="244">
        <v>42102.586111111101</v>
      </c>
      <c r="EC20" s="244">
        <v>42104.967361111099</v>
      </c>
      <c r="ED20" s="244">
        <v>42104</v>
      </c>
      <c r="EE20" s="244">
        <v>42026</v>
      </c>
      <c r="EF20" s="244">
        <v>42026</v>
      </c>
      <c r="EG20" s="244">
        <v>42109</v>
      </c>
      <c r="EH20" s="244"/>
      <c r="EI20" s="244"/>
      <c r="EJ20" s="244"/>
      <c r="EK20" s="244"/>
      <c r="EL20" s="244">
        <v>41781</v>
      </c>
      <c r="EM20" s="244">
        <v>41781</v>
      </c>
      <c r="EN20" s="244">
        <v>41781</v>
      </c>
      <c r="EO20" s="244">
        <v>41781</v>
      </c>
      <c r="EP20" s="244">
        <v>41781</v>
      </c>
      <c r="EQ20" s="244"/>
      <c r="ER20" s="244"/>
      <c r="ES20" s="244"/>
      <c r="ET20" s="244"/>
      <c r="EU20" s="244"/>
      <c r="EV20" s="244">
        <v>42109</v>
      </c>
    </row>
    <row r="21" spans="1:152">
      <c r="A21" s="270" t="s">
        <v>87</v>
      </c>
      <c r="B21" s="244"/>
      <c r="C21" s="244"/>
      <c r="D21" s="244"/>
      <c r="E21" s="244">
        <v>42102.736111111102</v>
      </c>
      <c r="F21" s="244">
        <v>42103.9284722222</v>
      </c>
      <c r="G21" s="244"/>
      <c r="H21" s="244">
        <v>42103.871527777803</v>
      </c>
      <c r="I21" s="244"/>
      <c r="J21" s="244"/>
      <c r="K21" s="244">
        <v>42066.422916666699</v>
      </c>
      <c r="L21" s="244">
        <v>42066.392361111102</v>
      </c>
      <c r="M21" s="244">
        <v>42066.4243055556</v>
      </c>
      <c r="N21" s="244"/>
      <c r="O21" s="244"/>
      <c r="P21" s="244">
        <v>42106.659722222197</v>
      </c>
      <c r="Q21" s="244">
        <v>42046.661805555603</v>
      </c>
      <c r="R21" s="244">
        <v>42102.587500000001</v>
      </c>
      <c r="S21" s="244">
        <v>42104</v>
      </c>
      <c r="T21" s="244"/>
      <c r="U21" s="244"/>
      <c r="V21" s="244"/>
      <c r="W21" s="244"/>
      <c r="X21" s="244"/>
      <c r="Y21" s="244"/>
      <c r="Z21" s="244"/>
      <c r="AA21" s="244">
        <v>42090.326388888898</v>
      </c>
      <c r="AB21" s="244"/>
      <c r="AC21" s="244">
        <v>42053.449305555601</v>
      </c>
      <c r="AD21" s="244"/>
      <c r="AE21" s="244"/>
      <c r="AF21" s="244"/>
      <c r="AG21" s="244"/>
      <c r="AH21" s="244">
        <v>41843.568749999999</v>
      </c>
      <c r="AI21" s="244"/>
      <c r="AJ21" s="244"/>
      <c r="AK21" s="244"/>
      <c r="AL21" s="244"/>
      <c r="AM21" s="244"/>
      <c r="AN21" s="244"/>
      <c r="AO21" s="244"/>
      <c r="AP21" s="244">
        <v>42038.350694444402</v>
      </c>
      <c r="AQ21" s="244">
        <v>42010</v>
      </c>
      <c r="AR21" s="244"/>
      <c r="AS21" s="244"/>
      <c r="AT21" s="244"/>
      <c r="AU21" s="244"/>
      <c r="AV21" s="244"/>
      <c r="AW21" s="244"/>
      <c r="AX21" s="244"/>
      <c r="AY21" s="244"/>
      <c r="AZ21" s="244"/>
      <c r="BA21" s="244"/>
      <c r="BB21" s="244"/>
      <c r="BC21" s="244"/>
      <c r="BD21" s="244">
        <v>42104</v>
      </c>
      <c r="BE21" s="244">
        <v>41937</v>
      </c>
      <c r="BF21" s="244">
        <v>42056</v>
      </c>
      <c r="BG21" s="244">
        <v>41984</v>
      </c>
      <c r="BH21" s="244">
        <v>41814.561805555597</v>
      </c>
      <c r="BI21" s="244">
        <v>41984</v>
      </c>
      <c r="BJ21" s="244">
        <v>41984</v>
      </c>
      <c r="BK21" s="244">
        <v>41914.492361111101</v>
      </c>
      <c r="BL21" s="244">
        <v>41984</v>
      </c>
      <c r="BM21" s="244">
        <v>41940</v>
      </c>
      <c r="BN21" s="244">
        <v>42027.533333333296</v>
      </c>
      <c r="BO21" s="244">
        <v>41787.081250000003</v>
      </c>
      <c r="BP21" s="244">
        <v>41787.081250000003</v>
      </c>
      <c r="BQ21" s="244"/>
      <c r="BR21" s="244">
        <v>41901</v>
      </c>
      <c r="BS21" s="244">
        <v>41386</v>
      </c>
      <c r="BT21" s="244"/>
      <c r="BU21" s="244"/>
      <c r="BV21" s="244"/>
      <c r="BW21" s="244"/>
      <c r="BX21" s="244"/>
      <c r="BY21" s="244"/>
      <c r="BZ21" s="244">
        <v>41781</v>
      </c>
      <c r="CA21" s="244">
        <v>41781</v>
      </c>
      <c r="CB21" s="244">
        <v>41091</v>
      </c>
      <c r="CC21" s="244">
        <v>41091</v>
      </c>
      <c r="CD21" s="244">
        <v>41091</v>
      </c>
      <c r="CE21" s="244">
        <v>41091</v>
      </c>
      <c r="CF21" s="244">
        <v>41821.560416666704</v>
      </c>
      <c r="CG21" s="244">
        <v>41830.486111111102</v>
      </c>
      <c r="CH21" s="244">
        <v>40269</v>
      </c>
      <c r="CI21" s="244">
        <v>39539</v>
      </c>
      <c r="CJ21" s="244">
        <v>39873</v>
      </c>
      <c r="CK21" s="244">
        <v>39873</v>
      </c>
      <c r="CL21" s="244">
        <v>39904</v>
      </c>
      <c r="CM21" s="244">
        <v>39692</v>
      </c>
      <c r="CN21" s="244">
        <v>40210</v>
      </c>
      <c r="CO21" s="244">
        <v>41061</v>
      </c>
      <c r="CP21" s="244">
        <v>41091</v>
      </c>
      <c r="CQ21" s="244">
        <v>41091</v>
      </c>
      <c r="CR21" s="244">
        <v>41091</v>
      </c>
      <c r="CS21" s="244">
        <v>41883</v>
      </c>
      <c r="CT21" s="244">
        <v>41699</v>
      </c>
      <c r="CU21" s="244">
        <v>41306</v>
      </c>
      <c r="CV21" s="244">
        <v>41883</v>
      </c>
      <c r="CW21" s="244"/>
      <c r="CX21" s="244"/>
      <c r="CY21" s="244"/>
      <c r="CZ21" s="244"/>
      <c r="DA21" s="244"/>
      <c r="DB21" s="244">
        <v>42057</v>
      </c>
      <c r="DC21" s="244">
        <v>41883</v>
      </c>
      <c r="DD21" s="244">
        <v>41883</v>
      </c>
      <c r="DE21" s="244">
        <v>41781</v>
      </c>
      <c r="DF21" s="244"/>
      <c r="DG21" s="244">
        <v>42094.583333333299</v>
      </c>
      <c r="DH21" s="244">
        <v>42103</v>
      </c>
      <c r="DI21" s="244"/>
      <c r="DJ21" s="244">
        <v>42103.547916666699</v>
      </c>
      <c r="DK21" s="244"/>
      <c r="DL21" s="244"/>
      <c r="DM21" s="244"/>
      <c r="DN21" s="244"/>
      <c r="DO21" s="244"/>
      <c r="DP21" s="244"/>
      <c r="DQ21" s="244"/>
      <c r="DR21" s="244"/>
      <c r="DS21" s="244"/>
      <c r="DT21" s="244"/>
      <c r="DU21" s="244"/>
      <c r="DV21" s="244"/>
      <c r="DW21" s="244"/>
      <c r="DX21" s="244"/>
      <c r="DY21" s="244"/>
      <c r="DZ21" s="244"/>
      <c r="EA21" s="244"/>
      <c r="EB21" s="244"/>
      <c r="EC21" s="244"/>
      <c r="ED21" s="244"/>
      <c r="EE21" s="244"/>
      <c r="EF21" s="244"/>
      <c r="EG21" s="244"/>
      <c r="EH21" s="244"/>
      <c r="EI21" s="244"/>
      <c r="EJ21" s="244"/>
      <c r="EK21" s="244"/>
      <c r="EL21" s="244"/>
      <c r="EM21" s="244"/>
      <c r="EN21" s="244"/>
      <c r="EO21" s="244"/>
      <c r="EP21" s="244"/>
      <c r="EQ21" s="244"/>
      <c r="ER21" s="244"/>
      <c r="ES21" s="244"/>
      <c r="ET21" s="244"/>
      <c r="EU21" s="244"/>
      <c r="EV21" s="244">
        <v>42106.659722222197</v>
      </c>
    </row>
    <row r="22" spans="1:152">
      <c r="A22" s="270" t="s">
        <v>172</v>
      </c>
      <c r="B22" s="244"/>
      <c r="C22" s="244"/>
      <c r="D22" s="244"/>
      <c r="E22" s="244"/>
      <c r="F22" s="244"/>
      <c r="G22" s="244"/>
      <c r="H22" s="244"/>
      <c r="I22" s="244"/>
      <c r="J22" s="244"/>
      <c r="K22" s="244"/>
      <c r="L22" s="244"/>
      <c r="M22" s="244"/>
      <c r="N22" s="244"/>
      <c r="O22" s="244"/>
      <c r="P22" s="244"/>
      <c r="Q22" s="244"/>
      <c r="R22" s="244"/>
      <c r="S22" s="244"/>
      <c r="T22" s="244"/>
      <c r="U22" s="244"/>
      <c r="V22" s="244">
        <v>41965</v>
      </c>
      <c r="W22" s="244"/>
      <c r="X22" s="244">
        <v>41965</v>
      </c>
      <c r="Y22" s="244"/>
      <c r="Z22" s="244"/>
      <c r="AA22" s="244"/>
      <c r="AB22" s="244"/>
      <c r="AC22" s="244"/>
      <c r="AD22" s="244"/>
      <c r="AE22" s="244"/>
      <c r="AF22" s="244"/>
      <c r="AG22" s="244">
        <v>41781</v>
      </c>
      <c r="AH22" s="244"/>
      <c r="AI22" s="244"/>
      <c r="AJ22" s="244"/>
      <c r="AK22" s="244"/>
      <c r="AL22" s="244"/>
      <c r="AM22" s="244">
        <v>42051</v>
      </c>
      <c r="AN22" s="244"/>
      <c r="AO22" s="244"/>
      <c r="AP22" s="244"/>
      <c r="AQ22" s="244"/>
      <c r="AR22" s="244"/>
      <c r="AS22" s="244"/>
      <c r="AT22" s="244"/>
      <c r="AU22" s="244"/>
      <c r="AV22" s="244"/>
      <c r="AW22" s="244"/>
      <c r="AX22" s="244"/>
      <c r="AY22" s="244"/>
      <c r="AZ22" s="244"/>
      <c r="BA22" s="244"/>
      <c r="BB22" s="244"/>
      <c r="BC22" s="244"/>
      <c r="BD22" s="244"/>
      <c r="BE22" s="244"/>
      <c r="BF22" s="244"/>
      <c r="BG22" s="244"/>
      <c r="BH22" s="244"/>
      <c r="BI22" s="244"/>
      <c r="BJ22" s="244"/>
      <c r="BK22" s="244"/>
      <c r="BL22" s="244"/>
      <c r="BM22" s="244"/>
      <c r="BN22" s="244"/>
      <c r="BO22" s="244"/>
      <c r="BP22" s="244"/>
      <c r="BQ22" s="244"/>
      <c r="BR22" s="244"/>
      <c r="BS22" s="244"/>
      <c r="BT22" s="244"/>
      <c r="BU22" s="244"/>
      <c r="BV22" s="244"/>
      <c r="BW22" s="244"/>
      <c r="BX22" s="244"/>
      <c r="BY22" s="244"/>
      <c r="BZ22" s="244"/>
      <c r="CA22" s="244"/>
      <c r="CB22" s="244"/>
      <c r="CC22" s="244"/>
      <c r="CD22" s="244"/>
      <c r="CE22" s="244"/>
      <c r="CF22" s="244"/>
      <c r="CG22" s="244"/>
      <c r="CH22" s="244"/>
      <c r="CI22" s="244"/>
      <c r="CJ22" s="244"/>
      <c r="CK22" s="244"/>
      <c r="CL22" s="244"/>
      <c r="CM22" s="244"/>
      <c r="CN22" s="244"/>
      <c r="CO22" s="244"/>
      <c r="CP22" s="244"/>
      <c r="CQ22" s="244"/>
      <c r="CR22" s="244"/>
      <c r="CS22" s="244"/>
      <c r="CT22" s="244"/>
      <c r="CU22" s="244"/>
      <c r="CV22" s="244"/>
      <c r="CW22" s="244"/>
      <c r="CX22" s="244"/>
      <c r="CY22" s="244"/>
      <c r="CZ22" s="244"/>
      <c r="DA22" s="244"/>
      <c r="DB22" s="244"/>
      <c r="DC22" s="244"/>
      <c r="DD22" s="244"/>
      <c r="DE22" s="244"/>
      <c r="DF22" s="244"/>
      <c r="DG22" s="244"/>
      <c r="DH22" s="244"/>
      <c r="DI22" s="244"/>
      <c r="DJ22" s="244"/>
      <c r="DK22" s="244"/>
      <c r="DL22" s="244"/>
      <c r="DM22" s="244"/>
      <c r="DN22" s="244"/>
      <c r="DO22" s="244"/>
      <c r="DP22" s="244">
        <v>42083</v>
      </c>
      <c r="DQ22" s="244">
        <v>41968.144444444399</v>
      </c>
      <c r="DR22" s="244"/>
      <c r="DS22" s="244">
        <v>41961</v>
      </c>
      <c r="DT22" s="244"/>
      <c r="DU22" s="244"/>
      <c r="DV22" s="244"/>
      <c r="DW22" s="244"/>
      <c r="DX22" s="244"/>
      <c r="DY22" s="244">
        <v>41991</v>
      </c>
      <c r="DZ22" s="244"/>
      <c r="EA22" s="244"/>
      <c r="EB22" s="244"/>
      <c r="EC22" s="244"/>
      <c r="ED22" s="244"/>
      <c r="EE22" s="244"/>
      <c r="EF22" s="244"/>
      <c r="EG22" s="244"/>
      <c r="EH22" s="244"/>
      <c r="EI22" s="244"/>
      <c r="EJ22" s="244"/>
      <c r="EK22" s="244"/>
      <c r="EL22" s="244"/>
      <c r="EM22" s="244"/>
      <c r="EN22" s="244"/>
      <c r="EO22" s="244"/>
      <c r="EP22" s="244"/>
      <c r="EQ22" s="244"/>
      <c r="ER22" s="244"/>
      <c r="ES22" s="244"/>
      <c r="ET22" s="244"/>
      <c r="EU22" s="244"/>
      <c r="EV22" s="244">
        <v>42083</v>
      </c>
    </row>
    <row r="23" spans="1:152">
      <c r="A23" s="270" t="s">
        <v>173</v>
      </c>
      <c r="B23" s="244"/>
      <c r="C23" s="244"/>
      <c r="D23" s="244"/>
      <c r="E23" s="244"/>
      <c r="F23" s="244"/>
      <c r="G23" s="244"/>
      <c r="H23" s="244"/>
      <c r="I23" s="244"/>
      <c r="J23" s="244"/>
      <c r="K23" s="244"/>
      <c r="L23" s="244"/>
      <c r="M23" s="244"/>
      <c r="N23" s="244"/>
      <c r="O23" s="244"/>
      <c r="P23" s="244"/>
      <c r="Q23" s="244"/>
      <c r="R23" s="244"/>
      <c r="S23" s="244"/>
      <c r="T23" s="244"/>
      <c r="U23" s="244"/>
      <c r="V23" s="244"/>
      <c r="W23" s="244"/>
      <c r="X23" s="244"/>
      <c r="Y23" s="244"/>
      <c r="Z23" s="244"/>
      <c r="AA23" s="244"/>
      <c r="AB23" s="244"/>
      <c r="AC23" s="244"/>
      <c r="AD23" s="244"/>
      <c r="AE23" s="244"/>
      <c r="AF23" s="244"/>
      <c r="AG23" s="244"/>
      <c r="AH23" s="244"/>
      <c r="AI23" s="244"/>
      <c r="AJ23" s="244"/>
      <c r="AK23" s="244"/>
      <c r="AL23" s="244"/>
      <c r="AM23" s="244"/>
      <c r="AN23" s="244"/>
      <c r="AO23" s="244"/>
      <c r="AP23" s="244"/>
      <c r="AQ23" s="244"/>
      <c r="AR23" s="244"/>
      <c r="AS23" s="244"/>
      <c r="AT23" s="244"/>
      <c r="AU23" s="244"/>
      <c r="AV23" s="244"/>
      <c r="AW23" s="244"/>
      <c r="AX23" s="244"/>
      <c r="AY23" s="244"/>
      <c r="AZ23" s="244"/>
      <c r="BA23" s="244"/>
      <c r="BB23" s="244"/>
      <c r="BC23" s="244"/>
      <c r="BD23" s="244"/>
      <c r="BE23" s="244"/>
      <c r="BF23" s="244"/>
      <c r="BG23" s="244"/>
      <c r="BH23" s="244"/>
      <c r="BI23" s="244"/>
      <c r="BJ23" s="244"/>
      <c r="BK23" s="244"/>
      <c r="BL23" s="244"/>
      <c r="BM23" s="244"/>
      <c r="BN23" s="244"/>
      <c r="BO23" s="244"/>
      <c r="BP23" s="244"/>
      <c r="BQ23" s="244"/>
      <c r="BR23" s="244"/>
      <c r="BS23" s="244"/>
      <c r="BT23" s="244"/>
      <c r="BU23" s="244"/>
      <c r="BV23" s="244"/>
      <c r="BW23" s="244"/>
      <c r="BX23" s="244"/>
      <c r="BY23" s="244"/>
      <c r="BZ23" s="244"/>
      <c r="CA23" s="244"/>
      <c r="CB23" s="244"/>
      <c r="CC23" s="244"/>
      <c r="CD23" s="244"/>
      <c r="CE23" s="244"/>
      <c r="CF23" s="244"/>
      <c r="CG23" s="244"/>
      <c r="CH23" s="244"/>
      <c r="CI23" s="244"/>
      <c r="CJ23" s="244"/>
      <c r="CK23" s="244"/>
      <c r="CL23" s="244"/>
      <c r="CM23" s="244"/>
      <c r="CN23" s="244"/>
      <c r="CO23" s="244"/>
      <c r="CP23" s="244"/>
      <c r="CQ23" s="244"/>
      <c r="CR23" s="244"/>
      <c r="CS23" s="244"/>
      <c r="CT23" s="244"/>
      <c r="CU23" s="244"/>
      <c r="CV23" s="244"/>
      <c r="CW23" s="244"/>
      <c r="CX23" s="244"/>
      <c r="CY23" s="244"/>
      <c r="CZ23" s="244"/>
      <c r="DA23" s="244"/>
      <c r="DB23" s="244"/>
      <c r="DC23" s="244"/>
      <c r="DD23" s="244"/>
      <c r="DE23" s="244"/>
      <c r="DF23" s="244"/>
      <c r="DG23" s="244"/>
      <c r="DH23" s="244"/>
      <c r="DI23" s="244"/>
      <c r="DJ23" s="244"/>
      <c r="DK23" s="244"/>
      <c r="DL23" s="244"/>
      <c r="DM23" s="244"/>
      <c r="DN23" s="244"/>
      <c r="DO23" s="244"/>
      <c r="DP23" s="244"/>
      <c r="DQ23" s="244"/>
      <c r="DR23" s="244"/>
      <c r="DS23" s="244"/>
      <c r="DT23" s="244"/>
      <c r="DU23" s="244"/>
      <c r="DV23" s="244"/>
      <c r="DW23" s="244">
        <v>42107.628472222197</v>
      </c>
      <c r="DX23" s="244"/>
      <c r="DY23" s="244"/>
      <c r="DZ23" s="244"/>
      <c r="EA23" s="244"/>
      <c r="EB23" s="244">
        <v>42102.586111111101</v>
      </c>
      <c r="EC23" s="244">
        <v>42104.967361111099</v>
      </c>
      <c r="ED23" s="244">
        <v>42104</v>
      </c>
      <c r="EE23" s="244">
        <v>42026</v>
      </c>
      <c r="EF23" s="244">
        <v>42026</v>
      </c>
      <c r="EG23" s="244">
        <v>42109</v>
      </c>
      <c r="EH23" s="244"/>
      <c r="EI23" s="244"/>
      <c r="EJ23" s="244"/>
      <c r="EK23" s="244"/>
      <c r="EL23" s="244">
        <v>41781</v>
      </c>
      <c r="EM23" s="244">
        <v>41781</v>
      </c>
      <c r="EN23" s="244">
        <v>41781</v>
      </c>
      <c r="EO23" s="244">
        <v>41781</v>
      </c>
      <c r="EP23" s="244">
        <v>41781</v>
      </c>
      <c r="EQ23" s="244"/>
      <c r="ER23" s="244"/>
      <c r="ES23" s="244"/>
      <c r="ET23" s="244"/>
      <c r="EU23" s="244"/>
      <c r="EV23" s="244">
        <v>42109</v>
      </c>
    </row>
    <row r="24" spans="1:152">
      <c r="A24" s="269" t="s">
        <v>163</v>
      </c>
      <c r="B24" s="244"/>
      <c r="C24" s="244"/>
      <c r="D24" s="244"/>
      <c r="E24" s="244">
        <v>42102.525000000001</v>
      </c>
      <c r="F24" s="244">
        <v>42103.709027777797</v>
      </c>
      <c r="G24" s="244"/>
      <c r="H24" s="244">
        <v>42103.479166666701</v>
      </c>
      <c r="I24" s="244"/>
      <c r="J24" s="244"/>
      <c r="K24" s="244">
        <v>42060.522916666698</v>
      </c>
      <c r="L24" s="244">
        <v>42060.529166666704</v>
      </c>
      <c r="M24" s="244">
        <v>42060.529861111099</v>
      </c>
      <c r="N24" s="244"/>
      <c r="O24" s="244"/>
      <c r="P24" s="244">
        <v>42106.632638888899</v>
      </c>
      <c r="Q24" s="244">
        <v>42046.635416666701</v>
      </c>
      <c r="R24" s="244">
        <v>42087.676388888904</v>
      </c>
      <c r="S24" s="244">
        <v>42098</v>
      </c>
      <c r="T24" s="244"/>
      <c r="U24" s="244"/>
      <c r="V24" s="244">
        <v>41942</v>
      </c>
      <c r="W24" s="244"/>
      <c r="X24" s="244">
        <v>41942</v>
      </c>
      <c r="Y24" s="244"/>
      <c r="Z24" s="244"/>
      <c r="AA24" s="244">
        <v>42062.556250000001</v>
      </c>
      <c r="AB24" s="244"/>
      <c r="AC24" s="244">
        <v>42060.530555555597</v>
      </c>
      <c r="AD24" s="244"/>
      <c r="AE24" s="244"/>
      <c r="AF24" s="244"/>
      <c r="AG24" s="244">
        <v>41759</v>
      </c>
      <c r="AH24" s="244">
        <v>41809.729861111096</v>
      </c>
      <c r="AI24" s="244"/>
      <c r="AJ24" s="244"/>
      <c r="AK24" s="244">
        <v>41759</v>
      </c>
      <c r="AL24" s="244">
        <v>41759</v>
      </c>
      <c r="AM24" s="244">
        <v>42029</v>
      </c>
      <c r="AN24" s="244"/>
      <c r="AO24" s="244"/>
      <c r="AP24" s="244">
        <v>42053.390972222202</v>
      </c>
      <c r="AQ24" s="244">
        <v>42053.394444444399</v>
      </c>
      <c r="AR24" s="244"/>
      <c r="AS24" s="244"/>
      <c r="AT24" s="244"/>
      <c r="AU24" s="244"/>
      <c r="AV24" s="244"/>
      <c r="AW24" s="244"/>
      <c r="AX24" s="244"/>
      <c r="AY24" s="244"/>
      <c r="AZ24" s="244"/>
      <c r="BA24" s="244"/>
      <c r="BB24" s="244"/>
      <c r="BC24" s="244"/>
      <c r="BD24" s="244">
        <v>42078</v>
      </c>
      <c r="BE24" s="244">
        <v>42020</v>
      </c>
      <c r="BF24" s="244">
        <v>42074.422916666699</v>
      </c>
      <c r="BG24" s="244">
        <v>41746.654861111099</v>
      </c>
      <c r="BH24" s="244">
        <v>41814.210416666698</v>
      </c>
      <c r="BI24" s="244">
        <v>41746.653472222199</v>
      </c>
      <c r="BJ24" s="244">
        <v>41746</v>
      </c>
      <c r="BK24" s="244">
        <v>41973</v>
      </c>
      <c r="BL24" s="244">
        <v>41746</v>
      </c>
      <c r="BM24" s="244">
        <v>41809.627083333296</v>
      </c>
      <c r="BN24" s="244">
        <v>42027.535416666702</v>
      </c>
      <c r="BO24" s="244">
        <v>41928</v>
      </c>
      <c r="BP24" s="244">
        <v>41928</v>
      </c>
      <c r="BQ24" s="244"/>
      <c r="BR24" s="244">
        <v>41913</v>
      </c>
      <c r="BS24" s="244">
        <v>41495</v>
      </c>
      <c r="BT24" s="244"/>
      <c r="BU24" s="244"/>
      <c r="BV24" s="244"/>
      <c r="BW24" s="244"/>
      <c r="BX24" s="244"/>
      <c r="BY24" s="244"/>
      <c r="BZ24" s="244">
        <v>41759</v>
      </c>
      <c r="CA24" s="244">
        <v>41091</v>
      </c>
      <c r="CB24" s="244">
        <v>41091</v>
      </c>
      <c r="CC24" s="244">
        <v>41091</v>
      </c>
      <c r="CD24" s="244">
        <v>41091</v>
      </c>
      <c r="CE24" s="244">
        <v>41091</v>
      </c>
      <c r="CF24" s="244">
        <v>39873</v>
      </c>
      <c r="CG24" s="244">
        <v>39203</v>
      </c>
      <c r="CH24" s="244">
        <v>42109</v>
      </c>
      <c r="CI24" s="244">
        <v>39203</v>
      </c>
      <c r="CJ24" s="244">
        <v>39600</v>
      </c>
      <c r="CK24" s="244">
        <v>39600</v>
      </c>
      <c r="CL24" s="244">
        <v>39600</v>
      </c>
      <c r="CM24" s="244">
        <v>39264</v>
      </c>
      <c r="CN24" s="244">
        <v>39203</v>
      </c>
      <c r="CO24" s="244">
        <v>40885</v>
      </c>
      <c r="CP24" s="244">
        <v>41122</v>
      </c>
      <c r="CQ24" s="244">
        <v>41122</v>
      </c>
      <c r="CR24" s="244">
        <v>41122</v>
      </c>
      <c r="CS24" s="244">
        <v>41275</v>
      </c>
      <c r="CT24" s="244">
        <v>41275</v>
      </c>
      <c r="CU24" s="244">
        <v>40660</v>
      </c>
      <c r="CV24" s="244">
        <v>38412</v>
      </c>
      <c r="CW24" s="244"/>
      <c r="CX24" s="244"/>
      <c r="CY24" s="244"/>
      <c r="CZ24" s="244"/>
      <c r="DA24" s="244"/>
      <c r="DB24" s="244">
        <v>41702</v>
      </c>
      <c r="DC24" s="244">
        <v>41275</v>
      </c>
      <c r="DD24" s="244">
        <v>41275</v>
      </c>
      <c r="DE24" s="244">
        <v>41759</v>
      </c>
      <c r="DF24" s="244"/>
      <c r="DG24" s="244">
        <v>42089.53125</v>
      </c>
      <c r="DH24" s="244">
        <v>42104.342361111099</v>
      </c>
      <c r="DI24" s="244"/>
      <c r="DJ24" s="244">
        <v>42103.4777777778</v>
      </c>
      <c r="DK24" s="244"/>
      <c r="DL24" s="244"/>
      <c r="DM24" s="244"/>
      <c r="DN24" s="244"/>
      <c r="DO24" s="244"/>
      <c r="DP24" s="244">
        <v>42098.461111111101</v>
      </c>
      <c r="DQ24" s="244">
        <v>42078.435416666704</v>
      </c>
      <c r="DR24" s="244"/>
      <c r="DS24" s="244">
        <v>41939</v>
      </c>
      <c r="DT24" s="244">
        <v>41942</v>
      </c>
      <c r="DU24" s="244"/>
      <c r="DV24" s="244"/>
      <c r="DW24" s="244">
        <v>42110.458333333299</v>
      </c>
      <c r="DX24" s="244"/>
      <c r="DY24" s="244">
        <v>42083.434027777803</v>
      </c>
      <c r="DZ24" s="244"/>
      <c r="EA24" s="244"/>
      <c r="EB24" s="244">
        <v>42087.497222222199</v>
      </c>
      <c r="EC24" s="244">
        <v>42108.103472222203</v>
      </c>
      <c r="ED24" s="244">
        <v>42097.750694444403</v>
      </c>
      <c r="EE24" s="244">
        <v>42076.407638888901</v>
      </c>
      <c r="EF24" s="244">
        <v>42077.427083333299</v>
      </c>
      <c r="EG24" s="244">
        <v>42102.743055555598</v>
      </c>
      <c r="EH24" s="244"/>
      <c r="EI24" s="244"/>
      <c r="EJ24" s="244"/>
      <c r="EK24" s="244"/>
      <c r="EL24" s="244">
        <v>41759</v>
      </c>
      <c r="EM24" s="244">
        <v>41759</v>
      </c>
      <c r="EN24" s="244">
        <v>41759</v>
      </c>
      <c r="EO24" s="244">
        <v>41759</v>
      </c>
      <c r="EP24" s="244">
        <v>41759</v>
      </c>
      <c r="EQ24" s="244"/>
      <c r="ER24" s="244"/>
      <c r="ES24" s="244"/>
      <c r="ET24" s="244"/>
      <c r="EU24" s="244">
        <v>42062</v>
      </c>
      <c r="EV24" s="244">
        <v>42110.458333333299</v>
      </c>
    </row>
    <row r="25" spans="1:152">
      <c r="A25" s="270" t="s">
        <v>87</v>
      </c>
      <c r="B25" s="244"/>
      <c r="C25" s="244"/>
      <c r="D25" s="244"/>
      <c r="E25" s="244">
        <v>42102.525000000001</v>
      </c>
      <c r="F25" s="244">
        <v>42103.709027777797</v>
      </c>
      <c r="G25" s="244"/>
      <c r="H25" s="244">
        <v>42103.479166666701</v>
      </c>
      <c r="I25" s="244"/>
      <c r="J25" s="244"/>
      <c r="K25" s="244">
        <v>42060.522916666698</v>
      </c>
      <c r="L25" s="244">
        <v>42060.529166666704</v>
      </c>
      <c r="M25" s="244">
        <v>42060.529861111099</v>
      </c>
      <c r="N25" s="244"/>
      <c r="O25" s="244"/>
      <c r="P25" s="244">
        <v>42106.632638888899</v>
      </c>
      <c r="Q25" s="244">
        <v>42046.635416666701</v>
      </c>
      <c r="R25" s="244">
        <v>42087.676388888904</v>
      </c>
      <c r="S25" s="244">
        <v>42098</v>
      </c>
      <c r="T25" s="244"/>
      <c r="U25" s="244"/>
      <c r="V25" s="244"/>
      <c r="W25" s="244"/>
      <c r="X25" s="244"/>
      <c r="Y25" s="244"/>
      <c r="Z25" s="244"/>
      <c r="AA25" s="244">
        <v>42062.556250000001</v>
      </c>
      <c r="AB25" s="244"/>
      <c r="AC25" s="244">
        <v>42060.530555555597</v>
      </c>
      <c r="AD25" s="244"/>
      <c r="AE25" s="244"/>
      <c r="AF25" s="244"/>
      <c r="AG25" s="244"/>
      <c r="AH25" s="244">
        <v>41809.729861111096</v>
      </c>
      <c r="AI25" s="244"/>
      <c r="AJ25" s="244"/>
      <c r="AK25" s="244"/>
      <c r="AL25" s="244"/>
      <c r="AM25" s="244"/>
      <c r="AN25" s="244"/>
      <c r="AO25" s="244"/>
      <c r="AP25" s="244">
        <v>42053.390972222202</v>
      </c>
      <c r="AQ25" s="244">
        <v>42053.394444444399</v>
      </c>
      <c r="AR25" s="244"/>
      <c r="AS25" s="244"/>
      <c r="AT25" s="244"/>
      <c r="AU25" s="244"/>
      <c r="AV25" s="244"/>
      <c r="AW25" s="244"/>
      <c r="AX25" s="244"/>
      <c r="AY25" s="244"/>
      <c r="AZ25" s="244"/>
      <c r="BA25" s="244"/>
      <c r="BB25" s="244"/>
      <c r="BC25" s="244"/>
      <c r="BD25" s="244">
        <v>42078</v>
      </c>
      <c r="BE25" s="244">
        <v>42020</v>
      </c>
      <c r="BF25" s="244">
        <v>42074.422916666699</v>
      </c>
      <c r="BG25" s="244">
        <v>41746.654861111099</v>
      </c>
      <c r="BH25" s="244">
        <v>41814.210416666698</v>
      </c>
      <c r="BI25" s="244">
        <v>41746.653472222199</v>
      </c>
      <c r="BJ25" s="244">
        <v>41746</v>
      </c>
      <c r="BK25" s="244">
        <v>41973</v>
      </c>
      <c r="BL25" s="244">
        <v>41746</v>
      </c>
      <c r="BM25" s="244">
        <v>41809.627083333296</v>
      </c>
      <c r="BN25" s="244">
        <v>42027.535416666702</v>
      </c>
      <c r="BO25" s="244">
        <v>41928</v>
      </c>
      <c r="BP25" s="244">
        <v>41928</v>
      </c>
      <c r="BQ25" s="244"/>
      <c r="BR25" s="244">
        <v>41913</v>
      </c>
      <c r="BS25" s="244">
        <v>41495</v>
      </c>
      <c r="BT25" s="244"/>
      <c r="BU25" s="244"/>
      <c r="BV25" s="244"/>
      <c r="BW25" s="244"/>
      <c r="BX25" s="244"/>
      <c r="BY25" s="244"/>
      <c r="BZ25" s="244">
        <v>41759</v>
      </c>
      <c r="CA25" s="244">
        <v>41091</v>
      </c>
      <c r="CB25" s="244">
        <v>41091</v>
      </c>
      <c r="CC25" s="244">
        <v>41091</v>
      </c>
      <c r="CD25" s="244">
        <v>41091</v>
      </c>
      <c r="CE25" s="244">
        <v>41091</v>
      </c>
      <c r="CF25" s="244">
        <v>39873</v>
      </c>
      <c r="CG25" s="244">
        <v>39203</v>
      </c>
      <c r="CH25" s="244">
        <v>42109</v>
      </c>
      <c r="CI25" s="244">
        <v>39203</v>
      </c>
      <c r="CJ25" s="244">
        <v>39600</v>
      </c>
      <c r="CK25" s="244">
        <v>39600</v>
      </c>
      <c r="CL25" s="244">
        <v>39600</v>
      </c>
      <c r="CM25" s="244">
        <v>39264</v>
      </c>
      <c r="CN25" s="244">
        <v>39203</v>
      </c>
      <c r="CO25" s="244">
        <v>40885</v>
      </c>
      <c r="CP25" s="244">
        <v>41122</v>
      </c>
      <c r="CQ25" s="244">
        <v>41122</v>
      </c>
      <c r="CR25" s="244">
        <v>41122</v>
      </c>
      <c r="CS25" s="244">
        <v>41275</v>
      </c>
      <c r="CT25" s="244">
        <v>41275</v>
      </c>
      <c r="CU25" s="244">
        <v>40660</v>
      </c>
      <c r="CV25" s="244">
        <v>38412</v>
      </c>
      <c r="CW25" s="244"/>
      <c r="CX25" s="244"/>
      <c r="CY25" s="244"/>
      <c r="CZ25" s="244"/>
      <c r="DA25" s="244"/>
      <c r="DB25" s="244">
        <v>41702</v>
      </c>
      <c r="DC25" s="244">
        <v>41275</v>
      </c>
      <c r="DD25" s="244">
        <v>41275</v>
      </c>
      <c r="DE25" s="244">
        <v>41759</v>
      </c>
      <c r="DF25" s="244"/>
      <c r="DG25" s="244">
        <v>42089.53125</v>
      </c>
      <c r="DH25" s="244">
        <v>42104.342361111099</v>
      </c>
      <c r="DI25" s="244"/>
      <c r="DJ25" s="244">
        <v>42103.4777777778</v>
      </c>
      <c r="DK25" s="244"/>
      <c r="DL25" s="244"/>
      <c r="DM25" s="244"/>
      <c r="DN25" s="244"/>
      <c r="DO25" s="244"/>
      <c r="DP25" s="244"/>
      <c r="DQ25" s="244"/>
      <c r="DR25" s="244"/>
      <c r="DS25" s="244"/>
      <c r="DT25" s="244"/>
      <c r="DU25" s="244"/>
      <c r="DV25" s="244"/>
      <c r="DW25" s="244"/>
      <c r="DX25" s="244"/>
      <c r="DY25" s="244"/>
      <c r="DZ25" s="244"/>
      <c r="EA25" s="244"/>
      <c r="EB25" s="244"/>
      <c r="EC25" s="244"/>
      <c r="ED25" s="244"/>
      <c r="EE25" s="244"/>
      <c r="EF25" s="244"/>
      <c r="EG25" s="244"/>
      <c r="EH25" s="244"/>
      <c r="EI25" s="244"/>
      <c r="EJ25" s="244"/>
      <c r="EK25" s="244"/>
      <c r="EL25" s="244"/>
      <c r="EM25" s="244"/>
      <c r="EN25" s="244"/>
      <c r="EO25" s="244"/>
      <c r="EP25" s="244"/>
      <c r="EQ25" s="244"/>
      <c r="ER25" s="244"/>
      <c r="ES25" s="244"/>
      <c r="ET25" s="244"/>
      <c r="EU25" s="244">
        <v>42062</v>
      </c>
      <c r="EV25" s="244">
        <v>42109</v>
      </c>
    </row>
    <row r="26" spans="1:152">
      <c r="A26" s="270" t="s">
        <v>172</v>
      </c>
      <c r="B26" s="244"/>
      <c r="C26" s="244"/>
      <c r="D26" s="244"/>
      <c r="E26" s="244"/>
      <c r="F26" s="244"/>
      <c r="G26" s="244"/>
      <c r="H26" s="244"/>
      <c r="I26" s="244"/>
      <c r="J26" s="244"/>
      <c r="K26" s="244"/>
      <c r="L26" s="244"/>
      <c r="M26" s="244"/>
      <c r="N26" s="244"/>
      <c r="O26" s="244"/>
      <c r="P26" s="244">
        <v>41991</v>
      </c>
      <c r="Q26" s="244"/>
      <c r="R26" s="244"/>
      <c r="S26" s="244"/>
      <c r="T26" s="244"/>
      <c r="U26" s="244"/>
      <c r="V26" s="244">
        <v>41942</v>
      </c>
      <c r="W26" s="244"/>
      <c r="X26" s="244">
        <v>41942</v>
      </c>
      <c r="Y26" s="244"/>
      <c r="Z26" s="244"/>
      <c r="AA26" s="244"/>
      <c r="AB26" s="244"/>
      <c r="AC26" s="244"/>
      <c r="AD26" s="244"/>
      <c r="AE26" s="244"/>
      <c r="AF26" s="244"/>
      <c r="AG26" s="244">
        <v>41759</v>
      </c>
      <c r="AH26" s="244"/>
      <c r="AI26" s="244"/>
      <c r="AJ26" s="244"/>
      <c r="AK26" s="244">
        <v>41759</v>
      </c>
      <c r="AL26" s="244">
        <v>41759</v>
      </c>
      <c r="AM26" s="244">
        <v>42029</v>
      </c>
      <c r="AN26" s="244"/>
      <c r="AO26" s="244"/>
      <c r="AP26" s="244"/>
      <c r="AQ26" s="244"/>
      <c r="AR26" s="244"/>
      <c r="AS26" s="244"/>
      <c r="AT26" s="244"/>
      <c r="AU26" s="244"/>
      <c r="AV26" s="244"/>
      <c r="AW26" s="244"/>
      <c r="AX26" s="244"/>
      <c r="AY26" s="244"/>
      <c r="AZ26" s="244"/>
      <c r="BA26" s="244"/>
      <c r="BB26" s="244"/>
      <c r="BC26" s="244"/>
      <c r="BD26" s="244"/>
      <c r="BE26" s="244"/>
      <c r="BF26" s="244"/>
      <c r="BG26" s="244"/>
      <c r="BH26" s="244"/>
      <c r="BI26" s="244"/>
      <c r="BJ26" s="244"/>
      <c r="BK26" s="244"/>
      <c r="BL26" s="244"/>
      <c r="BM26" s="244"/>
      <c r="BN26" s="244"/>
      <c r="BO26" s="244"/>
      <c r="BP26" s="244"/>
      <c r="BQ26" s="244"/>
      <c r="BR26" s="244"/>
      <c r="BS26" s="244"/>
      <c r="BT26" s="244"/>
      <c r="BU26" s="244"/>
      <c r="BV26" s="244"/>
      <c r="BW26" s="244"/>
      <c r="BX26" s="244"/>
      <c r="BY26" s="244"/>
      <c r="BZ26" s="244"/>
      <c r="CA26" s="244"/>
      <c r="CB26" s="244"/>
      <c r="CC26" s="244"/>
      <c r="CD26" s="244"/>
      <c r="CE26" s="244"/>
      <c r="CF26" s="244"/>
      <c r="CG26" s="244"/>
      <c r="CH26" s="244"/>
      <c r="CI26" s="244"/>
      <c r="CJ26" s="244"/>
      <c r="CK26" s="244"/>
      <c r="CL26" s="244"/>
      <c r="CM26" s="244"/>
      <c r="CN26" s="244"/>
      <c r="CO26" s="244"/>
      <c r="CP26" s="244"/>
      <c r="CQ26" s="244"/>
      <c r="CR26" s="244"/>
      <c r="CS26" s="244"/>
      <c r="CT26" s="244"/>
      <c r="CU26" s="244"/>
      <c r="CV26" s="244"/>
      <c r="CW26" s="244"/>
      <c r="CX26" s="244"/>
      <c r="CY26" s="244"/>
      <c r="CZ26" s="244"/>
      <c r="DA26" s="244"/>
      <c r="DB26" s="244"/>
      <c r="DC26" s="244"/>
      <c r="DD26" s="244"/>
      <c r="DE26" s="244"/>
      <c r="DF26" s="244"/>
      <c r="DG26" s="244"/>
      <c r="DH26" s="244"/>
      <c r="DI26" s="244"/>
      <c r="DJ26" s="244"/>
      <c r="DK26" s="244"/>
      <c r="DL26" s="244"/>
      <c r="DM26" s="244"/>
      <c r="DN26" s="244"/>
      <c r="DO26" s="244"/>
      <c r="DP26" s="244">
        <v>42098.461111111101</v>
      </c>
      <c r="DQ26" s="244">
        <v>42078.435416666704</v>
      </c>
      <c r="DR26" s="244"/>
      <c r="DS26" s="244">
        <v>41939</v>
      </c>
      <c r="DT26" s="244">
        <v>41942</v>
      </c>
      <c r="DU26" s="244"/>
      <c r="DV26" s="244"/>
      <c r="DW26" s="244"/>
      <c r="DX26" s="244"/>
      <c r="DY26" s="244">
        <v>42083.434027777803</v>
      </c>
      <c r="DZ26" s="244"/>
      <c r="EA26" s="244"/>
      <c r="EB26" s="244"/>
      <c r="EC26" s="244"/>
      <c r="ED26" s="244"/>
      <c r="EE26" s="244"/>
      <c r="EF26" s="244"/>
      <c r="EG26" s="244"/>
      <c r="EH26" s="244"/>
      <c r="EI26" s="244"/>
      <c r="EJ26" s="244"/>
      <c r="EK26" s="244"/>
      <c r="EL26" s="244"/>
      <c r="EM26" s="244"/>
      <c r="EN26" s="244"/>
      <c r="EO26" s="244"/>
      <c r="EP26" s="244"/>
      <c r="EQ26" s="244"/>
      <c r="ER26" s="244"/>
      <c r="ES26" s="244"/>
      <c r="ET26" s="244"/>
      <c r="EU26" s="244"/>
      <c r="EV26" s="244">
        <v>42098.461111111101</v>
      </c>
    </row>
    <row r="27" spans="1:152">
      <c r="A27" s="270" t="s">
        <v>173</v>
      </c>
      <c r="B27" s="244"/>
      <c r="C27" s="244"/>
      <c r="D27" s="244"/>
      <c r="E27" s="244"/>
      <c r="F27" s="244"/>
      <c r="G27" s="244"/>
      <c r="H27" s="244"/>
      <c r="I27" s="244"/>
      <c r="J27" s="244"/>
      <c r="K27" s="244"/>
      <c r="L27" s="244"/>
      <c r="M27" s="244"/>
      <c r="N27" s="244"/>
      <c r="O27" s="244"/>
      <c r="P27" s="244"/>
      <c r="Q27" s="244"/>
      <c r="R27" s="244"/>
      <c r="S27" s="244"/>
      <c r="T27" s="244"/>
      <c r="U27" s="244"/>
      <c r="V27" s="244"/>
      <c r="W27" s="244"/>
      <c r="X27" s="244"/>
      <c r="Y27" s="244"/>
      <c r="Z27" s="244"/>
      <c r="AA27" s="244"/>
      <c r="AB27" s="244"/>
      <c r="AC27" s="244"/>
      <c r="AD27" s="244"/>
      <c r="AE27" s="244"/>
      <c r="AF27" s="244"/>
      <c r="AG27" s="244"/>
      <c r="AH27" s="244"/>
      <c r="AI27" s="244"/>
      <c r="AJ27" s="244"/>
      <c r="AK27" s="244"/>
      <c r="AL27" s="244"/>
      <c r="AM27" s="244"/>
      <c r="AN27" s="244"/>
      <c r="AO27" s="244"/>
      <c r="AP27" s="244"/>
      <c r="AQ27" s="244"/>
      <c r="AR27" s="244"/>
      <c r="AS27" s="244"/>
      <c r="AT27" s="244"/>
      <c r="AU27" s="244"/>
      <c r="AV27" s="244"/>
      <c r="AW27" s="244"/>
      <c r="AX27" s="244"/>
      <c r="AY27" s="244"/>
      <c r="AZ27" s="244"/>
      <c r="BA27" s="244"/>
      <c r="BB27" s="244"/>
      <c r="BC27" s="244"/>
      <c r="BD27" s="244"/>
      <c r="BE27" s="244"/>
      <c r="BF27" s="244"/>
      <c r="BG27" s="244"/>
      <c r="BH27" s="244"/>
      <c r="BI27" s="244"/>
      <c r="BJ27" s="244"/>
      <c r="BK27" s="244"/>
      <c r="BL27" s="244"/>
      <c r="BM27" s="244"/>
      <c r="BN27" s="244"/>
      <c r="BO27" s="244"/>
      <c r="BP27" s="244"/>
      <c r="BQ27" s="244"/>
      <c r="BR27" s="244"/>
      <c r="BS27" s="244"/>
      <c r="BT27" s="244"/>
      <c r="BU27" s="244"/>
      <c r="BV27" s="244"/>
      <c r="BW27" s="244"/>
      <c r="BX27" s="244"/>
      <c r="BY27" s="244"/>
      <c r="BZ27" s="244"/>
      <c r="CA27" s="244"/>
      <c r="CB27" s="244"/>
      <c r="CC27" s="244"/>
      <c r="CD27" s="244"/>
      <c r="CE27" s="244"/>
      <c r="CF27" s="244"/>
      <c r="CG27" s="244"/>
      <c r="CH27" s="244"/>
      <c r="CI27" s="244"/>
      <c r="CJ27" s="244"/>
      <c r="CK27" s="244"/>
      <c r="CL27" s="244"/>
      <c r="CM27" s="244"/>
      <c r="CN27" s="244"/>
      <c r="CO27" s="244"/>
      <c r="CP27" s="244"/>
      <c r="CQ27" s="244"/>
      <c r="CR27" s="244"/>
      <c r="CS27" s="244"/>
      <c r="CT27" s="244"/>
      <c r="CU27" s="244"/>
      <c r="CV27" s="244"/>
      <c r="CW27" s="244"/>
      <c r="CX27" s="244"/>
      <c r="CY27" s="244"/>
      <c r="CZ27" s="244"/>
      <c r="DA27" s="244"/>
      <c r="DB27" s="244"/>
      <c r="DC27" s="244"/>
      <c r="DD27" s="244"/>
      <c r="DE27" s="244"/>
      <c r="DF27" s="244"/>
      <c r="DG27" s="244"/>
      <c r="DH27" s="244"/>
      <c r="DI27" s="244"/>
      <c r="DJ27" s="244"/>
      <c r="DK27" s="244"/>
      <c r="DL27" s="244"/>
      <c r="DM27" s="244"/>
      <c r="DN27" s="244"/>
      <c r="DO27" s="244"/>
      <c r="DP27" s="244"/>
      <c r="DQ27" s="244"/>
      <c r="DR27" s="244"/>
      <c r="DS27" s="244"/>
      <c r="DT27" s="244"/>
      <c r="DU27" s="244"/>
      <c r="DV27" s="244"/>
      <c r="DW27" s="244">
        <v>42110.458333333299</v>
      </c>
      <c r="DX27" s="244"/>
      <c r="DY27" s="244"/>
      <c r="DZ27" s="244"/>
      <c r="EA27" s="244"/>
      <c r="EB27" s="244">
        <v>42087.497222222199</v>
      </c>
      <c r="EC27" s="244">
        <v>42108.103472222203</v>
      </c>
      <c r="ED27" s="244">
        <v>42097.750694444403</v>
      </c>
      <c r="EE27" s="244">
        <v>42076.407638888901</v>
      </c>
      <c r="EF27" s="244">
        <v>42077.427083333299</v>
      </c>
      <c r="EG27" s="244">
        <v>42102.743055555598</v>
      </c>
      <c r="EH27" s="244"/>
      <c r="EI27" s="244"/>
      <c r="EJ27" s="244"/>
      <c r="EK27" s="244"/>
      <c r="EL27" s="244">
        <v>41759</v>
      </c>
      <c r="EM27" s="244">
        <v>41759</v>
      </c>
      <c r="EN27" s="244">
        <v>41759</v>
      </c>
      <c r="EO27" s="244">
        <v>41759</v>
      </c>
      <c r="EP27" s="244">
        <v>41759</v>
      </c>
      <c r="EQ27" s="244"/>
      <c r="ER27" s="244"/>
      <c r="ES27" s="244"/>
      <c r="ET27" s="244"/>
      <c r="EU27" s="244"/>
      <c r="EV27" s="244">
        <v>42110.458333333299</v>
      </c>
    </row>
    <row r="28" spans="1:152">
      <c r="A28" s="269" t="s">
        <v>166</v>
      </c>
      <c r="B28" s="244"/>
      <c r="C28" s="244"/>
      <c r="D28" s="244"/>
      <c r="E28" s="244"/>
      <c r="F28" s="244">
        <v>42109.731249999997</v>
      </c>
      <c r="G28" s="244"/>
      <c r="H28" s="244">
        <v>42109.720833333296</v>
      </c>
      <c r="I28" s="244"/>
      <c r="J28" s="244"/>
      <c r="K28" s="244">
        <v>42060</v>
      </c>
      <c r="L28" s="244">
        <v>42060</v>
      </c>
      <c r="M28" s="244"/>
      <c r="N28" s="244"/>
      <c r="O28" s="244"/>
      <c r="P28" s="244">
        <v>42108.697916666701</v>
      </c>
      <c r="Q28" s="244">
        <v>42047.651388888902</v>
      </c>
      <c r="R28" s="244">
        <v>42105.454861111102</v>
      </c>
      <c r="S28" s="244">
        <v>42046.445138888899</v>
      </c>
      <c r="T28" s="244"/>
      <c r="U28" s="244"/>
      <c r="V28" s="244">
        <v>42005.383333333302</v>
      </c>
      <c r="W28" s="244"/>
      <c r="X28" s="244">
        <v>42005.383333333302</v>
      </c>
      <c r="Y28" s="244"/>
      <c r="Z28" s="244"/>
      <c r="AA28" s="244">
        <v>42072.418749999997</v>
      </c>
      <c r="AB28" s="244"/>
      <c r="AC28" s="244">
        <v>42074</v>
      </c>
      <c r="AD28" s="244"/>
      <c r="AE28" s="244"/>
      <c r="AF28" s="244"/>
      <c r="AG28" s="244">
        <v>42002</v>
      </c>
      <c r="AH28" s="244">
        <v>41825</v>
      </c>
      <c r="AI28" s="244"/>
      <c r="AJ28" s="244"/>
      <c r="AK28" s="244"/>
      <c r="AL28" s="244"/>
      <c r="AM28" s="244">
        <v>42046.4375</v>
      </c>
      <c r="AN28" s="244"/>
      <c r="AO28" s="244"/>
      <c r="AP28" s="244">
        <v>41872</v>
      </c>
      <c r="AQ28" s="244">
        <v>41872.781944444403</v>
      </c>
      <c r="AR28" s="244"/>
      <c r="AS28" s="244"/>
      <c r="AT28" s="244"/>
      <c r="AU28" s="244"/>
      <c r="AV28" s="244"/>
      <c r="AW28" s="244"/>
      <c r="AX28" s="244"/>
      <c r="AY28" s="244"/>
      <c r="AZ28" s="244">
        <v>41865</v>
      </c>
      <c r="BA28" s="244">
        <v>41865</v>
      </c>
      <c r="BB28" s="244"/>
      <c r="BC28" s="244"/>
      <c r="BD28" s="244">
        <v>42065</v>
      </c>
      <c r="BE28" s="244">
        <v>42089.597916666702</v>
      </c>
      <c r="BF28" s="244">
        <v>41912</v>
      </c>
      <c r="BG28" s="244">
        <v>42059.585416666698</v>
      </c>
      <c r="BH28" s="244">
        <v>41776</v>
      </c>
      <c r="BI28" s="244">
        <v>42059.582638888904</v>
      </c>
      <c r="BJ28" s="244">
        <v>42059.584027777797</v>
      </c>
      <c r="BK28" s="244">
        <v>41805.629861111098</v>
      </c>
      <c r="BL28" s="244">
        <v>42059.586805555598</v>
      </c>
      <c r="BM28" s="244">
        <v>41908</v>
      </c>
      <c r="BN28" s="244">
        <v>41775.323611111096</v>
      </c>
      <c r="BO28" s="244">
        <v>42115.5756944444</v>
      </c>
      <c r="BP28" s="244">
        <v>42115.577777777798</v>
      </c>
      <c r="BQ28" s="244"/>
      <c r="BR28" s="244"/>
      <c r="BS28" s="244">
        <v>41775</v>
      </c>
      <c r="BT28" s="244">
        <v>41793</v>
      </c>
      <c r="BU28" s="244">
        <v>41793</v>
      </c>
      <c r="BV28" s="244">
        <v>41793</v>
      </c>
      <c r="BW28" s="244">
        <v>41793</v>
      </c>
      <c r="BX28" s="244">
        <v>41793</v>
      </c>
      <c r="BY28" s="244">
        <v>41793</v>
      </c>
      <c r="BZ28" s="244">
        <v>41793</v>
      </c>
      <c r="CA28" s="244">
        <v>41793</v>
      </c>
      <c r="CB28" s="244">
        <v>39508</v>
      </c>
      <c r="CC28" s="244">
        <v>40522</v>
      </c>
      <c r="CD28" s="244">
        <v>40522</v>
      </c>
      <c r="CE28" s="244">
        <v>40522</v>
      </c>
      <c r="CF28" s="244">
        <v>39507</v>
      </c>
      <c r="CG28" s="244">
        <v>39172</v>
      </c>
      <c r="CH28" s="244">
        <v>39507</v>
      </c>
      <c r="CI28" s="244">
        <v>39507</v>
      </c>
      <c r="CJ28" s="244">
        <v>39113</v>
      </c>
      <c r="CK28" s="244">
        <v>39507</v>
      </c>
      <c r="CL28" s="244">
        <v>39478</v>
      </c>
      <c r="CM28" s="244">
        <v>39507</v>
      </c>
      <c r="CN28" s="244">
        <v>41081</v>
      </c>
      <c r="CO28" s="244">
        <v>40522</v>
      </c>
      <c r="CP28" s="244">
        <v>40452</v>
      </c>
      <c r="CQ28" s="244">
        <v>40452</v>
      </c>
      <c r="CR28" s="244">
        <v>40480</v>
      </c>
      <c r="CS28" s="244">
        <v>40522</v>
      </c>
      <c r="CT28" s="244">
        <v>40522</v>
      </c>
      <c r="CU28" s="244">
        <v>40522</v>
      </c>
      <c r="CV28" s="244">
        <v>40522</v>
      </c>
      <c r="CW28" s="244"/>
      <c r="CX28" s="244"/>
      <c r="CY28" s="244"/>
      <c r="CZ28" s="244"/>
      <c r="DA28" s="244"/>
      <c r="DB28" s="244">
        <v>41908</v>
      </c>
      <c r="DC28" s="244">
        <v>40522</v>
      </c>
      <c r="DD28" s="244">
        <v>40522</v>
      </c>
      <c r="DE28" s="244">
        <v>40522</v>
      </c>
      <c r="DF28" s="244"/>
      <c r="DG28" s="244">
        <v>42073.449305555601</v>
      </c>
      <c r="DH28" s="244">
        <v>42111.559722222199</v>
      </c>
      <c r="DI28" s="244"/>
      <c r="DJ28" s="244">
        <v>42109.714583333298</v>
      </c>
      <c r="DK28" s="244"/>
      <c r="DL28" s="244"/>
      <c r="DM28" s="244"/>
      <c r="DN28" s="244"/>
      <c r="DO28" s="244"/>
      <c r="DP28" s="244"/>
      <c r="DQ28" s="244"/>
      <c r="DR28" s="244"/>
      <c r="DS28" s="244">
        <v>41994.352083333302</v>
      </c>
      <c r="DT28" s="244"/>
      <c r="DU28" s="244"/>
      <c r="DV28" s="244"/>
      <c r="DW28" s="244">
        <v>42095.730555555601</v>
      </c>
      <c r="DX28" s="244">
        <v>42108.416666666701</v>
      </c>
      <c r="DY28" s="244"/>
      <c r="DZ28" s="244"/>
      <c r="EA28" s="244"/>
      <c r="EB28" s="244"/>
      <c r="EC28" s="244">
        <v>42102.728472222203</v>
      </c>
      <c r="ED28" s="244">
        <v>41973</v>
      </c>
      <c r="EE28" s="244">
        <v>42046.411805555603</v>
      </c>
      <c r="EF28" s="244">
        <v>42046.412499999999</v>
      </c>
      <c r="EG28" s="244">
        <v>41908.413888888899</v>
      </c>
      <c r="EH28" s="244"/>
      <c r="EI28" s="244"/>
      <c r="EJ28" s="244"/>
      <c r="EK28" s="244"/>
      <c r="EL28" s="244"/>
      <c r="EM28" s="244"/>
      <c r="EN28" s="244"/>
      <c r="EO28" s="244"/>
      <c r="EP28" s="244"/>
      <c r="EQ28" s="244"/>
      <c r="ER28" s="244"/>
      <c r="ES28" s="244"/>
      <c r="ET28" s="244"/>
      <c r="EU28" s="244">
        <v>42072</v>
      </c>
      <c r="EV28" s="244">
        <v>42115.577777777798</v>
      </c>
    </row>
    <row r="29" spans="1:152">
      <c r="A29" s="270" t="s">
        <v>87</v>
      </c>
      <c r="B29" s="244"/>
      <c r="C29" s="244"/>
      <c r="D29" s="244"/>
      <c r="E29" s="244"/>
      <c r="F29" s="244">
        <v>42109.731249999997</v>
      </c>
      <c r="G29" s="244"/>
      <c r="H29" s="244">
        <v>42109.720833333296</v>
      </c>
      <c r="I29" s="244"/>
      <c r="J29" s="244"/>
      <c r="K29" s="244">
        <v>42060</v>
      </c>
      <c r="L29" s="244">
        <v>42060</v>
      </c>
      <c r="M29" s="244"/>
      <c r="N29" s="244"/>
      <c r="O29" s="244"/>
      <c r="P29" s="244">
        <v>42108.697916666701</v>
      </c>
      <c r="Q29" s="244">
        <v>42047.651388888902</v>
      </c>
      <c r="R29" s="244">
        <v>42105.454861111102</v>
      </c>
      <c r="S29" s="244">
        <v>42046.445138888899</v>
      </c>
      <c r="T29" s="244"/>
      <c r="U29" s="244"/>
      <c r="V29" s="244"/>
      <c r="W29" s="244"/>
      <c r="X29" s="244"/>
      <c r="Y29" s="244"/>
      <c r="Z29" s="244"/>
      <c r="AA29" s="244">
        <v>42072.418749999997</v>
      </c>
      <c r="AB29" s="244"/>
      <c r="AC29" s="244">
        <v>42074</v>
      </c>
      <c r="AD29" s="244"/>
      <c r="AE29" s="244"/>
      <c r="AF29" s="244"/>
      <c r="AG29" s="244"/>
      <c r="AH29" s="244">
        <v>41825</v>
      </c>
      <c r="AI29" s="244"/>
      <c r="AJ29" s="244"/>
      <c r="AK29" s="244"/>
      <c r="AL29" s="244"/>
      <c r="AM29" s="244"/>
      <c r="AN29" s="244"/>
      <c r="AO29" s="244"/>
      <c r="AP29" s="244">
        <v>41872</v>
      </c>
      <c r="AQ29" s="244">
        <v>41872.781944444403</v>
      </c>
      <c r="AR29" s="244"/>
      <c r="AS29" s="244"/>
      <c r="AT29" s="244"/>
      <c r="AU29" s="244"/>
      <c r="AV29" s="244"/>
      <c r="AW29" s="244"/>
      <c r="AX29" s="244"/>
      <c r="AY29" s="244"/>
      <c r="AZ29" s="244">
        <v>41865</v>
      </c>
      <c r="BA29" s="244">
        <v>41865</v>
      </c>
      <c r="BB29" s="244"/>
      <c r="BC29" s="244"/>
      <c r="BD29" s="244">
        <v>42065</v>
      </c>
      <c r="BE29" s="244">
        <v>42089.597916666702</v>
      </c>
      <c r="BF29" s="244">
        <v>41912</v>
      </c>
      <c r="BG29" s="244">
        <v>42059.585416666698</v>
      </c>
      <c r="BH29" s="244">
        <v>41776</v>
      </c>
      <c r="BI29" s="244">
        <v>42059.582638888904</v>
      </c>
      <c r="BJ29" s="244">
        <v>42059.584027777797</v>
      </c>
      <c r="BK29" s="244">
        <v>41805.629861111098</v>
      </c>
      <c r="BL29" s="244">
        <v>42059.586805555598</v>
      </c>
      <c r="BM29" s="244">
        <v>41908</v>
      </c>
      <c r="BN29" s="244">
        <v>41775.323611111096</v>
      </c>
      <c r="BO29" s="244">
        <v>42115.5756944444</v>
      </c>
      <c r="BP29" s="244">
        <v>42115.577777777798</v>
      </c>
      <c r="BQ29" s="244"/>
      <c r="BR29" s="244"/>
      <c r="BS29" s="244">
        <v>41775</v>
      </c>
      <c r="BT29" s="244">
        <v>41793</v>
      </c>
      <c r="BU29" s="244">
        <v>41793</v>
      </c>
      <c r="BV29" s="244">
        <v>41793</v>
      </c>
      <c r="BW29" s="244">
        <v>41793</v>
      </c>
      <c r="BX29" s="244">
        <v>41793</v>
      </c>
      <c r="BY29" s="244">
        <v>41793</v>
      </c>
      <c r="BZ29" s="244">
        <v>41793</v>
      </c>
      <c r="CA29" s="244">
        <v>41793</v>
      </c>
      <c r="CB29" s="244">
        <v>39508</v>
      </c>
      <c r="CC29" s="244">
        <v>40522</v>
      </c>
      <c r="CD29" s="244">
        <v>40522</v>
      </c>
      <c r="CE29" s="244">
        <v>40522</v>
      </c>
      <c r="CF29" s="244">
        <v>39507</v>
      </c>
      <c r="CG29" s="244">
        <v>39172</v>
      </c>
      <c r="CH29" s="244">
        <v>39507</v>
      </c>
      <c r="CI29" s="244">
        <v>39507</v>
      </c>
      <c r="CJ29" s="244">
        <v>39113</v>
      </c>
      <c r="CK29" s="244">
        <v>39507</v>
      </c>
      <c r="CL29" s="244">
        <v>39478</v>
      </c>
      <c r="CM29" s="244">
        <v>39507</v>
      </c>
      <c r="CN29" s="244">
        <v>41081</v>
      </c>
      <c r="CO29" s="244">
        <v>40522</v>
      </c>
      <c r="CP29" s="244">
        <v>40452</v>
      </c>
      <c r="CQ29" s="244">
        <v>40452</v>
      </c>
      <c r="CR29" s="244">
        <v>40480</v>
      </c>
      <c r="CS29" s="244">
        <v>40522</v>
      </c>
      <c r="CT29" s="244">
        <v>40522</v>
      </c>
      <c r="CU29" s="244">
        <v>40522</v>
      </c>
      <c r="CV29" s="244">
        <v>40522</v>
      </c>
      <c r="CW29" s="244"/>
      <c r="CX29" s="244"/>
      <c r="CY29" s="244"/>
      <c r="CZ29" s="244"/>
      <c r="DA29" s="244"/>
      <c r="DB29" s="244">
        <v>41908</v>
      </c>
      <c r="DC29" s="244">
        <v>40522</v>
      </c>
      <c r="DD29" s="244">
        <v>40522</v>
      </c>
      <c r="DE29" s="244">
        <v>40522</v>
      </c>
      <c r="DF29" s="244"/>
      <c r="DG29" s="244">
        <v>42073.449305555601</v>
      </c>
      <c r="DH29" s="244">
        <v>42111.559722222199</v>
      </c>
      <c r="DI29" s="244"/>
      <c r="DJ29" s="244">
        <v>42109.714583333298</v>
      </c>
      <c r="DK29" s="244"/>
      <c r="DL29" s="244"/>
      <c r="DM29" s="244"/>
      <c r="DN29" s="244"/>
      <c r="DO29" s="244"/>
      <c r="DP29" s="244"/>
      <c r="DQ29" s="244"/>
      <c r="DR29" s="244"/>
      <c r="DS29" s="244"/>
      <c r="DT29" s="244"/>
      <c r="DU29" s="244"/>
      <c r="DV29" s="244"/>
      <c r="DW29" s="244"/>
      <c r="DX29" s="244"/>
      <c r="DY29" s="244"/>
      <c r="DZ29" s="244"/>
      <c r="EA29" s="244"/>
      <c r="EB29" s="244"/>
      <c r="EC29" s="244"/>
      <c r="ED29" s="244"/>
      <c r="EE29" s="244"/>
      <c r="EF29" s="244"/>
      <c r="EG29" s="244"/>
      <c r="EH29" s="244"/>
      <c r="EI29" s="244"/>
      <c r="EJ29" s="244"/>
      <c r="EK29" s="244"/>
      <c r="EL29" s="244"/>
      <c r="EM29" s="244"/>
      <c r="EN29" s="244"/>
      <c r="EO29" s="244"/>
      <c r="EP29" s="244"/>
      <c r="EQ29" s="244"/>
      <c r="ER29" s="244"/>
      <c r="ES29" s="244"/>
      <c r="ET29" s="244"/>
      <c r="EU29" s="244">
        <v>42072</v>
      </c>
      <c r="EV29" s="244">
        <v>42115.577777777798</v>
      </c>
    </row>
    <row r="30" spans="1:152">
      <c r="A30" s="270" t="s">
        <v>172</v>
      </c>
      <c r="B30" s="244"/>
      <c r="C30" s="244"/>
      <c r="D30" s="244"/>
      <c r="E30" s="244"/>
      <c r="F30" s="244"/>
      <c r="G30" s="244"/>
      <c r="H30" s="244"/>
      <c r="I30" s="244"/>
      <c r="J30" s="244"/>
      <c r="K30" s="244"/>
      <c r="L30" s="244"/>
      <c r="M30" s="244"/>
      <c r="N30" s="244"/>
      <c r="O30" s="244"/>
      <c r="P30" s="244"/>
      <c r="Q30" s="244"/>
      <c r="R30" s="244"/>
      <c r="S30" s="244"/>
      <c r="T30" s="244"/>
      <c r="U30" s="244"/>
      <c r="V30" s="244">
        <v>42005.383333333302</v>
      </c>
      <c r="W30" s="244"/>
      <c r="X30" s="244">
        <v>42005.383333333302</v>
      </c>
      <c r="Y30" s="244"/>
      <c r="Z30" s="244"/>
      <c r="AA30" s="244"/>
      <c r="AB30" s="244"/>
      <c r="AC30" s="244"/>
      <c r="AD30" s="244"/>
      <c r="AE30" s="244"/>
      <c r="AF30" s="244"/>
      <c r="AG30" s="244">
        <v>42002</v>
      </c>
      <c r="AH30" s="244"/>
      <c r="AI30" s="244"/>
      <c r="AJ30" s="244"/>
      <c r="AK30" s="244"/>
      <c r="AL30" s="244"/>
      <c r="AM30" s="244">
        <v>42046.4375</v>
      </c>
      <c r="AN30" s="244"/>
      <c r="AO30" s="244"/>
      <c r="AP30" s="244"/>
      <c r="AQ30" s="244"/>
      <c r="AR30" s="244"/>
      <c r="AS30" s="244"/>
      <c r="AT30" s="244"/>
      <c r="AU30" s="244"/>
      <c r="AV30" s="244"/>
      <c r="AW30" s="244"/>
      <c r="AX30" s="244"/>
      <c r="AY30" s="244"/>
      <c r="AZ30" s="244"/>
      <c r="BA30" s="244"/>
      <c r="BB30" s="244"/>
      <c r="BC30" s="244"/>
      <c r="BD30" s="244"/>
      <c r="BE30" s="244"/>
      <c r="BF30" s="244"/>
      <c r="BG30" s="244"/>
      <c r="BH30" s="244"/>
      <c r="BI30" s="244"/>
      <c r="BJ30" s="244"/>
      <c r="BK30" s="244"/>
      <c r="BL30" s="244"/>
      <c r="BM30" s="244"/>
      <c r="BN30" s="244"/>
      <c r="BO30" s="244"/>
      <c r="BP30" s="244"/>
      <c r="BQ30" s="244"/>
      <c r="BR30" s="244"/>
      <c r="BS30" s="244"/>
      <c r="BT30" s="244"/>
      <c r="BU30" s="244"/>
      <c r="BV30" s="244"/>
      <c r="BW30" s="244"/>
      <c r="BX30" s="244"/>
      <c r="BY30" s="244"/>
      <c r="BZ30" s="244"/>
      <c r="CA30" s="244"/>
      <c r="CB30" s="244"/>
      <c r="CC30" s="244"/>
      <c r="CD30" s="244"/>
      <c r="CE30" s="244"/>
      <c r="CF30" s="244"/>
      <c r="CG30" s="244"/>
      <c r="CH30" s="244"/>
      <c r="CI30" s="244"/>
      <c r="CJ30" s="244"/>
      <c r="CK30" s="244"/>
      <c r="CL30" s="244"/>
      <c r="CM30" s="244"/>
      <c r="CN30" s="244"/>
      <c r="CO30" s="244"/>
      <c r="CP30" s="244"/>
      <c r="CQ30" s="244"/>
      <c r="CR30" s="244"/>
      <c r="CS30" s="244"/>
      <c r="CT30" s="244"/>
      <c r="CU30" s="244"/>
      <c r="CV30" s="244"/>
      <c r="CW30" s="244"/>
      <c r="CX30" s="244"/>
      <c r="CY30" s="244"/>
      <c r="CZ30" s="244"/>
      <c r="DA30" s="244"/>
      <c r="DB30" s="244"/>
      <c r="DC30" s="244"/>
      <c r="DD30" s="244"/>
      <c r="DE30" s="244"/>
      <c r="DF30" s="244"/>
      <c r="DG30" s="244"/>
      <c r="DH30" s="244"/>
      <c r="DI30" s="244"/>
      <c r="DJ30" s="244"/>
      <c r="DK30" s="244"/>
      <c r="DL30" s="244"/>
      <c r="DM30" s="244"/>
      <c r="DN30" s="244"/>
      <c r="DO30" s="244"/>
      <c r="DP30" s="244"/>
      <c r="DQ30" s="244"/>
      <c r="DR30" s="244"/>
      <c r="DS30" s="244">
        <v>41994.352083333302</v>
      </c>
      <c r="DT30" s="244"/>
      <c r="DU30" s="244"/>
      <c r="DV30" s="244"/>
      <c r="DW30" s="244"/>
      <c r="DX30" s="244">
        <v>42108.416666666701</v>
      </c>
      <c r="DY30" s="244"/>
      <c r="DZ30" s="244"/>
      <c r="EA30" s="244"/>
      <c r="EB30" s="244"/>
      <c r="EC30" s="244"/>
      <c r="ED30" s="244"/>
      <c r="EE30" s="244"/>
      <c r="EF30" s="244"/>
      <c r="EG30" s="244"/>
      <c r="EH30" s="244"/>
      <c r="EI30" s="244"/>
      <c r="EJ30" s="244"/>
      <c r="EK30" s="244"/>
      <c r="EL30" s="244"/>
      <c r="EM30" s="244"/>
      <c r="EN30" s="244"/>
      <c r="EO30" s="244"/>
      <c r="EP30" s="244"/>
      <c r="EQ30" s="244"/>
      <c r="ER30" s="244"/>
      <c r="ES30" s="244"/>
      <c r="ET30" s="244"/>
      <c r="EU30" s="244"/>
      <c r="EV30" s="244">
        <v>42108.416666666701</v>
      </c>
    </row>
    <row r="31" spans="1:152">
      <c r="A31" s="270" t="s">
        <v>173</v>
      </c>
      <c r="B31" s="244"/>
      <c r="C31" s="244"/>
      <c r="D31" s="244"/>
      <c r="E31" s="244"/>
      <c r="F31" s="244"/>
      <c r="G31" s="244"/>
      <c r="H31" s="244"/>
      <c r="I31" s="244"/>
      <c r="J31" s="244"/>
      <c r="K31" s="244"/>
      <c r="L31" s="244"/>
      <c r="M31" s="244"/>
      <c r="N31" s="244"/>
      <c r="O31" s="244"/>
      <c r="P31" s="244"/>
      <c r="Q31" s="244"/>
      <c r="R31" s="244"/>
      <c r="S31" s="244"/>
      <c r="T31" s="244"/>
      <c r="U31" s="244"/>
      <c r="V31" s="244"/>
      <c r="W31" s="244"/>
      <c r="X31" s="244"/>
      <c r="Y31" s="244"/>
      <c r="Z31" s="244"/>
      <c r="AA31" s="244"/>
      <c r="AB31" s="244"/>
      <c r="AC31" s="244"/>
      <c r="AD31" s="244"/>
      <c r="AE31" s="244"/>
      <c r="AF31" s="244"/>
      <c r="AG31" s="244"/>
      <c r="AH31" s="244"/>
      <c r="AI31" s="244"/>
      <c r="AJ31" s="244"/>
      <c r="AK31" s="244"/>
      <c r="AL31" s="244"/>
      <c r="AM31" s="244"/>
      <c r="AN31" s="244"/>
      <c r="AO31" s="244"/>
      <c r="AP31" s="244"/>
      <c r="AQ31" s="244"/>
      <c r="AR31" s="244"/>
      <c r="AS31" s="244"/>
      <c r="AT31" s="244"/>
      <c r="AU31" s="244"/>
      <c r="AV31" s="244"/>
      <c r="AW31" s="244"/>
      <c r="AX31" s="244"/>
      <c r="AY31" s="244"/>
      <c r="AZ31" s="244"/>
      <c r="BA31" s="244"/>
      <c r="BB31" s="244"/>
      <c r="BC31" s="244"/>
      <c r="BD31" s="244"/>
      <c r="BE31" s="244"/>
      <c r="BF31" s="244"/>
      <c r="BG31" s="244"/>
      <c r="BH31" s="244"/>
      <c r="BI31" s="244"/>
      <c r="BJ31" s="244"/>
      <c r="BK31" s="244"/>
      <c r="BL31" s="244"/>
      <c r="BM31" s="244"/>
      <c r="BN31" s="244"/>
      <c r="BO31" s="244"/>
      <c r="BP31" s="244"/>
      <c r="BQ31" s="244"/>
      <c r="BR31" s="244"/>
      <c r="BS31" s="244"/>
      <c r="BT31" s="244"/>
      <c r="BU31" s="244"/>
      <c r="BV31" s="244"/>
      <c r="BW31" s="244"/>
      <c r="BX31" s="244"/>
      <c r="BY31" s="244"/>
      <c r="BZ31" s="244"/>
      <c r="CA31" s="244"/>
      <c r="CB31" s="244"/>
      <c r="CC31" s="244"/>
      <c r="CD31" s="244"/>
      <c r="CE31" s="244"/>
      <c r="CF31" s="244"/>
      <c r="CG31" s="244"/>
      <c r="CH31" s="244"/>
      <c r="CI31" s="244"/>
      <c r="CJ31" s="244"/>
      <c r="CK31" s="244"/>
      <c r="CL31" s="244"/>
      <c r="CM31" s="244"/>
      <c r="CN31" s="244"/>
      <c r="CO31" s="244"/>
      <c r="CP31" s="244"/>
      <c r="CQ31" s="244"/>
      <c r="CR31" s="244"/>
      <c r="CS31" s="244"/>
      <c r="CT31" s="244"/>
      <c r="CU31" s="244"/>
      <c r="CV31" s="244"/>
      <c r="CW31" s="244"/>
      <c r="CX31" s="244"/>
      <c r="CY31" s="244"/>
      <c r="CZ31" s="244"/>
      <c r="DA31" s="244"/>
      <c r="DB31" s="244"/>
      <c r="DC31" s="244"/>
      <c r="DD31" s="244"/>
      <c r="DE31" s="244"/>
      <c r="DF31" s="244"/>
      <c r="DG31" s="244"/>
      <c r="DH31" s="244"/>
      <c r="DI31" s="244"/>
      <c r="DJ31" s="244"/>
      <c r="DK31" s="244"/>
      <c r="DL31" s="244"/>
      <c r="DM31" s="244"/>
      <c r="DN31" s="244"/>
      <c r="DO31" s="244"/>
      <c r="DP31" s="244"/>
      <c r="DQ31" s="244"/>
      <c r="DR31" s="244"/>
      <c r="DS31" s="244"/>
      <c r="DT31" s="244"/>
      <c r="DU31" s="244"/>
      <c r="DV31" s="244"/>
      <c r="DW31" s="244">
        <v>42095.730555555601</v>
      </c>
      <c r="DX31" s="244"/>
      <c r="DY31" s="244"/>
      <c r="DZ31" s="244"/>
      <c r="EA31" s="244"/>
      <c r="EB31" s="244"/>
      <c r="EC31" s="244">
        <v>42102.728472222203</v>
      </c>
      <c r="ED31" s="244">
        <v>41973</v>
      </c>
      <c r="EE31" s="244">
        <v>42046.411805555603</v>
      </c>
      <c r="EF31" s="244">
        <v>42046.412499999999</v>
      </c>
      <c r="EG31" s="244">
        <v>41908.413888888899</v>
      </c>
      <c r="EH31" s="244"/>
      <c r="EI31" s="244"/>
      <c r="EJ31" s="244"/>
      <c r="EK31" s="244"/>
      <c r="EL31" s="244"/>
      <c r="EM31" s="244"/>
      <c r="EN31" s="244"/>
      <c r="EO31" s="244"/>
      <c r="EP31" s="244"/>
      <c r="EQ31" s="244"/>
      <c r="ER31" s="244"/>
      <c r="ES31" s="244"/>
      <c r="ET31" s="244"/>
      <c r="EU31" s="244"/>
      <c r="EV31" s="244">
        <v>42102.728472222203</v>
      </c>
    </row>
    <row r="32" spans="1:152">
      <c r="A32" s="269" t="s">
        <v>149</v>
      </c>
      <c r="B32" s="244"/>
      <c r="C32" s="244">
        <v>42110.304166666698</v>
      </c>
      <c r="D32" s="244"/>
      <c r="E32" s="244">
        <v>42111.734722222202</v>
      </c>
      <c r="F32" s="244">
        <v>42111.621527777803</v>
      </c>
      <c r="G32" s="244"/>
      <c r="H32" s="244">
        <v>42111.837500000001</v>
      </c>
      <c r="I32" s="244"/>
      <c r="J32" s="244"/>
      <c r="K32" s="244">
        <v>42067.708333333299</v>
      </c>
      <c r="L32" s="244">
        <v>42068.449305555601</v>
      </c>
      <c r="M32" s="244">
        <v>42068.45</v>
      </c>
      <c r="N32" s="244"/>
      <c r="O32" s="244"/>
      <c r="P32" s="244">
        <v>42082.5847222222</v>
      </c>
      <c r="Q32" s="244">
        <v>42052.585416666698</v>
      </c>
      <c r="R32" s="244">
        <v>42098.438888888901</v>
      </c>
      <c r="S32" s="244">
        <v>42068.629861111098</v>
      </c>
      <c r="T32" s="244"/>
      <c r="U32" s="244"/>
      <c r="V32" s="244">
        <v>42068.430555555598</v>
      </c>
      <c r="W32" s="244"/>
      <c r="X32" s="244">
        <v>42068.431250000001</v>
      </c>
      <c r="Y32" s="244"/>
      <c r="Z32" s="244"/>
      <c r="AA32" s="244">
        <v>42076.532638888901</v>
      </c>
      <c r="AB32" s="244"/>
      <c r="AC32" s="244">
        <v>42111</v>
      </c>
      <c r="AD32" s="244"/>
      <c r="AE32" s="244"/>
      <c r="AF32" s="244"/>
      <c r="AG32" s="244">
        <v>41341</v>
      </c>
      <c r="AH32" s="244">
        <v>41968</v>
      </c>
      <c r="AI32" s="244"/>
      <c r="AJ32" s="244"/>
      <c r="AK32" s="244"/>
      <c r="AL32" s="244"/>
      <c r="AM32" s="244"/>
      <c r="AN32" s="244"/>
      <c r="AO32" s="244"/>
      <c r="AP32" s="244">
        <v>41961.570138888899</v>
      </c>
      <c r="AQ32" s="244">
        <v>41865</v>
      </c>
      <c r="AR32" s="244"/>
      <c r="AS32" s="244"/>
      <c r="AT32" s="244"/>
      <c r="AU32" s="244"/>
      <c r="AV32" s="244"/>
      <c r="AW32" s="244"/>
      <c r="AX32" s="244"/>
      <c r="AY32" s="244"/>
      <c r="AZ32" s="244"/>
      <c r="BA32" s="244"/>
      <c r="BB32" s="244"/>
      <c r="BC32" s="244"/>
      <c r="BD32" s="244">
        <v>42067</v>
      </c>
      <c r="BE32" s="244">
        <v>42080.661805555603</v>
      </c>
      <c r="BF32" s="244">
        <v>41869.271527777797</v>
      </c>
      <c r="BG32" s="244">
        <v>42087.394444444399</v>
      </c>
      <c r="BH32" s="244">
        <v>42068.572916666701</v>
      </c>
      <c r="BI32" s="244">
        <v>41989</v>
      </c>
      <c r="BJ32" s="244">
        <v>41989</v>
      </c>
      <c r="BK32" s="244">
        <v>41969</v>
      </c>
      <c r="BL32" s="244">
        <v>41989</v>
      </c>
      <c r="BM32" s="244">
        <v>42067.704861111102</v>
      </c>
      <c r="BN32" s="244">
        <v>42111</v>
      </c>
      <c r="BO32" s="244">
        <v>42069.568749999999</v>
      </c>
      <c r="BP32" s="244">
        <v>42069.569444444402</v>
      </c>
      <c r="BQ32" s="244"/>
      <c r="BR32" s="244">
        <v>41901</v>
      </c>
      <c r="BS32" s="244">
        <v>42112.022916666698</v>
      </c>
      <c r="BT32" s="244"/>
      <c r="BU32" s="244"/>
      <c r="BV32" s="244"/>
      <c r="BW32" s="244"/>
      <c r="BX32" s="244"/>
      <c r="BY32" s="244"/>
      <c r="BZ32" s="244">
        <v>40087</v>
      </c>
      <c r="CA32" s="244">
        <v>40087</v>
      </c>
      <c r="CB32" s="244">
        <v>40087</v>
      </c>
      <c r="CC32" s="244">
        <v>40087</v>
      </c>
      <c r="CD32" s="244">
        <v>40087</v>
      </c>
      <c r="CE32" s="244">
        <v>40087</v>
      </c>
      <c r="CF32" s="244">
        <v>42109.396527777797</v>
      </c>
      <c r="CG32" s="244">
        <v>40330</v>
      </c>
      <c r="CH32" s="244">
        <v>39753</v>
      </c>
      <c r="CI32" s="244">
        <v>40452</v>
      </c>
      <c r="CJ32" s="244">
        <v>41061</v>
      </c>
      <c r="CK32" s="244">
        <v>41061</v>
      </c>
      <c r="CL32" s="244">
        <v>39600</v>
      </c>
      <c r="CM32" s="244">
        <v>39600</v>
      </c>
      <c r="CN32" s="244">
        <v>41864.416666666701</v>
      </c>
      <c r="CO32" s="244">
        <v>41306</v>
      </c>
      <c r="CP32" s="244">
        <v>40909</v>
      </c>
      <c r="CQ32" s="244">
        <v>39995</v>
      </c>
      <c r="CR32" s="244">
        <v>41061</v>
      </c>
      <c r="CS32" s="244">
        <v>38018</v>
      </c>
      <c r="CT32" s="244">
        <v>38869</v>
      </c>
      <c r="CU32" s="244">
        <v>40118</v>
      </c>
      <c r="CV32" s="244">
        <v>42068.427777777797</v>
      </c>
      <c r="CW32" s="244"/>
      <c r="CX32" s="244"/>
      <c r="CY32" s="244"/>
      <c r="CZ32" s="244"/>
      <c r="DA32" s="244"/>
      <c r="DB32" s="244">
        <v>42071</v>
      </c>
      <c r="DC32" s="244">
        <v>40118</v>
      </c>
      <c r="DD32" s="244">
        <v>40178</v>
      </c>
      <c r="DE32" s="244"/>
      <c r="DF32" s="244"/>
      <c r="DG32" s="244">
        <v>42111.897916666698</v>
      </c>
      <c r="DH32" s="244">
        <v>42102.909722222197</v>
      </c>
      <c r="DI32" s="244">
        <v>41972</v>
      </c>
      <c r="DJ32" s="244">
        <v>42111.472222222197</v>
      </c>
      <c r="DK32" s="244"/>
      <c r="DL32" s="244"/>
      <c r="DM32" s="244"/>
      <c r="DN32" s="244"/>
      <c r="DO32" s="244"/>
      <c r="DP32" s="244">
        <v>42065.359722222202</v>
      </c>
      <c r="DQ32" s="244">
        <v>42064</v>
      </c>
      <c r="DR32" s="244"/>
      <c r="DS32" s="244">
        <v>42062.466666666704</v>
      </c>
      <c r="DT32" s="244">
        <v>42066</v>
      </c>
      <c r="DU32" s="244"/>
      <c r="DV32" s="244"/>
      <c r="DW32" s="244">
        <v>42097.620833333298</v>
      </c>
      <c r="DX32" s="244">
        <v>41965.597916666702</v>
      </c>
      <c r="DY32" s="244"/>
      <c r="DZ32" s="244">
        <v>41890</v>
      </c>
      <c r="EA32" s="244"/>
      <c r="EB32" s="244">
        <v>42097.590277777803</v>
      </c>
      <c r="EC32" s="244">
        <v>42109.622916666704</v>
      </c>
      <c r="ED32" s="244">
        <v>42079.476388888899</v>
      </c>
      <c r="EE32" s="244">
        <v>42081.491666666698</v>
      </c>
      <c r="EF32" s="244">
        <v>42081.495138888902</v>
      </c>
      <c r="EG32" s="244">
        <v>41717.397916666698</v>
      </c>
      <c r="EH32" s="244"/>
      <c r="EI32" s="244"/>
      <c r="EJ32" s="244"/>
      <c r="EK32" s="244"/>
      <c r="EL32" s="244">
        <v>41426</v>
      </c>
      <c r="EM32" s="244">
        <v>41426</v>
      </c>
      <c r="EN32" s="244">
        <v>41426</v>
      </c>
      <c r="EO32" s="244">
        <v>41426</v>
      </c>
      <c r="EP32" s="244">
        <v>41426</v>
      </c>
      <c r="EQ32" s="244"/>
      <c r="ER32" s="244"/>
      <c r="ES32" s="244"/>
      <c r="ET32" s="244"/>
      <c r="EU32" s="244"/>
      <c r="EV32" s="244">
        <v>42112.022916666698</v>
      </c>
    </row>
    <row r="33" spans="1:152">
      <c r="A33" s="270" t="s">
        <v>87</v>
      </c>
      <c r="B33" s="244"/>
      <c r="C33" s="244">
        <v>42110.304166666698</v>
      </c>
      <c r="D33" s="244"/>
      <c r="E33" s="244">
        <v>42111.734722222202</v>
      </c>
      <c r="F33" s="244">
        <v>42111.621527777803</v>
      </c>
      <c r="G33" s="244"/>
      <c r="H33" s="244">
        <v>42111.837500000001</v>
      </c>
      <c r="I33" s="244"/>
      <c r="J33" s="244"/>
      <c r="K33" s="244">
        <v>42067.708333333299</v>
      </c>
      <c r="L33" s="244">
        <v>42068.449305555601</v>
      </c>
      <c r="M33" s="244">
        <v>42068.45</v>
      </c>
      <c r="N33" s="244"/>
      <c r="O33" s="244"/>
      <c r="P33" s="244">
        <v>42082.5847222222</v>
      </c>
      <c r="Q33" s="244">
        <v>42052.585416666698</v>
      </c>
      <c r="R33" s="244">
        <v>42098.438888888901</v>
      </c>
      <c r="S33" s="244">
        <v>42068.629861111098</v>
      </c>
      <c r="T33" s="244"/>
      <c r="U33" s="244"/>
      <c r="V33" s="244"/>
      <c r="W33" s="244"/>
      <c r="X33" s="244"/>
      <c r="Y33" s="244"/>
      <c r="Z33" s="244"/>
      <c r="AA33" s="244">
        <v>42076.532638888901</v>
      </c>
      <c r="AB33" s="244"/>
      <c r="AC33" s="244">
        <v>42111</v>
      </c>
      <c r="AD33" s="244"/>
      <c r="AE33" s="244"/>
      <c r="AF33" s="244"/>
      <c r="AG33" s="244"/>
      <c r="AH33" s="244">
        <v>41968</v>
      </c>
      <c r="AI33" s="244"/>
      <c r="AJ33" s="244"/>
      <c r="AK33" s="244"/>
      <c r="AL33" s="244"/>
      <c r="AM33" s="244"/>
      <c r="AN33" s="244"/>
      <c r="AO33" s="244"/>
      <c r="AP33" s="244">
        <v>41961.570138888899</v>
      </c>
      <c r="AQ33" s="244">
        <v>41865</v>
      </c>
      <c r="AR33" s="244"/>
      <c r="AS33" s="244"/>
      <c r="AT33" s="244"/>
      <c r="AU33" s="244"/>
      <c r="AV33" s="244"/>
      <c r="AW33" s="244"/>
      <c r="AX33" s="244"/>
      <c r="AY33" s="244"/>
      <c r="AZ33" s="244"/>
      <c r="BA33" s="244"/>
      <c r="BB33" s="244"/>
      <c r="BC33" s="244"/>
      <c r="BD33" s="244">
        <v>42067</v>
      </c>
      <c r="BE33" s="244">
        <v>42080.661805555603</v>
      </c>
      <c r="BF33" s="244">
        <v>41869.271527777797</v>
      </c>
      <c r="BG33" s="244">
        <v>42087.394444444399</v>
      </c>
      <c r="BH33" s="244">
        <v>42068.572916666701</v>
      </c>
      <c r="BI33" s="244">
        <v>41989</v>
      </c>
      <c r="BJ33" s="244">
        <v>41989</v>
      </c>
      <c r="BK33" s="244">
        <v>41969</v>
      </c>
      <c r="BL33" s="244">
        <v>41989</v>
      </c>
      <c r="BM33" s="244">
        <v>42067.704861111102</v>
      </c>
      <c r="BN33" s="244">
        <v>42111</v>
      </c>
      <c r="BO33" s="244">
        <v>42069.568749999999</v>
      </c>
      <c r="BP33" s="244">
        <v>42069.569444444402</v>
      </c>
      <c r="BQ33" s="244"/>
      <c r="BR33" s="244">
        <v>41901</v>
      </c>
      <c r="BS33" s="244">
        <v>42112.022916666698</v>
      </c>
      <c r="BT33" s="244"/>
      <c r="BU33" s="244"/>
      <c r="BV33" s="244"/>
      <c r="BW33" s="244"/>
      <c r="BX33" s="244"/>
      <c r="BY33" s="244"/>
      <c r="BZ33" s="244">
        <v>40087</v>
      </c>
      <c r="CA33" s="244">
        <v>40087</v>
      </c>
      <c r="CB33" s="244">
        <v>40087</v>
      </c>
      <c r="CC33" s="244">
        <v>40087</v>
      </c>
      <c r="CD33" s="244">
        <v>40087</v>
      </c>
      <c r="CE33" s="244">
        <v>40087</v>
      </c>
      <c r="CF33" s="244">
        <v>42109.396527777797</v>
      </c>
      <c r="CG33" s="244">
        <v>40330</v>
      </c>
      <c r="CH33" s="244">
        <v>39753</v>
      </c>
      <c r="CI33" s="244">
        <v>40452</v>
      </c>
      <c r="CJ33" s="244">
        <v>41061</v>
      </c>
      <c r="CK33" s="244">
        <v>41061</v>
      </c>
      <c r="CL33" s="244">
        <v>39600</v>
      </c>
      <c r="CM33" s="244">
        <v>39600</v>
      </c>
      <c r="CN33" s="244">
        <v>41864.416666666701</v>
      </c>
      <c r="CO33" s="244">
        <v>41306</v>
      </c>
      <c r="CP33" s="244">
        <v>40909</v>
      </c>
      <c r="CQ33" s="244">
        <v>39995</v>
      </c>
      <c r="CR33" s="244">
        <v>41061</v>
      </c>
      <c r="CS33" s="244">
        <v>38018</v>
      </c>
      <c r="CT33" s="244">
        <v>38869</v>
      </c>
      <c r="CU33" s="244">
        <v>40118</v>
      </c>
      <c r="CV33" s="244">
        <v>42068.427777777797</v>
      </c>
      <c r="CW33" s="244"/>
      <c r="CX33" s="244"/>
      <c r="CY33" s="244"/>
      <c r="CZ33" s="244"/>
      <c r="DA33" s="244"/>
      <c r="DB33" s="244">
        <v>42071</v>
      </c>
      <c r="DC33" s="244">
        <v>40118</v>
      </c>
      <c r="DD33" s="244">
        <v>40178</v>
      </c>
      <c r="DE33" s="244"/>
      <c r="DF33" s="244"/>
      <c r="DG33" s="244">
        <v>42111.897916666698</v>
      </c>
      <c r="DH33" s="244">
        <v>42102.909722222197</v>
      </c>
      <c r="DI33" s="244">
        <v>41972</v>
      </c>
      <c r="DJ33" s="244">
        <v>42111.472222222197</v>
      </c>
      <c r="DK33" s="244"/>
      <c r="DL33" s="244"/>
      <c r="DM33" s="244"/>
      <c r="DN33" s="244"/>
      <c r="DO33" s="244"/>
      <c r="DP33" s="244"/>
      <c r="DQ33" s="244"/>
      <c r="DR33" s="244"/>
      <c r="DS33" s="244"/>
      <c r="DT33" s="244"/>
      <c r="DU33" s="244"/>
      <c r="DV33" s="244"/>
      <c r="DW33" s="244"/>
      <c r="DX33" s="244"/>
      <c r="DY33" s="244"/>
      <c r="DZ33" s="244"/>
      <c r="EA33" s="244"/>
      <c r="EB33" s="244"/>
      <c r="EC33" s="244"/>
      <c r="ED33" s="244"/>
      <c r="EE33" s="244"/>
      <c r="EF33" s="244"/>
      <c r="EG33" s="244"/>
      <c r="EH33" s="244"/>
      <c r="EI33" s="244"/>
      <c r="EJ33" s="244"/>
      <c r="EK33" s="244"/>
      <c r="EL33" s="244"/>
      <c r="EM33" s="244"/>
      <c r="EN33" s="244"/>
      <c r="EO33" s="244"/>
      <c r="EP33" s="244"/>
      <c r="EQ33" s="244"/>
      <c r="ER33" s="244"/>
      <c r="ES33" s="244"/>
      <c r="ET33" s="244"/>
      <c r="EU33" s="244"/>
      <c r="EV33" s="244">
        <v>42112.022916666698</v>
      </c>
    </row>
    <row r="34" spans="1:152">
      <c r="A34" s="270" t="s">
        <v>172</v>
      </c>
      <c r="B34" s="244"/>
      <c r="C34" s="244"/>
      <c r="D34" s="244"/>
      <c r="E34" s="244"/>
      <c r="F34" s="244"/>
      <c r="G34" s="244"/>
      <c r="H34" s="244"/>
      <c r="I34" s="244"/>
      <c r="J34" s="244"/>
      <c r="K34" s="244"/>
      <c r="L34" s="244"/>
      <c r="M34" s="244"/>
      <c r="N34" s="244"/>
      <c r="O34" s="244"/>
      <c r="P34" s="244">
        <v>42071.336111111101</v>
      </c>
      <c r="Q34" s="244"/>
      <c r="R34" s="244"/>
      <c r="S34" s="244"/>
      <c r="T34" s="244"/>
      <c r="U34" s="244"/>
      <c r="V34" s="244">
        <v>42068.430555555598</v>
      </c>
      <c r="W34" s="244"/>
      <c r="X34" s="244">
        <v>42068.431250000001</v>
      </c>
      <c r="Y34" s="244"/>
      <c r="Z34" s="244"/>
      <c r="AA34" s="244"/>
      <c r="AB34" s="244"/>
      <c r="AC34" s="244"/>
      <c r="AD34" s="244"/>
      <c r="AE34" s="244"/>
      <c r="AF34" s="244"/>
      <c r="AG34" s="244">
        <v>41341</v>
      </c>
      <c r="AH34" s="244"/>
      <c r="AI34" s="244"/>
      <c r="AJ34" s="244"/>
      <c r="AK34" s="244"/>
      <c r="AL34" s="244"/>
      <c r="AM34" s="244"/>
      <c r="AN34" s="244"/>
      <c r="AO34" s="244"/>
      <c r="AP34" s="244"/>
      <c r="AQ34" s="244"/>
      <c r="AR34" s="244"/>
      <c r="AS34" s="244"/>
      <c r="AT34" s="244"/>
      <c r="AU34" s="244"/>
      <c r="AV34" s="244"/>
      <c r="AW34" s="244"/>
      <c r="AX34" s="244"/>
      <c r="AY34" s="244"/>
      <c r="AZ34" s="244"/>
      <c r="BA34" s="244"/>
      <c r="BB34" s="244"/>
      <c r="BC34" s="244"/>
      <c r="BD34" s="244"/>
      <c r="BE34" s="244"/>
      <c r="BF34" s="244"/>
      <c r="BG34" s="244"/>
      <c r="BH34" s="244"/>
      <c r="BI34" s="244"/>
      <c r="BJ34" s="244"/>
      <c r="BK34" s="244"/>
      <c r="BL34" s="244"/>
      <c r="BM34" s="244"/>
      <c r="BN34" s="244"/>
      <c r="BO34" s="244"/>
      <c r="BP34" s="244"/>
      <c r="BQ34" s="244"/>
      <c r="BR34" s="244"/>
      <c r="BS34" s="244"/>
      <c r="BT34" s="244"/>
      <c r="BU34" s="244"/>
      <c r="BV34" s="244"/>
      <c r="BW34" s="244"/>
      <c r="BX34" s="244"/>
      <c r="BY34" s="244"/>
      <c r="BZ34" s="244"/>
      <c r="CA34" s="244"/>
      <c r="CB34" s="244"/>
      <c r="CC34" s="244"/>
      <c r="CD34" s="244"/>
      <c r="CE34" s="244"/>
      <c r="CF34" s="244"/>
      <c r="CG34" s="244"/>
      <c r="CH34" s="244"/>
      <c r="CI34" s="244"/>
      <c r="CJ34" s="244"/>
      <c r="CK34" s="244"/>
      <c r="CL34" s="244"/>
      <c r="CM34" s="244"/>
      <c r="CN34" s="244"/>
      <c r="CO34" s="244"/>
      <c r="CP34" s="244"/>
      <c r="CQ34" s="244"/>
      <c r="CR34" s="244"/>
      <c r="CS34" s="244"/>
      <c r="CT34" s="244"/>
      <c r="CU34" s="244"/>
      <c r="CV34" s="244"/>
      <c r="CW34" s="244"/>
      <c r="CX34" s="244"/>
      <c r="CY34" s="244"/>
      <c r="CZ34" s="244"/>
      <c r="DA34" s="244"/>
      <c r="DB34" s="244"/>
      <c r="DC34" s="244"/>
      <c r="DD34" s="244"/>
      <c r="DE34" s="244"/>
      <c r="DF34" s="244"/>
      <c r="DG34" s="244"/>
      <c r="DH34" s="244"/>
      <c r="DI34" s="244"/>
      <c r="DJ34" s="244"/>
      <c r="DK34" s="244"/>
      <c r="DL34" s="244"/>
      <c r="DM34" s="244"/>
      <c r="DN34" s="244"/>
      <c r="DO34" s="244"/>
      <c r="DP34" s="244">
        <v>42065.359722222202</v>
      </c>
      <c r="DQ34" s="244">
        <v>42064</v>
      </c>
      <c r="DR34" s="244"/>
      <c r="DS34" s="244">
        <v>42062.466666666704</v>
      </c>
      <c r="DT34" s="244">
        <v>42066</v>
      </c>
      <c r="DU34" s="244"/>
      <c r="DV34" s="244"/>
      <c r="DW34" s="244"/>
      <c r="DX34" s="244">
        <v>41965.597916666702</v>
      </c>
      <c r="DY34" s="244"/>
      <c r="DZ34" s="244">
        <v>41890</v>
      </c>
      <c r="EA34" s="244"/>
      <c r="EB34" s="244"/>
      <c r="EC34" s="244"/>
      <c r="ED34" s="244"/>
      <c r="EE34" s="244"/>
      <c r="EF34" s="244"/>
      <c r="EG34" s="244"/>
      <c r="EH34" s="244"/>
      <c r="EI34" s="244"/>
      <c r="EJ34" s="244"/>
      <c r="EK34" s="244"/>
      <c r="EL34" s="244"/>
      <c r="EM34" s="244"/>
      <c r="EN34" s="244"/>
      <c r="EO34" s="244"/>
      <c r="EP34" s="244"/>
      <c r="EQ34" s="244"/>
      <c r="ER34" s="244"/>
      <c r="ES34" s="244"/>
      <c r="ET34" s="244"/>
      <c r="EU34" s="244"/>
      <c r="EV34" s="244">
        <v>42071.336111111101</v>
      </c>
    </row>
    <row r="35" spans="1:152">
      <c r="A35" s="270" t="s">
        <v>173</v>
      </c>
      <c r="B35" s="244"/>
      <c r="C35" s="244"/>
      <c r="D35" s="244"/>
      <c r="E35" s="244"/>
      <c r="F35" s="244"/>
      <c r="G35" s="244"/>
      <c r="H35" s="244"/>
      <c r="I35" s="244"/>
      <c r="J35" s="244"/>
      <c r="K35" s="244"/>
      <c r="L35" s="244"/>
      <c r="M35" s="244"/>
      <c r="N35" s="244"/>
      <c r="O35" s="244"/>
      <c r="P35" s="244"/>
      <c r="Q35" s="244"/>
      <c r="R35" s="244"/>
      <c r="S35" s="244"/>
      <c r="T35" s="244"/>
      <c r="U35" s="244"/>
      <c r="V35" s="244"/>
      <c r="W35" s="244"/>
      <c r="X35" s="244"/>
      <c r="Y35" s="244"/>
      <c r="Z35" s="244"/>
      <c r="AA35" s="244"/>
      <c r="AB35" s="244"/>
      <c r="AC35" s="244"/>
      <c r="AD35" s="244"/>
      <c r="AE35" s="244"/>
      <c r="AF35" s="244"/>
      <c r="AG35" s="244"/>
      <c r="AH35" s="244"/>
      <c r="AI35" s="244"/>
      <c r="AJ35" s="244"/>
      <c r="AK35" s="244"/>
      <c r="AL35" s="244"/>
      <c r="AM35" s="244"/>
      <c r="AN35" s="244"/>
      <c r="AO35" s="244"/>
      <c r="AP35" s="244"/>
      <c r="AQ35" s="244"/>
      <c r="AR35" s="244"/>
      <c r="AS35" s="244"/>
      <c r="AT35" s="244"/>
      <c r="AU35" s="244"/>
      <c r="AV35" s="244"/>
      <c r="AW35" s="244"/>
      <c r="AX35" s="244"/>
      <c r="AY35" s="244"/>
      <c r="AZ35" s="244"/>
      <c r="BA35" s="244"/>
      <c r="BB35" s="244"/>
      <c r="BC35" s="244"/>
      <c r="BD35" s="244"/>
      <c r="BE35" s="244"/>
      <c r="BF35" s="244"/>
      <c r="BG35" s="244"/>
      <c r="BH35" s="244"/>
      <c r="BI35" s="244"/>
      <c r="BJ35" s="244"/>
      <c r="BK35" s="244"/>
      <c r="BL35" s="244"/>
      <c r="BM35" s="244"/>
      <c r="BN35" s="244"/>
      <c r="BO35" s="244"/>
      <c r="BP35" s="244"/>
      <c r="BQ35" s="244"/>
      <c r="BR35" s="244"/>
      <c r="BS35" s="244"/>
      <c r="BT35" s="244"/>
      <c r="BU35" s="244"/>
      <c r="BV35" s="244"/>
      <c r="BW35" s="244"/>
      <c r="BX35" s="244"/>
      <c r="BY35" s="244"/>
      <c r="BZ35" s="244"/>
      <c r="CA35" s="244"/>
      <c r="CB35" s="244"/>
      <c r="CC35" s="244"/>
      <c r="CD35" s="244"/>
      <c r="CE35" s="244"/>
      <c r="CF35" s="244"/>
      <c r="CG35" s="244"/>
      <c r="CH35" s="244"/>
      <c r="CI35" s="244"/>
      <c r="CJ35" s="244"/>
      <c r="CK35" s="244"/>
      <c r="CL35" s="244"/>
      <c r="CM35" s="244"/>
      <c r="CN35" s="244"/>
      <c r="CO35" s="244"/>
      <c r="CP35" s="244"/>
      <c r="CQ35" s="244"/>
      <c r="CR35" s="244"/>
      <c r="CS35" s="244"/>
      <c r="CT35" s="244"/>
      <c r="CU35" s="244"/>
      <c r="CV35" s="244"/>
      <c r="CW35" s="244"/>
      <c r="CX35" s="244"/>
      <c r="CY35" s="244"/>
      <c r="CZ35" s="244"/>
      <c r="DA35" s="244"/>
      <c r="DB35" s="244"/>
      <c r="DC35" s="244"/>
      <c r="DD35" s="244"/>
      <c r="DE35" s="244"/>
      <c r="DF35" s="244"/>
      <c r="DG35" s="244"/>
      <c r="DH35" s="244"/>
      <c r="DI35" s="244"/>
      <c r="DJ35" s="244"/>
      <c r="DK35" s="244"/>
      <c r="DL35" s="244"/>
      <c r="DM35" s="244"/>
      <c r="DN35" s="244"/>
      <c r="DO35" s="244"/>
      <c r="DP35" s="244"/>
      <c r="DQ35" s="244"/>
      <c r="DR35" s="244"/>
      <c r="DS35" s="244"/>
      <c r="DT35" s="244"/>
      <c r="DU35" s="244"/>
      <c r="DV35" s="244"/>
      <c r="DW35" s="244">
        <v>42097.620833333298</v>
      </c>
      <c r="DX35" s="244"/>
      <c r="DY35" s="244"/>
      <c r="DZ35" s="244"/>
      <c r="EA35" s="244"/>
      <c r="EB35" s="244">
        <v>42097.590277777803</v>
      </c>
      <c r="EC35" s="244">
        <v>42109.622916666704</v>
      </c>
      <c r="ED35" s="244">
        <v>42079.476388888899</v>
      </c>
      <c r="EE35" s="244">
        <v>42081.491666666698</v>
      </c>
      <c r="EF35" s="244">
        <v>42081.495138888902</v>
      </c>
      <c r="EG35" s="244">
        <v>41717.397916666698</v>
      </c>
      <c r="EH35" s="244"/>
      <c r="EI35" s="244"/>
      <c r="EJ35" s="244"/>
      <c r="EK35" s="244"/>
      <c r="EL35" s="244">
        <v>41426</v>
      </c>
      <c r="EM35" s="244">
        <v>41426</v>
      </c>
      <c r="EN35" s="244">
        <v>41426</v>
      </c>
      <c r="EO35" s="244">
        <v>41426</v>
      </c>
      <c r="EP35" s="244">
        <v>41426</v>
      </c>
      <c r="EQ35" s="244"/>
      <c r="ER35" s="244"/>
      <c r="ES35" s="244"/>
      <c r="ET35" s="244"/>
      <c r="EU35" s="244"/>
      <c r="EV35" s="244">
        <v>42109.622916666704</v>
      </c>
    </row>
    <row r="36" spans="1:152">
      <c r="A36" s="269" t="s">
        <v>150</v>
      </c>
      <c r="B36" s="244"/>
      <c r="C36" s="244">
        <v>42108.401388888902</v>
      </c>
      <c r="D36" s="244"/>
      <c r="E36" s="244">
        <v>42103.463888888902</v>
      </c>
      <c r="F36" s="244">
        <v>42107.663888888899</v>
      </c>
      <c r="G36" s="244"/>
      <c r="H36" s="244">
        <v>42107.509722222203</v>
      </c>
      <c r="I36" s="244">
        <v>41960.475694444402</v>
      </c>
      <c r="J36" s="244"/>
      <c r="K36" s="244">
        <v>42067.474305555603</v>
      </c>
      <c r="L36" s="244">
        <v>42067.475694444402</v>
      </c>
      <c r="M36" s="244">
        <v>42067.478472222203</v>
      </c>
      <c r="N36" s="244">
        <v>41960.4555555556</v>
      </c>
      <c r="O36" s="244"/>
      <c r="P36" s="244">
        <v>42106.672222222202</v>
      </c>
      <c r="Q36" s="244">
        <v>42046</v>
      </c>
      <c r="R36" s="244">
        <v>42096.324999999997</v>
      </c>
      <c r="S36" s="244">
        <v>42039.362500000003</v>
      </c>
      <c r="T36" s="244">
        <v>42104.818055555603</v>
      </c>
      <c r="U36" s="244"/>
      <c r="V36" s="244">
        <v>42005.720138888901</v>
      </c>
      <c r="W36" s="244"/>
      <c r="X36" s="244">
        <v>41948.541666666701</v>
      </c>
      <c r="Y36" s="244"/>
      <c r="Z36" s="244"/>
      <c r="AA36" s="244">
        <v>42082.475694444402</v>
      </c>
      <c r="AB36" s="244"/>
      <c r="AC36" s="244">
        <v>42082.592361111099</v>
      </c>
      <c r="AD36" s="244"/>
      <c r="AE36" s="244"/>
      <c r="AF36" s="244"/>
      <c r="AG36" s="244">
        <v>40192</v>
      </c>
      <c r="AH36" s="244">
        <v>41949.581250000003</v>
      </c>
      <c r="AI36" s="244"/>
      <c r="AJ36" s="244"/>
      <c r="AK36" s="244">
        <v>41857</v>
      </c>
      <c r="AL36" s="244"/>
      <c r="AM36" s="244">
        <v>42058</v>
      </c>
      <c r="AN36" s="244"/>
      <c r="AO36" s="244"/>
      <c r="AP36" s="244">
        <v>41968</v>
      </c>
      <c r="AQ36" s="244">
        <v>41968</v>
      </c>
      <c r="AR36" s="244"/>
      <c r="AS36" s="244"/>
      <c r="AT36" s="244"/>
      <c r="AU36" s="244"/>
      <c r="AV36" s="244"/>
      <c r="AW36" s="244"/>
      <c r="AX36" s="244"/>
      <c r="AY36" s="244"/>
      <c r="AZ36" s="244"/>
      <c r="BA36" s="244"/>
      <c r="BB36" s="244"/>
      <c r="BC36" s="244"/>
      <c r="BD36" s="244">
        <v>41936.429861111101</v>
      </c>
      <c r="BE36" s="244">
        <v>42049.664583333302</v>
      </c>
      <c r="BF36" s="244">
        <v>41956.486111111102</v>
      </c>
      <c r="BG36" s="244">
        <v>42059.914583333302</v>
      </c>
      <c r="BH36" s="244">
        <v>41772.4152777778</v>
      </c>
      <c r="BI36" s="244">
        <v>42059.913888888899</v>
      </c>
      <c r="BJ36" s="244">
        <v>42059.910416666702</v>
      </c>
      <c r="BK36" s="244">
        <v>42003</v>
      </c>
      <c r="BL36" s="244">
        <v>42059.911805555603</v>
      </c>
      <c r="BM36" s="244">
        <v>42060.9</v>
      </c>
      <c r="BN36" s="244">
        <v>42079.594444444403</v>
      </c>
      <c r="BO36" s="244">
        <v>42007.479166666701</v>
      </c>
      <c r="BP36" s="244">
        <v>42008.474305555603</v>
      </c>
      <c r="BQ36" s="244">
        <v>41968</v>
      </c>
      <c r="BR36" s="244">
        <v>41968</v>
      </c>
      <c r="BS36" s="244">
        <v>42082.648611111101</v>
      </c>
      <c r="BT36" s="244"/>
      <c r="BU36" s="244"/>
      <c r="BV36" s="244"/>
      <c r="BW36" s="244"/>
      <c r="BX36" s="244"/>
      <c r="BY36" s="244"/>
      <c r="BZ36" s="244">
        <v>39995</v>
      </c>
      <c r="CA36" s="244">
        <v>39995</v>
      </c>
      <c r="CB36" s="244">
        <v>39995</v>
      </c>
      <c r="CC36" s="244">
        <v>39995</v>
      </c>
      <c r="CD36" s="244">
        <v>39995</v>
      </c>
      <c r="CE36" s="244">
        <v>39995</v>
      </c>
      <c r="CF36" s="244">
        <v>42095</v>
      </c>
      <c r="CG36" s="244">
        <v>40695</v>
      </c>
      <c r="CH36" s="244">
        <v>39661</v>
      </c>
      <c r="CI36" s="244">
        <v>40026</v>
      </c>
      <c r="CJ36" s="244">
        <v>39995</v>
      </c>
      <c r="CK36" s="244">
        <v>39873</v>
      </c>
      <c r="CL36" s="244">
        <v>39995</v>
      </c>
      <c r="CM36" s="244">
        <v>39995</v>
      </c>
      <c r="CN36" s="244">
        <v>39995</v>
      </c>
      <c r="CO36" s="244">
        <v>39995</v>
      </c>
      <c r="CP36" s="244">
        <v>41306</v>
      </c>
      <c r="CQ36" s="244">
        <v>41306</v>
      </c>
      <c r="CR36" s="244">
        <v>41306</v>
      </c>
      <c r="CS36" s="244">
        <v>39995</v>
      </c>
      <c r="CT36" s="244">
        <v>39995</v>
      </c>
      <c r="CU36" s="244">
        <v>39995</v>
      </c>
      <c r="CV36" s="244">
        <v>39995</v>
      </c>
      <c r="CW36" s="244"/>
      <c r="CX36" s="244"/>
      <c r="CY36" s="244"/>
      <c r="CZ36" s="244"/>
      <c r="DA36" s="244"/>
      <c r="DB36" s="244">
        <v>42019</v>
      </c>
      <c r="DC36" s="244">
        <v>39995</v>
      </c>
      <c r="DD36" s="244">
        <v>39995</v>
      </c>
      <c r="DE36" s="244"/>
      <c r="DF36" s="244"/>
      <c r="DG36" s="244">
        <v>42110.621527777803</v>
      </c>
      <c r="DH36" s="244">
        <v>42107.471527777801</v>
      </c>
      <c r="DI36" s="244">
        <v>41968.8034722222</v>
      </c>
      <c r="DJ36" s="244">
        <v>42107.510416666701</v>
      </c>
      <c r="DK36" s="244">
        <v>41960.45</v>
      </c>
      <c r="DL36" s="244"/>
      <c r="DM36" s="244">
        <v>41949.581944444399</v>
      </c>
      <c r="DN36" s="244">
        <v>41862.645138888904</v>
      </c>
      <c r="DO36" s="244">
        <v>41911</v>
      </c>
      <c r="DP36" s="244">
        <v>42050.476388888899</v>
      </c>
      <c r="DQ36" s="244">
        <v>41949.647916666698</v>
      </c>
      <c r="DR36" s="244"/>
      <c r="DS36" s="244">
        <v>42094.400000000001</v>
      </c>
      <c r="DT36" s="244">
        <v>42027.372916666704</v>
      </c>
      <c r="DU36" s="244"/>
      <c r="DV36" s="244"/>
      <c r="DW36" s="244">
        <v>42101.6159722222</v>
      </c>
      <c r="DX36" s="244">
        <v>41949.438194444403</v>
      </c>
      <c r="DY36" s="244"/>
      <c r="DZ36" s="244">
        <v>41968</v>
      </c>
      <c r="EA36" s="244"/>
      <c r="EB36" s="244">
        <v>42109.496527777803</v>
      </c>
      <c r="EC36" s="244">
        <v>42101.646527777797</v>
      </c>
      <c r="ED36" s="244">
        <v>41968</v>
      </c>
      <c r="EE36" s="244">
        <v>42071.620833333298</v>
      </c>
      <c r="EF36" s="244">
        <v>42071.621527777803</v>
      </c>
      <c r="EG36" s="244">
        <v>42042.555555555598</v>
      </c>
      <c r="EH36" s="244">
        <v>41911</v>
      </c>
      <c r="EI36" s="244"/>
      <c r="EJ36" s="244"/>
      <c r="EK36" s="244"/>
      <c r="EL36" s="244">
        <v>41968</v>
      </c>
      <c r="EM36" s="244">
        <v>41365</v>
      </c>
      <c r="EN36" s="244">
        <v>41365</v>
      </c>
      <c r="EO36" s="244">
        <v>41365</v>
      </c>
      <c r="EP36" s="244">
        <v>41365</v>
      </c>
      <c r="EQ36" s="244"/>
      <c r="ER36" s="244"/>
      <c r="ES36" s="244"/>
      <c r="ET36" s="244"/>
      <c r="EU36" s="244">
        <v>42082</v>
      </c>
      <c r="EV36" s="244">
        <v>42110.621527777803</v>
      </c>
    </row>
    <row r="37" spans="1:152">
      <c r="A37" s="270" t="s">
        <v>87</v>
      </c>
      <c r="B37" s="244"/>
      <c r="C37" s="244">
        <v>42108.401388888902</v>
      </c>
      <c r="D37" s="244"/>
      <c r="E37" s="244">
        <v>42103.463888888902</v>
      </c>
      <c r="F37" s="244">
        <v>42107.663888888899</v>
      </c>
      <c r="G37" s="244"/>
      <c r="H37" s="244">
        <v>42107.509722222203</v>
      </c>
      <c r="I37" s="244">
        <v>41960.475694444402</v>
      </c>
      <c r="J37" s="244"/>
      <c r="K37" s="244">
        <v>42067.474305555603</v>
      </c>
      <c r="L37" s="244">
        <v>42067.475694444402</v>
      </c>
      <c r="M37" s="244">
        <v>42067.478472222203</v>
      </c>
      <c r="N37" s="244">
        <v>41960.4555555556</v>
      </c>
      <c r="O37" s="244"/>
      <c r="P37" s="244">
        <v>42106.672222222202</v>
      </c>
      <c r="Q37" s="244">
        <v>42046</v>
      </c>
      <c r="R37" s="244">
        <v>42096.324999999997</v>
      </c>
      <c r="S37" s="244">
        <v>42039.362500000003</v>
      </c>
      <c r="T37" s="244">
        <v>42104.818055555603</v>
      </c>
      <c r="U37" s="244"/>
      <c r="V37" s="244"/>
      <c r="W37" s="244"/>
      <c r="X37" s="244"/>
      <c r="Y37" s="244"/>
      <c r="Z37" s="244"/>
      <c r="AA37" s="244">
        <v>42082.475694444402</v>
      </c>
      <c r="AB37" s="244"/>
      <c r="AC37" s="244">
        <v>42082.592361111099</v>
      </c>
      <c r="AD37" s="244"/>
      <c r="AE37" s="244"/>
      <c r="AF37" s="244"/>
      <c r="AG37" s="244"/>
      <c r="AH37" s="244">
        <v>41949.581250000003</v>
      </c>
      <c r="AI37" s="244"/>
      <c r="AJ37" s="244"/>
      <c r="AK37" s="244">
        <v>41857</v>
      </c>
      <c r="AL37" s="244"/>
      <c r="AM37" s="244"/>
      <c r="AN37" s="244"/>
      <c r="AO37" s="244"/>
      <c r="AP37" s="244">
        <v>41968</v>
      </c>
      <c r="AQ37" s="244">
        <v>41968</v>
      </c>
      <c r="AR37" s="244"/>
      <c r="AS37" s="244"/>
      <c r="AT37" s="244"/>
      <c r="AU37" s="244"/>
      <c r="AV37" s="244"/>
      <c r="AW37" s="244"/>
      <c r="AX37" s="244"/>
      <c r="AY37" s="244"/>
      <c r="AZ37" s="244"/>
      <c r="BA37" s="244"/>
      <c r="BB37" s="244"/>
      <c r="BC37" s="244"/>
      <c r="BD37" s="244">
        <v>41936.429861111101</v>
      </c>
      <c r="BE37" s="244">
        <v>42049.664583333302</v>
      </c>
      <c r="BF37" s="244">
        <v>41956.486111111102</v>
      </c>
      <c r="BG37" s="244">
        <v>42059.914583333302</v>
      </c>
      <c r="BH37" s="244">
        <v>41772.4152777778</v>
      </c>
      <c r="BI37" s="244">
        <v>42059.913888888899</v>
      </c>
      <c r="BJ37" s="244">
        <v>42059.910416666702</v>
      </c>
      <c r="BK37" s="244">
        <v>42003</v>
      </c>
      <c r="BL37" s="244">
        <v>42059.911805555603</v>
      </c>
      <c r="BM37" s="244">
        <v>42060.9</v>
      </c>
      <c r="BN37" s="244">
        <v>42079.594444444403</v>
      </c>
      <c r="BO37" s="244">
        <v>42007.479166666701</v>
      </c>
      <c r="BP37" s="244">
        <v>42008.474305555603</v>
      </c>
      <c r="BQ37" s="244">
        <v>41968</v>
      </c>
      <c r="BR37" s="244">
        <v>41968</v>
      </c>
      <c r="BS37" s="244">
        <v>42082.648611111101</v>
      </c>
      <c r="BT37" s="244"/>
      <c r="BU37" s="244"/>
      <c r="BV37" s="244"/>
      <c r="BW37" s="244"/>
      <c r="BX37" s="244"/>
      <c r="BY37" s="244"/>
      <c r="BZ37" s="244">
        <v>39995</v>
      </c>
      <c r="CA37" s="244">
        <v>39995</v>
      </c>
      <c r="CB37" s="244">
        <v>39995</v>
      </c>
      <c r="CC37" s="244">
        <v>39995</v>
      </c>
      <c r="CD37" s="244">
        <v>39995</v>
      </c>
      <c r="CE37" s="244">
        <v>39995</v>
      </c>
      <c r="CF37" s="244">
        <v>42095</v>
      </c>
      <c r="CG37" s="244">
        <v>40695</v>
      </c>
      <c r="CH37" s="244">
        <v>39661</v>
      </c>
      <c r="CI37" s="244">
        <v>40026</v>
      </c>
      <c r="CJ37" s="244">
        <v>39995</v>
      </c>
      <c r="CK37" s="244">
        <v>39873</v>
      </c>
      <c r="CL37" s="244">
        <v>39995</v>
      </c>
      <c r="CM37" s="244">
        <v>39995</v>
      </c>
      <c r="CN37" s="244">
        <v>39995</v>
      </c>
      <c r="CO37" s="244">
        <v>39995</v>
      </c>
      <c r="CP37" s="244">
        <v>41306</v>
      </c>
      <c r="CQ37" s="244">
        <v>41306</v>
      </c>
      <c r="CR37" s="244">
        <v>41306</v>
      </c>
      <c r="CS37" s="244">
        <v>39995</v>
      </c>
      <c r="CT37" s="244">
        <v>39995</v>
      </c>
      <c r="CU37" s="244">
        <v>39995</v>
      </c>
      <c r="CV37" s="244">
        <v>39995</v>
      </c>
      <c r="CW37" s="244"/>
      <c r="CX37" s="244"/>
      <c r="CY37" s="244"/>
      <c r="CZ37" s="244"/>
      <c r="DA37" s="244"/>
      <c r="DB37" s="244">
        <v>42019</v>
      </c>
      <c r="DC37" s="244">
        <v>39995</v>
      </c>
      <c r="DD37" s="244">
        <v>39995</v>
      </c>
      <c r="DE37" s="244"/>
      <c r="DF37" s="244"/>
      <c r="DG37" s="244">
        <v>42110.621527777803</v>
      </c>
      <c r="DH37" s="244">
        <v>42107.471527777801</v>
      </c>
      <c r="DI37" s="244">
        <v>41968.8034722222</v>
      </c>
      <c r="DJ37" s="244">
        <v>42107.510416666701</v>
      </c>
      <c r="DK37" s="244">
        <v>41960.45</v>
      </c>
      <c r="DL37" s="244"/>
      <c r="DM37" s="244"/>
      <c r="DN37" s="244"/>
      <c r="DO37" s="244"/>
      <c r="DP37" s="244"/>
      <c r="DQ37" s="244"/>
      <c r="DR37" s="244"/>
      <c r="DS37" s="244"/>
      <c r="DT37" s="244"/>
      <c r="DU37" s="244"/>
      <c r="DV37" s="244"/>
      <c r="DW37" s="244"/>
      <c r="DX37" s="244"/>
      <c r="DY37" s="244"/>
      <c r="DZ37" s="244"/>
      <c r="EA37" s="244"/>
      <c r="EB37" s="244"/>
      <c r="EC37" s="244"/>
      <c r="ED37" s="244"/>
      <c r="EE37" s="244"/>
      <c r="EF37" s="244"/>
      <c r="EG37" s="244"/>
      <c r="EH37" s="244"/>
      <c r="EI37" s="244"/>
      <c r="EJ37" s="244"/>
      <c r="EK37" s="244"/>
      <c r="EL37" s="244"/>
      <c r="EM37" s="244"/>
      <c r="EN37" s="244"/>
      <c r="EO37" s="244"/>
      <c r="EP37" s="244"/>
      <c r="EQ37" s="244"/>
      <c r="ER37" s="244"/>
      <c r="ES37" s="244"/>
      <c r="ET37" s="244"/>
      <c r="EU37" s="244">
        <v>42082</v>
      </c>
      <c r="EV37" s="244">
        <v>42110.621527777803</v>
      </c>
    </row>
    <row r="38" spans="1:152">
      <c r="A38" s="270" t="s">
        <v>172</v>
      </c>
      <c r="B38" s="244"/>
      <c r="C38" s="244"/>
      <c r="D38" s="244"/>
      <c r="E38" s="244">
        <v>42060.459027777797</v>
      </c>
      <c r="F38" s="244"/>
      <c r="G38" s="244"/>
      <c r="H38" s="244"/>
      <c r="I38" s="244"/>
      <c r="J38" s="244"/>
      <c r="K38" s="244"/>
      <c r="L38" s="244"/>
      <c r="M38" s="244"/>
      <c r="N38" s="244"/>
      <c r="O38" s="244"/>
      <c r="P38" s="244">
        <v>42038.541666666701</v>
      </c>
      <c r="Q38" s="244"/>
      <c r="R38" s="244"/>
      <c r="S38" s="244"/>
      <c r="T38" s="244"/>
      <c r="U38" s="244"/>
      <c r="V38" s="244">
        <v>42005.720138888901</v>
      </c>
      <c r="W38" s="244"/>
      <c r="X38" s="244">
        <v>41948.541666666701</v>
      </c>
      <c r="Y38" s="244"/>
      <c r="Z38" s="244"/>
      <c r="AA38" s="244"/>
      <c r="AB38" s="244"/>
      <c r="AC38" s="244"/>
      <c r="AD38" s="244"/>
      <c r="AE38" s="244"/>
      <c r="AF38" s="244"/>
      <c r="AG38" s="244">
        <v>40192</v>
      </c>
      <c r="AH38" s="244"/>
      <c r="AI38" s="244"/>
      <c r="AJ38" s="244"/>
      <c r="AK38" s="244"/>
      <c r="AL38" s="244"/>
      <c r="AM38" s="244">
        <v>42058</v>
      </c>
      <c r="AN38" s="244"/>
      <c r="AO38" s="244"/>
      <c r="AP38" s="244"/>
      <c r="AQ38" s="244"/>
      <c r="AR38" s="244"/>
      <c r="AS38" s="244"/>
      <c r="AT38" s="244"/>
      <c r="AU38" s="244"/>
      <c r="AV38" s="244"/>
      <c r="AW38" s="244"/>
      <c r="AX38" s="244"/>
      <c r="AY38" s="244"/>
      <c r="AZ38" s="244"/>
      <c r="BA38" s="244"/>
      <c r="BB38" s="244"/>
      <c r="BC38" s="244"/>
      <c r="BD38" s="244"/>
      <c r="BE38" s="244"/>
      <c r="BF38" s="244"/>
      <c r="BG38" s="244"/>
      <c r="BH38" s="244"/>
      <c r="BI38" s="244"/>
      <c r="BJ38" s="244"/>
      <c r="BK38" s="244"/>
      <c r="BL38" s="244"/>
      <c r="BM38" s="244"/>
      <c r="BN38" s="244"/>
      <c r="BO38" s="244"/>
      <c r="BP38" s="244"/>
      <c r="BQ38" s="244"/>
      <c r="BR38" s="244"/>
      <c r="BS38" s="244"/>
      <c r="BT38" s="244"/>
      <c r="BU38" s="244"/>
      <c r="BV38" s="244"/>
      <c r="BW38" s="244"/>
      <c r="BX38" s="244"/>
      <c r="BY38" s="244"/>
      <c r="BZ38" s="244"/>
      <c r="CA38" s="244"/>
      <c r="CB38" s="244"/>
      <c r="CC38" s="244"/>
      <c r="CD38" s="244"/>
      <c r="CE38" s="244"/>
      <c r="CF38" s="244"/>
      <c r="CG38" s="244"/>
      <c r="CH38" s="244"/>
      <c r="CI38" s="244"/>
      <c r="CJ38" s="244"/>
      <c r="CK38" s="244"/>
      <c r="CL38" s="244"/>
      <c r="CM38" s="244"/>
      <c r="CN38" s="244"/>
      <c r="CO38" s="244"/>
      <c r="CP38" s="244"/>
      <c r="CQ38" s="244"/>
      <c r="CR38" s="244"/>
      <c r="CS38" s="244"/>
      <c r="CT38" s="244"/>
      <c r="CU38" s="244"/>
      <c r="CV38" s="244"/>
      <c r="CW38" s="244"/>
      <c r="CX38" s="244"/>
      <c r="CY38" s="244"/>
      <c r="CZ38" s="244"/>
      <c r="DA38" s="244"/>
      <c r="DB38" s="244"/>
      <c r="DC38" s="244"/>
      <c r="DD38" s="244"/>
      <c r="DE38" s="244"/>
      <c r="DF38" s="244"/>
      <c r="DG38" s="244"/>
      <c r="DH38" s="244"/>
      <c r="DI38" s="244"/>
      <c r="DJ38" s="244"/>
      <c r="DK38" s="244"/>
      <c r="DL38" s="244"/>
      <c r="DM38" s="244">
        <v>41949.581944444399</v>
      </c>
      <c r="DN38" s="244">
        <v>41862.645138888904</v>
      </c>
      <c r="DO38" s="244">
        <v>41911</v>
      </c>
      <c r="DP38" s="244">
        <v>42050.476388888899</v>
      </c>
      <c r="DQ38" s="244">
        <v>41949.647916666698</v>
      </c>
      <c r="DR38" s="244"/>
      <c r="DS38" s="244">
        <v>42094.400000000001</v>
      </c>
      <c r="DT38" s="244">
        <v>42027.372916666704</v>
      </c>
      <c r="DU38" s="244"/>
      <c r="DV38" s="244"/>
      <c r="DW38" s="244"/>
      <c r="DX38" s="244">
        <v>41949.438194444403</v>
      </c>
      <c r="DY38" s="244"/>
      <c r="DZ38" s="244">
        <v>41968</v>
      </c>
      <c r="EA38" s="244"/>
      <c r="EB38" s="244"/>
      <c r="EC38" s="244"/>
      <c r="ED38" s="244"/>
      <c r="EE38" s="244"/>
      <c r="EF38" s="244"/>
      <c r="EG38" s="244"/>
      <c r="EH38" s="244"/>
      <c r="EI38" s="244"/>
      <c r="EJ38" s="244"/>
      <c r="EK38" s="244"/>
      <c r="EL38" s="244"/>
      <c r="EM38" s="244"/>
      <c r="EN38" s="244"/>
      <c r="EO38" s="244"/>
      <c r="EP38" s="244"/>
      <c r="EQ38" s="244"/>
      <c r="ER38" s="244"/>
      <c r="ES38" s="244"/>
      <c r="ET38" s="244"/>
      <c r="EU38" s="244"/>
      <c r="EV38" s="244">
        <v>42094.400000000001</v>
      </c>
    </row>
    <row r="39" spans="1:152">
      <c r="A39" s="270" t="s">
        <v>173</v>
      </c>
      <c r="B39" s="244"/>
      <c r="C39" s="244"/>
      <c r="D39" s="244"/>
      <c r="E39" s="244"/>
      <c r="F39" s="244"/>
      <c r="G39" s="244"/>
      <c r="H39" s="244"/>
      <c r="I39" s="244"/>
      <c r="J39" s="244"/>
      <c r="K39" s="244"/>
      <c r="L39" s="244"/>
      <c r="M39" s="244"/>
      <c r="N39" s="244"/>
      <c r="O39" s="244"/>
      <c r="P39" s="244"/>
      <c r="Q39" s="244"/>
      <c r="R39" s="244"/>
      <c r="S39" s="244"/>
      <c r="T39" s="244"/>
      <c r="U39" s="244"/>
      <c r="V39" s="244"/>
      <c r="W39" s="244"/>
      <c r="X39" s="244"/>
      <c r="Y39" s="244"/>
      <c r="Z39" s="244"/>
      <c r="AA39" s="244"/>
      <c r="AB39" s="244"/>
      <c r="AC39" s="244"/>
      <c r="AD39" s="244"/>
      <c r="AE39" s="244"/>
      <c r="AF39" s="244"/>
      <c r="AG39" s="244"/>
      <c r="AH39" s="244"/>
      <c r="AI39" s="244"/>
      <c r="AJ39" s="244"/>
      <c r="AK39" s="244"/>
      <c r="AL39" s="244"/>
      <c r="AM39" s="244"/>
      <c r="AN39" s="244"/>
      <c r="AO39" s="244"/>
      <c r="AP39" s="244"/>
      <c r="AQ39" s="244"/>
      <c r="AR39" s="244"/>
      <c r="AS39" s="244"/>
      <c r="AT39" s="244"/>
      <c r="AU39" s="244"/>
      <c r="AV39" s="244"/>
      <c r="AW39" s="244"/>
      <c r="AX39" s="244"/>
      <c r="AY39" s="244"/>
      <c r="AZ39" s="244"/>
      <c r="BA39" s="244"/>
      <c r="BB39" s="244"/>
      <c r="BC39" s="244"/>
      <c r="BD39" s="244"/>
      <c r="BE39" s="244"/>
      <c r="BF39" s="244"/>
      <c r="BG39" s="244"/>
      <c r="BH39" s="244"/>
      <c r="BI39" s="244"/>
      <c r="BJ39" s="244"/>
      <c r="BK39" s="244"/>
      <c r="BL39" s="244"/>
      <c r="BM39" s="244"/>
      <c r="BN39" s="244"/>
      <c r="BO39" s="244"/>
      <c r="BP39" s="244"/>
      <c r="BQ39" s="244"/>
      <c r="BR39" s="244"/>
      <c r="BS39" s="244"/>
      <c r="BT39" s="244"/>
      <c r="BU39" s="244"/>
      <c r="BV39" s="244"/>
      <c r="BW39" s="244"/>
      <c r="BX39" s="244"/>
      <c r="BY39" s="244"/>
      <c r="BZ39" s="244"/>
      <c r="CA39" s="244"/>
      <c r="CB39" s="244"/>
      <c r="CC39" s="244"/>
      <c r="CD39" s="244"/>
      <c r="CE39" s="244"/>
      <c r="CF39" s="244"/>
      <c r="CG39" s="244"/>
      <c r="CH39" s="244"/>
      <c r="CI39" s="244"/>
      <c r="CJ39" s="244"/>
      <c r="CK39" s="244"/>
      <c r="CL39" s="244"/>
      <c r="CM39" s="244"/>
      <c r="CN39" s="244"/>
      <c r="CO39" s="244"/>
      <c r="CP39" s="244"/>
      <c r="CQ39" s="244"/>
      <c r="CR39" s="244"/>
      <c r="CS39" s="244"/>
      <c r="CT39" s="244"/>
      <c r="CU39" s="244"/>
      <c r="CV39" s="244"/>
      <c r="CW39" s="244"/>
      <c r="CX39" s="244"/>
      <c r="CY39" s="244"/>
      <c r="CZ39" s="244"/>
      <c r="DA39" s="244"/>
      <c r="DB39" s="244"/>
      <c r="DC39" s="244"/>
      <c r="DD39" s="244"/>
      <c r="DE39" s="244"/>
      <c r="DF39" s="244"/>
      <c r="DG39" s="244"/>
      <c r="DH39" s="244"/>
      <c r="DI39" s="244"/>
      <c r="DJ39" s="244"/>
      <c r="DK39" s="244"/>
      <c r="DL39" s="244"/>
      <c r="DM39" s="244"/>
      <c r="DN39" s="244"/>
      <c r="DO39" s="244"/>
      <c r="DP39" s="244"/>
      <c r="DQ39" s="244"/>
      <c r="DR39" s="244"/>
      <c r="DS39" s="244"/>
      <c r="DT39" s="244"/>
      <c r="DU39" s="244"/>
      <c r="DV39" s="244"/>
      <c r="DW39" s="244">
        <v>42101.6159722222</v>
      </c>
      <c r="DX39" s="244"/>
      <c r="DY39" s="244"/>
      <c r="DZ39" s="244"/>
      <c r="EA39" s="244"/>
      <c r="EB39" s="244">
        <v>42109.496527777803</v>
      </c>
      <c r="EC39" s="244">
        <v>42101.646527777797</v>
      </c>
      <c r="ED39" s="244">
        <v>41968</v>
      </c>
      <c r="EE39" s="244">
        <v>42071.620833333298</v>
      </c>
      <c r="EF39" s="244">
        <v>42071.621527777803</v>
      </c>
      <c r="EG39" s="244">
        <v>42042.555555555598</v>
      </c>
      <c r="EH39" s="244">
        <v>41911</v>
      </c>
      <c r="EI39" s="244"/>
      <c r="EJ39" s="244"/>
      <c r="EK39" s="244"/>
      <c r="EL39" s="244">
        <v>41968</v>
      </c>
      <c r="EM39" s="244">
        <v>41365</v>
      </c>
      <c r="EN39" s="244">
        <v>41365</v>
      </c>
      <c r="EO39" s="244">
        <v>41365</v>
      </c>
      <c r="EP39" s="244">
        <v>41365</v>
      </c>
      <c r="EQ39" s="244"/>
      <c r="ER39" s="244"/>
      <c r="ES39" s="244"/>
      <c r="ET39" s="244"/>
      <c r="EU39" s="244"/>
      <c r="EV39" s="244">
        <v>42109.496527777803</v>
      </c>
    </row>
    <row r="40" spans="1:152">
      <c r="A40" s="269" t="s">
        <v>151</v>
      </c>
      <c r="B40" s="244"/>
      <c r="C40" s="244">
        <v>42060.3840277778</v>
      </c>
      <c r="D40" s="244"/>
      <c r="E40" s="244">
        <v>42059.357638888898</v>
      </c>
      <c r="F40" s="244">
        <v>42059.372222222199</v>
      </c>
      <c r="G40" s="244"/>
      <c r="H40" s="244">
        <v>42053.410416666702</v>
      </c>
      <c r="I40" s="244"/>
      <c r="J40" s="244"/>
      <c r="K40" s="244">
        <v>42053.5493055556</v>
      </c>
      <c r="L40" s="244">
        <v>42053.55</v>
      </c>
      <c r="M40" s="244">
        <v>42053.550694444399</v>
      </c>
      <c r="N40" s="244"/>
      <c r="O40" s="244"/>
      <c r="P40" s="244">
        <v>42059</v>
      </c>
      <c r="Q40" s="244">
        <v>42059</v>
      </c>
      <c r="R40" s="244">
        <v>42060.454166666699</v>
      </c>
      <c r="S40" s="244">
        <v>41982.702083333301</v>
      </c>
      <c r="T40" s="244"/>
      <c r="U40" s="244"/>
      <c r="V40" s="244">
        <v>41985.686805555597</v>
      </c>
      <c r="W40" s="244"/>
      <c r="X40" s="244">
        <v>41985</v>
      </c>
      <c r="Y40" s="244"/>
      <c r="Z40" s="244"/>
      <c r="AA40" s="244">
        <v>42019.847916666702</v>
      </c>
      <c r="AB40" s="244"/>
      <c r="AC40" s="244">
        <v>41991</v>
      </c>
      <c r="AD40" s="244"/>
      <c r="AE40" s="244"/>
      <c r="AF40" s="244"/>
      <c r="AG40" s="244">
        <v>40203</v>
      </c>
      <c r="AH40" s="244">
        <v>41968.538194444402</v>
      </c>
      <c r="AI40" s="244"/>
      <c r="AJ40" s="244"/>
      <c r="AK40" s="244"/>
      <c r="AL40" s="244"/>
      <c r="AM40" s="244"/>
      <c r="AN40" s="244"/>
      <c r="AO40" s="244"/>
      <c r="AP40" s="244">
        <v>41983</v>
      </c>
      <c r="AQ40" s="244">
        <v>41983</v>
      </c>
      <c r="AR40" s="244"/>
      <c r="AS40" s="244"/>
      <c r="AT40" s="244"/>
      <c r="AU40" s="244"/>
      <c r="AV40" s="244"/>
      <c r="AW40" s="244"/>
      <c r="AX40" s="244"/>
      <c r="AY40" s="244"/>
      <c r="AZ40" s="244"/>
      <c r="BA40" s="244"/>
      <c r="BB40" s="244"/>
      <c r="BC40" s="244"/>
      <c r="BD40" s="244">
        <v>41987.9555555556</v>
      </c>
      <c r="BE40" s="244">
        <v>42040.648611111101</v>
      </c>
      <c r="BF40" s="244">
        <v>41869.380555555603</v>
      </c>
      <c r="BG40" s="244">
        <v>41984.777777777803</v>
      </c>
      <c r="BH40" s="244">
        <v>41984</v>
      </c>
      <c r="BI40" s="244">
        <v>41984</v>
      </c>
      <c r="BJ40" s="244">
        <v>41984</v>
      </c>
      <c r="BK40" s="244">
        <v>41703</v>
      </c>
      <c r="BL40" s="244">
        <v>41984</v>
      </c>
      <c r="BM40" s="244">
        <v>41984</v>
      </c>
      <c r="BN40" s="244">
        <v>41862</v>
      </c>
      <c r="BO40" s="244">
        <v>42031.496527777803</v>
      </c>
      <c r="BP40" s="244">
        <v>42031.497916666704</v>
      </c>
      <c r="BQ40" s="244"/>
      <c r="BR40" s="244">
        <v>41901</v>
      </c>
      <c r="BS40" s="244">
        <v>41312</v>
      </c>
      <c r="BT40" s="244"/>
      <c r="BU40" s="244"/>
      <c r="BV40" s="244"/>
      <c r="BW40" s="244"/>
      <c r="BX40" s="244"/>
      <c r="BY40" s="244"/>
      <c r="BZ40" s="244">
        <v>39995</v>
      </c>
      <c r="CA40" s="244">
        <v>39995</v>
      </c>
      <c r="CB40" s="244">
        <v>39995</v>
      </c>
      <c r="CC40" s="244">
        <v>39995</v>
      </c>
      <c r="CD40" s="244">
        <v>39995</v>
      </c>
      <c r="CE40" s="244">
        <v>39995</v>
      </c>
      <c r="CF40" s="244">
        <v>39934</v>
      </c>
      <c r="CG40" s="244">
        <v>41976.629861111098</v>
      </c>
      <c r="CH40" s="244">
        <v>39661</v>
      </c>
      <c r="CI40" s="244">
        <v>40238</v>
      </c>
      <c r="CJ40" s="244">
        <v>39995</v>
      </c>
      <c r="CK40" s="244">
        <v>39995</v>
      </c>
      <c r="CL40" s="244">
        <v>39995</v>
      </c>
      <c r="CM40" s="244">
        <v>39995</v>
      </c>
      <c r="CN40" s="244">
        <v>39995</v>
      </c>
      <c r="CO40" s="244">
        <v>41395</v>
      </c>
      <c r="CP40" s="244">
        <v>39995</v>
      </c>
      <c r="CQ40" s="244">
        <v>39995</v>
      </c>
      <c r="CR40" s="244">
        <v>39995</v>
      </c>
      <c r="CS40" s="244">
        <v>38018</v>
      </c>
      <c r="CT40" s="244">
        <v>38018</v>
      </c>
      <c r="CU40" s="244">
        <v>39995</v>
      </c>
      <c r="CV40" s="244">
        <v>38473</v>
      </c>
      <c r="CW40" s="244"/>
      <c r="CX40" s="244"/>
      <c r="CY40" s="244"/>
      <c r="CZ40" s="244"/>
      <c r="DA40" s="244"/>
      <c r="DB40" s="244">
        <v>42050</v>
      </c>
      <c r="DC40" s="244">
        <v>38018</v>
      </c>
      <c r="DD40" s="244">
        <v>39995</v>
      </c>
      <c r="DE40" s="244"/>
      <c r="DF40" s="244"/>
      <c r="DG40" s="244">
        <v>42040.851388888899</v>
      </c>
      <c r="DH40" s="244">
        <v>42053.397916666698</v>
      </c>
      <c r="DI40" s="244">
        <v>41886</v>
      </c>
      <c r="DJ40" s="244">
        <v>42053</v>
      </c>
      <c r="DK40" s="244"/>
      <c r="DL40" s="244"/>
      <c r="DM40" s="244"/>
      <c r="DN40" s="244"/>
      <c r="DO40" s="244"/>
      <c r="DP40" s="244">
        <v>41977.554861111101</v>
      </c>
      <c r="DQ40" s="244">
        <v>42056</v>
      </c>
      <c r="DR40" s="244"/>
      <c r="DS40" s="244">
        <v>42056</v>
      </c>
      <c r="DT40" s="244">
        <v>41990</v>
      </c>
      <c r="DU40" s="244"/>
      <c r="DV40" s="244"/>
      <c r="DW40" s="244">
        <v>42041.845833333296</v>
      </c>
      <c r="DX40" s="244">
        <v>41965.890972222202</v>
      </c>
      <c r="DY40" s="244"/>
      <c r="DZ40" s="244">
        <v>41901</v>
      </c>
      <c r="EA40" s="244"/>
      <c r="EB40" s="244">
        <v>42059.468055555597</v>
      </c>
      <c r="EC40" s="244">
        <v>42062.542361111096</v>
      </c>
      <c r="ED40" s="244">
        <v>41903</v>
      </c>
      <c r="EE40" s="244">
        <v>42056.479861111096</v>
      </c>
      <c r="EF40" s="244">
        <v>42056.479861111096</v>
      </c>
      <c r="EG40" s="244">
        <v>41723</v>
      </c>
      <c r="EH40" s="244"/>
      <c r="EI40" s="244"/>
      <c r="EJ40" s="244"/>
      <c r="EK40" s="244"/>
      <c r="EL40" s="244">
        <v>41334</v>
      </c>
      <c r="EM40" s="244">
        <v>41334</v>
      </c>
      <c r="EN40" s="244">
        <v>41334</v>
      </c>
      <c r="EO40" s="244">
        <v>41334</v>
      </c>
      <c r="EP40" s="244">
        <v>41334</v>
      </c>
      <c r="EQ40" s="244"/>
      <c r="ER40" s="244"/>
      <c r="ES40" s="244"/>
      <c r="ET40" s="244"/>
      <c r="EU40" s="244"/>
      <c r="EV40" s="244">
        <v>42062.542361111096</v>
      </c>
    </row>
    <row r="41" spans="1:152">
      <c r="A41" s="270" t="s">
        <v>87</v>
      </c>
      <c r="B41" s="244"/>
      <c r="C41" s="244">
        <v>42060.3840277778</v>
      </c>
      <c r="D41" s="244"/>
      <c r="E41" s="244">
        <v>42052.711805555598</v>
      </c>
      <c r="F41" s="244">
        <v>42059.372222222199</v>
      </c>
      <c r="G41" s="244"/>
      <c r="H41" s="244">
        <v>42053.410416666702</v>
      </c>
      <c r="I41" s="244"/>
      <c r="J41" s="244"/>
      <c r="K41" s="244">
        <v>42053.5493055556</v>
      </c>
      <c r="L41" s="244">
        <v>42053.55</v>
      </c>
      <c r="M41" s="244">
        <v>42053.550694444399</v>
      </c>
      <c r="N41" s="244"/>
      <c r="O41" s="244"/>
      <c r="P41" s="244">
        <v>42059</v>
      </c>
      <c r="Q41" s="244">
        <v>42059</v>
      </c>
      <c r="R41" s="244">
        <v>42060.454166666699</v>
      </c>
      <c r="S41" s="244">
        <v>41982.702083333301</v>
      </c>
      <c r="T41" s="244"/>
      <c r="U41" s="244"/>
      <c r="V41" s="244"/>
      <c r="W41" s="244"/>
      <c r="X41" s="244"/>
      <c r="Y41" s="244"/>
      <c r="Z41" s="244"/>
      <c r="AA41" s="244">
        <v>42019.847916666702</v>
      </c>
      <c r="AB41" s="244"/>
      <c r="AC41" s="244">
        <v>41991</v>
      </c>
      <c r="AD41" s="244"/>
      <c r="AE41" s="244"/>
      <c r="AF41" s="244"/>
      <c r="AG41" s="244"/>
      <c r="AH41" s="244">
        <v>41968.538194444402</v>
      </c>
      <c r="AI41" s="244"/>
      <c r="AJ41" s="244"/>
      <c r="AK41" s="244"/>
      <c r="AL41" s="244"/>
      <c r="AM41" s="244"/>
      <c r="AN41" s="244"/>
      <c r="AO41" s="244"/>
      <c r="AP41" s="244">
        <v>41983</v>
      </c>
      <c r="AQ41" s="244">
        <v>41983</v>
      </c>
      <c r="AR41" s="244"/>
      <c r="AS41" s="244"/>
      <c r="AT41" s="244"/>
      <c r="AU41" s="244"/>
      <c r="AV41" s="244"/>
      <c r="AW41" s="244"/>
      <c r="AX41" s="244"/>
      <c r="AY41" s="244"/>
      <c r="AZ41" s="244"/>
      <c r="BA41" s="244"/>
      <c r="BB41" s="244"/>
      <c r="BC41" s="244"/>
      <c r="BD41" s="244">
        <v>41987.9555555556</v>
      </c>
      <c r="BE41" s="244">
        <v>42040.648611111101</v>
      </c>
      <c r="BF41" s="244">
        <v>41869.380555555603</v>
      </c>
      <c r="BG41" s="244">
        <v>41984.777777777803</v>
      </c>
      <c r="BH41" s="244">
        <v>41984</v>
      </c>
      <c r="BI41" s="244">
        <v>41984</v>
      </c>
      <c r="BJ41" s="244">
        <v>41984</v>
      </c>
      <c r="BK41" s="244">
        <v>41703</v>
      </c>
      <c r="BL41" s="244">
        <v>41984</v>
      </c>
      <c r="BM41" s="244">
        <v>41984</v>
      </c>
      <c r="BN41" s="244">
        <v>41862</v>
      </c>
      <c r="BO41" s="244">
        <v>42031.496527777803</v>
      </c>
      <c r="BP41" s="244">
        <v>42031.497916666704</v>
      </c>
      <c r="BQ41" s="244"/>
      <c r="BR41" s="244">
        <v>41901</v>
      </c>
      <c r="BS41" s="244">
        <v>41312</v>
      </c>
      <c r="BT41" s="244"/>
      <c r="BU41" s="244"/>
      <c r="BV41" s="244"/>
      <c r="BW41" s="244"/>
      <c r="BX41" s="244"/>
      <c r="BY41" s="244"/>
      <c r="BZ41" s="244">
        <v>39995</v>
      </c>
      <c r="CA41" s="244">
        <v>39995</v>
      </c>
      <c r="CB41" s="244">
        <v>39995</v>
      </c>
      <c r="CC41" s="244">
        <v>39995</v>
      </c>
      <c r="CD41" s="244">
        <v>39995</v>
      </c>
      <c r="CE41" s="244">
        <v>39995</v>
      </c>
      <c r="CF41" s="244">
        <v>39934</v>
      </c>
      <c r="CG41" s="244">
        <v>41976.629861111098</v>
      </c>
      <c r="CH41" s="244">
        <v>39661</v>
      </c>
      <c r="CI41" s="244">
        <v>40238</v>
      </c>
      <c r="CJ41" s="244">
        <v>39995</v>
      </c>
      <c r="CK41" s="244">
        <v>39995</v>
      </c>
      <c r="CL41" s="244">
        <v>39995</v>
      </c>
      <c r="CM41" s="244">
        <v>39995</v>
      </c>
      <c r="CN41" s="244">
        <v>39995</v>
      </c>
      <c r="CO41" s="244">
        <v>41395</v>
      </c>
      <c r="CP41" s="244">
        <v>39995</v>
      </c>
      <c r="CQ41" s="244">
        <v>39995</v>
      </c>
      <c r="CR41" s="244">
        <v>39995</v>
      </c>
      <c r="CS41" s="244">
        <v>38018</v>
      </c>
      <c r="CT41" s="244">
        <v>38018</v>
      </c>
      <c r="CU41" s="244">
        <v>39995</v>
      </c>
      <c r="CV41" s="244">
        <v>38473</v>
      </c>
      <c r="CW41" s="244"/>
      <c r="CX41" s="244"/>
      <c r="CY41" s="244"/>
      <c r="CZ41" s="244"/>
      <c r="DA41" s="244"/>
      <c r="DB41" s="244">
        <v>42050</v>
      </c>
      <c r="DC41" s="244">
        <v>38018</v>
      </c>
      <c r="DD41" s="244">
        <v>39995</v>
      </c>
      <c r="DE41" s="244"/>
      <c r="DF41" s="244"/>
      <c r="DG41" s="244">
        <v>42040.851388888899</v>
      </c>
      <c r="DH41" s="244">
        <v>42053.397916666698</v>
      </c>
      <c r="DI41" s="244">
        <v>41886</v>
      </c>
      <c r="DJ41" s="244">
        <v>42053</v>
      </c>
      <c r="DK41" s="244"/>
      <c r="DL41" s="244"/>
      <c r="DM41" s="244"/>
      <c r="DN41" s="244"/>
      <c r="DO41" s="244"/>
      <c r="DP41" s="244"/>
      <c r="DQ41" s="244"/>
      <c r="DR41" s="244"/>
      <c r="DS41" s="244"/>
      <c r="DT41" s="244"/>
      <c r="DU41" s="244"/>
      <c r="DV41" s="244"/>
      <c r="DW41" s="244"/>
      <c r="DX41" s="244"/>
      <c r="DY41" s="244"/>
      <c r="DZ41" s="244"/>
      <c r="EA41" s="244"/>
      <c r="EB41" s="244"/>
      <c r="EC41" s="244"/>
      <c r="ED41" s="244"/>
      <c r="EE41" s="244"/>
      <c r="EF41" s="244"/>
      <c r="EG41" s="244"/>
      <c r="EH41" s="244"/>
      <c r="EI41" s="244"/>
      <c r="EJ41" s="244"/>
      <c r="EK41" s="244"/>
      <c r="EL41" s="244"/>
      <c r="EM41" s="244"/>
      <c r="EN41" s="244"/>
      <c r="EO41" s="244"/>
      <c r="EP41" s="244"/>
      <c r="EQ41" s="244"/>
      <c r="ER41" s="244"/>
      <c r="ES41" s="244"/>
      <c r="ET41" s="244"/>
      <c r="EU41" s="244"/>
      <c r="EV41" s="244">
        <v>42060.454166666699</v>
      </c>
    </row>
    <row r="42" spans="1:152">
      <c r="A42" s="270" t="s">
        <v>172</v>
      </c>
      <c r="B42" s="244"/>
      <c r="C42" s="244"/>
      <c r="D42" s="244"/>
      <c r="E42" s="244">
        <v>42059.357638888898</v>
      </c>
      <c r="F42" s="244"/>
      <c r="G42" s="244"/>
      <c r="H42" s="244"/>
      <c r="I42" s="244"/>
      <c r="J42" s="244"/>
      <c r="K42" s="244"/>
      <c r="L42" s="244"/>
      <c r="M42" s="244"/>
      <c r="N42" s="244"/>
      <c r="O42" s="244"/>
      <c r="P42" s="244">
        <v>42030.720833333296</v>
      </c>
      <c r="Q42" s="244"/>
      <c r="R42" s="244"/>
      <c r="S42" s="244"/>
      <c r="T42" s="244"/>
      <c r="U42" s="244"/>
      <c r="V42" s="244">
        <v>41985.686805555597</v>
      </c>
      <c r="W42" s="244"/>
      <c r="X42" s="244">
        <v>41985</v>
      </c>
      <c r="Y42" s="244"/>
      <c r="Z42" s="244"/>
      <c r="AA42" s="244"/>
      <c r="AB42" s="244"/>
      <c r="AC42" s="244"/>
      <c r="AD42" s="244"/>
      <c r="AE42" s="244"/>
      <c r="AF42" s="244"/>
      <c r="AG42" s="244">
        <v>40203</v>
      </c>
      <c r="AH42" s="244"/>
      <c r="AI42" s="244"/>
      <c r="AJ42" s="244"/>
      <c r="AK42" s="244"/>
      <c r="AL42" s="244"/>
      <c r="AM42" s="244"/>
      <c r="AN42" s="244"/>
      <c r="AO42" s="244"/>
      <c r="AP42" s="244"/>
      <c r="AQ42" s="244"/>
      <c r="AR42" s="244"/>
      <c r="AS42" s="244"/>
      <c r="AT42" s="244"/>
      <c r="AU42" s="244"/>
      <c r="AV42" s="244"/>
      <c r="AW42" s="244"/>
      <c r="AX42" s="244"/>
      <c r="AY42" s="244"/>
      <c r="AZ42" s="244"/>
      <c r="BA42" s="244"/>
      <c r="BB42" s="244"/>
      <c r="BC42" s="244"/>
      <c r="BD42" s="244"/>
      <c r="BE42" s="244"/>
      <c r="BF42" s="244"/>
      <c r="BG42" s="244"/>
      <c r="BH42" s="244"/>
      <c r="BI42" s="244"/>
      <c r="BJ42" s="244"/>
      <c r="BK42" s="244"/>
      <c r="BL42" s="244"/>
      <c r="BM42" s="244"/>
      <c r="BN42" s="244"/>
      <c r="BO42" s="244"/>
      <c r="BP42" s="244"/>
      <c r="BQ42" s="244"/>
      <c r="BR42" s="244"/>
      <c r="BS42" s="244"/>
      <c r="BT42" s="244"/>
      <c r="BU42" s="244"/>
      <c r="BV42" s="244"/>
      <c r="BW42" s="244"/>
      <c r="BX42" s="244"/>
      <c r="BY42" s="244"/>
      <c r="BZ42" s="244"/>
      <c r="CA42" s="244"/>
      <c r="CB42" s="244"/>
      <c r="CC42" s="244"/>
      <c r="CD42" s="244"/>
      <c r="CE42" s="244"/>
      <c r="CF42" s="244"/>
      <c r="CG42" s="244"/>
      <c r="CH42" s="244"/>
      <c r="CI42" s="244"/>
      <c r="CJ42" s="244"/>
      <c r="CK42" s="244"/>
      <c r="CL42" s="244"/>
      <c r="CM42" s="244"/>
      <c r="CN42" s="244"/>
      <c r="CO42" s="244"/>
      <c r="CP42" s="244"/>
      <c r="CQ42" s="244"/>
      <c r="CR42" s="244"/>
      <c r="CS42" s="244"/>
      <c r="CT42" s="244"/>
      <c r="CU42" s="244"/>
      <c r="CV42" s="244"/>
      <c r="CW42" s="244"/>
      <c r="CX42" s="244"/>
      <c r="CY42" s="244"/>
      <c r="CZ42" s="244"/>
      <c r="DA42" s="244"/>
      <c r="DB42" s="244"/>
      <c r="DC42" s="244"/>
      <c r="DD42" s="244"/>
      <c r="DE42" s="244"/>
      <c r="DF42" s="244"/>
      <c r="DG42" s="244"/>
      <c r="DH42" s="244"/>
      <c r="DI42" s="244"/>
      <c r="DJ42" s="244"/>
      <c r="DK42" s="244"/>
      <c r="DL42" s="244"/>
      <c r="DM42" s="244"/>
      <c r="DN42" s="244"/>
      <c r="DO42" s="244"/>
      <c r="DP42" s="244">
        <v>41977.554861111101</v>
      </c>
      <c r="DQ42" s="244">
        <v>42056</v>
      </c>
      <c r="DR42" s="244"/>
      <c r="DS42" s="244">
        <v>42056</v>
      </c>
      <c r="DT42" s="244">
        <v>41990</v>
      </c>
      <c r="DU42" s="244"/>
      <c r="DV42" s="244"/>
      <c r="DW42" s="244"/>
      <c r="DX42" s="244">
        <v>41965.890972222202</v>
      </c>
      <c r="DY42" s="244"/>
      <c r="DZ42" s="244">
        <v>41901</v>
      </c>
      <c r="EA42" s="244"/>
      <c r="EB42" s="244"/>
      <c r="EC42" s="244"/>
      <c r="ED42" s="244"/>
      <c r="EE42" s="244"/>
      <c r="EF42" s="244"/>
      <c r="EG42" s="244"/>
      <c r="EH42" s="244"/>
      <c r="EI42" s="244"/>
      <c r="EJ42" s="244"/>
      <c r="EK42" s="244"/>
      <c r="EL42" s="244"/>
      <c r="EM42" s="244"/>
      <c r="EN42" s="244"/>
      <c r="EO42" s="244"/>
      <c r="EP42" s="244"/>
      <c r="EQ42" s="244"/>
      <c r="ER42" s="244"/>
      <c r="ES42" s="244"/>
      <c r="ET42" s="244"/>
      <c r="EU42" s="244"/>
      <c r="EV42" s="244">
        <v>42059.357638888898</v>
      </c>
    </row>
    <row r="43" spans="1:152">
      <c r="A43" s="270" t="s">
        <v>173</v>
      </c>
      <c r="B43" s="244"/>
      <c r="C43" s="244"/>
      <c r="D43" s="244"/>
      <c r="E43" s="244"/>
      <c r="F43" s="244"/>
      <c r="G43" s="244"/>
      <c r="H43" s="244"/>
      <c r="I43" s="244"/>
      <c r="J43" s="244"/>
      <c r="K43" s="244"/>
      <c r="L43" s="244"/>
      <c r="M43" s="244"/>
      <c r="N43" s="244"/>
      <c r="O43" s="244"/>
      <c r="P43" s="244"/>
      <c r="Q43" s="244"/>
      <c r="R43" s="244"/>
      <c r="S43" s="244"/>
      <c r="T43" s="244"/>
      <c r="U43" s="244"/>
      <c r="V43" s="244"/>
      <c r="W43" s="244"/>
      <c r="X43" s="244"/>
      <c r="Y43" s="244"/>
      <c r="Z43" s="244"/>
      <c r="AA43" s="244"/>
      <c r="AB43" s="244"/>
      <c r="AC43" s="244"/>
      <c r="AD43" s="244"/>
      <c r="AE43" s="244"/>
      <c r="AF43" s="244"/>
      <c r="AG43" s="244"/>
      <c r="AH43" s="244"/>
      <c r="AI43" s="244"/>
      <c r="AJ43" s="244"/>
      <c r="AK43" s="244"/>
      <c r="AL43" s="244"/>
      <c r="AM43" s="244"/>
      <c r="AN43" s="244"/>
      <c r="AO43" s="244"/>
      <c r="AP43" s="244"/>
      <c r="AQ43" s="244"/>
      <c r="AR43" s="244"/>
      <c r="AS43" s="244"/>
      <c r="AT43" s="244"/>
      <c r="AU43" s="244"/>
      <c r="AV43" s="244"/>
      <c r="AW43" s="244"/>
      <c r="AX43" s="244"/>
      <c r="AY43" s="244"/>
      <c r="AZ43" s="244"/>
      <c r="BA43" s="244"/>
      <c r="BB43" s="244"/>
      <c r="BC43" s="244"/>
      <c r="BD43" s="244"/>
      <c r="BE43" s="244"/>
      <c r="BF43" s="244"/>
      <c r="BG43" s="244"/>
      <c r="BH43" s="244"/>
      <c r="BI43" s="244"/>
      <c r="BJ43" s="244"/>
      <c r="BK43" s="244"/>
      <c r="BL43" s="244"/>
      <c r="BM43" s="244"/>
      <c r="BN43" s="244"/>
      <c r="BO43" s="244"/>
      <c r="BP43" s="244"/>
      <c r="BQ43" s="244"/>
      <c r="BR43" s="244"/>
      <c r="BS43" s="244"/>
      <c r="BT43" s="244"/>
      <c r="BU43" s="244"/>
      <c r="BV43" s="244"/>
      <c r="BW43" s="244"/>
      <c r="BX43" s="244"/>
      <c r="BY43" s="244"/>
      <c r="BZ43" s="244"/>
      <c r="CA43" s="244"/>
      <c r="CB43" s="244"/>
      <c r="CC43" s="244"/>
      <c r="CD43" s="244"/>
      <c r="CE43" s="244"/>
      <c r="CF43" s="244"/>
      <c r="CG43" s="244"/>
      <c r="CH43" s="244"/>
      <c r="CI43" s="244"/>
      <c r="CJ43" s="244"/>
      <c r="CK43" s="244"/>
      <c r="CL43" s="244"/>
      <c r="CM43" s="244"/>
      <c r="CN43" s="244"/>
      <c r="CO43" s="244"/>
      <c r="CP43" s="244"/>
      <c r="CQ43" s="244"/>
      <c r="CR43" s="244"/>
      <c r="CS43" s="244"/>
      <c r="CT43" s="244"/>
      <c r="CU43" s="244"/>
      <c r="CV43" s="244"/>
      <c r="CW43" s="244"/>
      <c r="CX43" s="244"/>
      <c r="CY43" s="244"/>
      <c r="CZ43" s="244"/>
      <c r="DA43" s="244"/>
      <c r="DB43" s="244"/>
      <c r="DC43" s="244"/>
      <c r="DD43" s="244"/>
      <c r="DE43" s="244"/>
      <c r="DF43" s="244"/>
      <c r="DG43" s="244"/>
      <c r="DH43" s="244"/>
      <c r="DI43" s="244"/>
      <c r="DJ43" s="244"/>
      <c r="DK43" s="244"/>
      <c r="DL43" s="244"/>
      <c r="DM43" s="244"/>
      <c r="DN43" s="244"/>
      <c r="DO43" s="244"/>
      <c r="DP43" s="244"/>
      <c r="DQ43" s="244"/>
      <c r="DR43" s="244"/>
      <c r="DS43" s="244"/>
      <c r="DT43" s="244"/>
      <c r="DU43" s="244"/>
      <c r="DV43" s="244"/>
      <c r="DW43" s="244">
        <v>42041.845833333296</v>
      </c>
      <c r="DX43" s="244"/>
      <c r="DY43" s="244"/>
      <c r="DZ43" s="244"/>
      <c r="EA43" s="244"/>
      <c r="EB43" s="244">
        <v>42059.468055555597</v>
      </c>
      <c r="EC43" s="244">
        <v>42062.542361111096</v>
      </c>
      <c r="ED43" s="244">
        <v>41903</v>
      </c>
      <c r="EE43" s="244">
        <v>42056.479861111096</v>
      </c>
      <c r="EF43" s="244">
        <v>42056.479861111096</v>
      </c>
      <c r="EG43" s="244">
        <v>41723</v>
      </c>
      <c r="EH43" s="244"/>
      <c r="EI43" s="244"/>
      <c r="EJ43" s="244"/>
      <c r="EK43" s="244"/>
      <c r="EL43" s="244">
        <v>41334</v>
      </c>
      <c r="EM43" s="244">
        <v>41334</v>
      </c>
      <c r="EN43" s="244">
        <v>41334</v>
      </c>
      <c r="EO43" s="244">
        <v>41334</v>
      </c>
      <c r="EP43" s="244">
        <v>41334</v>
      </c>
      <c r="EQ43" s="244"/>
      <c r="ER43" s="244"/>
      <c r="ES43" s="244"/>
      <c r="ET43" s="244"/>
      <c r="EU43" s="244"/>
      <c r="EV43" s="244">
        <v>42062.542361111096</v>
      </c>
    </row>
    <row r="44" spans="1:152">
      <c r="A44" s="269" t="s">
        <v>152</v>
      </c>
      <c r="B44" s="244"/>
      <c r="C44" s="244">
        <v>42096</v>
      </c>
      <c r="D44" s="244"/>
      <c r="E44" s="244">
        <v>42078.348611111098</v>
      </c>
      <c r="F44" s="244">
        <v>42094.835416666698</v>
      </c>
      <c r="G44" s="244"/>
      <c r="H44" s="244"/>
      <c r="I44" s="244">
        <v>42060.572916666701</v>
      </c>
      <c r="J44" s="244"/>
      <c r="K44" s="244">
        <v>42078.349305555603</v>
      </c>
      <c r="L44" s="244">
        <v>42080.085416666698</v>
      </c>
      <c r="M44" s="244"/>
      <c r="N44" s="244">
        <v>42059.677083333299</v>
      </c>
      <c r="O44" s="244"/>
      <c r="P44" s="244">
        <v>42109</v>
      </c>
      <c r="Q44" s="244">
        <v>42075.322222222203</v>
      </c>
      <c r="R44" s="244">
        <v>42094</v>
      </c>
      <c r="S44" s="244">
        <v>42060.296527777798</v>
      </c>
      <c r="T44" s="244"/>
      <c r="U44" s="244"/>
      <c r="V44" s="244">
        <v>42060.515277777798</v>
      </c>
      <c r="W44" s="244"/>
      <c r="X44" s="244"/>
      <c r="Y44" s="244"/>
      <c r="Z44" s="244"/>
      <c r="AA44" s="244">
        <v>42060.518750000003</v>
      </c>
      <c r="AB44" s="244"/>
      <c r="AC44" s="244">
        <v>42060.525694444397</v>
      </c>
      <c r="AD44" s="244"/>
      <c r="AE44" s="244"/>
      <c r="AF44" s="244"/>
      <c r="AG44" s="244">
        <v>41274</v>
      </c>
      <c r="AH44" s="244">
        <v>41825.528472222199</v>
      </c>
      <c r="AI44" s="244"/>
      <c r="AJ44" s="244"/>
      <c r="AK44" s="244">
        <v>41879.546527777798</v>
      </c>
      <c r="AL44" s="244"/>
      <c r="AM44" s="244"/>
      <c r="AN44" s="244"/>
      <c r="AO44" s="244"/>
      <c r="AP44" s="244">
        <v>41964</v>
      </c>
      <c r="AQ44" s="244">
        <v>41964</v>
      </c>
      <c r="AR44" s="244"/>
      <c r="AS44" s="244"/>
      <c r="AT44" s="244"/>
      <c r="AU44" s="244"/>
      <c r="AV44" s="244"/>
      <c r="AW44" s="244"/>
      <c r="AX44" s="244"/>
      <c r="AY44" s="244"/>
      <c r="AZ44" s="244"/>
      <c r="BA44" s="244"/>
      <c r="BB44" s="244"/>
      <c r="BC44" s="244"/>
      <c r="BD44" s="244">
        <v>42045.323611111096</v>
      </c>
      <c r="BE44" s="244">
        <v>42045.324305555601</v>
      </c>
      <c r="BF44" s="244">
        <v>42052.445833333302</v>
      </c>
      <c r="BG44" s="244">
        <v>42060.5131944444</v>
      </c>
      <c r="BH44" s="244">
        <v>42073.552777777797</v>
      </c>
      <c r="BI44" s="244">
        <v>42052.350694444402</v>
      </c>
      <c r="BJ44" s="244">
        <v>42060.515972222202</v>
      </c>
      <c r="BK44" s="244">
        <v>42065</v>
      </c>
      <c r="BL44" s="244">
        <v>42060.514583333301</v>
      </c>
      <c r="BM44" s="244">
        <v>42045.631944444402</v>
      </c>
      <c r="BN44" s="244">
        <v>42060.516666666699</v>
      </c>
      <c r="BO44" s="244">
        <v>42045.324999999997</v>
      </c>
      <c r="BP44" s="244">
        <v>42047.323611111096</v>
      </c>
      <c r="BQ44" s="244"/>
      <c r="BR44" s="244"/>
      <c r="BS44" s="244">
        <v>42060.520138888904</v>
      </c>
      <c r="BT44" s="244"/>
      <c r="BU44" s="244"/>
      <c r="BV44" s="244"/>
      <c r="BW44" s="244"/>
      <c r="BX44" s="244"/>
      <c r="BY44" s="244"/>
      <c r="BZ44" s="244">
        <v>40026</v>
      </c>
      <c r="CA44" s="244">
        <v>40026</v>
      </c>
      <c r="CB44" s="244">
        <v>40026</v>
      </c>
      <c r="CC44" s="244">
        <v>40026</v>
      </c>
      <c r="CD44" s="244">
        <v>40026</v>
      </c>
      <c r="CE44" s="244">
        <v>40026</v>
      </c>
      <c r="CF44" s="244">
        <v>39904</v>
      </c>
      <c r="CG44" s="244">
        <v>42046.351388888899</v>
      </c>
      <c r="CH44" s="244">
        <v>40057</v>
      </c>
      <c r="CI44" s="244">
        <v>40057</v>
      </c>
      <c r="CJ44" s="244">
        <v>40026</v>
      </c>
      <c r="CK44" s="244">
        <v>40026</v>
      </c>
      <c r="CL44" s="244">
        <v>40026</v>
      </c>
      <c r="CM44" s="244">
        <v>40026</v>
      </c>
      <c r="CN44" s="244">
        <v>40026</v>
      </c>
      <c r="CO44" s="244">
        <v>40026</v>
      </c>
      <c r="CP44" s="244">
        <v>40026</v>
      </c>
      <c r="CQ44" s="244">
        <v>40026</v>
      </c>
      <c r="CR44" s="244">
        <v>40026</v>
      </c>
      <c r="CS44" s="244">
        <v>38018</v>
      </c>
      <c r="CT44" s="244">
        <v>37895</v>
      </c>
      <c r="CU44" s="244">
        <v>41122</v>
      </c>
      <c r="CV44" s="244">
        <v>38018</v>
      </c>
      <c r="CW44" s="244"/>
      <c r="CX44" s="244"/>
      <c r="CY44" s="244"/>
      <c r="CZ44" s="244"/>
      <c r="DA44" s="244"/>
      <c r="DB44" s="244">
        <v>42045.353472222203</v>
      </c>
      <c r="DC44" s="244">
        <v>38018</v>
      </c>
      <c r="DD44" s="244">
        <v>40026</v>
      </c>
      <c r="DE44" s="244"/>
      <c r="DF44" s="244"/>
      <c r="DG44" s="244"/>
      <c r="DH44" s="244"/>
      <c r="DI44" s="244"/>
      <c r="DJ44" s="244"/>
      <c r="DK44" s="244">
        <v>42068.339583333298</v>
      </c>
      <c r="DL44" s="244">
        <v>42060</v>
      </c>
      <c r="DM44" s="244">
        <v>42068.747222222199</v>
      </c>
      <c r="DN44" s="244">
        <v>42045.313888888901</v>
      </c>
      <c r="DO44" s="244">
        <v>42064.633333333302</v>
      </c>
      <c r="DP44" s="244">
        <v>42068.745833333298</v>
      </c>
      <c r="DQ44" s="244">
        <v>42047.393750000003</v>
      </c>
      <c r="DR44" s="244"/>
      <c r="DS44" s="244">
        <v>42045.315277777801</v>
      </c>
      <c r="DT44" s="244">
        <v>42054.3618055556</v>
      </c>
      <c r="DU44" s="244"/>
      <c r="DV44" s="244"/>
      <c r="DW44" s="244">
        <v>42095.713194444397</v>
      </c>
      <c r="DX44" s="244">
        <v>41976.688888888901</v>
      </c>
      <c r="DY44" s="244"/>
      <c r="DZ44" s="244"/>
      <c r="EA44" s="244"/>
      <c r="EB44" s="244">
        <v>42094</v>
      </c>
      <c r="EC44" s="244">
        <v>42104.449305555601</v>
      </c>
      <c r="ED44" s="244">
        <v>42040.5493055556</v>
      </c>
      <c r="EE44" s="244">
        <v>42045.381249999999</v>
      </c>
      <c r="EF44" s="244">
        <v>42045.381944444402</v>
      </c>
      <c r="EG44" s="244">
        <v>42012.576388888898</v>
      </c>
      <c r="EH44" s="244">
        <v>42059.543749999997</v>
      </c>
      <c r="EI44" s="244"/>
      <c r="EJ44" s="244"/>
      <c r="EK44" s="244"/>
      <c r="EL44" s="244"/>
      <c r="EM44" s="244">
        <v>41426</v>
      </c>
      <c r="EN44" s="244">
        <v>41426</v>
      </c>
      <c r="EO44" s="244">
        <v>41426</v>
      </c>
      <c r="EP44" s="244">
        <v>41426</v>
      </c>
      <c r="EQ44" s="244"/>
      <c r="ER44" s="244"/>
      <c r="ES44" s="244"/>
      <c r="ET44" s="244"/>
      <c r="EU44" s="244"/>
      <c r="EV44" s="244">
        <v>42109</v>
      </c>
    </row>
    <row r="45" spans="1:152">
      <c r="A45" s="270" t="s">
        <v>87</v>
      </c>
      <c r="B45" s="244"/>
      <c r="C45" s="244">
        <v>42096</v>
      </c>
      <c r="D45" s="244"/>
      <c r="E45" s="244"/>
      <c r="F45" s="244">
        <v>42094.835416666698</v>
      </c>
      <c r="G45" s="244"/>
      <c r="H45" s="244"/>
      <c r="I45" s="244">
        <v>42060.572916666701</v>
      </c>
      <c r="J45" s="244"/>
      <c r="K45" s="244">
        <v>42078.349305555603</v>
      </c>
      <c r="L45" s="244">
        <v>42080.085416666698</v>
      </c>
      <c r="M45" s="244"/>
      <c r="N45" s="244">
        <v>42059.677083333299</v>
      </c>
      <c r="O45" s="244"/>
      <c r="P45" s="244">
        <v>42109</v>
      </c>
      <c r="Q45" s="244">
        <v>42075.322222222203</v>
      </c>
      <c r="R45" s="244">
        <v>42094</v>
      </c>
      <c r="S45" s="244">
        <v>42060.296527777798</v>
      </c>
      <c r="T45" s="244"/>
      <c r="U45" s="244"/>
      <c r="V45" s="244"/>
      <c r="W45" s="244"/>
      <c r="X45" s="244"/>
      <c r="Y45" s="244"/>
      <c r="Z45" s="244"/>
      <c r="AA45" s="244">
        <v>42060.518750000003</v>
      </c>
      <c r="AB45" s="244"/>
      <c r="AC45" s="244">
        <v>42060.525694444397</v>
      </c>
      <c r="AD45" s="244"/>
      <c r="AE45" s="244"/>
      <c r="AF45" s="244"/>
      <c r="AG45" s="244"/>
      <c r="AH45" s="244">
        <v>41825.528472222199</v>
      </c>
      <c r="AI45" s="244"/>
      <c r="AJ45" s="244"/>
      <c r="AK45" s="244">
        <v>41879.546527777798</v>
      </c>
      <c r="AL45" s="244"/>
      <c r="AM45" s="244"/>
      <c r="AN45" s="244"/>
      <c r="AO45" s="244"/>
      <c r="AP45" s="244">
        <v>41964</v>
      </c>
      <c r="AQ45" s="244">
        <v>41964</v>
      </c>
      <c r="AR45" s="244"/>
      <c r="AS45" s="244"/>
      <c r="AT45" s="244"/>
      <c r="AU45" s="244"/>
      <c r="AV45" s="244"/>
      <c r="AW45" s="244"/>
      <c r="AX45" s="244"/>
      <c r="AY45" s="244"/>
      <c r="AZ45" s="244"/>
      <c r="BA45" s="244"/>
      <c r="BB45" s="244"/>
      <c r="BC45" s="244"/>
      <c r="BD45" s="244">
        <v>42045.323611111096</v>
      </c>
      <c r="BE45" s="244">
        <v>42045.324305555601</v>
      </c>
      <c r="BF45" s="244">
        <v>42052.445833333302</v>
      </c>
      <c r="BG45" s="244">
        <v>42060.5131944444</v>
      </c>
      <c r="BH45" s="244">
        <v>42073.552777777797</v>
      </c>
      <c r="BI45" s="244">
        <v>42052.350694444402</v>
      </c>
      <c r="BJ45" s="244">
        <v>42060.515972222202</v>
      </c>
      <c r="BK45" s="244">
        <v>42065</v>
      </c>
      <c r="BL45" s="244">
        <v>42060.514583333301</v>
      </c>
      <c r="BM45" s="244">
        <v>42045.631944444402</v>
      </c>
      <c r="BN45" s="244">
        <v>42060.516666666699</v>
      </c>
      <c r="BO45" s="244">
        <v>42045.324999999997</v>
      </c>
      <c r="BP45" s="244">
        <v>42047.323611111096</v>
      </c>
      <c r="BQ45" s="244"/>
      <c r="BR45" s="244"/>
      <c r="BS45" s="244">
        <v>42060.520138888904</v>
      </c>
      <c r="BT45" s="244"/>
      <c r="BU45" s="244"/>
      <c r="BV45" s="244"/>
      <c r="BW45" s="244"/>
      <c r="BX45" s="244"/>
      <c r="BY45" s="244"/>
      <c r="BZ45" s="244">
        <v>40026</v>
      </c>
      <c r="CA45" s="244">
        <v>40026</v>
      </c>
      <c r="CB45" s="244">
        <v>40026</v>
      </c>
      <c r="CC45" s="244">
        <v>40026</v>
      </c>
      <c r="CD45" s="244">
        <v>40026</v>
      </c>
      <c r="CE45" s="244">
        <v>40026</v>
      </c>
      <c r="CF45" s="244">
        <v>39904</v>
      </c>
      <c r="CG45" s="244">
        <v>42046.351388888899</v>
      </c>
      <c r="CH45" s="244">
        <v>40057</v>
      </c>
      <c r="CI45" s="244">
        <v>40057</v>
      </c>
      <c r="CJ45" s="244">
        <v>40026</v>
      </c>
      <c r="CK45" s="244">
        <v>40026</v>
      </c>
      <c r="CL45" s="244">
        <v>40026</v>
      </c>
      <c r="CM45" s="244">
        <v>40026</v>
      </c>
      <c r="CN45" s="244">
        <v>40026</v>
      </c>
      <c r="CO45" s="244">
        <v>40026</v>
      </c>
      <c r="CP45" s="244">
        <v>40026</v>
      </c>
      <c r="CQ45" s="244">
        <v>40026</v>
      </c>
      <c r="CR45" s="244">
        <v>40026</v>
      </c>
      <c r="CS45" s="244">
        <v>38018</v>
      </c>
      <c r="CT45" s="244">
        <v>37895</v>
      </c>
      <c r="CU45" s="244">
        <v>41122</v>
      </c>
      <c r="CV45" s="244">
        <v>38018</v>
      </c>
      <c r="CW45" s="244"/>
      <c r="CX45" s="244"/>
      <c r="CY45" s="244"/>
      <c r="CZ45" s="244"/>
      <c r="DA45" s="244"/>
      <c r="DB45" s="244">
        <v>42045.353472222203</v>
      </c>
      <c r="DC45" s="244">
        <v>38018</v>
      </c>
      <c r="DD45" s="244">
        <v>40026</v>
      </c>
      <c r="DE45" s="244"/>
      <c r="DF45" s="244"/>
      <c r="DG45" s="244"/>
      <c r="DH45" s="244"/>
      <c r="DI45" s="244"/>
      <c r="DJ45" s="244"/>
      <c r="DK45" s="244">
        <v>42068.339583333298</v>
      </c>
      <c r="DL45" s="244"/>
      <c r="DM45" s="244"/>
      <c r="DN45" s="244"/>
      <c r="DO45" s="244"/>
      <c r="DP45" s="244"/>
      <c r="DQ45" s="244"/>
      <c r="DR45" s="244"/>
      <c r="DS45" s="244"/>
      <c r="DT45" s="244"/>
      <c r="DU45" s="244"/>
      <c r="DV45" s="244"/>
      <c r="DW45" s="244"/>
      <c r="DX45" s="244"/>
      <c r="DY45" s="244"/>
      <c r="DZ45" s="244"/>
      <c r="EA45" s="244"/>
      <c r="EB45" s="244"/>
      <c r="EC45" s="244"/>
      <c r="ED45" s="244"/>
      <c r="EE45" s="244"/>
      <c r="EF45" s="244"/>
      <c r="EG45" s="244"/>
      <c r="EH45" s="244"/>
      <c r="EI45" s="244"/>
      <c r="EJ45" s="244"/>
      <c r="EK45" s="244"/>
      <c r="EL45" s="244"/>
      <c r="EM45" s="244"/>
      <c r="EN45" s="244"/>
      <c r="EO45" s="244"/>
      <c r="EP45" s="244"/>
      <c r="EQ45" s="244"/>
      <c r="ER45" s="244"/>
      <c r="ES45" s="244"/>
      <c r="ET45" s="244"/>
      <c r="EU45" s="244"/>
      <c r="EV45" s="244">
        <v>42109</v>
      </c>
    </row>
    <row r="46" spans="1:152">
      <c r="A46" s="270" t="s">
        <v>172</v>
      </c>
      <c r="B46" s="244"/>
      <c r="C46" s="244"/>
      <c r="D46" s="244"/>
      <c r="E46" s="244">
        <v>42078.348611111098</v>
      </c>
      <c r="F46" s="244"/>
      <c r="G46" s="244"/>
      <c r="H46" s="244"/>
      <c r="I46" s="244"/>
      <c r="J46" s="244"/>
      <c r="K46" s="244"/>
      <c r="L46" s="244"/>
      <c r="M46" s="244"/>
      <c r="N46" s="244"/>
      <c r="O46" s="244"/>
      <c r="P46" s="244">
        <v>42081.318749999999</v>
      </c>
      <c r="Q46" s="244"/>
      <c r="R46" s="244"/>
      <c r="S46" s="244"/>
      <c r="T46" s="244"/>
      <c r="U46" s="244"/>
      <c r="V46" s="244">
        <v>42060.515277777798</v>
      </c>
      <c r="W46" s="244"/>
      <c r="X46" s="244"/>
      <c r="Y46" s="244"/>
      <c r="Z46" s="244"/>
      <c r="AA46" s="244"/>
      <c r="AB46" s="244"/>
      <c r="AC46" s="244"/>
      <c r="AD46" s="244"/>
      <c r="AE46" s="244"/>
      <c r="AF46" s="244"/>
      <c r="AG46" s="244">
        <v>41274</v>
      </c>
      <c r="AH46" s="244"/>
      <c r="AI46" s="244"/>
      <c r="AJ46" s="244"/>
      <c r="AK46" s="244"/>
      <c r="AL46" s="244"/>
      <c r="AM46" s="244"/>
      <c r="AN46" s="244"/>
      <c r="AO46" s="244"/>
      <c r="AP46" s="244"/>
      <c r="AQ46" s="244"/>
      <c r="AR46" s="244"/>
      <c r="AS46" s="244"/>
      <c r="AT46" s="244"/>
      <c r="AU46" s="244"/>
      <c r="AV46" s="244"/>
      <c r="AW46" s="244"/>
      <c r="AX46" s="244"/>
      <c r="AY46" s="244"/>
      <c r="AZ46" s="244"/>
      <c r="BA46" s="244"/>
      <c r="BB46" s="244"/>
      <c r="BC46" s="244"/>
      <c r="BD46" s="244"/>
      <c r="BE46" s="244"/>
      <c r="BF46" s="244"/>
      <c r="BG46" s="244"/>
      <c r="BH46" s="244"/>
      <c r="BI46" s="244"/>
      <c r="BJ46" s="244"/>
      <c r="BK46" s="244"/>
      <c r="BL46" s="244"/>
      <c r="BM46" s="244"/>
      <c r="BN46" s="244"/>
      <c r="BO46" s="244"/>
      <c r="BP46" s="244"/>
      <c r="BQ46" s="244"/>
      <c r="BR46" s="244"/>
      <c r="BS46" s="244"/>
      <c r="BT46" s="244"/>
      <c r="BU46" s="244"/>
      <c r="BV46" s="244"/>
      <c r="BW46" s="244"/>
      <c r="BX46" s="244"/>
      <c r="BY46" s="244"/>
      <c r="BZ46" s="244"/>
      <c r="CA46" s="244"/>
      <c r="CB46" s="244"/>
      <c r="CC46" s="244"/>
      <c r="CD46" s="244"/>
      <c r="CE46" s="244"/>
      <c r="CF46" s="244"/>
      <c r="CG46" s="244"/>
      <c r="CH46" s="244"/>
      <c r="CI46" s="244"/>
      <c r="CJ46" s="244"/>
      <c r="CK46" s="244"/>
      <c r="CL46" s="244"/>
      <c r="CM46" s="244"/>
      <c r="CN46" s="244"/>
      <c r="CO46" s="244"/>
      <c r="CP46" s="244"/>
      <c r="CQ46" s="244"/>
      <c r="CR46" s="244"/>
      <c r="CS46" s="244"/>
      <c r="CT46" s="244"/>
      <c r="CU46" s="244"/>
      <c r="CV46" s="244"/>
      <c r="CW46" s="244"/>
      <c r="CX46" s="244"/>
      <c r="CY46" s="244"/>
      <c r="CZ46" s="244"/>
      <c r="DA46" s="244"/>
      <c r="DB46" s="244"/>
      <c r="DC46" s="244"/>
      <c r="DD46" s="244"/>
      <c r="DE46" s="244"/>
      <c r="DF46" s="244"/>
      <c r="DG46" s="244"/>
      <c r="DH46" s="244"/>
      <c r="DI46" s="244"/>
      <c r="DJ46" s="244"/>
      <c r="DK46" s="244"/>
      <c r="DL46" s="244">
        <v>42060</v>
      </c>
      <c r="DM46" s="244">
        <v>42068.747222222199</v>
      </c>
      <c r="DN46" s="244">
        <v>42045.313888888901</v>
      </c>
      <c r="DO46" s="244">
        <v>42064.633333333302</v>
      </c>
      <c r="DP46" s="244">
        <v>42068.745833333298</v>
      </c>
      <c r="DQ46" s="244">
        <v>42047.393750000003</v>
      </c>
      <c r="DR46" s="244"/>
      <c r="DS46" s="244">
        <v>42045.315277777801</v>
      </c>
      <c r="DT46" s="244">
        <v>42054.3618055556</v>
      </c>
      <c r="DU46" s="244"/>
      <c r="DV46" s="244"/>
      <c r="DW46" s="244"/>
      <c r="DX46" s="244">
        <v>41976.688888888901</v>
      </c>
      <c r="DY46" s="244"/>
      <c r="DZ46" s="244"/>
      <c r="EA46" s="244"/>
      <c r="EB46" s="244"/>
      <c r="EC46" s="244"/>
      <c r="ED46" s="244"/>
      <c r="EE46" s="244"/>
      <c r="EF46" s="244"/>
      <c r="EG46" s="244"/>
      <c r="EH46" s="244"/>
      <c r="EI46" s="244"/>
      <c r="EJ46" s="244"/>
      <c r="EK46" s="244"/>
      <c r="EL46" s="244"/>
      <c r="EM46" s="244"/>
      <c r="EN46" s="244"/>
      <c r="EO46" s="244"/>
      <c r="EP46" s="244"/>
      <c r="EQ46" s="244"/>
      <c r="ER46" s="244"/>
      <c r="ES46" s="244"/>
      <c r="ET46" s="244"/>
      <c r="EU46" s="244"/>
      <c r="EV46" s="244">
        <v>42081.318749999999</v>
      </c>
    </row>
    <row r="47" spans="1:152">
      <c r="A47" s="270" t="s">
        <v>173</v>
      </c>
      <c r="B47" s="244"/>
      <c r="C47" s="244"/>
      <c r="D47" s="244"/>
      <c r="E47" s="244"/>
      <c r="F47" s="244"/>
      <c r="G47" s="244"/>
      <c r="H47" s="244"/>
      <c r="I47" s="244"/>
      <c r="J47" s="244"/>
      <c r="K47" s="244"/>
      <c r="L47" s="244"/>
      <c r="M47" s="244"/>
      <c r="N47" s="244"/>
      <c r="O47" s="244"/>
      <c r="P47" s="244"/>
      <c r="Q47" s="244"/>
      <c r="R47" s="244"/>
      <c r="S47" s="244"/>
      <c r="T47" s="244"/>
      <c r="U47" s="244"/>
      <c r="V47" s="244"/>
      <c r="W47" s="244"/>
      <c r="X47" s="244"/>
      <c r="Y47" s="244"/>
      <c r="Z47" s="244"/>
      <c r="AA47" s="244"/>
      <c r="AB47" s="244"/>
      <c r="AC47" s="244"/>
      <c r="AD47" s="244"/>
      <c r="AE47" s="244"/>
      <c r="AF47" s="244"/>
      <c r="AG47" s="244"/>
      <c r="AH47" s="244"/>
      <c r="AI47" s="244"/>
      <c r="AJ47" s="244"/>
      <c r="AK47" s="244"/>
      <c r="AL47" s="244"/>
      <c r="AM47" s="244"/>
      <c r="AN47" s="244"/>
      <c r="AO47" s="244"/>
      <c r="AP47" s="244"/>
      <c r="AQ47" s="244"/>
      <c r="AR47" s="244"/>
      <c r="AS47" s="244"/>
      <c r="AT47" s="244"/>
      <c r="AU47" s="244"/>
      <c r="AV47" s="244"/>
      <c r="AW47" s="244"/>
      <c r="AX47" s="244"/>
      <c r="AY47" s="244"/>
      <c r="AZ47" s="244"/>
      <c r="BA47" s="244"/>
      <c r="BB47" s="244"/>
      <c r="BC47" s="244"/>
      <c r="BD47" s="244"/>
      <c r="BE47" s="244"/>
      <c r="BF47" s="244"/>
      <c r="BG47" s="244"/>
      <c r="BH47" s="244"/>
      <c r="BI47" s="244"/>
      <c r="BJ47" s="244"/>
      <c r="BK47" s="244"/>
      <c r="BL47" s="244"/>
      <c r="BM47" s="244"/>
      <c r="BN47" s="244"/>
      <c r="BO47" s="244"/>
      <c r="BP47" s="244"/>
      <c r="BQ47" s="244"/>
      <c r="BR47" s="244"/>
      <c r="BS47" s="244"/>
      <c r="BT47" s="244"/>
      <c r="BU47" s="244"/>
      <c r="BV47" s="244"/>
      <c r="BW47" s="244"/>
      <c r="BX47" s="244"/>
      <c r="BY47" s="244"/>
      <c r="BZ47" s="244"/>
      <c r="CA47" s="244"/>
      <c r="CB47" s="244"/>
      <c r="CC47" s="244"/>
      <c r="CD47" s="244"/>
      <c r="CE47" s="244"/>
      <c r="CF47" s="244"/>
      <c r="CG47" s="244"/>
      <c r="CH47" s="244"/>
      <c r="CI47" s="244"/>
      <c r="CJ47" s="244"/>
      <c r="CK47" s="244"/>
      <c r="CL47" s="244"/>
      <c r="CM47" s="244"/>
      <c r="CN47" s="244"/>
      <c r="CO47" s="244"/>
      <c r="CP47" s="244"/>
      <c r="CQ47" s="244"/>
      <c r="CR47" s="244"/>
      <c r="CS47" s="244"/>
      <c r="CT47" s="244"/>
      <c r="CU47" s="244"/>
      <c r="CV47" s="244"/>
      <c r="CW47" s="244"/>
      <c r="CX47" s="244"/>
      <c r="CY47" s="244"/>
      <c r="CZ47" s="244"/>
      <c r="DA47" s="244"/>
      <c r="DB47" s="244"/>
      <c r="DC47" s="244"/>
      <c r="DD47" s="244"/>
      <c r="DE47" s="244"/>
      <c r="DF47" s="244"/>
      <c r="DG47" s="244"/>
      <c r="DH47" s="244"/>
      <c r="DI47" s="244"/>
      <c r="DJ47" s="244"/>
      <c r="DK47" s="244"/>
      <c r="DL47" s="244"/>
      <c r="DM47" s="244"/>
      <c r="DN47" s="244"/>
      <c r="DO47" s="244"/>
      <c r="DP47" s="244"/>
      <c r="DQ47" s="244"/>
      <c r="DR47" s="244"/>
      <c r="DS47" s="244"/>
      <c r="DT47" s="244"/>
      <c r="DU47" s="244"/>
      <c r="DV47" s="244"/>
      <c r="DW47" s="244">
        <v>42095.713194444397</v>
      </c>
      <c r="DX47" s="244"/>
      <c r="DY47" s="244"/>
      <c r="DZ47" s="244"/>
      <c r="EA47" s="244"/>
      <c r="EB47" s="244">
        <v>42094</v>
      </c>
      <c r="EC47" s="244">
        <v>42104.449305555601</v>
      </c>
      <c r="ED47" s="244">
        <v>42040.5493055556</v>
      </c>
      <c r="EE47" s="244">
        <v>42045.381249999999</v>
      </c>
      <c r="EF47" s="244">
        <v>42045.381944444402</v>
      </c>
      <c r="EG47" s="244">
        <v>42012.576388888898</v>
      </c>
      <c r="EH47" s="244">
        <v>42059.543749999997</v>
      </c>
      <c r="EI47" s="244"/>
      <c r="EJ47" s="244"/>
      <c r="EK47" s="244"/>
      <c r="EL47" s="244"/>
      <c r="EM47" s="244">
        <v>41426</v>
      </c>
      <c r="EN47" s="244">
        <v>41426</v>
      </c>
      <c r="EO47" s="244">
        <v>41426</v>
      </c>
      <c r="EP47" s="244">
        <v>41426</v>
      </c>
      <c r="EQ47" s="244"/>
      <c r="ER47" s="244"/>
      <c r="ES47" s="244"/>
      <c r="ET47" s="244"/>
      <c r="EU47" s="244"/>
      <c r="EV47" s="244">
        <v>42104.449305555601</v>
      </c>
    </row>
    <row r="48" spans="1:152">
      <c r="A48" s="269" t="s">
        <v>145</v>
      </c>
      <c r="B48" s="244">
        <v>41960.420138888898</v>
      </c>
      <c r="C48" s="244"/>
      <c r="D48" s="244"/>
      <c r="E48" s="244">
        <v>42068.332638888904</v>
      </c>
      <c r="F48" s="244">
        <v>42102.713888888902</v>
      </c>
      <c r="G48" s="244"/>
      <c r="H48" s="244">
        <v>42102.640972222202</v>
      </c>
      <c r="I48" s="244">
        <v>41955.642361111102</v>
      </c>
      <c r="J48" s="244"/>
      <c r="K48" s="244">
        <v>42059.561805555597</v>
      </c>
      <c r="L48" s="244">
        <v>42059.523611111101</v>
      </c>
      <c r="M48" s="244">
        <v>42059.523611111101</v>
      </c>
      <c r="N48" s="244">
        <v>41955.431944444397</v>
      </c>
      <c r="O48" s="244"/>
      <c r="P48" s="244">
        <v>42109.4506944444</v>
      </c>
      <c r="Q48" s="244">
        <v>42046</v>
      </c>
      <c r="R48" s="244">
        <v>42105</v>
      </c>
      <c r="S48" s="244">
        <v>42073.529861111099</v>
      </c>
      <c r="T48" s="244"/>
      <c r="U48" s="244"/>
      <c r="V48" s="244">
        <v>41984.479166666701</v>
      </c>
      <c r="W48" s="244"/>
      <c r="X48" s="244"/>
      <c r="Y48" s="244"/>
      <c r="Z48" s="244"/>
      <c r="AA48" s="244">
        <v>42094.336111111101</v>
      </c>
      <c r="AB48" s="244"/>
      <c r="AC48" s="244">
        <v>42081.3125</v>
      </c>
      <c r="AD48" s="244"/>
      <c r="AE48" s="244"/>
      <c r="AF48" s="244"/>
      <c r="AG48" s="244">
        <v>40262</v>
      </c>
      <c r="AH48" s="244">
        <v>41841.430555555598</v>
      </c>
      <c r="AI48" s="244"/>
      <c r="AJ48" s="244"/>
      <c r="AK48" s="244">
        <v>41801</v>
      </c>
      <c r="AL48" s="244"/>
      <c r="AM48" s="244"/>
      <c r="AN48" s="244"/>
      <c r="AO48" s="244"/>
      <c r="AP48" s="244">
        <v>41969</v>
      </c>
      <c r="AQ48" s="244">
        <v>41969</v>
      </c>
      <c r="AR48" s="244"/>
      <c r="AS48" s="244"/>
      <c r="AT48" s="244"/>
      <c r="AU48" s="244"/>
      <c r="AV48" s="244"/>
      <c r="AW48" s="244"/>
      <c r="AX48" s="244"/>
      <c r="AY48" s="244"/>
      <c r="AZ48" s="244"/>
      <c r="BA48" s="244"/>
      <c r="BB48" s="244"/>
      <c r="BC48" s="244"/>
      <c r="BD48" s="244">
        <v>41939.4152777778</v>
      </c>
      <c r="BE48" s="244">
        <v>41984.519444444399</v>
      </c>
      <c r="BF48" s="244">
        <v>41960.423611111102</v>
      </c>
      <c r="BG48" s="244"/>
      <c r="BH48" s="244">
        <v>41997</v>
      </c>
      <c r="BI48" s="244">
        <v>41977.8256944444</v>
      </c>
      <c r="BJ48" s="244">
        <v>41977.829861111102</v>
      </c>
      <c r="BK48" s="244">
        <v>42004.4152777778</v>
      </c>
      <c r="BL48" s="244">
        <v>41977.826388888898</v>
      </c>
      <c r="BM48" s="244">
        <v>41978.031944444403</v>
      </c>
      <c r="BN48" s="244">
        <v>41984.474305555603</v>
      </c>
      <c r="BO48" s="244">
        <v>41977.927777777797</v>
      </c>
      <c r="BP48" s="244">
        <v>41969</v>
      </c>
      <c r="BQ48" s="244"/>
      <c r="BR48" s="244"/>
      <c r="BS48" s="244">
        <v>41977</v>
      </c>
      <c r="BT48" s="244">
        <v>41969</v>
      </c>
      <c r="BU48" s="244">
        <v>41969</v>
      </c>
      <c r="BV48" s="244">
        <v>41969</v>
      </c>
      <c r="BW48" s="244">
        <v>41969</v>
      </c>
      <c r="BX48" s="244">
        <v>41969</v>
      </c>
      <c r="BY48" s="244">
        <v>41969</v>
      </c>
      <c r="BZ48" s="244">
        <v>40087</v>
      </c>
      <c r="CA48" s="244">
        <v>40087</v>
      </c>
      <c r="CB48" s="244">
        <v>40087</v>
      </c>
      <c r="CC48" s="244">
        <v>40087</v>
      </c>
      <c r="CD48" s="244">
        <v>40087</v>
      </c>
      <c r="CE48" s="244">
        <v>40087</v>
      </c>
      <c r="CF48" s="244">
        <v>40087</v>
      </c>
      <c r="CG48" s="244">
        <v>40299</v>
      </c>
      <c r="CH48" s="244">
        <v>40179</v>
      </c>
      <c r="CI48" s="244">
        <v>39661</v>
      </c>
      <c r="CJ48" s="244">
        <v>40087</v>
      </c>
      <c r="CK48" s="244">
        <v>40087</v>
      </c>
      <c r="CL48" s="244">
        <v>40087</v>
      </c>
      <c r="CM48" s="244">
        <v>40087</v>
      </c>
      <c r="CN48" s="244">
        <v>40087</v>
      </c>
      <c r="CO48" s="244">
        <v>40087</v>
      </c>
      <c r="CP48" s="244">
        <v>40087</v>
      </c>
      <c r="CQ48" s="244">
        <v>40087</v>
      </c>
      <c r="CR48" s="244">
        <v>40087</v>
      </c>
      <c r="CS48" s="244">
        <v>37834</v>
      </c>
      <c r="CT48" s="244">
        <v>40087</v>
      </c>
      <c r="CU48" s="244">
        <v>37834</v>
      </c>
      <c r="CV48" s="244">
        <v>37834</v>
      </c>
      <c r="CW48" s="244"/>
      <c r="CX48" s="244"/>
      <c r="CY48" s="244"/>
      <c r="CZ48" s="244"/>
      <c r="DA48" s="244"/>
      <c r="DB48" s="244">
        <v>41801</v>
      </c>
      <c r="DC48" s="244">
        <v>37834</v>
      </c>
      <c r="DD48" s="244">
        <v>37895</v>
      </c>
      <c r="DE48" s="244">
        <v>41969</v>
      </c>
      <c r="DF48" s="244"/>
      <c r="DG48" s="244">
        <v>42108.663888888899</v>
      </c>
      <c r="DH48" s="244">
        <v>42102.627083333296</v>
      </c>
      <c r="DI48" s="244">
        <v>41969</v>
      </c>
      <c r="DJ48" s="244">
        <v>42102.627777777801</v>
      </c>
      <c r="DK48" s="244">
        <v>41955</v>
      </c>
      <c r="DL48" s="244"/>
      <c r="DM48" s="244">
        <v>41947.695138888899</v>
      </c>
      <c r="DN48" s="244">
        <v>41801.474305555603</v>
      </c>
      <c r="DO48" s="244"/>
      <c r="DP48" s="244">
        <v>42029.377777777801</v>
      </c>
      <c r="DQ48" s="244">
        <v>42088.498611111099</v>
      </c>
      <c r="DR48" s="244"/>
      <c r="DS48" s="244">
        <v>41981.626388888901</v>
      </c>
      <c r="DT48" s="244">
        <v>41984.490277777797</v>
      </c>
      <c r="DU48" s="244"/>
      <c r="DV48" s="244"/>
      <c r="DW48" s="244">
        <v>42109.487500000003</v>
      </c>
      <c r="DX48" s="244">
        <v>41984.530555555597</v>
      </c>
      <c r="DY48" s="244"/>
      <c r="DZ48" s="244">
        <v>41969</v>
      </c>
      <c r="EA48" s="244"/>
      <c r="EB48" s="244">
        <v>42102.65</v>
      </c>
      <c r="EC48" s="244">
        <v>42110.563194444403</v>
      </c>
      <c r="ED48" s="244">
        <v>41969</v>
      </c>
      <c r="EE48" s="244">
        <v>42064.543055555601</v>
      </c>
      <c r="EF48" s="244">
        <v>42073</v>
      </c>
      <c r="EG48" s="244">
        <v>41801</v>
      </c>
      <c r="EH48" s="244"/>
      <c r="EI48" s="244"/>
      <c r="EJ48" s="244"/>
      <c r="EK48" s="244"/>
      <c r="EL48" s="244"/>
      <c r="EM48" s="244"/>
      <c r="EN48" s="244"/>
      <c r="EO48" s="244"/>
      <c r="EP48" s="244"/>
      <c r="EQ48" s="244"/>
      <c r="ER48" s="244"/>
      <c r="ES48" s="244"/>
      <c r="ET48" s="244"/>
      <c r="EU48" s="244">
        <v>42094</v>
      </c>
      <c r="EV48" s="244">
        <v>42110.563194444403</v>
      </c>
    </row>
    <row r="49" spans="1:152">
      <c r="A49" s="270" t="s">
        <v>87</v>
      </c>
      <c r="B49" s="244">
        <v>41960.420138888898</v>
      </c>
      <c r="C49" s="244"/>
      <c r="D49" s="244"/>
      <c r="E49" s="244"/>
      <c r="F49" s="244">
        <v>42102.713888888902</v>
      </c>
      <c r="G49" s="244"/>
      <c r="H49" s="244">
        <v>42102.640972222202</v>
      </c>
      <c r="I49" s="244">
        <v>41955.642361111102</v>
      </c>
      <c r="J49" s="244"/>
      <c r="K49" s="244">
        <v>42059.561805555597</v>
      </c>
      <c r="L49" s="244">
        <v>42059.523611111101</v>
      </c>
      <c r="M49" s="244">
        <v>42059.523611111101</v>
      </c>
      <c r="N49" s="244">
        <v>41955.431944444397</v>
      </c>
      <c r="O49" s="244"/>
      <c r="P49" s="244">
        <v>42109.4506944444</v>
      </c>
      <c r="Q49" s="244">
        <v>42046</v>
      </c>
      <c r="R49" s="244">
        <v>42105</v>
      </c>
      <c r="S49" s="244">
        <v>42073.529861111099</v>
      </c>
      <c r="T49" s="244"/>
      <c r="U49" s="244"/>
      <c r="V49" s="244"/>
      <c r="W49" s="244"/>
      <c r="X49" s="244"/>
      <c r="Y49" s="244"/>
      <c r="Z49" s="244"/>
      <c r="AA49" s="244">
        <v>42094.336111111101</v>
      </c>
      <c r="AB49" s="244"/>
      <c r="AC49" s="244">
        <v>42081.3125</v>
      </c>
      <c r="AD49" s="244"/>
      <c r="AE49" s="244"/>
      <c r="AF49" s="244"/>
      <c r="AG49" s="244"/>
      <c r="AH49" s="244">
        <v>41841.430555555598</v>
      </c>
      <c r="AI49" s="244"/>
      <c r="AJ49" s="244"/>
      <c r="AK49" s="244">
        <v>41801</v>
      </c>
      <c r="AL49" s="244"/>
      <c r="AM49" s="244"/>
      <c r="AN49" s="244"/>
      <c r="AO49" s="244"/>
      <c r="AP49" s="244">
        <v>41969</v>
      </c>
      <c r="AQ49" s="244">
        <v>41969</v>
      </c>
      <c r="AR49" s="244"/>
      <c r="AS49" s="244"/>
      <c r="AT49" s="244"/>
      <c r="AU49" s="244"/>
      <c r="AV49" s="244"/>
      <c r="AW49" s="244"/>
      <c r="AX49" s="244"/>
      <c r="AY49" s="244"/>
      <c r="AZ49" s="244"/>
      <c r="BA49" s="244"/>
      <c r="BB49" s="244"/>
      <c r="BC49" s="244"/>
      <c r="BD49" s="244">
        <v>41939.4152777778</v>
      </c>
      <c r="BE49" s="244">
        <v>41984.519444444399</v>
      </c>
      <c r="BF49" s="244">
        <v>41960.423611111102</v>
      </c>
      <c r="BG49" s="244"/>
      <c r="BH49" s="244">
        <v>41997</v>
      </c>
      <c r="BI49" s="244">
        <v>41977.8256944444</v>
      </c>
      <c r="BJ49" s="244">
        <v>41977.829861111102</v>
      </c>
      <c r="BK49" s="244">
        <v>42004.4152777778</v>
      </c>
      <c r="BL49" s="244">
        <v>41977.826388888898</v>
      </c>
      <c r="BM49" s="244">
        <v>41978.031944444403</v>
      </c>
      <c r="BN49" s="244">
        <v>41984.474305555603</v>
      </c>
      <c r="BO49" s="244">
        <v>41977.927777777797</v>
      </c>
      <c r="BP49" s="244">
        <v>41969</v>
      </c>
      <c r="BQ49" s="244"/>
      <c r="BR49" s="244"/>
      <c r="BS49" s="244">
        <v>41977</v>
      </c>
      <c r="BT49" s="244">
        <v>41969</v>
      </c>
      <c r="BU49" s="244">
        <v>41969</v>
      </c>
      <c r="BV49" s="244">
        <v>41969</v>
      </c>
      <c r="BW49" s="244">
        <v>41969</v>
      </c>
      <c r="BX49" s="244">
        <v>41969</v>
      </c>
      <c r="BY49" s="244">
        <v>41969</v>
      </c>
      <c r="BZ49" s="244">
        <v>40087</v>
      </c>
      <c r="CA49" s="244">
        <v>40087</v>
      </c>
      <c r="CB49" s="244">
        <v>40087</v>
      </c>
      <c r="CC49" s="244">
        <v>40087</v>
      </c>
      <c r="CD49" s="244">
        <v>40087</v>
      </c>
      <c r="CE49" s="244">
        <v>40087</v>
      </c>
      <c r="CF49" s="244">
        <v>40087</v>
      </c>
      <c r="CG49" s="244">
        <v>40299</v>
      </c>
      <c r="CH49" s="244">
        <v>40179</v>
      </c>
      <c r="CI49" s="244">
        <v>39661</v>
      </c>
      <c r="CJ49" s="244">
        <v>40087</v>
      </c>
      <c r="CK49" s="244">
        <v>40087</v>
      </c>
      <c r="CL49" s="244">
        <v>40087</v>
      </c>
      <c r="CM49" s="244">
        <v>40087</v>
      </c>
      <c r="CN49" s="244">
        <v>40087</v>
      </c>
      <c r="CO49" s="244">
        <v>40087</v>
      </c>
      <c r="CP49" s="244">
        <v>40087</v>
      </c>
      <c r="CQ49" s="244">
        <v>40087</v>
      </c>
      <c r="CR49" s="244">
        <v>40087</v>
      </c>
      <c r="CS49" s="244">
        <v>37834</v>
      </c>
      <c r="CT49" s="244">
        <v>40087</v>
      </c>
      <c r="CU49" s="244">
        <v>37834</v>
      </c>
      <c r="CV49" s="244">
        <v>37834</v>
      </c>
      <c r="CW49" s="244"/>
      <c r="CX49" s="244"/>
      <c r="CY49" s="244"/>
      <c r="CZ49" s="244"/>
      <c r="DA49" s="244"/>
      <c r="DB49" s="244">
        <v>41801</v>
      </c>
      <c r="DC49" s="244">
        <v>37834</v>
      </c>
      <c r="DD49" s="244">
        <v>37895</v>
      </c>
      <c r="DE49" s="244">
        <v>41969</v>
      </c>
      <c r="DF49" s="244"/>
      <c r="DG49" s="244">
        <v>42108.663888888899</v>
      </c>
      <c r="DH49" s="244">
        <v>42102.627083333296</v>
      </c>
      <c r="DI49" s="244">
        <v>41969</v>
      </c>
      <c r="DJ49" s="244">
        <v>42102.627777777801</v>
      </c>
      <c r="DK49" s="244">
        <v>41955</v>
      </c>
      <c r="DL49" s="244"/>
      <c r="DM49" s="244"/>
      <c r="DN49" s="244"/>
      <c r="DO49" s="244"/>
      <c r="DP49" s="244"/>
      <c r="DQ49" s="244"/>
      <c r="DR49" s="244"/>
      <c r="DS49" s="244"/>
      <c r="DT49" s="244"/>
      <c r="DU49" s="244"/>
      <c r="DV49" s="244"/>
      <c r="DW49" s="244"/>
      <c r="DX49" s="244"/>
      <c r="DY49" s="244"/>
      <c r="DZ49" s="244"/>
      <c r="EA49" s="244"/>
      <c r="EB49" s="244"/>
      <c r="EC49" s="244"/>
      <c r="ED49" s="244"/>
      <c r="EE49" s="244"/>
      <c r="EF49" s="244"/>
      <c r="EG49" s="244"/>
      <c r="EH49" s="244"/>
      <c r="EI49" s="244"/>
      <c r="EJ49" s="244"/>
      <c r="EK49" s="244"/>
      <c r="EL49" s="244"/>
      <c r="EM49" s="244"/>
      <c r="EN49" s="244"/>
      <c r="EO49" s="244"/>
      <c r="EP49" s="244"/>
      <c r="EQ49" s="244"/>
      <c r="ER49" s="244"/>
      <c r="ES49" s="244"/>
      <c r="ET49" s="244"/>
      <c r="EU49" s="244">
        <v>42094</v>
      </c>
      <c r="EV49" s="244">
        <v>42109.4506944444</v>
      </c>
    </row>
    <row r="50" spans="1:152">
      <c r="A50" s="270" t="s">
        <v>172</v>
      </c>
      <c r="B50" s="244"/>
      <c r="C50" s="244"/>
      <c r="D50" s="244"/>
      <c r="E50" s="244">
        <v>42068.332638888904</v>
      </c>
      <c r="F50" s="244"/>
      <c r="G50" s="244"/>
      <c r="H50" s="244"/>
      <c r="I50" s="244"/>
      <c r="J50" s="244"/>
      <c r="K50" s="244"/>
      <c r="L50" s="244"/>
      <c r="M50" s="244"/>
      <c r="N50" s="244"/>
      <c r="O50" s="244"/>
      <c r="P50" s="244">
        <v>41983.493750000001</v>
      </c>
      <c r="Q50" s="244"/>
      <c r="R50" s="244"/>
      <c r="S50" s="244"/>
      <c r="T50" s="244"/>
      <c r="U50" s="244"/>
      <c r="V50" s="244">
        <v>41984.479166666701</v>
      </c>
      <c r="W50" s="244"/>
      <c r="X50" s="244"/>
      <c r="Y50" s="244"/>
      <c r="Z50" s="244"/>
      <c r="AA50" s="244"/>
      <c r="AB50" s="244"/>
      <c r="AC50" s="244"/>
      <c r="AD50" s="244"/>
      <c r="AE50" s="244"/>
      <c r="AF50" s="244"/>
      <c r="AG50" s="244">
        <v>40262</v>
      </c>
      <c r="AH50" s="244"/>
      <c r="AI50" s="244"/>
      <c r="AJ50" s="244"/>
      <c r="AK50" s="244"/>
      <c r="AL50" s="244"/>
      <c r="AM50" s="244"/>
      <c r="AN50" s="244"/>
      <c r="AO50" s="244"/>
      <c r="AP50" s="244"/>
      <c r="AQ50" s="244"/>
      <c r="AR50" s="244"/>
      <c r="AS50" s="244"/>
      <c r="AT50" s="244"/>
      <c r="AU50" s="244"/>
      <c r="AV50" s="244"/>
      <c r="AW50" s="244"/>
      <c r="AX50" s="244"/>
      <c r="AY50" s="244"/>
      <c r="AZ50" s="244"/>
      <c r="BA50" s="244"/>
      <c r="BB50" s="244"/>
      <c r="BC50" s="244"/>
      <c r="BD50" s="244"/>
      <c r="BE50" s="244"/>
      <c r="BF50" s="244"/>
      <c r="BG50" s="244"/>
      <c r="BH50" s="244"/>
      <c r="BI50" s="244"/>
      <c r="BJ50" s="244"/>
      <c r="BK50" s="244"/>
      <c r="BL50" s="244"/>
      <c r="BM50" s="244"/>
      <c r="BN50" s="244"/>
      <c r="BO50" s="244"/>
      <c r="BP50" s="244"/>
      <c r="BQ50" s="244"/>
      <c r="BR50" s="244"/>
      <c r="BS50" s="244"/>
      <c r="BT50" s="244"/>
      <c r="BU50" s="244"/>
      <c r="BV50" s="244"/>
      <c r="BW50" s="244"/>
      <c r="BX50" s="244"/>
      <c r="BY50" s="244"/>
      <c r="BZ50" s="244"/>
      <c r="CA50" s="244"/>
      <c r="CB50" s="244"/>
      <c r="CC50" s="244"/>
      <c r="CD50" s="244"/>
      <c r="CE50" s="244"/>
      <c r="CF50" s="244"/>
      <c r="CG50" s="244"/>
      <c r="CH50" s="244"/>
      <c r="CI50" s="244"/>
      <c r="CJ50" s="244"/>
      <c r="CK50" s="244"/>
      <c r="CL50" s="244"/>
      <c r="CM50" s="244"/>
      <c r="CN50" s="244"/>
      <c r="CO50" s="244"/>
      <c r="CP50" s="244"/>
      <c r="CQ50" s="244"/>
      <c r="CR50" s="244"/>
      <c r="CS50" s="244"/>
      <c r="CT50" s="244"/>
      <c r="CU50" s="244"/>
      <c r="CV50" s="244"/>
      <c r="CW50" s="244"/>
      <c r="CX50" s="244"/>
      <c r="CY50" s="244"/>
      <c r="CZ50" s="244"/>
      <c r="DA50" s="244"/>
      <c r="DB50" s="244"/>
      <c r="DC50" s="244"/>
      <c r="DD50" s="244"/>
      <c r="DE50" s="244"/>
      <c r="DF50" s="244"/>
      <c r="DG50" s="244"/>
      <c r="DH50" s="244"/>
      <c r="DI50" s="244"/>
      <c r="DJ50" s="244"/>
      <c r="DK50" s="244"/>
      <c r="DL50" s="244"/>
      <c r="DM50" s="244">
        <v>41947.695138888899</v>
      </c>
      <c r="DN50" s="244">
        <v>41801.474305555603</v>
      </c>
      <c r="DO50" s="244"/>
      <c r="DP50" s="244">
        <v>42029.377777777801</v>
      </c>
      <c r="DQ50" s="244">
        <v>42088.498611111099</v>
      </c>
      <c r="DR50" s="244"/>
      <c r="DS50" s="244">
        <v>41981.626388888901</v>
      </c>
      <c r="DT50" s="244">
        <v>41984.490277777797</v>
      </c>
      <c r="DU50" s="244"/>
      <c r="DV50" s="244"/>
      <c r="DW50" s="244"/>
      <c r="DX50" s="244">
        <v>41984.530555555597</v>
      </c>
      <c r="DY50" s="244"/>
      <c r="DZ50" s="244">
        <v>41969</v>
      </c>
      <c r="EA50" s="244"/>
      <c r="EB50" s="244"/>
      <c r="EC50" s="244"/>
      <c r="ED50" s="244"/>
      <c r="EE50" s="244"/>
      <c r="EF50" s="244"/>
      <c r="EG50" s="244"/>
      <c r="EH50" s="244"/>
      <c r="EI50" s="244"/>
      <c r="EJ50" s="244"/>
      <c r="EK50" s="244"/>
      <c r="EL50" s="244"/>
      <c r="EM50" s="244"/>
      <c r="EN50" s="244"/>
      <c r="EO50" s="244"/>
      <c r="EP50" s="244"/>
      <c r="EQ50" s="244"/>
      <c r="ER50" s="244"/>
      <c r="ES50" s="244"/>
      <c r="ET50" s="244"/>
      <c r="EU50" s="244"/>
      <c r="EV50" s="244">
        <v>42088.498611111099</v>
      </c>
    </row>
    <row r="51" spans="1:152">
      <c r="A51" s="270" t="s">
        <v>173</v>
      </c>
      <c r="B51" s="244"/>
      <c r="C51" s="244"/>
      <c r="D51" s="244"/>
      <c r="E51" s="244"/>
      <c r="F51" s="244"/>
      <c r="G51" s="244"/>
      <c r="H51" s="244"/>
      <c r="I51" s="244"/>
      <c r="J51" s="244"/>
      <c r="K51" s="244"/>
      <c r="L51" s="244"/>
      <c r="M51" s="244"/>
      <c r="N51" s="244"/>
      <c r="O51" s="244"/>
      <c r="P51" s="244"/>
      <c r="Q51" s="244"/>
      <c r="R51" s="244"/>
      <c r="S51" s="244"/>
      <c r="T51" s="244"/>
      <c r="U51" s="244"/>
      <c r="V51" s="244"/>
      <c r="W51" s="244"/>
      <c r="X51" s="244"/>
      <c r="Y51" s="244"/>
      <c r="Z51" s="244"/>
      <c r="AA51" s="244"/>
      <c r="AB51" s="244"/>
      <c r="AC51" s="244"/>
      <c r="AD51" s="244"/>
      <c r="AE51" s="244"/>
      <c r="AF51" s="244"/>
      <c r="AG51" s="244"/>
      <c r="AH51" s="244"/>
      <c r="AI51" s="244"/>
      <c r="AJ51" s="244"/>
      <c r="AK51" s="244"/>
      <c r="AL51" s="244"/>
      <c r="AM51" s="244"/>
      <c r="AN51" s="244"/>
      <c r="AO51" s="244"/>
      <c r="AP51" s="244"/>
      <c r="AQ51" s="244"/>
      <c r="AR51" s="244"/>
      <c r="AS51" s="244"/>
      <c r="AT51" s="244"/>
      <c r="AU51" s="244"/>
      <c r="AV51" s="244"/>
      <c r="AW51" s="244"/>
      <c r="AX51" s="244"/>
      <c r="AY51" s="244"/>
      <c r="AZ51" s="244"/>
      <c r="BA51" s="244"/>
      <c r="BB51" s="244"/>
      <c r="BC51" s="244"/>
      <c r="BD51" s="244"/>
      <c r="BE51" s="244"/>
      <c r="BF51" s="244"/>
      <c r="BG51" s="244"/>
      <c r="BH51" s="244"/>
      <c r="BI51" s="244"/>
      <c r="BJ51" s="244"/>
      <c r="BK51" s="244"/>
      <c r="BL51" s="244"/>
      <c r="BM51" s="244"/>
      <c r="BN51" s="244"/>
      <c r="BO51" s="244"/>
      <c r="BP51" s="244"/>
      <c r="BQ51" s="244"/>
      <c r="BR51" s="244"/>
      <c r="BS51" s="244"/>
      <c r="BT51" s="244"/>
      <c r="BU51" s="244"/>
      <c r="BV51" s="244"/>
      <c r="BW51" s="244"/>
      <c r="BX51" s="244"/>
      <c r="BY51" s="244"/>
      <c r="BZ51" s="244"/>
      <c r="CA51" s="244"/>
      <c r="CB51" s="244"/>
      <c r="CC51" s="244"/>
      <c r="CD51" s="244"/>
      <c r="CE51" s="244"/>
      <c r="CF51" s="244"/>
      <c r="CG51" s="244"/>
      <c r="CH51" s="244"/>
      <c r="CI51" s="244"/>
      <c r="CJ51" s="244"/>
      <c r="CK51" s="244"/>
      <c r="CL51" s="244"/>
      <c r="CM51" s="244"/>
      <c r="CN51" s="244"/>
      <c r="CO51" s="244"/>
      <c r="CP51" s="244"/>
      <c r="CQ51" s="244"/>
      <c r="CR51" s="244"/>
      <c r="CS51" s="244"/>
      <c r="CT51" s="244"/>
      <c r="CU51" s="244"/>
      <c r="CV51" s="244"/>
      <c r="CW51" s="244"/>
      <c r="CX51" s="244"/>
      <c r="CY51" s="244"/>
      <c r="CZ51" s="244"/>
      <c r="DA51" s="244"/>
      <c r="DB51" s="244"/>
      <c r="DC51" s="244"/>
      <c r="DD51" s="244"/>
      <c r="DE51" s="244"/>
      <c r="DF51" s="244"/>
      <c r="DG51" s="244"/>
      <c r="DH51" s="244"/>
      <c r="DI51" s="244"/>
      <c r="DJ51" s="244"/>
      <c r="DK51" s="244"/>
      <c r="DL51" s="244"/>
      <c r="DM51" s="244"/>
      <c r="DN51" s="244"/>
      <c r="DO51" s="244"/>
      <c r="DP51" s="244"/>
      <c r="DQ51" s="244"/>
      <c r="DR51" s="244"/>
      <c r="DS51" s="244"/>
      <c r="DT51" s="244"/>
      <c r="DU51" s="244"/>
      <c r="DV51" s="244"/>
      <c r="DW51" s="244">
        <v>42109.487500000003</v>
      </c>
      <c r="DX51" s="244"/>
      <c r="DY51" s="244"/>
      <c r="DZ51" s="244"/>
      <c r="EA51" s="244"/>
      <c r="EB51" s="244">
        <v>42102.65</v>
      </c>
      <c r="EC51" s="244">
        <v>42110.563194444403</v>
      </c>
      <c r="ED51" s="244">
        <v>41969</v>
      </c>
      <c r="EE51" s="244">
        <v>42064.543055555601</v>
      </c>
      <c r="EF51" s="244">
        <v>42073</v>
      </c>
      <c r="EG51" s="244">
        <v>41801</v>
      </c>
      <c r="EH51" s="244"/>
      <c r="EI51" s="244"/>
      <c r="EJ51" s="244"/>
      <c r="EK51" s="244"/>
      <c r="EL51" s="244"/>
      <c r="EM51" s="244"/>
      <c r="EN51" s="244"/>
      <c r="EO51" s="244"/>
      <c r="EP51" s="244"/>
      <c r="EQ51" s="244"/>
      <c r="ER51" s="244"/>
      <c r="ES51" s="244"/>
      <c r="ET51" s="244"/>
      <c r="EU51" s="244"/>
      <c r="EV51" s="244">
        <v>42110.563194444403</v>
      </c>
    </row>
    <row r="52" spans="1:152">
      <c r="A52" s="269" t="s">
        <v>167</v>
      </c>
      <c r="B52" s="244"/>
      <c r="C52" s="244"/>
      <c r="D52" s="244"/>
      <c r="E52" s="244">
        <v>42061.574305555601</v>
      </c>
      <c r="F52" s="244">
        <v>42108.7055555556</v>
      </c>
      <c r="G52" s="244"/>
      <c r="H52" s="244">
        <v>42109.3881944444</v>
      </c>
      <c r="I52" s="244"/>
      <c r="J52" s="244"/>
      <c r="K52" s="244">
        <v>42061.5756944444</v>
      </c>
      <c r="L52" s="244">
        <v>42061.576388888898</v>
      </c>
      <c r="M52" s="244">
        <v>42061.577083333301</v>
      </c>
      <c r="N52" s="244"/>
      <c r="O52" s="244">
        <v>42081</v>
      </c>
      <c r="P52" s="244">
        <v>42108</v>
      </c>
      <c r="Q52" s="244">
        <v>42065.329861111102</v>
      </c>
      <c r="R52" s="244">
        <v>42089.400694444397</v>
      </c>
      <c r="S52" s="244">
        <v>42073.579861111102</v>
      </c>
      <c r="T52" s="244"/>
      <c r="U52" s="244"/>
      <c r="V52" s="244">
        <v>41972.901388888902</v>
      </c>
      <c r="W52" s="244"/>
      <c r="X52" s="244">
        <v>41972</v>
      </c>
      <c r="Y52" s="244"/>
      <c r="Z52" s="244"/>
      <c r="AA52" s="244">
        <v>42109.826388888898</v>
      </c>
      <c r="AB52" s="244"/>
      <c r="AC52" s="244">
        <v>42040.463888888902</v>
      </c>
      <c r="AD52" s="244"/>
      <c r="AE52" s="244"/>
      <c r="AF52" s="244"/>
      <c r="AG52" s="244">
        <v>40296</v>
      </c>
      <c r="AH52" s="244">
        <v>41967</v>
      </c>
      <c r="AI52" s="244"/>
      <c r="AJ52" s="244"/>
      <c r="AK52" s="244"/>
      <c r="AL52" s="244"/>
      <c r="AM52" s="244">
        <v>42070</v>
      </c>
      <c r="AN52" s="244"/>
      <c r="AO52" s="244"/>
      <c r="AP52" s="244">
        <v>42093.838888888902</v>
      </c>
      <c r="AQ52" s="244">
        <v>42068.452777777798</v>
      </c>
      <c r="AR52" s="244"/>
      <c r="AS52" s="244"/>
      <c r="AT52" s="244"/>
      <c r="AU52" s="244"/>
      <c r="AV52" s="244"/>
      <c r="AW52" s="244"/>
      <c r="AX52" s="244"/>
      <c r="AY52" s="244"/>
      <c r="AZ52" s="244"/>
      <c r="BA52" s="244"/>
      <c r="BB52" s="244"/>
      <c r="BC52" s="244"/>
      <c r="BD52" s="244">
        <v>42099</v>
      </c>
      <c r="BE52" s="244">
        <v>42112.038194444402</v>
      </c>
      <c r="BF52" s="244">
        <v>41877</v>
      </c>
      <c r="BG52" s="244">
        <v>41984.736111111102</v>
      </c>
      <c r="BH52" s="244">
        <v>41979.611111111102</v>
      </c>
      <c r="BI52" s="244">
        <v>41984.737500000003</v>
      </c>
      <c r="BJ52" s="244">
        <v>41984.7368055556</v>
      </c>
      <c r="BK52" s="244">
        <v>41901</v>
      </c>
      <c r="BL52" s="244">
        <v>41984.738194444399</v>
      </c>
      <c r="BM52" s="244">
        <v>41942</v>
      </c>
      <c r="BN52" s="244">
        <v>41858.382638888899</v>
      </c>
      <c r="BO52" s="244">
        <v>41962</v>
      </c>
      <c r="BP52" s="244">
        <v>41962</v>
      </c>
      <c r="BQ52" s="244"/>
      <c r="BR52" s="244">
        <v>41901</v>
      </c>
      <c r="BS52" s="244">
        <v>41984</v>
      </c>
      <c r="BT52" s="244"/>
      <c r="BU52" s="244"/>
      <c r="BV52" s="244"/>
      <c r="BW52" s="244"/>
      <c r="BX52" s="244"/>
      <c r="BY52" s="244"/>
      <c r="BZ52" s="244">
        <v>40118</v>
      </c>
      <c r="CA52" s="244">
        <v>40118</v>
      </c>
      <c r="CB52" s="244">
        <v>40118</v>
      </c>
      <c r="CC52" s="244">
        <v>40118</v>
      </c>
      <c r="CD52" s="244">
        <v>40118</v>
      </c>
      <c r="CE52" s="244">
        <v>40118</v>
      </c>
      <c r="CF52" s="244">
        <v>40179</v>
      </c>
      <c r="CG52" s="244">
        <v>40179</v>
      </c>
      <c r="CH52" s="244">
        <v>39814</v>
      </c>
      <c r="CI52" s="244">
        <v>40391</v>
      </c>
      <c r="CJ52" s="244">
        <v>40118</v>
      </c>
      <c r="CK52" s="244">
        <v>40118</v>
      </c>
      <c r="CL52" s="244">
        <v>40118</v>
      </c>
      <c r="CM52" s="244">
        <v>40118</v>
      </c>
      <c r="CN52" s="244">
        <v>41863.4597222222</v>
      </c>
      <c r="CO52" s="244">
        <v>40299</v>
      </c>
      <c r="CP52" s="244">
        <v>40513</v>
      </c>
      <c r="CQ52" s="244">
        <v>40452</v>
      </c>
      <c r="CR52" s="244">
        <v>40452</v>
      </c>
      <c r="CS52" s="244">
        <v>40026</v>
      </c>
      <c r="CT52" s="244">
        <v>38718</v>
      </c>
      <c r="CU52" s="244">
        <v>37834</v>
      </c>
      <c r="CV52" s="244">
        <v>40087</v>
      </c>
      <c r="CW52" s="244"/>
      <c r="CX52" s="244"/>
      <c r="CY52" s="244"/>
      <c r="CZ52" s="244"/>
      <c r="DA52" s="244"/>
      <c r="DB52" s="244">
        <v>41912.702777777798</v>
      </c>
      <c r="DC52" s="244">
        <v>37895</v>
      </c>
      <c r="DD52" s="244">
        <v>40118</v>
      </c>
      <c r="DE52" s="244"/>
      <c r="DF52" s="244"/>
      <c r="DG52" s="244">
        <v>42101.697916666701</v>
      </c>
      <c r="DH52" s="244">
        <v>42108.942361111098</v>
      </c>
      <c r="DI52" s="244">
        <v>42071</v>
      </c>
      <c r="DJ52" s="244">
        <v>42108.943749999999</v>
      </c>
      <c r="DK52" s="244"/>
      <c r="DL52" s="244"/>
      <c r="DM52" s="244"/>
      <c r="DN52" s="244"/>
      <c r="DO52" s="244"/>
      <c r="DP52" s="244">
        <v>42074.686111111099</v>
      </c>
      <c r="DQ52" s="244">
        <v>42001.622916666704</v>
      </c>
      <c r="DR52" s="244"/>
      <c r="DS52" s="244">
        <v>41943.485416666699</v>
      </c>
      <c r="DT52" s="244"/>
      <c r="DU52" s="244"/>
      <c r="DV52" s="244"/>
      <c r="DW52" s="244">
        <v>42092.627083333296</v>
      </c>
      <c r="DX52" s="244">
        <v>41977.947222222203</v>
      </c>
      <c r="DY52" s="244"/>
      <c r="DZ52" s="244">
        <v>41901</v>
      </c>
      <c r="EA52" s="244"/>
      <c r="EB52" s="244">
        <v>42088.749305555597</v>
      </c>
      <c r="EC52" s="244">
        <v>42107.896527777797</v>
      </c>
      <c r="ED52" s="244">
        <v>42088.545833333301</v>
      </c>
      <c r="EE52" s="244">
        <v>42086</v>
      </c>
      <c r="EF52" s="244"/>
      <c r="EG52" s="244">
        <v>41932.426388888904</v>
      </c>
      <c r="EH52" s="244"/>
      <c r="EI52" s="244"/>
      <c r="EJ52" s="244"/>
      <c r="EK52" s="244"/>
      <c r="EL52" s="244">
        <v>41557</v>
      </c>
      <c r="EM52" s="244">
        <v>41557</v>
      </c>
      <c r="EN52" s="244">
        <v>41557</v>
      </c>
      <c r="EO52" s="244">
        <v>41557</v>
      </c>
      <c r="EP52" s="244">
        <v>41557</v>
      </c>
      <c r="EQ52" s="244"/>
      <c r="ER52" s="244"/>
      <c r="ES52" s="244"/>
      <c r="ET52" s="244"/>
      <c r="EU52" s="244"/>
      <c r="EV52" s="244">
        <v>42112.038194444402</v>
      </c>
    </row>
    <row r="53" spans="1:152">
      <c r="A53" s="270" t="s">
        <v>87</v>
      </c>
      <c r="B53" s="244"/>
      <c r="C53" s="244"/>
      <c r="D53" s="244"/>
      <c r="E53" s="244"/>
      <c r="F53" s="244">
        <v>42108.7055555556</v>
      </c>
      <c r="G53" s="244"/>
      <c r="H53" s="244">
        <v>42109.3881944444</v>
      </c>
      <c r="I53" s="244"/>
      <c r="J53" s="244"/>
      <c r="K53" s="244">
        <v>42061.5756944444</v>
      </c>
      <c r="L53" s="244">
        <v>42061.576388888898</v>
      </c>
      <c r="M53" s="244">
        <v>42061.577083333301</v>
      </c>
      <c r="N53" s="244"/>
      <c r="O53" s="244"/>
      <c r="P53" s="244">
        <v>42108</v>
      </c>
      <c r="Q53" s="244">
        <v>42065.329861111102</v>
      </c>
      <c r="R53" s="244">
        <v>42089.400694444397</v>
      </c>
      <c r="S53" s="244">
        <v>42073.579861111102</v>
      </c>
      <c r="T53" s="244"/>
      <c r="U53" s="244"/>
      <c r="V53" s="244"/>
      <c r="W53" s="244"/>
      <c r="X53" s="244"/>
      <c r="Y53" s="244"/>
      <c r="Z53" s="244"/>
      <c r="AA53" s="244">
        <v>42109.826388888898</v>
      </c>
      <c r="AB53" s="244"/>
      <c r="AC53" s="244">
        <v>42040.463888888902</v>
      </c>
      <c r="AD53" s="244"/>
      <c r="AE53" s="244"/>
      <c r="AF53" s="244"/>
      <c r="AG53" s="244"/>
      <c r="AH53" s="244">
        <v>41967</v>
      </c>
      <c r="AI53" s="244"/>
      <c r="AJ53" s="244"/>
      <c r="AK53" s="244"/>
      <c r="AL53" s="244"/>
      <c r="AM53" s="244"/>
      <c r="AN53" s="244"/>
      <c r="AO53" s="244"/>
      <c r="AP53" s="244">
        <v>42093.838888888902</v>
      </c>
      <c r="AQ53" s="244">
        <v>42068.452777777798</v>
      </c>
      <c r="AR53" s="244"/>
      <c r="AS53" s="244"/>
      <c r="AT53" s="244"/>
      <c r="AU53" s="244"/>
      <c r="AV53" s="244"/>
      <c r="AW53" s="244"/>
      <c r="AX53" s="244"/>
      <c r="AY53" s="244"/>
      <c r="AZ53" s="244"/>
      <c r="BA53" s="244"/>
      <c r="BB53" s="244"/>
      <c r="BC53" s="244"/>
      <c r="BD53" s="244">
        <v>42099</v>
      </c>
      <c r="BE53" s="244">
        <v>42112.038194444402</v>
      </c>
      <c r="BF53" s="244">
        <v>41877</v>
      </c>
      <c r="BG53" s="244">
        <v>41984.736111111102</v>
      </c>
      <c r="BH53" s="244">
        <v>41979.611111111102</v>
      </c>
      <c r="BI53" s="244">
        <v>41984.737500000003</v>
      </c>
      <c r="BJ53" s="244">
        <v>41984.7368055556</v>
      </c>
      <c r="BK53" s="244">
        <v>41901</v>
      </c>
      <c r="BL53" s="244">
        <v>41984.738194444399</v>
      </c>
      <c r="BM53" s="244">
        <v>41942</v>
      </c>
      <c r="BN53" s="244">
        <v>41858.382638888899</v>
      </c>
      <c r="BO53" s="244">
        <v>41962</v>
      </c>
      <c r="BP53" s="244">
        <v>41962</v>
      </c>
      <c r="BQ53" s="244"/>
      <c r="BR53" s="244">
        <v>41901</v>
      </c>
      <c r="BS53" s="244">
        <v>41984</v>
      </c>
      <c r="BT53" s="244"/>
      <c r="BU53" s="244"/>
      <c r="BV53" s="244"/>
      <c r="BW53" s="244"/>
      <c r="BX53" s="244"/>
      <c r="BY53" s="244"/>
      <c r="BZ53" s="244">
        <v>40118</v>
      </c>
      <c r="CA53" s="244">
        <v>40118</v>
      </c>
      <c r="CB53" s="244">
        <v>40118</v>
      </c>
      <c r="CC53" s="244">
        <v>40118</v>
      </c>
      <c r="CD53" s="244">
        <v>40118</v>
      </c>
      <c r="CE53" s="244">
        <v>40118</v>
      </c>
      <c r="CF53" s="244">
        <v>40179</v>
      </c>
      <c r="CG53" s="244">
        <v>40179</v>
      </c>
      <c r="CH53" s="244">
        <v>39814</v>
      </c>
      <c r="CI53" s="244">
        <v>40391</v>
      </c>
      <c r="CJ53" s="244">
        <v>40118</v>
      </c>
      <c r="CK53" s="244">
        <v>40118</v>
      </c>
      <c r="CL53" s="244">
        <v>40118</v>
      </c>
      <c r="CM53" s="244">
        <v>40118</v>
      </c>
      <c r="CN53" s="244">
        <v>41863.4597222222</v>
      </c>
      <c r="CO53" s="244">
        <v>40299</v>
      </c>
      <c r="CP53" s="244">
        <v>40513</v>
      </c>
      <c r="CQ53" s="244">
        <v>40452</v>
      </c>
      <c r="CR53" s="244">
        <v>40452</v>
      </c>
      <c r="CS53" s="244">
        <v>40026</v>
      </c>
      <c r="CT53" s="244">
        <v>38718</v>
      </c>
      <c r="CU53" s="244">
        <v>37834</v>
      </c>
      <c r="CV53" s="244">
        <v>40087</v>
      </c>
      <c r="CW53" s="244"/>
      <c r="CX53" s="244"/>
      <c r="CY53" s="244"/>
      <c r="CZ53" s="244"/>
      <c r="DA53" s="244"/>
      <c r="DB53" s="244">
        <v>41912.702777777798</v>
      </c>
      <c r="DC53" s="244">
        <v>37895</v>
      </c>
      <c r="DD53" s="244">
        <v>40118</v>
      </c>
      <c r="DE53" s="244"/>
      <c r="DF53" s="244"/>
      <c r="DG53" s="244">
        <v>42101.697916666701</v>
      </c>
      <c r="DH53" s="244">
        <v>42108.942361111098</v>
      </c>
      <c r="DI53" s="244">
        <v>42071</v>
      </c>
      <c r="DJ53" s="244">
        <v>42108.943749999999</v>
      </c>
      <c r="DK53" s="244"/>
      <c r="DL53" s="244"/>
      <c r="DM53" s="244"/>
      <c r="DN53" s="244"/>
      <c r="DO53" s="244"/>
      <c r="DP53" s="244"/>
      <c r="DQ53" s="244"/>
      <c r="DR53" s="244"/>
      <c r="DS53" s="244"/>
      <c r="DT53" s="244"/>
      <c r="DU53" s="244"/>
      <c r="DV53" s="244"/>
      <c r="DW53" s="244"/>
      <c r="DX53" s="244"/>
      <c r="DY53" s="244"/>
      <c r="DZ53" s="244"/>
      <c r="EA53" s="244"/>
      <c r="EB53" s="244"/>
      <c r="EC53" s="244"/>
      <c r="ED53" s="244"/>
      <c r="EE53" s="244"/>
      <c r="EF53" s="244"/>
      <c r="EG53" s="244"/>
      <c r="EH53" s="244"/>
      <c r="EI53" s="244"/>
      <c r="EJ53" s="244"/>
      <c r="EK53" s="244"/>
      <c r="EL53" s="244"/>
      <c r="EM53" s="244"/>
      <c r="EN53" s="244"/>
      <c r="EO53" s="244"/>
      <c r="EP53" s="244"/>
      <c r="EQ53" s="244"/>
      <c r="ER53" s="244"/>
      <c r="ES53" s="244"/>
      <c r="ET53" s="244"/>
      <c r="EU53" s="244"/>
      <c r="EV53" s="244">
        <v>42112.038194444402</v>
      </c>
    </row>
    <row r="54" spans="1:152">
      <c r="A54" s="270" t="s">
        <v>172</v>
      </c>
      <c r="B54" s="244"/>
      <c r="C54" s="244"/>
      <c r="D54" s="244"/>
      <c r="E54" s="244">
        <v>42061.574305555601</v>
      </c>
      <c r="F54" s="244"/>
      <c r="G54" s="244"/>
      <c r="H54" s="244"/>
      <c r="I54" s="244"/>
      <c r="J54" s="244"/>
      <c r="K54" s="244"/>
      <c r="L54" s="244"/>
      <c r="M54" s="244"/>
      <c r="N54" s="244"/>
      <c r="O54" s="244">
        <v>42081</v>
      </c>
      <c r="P54" s="244">
        <v>41984.469444444403</v>
      </c>
      <c r="Q54" s="244"/>
      <c r="R54" s="244"/>
      <c r="S54" s="244"/>
      <c r="T54" s="244"/>
      <c r="U54" s="244"/>
      <c r="V54" s="244">
        <v>41972.901388888902</v>
      </c>
      <c r="W54" s="244"/>
      <c r="X54" s="244">
        <v>41972</v>
      </c>
      <c r="Y54" s="244"/>
      <c r="Z54" s="244"/>
      <c r="AA54" s="244"/>
      <c r="AB54" s="244"/>
      <c r="AC54" s="244"/>
      <c r="AD54" s="244"/>
      <c r="AE54" s="244"/>
      <c r="AF54" s="244"/>
      <c r="AG54" s="244">
        <v>40296</v>
      </c>
      <c r="AH54" s="244"/>
      <c r="AI54" s="244"/>
      <c r="AJ54" s="244"/>
      <c r="AK54" s="244"/>
      <c r="AL54" s="244"/>
      <c r="AM54" s="244">
        <v>42070</v>
      </c>
      <c r="AN54" s="244"/>
      <c r="AO54" s="244"/>
      <c r="AP54" s="244"/>
      <c r="AQ54" s="244"/>
      <c r="AR54" s="244"/>
      <c r="AS54" s="244"/>
      <c r="AT54" s="244"/>
      <c r="AU54" s="244"/>
      <c r="AV54" s="244"/>
      <c r="AW54" s="244"/>
      <c r="AX54" s="244"/>
      <c r="AY54" s="244"/>
      <c r="AZ54" s="244"/>
      <c r="BA54" s="244"/>
      <c r="BB54" s="244"/>
      <c r="BC54" s="244"/>
      <c r="BD54" s="244"/>
      <c r="BE54" s="244"/>
      <c r="BF54" s="244"/>
      <c r="BG54" s="244"/>
      <c r="BH54" s="244"/>
      <c r="BI54" s="244"/>
      <c r="BJ54" s="244"/>
      <c r="BK54" s="244"/>
      <c r="BL54" s="244"/>
      <c r="BM54" s="244"/>
      <c r="BN54" s="244"/>
      <c r="BO54" s="244"/>
      <c r="BP54" s="244"/>
      <c r="BQ54" s="244"/>
      <c r="BR54" s="244"/>
      <c r="BS54" s="244"/>
      <c r="BT54" s="244"/>
      <c r="BU54" s="244"/>
      <c r="BV54" s="244"/>
      <c r="BW54" s="244"/>
      <c r="BX54" s="244"/>
      <c r="BY54" s="244"/>
      <c r="BZ54" s="244"/>
      <c r="CA54" s="244"/>
      <c r="CB54" s="244"/>
      <c r="CC54" s="244"/>
      <c r="CD54" s="244"/>
      <c r="CE54" s="244"/>
      <c r="CF54" s="244"/>
      <c r="CG54" s="244"/>
      <c r="CH54" s="244"/>
      <c r="CI54" s="244"/>
      <c r="CJ54" s="244"/>
      <c r="CK54" s="244"/>
      <c r="CL54" s="244"/>
      <c r="CM54" s="244"/>
      <c r="CN54" s="244"/>
      <c r="CO54" s="244"/>
      <c r="CP54" s="244"/>
      <c r="CQ54" s="244"/>
      <c r="CR54" s="244"/>
      <c r="CS54" s="244"/>
      <c r="CT54" s="244"/>
      <c r="CU54" s="244"/>
      <c r="CV54" s="244"/>
      <c r="CW54" s="244"/>
      <c r="CX54" s="244"/>
      <c r="CY54" s="244"/>
      <c r="CZ54" s="244"/>
      <c r="DA54" s="244"/>
      <c r="DB54" s="244"/>
      <c r="DC54" s="244"/>
      <c r="DD54" s="244"/>
      <c r="DE54" s="244"/>
      <c r="DF54" s="244"/>
      <c r="DG54" s="244"/>
      <c r="DH54" s="244"/>
      <c r="DI54" s="244"/>
      <c r="DJ54" s="244"/>
      <c r="DK54" s="244"/>
      <c r="DL54" s="244"/>
      <c r="DM54" s="244"/>
      <c r="DN54" s="244"/>
      <c r="DO54" s="244"/>
      <c r="DP54" s="244">
        <v>42074.686111111099</v>
      </c>
      <c r="DQ54" s="244">
        <v>42001.622916666704</v>
      </c>
      <c r="DR54" s="244"/>
      <c r="DS54" s="244">
        <v>41943.485416666699</v>
      </c>
      <c r="DT54" s="244"/>
      <c r="DU54" s="244"/>
      <c r="DV54" s="244"/>
      <c r="DW54" s="244"/>
      <c r="DX54" s="244">
        <v>41977.947222222203</v>
      </c>
      <c r="DY54" s="244"/>
      <c r="DZ54" s="244">
        <v>41901</v>
      </c>
      <c r="EA54" s="244"/>
      <c r="EB54" s="244"/>
      <c r="EC54" s="244"/>
      <c r="ED54" s="244"/>
      <c r="EE54" s="244"/>
      <c r="EF54" s="244"/>
      <c r="EG54" s="244"/>
      <c r="EH54" s="244"/>
      <c r="EI54" s="244"/>
      <c r="EJ54" s="244"/>
      <c r="EK54" s="244"/>
      <c r="EL54" s="244"/>
      <c r="EM54" s="244"/>
      <c r="EN54" s="244"/>
      <c r="EO54" s="244"/>
      <c r="EP54" s="244"/>
      <c r="EQ54" s="244"/>
      <c r="ER54" s="244"/>
      <c r="ES54" s="244"/>
      <c r="ET54" s="244"/>
      <c r="EU54" s="244"/>
      <c r="EV54" s="244">
        <v>42081</v>
      </c>
    </row>
    <row r="55" spans="1:152">
      <c r="A55" s="270" t="s">
        <v>173</v>
      </c>
      <c r="B55" s="244"/>
      <c r="C55" s="244"/>
      <c r="D55" s="244"/>
      <c r="E55" s="244"/>
      <c r="F55" s="244"/>
      <c r="G55" s="244"/>
      <c r="H55" s="244"/>
      <c r="I55" s="244"/>
      <c r="J55" s="244"/>
      <c r="K55" s="244"/>
      <c r="L55" s="244"/>
      <c r="M55" s="244"/>
      <c r="N55" s="244"/>
      <c r="O55" s="244"/>
      <c r="P55" s="244"/>
      <c r="Q55" s="244"/>
      <c r="R55" s="244"/>
      <c r="S55" s="244"/>
      <c r="T55" s="244"/>
      <c r="U55" s="244"/>
      <c r="V55" s="244"/>
      <c r="W55" s="244"/>
      <c r="X55" s="244"/>
      <c r="Y55" s="244"/>
      <c r="Z55" s="244"/>
      <c r="AA55" s="244"/>
      <c r="AB55" s="244"/>
      <c r="AC55" s="244"/>
      <c r="AD55" s="244"/>
      <c r="AE55" s="244"/>
      <c r="AF55" s="244"/>
      <c r="AG55" s="244"/>
      <c r="AH55" s="244"/>
      <c r="AI55" s="244"/>
      <c r="AJ55" s="244"/>
      <c r="AK55" s="244"/>
      <c r="AL55" s="244"/>
      <c r="AM55" s="244"/>
      <c r="AN55" s="244"/>
      <c r="AO55" s="244"/>
      <c r="AP55" s="244"/>
      <c r="AQ55" s="244"/>
      <c r="AR55" s="244"/>
      <c r="AS55" s="244"/>
      <c r="AT55" s="244"/>
      <c r="AU55" s="244"/>
      <c r="AV55" s="244"/>
      <c r="AW55" s="244"/>
      <c r="AX55" s="244"/>
      <c r="AY55" s="244"/>
      <c r="AZ55" s="244"/>
      <c r="BA55" s="244"/>
      <c r="BB55" s="244"/>
      <c r="BC55" s="244"/>
      <c r="BD55" s="244"/>
      <c r="BE55" s="244"/>
      <c r="BF55" s="244"/>
      <c r="BG55" s="244"/>
      <c r="BH55" s="244"/>
      <c r="BI55" s="244"/>
      <c r="BJ55" s="244"/>
      <c r="BK55" s="244"/>
      <c r="BL55" s="244"/>
      <c r="BM55" s="244"/>
      <c r="BN55" s="244"/>
      <c r="BO55" s="244"/>
      <c r="BP55" s="244"/>
      <c r="BQ55" s="244"/>
      <c r="BR55" s="244"/>
      <c r="BS55" s="244"/>
      <c r="BT55" s="244"/>
      <c r="BU55" s="244"/>
      <c r="BV55" s="244"/>
      <c r="BW55" s="244"/>
      <c r="BX55" s="244"/>
      <c r="BY55" s="244"/>
      <c r="BZ55" s="244"/>
      <c r="CA55" s="244"/>
      <c r="CB55" s="244"/>
      <c r="CC55" s="244"/>
      <c r="CD55" s="244"/>
      <c r="CE55" s="244"/>
      <c r="CF55" s="244"/>
      <c r="CG55" s="244"/>
      <c r="CH55" s="244"/>
      <c r="CI55" s="244"/>
      <c r="CJ55" s="244"/>
      <c r="CK55" s="244"/>
      <c r="CL55" s="244"/>
      <c r="CM55" s="244"/>
      <c r="CN55" s="244"/>
      <c r="CO55" s="244"/>
      <c r="CP55" s="244"/>
      <c r="CQ55" s="244"/>
      <c r="CR55" s="244"/>
      <c r="CS55" s="244"/>
      <c r="CT55" s="244"/>
      <c r="CU55" s="244"/>
      <c r="CV55" s="244"/>
      <c r="CW55" s="244"/>
      <c r="CX55" s="244"/>
      <c r="CY55" s="244"/>
      <c r="CZ55" s="244"/>
      <c r="DA55" s="244"/>
      <c r="DB55" s="244"/>
      <c r="DC55" s="244"/>
      <c r="DD55" s="244"/>
      <c r="DE55" s="244"/>
      <c r="DF55" s="244"/>
      <c r="DG55" s="244"/>
      <c r="DH55" s="244"/>
      <c r="DI55" s="244"/>
      <c r="DJ55" s="244"/>
      <c r="DK55" s="244"/>
      <c r="DL55" s="244"/>
      <c r="DM55" s="244"/>
      <c r="DN55" s="244"/>
      <c r="DO55" s="244"/>
      <c r="DP55" s="244"/>
      <c r="DQ55" s="244"/>
      <c r="DR55" s="244"/>
      <c r="DS55" s="244"/>
      <c r="DT55" s="244"/>
      <c r="DU55" s="244"/>
      <c r="DV55" s="244"/>
      <c r="DW55" s="244">
        <v>42092.627083333296</v>
      </c>
      <c r="DX55" s="244"/>
      <c r="DY55" s="244"/>
      <c r="DZ55" s="244"/>
      <c r="EA55" s="244"/>
      <c r="EB55" s="244">
        <v>42088.749305555597</v>
      </c>
      <c r="EC55" s="244">
        <v>42107.896527777797</v>
      </c>
      <c r="ED55" s="244">
        <v>42088.545833333301</v>
      </c>
      <c r="EE55" s="244">
        <v>42086</v>
      </c>
      <c r="EF55" s="244"/>
      <c r="EG55" s="244">
        <v>41932.426388888904</v>
      </c>
      <c r="EH55" s="244"/>
      <c r="EI55" s="244"/>
      <c r="EJ55" s="244"/>
      <c r="EK55" s="244"/>
      <c r="EL55" s="244">
        <v>41557</v>
      </c>
      <c r="EM55" s="244">
        <v>41557</v>
      </c>
      <c r="EN55" s="244">
        <v>41557</v>
      </c>
      <c r="EO55" s="244">
        <v>41557</v>
      </c>
      <c r="EP55" s="244">
        <v>41557</v>
      </c>
      <c r="EQ55" s="244"/>
      <c r="ER55" s="244"/>
      <c r="ES55" s="244"/>
      <c r="ET55" s="244"/>
      <c r="EU55" s="244"/>
      <c r="EV55" s="244">
        <v>42107.896527777797</v>
      </c>
    </row>
    <row r="56" spans="1:152">
      <c r="A56" s="269" t="s">
        <v>153</v>
      </c>
      <c r="B56" s="244"/>
      <c r="C56" s="244">
        <v>42080.795833333301</v>
      </c>
      <c r="D56" s="244"/>
      <c r="E56" s="244">
        <v>42081.603472222203</v>
      </c>
      <c r="F56" s="244">
        <v>42074.3215277778</v>
      </c>
      <c r="G56" s="244"/>
      <c r="H56" s="244">
        <v>42087.499305555597</v>
      </c>
      <c r="I56" s="244"/>
      <c r="J56" s="244"/>
      <c r="K56" s="244">
        <v>42053.540972222203</v>
      </c>
      <c r="L56" s="244">
        <v>42053.541666666701</v>
      </c>
      <c r="M56" s="244">
        <v>42053.543055555601</v>
      </c>
      <c r="N56" s="244"/>
      <c r="O56" s="244"/>
      <c r="P56" s="244">
        <v>42059</v>
      </c>
      <c r="Q56" s="244">
        <v>42059</v>
      </c>
      <c r="R56" s="244">
        <v>42059.677083333299</v>
      </c>
      <c r="S56" s="244">
        <v>41993.619444444397</v>
      </c>
      <c r="T56" s="244"/>
      <c r="U56" s="244"/>
      <c r="V56" s="244">
        <v>41964</v>
      </c>
      <c r="W56" s="244"/>
      <c r="X56" s="244">
        <v>41964</v>
      </c>
      <c r="Y56" s="244"/>
      <c r="Z56" s="244"/>
      <c r="AA56" s="244">
        <v>42079.863888888904</v>
      </c>
      <c r="AB56" s="244"/>
      <c r="AC56" s="244">
        <v>42081.326388888898</v>
      </c>
      <c r="AD56" s="244"/>
      <c r="AE56" s="244"/>
      <c r="AF56" s="244"/>
      <c r="AG56" s="244">
        <v>40323</v>
      </c>
      <c r="AH56" s="244">
        <v>41968.638888888898</v>
      </c>
      <c r="AI56" s="244"/>
      <c r="AJ56" s="244"/>
      <c r="AK56" s="244">
        <v>41885</v>
      </c>
      <c r="AL56" s="244"/>
      <c r="AM56" s="244">
        <v>42066.689583333296</v>
      </c>
      <c r="AN56" s="244"/>
      <c r="AO56" s="244"/>
      <c r="AP56" s="244">
        <v>41982.475694444402</v>
      </c>
      <c r="AQ56" s="244">
        <v>41951</v>
      </c>
      <c r="AR56" s="244"/>
      <c r="AS56" s="244"/>
      <c r="AT56" s="244"/>
      <c r="AU56" s="244"/>
      <c r="AV56" s="244"/>
      <c r="AW56" s="244"/>
      <c r="AX56" s="244"/>
      <c r="AY56" s="244"/>
      <c r="AZ56" s="244"/>
      <c r="BA56" s="244"/>
      <c r="BB56" s="244"/>
      <c r="BC56" s="244"/>
      <c r="BD56" s="244">
        <v>42015.361111111102</v>
      </c>
      <c r="BE56" s="244">
        <v>41907.109722222202</v>
      </c>
      <c r="BF56" s="244">
        <v>42021.45</v>
      </c>
      <c r="BG56" s="244">
        <v>41731.965277777803</v>
      </c>
      <c r="BH56" s="244">
        <v>41724.681944444397</v>
      </c>
      <c r="BI56" s="244">
        <v>41731.986111111102</v>
      </c>
      <c r="BJ56" s="244">
        <v>41731.965972222199</v>
      </c>
      <c r="BK56" s="244">
        <v>42079.6694444444</v>
      </c>
      <c r="BL56" s="244">
        <v>41731.965972222199</v>
      </c>
      <c r="BM56" s="244">
        <v>41731.966666666704</v>
      </c>
      <c r="BN56" s="244">
        <v>42080.779166666704</v>
      </c>
      <c r="BO56" s="244">
        <v>41856.474999999999</v>
      </c>
      <c r="BP56" s="244">
        <v>41856.454166666699</v>
      </c>
      <c r="BQ56" s="244"/>
      <c r="BR56" s="244">
        <v>41901</v>
      </c>
      <c r="BS56" s="244">
        <v>41353</v>
      </c>
      <c r="BT56" s="244"/>
      <c r="BU56" s="244"/>
      <c r="BV56" s="244"/>
      <c r="BW56" s="244"/>
      <c r="BX56" s="244"/>
      <c r="BY56" s="244"/>
      <c r="BZ56" s="244">
        <v>40148</v>
      </c>
      <c r="CA56" s="244">
        <v>40148</v>
      </c>
      <c r="CB56" s="244">
        <v>40148</v>
      </c>
      <c r="CC56" s="244">
        <v>40148</v>
      </c>
      <c r="CD56" s="244">
        <v>40148</v>
      </c>
      <c r="CE56" s="244">
        <v>40148</v>
      </c>
      <c r="CF56" s="244">
        <v>39934</v>
      </c>
      <c r="CG56" s="244">
        <v>40209</v>
      </c>
      <c r="CH56" s="244">
        <v>40756</v>
      </c>
      <c r="CI56" s="244">
        <v>40452</v>
      </c>
      <c r="CJ56" s="244">
        <v>40148</v>
      </c>
      <c r="CK56" s="244">
        <v>40148</v>
      </c>
      <c r="CL56" s="244">
        <v>40148</v>
      </c>
      <c r="CM56" s="244">
        <v>40148</v>
      </c>
      <c r="CN56" s="244">
        <v>40148</v>
      </c>
      <c r="CO56" s="244">
        <v>40360</v>
      </c>
      <c r="CP56" s="244">
        <v>39995</v>
      </c>
      <c r="CQ56" s="244">
        <v>40756</v>
      </c>
      <c r="CR56" s="244">
        <v>40756</v>
      </c>
      <c r="CS56" s="244">
        <v>40168</v>
      </c>
      <c r="CT56" s="244">
        <v>38748</v>
      </c>
      <c r="CU56" s="244">
        <v>38018</v>
      </c>
      <c r="CV56" s="244">
        <v>38473</v>
      </c>
      <c r="CW56" s="244"/>
      <c r="CX56" s="244"/>
      <c r="CY56" s="244"/>
      <c r="CZ56" s="244"/>
      <c r="DA56" s="244"/>
      <c r="DB56" s="244">
        <v>41358</v>
      </c>
      <c r="DC56" s="244">
        <v>40178</v>
      </c>
      <c r="DD56" s="244">
        <v>40148</v>
      </c>
      <c r="DE56" s="244"/>
      <c r="DF56" s="244"/>
      <c r="DG56" s="244">
        <v>42079.845833333296</v>
      </c>
      <c r="DH56" s="244">
        <v>42087.515972222202</v>
      </c>
      <c r="DI56" s="244">
        <v>41901</v>
      </c>
      <c r="DJ56" s="244">
        <v>42073.516666666699</v>
      </c>
      <c r="DK56" s="244"/>
      <c r="DL56" s="244"/>
      <c r="DM56" s="244"/>
      <c r="DN56" s="244"/>
      <c r="DO56" s="244"/>
      <c r="DP56" s="244">
        <v>42054.7409722222</v>
      </c>
      <c r="DQ56" s="244">
        <v>42081</v>
      </c>
      <c r="DR56" s="244"/>
      <c r="DS56" s="244">
        <v>42073.518750000003</v>
      </c>
      <c r="DT56" s="244"/>
      <c r="DU56" s="244"/>
      <c r="DV56" s="244"/>
      <c r="DW56" s="244">
        <v>42080.792361111096</v>
      </c>
      <c r="DX56" s="244">
        <v>41956.860416666699</v>
      </c>
      <c r="DY56" s="244"/>
      <c r="DZ56" s="244">
        <v>41885</v>
      </c>
      <c r="EA56" s="244"/>
      <c r="EB56" s="244">
        <v>42059.476388888899</v>
      </c>
      <c r="EC56" s="244">
        <v>42079.550694444399</v>
      </c>
      <c r="ED56" s="244">
        <v>41877.786111111098</v>
      </c>
      <c r="EE56" s="244">
        <v>42075.55</v>
      </c>
      <c r="EF56" s="244">
        <v>42075.551388888904</v>
      </c>
      <c r="EG56" s="244">
        <v>41731.782638888901</v>
      </c>
      <c r="EH56" s="244"/>
      <c r="EI56" s="244"/>
      <c r="EJ56" s="244"/>
      <c r="EK56" s="244"/>
      <c r="EL56" s="244">
        <v>41456</v>
      </c>
      <c r="EM56" s="244">
        <v>41456</v>
      </c>
      <c r="EN56" s="244">
        <v>41456</v>
      </c>
      <c r="EO56" s="244">
        <v>41456</v>
      </c>
      <c r="EP56" s="244">
        <v>41456</v>
      </c>
      <c r="EQ56" s="244"/>
      <c r="ER56" s="244"/>
      <c r="ES56" s="244"/>
      <c r="ET56" s="244"/>
      <c r="EU56" s="244"/>
      <c r="EV56" s="244">
        <v>42087.515972222202</v>
      </c>
    </row>
    <row r="57" spans="1:152">
      <c r="A57" s="270" t="s">
        <v>87</v>
      </c>
      <c r="B57" s="244"/>
      <c r="C57" s="244">
        <v>42080.795833333301</v>
      </c>
      <c r="D57" s="244"/>
      <c r="E57" s="244">
        <v>42081.603472222203</v>
      </c>
      <c r="F57" s="244">
        <v>42074.3215277778</v>
      </c>
      <c r="G57" s="244"/>
      <c r="H57" s="244">
        <v>42087.499305555597</v>
      </c>
      <c r="I57" s="244"/>
      <c r="J57" s="244"/>
      <c r="K57" s="244">
        <v>42053.540972222203</v>
      </c>
      <c r="L57" s="244">
        <v>42053.541666666701</v>
      </c>
      <c r="M57" s="244">
        <v>42053.543055555601</v>
      </c>
      <c r="N57" s="244"/>
      <c r="O57" s="244"/>
      <c r="P57" s="244">
        <v>42059</v>
      </c>
      <c r="Q57" s="244">
        <v>42059</v>
      </c>
      <c r="R57" s="244">
        <v>42059.677083333299</v>
      </c>
      <c r="S57" s="244">
        <v>41993.619444444397</v>
      </c>
      <c r="T57" s="244"/>
      <c r="U57" s="244"/>
      <c r="V57" s="244"/>
      <c r="W57" s="244"/>
      <c r="X57" s="244"/>
      <c r="Y57" s="244"/>
      <c r="Z57" s="244"/>
      <c r="AA57" s="244">
        <v>42079.863888888904</v>
      </c>
      <c r="AB57" s="244"/>
      <c r="AC57" s="244">
        <v>42081.326388888898</v>
      </c>
      <c r="AD57" s="244"/>
      <c r="AE57" s="244"/>
      <c r="AF57" s="244"/>
      <c r="AG57" s="244"/>
      <c r="AH57" s="244">
        <v>41968.638888888898</v>
      </c>
      <c r="AI57" s="244"/>
      <c r="AJ57" s="244"/>
      <c r="AK57" s="244"/>
      <c r="AL57" s="244"/>
      <c r="AM57" s="244"/>
      <c r="AN57" s="244"/>
      <c r="AO57" s="244"/>
      <c r="AP57" s="244">
        <v>41982.475694444402</v>
      </c>
      <c r="AQ57" s="244">
        <v>41951</v>
      </c>
      <c r="AR57" s="244"/>
      <c r="AS57" s="244"/>
      <c r="AT57" s="244"/>
      <c r="AU57" s="244"/>
      <c r="AV57" s="244"/>
      <c r="AW57" s="244"/>
      <c r="AX57" s="244"/>
      <c r="AY57" s="244"/>
      <c r="AZ57" s="244"/>
      <c r="BA57" s="244"/>
      <c r="BB57" s="244"/>
      <c r="BC57" s="244"/>
      <c r="BD57" s="244">
        <v>42015.361111111102</v>
      </c>
      <c r="BE57" s="244">
        <v>41907.109722222202</v>
      </c>
      <c r="BF57" s="244">
        <v>42021.45</v>
      </c>
      <c r="BG57" s="244">
        <v>41731.965277777803</v>
      </c>
      <c r="BH57" s="244">
        <v>41724.681944444397</v>
      </c>
      <c r="BI57" s="244">
        <v>41731.986111111102</v>
      </c>
      <c r="BJ57" s="244">
        <v>41731.965972222199</v>
      </c>
      <c r="BK57" s="244">
        <v>42079.6694444444</v>
      </c>
      <c r="BL57" s="244">
        <v>41731.965972222199</v>
      </c>
      <c r="BM57" s="244">
        <v>41731.966666666704</v>
      </c>
      <c r="BN57" s="244">
        <v>42080.779166666704</v>
      </c>
      <c r="BO57" s="244">
        <v>41856.474999999999</v>
      </c>
      <c r="BP57" s="244">
        <v>41856.454166666699</v>
      </c>
      <c r="BQ57" s="244"/>
      <c r="BR57" s="244">
        <v>41901</v>
      </c>
      <c r="BS57" s="244">
        <v>41353</v>
      </c>
      <c r="BT57" s="244"/>
      <c r="BU57" s="244"/>
      <c r="BV57" s="244"/>
      <c r="BW57" s="244"/>
      <c r="BX57" s="244"/>
      <c r="BY57" s="244"/>
      <c r="BZ57" s="244">
        <v>40148</v>
      </c>
      <c r="CA57" s="244">
        <v>40148</v>
      </c>
      <c r="CB57" s="244">
        <v>40148</v>
      </c>
      <c r="CC57" s="244">
        <v>40148</v>
      </c>
      <c r="CD57" s="244">
        <v>40148</v>
      </c>
      <c r="CE57" s="244">
        <v>40148</v>
      </c>
      <c r="CF57" s="244">
        <v>39934</v>
      </c>
      <c r="CG57" s="244">
        <v>40209</v>
      </c>
      <c r="CH57" s="244">
        <v>40756</v>
      </c>
      <c r="CI57" s="244">
        <v>40452</v>
      </c>
      <c r="CJ57" s="244">
        <v>40148</v>
      </c>
      <c r="CK57" s="244">
        <v>40148</v>
      </c>
      <c r="CL57" s="244">
        <v>40148</v>
      </c>
      <c r="CM57" s="244">
        <v>40148</v>
      </c>
      <c r="CN57" s="244">
        <v>40148</v>
      </c>
      <c r="CO57" s="244">
        <v>40360</v>
      </c>
      <c r="CP57" s="244">
        <v>39995</v>
      </c>
      <c r="CQ57" s="244">
        <v>40756</v>
      </c>
      <c r="CR57" s="244">
        <v>40756</v>
      </c>
      <c r="CS57" s="244">
        <v>40168</v>
      </c>
      <c r="CT57" s="244">
        <v>38748</v>
      </c>
      <c r="CU57" s="244">
        <v>38018</v>
      </c>
      <c r="CV57" s="244">
        <v>38473</v>
      </c>
      <c r="CW57" s="244"/>
      <c r="CX57" s="244"/>
      <c r="CY57" s="244"/>
      <c r="CZ57" s="244"/>
      <c r="DA57" s="244"/>
      <c r="DB57" s="244">
        <v>41358</v>
      </c>
      <c r="DC57" s="244">
        <v>40178</v>
      </c>
      <c r="DD57" s="244">
        <v>40148</v>
      </c>
      <c r="DE57" s="244"/>
      <c r="DF57" s="244"/>
      <c r="DG57" s="244">
        <v>42079.845833333296</v>
      </c>
      <c r="DH57" s="244">
        <v>42087.515972222202</v>
      </c>
      <c r="DI57" s="244">
        <v>41901</v>
      </c>
      <c r="DJ57" s="244">
        <v>42073.516666666699</v>
      </c>
      <c r="DK57" s="244"/>
      <c r="DL57" s="244"/>
      <c r="DM57" s="244"/>
      <c r="DN57" s="244"/>
      <c r="DO57" s="244"/>
      <c r="DP57" s="244"/>
      <c r="DQ57" s="244"/>
      <c r="DR57" s="244"/>
      <c r="DS57" s="244"/>
      <c r="DT57" s="244"/>
      <c r="DU57" s="244"/>
      <c r="DV57" s="244"/>
      <c r="DW57" s="244"/>
      <c r="DX57" s="244"/>
      <c r="DY57" s="244"/>
      <c r="DZ57" s="244"/>
      <c r="EA57" s="244"/>
      <c r="EB57" s="244"/>
      <c r="EC57" s="244"/>
      <c r="ED57" s="244"/>
      <c r="EE57" s="244"/>
      <c r="EF57" s="244"/>
      <c r="EG57" s="244"/>
      <c r="EH57" s="244"/>
      <c r="EI57" s="244"/>
      <c r="EJ57" s="244"/>
      <c r="EK57" s="244"/>
      <c r="EL57" s="244"/>
      <c r="EM57" s="244"/>
      <c r="EN57" s="244"/>
      <c r="EO57" s="244"/>
      <c r="EP57" s="244"/>
      <c r="EQ57" s="244"/>
      <c r="ER57" s="244"/>
      <c r="ES57" s="244"/>
      <c r="ET57" s="244"/>
      <c r="EU57" s="244"/>
      <c r="EV57" s="244">
        <v>42087.515972222202</v>
      </c>
    </row>
    <row r="58" spans="1:152">
      <c r="A58" s="270" t="s">
        <v>172</v>
      </c>
      <c r="B58" s="244"/>
      <c r="C58" s="244"/>
      <c r="D58" s="244"/>
      <c r="E58" s="244">
        <v>42053.465972222199</v>
      </c>
      <c r="F58" s="244"/>
      <c r="G58" s="244"/>
      <c r="H58" s="244"/>
      <c r="I58" s="244"/>
      <c r="J58" s="244"/>
      <c r="K58" s="244"/>
      <c r="L58" s="244"/>
      <c r="M58" s="244"/>
      <c r="N58" s="244"/>
      <c r="O58" s="244"/>
      <c r="P58" s="244">
        <v>41979.612500000003</v>
      </c>
      <c r="Q58" s="244"/>
      <c r="R58" s="244"/>
      <c r="S58" s="244"/>
      <c r="T58" s="244"/>
      <c r="U58" s="244"/>
      <c r="V58" s="244">
        <v>41964</v>
      </c>
      <c r="W58" s="244"/>
      <c r="X58" s="244">
        <v>41964</v>
      </c>
      <c r="Y58" s="244"/>
      <c r="Z58" s="244"/>
      <c r="AA58" s="244"/>
      <c r="AB58" s="244"/>
      <c r="AC58" s="244"/>
      <c r="AD58" s="244"/>
      <c r="AE58" s="244"/>
      <c r="AF58" s="244"/>
      <c r="AG58" s="244">
        <v>40323</v>
      </c>
      <c r="AH58" s="244"/>
      <c r="AI58" s="244"/>
      <c r="AJ58" s="244"/>
      <c r="AK58" s="244">
        <v>41885</v>
      </c>
      <c r="AL58" s="244"/>
      <c r="AM58" s="244">
        <v>42066.689583333296</v>
      </c>
      <c r="AN58" s="244"/>
      <c r="AO58" s="244"/>
      <c r="AP58" s="244"/>
      <c r="AQ58" s="244"/>
      <c r="AR58" s="244"/>
      <c r="AS58" s="244"/>
      <c r="AT58" s="244"/>
      <c r="AU58" s="244"/>
      <c r="AV58" s="244"/>
      <c r="AW58" s="244"/>
      <c r="AX58" s="244"/>
      <c r="AY58" s="244"/>
      <c r="AZ58" s="244"/>
      <c r="BA58" s="244"/>
      <c r="BB58" s="244"/>
      <c r="BC58" s="244"/>
      <c r="BD58" s="244"/>
      <c r="BE58" s="244"/>
      <c r="BF58" s="244"/>
      <c r="BG58" s="244"/>
      <c r="BH58" s="244"/>
      <c r="BI58" s="244"/>
      <c r="BJ58" s="244"/>
      <c r="BK58" s="244"/>
      <c r="BL58" s="244"/>
      <c r="BM58" s="244"/>
      <c r="BN58" s="244"/>
      <c r="BO58" s="244"/>
      <c r="BP58" s="244"/>
      <c r="BQ58" s="244"/>
      <c r="BR58" s="244"/>
      <c r="BS58" s="244"/>
      <c r="BT58" s="244"/>
      <c r="BU58" s="244"/>
      <c r="BV58" s="244"/>
      <c r="BW58" s="244"/>
      <c r="BX58" s="244"/>
      <c r="BY58" s="244"/>
      <c r="BZ58" s="244"/>
      <c r="CA58" s="244"/>
      <c r="CB58" s="244"/>
      <c r="CC58" s="244"/>
      <c r="CD58" s="244"/>
      <c r="CE58" s="244"/>
      <c r="CF58" s="244"/>
      <c r="CG58" s="244"/>
      <c r="CH58" s="244"/>
      <c r="CI58" s="244"/>
      <c r="CJ58" s="244"/>
      <c r="CK58" s="244"/>
      <c r="CL58" s="244"/>
      <c r="CM58" s="244"/>
      <c r="CN58" s="244"/>
      <c r="CO58" s="244"/>
      <c r="CP58" s="244"/>
      <c r="CQ58" s="244"/>
      <c r="CR58" s="244"/>
      <c r="CS58" s="244"/>
      <c r="CT58" s="244"/>
      <c r="CU58" s="244"/>
      <c r="CV58" s="244"/>
      <c r="CW58" s="244"/>
      <c r="CX58" s="244"/>
      <c r="CY58" s="244"/>
      <c r="CZ58" s="244"/>
      <c r="DA58" s="244"/>
      <c r="DB58" s="244"/>
      <c r="DC58" s="244"/>
      <c r="DD58" s="244"/>
      <c r="DE58" s="244"/>
      <c r="DF58" s="244"/>
      <c r="DG58" s="244"/>
      <c r="DH58" s="244"/>
      <c r="DI58" s="244"/>
      <c r="DJ58" s="244"/>
      <c r="DK58" s="244"/>
      <c r="DL58" s="244"/>
      <c r="DM58" s="244"/>
      <c r="DN58" s="244"/>
      <c r="DO58" s="244"/>
      <c r="DP58" s="244">
        <v>42054.7409722222</v>
      </c>
      <c r="DQ58" s="244">
        <v>42081</v>
      </c>
      <c r="DR58" s="244"/>
      <c r="DS58" s="244">
        <v>42073.518750000003</v>
      </c>
      <c r="DT58" s="244"/>
      <c r="DU58" s="244"/>
      <c r="DV58" s="244"/>
      <c r="DW58" s="244"/>
      <c r="DX58" s="244">
        <v>41956.860416666699</v>
      </c>
      <c r="DY58" s="244"/>
      <c r="DZ58" s="244">
        <v>41885</v>
      </c>
      <c r="EA58" s="244"/>
      <c r="EB58" s="244"/>
      <c r="EC58" s="244"/>
      <c r="ED58" s="244"/>
      <c r="EE58" s="244"/>
      <c r="EF58" s="244"/>
      <c r="EG58" s="244"/>
      <c r="EH58" s="244"/>
      <c r="EI58" s="244"/>
      <c r="EJ58" s="244"/>
      <c r="EK58" s="244"/>
      <c r="EL58" s="244"/>
      <c r="EM58" s="244"/>
      <c r="EN58" s="244"/>
      <c r="EO58" s="244"/>
      <c r="EP58" s="244"/>
      <c r="EQ58" s="244"/>
      <c r="ER58" s="244"/>
      <c r="ES58" s="244"/>
      <c r="ET58" s="244"/>
      <c r="EU58" s="244"/>
      <c r="EV58" s="244">
        <v>42081</v>
      </c>
    </row>
    <row r="59" spans="1:152">
      <c r="A59" s="270" t="s">
        <v>173</v>
      </c>
      <c r="B59" s="244"/>
      <c r="C59" s="244"/>
      <c r="D59" s="244"/>
      <c r="E59" s="244"/>
      <c r="F59" s="244"/>
      <c r="G59" s="244"/>
      <c r="H59" s="244"/>
      <c r="I59" s="244"/>
      <c r="J59" s="244"/>
      <c r="K59" s="244"/>
      <c r="L59" s="244"/>
      <c r="M59" s="244"/>
      <c r="N59" s="244"/>
      <c r="O59" s="244"/>
      <c r="P59" s="244"/>
      <c r="Q59" s="244"/>
      <c r="R59" s="244"/>
      <c r="S59" s="244"/>
      <c r="T59" s="244"/>
      <c r="U59" s="244"/>
      <c r="V59" s="244"/>
      <c r="W59" s="244"/>
      <c r="X59" s="244"/>
      <c r="Y59" s="244"/>
      <c r="Z59" s="244"/>
      <c r="AA59" s="244"/>
      <c r="AB59" s="244"/>
      <c r="AC59" s="244"/>
      <c r="AD59" s="244"/>
      <c r="AE59" s="244"/>
      <c r="AF59" s="244"/>
      <c r="AG59" s="244"/>
      <c r="AH59" s="244"/>
      <c r="AI59" s="244"/>
      <c r="AJ59" s="244"/>
      <c r="AK59" s="244"/>
      <c r="AL59" s="244"/>
      <c r="AM59" s="244"/>
      <c r="AN59" s="244"/>
      <c r="AO59" s="244"/>
      <c r="AP59" s="244"/>
      <c r="AQ59" s="244"/>
      <c r="AR59" s="244"/>
      <c r="AS59" s="244"/>
      <c r="AT59" s="244"/>
      <c r="AU59" s="244"/>
      <c r="AV59" s="244"/>
      <c r="AW59" s="244"/>
      <c r="AX59" s="244"/>
      <c r="AY59" s="244"/>
      <c r="AZ59" s="244"/>
      <c r="BA59" s="244"/>
      <c r="BB59" s="244"/>
      <c r="BC59" s="244"/>
      <c r="BD59" s="244"/>
      <c r="BE59" s="244"/>
      <c r="BF59" s="244"/>
      <c r="BG59" s="244"/>
      <c r="BH59" s="244"/>
      <c r="BI59" s="244"/>
      <c r="BJ59" s="244"/>
      <c r="BK59" s="244"/>
      <c r="BL59" s="244"/>
      <c r="BM59" s="244"/>
      <c r="BN59" s="244"/>
      <c r="BO59" s="244"/>
      <c r="BP59" s="244"/>
      <c r="BQ59" s="244"/>
      <c r="BR59" s="244"/>
      <c r="BS59" s="244"/>
      <c r="BT59" s="244"/>
      <c r="BU59" s="244"/>
      <c r="BV59" s="244"/>
      <c r="BW59" s="244"/>
      <c r="BX59" s="244"/>
      <c r="BY59" s="244"/>
      <c r="BZ59" s="244"/>
      <c r="CA59" s="244"/>
      <c r="CB59" s="244"/>
      <c r="CC59" s="244"/>
      <c r="CD59" s="244"/>
      <c r="CE59" s="244"/>
      <c r="CF59" s="244"/>
      <c r="CG59" s="244"/>
      <c r="CH59" s="244"/>
      <c r="CI59" s="244"/>
      <c r="CJ59" s="244"/>
      <c r="CK59" s="244"/>
      <c r="CL59" s="244"/>
      <c r="CM59" s="244"/>
      <c r="CN59" s="244"/>
      <c r="CO59" s="244"/>
      <c r="CP59" s="244"/>
      <c r="CQ59" s="244"/>
      <c r="CR59" s="244"/>
      <c r="CS59" s="244"/>
      <c r="CT59" s="244"/>
      <c r="CU59" s="244"/>
      <c r="CV59" s="244"/>
      <c r="CW59" s="244"/>
      <c r="CX59" s="244"/>
      <c r="CY59" s="244"/>
      <c r="CZ59" s="244"/>
      <c r="DA59" s="244"/>
      <c r="DB59" s="244"/>
      <c r="DC59" s="244"/>
      <c r="DD59" s="244"/>
      <c r="DE59" s="244"/>
      <c r="DF59" s="244"/>
      <c r="DG59" s="244"/>
      <c r="DH59" s="244"/>
      <c r="DI59" s="244"/>
      <c r="DJ59" s="244"/>
      <c r="DK59" s="244"/>
      <c r="DL59" s="244"/>
      <c r="DM59" s="244"/>
      <c r="DN59" s="244"/>
      <c r="DO59" s="244"/>
      <c r="DP59" s="244"/>
      <c r="DQ59" s="244"/>
      <c r="DR59" s="244"/>
      <c r="DS59" s="244"/>
      <c r="DT59" s="244"/>
      <c r="DU59" s="244"/>
      <c r="DV59" s="244"/>
      <c r="DW59" s="244">
        <v>42080.792361111096</v>
      </c>
      <c r="DX59" s="244"/>
      <c r="DY59" s="244"/>
      <c r="DZ59" s="244"/>
      <c r="EA59" s="244"/>
      <c r="EB59" s="244">
        <v>42059.476388888899</v>
      </c>
      <c r="EC59" s="244">
        <v>42079.550694444399</v>
      </c>
      <c r="ED59" s="244">
        <v>41877.786111111098</v>
      </c>
      <c r="EE59" s="244">
        <v>42075.55</v>
      </c>
      <c r="EF59" s="244">
        <v>42075.551388888904</v>
      </c>
      <c r="EG59" s="244">
        <v>41731.782638888901</v>
      </c>
      <c r="EH59" s="244"/>
      <c r="EI59" s="244"/>
      <c r="EJ59" s="244"/>
      <c r="EK59" s="244"/>
      <c r="EL59" s="244">
        <v>41456</v>
      </c>
      <c r="EM59" s="244">
        <v>41456</v>
      </c>
      <c r="EN59" s="244">
        <v>41456</v>
      </c>
      <c r="EO59" s="244">
        <v>41456</v>
      </c>
      <c r="EP59" s="244">
        <v>41456</v>
      </c>
      <c r="EQ59" s="244"/>
      <c r="ER59" s="244"/>
      <c r="ES59" s="244"/>
      <c r="ET59" s="244"/>
      <c r="EU59" s="244"/>
      <c r="EV59" s="244">
        <v>42080.792361111096</v>
      </c>
    </row>
    <row r="60" spans="1:152">
      <c r="A60" s="269" t="s">
        <v>154</v>
      </c>
      <c r="B60" s="244"/>
      <c r="C60" s="244">
        <v>42111</v>
      </c>
      <c r="D60" s="244"/>
      <c r="E60" s="244">
        <v>42111</v>
      </c>
      <c r="F60" s="244">
        <v>42109</v>
      </c>
      <c r="G60" s="244"/>
      <c r="H60" s="244">
        <v>42109</v>
      </c>
      <c r="I60" s="244"/>
      <c r="J60" s="244"/>
      <c r="K60" s="244">
        <v>42060.471527777801</v>
      </c>
      <c r="L60" s="244">
        <v>42060.472222222197</v>
      </c>
      <c r="M60" s="244">
        <v>42060.472916666702</v>
      </c>
      <c r="N60" s="244"/>
      <c r="O60" s="244"/>
      <c r="P60" s="244">
        <v>42109</v>
      </c>
      <c r="Q60" s="244">
        <v>42048.660416666702</v>
      </c>
      <c r="R60" s="244">
        <v>42097.315972222197</v>
      </c>
      <c r="S60" s="244">
        <v>42099.709027777797</v>
      </c>
      <c r="T60" s="244"/>
      <c r="U60" s="244"/>
      <c r="V60" s="244">
        <v>42104.208333333299</v>
      </c>
      <c r="W60" s="244"/>
      <c r="X60" s="244">
        <v>41922.208333333299</v>
      </c>
      <c r="Y60" s="244"/>
      <c r="Z60" s="244"/>
      <c r="AA60" s="244">
        <v>42061.645138888904</v>
      </c>
      <c r="AB60" s="244"/>
      <c r="AC60" s="244">
        <v>42074.6381944444</v>
      </c>
      <c r="AD60" s="244"/>
      <c r="AE60" s="244"/>
      <c r="AF60" s="244"/>
      <c r="AG60" s="244">
        <v>41273</v>
      </c>
      <c r="AH60" s="244">
        <v>41825.249305555597</v>
      </c>
      <c r="AI60" s="244"/>
      <c r="AJ60" s="244"/>
      <c r="AK60" s="244">
        <v>41571</v>
      </c>
      <c r="AL60" s="244">
        <v>41936</v>
      </c>
      <c r="AM60" s="244">
        <v>42009.7097222222</v>
      </c>
      <c r="AN60" s="244"/>
      <c r="AO60" s="244"/>
      <c r="AP60" s="244">
        <v>41978.463888888902</v>
      </c>
      <c r="AQ60" s="244">
        <v>42029</v>
      </c>
      <c r="AR60" s="244"/>
      <c r="AS60" s="244"/>
      <c r="AT60" s="244"/>
      <c r="AU60" s="244"/>
      <c r="AV60" s="244"/>
      <c r="AW60" s="244"/>
      <c r="AX60" s="244"/>
      <c r="AY60" s="244"/>
      <c r="AZ60" s="244"/>
      <c r="BA60" s="244"/>
      <c r="BB60" s="244"/>
      <c r="BC60" s="244"/>
      <c r="BD60" s="244">
        <v>42099.208333333299</v>
      </c>
      <c r="BE60" s="244">
        <v>42104</v>
      </c>
      <c r="BF60" s="244">
        <v>41933</v>
      </c>
      <c r="BG60" s="244">
        <v>41739.25</v>
      </c>
      <c r="BH60" s="244">
        <v>41743.340972222199</v>
      </c>
      <c r="BI60" s="244">
        <v>42104.25</v>
      </c>
      <c r="BJ60" s="244">
        <v>42104.25</v>
      </c>
      <c r="BK60" s="244">
        <v>41808</v>
      </c>
      <c r="BL60" s="244">
        <v>41739.25</v>
      </c>
      <c r="BM60" s="244">
        <v>42104</v>
      </c>
      <c r="BN60" s="244">
        <v>41752</v>
      </c>
      <c r="BO60" s="244">
        <v>42104.25</v>
      </c>
      <c r="BP60" s="244">
        <v>42104.25</v>
      </c>
      <c r="BQ60" s="244"/>
      <c r="BR60" s="244">
        <v>41759</v>
      </c>
      <c r="BS60" s="244">
        <v>41752</v>
      </c>
      <c r="BT60" s="244">
        <v>41759</v>
      </c>
      <c r="BU60" s="244">
        <v>41759</v>
      </c>
      <c r="BV60" s="244">
        <v>41759</v>
      </c>
      <c r="BW60" s="244">
        <v>41759</v>
      </c>
      <c r="BX60" s="244">
        <v>41759</v>
      </c>
      <c r="BY60" s="244">
        <v>41759</v>
      </c>
      <c r="BZ60" s="244">
        <v>41759</v>
      </c>
      <c r="CA60" s="244">
        <v>41759</v>
      </c>
      <c r="CB60" s="244">
        <v>40179</v>
      </c>
      <c r="CC60" s="244">
        <v>40210</v>
      </c>
      <c r="CD60" s="244">
        <v>40210</v>
      </c>
      <c r="CE60" s="244">
        <v>40210</v>
      </c>
      <c r="CF60" s="244">
        <v>40238</v>
      </c>
      <c r="CG60" s="244">
        <v>40238</v>
      </c>
      <c r="CH60" s="244">
        <v>39203</v>
      </c>
      <c r="CI60" s="244">
        <v>39687</v>
      </c>
      <c r="CJ60" s="244">
        <v>40179</v>
      </c>
      <c r="CK60" s="244">
        <v>40179</v>
      </c>
      <c r="CL60" s="244">
        <v>40179</v>
      </c>
      <c r="CM60" s="244">
        <v>40179</v>
      </c>
      <c r="CN60" s="244">
        <v>41365</v>
      </c>
      <c r="CO60" s="244">
        <v>41730</v>
      </c>
      <c r="CP60" s="244">
        <v>40482</v>
      </c>
      <c r="CQ60" s="244">
        <v>40482</v>
      </c>
      <c r="CR60" s="244">
        <v>40482</v>
      </c>
      <c r="CS60" s="244">
        <v>38018</v>
      </c>
      <c r="CT60" s="244">
        <v>38777</v>
      </c>
      <c r="CU60" s="244">
        <v>38018</v>
      </c>
      <c r="CV60" s="244">
        <v>38777</v>
      </c>
      <c r="CW60" s="244"/>
      <c r="CX60" s="244"/>
      <c r="CY60" s="244"/>
      <c r="CZ60" s="244"/>
      <c r="DA60" s="244"/>
      <c r="DB60" s="244">
        <v>41739</v>
      </c>
      <c r="DC60" s="244">
        <v>37956</v>
      </c>
      <c r="DD60" s="244">
        <v>40179</v>
      </c>
      <c r="DE60" s="244">
        <v>41571</v>
      </c>
      <c r="DF60" s="244"/>
      <c r="DG60" s="244">
        <v>42108.588888888902</v>
      </c>
      <c r="DH60" s="244">
        <v>42102.284722222197</v>
      </c>
      <c r="DI60" s="244">
        <v>42082</v>
      </c>
      <c r="DJ60" s="244">
        <v>42109.636805555601</v>
      </c>
      <c r="DK60" s="244"/>
      <c r="DL60" s="244"/>
      <c r="DM60" s="244"/>
      <c r="DN60" s="244"/>
      <c r="DO60" s="244"/>
      <c r="DP60" s="244">
        <v>42105.388888888898</v>
      </c>
      <c r="DQ60" s="244">
        <v>42119.0715277778</v>
      </c>
      <c r="DR60" s="244"/>
      <c r="DS60" s="244">
        <v>42009</v>
      </c>
      <c r="DT60" s="244">
        <v>41942.0756944444</v>
      </c>
      <c r="DU60" s="244"/>
      <c r="DV60" s="244"/>
      <c r="DW60" s="244">
        <v>42112.440972222197</v>
      </c>
      <c r="DX60" s="244"/>
      <c r="DY60" s="244">
        <v>41944.887499999997</v>
      </c>
      <c r="DZ60" s="244">
        <v>41759</v>
      </c>
      <c r="EA60" s="244"/>
      <c r="EB60" s="244">
        <v>42105.462500000001</v>
      </c>
      <c r="EC60" s="244">
        <v>42102.652083333298</v>
      </c>
      <c r="ED60" s="244">
        <v>41919</v>
      </c>
      <c r="EE60" s="244"/>
      <c r="EF60" s="244">
        <v>42009.208333333299</v>
      </c>
      <c r="EG60" s="244">
        <v>41739</v>
      </c>
      <c r="EH60" s="244"/>
      <c r="EI60" s="244"/>
      <c r="EJ60" s="244"/>
      <c r="EK60" s="244"/>
      <c r="EL60" s="244"/>
      <c r="EM60" s="244"/>
      <c r="EN60" s="244"/>
      <c r="EO60" s="244"/>
      <c r="EP60" s="244"/>
      <c r="EQ60" s="244"/>
      <c r="ER60" s="244"/>
      <c r="ES60" s="244"/>
      <c r="ET60" s="244"/>
      <c r="EU60" s="244"/>
      <c r="EV60" s="244">
        <v>42119.0715277778</v>
      </c>
    </row>
    <row r="61" spans="1:152">
      <c r="A61" s="270" t="s">
        <v>87</v>
      </c>
      <c r="B61" s="244"/>
      <c r="C61" s="244">
        <v>42111</v>
      </c>
      <c r="D61" s="244"/>
      <c r="E61" s="244">
        <v>42111</v>
      </c>
      <c r="F61" s="244">
        <v>42109</v>
      </c>
      <c r="G61" s="244"/>
      <c r="H61" s="244">
        <v>42109</v>
      </c>
      <c r="I61" s="244"/>
      <c r="J61" s="244"/>
      <c r="K61" s="244">
        <v>42060.471527777801</v>
      </c>
      <c r="L61" s="244">
        <v>42060.472222222197</v>
      </c>
      <c r="M61" s="244">
        <v>42060.472916666702</v>
      </c>
      <c r="N61" s="244"/>
      <c r="O61" s="244"/>
      <c r="P61" s="244">
        <v>42109</v>
      </c>
      <c r="Q61" s="244">
        <v>42048.660416666702</v>
      </c>
      <c r="R61" s="244">
        <v>42097.315972222197</v>
      </c>
      <c r="S61" s="244">
        <v>42099.709027777797</v>
      </c>
      <c r="T61" s="244"/>
      <c r="U61" s="244"/>
      <c r="V61" s="244"/>
      <c r="W61" s="244"/>
      <c r="X61" s="244"/>
      <c r="Y61" s="244"/>
      <c r="Z61" s="244"/>
      <c r="AA61" s="244">
        <v>42061.645138888904</v>
      </c>
      <c r="AB61" s="244"/>
      <c r="AC61" s="244">
        <v>42074.6381944444</v>
      </c>
      <c r="AD61" s="244"/>
      <c r="AE61" s="244"/>
      <c r="AF61" s="244"/>
      <c r="AG61" s="244"/>
      <c r="AH61" s="244">
        <v>41825.249305555597</v>
      </c>
      <c r="AI61" s="244"/>
      <c r="AJ61" s="244"/>
      <c r="AK61" s="244"/>
      <c r="AL61" s="244"/>
      <c r="AM61" s="244"/>
      <c r="AN61" s="244"/>
      <c r="AO61" s="244"/>
      <c r="AP61" s="244">
        <v>41978.463888888902</v>
      </c>
      <c r="AQ61" s="244">
        <v>42029</v>
      </c>
      <c r="AR61" s="244"/>
      <c r="AS61" s="244"/>
      <c r="AT61" s="244"/>
      <c r="AU61" s="244"/>
      <c r="AV61" s="244"/>
      <c r="AW61" s="244"/>
      <c r="AX61" s="244"/>
      <c r="AY61" s="244"/>
      <c r="AZ61" s="244"/>
      <c r="BA61" s="244"/>
      <c r="BB61" s="244"/>
      <c r="BC61" s="244"/>
      <c r="BD61" s="244">
        <v>42099.208333333299</v>
      </c>
      <c r="BE61" s="244">
        <v>42104</v>
      </c>
      <c r="BF61" s="244">
        <v>41933</v>
      </c>
      <c r="BG61" s="244">
        <v>41739.25</v>
      </c>
      <c r="BH61" s="244">
        <v>41743.340972222199</v>
      </c>
      <c r="BI61" s="244">
        <v>42104.25</v>
      </c>
      <c r="BJ61" s="244">
        <v>42104.25</v>
      </c>
      <c r="BK61" s="244">
        <v>41808</v>
      </c>
      <c r="BL61" s="244">
        <v>41739.25</v>
      </c>
      <c r="BM61" s="244">
        <v>42104</v>
      </c>
      <c r="BN61" s="244">
        <v>41752</v>
      </c>
      <c r="BO61" s="244">
        <v>42104.25</v>
      </c>
      <c r="BP61" s="244">
        <v>42104.25</v>
      </c>
      <c r="BQ61" s="244"/>
      <c r="BR61" s="244">
        <v>41759</v>
      </c>
      <c r="BS61" s="244">
        <v>41752</v>
      </c>
      <c r="BT61" s="244">
        <v>41759</v>
      </c>
      <c r="BU61" s="244">
        <v>41759</v>
      </c>
      <c r="BV61" s="244">
        <v>41759</v>
      </c>
      <c r="BW61" s="244">
        <v>41759</v>
      </c>
      <c r="BX61" s="244">
        <v>41759</v>
      </c>
      <c r="BY61" s="244">
        <v>41759</v>
      </c>
      <c r="BZ61" s="244">
        <v>41759</v>
      </c>
      <c r="CA61" s="244">
        <v>41759</v>
      </c>
      <c r="CB61" s="244">
        <v>40179</v>
      </c>
      <c r="CC61" s="244">
        <v>40210</v>
      </c>
      <c r="CD61" s="244">
        <v>40210</v>
      </c>
      <c r="CE61" s="244">
        <v>40210</v>
      </c>
      <c r="CF61" s="244">
        <v>40238</v>
      </c>
      <c r="CG61" s="244">
        <v>40238</v>
      </c>
      <c r="CH61" s="244">
        <v>39203</v>
      </c>
      <c r="CI61" s="244">
        <v>39687</v>
      </c>
      <c r="CJ61" s="244">
        <v>40179</v>
      </c>
      <c r="CK61" s="244">
        <v>40179</v>
      </c>
      <c r="CL61" s="244">
        <v>40179</v>
      </c>
      <c r="CM61" s="244">
        <v>40179</v>
      </c>
      <c r="CN61" s="244">
        <v>41365</v>
      </c>
      <c r="CO61" s="244">
        <v>41730</v>
      </c>
      <c r="CP61" s="244">
        <v>40482</v>
      </c>
      <c r="CQ61" s="244">
        <v>40482</v>
      </c>
      <c r="CR61" s="244">
        <v>40482</v>
      </c>
      <c r="CS61" s="244">
        <v>38018</v>
      </c>
      <c r="CT61" s="244">
        <v>38777</v>
      </c>
      <c r="CU61" s="244">
        <v>38018</v>
      </c>
      <c r="CV61" s="244">
        <v>38777</v>
      </c>
      <c r="CW61" s="244"/>
      <c r="CX61" s="244"/>
      <c r="CY61" s="244"/>
      <c r="CZ61" s="244"/>
      <c r="DA61" s="244"/>
      <c r="DB61" s="244">
        <v>41739</v>
      </c>
      <c r="DC61" s="244">
        <v>37956</v>
      </c>
      <c r="DD61" s="244">
        <v>40179</v>
      </c>
      <c r="DE61" s="244">
        <v>41571</v>
      </c>
      <c r="DF61" s="244"/>
      <c r="DG61" s="244">
        <v>42108.588888888902</v>
      </c>
      <c r="DH61" s="244">
        <v>42102.284722222197</v>
      </c>
      <c r="DI61" s="244">
        <v>42082</v>
      </c>
      <c r="DJ61" s="244">
        <v>42109.636805555601</v>
      </c>
      <c r="DK61" s="244"/>
      <c r="DL61" s="244"/>
      <c r="DM61" s="244"/>
      <c r="DN61" s="244"/>
      <c r="DO61" s="244"/>
      <c r="DP61" s="244"/>
      <c r="DQ61" s="244"/>
      <c r="DR61" s="244"/>
      <c r="DS61" s="244"/>
      <c r="DT61" s="244"/>
      <c r="DU61" s="244"/>
      <c r="DV61" s="244"/>
      <c r="DW61" s="244"/>
      <c r="DX61" s="244"/>
      <c r="DY61" s="244"/>
      <c r="DZ61" s="244"/>
      <c r="EA61" s="244"/>
      <c r="EB61" s="244"/>
      <c r="EC61" s="244"/>
      <c r="ED61" s="244"/>
      <c r="EE61" s="244"/>
      <c r="EF61" s="244"/>
      <c r="EG61" s="244"/>
      <c r="EH61" s="244"/>
      <c r="EI61" s="244"/>
      <c r="EJ61" s="244"/>
      <c r="EK61" s="244"/>
      <c r="EL61" s="244"/>
      <c r="EM61" s="244"/>
      <c r="EN61" s="244"/>
      <c r="EO61" s="244"/>
      <c r="EP61" s="244"/>
      <c r="EQ61" s="244"/>
      <c r="ER61" s="244"/>
      <c r="ES61" s="244"/>
      <c r="ET61" s="244"/>
      <c r="EU61" s="244"/>
      <c r="EV61" s="244">
        <v>42111</v>
      </c>
    </row>
    <row r="62" spans="1:152">
      <c r="A62" s="270" t="s">
        <v>172</v>
      </c>
      <c r="B62" s="244"/>
      <c r="C62" s="244"/>
      <c r="D62" s="244"/>
      <c r="E62" s="244">
        <v>42067</v>
      </c>
      <c r="F62" s="244"/>
      <c r="G62" s="244"/>
      <c r="H62" s="244"/>
      <c r="I62" s="244"/>
      <c r="J62" s="244"/>
      <c r="K62" s="244"/>
      <c r="L62" s="244"/>
      <c r="M62" s="244"/>
      <c r="N62" s="244"/>
      <c r="O62" s="244"/>
      <c r="P62" s="244">
        <v>42067.537499999999</v>
      </c>
      <c r="Q62" s="244"/>
      <c r="R62" s="244"/>
      <c r="S62" s="244"/>
      <c r="T62" s="244"/>
      <c r="U62" s="244"/>
      <c r="V62" s="244">
        <v>42104.208333333299</v>
      </c>
      <c r="W62" s="244"/>
      <c r="X62" s="244">
        <v>41922.208333333299</v>
      </c>
      <c r="Y62" s="244"/>
      <c r="Z62" s="244"/>
      <c r="AA62" s="244"/>
      <c r="AB62" s="244"/>
      <c r="AC62" s="244"/>
      <c r="AD62" s="244"/>
      <c r="AE62" s="244"/>
      <c r="AF62" s="244"/>
      <c r="AG62" s="244">
        <v>41273</v>
      </c>
      <c r="AH62" s="244"/>
      <c r="AI62" s="244"/>
      <c r="AJ62" s="244"/>
      <c r="AK62" s="244">
        <v>41571</v>
      </c>
      <c r="AL62" s="244">
        <v>41936</v>
      </c>
      <c r="AM62" s="244">
        <v>42009.7097222222</v>
      </c>
      <c r="AN62" s="244"/>
      <c r="AO62" s="244"/>
      <c r="AP62" s="244"/>
      <c r="AQ62" s="244"/>
      <c r="AR62" s="244"/>
      <c r="AS62" s="244"/>
      <c r="AT62" s="244"/>
      <c r="AU62" s="244"/>
      <c r="AV62" s="244"/>
      <c r="AW62" s="244"/>
      <c r="AX62" s="244"/>
      <c r="AY62" s="244"/>
      <c r="AZ62" s="244"/>
      <c r="BA62" s="244"/>
      <c r="BB62" s="244"/>
      <c r="BC62" s="244"/>
      <c r="BD62" s="244"/>
      <c r="BE62" s="244"/>
      <c r="BF62" s="244"/>
      <c r="BG62" s="244"/>
      <c r="BH62" s="244"/>
      <c r="BI62" s="244"/>
      <c r="BJ62" s="244"/>
      <c r="BK62" s="244"/>
      <c r="BL62" s="244"/>
      <c r="BM62" s="244"/>
      <c r="BN62" s="244"/>
      <c r="BO62" s="244"/>
      <c r="BP62" s="244"/>
      <c r="BQ62" s="244"/>
      <c r="BR62" s="244"/>
      <c r="BS62" s="244"/>
      <c r="BT62" s="244"/>
      <c r="BU62" s="244"/>
      <c r="BV62" s="244"/>
      <c r="BW62" s="244"/>
      <c r="BX62" s="244"/>
      <c r="BY62" s="244"/>
      <c r="BZ62" s="244"/>
      <c r="CA62" s="244"/>
      <c r="CB62" s="244"/>
      <c r="CC62" s="244"/>
      <c r="CD62" s="244"/>
      <c r="CE62" s="244"/>
      <c r="CF62" s="244"/>
      <c r="CG62" s="244"/>
      <c r="CH62" s="244"/>
      <c r="CI62" s="244"/>
      <c r="CJ62" s="244"/>
      <c r="CK62" s="244"/>
      <c r="CL62" s="244"/>
      <c r="CM62" s="244"/>
      <c r="CN62" s="244"/>
      <c r="CO62" s="244"/>
      <c r="CP62" s="244"/>
      <c r="CQ62" s="244"/>
      <c r="CR62" s="244"/>
      <c r="CS62" s="244"/>
      <c r="CT62" s="244"/>
      <c r="CU62" s="244"/>
      <c r="CV62" s="244"/>
      <c r="CW62" s="244"/>
      <c r="CX62" s="244"/>
      <c r="CY62" s="244"/>
      <c r="CZ62" s="244"/>
      <c r="DA62" s="244"/>
      <c r="DB62" s="244"/>
      <c r="DC62" s="244"/>
      <c r="DD62" s="244"/>
      <c r="DE62" s="244"/>
      <c r="DF62" s="244"/>
      <c r="DG62" s="244"/>
      <c r="DH62" s="244"/>
      <c r="DI62" s="244"/>
      <c r="DJ62" s="244"/>
      <c r="DK62" s="244"/>
      <c r="DL62" s="244"/>
      <c r="DM62" s="244"/>
      <c r="DN62" s="244"/>
      <c r="DO62" s="244"/>
      <c r="DP62" s="244">
        <v>42105.388888888898</v>
      </c>
      <c r="DQ62" s="244">
        <v>42119.0715277778</v>
      </c>
      <c r="DR62" s="244"/>
      <c r="DS62" s="244">
        <v>42009</v>
      </c>
      <c r="DT62" s="244">
        <v>41942.0756944444</v>
      </c>
      <c r="DU62" s="244"/>
      <c r="DV62" s="244"/>
      <c r="DW62" s="244"/>
      <c r="DX62" s="244"/>
      <c r="DY62" s="244">
        <v>41944.887499999997</v>
      </c>
      <c r="DZ62" s="244">
        <v>41759</v>
      </c>
      <c r="EA62" s="244"/>
      <c r="EB62" s="244"/>
      <c r="EC62" s="244"/>
      <c r="ED62" s="244"/>
      <c r="EE62" s="244"/>
      <c r="EF62" s="244"/>
      <c r="EG62" s="244"/>
      <c r="EH62" s="244"/>
      <c r="EI62" s="244"/>
      <c r="EJ62" s="244"/>
      <c r="EK62" s="244"/>
      <c r="EL62" s="244"/>
      <c r="EM62" s="244"/>
      <c r="EN62" s="244"/>
      <c r="EO62" s="244"/>
      <c r="EP62" s="244"/>
      <c r="EQ62" s="244"/>
      <c r="ER62" s="244"/>
      <c r="ES62" s="244"/>
      <c r="ET62" s="244"/>
      <c r="EU62" s="244"/>
      <c r="EV62" s="244">
        <v>42119.0715277778</v>
      </c>
    </row>
    <row r="63" spans="1:152">
      <c r="A63" s="270" t="s">
        <v>173</v>
      </c>
      <c r="B63" s="244"/>
      <c r="C63" s="244"/>
      <c r="D63" s="244"/>
      <c r="E63" s="244"/>
      <c r="F63" s="244"/>
      <c r="G63" s="244"/>
      <c r="H63" s="244"/>
      <c r="I63" s="244"/>
      <c r="J63" s="244"/>
      <c r="K63" s="244"/>
      <c r="L63" s="244"/>
      <c r="M63" s="244"/>
      <c r="N63" s="244"/>
      <c r="O63" s="244"/>
      <c r="P63" s="244"/>
      <c r="Q63" s="244"/>
      <c r="R63" s="244"/>
      <c r="S63" s="244"/>
      <c r="T63" s="244"/>
      <c r="U63" s="244"/>
      <c r="V63" s="244"/>
      <c r="W63" s="244"/>
      <c r="X63" s="244"/>
      <c r="Y63" s="244"/>
      <c r="Z63" s="244"/>
      <c r="AA63" s="244"/>
      <c r="AB63" s="244"/>
      <c r="AC63" s="244"/>
      <c r="AD63" s="244"/>
      <c r="AE63" s="244"/>
      <c r="AF63" s="244"/>
      <c r="AG63" s="244"/>
      <c r="AH63" s="244"/>
      <c r="AI63" s="244"/>
      <c r="AJ63" s="244"/>
      <c r="AK63" s="244"/>
      <c r="AL63" s="244"/>
      <c r="AM63" s="244"/>
      <c r="AN63" s="244"/>
      <c r="AO63" s="244"/>
      <c r="AP63" s="244"/>
      <c r="AQ63" s="244"/>
      <c r="AR63" s="244"/>
      <c r="AS63" s="244"/>
      <c r="AT63" s="244"/>
      <c r="AU63" s="244"/>
      <c r="AV63" s="244"/>
      <c r="AW63" s="244"/>
      <c r="AX63" s="244"/>
      <c r="AY63" s="244"/>
      <c r="AZ63" s="244"/>
      <c r="BA63" s="244"/>
      <c r="BB63" s="244"/>
      <c r="BC63" s="244"/>
      <c r="BD63" s="244"/>
      <c r="BE63" s="244"/>
      <c r="BF63" s="244"/>
      <c r="BG63" s="244"/>
      <c r="BH63" s="244"/>
      <c r="BI63" s="244"/>
      <c r="BJ63" s="244"/>
      <c r="BK63" s="244"/>
      <c r="BL63" s="244"/>
      <c r="BM63" s="244"/>
      <c r="BN63" s="244"/>
      <c r="BO63" s="244"/>
      <c r="BP63" s="244"/>
      <c r="BQ63" s="244"/>
      <c r="BR63" s="244"/>
      <c r="BS63" s="244"/>
      <c r="BT63" s="244"/>
      <c r="BU63" s="244"/>
      <c r="BV63" s="244"/>
      <c r="BW63" s="244"/>
      <c r="BX63" s="244"/>
      <c r="BY63" s="244"/>
      <c r="BZ63" s="244"/>
      <c r="CA63" s="244"/>
      <c r="CB63" s="244"/>
      <c r="CC63" s="244"/>
      <c r="CD63" s="244"/>
      <c r="CE63" s="244"/>
      <c r="CF63" s="244"/>
      <c r="CG63" s="244"/>
      <c r="CH63" s="244"/>
      <c r="CI63" s="244"/>
      <c r="CJ63" s="244"/>
      <c r="CK63" s="244"/>
      <c r="CL63" s="244"/>
      <c r="CM63" s="244"/>
      <c r="CN63" s="244"/>
      <c r="CO63" s="244"/>
      <c r="CP63" s="244"/>
      <c r="CQ63" s="244"/>
      <c r="CR63" s="244"/>
      <c r="CS63" s="244"/>
      <c r="CT63" s="244"/>
      <c r="CU63" s="244"/>
      <c r="CV63" s="244"/>
      <c r="CW63" s="244"/>
      <c r="CX63" s="244"/>
      <c r="CY63" s="244"/>
      <c r="CZ63" s="244"/>
      <c r="DA63" s="244"/>
      <c r="DB63" s="244"/>
      <c r="DC63" s="244"/>
      <c r="DD63" s="244"/>
      <c r="DE63" s="244"/>
      <c r="DF63" s="244"/>
      <c r="DG63" s="244"/>
      <c r="DH63" s="244"/>
      <c r="DI63" s="244"/>
      <c r="DJ63" s="244"/>
      <c r="DK63" s="244"/>
      <c r="DL63" s="244"/>
      <c r="DM63" s="244"/>
      <c r="DN63" s="244"/>
      <c r="DO63" s="244"/>
      <c r="DP63" s="244"/>
      <c r="DQ63" s="244"/>
      <c r="DR63" s="244"/>
      <c r="DS63" s="244"/>
      <c r="DT63" s="244"/>
      <c r="DU63" s="244"/>
      <c r="DV63" s="244"/>
      <c r="DW63" s="244">
        <v>42112.440972222197</v>
      </c>
      <c r="DX63" s="244"/>
      <c r="DY63" s="244"/>
      <c r="DZ63" s="244"/>
      <c r="EA63" s="244"/>
      <c r="EB63" s="244">
        <v>42105.462500000001</v>
      </c>
      <c r="EC63" s="244">
        <v>42102.652083333298</v>
      </c>
      <c r="ED63" s="244">
        <v>41919</v>
      </c>
      <c r="EE63" s="244"/>
      <c r="EF63" s="244">
        <v>42009.208333333299</v>
      </c>
      <c r="EG63" s="244">
        <v>41739</v>
      </c>
      <c r="EH63" s="244"/>
      <c r="EI63" s="244"/>
      <c r="EJ63" s="244"/>
      <c r="EK63" s="244"/>
      <c r="EL63" s="244"/>
      <c r="EM63" s="244"/>
      <c r="EN63" s="244"/>
      <c r="EO63" s="244"/>
      <c r="EP63" s="244"/>
      <c r="EQ63" s="244"/>
      <c r="ER63" s="244"/>
      <c r="ES63" s="244"/>
      <c r="ET63" s="244"/>
      <c r="EU63" s="244"/>
      <c r="EV63" s="244">
        <v>42112.440972222197</v>
      </c>
    </row>
    <row r="64" spans="1:152">
      <c r="A64" s="269" t="s">
        <v>168</v>
      </c>
      <c r="B64" s="244"/>
      <c r="C64" s="244"/>
      <c r="D64" s="244"/>
      <c r="E64" s="244">
        <v>42066</v>
      </c>
      <c r="F64" s="244">
        <v>42107.737500000003</v>
      </c>
      <c r="G64" s="244"/>
      <c r="H64" s="244">
        <v>42107.675694444399</v>
      </c>
      <c r="I64" s="244"/>
      <c r="J64" s="244"/>
      <c r="K64" s="244">
        <v>42066.668055555601</v>
      </c>
      <c r="L64" s="244">
        <v>42066.668749999997</v>
      </c>
      <c r="M64" s="244">
        <v>42066.668749999997</v>
      </c>
      <c r="N64" s="244"/>
      <c r="O64" s="244"/>
      <c r="P64" s="244">
        <v>42109.516666666699</v>
      </c>
      <c r="Q64" s="244">
        <v>42048</v>
      </c>
      <c r="R64" s="244">
        <v>42108.609722222202</v>
      </c>
      <c r="S64" s="244">
        <v>42088</v>
      </c>
      <c r="T64" s="244"/>
      <c r="U64" s="244"/>
      <c r="V64" s="244">
        <v>41976</v>
      </c>
      <c r="W64" s="244"/>
      <c r="X64" s="244">
        <v>41907</v>
      </c>
      <c r="Y64" s="244"/>
      <c r="Z64" s="244"/>
      <c r="AA64" s="244">
        <v>42101.770138888904</v>
      </c>
      <c r="AB64" s="244"/>
      <c r="AC64" s="244">
        <v>42072.976388888899</v>
      </c>
      <c r="AD64" s="244"/>
      <c r="AE64" s="244"/>
      <c r="AF64" s="244"/>
      <c r="AG64" s="244">
        <v>40907</v>
      </c>
      <c r="AH64" s="244">
        <v>41825</v>
      </c>
      <c r="AI64" s="244"/>
      <c r="AJ64" s="244"/>
      <c r="AK64" s="244"/>
      <c r="AL64" s="244"/>
      <c r="AM64" s="244"/>
      <c r="AN64" s="244"/>
      <c r="AO64" s="244"/>
      <c r="AP64" s="244">
        <v>42074.690277777801</v>
      </c>
      <c r="AQ64" s="244">
        <v>42074.690972222197</v>
      </c>
      <c r="AR64" s="244"/>
      <c r="AS64" s="244"/>
      <c r="AT64" s="244"/>
      <c r="AU64" s="244"/>
      <c r="AV64" s="244"/>
      <c r="AW64" s="244"/>
      <c r="AX64" s="244"/>
      <c r="AY64" s="244"/>
      <c r="AZ64" s="244"/>
      <c r="BA64" s="244"/>
      <c r="BB64" s="244"/>
      <c r="BC64" s="244"/>
      <c r="BD64" s="244">
        <v>42066.583333333299</v>
      </c>
      <c r="BE64" s="244">
        <v>42094.7097222222</v>
      </c>
      <c r="BF64" s="244">
        <v>41912</v>
      </c>
      <c r="BG64" s="244">
        <v>41723</v>
      </c>
      <c r="BH64" s="244">
        <v>42075.527083333298</v>
      </c>
      <c r="BI64" s="244">
        <v>42103.737500000003</v>
      </c>
      <c r="BJ64" s="244">
        <v>42103.740277777797</v>
      </c>
      <c r="BK64" s="244">
        <v>41893</v>
      </c>
      <c r="BL64" s="244">
        <v>41723</v>
      </c>
      <c r="BM64" s="244">
        <v>42090</v>
      </c>
      <c r="BN64" s="244">
        <v>42090.699305555601</v>
      </c>
      <c r="BO64" s="244">
        <v>42088</v>
      </c>
      <c r="BP64" s="244">
        <v>42088</v>
      </c>
      <c r="BQ64" s="244"/>
      <c r="BR64" s="244">
        <v>41901</v>
      </c>
      <c r="BS64" s="244">
        <v>41726</v>
      </c>
      <c r="BT64" s="244">
        <v>41793</v>
      </c>
      <c r="BU64" s="244">
        <v>41793</v>
      </c>
      <c r="BV64" s="244">
        <v>41793</v>
      </c>
      <c r="BW64" s="244">
        <v>41793</v>
      </c>
      <c r="BX64" s="244">
        <v>41793</v>
      </c>
      <c r="BY64" s="244">
        <v>41793</v>
      </c>
      <c r="BZ64" s="244">
        <v>40210</v>
      </c>
      <c r="CA64" s="244">
        <v>40210</v>
      </c>
      <c r="CB64" s="244">
        <v>40210</v>
      </c>
      <c r="CC64" s="244">
        <v>40210</v>
      </c>
      <c r="CD64" s="244">
        <v>40210</v>
      </c>
      <c r="CE64" s="244">
        <v>40210</v>
      </c>
      <c r="CF64" s="244">
        <v>40238</v>
      </c>
      <c r="CG64" s="244">
        <v>39753</v>
      </c>
      <c r="CH64" s="244">
        <v>39661</v>
      </c>
      <c r="CI64" s="244">
        <v>39661</v>
      </c>
      <c r="CJ64" s="244">
        <v>40026</v>
      </c>
      <c r="CK64" s="244">
        <v>39873</v>
      </c>
      <c r="CL64" s="244">
        <v>39873</v>
      </c>
      <c r="CM64" s="244">
        <v>39600</v>
      </c>
      <c r="CN64" s="244">
        <v>40210</v>
      </c>
      <c r="CO64" s="244">
        <v>41671</v>
      </c>
      <c r="CP64" s="244">
        <v>41275</v>
      </c>
      <c r="CQ64" s="244">
        <v>41306</v>
      </c>
      <c r="CR64" s="244">
        <v>41275</v>
      </c>
      <c r="CS64" s="244">
        <v>40210</v>
      </c>
      <c r="CT64" s="244">
        <v>38292</v>
      </c>
      <c r="CU64" s="244">
        <v>40210</v>
      </c>
      <c r="CV64" s="244">
        <v>38777</v>
      </c>
      <c r="CW64" s="244"/>
      <c r="CX64" s="244"/>
      <c r="CY64" s="244"/>
      <c r="CZ64" s="244"/>
      <c r="DA64" s="244"/>
      <c r="DB64" s="244">
        <v>41722</v>
      </c>
      <c r="DC64" s="244">
        <v>40210</v>
      </c>
      <c r="DD64" s="244">
        <v>40210</v>
      </c>
      <c r="DE64" s="244">
        <v>41793</v>
      </c>
      <c r="DF64" s="244"/>
      <c r="DG64" s="244">
        <v>42109.574999999997</v>
      </c>
      <c r="DH64" s="244">
        <v>42107</v>
      </c>
      <c r="DI64" s="244">
        <v>42082</v>
      </c>
      <c r="DJ64" s="244">
        <v>42107</v>
      </c>
      <c r="DK64" s="244"/>
      <c r="DL64" s="244"/>
      <c r="DM64" s="244"/>
      <c r="DN64" s="244"/>
      <c r="DO64" s="244"/>
      <c r="DP64" s="244">
        <v>42083.199305555601</v>
      </c>
      <c r="DQ64" s="244">
        <v>42083</v>
      </c>
      <c r="DR64" s="244"/>
      <c r="DS64" s="244">
        <v>42104.460416666698</v>
      </c>
      <c r="DT64" s="244">
        <v>42088</v>
      </c>
      <c r="DU64" s="244"/>
      <c r="DV64" s="244"/>
      <c r="DW64" s="244">
        <v>42103.377777777801</v>
      </c>
      <c r="DX64" s="244">
        <v>42088</v>
      </c>
      <c r="DY64" s="244"/>
      <c r="DZ64" s="244">
        <v>41901</v>
      </c>
      <c r="EA64" s="244"/>
      <c r="EB64" s="244">
        <v>42094.659722222197</v>
      </c>
      <c r="EC64" s="244">
        <v>42101.615277777797</v>
      </c>
      <c r="ED64" s="244">
        <v>42102.386111111096</v>
      </c>
      <c r="EE64" s="244">
        <v>42087.453472222202</v>
      </c>
      <c r="EF64" s="244">
        <v>41997.579861111102</v>
      </c>
      <c r="EG64" s="244">
        <v>42102.413888888899</v>
      </c>
      <c r="EH64" s="244"/>
      <c r="EI64" s="244"/>
      <c r="EJ64" s="244"/>
      <c r="EK64" s="244"/>
      <c r="EL64" s="244"/>
      <c r="EM64" s="244"/>
      <c r="EN64" s="244"/>
      <c r="EO64" s="244"/>
      <c r="EP64" s="244"/>
      <c r="EQ64" s="244"/>
      <c r="ER64" s="244"/>
      <c r="ES64" s="244"/>
      <c r="ET64" s="244"/>
      <c r="EU64" s="244"/>
      <c r="EV64" s="244">
        <v>42109.574999999997</v>
      </c>
    </row>
    <row r="65" spans="1:152">
      <c r="A65" s="270" t="s">
        <v>87</v>
      </c>
      <c r="B65" s="244"/>
      <c r="C65" s="244"/>
      <c r="D65" s="244"/>
      <c r="E65" s="244"/>
      <c r="F65" s="244">
        <v>42107.737500000003</v>
      </c>
      <c r="G65" s="244"/>
      <c r="H65" s="244">
        <v>42107.675694444399</v>
      </c>
      <c r="I65" s="244"/>
      <c r="J65" s="244"/>
      <c r="K65" s="244">
        <v>42066.668055555601</v>
      </c>
      <c r="L65" s="244">
        <v>42066.668749999997</v>
      </c>
      <c r="M65" s="244">
        <v>42066.668749999997</v>
      </c>
      <c r="N65" s="244"/>
      <c r="O65" s="244"/>
      <c r="P65" s="244">
        <v>42109.516666666699</v>
      </c>
      <c r="Q65" s="244">
        <v>42048</v>
      </c>
      <c r="R65" s="244">
        <v>42108.609722222202</v>
      </c>
      <c r="S65" s="244">
        <v>42088</v>
      </c>
      <c r="T65" s="244"/>
      <c r="U65" s="244"/>
      <c r="V65" s="244"/>
      <c r="W65" s="244"/>
      <c r="X65" s="244"/>
      <c r="Y65" s="244"/>
      <c r="Z65" s="244"/>
      <c r="AA65" s="244">
        <v>42101.770138888904</v>
      </c>
      <c r="AB65" s="244"/>
      <c r="AC65" s="244">
        <v>42072.976388888899</v>
      </c>
      <c r="AD65" s="244"/>
      <c r="AE65" s="244"/>
      <c r="AF65" s="244"/>
      <c r="AG65" s="244"/>
      <c r="AH65" s="244">
        <v>41825</v>
      </c>
      <c r="AI65" s="244"/>
      <c r="AJ65" s="244"/>
      <c r="AK65" s="244"/>
      <c r="AL65" s="244"/>
      <c r="AM65" s="244"/>
      <c r="AN65" s="244"/>
      <c r="AO65" s="244"/>
      <c r="AP65" s="244">
        <v>42074.690277777801</v>
      </c>
      <c r="AQ65" s="244">
        <v>42074.690972222197</v>
      </c>
      <c r="AR65" s="244"/>
      <c r="AS65" s="244"/>
      <c r="AT65" s="244"/>
      <c r="AU65" s="244"/>
      <c r="AV65" s="244"/>
      <c r="AW65" s="244"/>
      <c r="AX65" s="244"/>
      <c r="AY65" s="244"/>
      <c r="AZ65" s="244"/>
      <c r="BA65" s="244"/>
      <c r="BB65" s="244"/>
      <c r="BC65" s="244"/>
      <c r="BD65" s="244">
        <v>42066.583333333299</v>
      </c>
      <c r="BE65" s="244">
        <v>42094.7097222222</v>
      </c>
      <c r="BF65" s="244">
        <v>41912</v>
      </c>
      <c r="BG65" s="244">
        <v>41723</v>
      </c>
      <c r="BH65" s="244">
        <v>42075.527083333298</v>
      </c>
      <c r="BI65" s="244">
        <v>42103.737500000003</v>
      </c>
      <c r="BJ65" s="244">
        <v>42103.740277777797</v>
      </c>
      <c r="BK65" s="244">
        <v>41893</v>
      </c>
      <c r="BL65" s="244">
        <v>41723</v>
      </c>
      <c r="BM65" s="244">
        <v>42090</v>
      </c>
      <c r="BN65" s="244">
        <v>42090.699305555601</v>
      </c>
      <c r="BO65" s="244">
        <v>42088</v>
      </c>
      <c r="BP65" s="244">
        <v>42088</v>
      </c>
      <c r="BQ65" s="244"/>
      <c r="BR65" s="244">
        <v>41901</v>
      </c>
      <c r="BS65" s="244">
        <v>41726</v>
      </c>
      <c r="BT65" s="244">
        <v>41793</v>
      </c>
      <c r="BU65" s="244">
        <v>41793</v>
      </c>
      <c r="BV65" s="244">
        <v>41793</v>
      </c>
      <c r="BW65" s="244">
        <v>41793</v>
      </c>
      <c r="BX65" s="244">
        <v>41793</v>
      </c>
      <c r="BY65" s="244">
        <v>41793</v>
      </c>
      <c r="BZ65" s="244">
        <v>40210</v>
      </c>
      <c r="CA65" s="244">
        <v>40210</v>
      </c>
      <c r="CB65" s="244">
        <v>40210</v>
      </c>
      <c r="CC65" s="244">
        <v>40210</v>
      </c>
      <c r="CD65" s="244">
        <v>40210</v>
      </c>
      <c r="CE65" s="244">
        <v>40210</v>
      </c>
      <c r="CF65" s="244">
        <v>40238</v>
      </c>
      <c r="CG65" s="244">
        <v>39753</v>
      </c>
      <c r="CH65" s="244">
        <v>39661</v>
      </c>
      <c r="CI65" s="244">
        <v>39661</v>
      </c>
      <c r="CJ65" s="244">
        <v>40026</v>
      </c>
      <c r="CK65" s="244">
        <v>39873</v>
      </c>
      <c r="CL65" s="244">
        <v>39873</v>
      </c>
      <c r="CM65" s="244">
        <v>39600</v>
      </c>
      <c r="CN65" s="244">
        <v>40210</v>
      </c>
      <c r="CO65" s="244">
        <v>41671</v>
      </c>
      <c r="CP65" s="244">
        <v>41275</v>
      </c>
      <c r="CQ65" s="244">
        <v>41306</v>
      </c>
      <c r="CR65" s="244">
        <v>41275</v>
      </c>
      <c r="CS65" s="244">
        <v>40210</v>
      </c>
      <c r="CT65" s="244">
        <v>38292</v>
      </c>
      <c r="CU65" s="244">
        <v>40210</v>
      </c>
      <c r="CV65" s="244">
        <v>38777</v>
      </c>
      <c r="CW65" s="244"/>
      <c r="CX65" s="244"/>
      <c r="CY65" s="244"/>
      <c r="CZ65" s="244"/>
      <c r="DA65" s="244"/>
      <c r="DB65" s="244">
        <v>41722</v>
      </c>
      <c r="DC65" s="244">
        <v>40210</v>
      </c>
      <c r="DD65" s="244">
        <v>40210</v>
      </c>
      <c r="DE65" s="244">
        <v>41793</v>
      </c>
      <c r="DF65" s="244"/>
      <c r="DG65" s="244">
        <v>42109.574999999997</v>
      </c>
      <c r="DH65" s="244">
        <v>42107</v>
      </c>
      <c r="DI65" s="244">
        <v>42082</v>
      </c>
      <c r="DJ65" s="244">
        <v>42107</v>
      </c>
      <c r="DK65" s="244"/>
      <c r="DL65" s="244"/>
      <c r="DM65" s="244"/>
      <c r="DN65" s="244"/>
      <c r="DO65" s="244"/>
      <c r="DP65" s="244"/>
      <c r="DQ65" s="244"/>
      <c r="DR65" s="244"/>
      <c r="DS65" s="244"/>
      <c r="DT65" s="244"/>
      <c r="DU65" s="244"/>
      <c r="DV65" s="244"/>
      <c r="DW65" s="244"/>
      <c r="DX65" s="244"/>
      <c r="DY65" s="244"/>
      <c r="DZ65" s="244"/>
      <c r="EA65" s="244"/>
      <c r="EB65" s="244"/>
      <c r="EC65" s="244"/>
      <c r="ED65" s="244"/>
      <c r="EE65" s="244"/>
      <c r="EF65" s="244"/>
      <c r="EG65" s="244"/>
      <c r="EH65" s="244"/>
      <c r="EI65" s="244"/>
      <c r="EJ65" s="244"/>
      <c r="EK65" s="244"/>
      <c r="EL65" s="244"/>
      <c r="EM65" s="244"/>
      <c r="EN65" s="244"/>
      <c r="EO65" s="244"/>
      <c r="EP65" s="244"/>
      <c r="EQ65" s="244"/>
      <c r="ER65" s="244"/>
      <c r="ES65" s="244"/>
      <c r="ET65" s="244"/>
      <c r="EU65" s="244"/>
      <c r="EV65" s="244">
        <v>42109.574999999997</v>
      </c>
    </row>
    <row r="66" spans="1:152">
      <c r="A66" s="270" t="s">
        <v>172</v>
      </c>
      <c r="B66" s="244"/>
      <c r="C66" s="244"/>
      <c r="D66" s="244"/>
      <c r="E66" s="244">
        <v>42066</v>
      </c>
      <c r="F66" s="244"/>
      <c r="G66" s="244"/>
      <c r="H66" s="244"/>
      <c r="I66" s="244"/>
      <c r="J66" s="244"/>
      <c r="K66" s="244"/>
      <c r="L66" s="244"/>
      <c r="M66" s="244"/>
      <c r="N66" s="244"/>
      <c r="O66" s="244"/>
      <c r="P66" s="244">
        <v>41993.198611111096</v>
      </c>
      <c r="Q66" s="244"/>
      <c r="R66" s="244"/>
      <c r="S66" s="244"/>
      <c r="T66" s="244"/>
      <c r="U66" s="244"/>
      <c r="V66" s="244">
        <v>41976</v>
      </c>
      <c r="W66" s="244"/>
      <c r="X66" s="244">
        <v>41907</v>
      </c>
      <c r="Y66" s="244"/>
      <c r="Z66" s="244"/>
      <c r="AA66" s="244"/>
      <c r="AB66" s="244"/>
      <c r="AC66" s="244"/>
      <c r="AD66" s="244"/>
      <c r="AE66" s="244"/>
      <c r="AF66" s="244"/>
      <c r="AG66" s="244">
        <v>40907</v>
      </c>
      <c r="AH66" s="244"/>
      <c r="AI66" s="244"/>
      <c r="AJ66" s="244"/>
      <c r="AK66" s="244"/>
      <c r="AL66" s="244"/>
      <c r="AM66" s="244"/>
      <c r="AN66" s="244"/>
      <c r="AO66" s="244"/>
      <c r="AP66" s="244"/>
      <c r="AQ66" s="244"/>
      <c r="AR66" s="244"/>
      <c r="AS66" s="244"/>
      <c r="AT66" s="244"/>
      <c r="AU66" s="244"/>
      <c r="AV66" s="244"/>
      <c r="AW66" s="244"/>
      <c r="AX66" s="244"/>
      <c r="AY66" s="244"/>
      <c r="AZ66" s="244"/>
      <c r="BA66" s="244"/>
      <c r="BB66" s="244"/>
      <c r="BC66" s="244"/>
      <c r="BD66" s="244"/>
      <c r="BE66" s="244"/>
      <c r="BF66" s="244"/>
      <c r="BG66" s="244"/>
      <c r="BH66" s="244"/>
      <c r="BI66" s="244"/>
      <c r="BJ66" s="244"/>
      <c r="BK66" s="244"/>
      <c r="BL66" s="244"/>
      <c r="BM66" s="244"/>
      <c r="BN66" s="244"/>
      <c r="BO66" s="244"/>
      <c r="BP66" s="244"/>
      <c r="BQ66" s="244"/>
      <c r="BR66" s="244"/>
      <c r="BS66" s="244"/>
      <c r="BT66" s="244"/>
      <c r="BU66" s="244"/>
      <c r="BV66" s="244"/>
      <c r="BW66" s="244"/>
      <c r="BX66" s="244"/>
      <c r="BY66" s="244"/>
      <c r="BZ66" s="244"/>
      <c r="CA66" s="244"/>
      <c r="CB66" s="244"/>
      <c r="CC66" s="244"/>
      <c r="CD66" s="244"/>
      <c r="CE66" s="244"/>
      <c r="CF66" s="244"/>
      <c r="CG66" s="244"/>
      <c r="CH66" s="244"/>
      <c r="CI66" s="244"/>
      <c r="CJ66" s="244"/>
      <c r="CK66" s="244"/>
      <c r="CL66" s="244"/>
      <c r="CM66" s="244"/>
      <c r="CN66" s="244"/>
      <c r="CO66" s="244"/>
      <c r="CP66" s="244"/>
      <c r="CQ66" s="244"/>
      <c r="CR66" s="244"/>
      <c r="CS66" s="244"/>
      <c r="CT66" s="244"/>
      <c r="CU66" s="244"/>
      <c r="CV66" s="244"/>
      <c r="CW66" s="244"/>
      <c r="CX66" s="244"/>
      <c r="CY66" s="244"/>
      <c r="CZ66" s="244"/>
      <c r="DA66" s="244"/>
      <c r="DB66" s="244"/>
      <c r="DC66" s="244"/>
      <c r="DD66" s="244"/>
      <c r="DE66" s="244"/>
      <c r="DF66" s="244"/>
      <c r="DG66" s="244"/>
      <c r="DH66" s="244"/>
      <c r="DI66" s="244"/>
      <c r="DJ66" s="244"/>
      <c r="DK66" s="244"/>
      <c r="DL66" s="244"/>
      <c r="DM66" s="244"/>
      <c r="DN66" s="244"/>
      <c r="DO66" s="244"/>
      <c r="DP66" s="244">
        <v>42083.199305555601</v>
      </c>
      <c r="DQ66" s="244">
        <v>42083</v>
      </c>
      <c r="DR66" s="244"/>
      <c r="DS66" s="244">
        <v>42104.460416666698</v>
      </c>
      <c r="DT66" s="244">
        <v>42088</v>
      </c>
      <c r="DU66" s="244"/>
      <c r="DV66" s="244"/>
      <c r="DW66" s="244"/>
      <c r="DX66" s="244">
        <v>42088</v>
      </c>
      <c r="DY66" s="244"/>
      <c r="DZ66" s="244">
        <v>41901</v>
      </c>
      <c r="EA66" s="244"/>
      <c r="EB66" s="244"/>
      <c r="EC66" s="244"/>
      <c r="ED66" s="244"/>
      <c r="EE66" s="244"/>
      <c r="EF66" s="244"/>
      <c r="EG66" s="244"/>
      <c r="EH66" s="244"/>
      <c r="EI66" s="244"/>
      <c r="EJ66" s="244"/>
      <c r="EK66" s="244"/>
      <c r="EL66" s="244"/>
      <c r="EM66" s="244"/>
      <c r="EN66" s="244"/>
      <c r="EO66" s="244"/>
      <c r="EP66" s="244"/>
      <c r="EQ66" s="244"/>
      <c r="ER66" s="244"/>
      <c r="ES66" s="244"/>
      <c r="ET66" s="244"/>
      <c r="EU66" s="244"/>
      <c r="EV66" s="244">
        <v>42104.460416666698</v>
      </c>
    </row>
    <row r="67" spans="1:152">
      <c r="A67" s="270" t="s">
        <v>173</v>
      </c>
      <c r="B67" s="244"/>
      <c r="C67" s="244"/>
      <c r="D67" s="244"/>
      <c r="E67" s="244"/>
      <c r="F67" s="244"/>
      <c r="G67" s="244"/>
      <c r="H67" s="244"/>
      <c r="I67" s="244"/>
      <c r="J67" s="244"/>
      <c r="K67" s="244"/>
      <c r="L67" s="244"/>
      <c r="M67" s="244"/>
      <c r="N67" s="244"/>
      <c r="O67" s="244"/>
      <c r="P67" s="244"/>
      <c r="Q67" s="244"/>
      <c r="R67" s="244"/>
      <c r="S67" s="244"/>
      <c r="T67" s="244"/>
      <c r="U67" s="244"/>
      <c r="V67" s="244"/>
      <c r="W67" s="244"/>
      <c r="X67" s="244"/>
      <c r="Y67" s="244"/>
      <c r="Z67" s="244"/>
      <c r="AA67" s="244"/>
      <c r="AB67" s="244"/>
      <c r="AC67" s="244"/>
      <c r="AD67" s="244"/>
      <c r="AE67" s="244"/>
      <c r="AF67" s="244"/>
      <c r="AG67" s="244"/>
      <c r="AH67" s="244"/>
      <c r="AI67" s="244"/>
      <c r="AJ67" s="244"/>
      <c r="AK67" s="244"/>
      <c r="AL67" s="244"/>
      <c r="AM67" s="244"/>
      <c r="AN67" s="244"/>
      <c r="AO67" s="244"/>
      <c r="AP67" s="244"/>
      <c r="AQ67" s="244"/>
      <c r="AR67" s="244"/>
      <c r="AS67" s="244"/>
      <c r="AT67" s="244"/>
      <c r="AU67" s="244"/>
      <c r="AV67" s="244"/>
      <c r="AW67" s="244"/>
      <c r="AX67" s="244"/>
      <c r="AY67" s="244"/>
      <c r="AZ67" s="244"/>
      <c r="BA67" s="244"/>
      <c r="BB67" s="244"/>
      <c r="BC67" s="244"/>
      <c r="BD67" s="244"/>
      <c r="BE67" s="244"/>
      <c r="BF67" s="244"/>
      <c r="BG67" s="244"/>
      <c r="BH67" s="244"/>
      <c r="BI67" s="244"/>
      <c r="BJ67" s="244"/>
      <c r="BK67" s="244"/>
      <c r="BL67" s="244"/>
      <c r="BM67" s="244"/>
      <c r="BN67" s="244"/>
      <c r="BO67" s="244"/>
      <c r="BP67" s="244"/>
      <c r="BQ67" s="244"/>
      <c r="BR67" s="244"/>
      <c r="BS67" s="244"/>
      <c r="BT67" s="244"/>
      <c r="BU67" s="244"/>
      <c r="BV67" s="244"/>
      <c r="BW67" s="244"/>
      <c r="BX67" s="244"/>
      <c r="BY67" s="244"/>
      <c r="BZ67" s="244"/>
      <c r="CA67" s="244"/>
      <c r="CB67" s="244"/>
      <c r="CC67" s="244"/>
      <c r="CD67" s="244"/>
      <c r="CE67" s="244"/>
      <c r="CF67" s="244"/>
      <c r="CG67" s="244"/>
      <c r="CH67" s="244"/>
      <c r="CI67" s="244"/>
      <c r="CJ67" s="244"/>
      <c r="CK67" s="244"/>
      <c r="CL67" s="244"/>
      <c r="CM67" s="244"/>
      <c r="CN67" s="244"/>
      <c r="CO67" s="244"/>
      <c r="CP67" s="244"/>
      <c r="CQ67" s="244"/>
      <c r="CR67" s="244"/>
      <c r="CS67" s="244"/>
      <c r="CT67" s="244"/>
      <c r="CU67" s="244"/>
      <c r="CV67" s="244"/>
      <c r="CW67" s="244"/>
      <c r="CX67" s="244"/>
      <c r="CY67" s="244"/>
      <c r="CZ67" s="244"/>
      <c r="DA67" s="244"/>
      <c r="DB67" s="244"/>
      <c r="DC67" s="244"/>
      <c r="DD67" s="244"/>
      <c r="DE67" s="244"/>
      <c r="DF67" s="244"/>
      <c r="DG67" s="244"/>
      <c r="DH67" s="244"/>
      <c r="DI67" s="244"/>
      <c r="DJ67" s="244"/>
      <c r="DK67" s="244"/>
      <c r="DL67" s="244"/>
      <c r="DM67" s="244"/>
      <c r="DN67" s="244"/>
      <c r="DO67" s="244"/>
      <c r="DP67" s="244"/>
      <c r="DQ67" s="244"/>
      <c r="DR67" s="244"/>
      <c r="DS67" s="244"/>
      <c r="DT67" s="244"/>
      <c r="DU67" s="244"/>
      <c r="DV67" s="244"/>
      <c r="DW67" s="244">
        <v>42103.377777777801</v>
      </c>
      <c r="DX67" s="244"/>
      <c r="DY67" s="244"/>
      <c r="DZ67" s="244"/>
      <c r="EA67" s="244"/>
      <c r="EB67" s="244">
        <v>42094.659722222197</v>
      </c>
      <c r="EC67" s="244">
        <v>42101.615277777797</v>
      </c>
      <c r="ED67" s="244">
        <v>42102.386111111096</v>
      </c>
      <c r="EE67" s="244">
        <v>42087.453472222202</v>
      </c>
      <c r="EF67" s="244">
        <v>41997.579861111102</v>
      </c>
      <c r="EG67" s="244">
        <v>42102.413888888899</v>
      </c>
      <c r="EH67" s="244"/>
      <c r="EI67" s="244"/>
      <c r="EJ67" s="244"/>
      <c r="EK67" s="244"/>
      <c r="EL67" s="244"/>
      <c r="EM67" s="244"/>
      <c r="EN67" s="244"/>
      <c r="EO67" s="244"/>
      <c r="EP67" s="244"/>
      <c r="EQ67" s="244"/>
      <c r="ER67" s="244"/>
      <c r="ES67" s="244"/>
      <c r="ET67" s="244"/>
      <c r="EU67" s="244"/>
      <c r="EV67" s="244">
        <v>42103.377777777801</v>
      </c>
    </row>
    <row r="68" spans="1:152">
      <c r="A68" s="269" t="s">
        <v>155</v>
      </c>
      <c r="B68" s="244"/>
      <c r="C68" s="244">
        <v>42108.7097222222</v>
      </c>
      <c r="D68" s="244"/>
      <c r="E68" s="244">
        <v>42108.545833333301</v>
      </c>
      <c r="F68" s="244">
        <v>42108.458333333299</v>
      </c>
      <c r="G68" s="244"/>
      <c r="H68" s="244">
        <v>42108.449305555601</v>
      </c>
      <c r="I68" s="244"/>
      <c r="J68" s="244"/>
      <c r="K68" s="244">
        <v>42066.448611111096</v>
      </c>
      <c r="L68" s="244">
        <v>42066.449305555601</v>
      </c>
      <c r="M68" s="244">
        <v>42066.4506944444</v>
      </c>
      <c r="N68" s="244"/>
      <c r="O68" s="244">
        <v>42071.381944444402</v>
      </c>
      <c r="P68" s="244">
        <v>42079</v>
      </c>
      <c r="Q68" s="244">
        <v>42059</v>
      </c>
      <c r="R68" s="244">
        <v>42096.445138888899</v>
      </c>
      <c r="S68" s="244">
        <v>42066.443749999999</v>
      </c>
      <c r="T68" s="244"/>
      <c r="U68" s="244"/>
      <c r="V68" s="244">
        <v>41964</v>
      </c>
      <c r="W68" s="244"/>
      <c r="X68" s="244">
        <v>41964</v>
      </c>
      <c r="Y68" s="244"/>
      <c r="Z68" s="244"/>
      <c r="AA68" s="244">
        <v>42066.558333333298</v>
      </c>
      <c r="AB68" s="244"/>
      <c r="AC68" s="244">
        <v>42074</v>
      </c>
      <c r="AD68" s="244"/>
      <c r="AE68" s="244"/>
      <c r="AF68" s="244"/>
      <c r="AG68" s="244">
        <v>40268</v>
      </c>
      <c r="AH68" s="244">
        <v>41968</v>
      </c>
      <c r="AI68" s="244"/>
      <c r="AJ68" s="244"/>
      <c r="AK68" s="244"/>
      <c r="AL68" s="244"/>
      <c r="AM68" s="244"/>
      <c r="AN68" s="244"/>
      <c r="AO68" s="244"/>
      <c r="AP68" s="244">
        <v>42036.530555555597</v>
      </c>
      <c r="AQ68" s="244">
        <v>41837</v>
      </c>
      <c r="AR68" s="244"/>
      <c r="AS68" s="244"/>
      <c r="AT68" s="244"/>
      <c r="AU68" s="244"/>
      <c r="AV68" s="244"/>
      <c r="AW68" s="244"/>
      <c r="AX68" s="244"/>
      <c r="AY68" s="244"/>
      <c r="AZ68" s="244"/>
      <c r="BA68" s="244"/>
      <c r="BB68" s="244"/>
      <c r="BC68" s="244"/>
      <c r="BD68" s="244">
        <v>42076.413888888899</v>
      </c>
      <c r="BE68" s="244">
        <v>41929.1340277778</v>
      </c>
      <c r="BF68" s="244">
        <v>41976.704861111102</v>
      </c>
      <c r="BG68" s="244">
        <v>41744.567361111098</v>
      </c>
      <c r="BH68" s="244">
        <v>41749.707638888904</v>
      </c>
      <c r="BI68" s="244">
        <v>41744.704166666699</v>
      </c>
      <c r="BJ68" s="244">
        <v>41744.568055555603</v>
      </c>
      <c r="BK68" s="244">
        <v>41891.453472222202</v>
      </c>
      <c r="BL68" s="244">
        <v>41744.706250000003</v>
      </c>
      <c r="BM68" s="244">
        <v>41750.538194444402</v>
      </c>
      <c r="BN68" s="244">
        <v>41745.449999999997</v>
      </c>
      <c r="BO68" s="244">
        <v>41747.609027777798</v>
      </c>
      <c r="BP68" s="244">
        <v>41747.613888888904</v>
      </c>
      <c r="BQ68" s="244"/>
      <c r="BR68" s="244">
        <v>41901</v>
      </c>
      <c r="BS68" s="244">
        <v>41379</v>
      </c>
      <c r="BT68" s="244"/>
      <c r="BU68" s="244"/>
      <c r="BV68" s="244"/>
      <c r="BW68" s="244"/>
      <c r="BX68" s="244"/>
      <c r="BY68" s="244"/>
      <c r="BZ68" s="244">
        <v>40057</v>
      </c>
      <c r="CA68" s="244">
        <v>40057</v>
      </c>
      <c r="CB68" s="244">
        <v>40057</v>
      </c>
      <c r="CC68" s="244">
        <v>40057</v>
      </c>
      <c r="CD68" s="244">
        <v>40057</v>
      </c>
      <c r="CE68" s="244">
        <v>40057</v>
      </c>
      <c r="CF68" s="244">
        <v>42109.402777777803</v>
      </c>
      <c r="CG68" s="244">
        <v>40179</v>
      </c>
      <c r="CH68" s="244">
        <v>39904</v>
      </c>
      <c r="CI68" s="244">
        <v>41976.720833333296</v>
      </c>
      <c r="CJ68" s="244">
        <v>40848</v>
      </c>
      <c r="CK68" s="244">
        <v>40848</v>
      </c>
      <c r="CL68" s="244">
        <v>39692</v>
      </c>
      <c r="CM68" s="244">
        <v>39692</v>
      </c>
      <c r="CN68" s="244">
        <v>40087</v>
      </c>
      <c r="CO68" s="244">
        <v>41395</v>
      </c>
      <c r="CP68" s="244">
        <v>41334</v>
      </c>
      <c r="CQ68" s="244">
        <v>41334</v>
      </c>
      <c r="CR68" s="244">
        <v>41334</v>
      </c>
      <c r="CS68" s="244">
        <v>40087</v>
      </c>
      <c r="CT68" s="244">
        <v>38718</v>
      </c>
      <c r="CU68" s="244">
        <v>40087</v>
      </c>
      <c r="CV68" s="244">
        <v>42068.404166666704</v>
      </c>
      <c r="CW68" s="244"/>
      <c r="CX68" s="244"/>
      <c r="CY68" s="244"/>
      <c r="CZ68" s="244"/>
      <c r="DA68" s="244"/>
      <c r="DB68" s="244">
        <v>41379</v>
      </c>
      <c r="DC68" s="244">
        <v>40087</v>
      </c>
      <c r="DD68" s="244">
        <v>40087</v>
      </c>
      <c r="DE68" s="244"/>
      <c r="DF68" s="244"/>
      <c r="DG68" s="244">
        <v>42068.400694444397</v>
      </c>
      <c r="DH68" s="244">
        <v>42066.445833333302</v>
      </c>
      <c r="DI68" s="244">
        <v>41893</v>
      </c>
      <c r="DJ68" s="244">
        <v>42074.284027777801</v>
      </c>
      <c r="DK68" s="244"/>
      <c r="DL68" s="244"/>
      <c r="DM68" s="244"/>
      <c r="DN68" s="244"/>
      <c r="DO68" s="244"/>
      <c r="DP68" s="244">
        <v>42070.376388888901</v>
      </c>
      <c r="DQ68" s="244">
        <v>41940</v>
      </c>
      <c r="DR68" s="244"/>
      <c r="DS68" s="244">
        <v>42077.385416666701</v>
      </c>
      <c r="DT68" s="244">
        <v>41940.480555555601</v>
      </c>
      <c r="DU68" s="244"/>
      <c r="DV68" s="244"/>
      <c r="DW68" s="244">
        <v>42107.529861111099</v>
      </c>
      <c r="DX68" s="244">
        <v>41975.618750000001</v>
      </c>
      <c r="DY68" s="244"/>
      <c r="DZ68" s="244">
        <v>41893</v>
      </c>
      <c r="EA68" s="244"/>
      <c r="EB68" s="244">
        <v>42096.511805555601</v>
      </c>
      <c r="EC68" s="244">
        <v>42107.659722222197</v>
      </c>
      <c r="ED68" s="244">
        <v>42079.355555555601</v>
      </c>
      <c r="EE68" s="244">
        <v>42076.582638888904</v>
      </c>
      <c r="EF68" s="244">
        <v>42076.584027777797</v>
      </c>
      <c r="EG68" s="244">
        <v>41725.684722222199</v>
      </c>
      <c r="EH68" s="244"/>
      <c r="EI68" s="244"/>
      <c r="EJ68" s="244"/>
      <c r="EK68" s="244"/>
      <c r="EL68" s="244">
        <v>41518</v>
      </c>
      <c r="EM68" s="244">
        <v>41518</v>
      </c>
      <c r="EN68" s="244">
        <v>41518</v>
      </c>
      <c r="EO68" s="244">
        <v>41518</v>
      </c>
      <c r="EP68" s="244">
        <v>41518</v>
      </c>
      <c r="EQ68" s="244"/>
      <c r="ER68" s="244"/>
      <c r="ES68" s="244"/>
      <c r="ET68" s="244"/>
      <c r="EU68" s="244">
        <v>42066</v>
      </c>
      <c r="EV68" s="244">
        <v>42109.402777777803</v>
      </c>
    </row>
    <row r="69" spans="1:152">
      <c r="A69" s="270" t="s">
        <v>87</v>
      </c>
      <c r="B69" s="244"/>
      <c r="C69" s="244">
        <v>42108.7097222222</v>
      </c>
      <c r="D69" s="244"/>
      <c r="E69" s="244">
        <v>42108.545833333301</v>
      </c>
      <c r="F69" s="244">
        <v>42108.458333333299</v>
      </c>
      <c r="G69" s="244"/>
      <c r="H69" s="244">
        <v>42108.449305555601</v>
      </c>
      <c r="I69" s="244"/>
      <c r="J69" s="244"/>
      <c r="K69" s="244">
        <v>42066.448611111096</v>
      </c>
      <c r="L69" s="244">
        <v>42066.449305555601</v>
      </c>
      <c r="M69" s="244">
        <v>42066.4506944444</v>
      </c>
      <c r="N69" s="244"/>
      <c r="O69" s="244"/>
      <c r="P69" s="244">
        <v>42079</v>
      </c>
      <c r="Q69" s="244">
        <v>42059</v>
      </c>
      <c r="R69" s="244">
        <v>42096.445138888899</v>
      </c>
      <c r="S69" s="244">
        <v>42066.443749999999</v>
      </c>
      <c r="T69" s="244"/>
      <c r="U69" s="244"/>
      <c r="V69" s="244"/>
      <c r="W69" s="244"/>
      <c r="X69" s="244"/>
      <c r="Y69" s="244"/>
      <c r="Z69" s="244"/>
      <c r="AA69" s="244">
        <v>42066.558333333298</v>
      </c>
      <c r="AB69" s="244"/>
      <c r="AC69" s="244">
        <v>42074</v>
      </c>
      <c r="AD69" s="244"/>
      <c r="AE69" s="244"/>
      <c r="AF69" s="244"/>
      <c r="AG69" s="244"/>
      <c r="AH69" s="244">
        <v>41968</v>
      </c>
      <c r="AI69" s="244"/>
      <c r="AJ69" s="244"/>
      <c r="AK69" s="244"/>
      <c r="AL69" s="244"/>
      <c r="AM69" s="244"/>
      <c r="AN69" s="244"/>
      <c r="AO69" s="244"/>
      <c r="AP69" s="244">
        <v>42036.530555555597</v>
      </c>
      <c r="AQ69" s="244">
        <v>41837</v>
      </c>
      <c r="AR69" s="244"/>
      <c r="AS69" s="244"/>
      <c r="AT69" s="244"/>
      <c r="AU69" s="244"/>
      <c r="AV69" s="244"/>
      <c r="AW69" s="244"/>
      <c r="AX69" s="244"/>
      <c r="AY69" s="244"/>
      <c r="AZ69" s="244"/>
      <c r="BA69" s="244"/>
      <c r="BB69" s="244"/>
      <c r="BC69" s="244"/>
      <c r="BD69" s="244">
        <v>42076.413888888899</v>
      </c>
      <c r="BE69" s="244">
        <v>41929.1340277778</v>
      </c>
      <c r="BF69" s="244">
        <v>41976.704861111102</v>
      </c>
      <c r="BG69" s="244">
        <v>41744.567361111098</v>
      </c>
      <c r="BH69" s="244">
        <v>41749.707638888904</v>
      </c>
      <c r="BI69" s="244">
        <v>41744.704166666699</v>
      </c>
      <c r="BJ69" s="244">
        <v>41744.568055555603</v>
      </c>
      <c r="BK69" s="244">
        <v>41891.453472222202</v>
      </c>
      <c r="BL69" s="244">
        <v>41744.706250000003</v>
      </c>
      <c r="BM69" s="244">
        <v>41750.538194444402</v>
      </c>
      <c r="BN69" s="244">
        <v>41745.449999999997</v>
      </c>
      <c r="BO69" s="244">
        <v>41747.609027777798</v>
      </c>
      <c r="BP69" s="244">
        <v>41747.613888888904</v>
      </c>
      <c r="BQ69" s="244"/>
      <c r="BR69" s="244">
        <v>41901</v>
      </c>
      <c r="BS69" s="244">
        <v>41379</v>
      </c>
      <c r="BT69" s="244"/>
      <c r="BU69" s="244"/>
      <c r="BV69" s="244"/>
      <c r="BW69" s="244"/>
      <c r="BX69" s="244"/>
      <c r="BY69" s="244"/>
      <c r="BZ69" s="244">
        <v>40057</v>
      </c>
      <c r="CA69" s="244">
        <v>40057</v>
      </c>
      <c r="CB69" s="244">
        <v>40057</v>
      </c>
      <c r="CC69" s="244">
        <v>40057</v>
      </c>
      <c r="CD69" s="244">
        <v>40057</v>
      </c>
      <c r="CE69" s="244">
        <v>40057</v>
      </c>
      <c r="CF69" s="244">
        <v>42109.402777777803</v>
      </c>
      <c r="CG69" s="244">
        <v>40179</v>
      </c>
      <c r="CH69" s="244">
        <v>39904</v>
      </c>
      <c r="CI69" s="244">
        <v>41976.720833333296</v>
      </c>
      <c r="CJ69" s="244">
        <v>40848</v>
      </c>
      <c r="CK69" s="244">
        <v>40848</v>
      </c>
      <c r="CL69" s="244">
        <v>39692</v>
      </c>
      <c r="CM69" s="244">
        <v>39692</v>
      </c>
      <c r="CN69" s="244">
        <v>40087</v>
      </c>
      <c r="CO69" s="244">
        <v>41395</v>
      </c>
      <c r="CP69" s="244">
        <v>41334</v>
      </c>
      <c r="CQ69" s="244">
        <v>41334</v>
      </c>
      <c r="CR69" s="244">
        <v>41334</v>
      </c>
      <c r="CS69" s="244">
        <v>40087</v>
      </c>
      <c r="CT69" s="244">
        <v>38718</v>
      </c>
      <c r="CU69" s="244">
        <v>40087</v>
      </c>
      <c r="CV69" s="244">
        <v>42068.404166666704</v>
      </c>
      <c r="CW69" s="244"/>
      <c r="CX69" s="244"/>
      <c r="CY69" s="244"/>
      <c r="CZ69" s="244"/>
      <c r="DA69" s="244"/>
      <c r="DB69" s="244">
        <v>41379</v>
      </c>
      <c r="DC69" s="244">
        <v>40087</v>
      </c>
      <c r="DD69" s="244">
        <v>40087</v>
      </c>
      <c r="DE69" s="244"/>
      <c r="DF69" s="244"/>
      <c r="DG69" s="244">
        <v>42068.400694444397</v>
      </c>
      <c r="DH69" s="244">
        <v>42066.445833333302</v>
      </c>
      <c r="DI69" s="244">
        <v>41893</v>
      </c>
      <c r="DJ69" s="244">
        <v>42074.284027777801</v>
      </c>
      <c r="DK69" s="244"/>
      <c r="DL69" s="244"/>
      <c r="DM69" s="244"/>
      <c r="DN69" s="244"/>
      <c r="DO69" s="244"/>
      <c r="DP69" s="244"/>
      <c r="DQ69" s="244"/>
      <c r="DR69" s="244"/>
      <c r="DS69" s="244"/>
      <c r="DT69" s="244"/>
      <c r="DU69" s="244"/>
      <c r="DV69" s="244"/>
      <c r="DW69" s="244"/>
      <c r="DX69" s="244"/>
      <c r="DY69" s="244"/>
      <c r="DZ69" s="244"/>
      <c r="EA69" s="244"/>
      <c r="EB69" s="244"/>
      <c r="EC69" s="244"/>
      <c r="ED69" s="244"/>
      <c r="EE69" s="244"/>
      <c r="EF69" s="244"/>
      <c r="EG69" s="244"/>
      <c r="EH69" s="244"/>
      <c r="EI69" s="244"/>
      <c r="EJ69" s="244"/>
      <c r="EK69" s="244"/>
      <c r="EL69" s="244"/>
      <c r="EM69" s="244"/>
      <c r="EN69" s="244"/>
      <c r="EO69" s="244"/>
      <c r="EP69" s="244"/>
      <c r="EQ69" s="244"/>
      <c r="ER69" s="244"/>
      <c r="ES69" s="244"/>
      <c r="ET69" s="244"/>
      <c r="EU69" s="244">
        <v>42066</v>
      </c>
      <c r="EV69" s="244">
        <v>42109.402777777803</v>
      </c>
    </row>
    <row r="70" spans="1:152">
      <c r="A70" s="270" t="s">
        <v>172</v>
      </c>
      <c r="B70" s="244"/>
      <c r="C70" s="244"/>
      <c r="D70" s="244"/>
      <c r="E70" s="244">
        <v>42066.690972222197</v>
      </c>
      <c r="F70" s="244"/>
      <c r="G70" s="244"/>
      <c r="H70" s="244"/>
      <c r="I70" s="244"/>
      <c r="J70" s="244"/>
      <c r="K70" s="244"/>
      <c r="L70" s="244"/>
      <c r="M70" s="244"/>
      <c r="N70" s="244"/>
      <c r="O70" s="244">
        <v>42071.381944444402</v>
      </c>
      <c r="P70" s="244">
        <v>42036.449305555601</v>
      </c>
      <c r="Q70" s="244"/>
      <c r="R70" s="244"/>
      <c r="S70" s="244"/>
      <c r="T70" s="244"/>
      <c r="U70" s="244"/>
      <c r="V70" s="244">
        <v>41964</v>
      </c>
      <c r="W70" s="244"/>
      <c r="X70" s="244">
        <v>41964</v>
      </c>
      <c r="Y70" s="244"/>
      <c r="Z70" s="244"/>
      <c r="AA70" s="244"/>
      <c r="AB70" s="244"/>
      <c r="AC70" s="244"/>
      <c r="AD70" s="244"/>
      <c r="AE70" s="244"/>
      <c r="AF70" s="244"/>
      <c r="AG70" s="244">
        <v>40268</v>
      </c>
      <c r="AH70" s="244"/>
      <c r="AI70" s="244"/>
      <c r="AJ70" s="244"/>
      <c r="AK70" s="244"/>
      <c r="AL70" s="244"/>
      <c r="AM70" s="244"/>
      <c r="AN70" s="244"/>
      <c r="AO70" s="244"/>
      <c r="AP70" s="244"/>
      <c r="AQ70" s="244"/>
      <c r="AR70" s="244"/>
      <c r="AS70" s="244"/>
      <c r="AT70" s="244"/>
      <c r="AU70" s="244"/>
      <c r="AV70" s="244"/>
      <c r="AW70" s="244"/>
      <c r="AX70" s="244"/>
      <c r="AY70" s="244"/>
      <c r="AZ70" s="244"/>
      <c r="BA70" s="244"/>
      <c r="BB70" s="244"/>
      <c r="BC70" s="244"/>
      <c r="BD70" s="244"/>
      <c r="BE70" s="244"/>
      <c r="BF70" s="244"/>
      <c r="BG70" s="244"/>
      <c r="BH70" s="244"/>
      <c r="BI70" s="244"/>
      <c r="BJ70" s="244"/>
      <c r="BK70" s="244"/>
      <c r="BL70" s="244"/>
      <c r="BM70" s="244"/>
      <c r="BN70" s="244"/>
      <c r="BO70" s="244"/>
      <c r="BP70" s="244"/>
      <c r="BQ70" s="244"/>
      <c r="BR70" s="244"/>
      <c r="BS70" s="244"/>
      <c r="BT70" s="244"/>
      <c r="BU70" s="244"/>
      <c r="BV70" s="244"/>
      <c r="BW70" s="244"/>
      <c r="BX70" s="244"/>
      <c r="BY70" s="244"/>
      <c r="BZ70" s="244"/>
      <c r="CA70" s="244"/>
      <c r="CB70" s="244"/>
      <c r="CC70" s="244"/>
      <c r="CD70" s="244"/>
      <c r="CE70" s="244"/>
      <c r="CF70" s="244"/>
      <c r="CG70" s="244"/>
      <c r="CH70" s="244"/>
      <c r="CI70" s="244"/>
      <c r="CJ70" s="244"/>
      <c r="CK70" s="244"/>
      <c r="CL70" s="244"/>
      <c r="CM70" s="244"/>
      <c r="CN70" s="244"/>
      <c r="CO70" s="244"/>
      <c r="CP70" s="244"/>
      <c r="CQ70" s="244"/>
      <c r="CR70" s="244"/>
      <c r="CS70" s="244"/>
      <c r="CT70" s="244"/>
      <c r="CU70" s="244"/>
      <c r="CV70" s="244"/>
      <c r="CW70" s="244"/>
      <c r="CX70" s="244"/>
      <c r="CY70" s="244"/>
      <c r="CZ70" s="244"/>
      <c r="DA70" s="244"/>
      <c r="DB70" s="244"/>
      <c r="DC70" s="244"/>
      <c r="DD70" s="244"/>
      <c r="DE70" s="244"/>
      <c r="DF70" s="244"/>
      <c r="DG70" s="244"/>
      <c r="DH70" s="244"/>
      <c r="DI70" s="244"/>
      <c r="DJ70" s="244"/>
      <c r="DK70" s="244"/>
      <c r="DL70" s="244"/>
      <c r="DM70" s="244"/>
      <c r="DN70" s="244"/>
      <c r="DO70" s="244"/>
      <c r="DP70" s="244">
        <v>42070.376388888901</v>
      </c>
      <c r="DQ70" s="244">
        <v>41940</v>
      </c>
      <c r="DR70" s="244"/>
      <c r="DS70" s="244">
        <v>42077.385416666701</v>
      </c>
      <c r="DT70" s="244">
        <v>41940.480555555601</v>
      </c>
      <c r="DU70" s="244"/>
      <c r="DV70" s="244"/>
      <c r="DW70" s="244"/>
      <c r="DX70" s="244">
        <v>41975.618750000001</v>
      </c>
      <c r="DY70" s="244"/>
      <c r="DZ70" s="244">
        <v>41893</v>
      </c>
      <c r="EA70" s="244"/>
      <c r="EB70" s="244"/>
      <c r="EC70" s="244"/>
      <c r="ED70" s="244"/>
      <c r="EE70" s="244"/>
      <c r="EF70" s="244"/>
      <c r="EG70" s="244"/>
      <c r="EH70" s="244"/>
      <c r="EI70" s="244"/>
      <c r="EJ70" s="244"/>
      <c r="EK70" s="244"/>
      <c r="EL70" s="244"/>
      <c r="EM70" s="244"/>
      <c r="EN70" s="244"/>
      <c r="EO70" s="244"/>
      <c r="EP70" s="244"/>
      <c r="EQ70" s="244"/>
      <c r="ER70" s="244"/>
      <c r="ES70" s="244"/>
      <c r="ET70" s="244"/>
      <c r="EU70" s="244"/>
      <c r="EV70" s="244">
        <v>42077.385416666701</v>
      </c>
    </row>
    <row r="71" spans="1:152">
      <c r="A71" s="270" t="s">
        <v>173</v>
      </c>
      <c r="B71" s="244"/>
      <c r="C71" s="244"/>
      <c r="D71" s="244"/>
      <c r="E71" s="244"/>
      <c r="F71" s="244"/>
      <c r="G71" s="244"/>
      <c r="H71" s="244"/>
      <c r="I71" s="244"/>
      <c r="J71" s="244"/>
      <c r="K71" s="244"/>
      <c r="L71" s="244"/>
      <c r="M71" s="244"/>
      <c r="N71" s="244"/>
      <c r="O71" s="244"/>
      <c r="P71" s="244"/>
      <c r="Q71" s="244"/>
      <c r="R71" s="244"/>
      <c r="S71" s="244"/>
      <c r="T71" s="244"/>
      <c r="U71" s="244"/>
      <c r="V71" s="244"/>
      <c r="W71" s="244"/>
      <c r="X71" s="244"/>
      <c r="Y71" s="244"/>
      <c r="Z71" s="244"/>
      <c r="AA71" s="244"/>
      <c r="AB71" s="244"/>
      <c r="AC71" s="244"/>
      <c r="AD71" s="244"/>
      <c r="AE71" s="244"/>
      <c r="AF71" s="244"/>
      <c r="AG71" s="244"/>
      <c r="AH71" s="244"/>
      <c r="AI71" s="244"/>
      <c r="AJ71" s="244"/>
      <c r="AK71" s="244"/>
      <c r="AL71" s="244"/>
      <c r="AM71" s="244"/>
      <c r="AN71" s="244"/>
      <c r="AO71" s="244"/>
      <c r="AP71" s="244"/>
      <c r="AQ71" s="244"/>
      <c r="AR71" s="244"/>
      <c r="AS71" s="244"/>
      <c r="AT71" s="244"/>
      <c r="AU71" s="244"/>
      <c r="AV71" s="244"/>
      <c r="AW71" s="244"/>
      <c r="AX71" s="244"/>
      <c r="AY71" s="244"/>
      <c r="AZ71" s="244"/>
      <c r="BA71" s="244"/>
      <c r="BB71" s="244"/>
      <c r="BC71" s="244"/>
      <c r="BD71" s="244"/>
      <c r="BE71" s="244"/>
      <c r="BF71" s="244"/>
      <c r="BG71" s="244"/>
      <c r="BH71" s="244"/>
      <c r="BI71" s="244"/>
      <c r="BJ71" s="244"/>
      <c r="BK71" s="244"/>
      <c r="BL71" s="244"/>
      <c r="BM71" s="244"/>
      <c r="BN71" s="244"/>
      <c r="BO71" s="244"/>
      <c r="BP71" s="244"/>
      <c r="BQ71" s="244"/>
      <c r="BR71" s="244"/>
      <c r="BS71" s="244"/>
      <c r="BT71" s="244"/>
      <c r="BU71" s="244"/>
      <c r="BV71" s="244"/>
      <c r="BW71" s="244"/>
      <c r="BX71" s="244"/>
      <c r="BY71" s="244"/>
      <c r="BZ71" s="244"/>
      <c r="CA71" s="244"/>
      <c r="CB71" s="244"/>
      <c r="CC71" s="244"/>
      <c r="CD71" s="244"/>
      <c r="CE71" s="244"/>
      <c r="CF71" s="244"/>
      <c r="CG71" s="244"/>
      <c r="CH71" s="244"/>
      <c r="CI71" s="244"/>
      <c r="CJ71" s="244"/>
      <c r="CK71" s="244"/>
      <c r="CL71" s="244"/>
      <c r="CM71" s="244"/>
      <c r="CN71" s="244"/>
      <c r="CO71" s="244"/>
      <c r="CP71" s="244"/>
      <c r="CQ71" s="244"/>
      <c r="CR71" s="244"/>
      <c r="CS71" s="244"/>
      <c r="CT71" s="244"/>
      <c r="CU71" s="244"/>
      <c r="CV71" s="244"/>
      <c r="CW71" s="244"/>
      <c r="CX71" s="244"/>
      <c r="CY71" s="244"/>
      <c r="CZ71" s="244"/>
      <c r="DA71" s="244"/>
      <c r="DB71" s="244"/>
      <c r="DC71" s="244"/>
      <c r="DD71" s="244"/>
      <c r="DE71" s="244"/>
      <c r="DF71" s="244"/>
      <c r="DG71" s="244"/>
      <c r="DH71" s="244"/>
      <c r="DI71" s="244"/>
      <c r="DJ71" s="244"/>
      <c r="DK71" s="244"/>
      <c r="DL71" s="244"/>
      <c r="DM71" s="244"/>
      <c r="DN71" s="244"/>
      <c r="DO71" s="244"/>
      <c r="DP71" s="244"/>
      <c r="DQ71" s="244"/>
      <c r="DR71" s="244"/>
      <c r="DS71" s="244"/>
      <c r="DT71" s="244"/>
      <c r="DU71" s="244"/>
      <c r="DV71" s="244"/>
      <c r="DW71" s="244">
        <v>42107.529861111099</v>
      </c>
      <c r="DX71" s="244"/>
      <c r="DY71" s="244"/>
      <c r="DZ71" s="244"/>
      <c r="EA71" s="244"/>
      <c r="EB71" s="244">
        <v>42096.511805555601</v>
      </c>
      <c r="EC71" s="244">
        <v>42107.659722222197</v>
      </c>
      <c r="ED71" s="244">
        <v>42079.355555555601</v>
      </c>
      <c r="EE71" s="244">
        <v>42076.582638888904</v>
      </c>
      <c r="EF71" s="244">
        <v>42076.584027777797</v>
      </c>
      <c r="EG71" s="244">
        <v>41725.684722222199</v>
      </c>
      <c r="EH71" s="244"/>
      <c r="EI71" s="244"/>
      <c r="EJ71" s="244"/>
      <c r="EK71" s="244"/>
      <c r="EL71" s="244">
        <v>41518</v>
      </c>
      <c r="EM71" s="244">
        <v>41518</v>
      </c>
      <c r="EN71" s="244">
        <v>41518</v>
      </c>
      <c r="EO71" s="244">
        <v>41518</v>
      </c>
      <c r="EP71" s="244">
        <v>41518</v>
      </c>
      <c r="EQ71" s="244"/>
      <c r="ER71" s="244"/>
      <c r="ES71" s="244"/>
      <c r="ET71" s="244"/>
      <c r="EU71" s="244"/>
      <c r="EV71" s="244">
        <v>42107.659722222197</v>
      </c>
    </row>
    <row r="72" spans="1:152">
      <c r="A72" s="269" t="s">
        <v>156</v>
      </c>
      <c r="B72" s="244"/>
      <c r="C72" s="244">
        <v>42102.984722222202</v>
      </c>
      <c r="D72" s="244"/>
      <c r="E72" s="244">
        <v>42054.327083333301</v>
      </c>
      <c r="F72" s="244">
        <v>42103.521527777797</v>
      </c>
      <c r="G72" s="244"/>
      <c r="H72" s="244"/>
      <c r="I72" s="244">
        <v>42040</v>
      </c>
      <c r="J72" s="244"/>
      <c r="K72" s="244">
        <v>42068.434722222199</v>
      </c>
      <c r="L72" s="244">
        <v>42068.434722222199</v>
      </c>
      <c r="M72" s="244"/>
      <c r="N72" s="244">
        <v>42039.637499999997</v>
      </c>
      <c r="O72" s="244"/>
      <c r="P72" s="244">
        <v>42108</v>
      </c>
      <c r="Q72" s="244">
        <v>42059.466666666704</v>
      </c>
      <c r="R72" s="244">
        <v>42109.438888888901</v>
      </c>
      <c r="S72" s="244">
        <v>42040.448611111096</v>
      </c>
      <c r="T72" s="244"/>
      <c r="U72" s="244"/>
      <c r="V72" s="244">
        <v>42047.565972222197</v>
      </c>
      <c r="W72" s="244"/>
      <c r="X72" s="244"/>
      <c r="Y72" s="244"/>
      <c r="Z72" s="244"/>
      <c r="AA72" s="244">
        <v>42054.681944444397</v>
      </c>
      <c r="AB72" s="244"/>
      <c r="AC72" s="244">
        <v>42033.354166666701</v>
      </c>
      <c r="AD72" s="244"/>
      <c r="AE72" s="244"/>
      <c r="AF72" s="244"/>
      <c r="AG72" s="244">
        <v>39988</v>
      </c>
      <c r="AH72" s="244">
        <v>41825</v>
      </c>
      <c r="AI72" s="244"/>
      <c r="AJ72" s="244"/>
      <c r="AK72" s="244">
        <v>42026</v>
      </c>
      <c r="AL72" s="244"/>
      <c r="AM72" s="244"/>
      <c r="AN72" s="244"/>
      <c r="AO72" s="244"/>
      <c r="AP72" s="244">
        <v>42026</v>
      </c>
      <c r="AQ72" s="244">
        <v>42026</v>
      </c>
      <c r="AR72" s="244"/>
      <c r="AS72" s="244"/>
      <c r="AT72" s="244"/>
      <c r="AU72" s="244"/>
      <c r="AV72" s="244"/>
      <c r="AW72" s="244"/>
      <c r="AX72" s="244"/>
      <c r="AY72" s="244"/>
      <c r="AZ72" s="244"/>
      <c r="BA72" s="244"/>
      <c r="BB72" s="244"/>
      <c r="BC72" s="244"/>
      <c r="BD72" s="244">
        <v>42108.409722222197</v>
      </c>
      <c r="BE72" s="244">
        <v>42026</v>
      </c>
      <c r="BF72" s="244">
        <v>41870</v>
      </c>
      <c r="BG72" s="244">
        <v>41943.251388888901</v>
      </c>
      <c r="BH72" s="244">
        <v>42044.335416666698</v>
      </c>
      <c r="BI72" s="244">
        <v>42026</v>
      </c>
      <c r="BJ72" s="244">
        <v>42026</v>
      </c>
      <c r="BK72" s="244">
        <v>42081.359722222202</v>
      </c>
      <c r="BL72" s="244">
        <v>42026</v>
      </c>
      <c r="BM72" s="244">
        <v>42026</v>
      </c>
      <c r="BN72" s="244">
        <v>41963.6472222222</v>
      </c>
      <c r="BO72" s="244">
        <v>42026</v>
      </c>
      <c r="BP72" s="244">
        <v>42026</v>
      </c>
      <c r="BQ72" s="244"/>
      <c r="BR72" s="244"/>
      <c r="BS72" s="244">
        <v>42026</v>
      </c>
      <c r="BT72" s="244"/>
      <c r="BU72" s="244"/>
      <c r="BV72" s="244"/>
      <c r="BW72" s="244"/>
      <c r="BX72" s="244"/>
      <c r="BY72" s="244"/>
      <c r="BZ72" s="244">
        <v>40057</v>
      </c>
      <c r="CA72" s="244">
        <v>40057</v>
      </c>
      <c r="CB72" s="244">
        <v>40057</v>
      </c>
      <c r="CC72" s="244">
        <v>40057</v>
      </c>
      <c r="CD72" s="244">
        <v>40057</v>
      </c>
      <c r="CE72" s="244">
        <v>40057</v>
      </c>
      <c r="CF72" s="244">
        <v>42111.106249999997</v>
      </c>
      <c r="CG72" s="244">
        <v>40664</v>
      </c>
      <c r="CH72" s="244">
        <v>39904</v>
      </c>
      <c r="CI72" s="244">
        <v>40118</v>
      </c>
      <c r="CJ72" s="244">
        <v>41214</v>
      </c>
      <c r="CK72" s="244">
        <v>41214</v>
      </c>
      <c r="CL72" s="244">
        <v>39873</v>
      </c>
      <c r="CM72" s="244">
        <v>39873</v>
      </c>
      <c r="CN72" s="244">
        <v>41864.396527777797</v>
      </c>
      <c r="CO72" s="244">
        <v>41395</v>
      </c>
      <c r="CP72" s="244">
        <v>40909</v>
      </c>
      <c r="CQ72" s="244">
        <v>39995</v>
      </c>
      <c r="CR72" s="244">
        <v>39995</v>
      </c>
      <c r="CS72" s="244">
        <v>38018</v>
      </c>
      <c r="CT72" s="244">
        <v>40087</v>
      </c>
      <c r="CU72" s="244">
        <v>40087</v>
      </c>
      <c r="CV72" s="244">
        <v>40087</v>
      </c>
      <c r="CW72" s="244"/>
      <c r="CX72" s="244"/>
      <c r="CY72" s="244"/>
      <c r="CZ72" s="244"/>
      <c r="DA72" s="244"/>
      <c r="DB72" s="244">
        <v>41943.244444444397</v>
      </c>
      <c r="DC72" s="244">
        <v>40087</v>
      </c>
      <c r="DD72" s="244">
        <v>40087</v>
      </c>
      <c r="DE72" s="244"/>
      <c r="DF72" s="244"/>
      <c r="DG72" s="244"/>
      <c r="DH72" s="244"/>
      <c r="DI72" s="244"/>
      <c r="DJ72" s="244"/>
      <c r="DK72" s="244">
        <v>41943.572222222203</v>
      </c>
      <c r="DL72" s="244"/>
      <c r="DM72" s="244">
        <v>42033.500694444403</v>
      </c>
      <c r="DN72" s="244">
        <v>42026</v>
      </c>
      <c r="DO72" s="244">
        <v>42026.427777777797</v>
      </c>
      <c r="DP72" s="244">
        <v>42119.309027777803</v>
      </c>
      <c r="DQ72" s="244">
        <v>42033.313888888901</v>
      </c>
      <c r="DR72" s="244"/>
      <c r="DS72" s="244">
        <v>42034.477083333302</v>
      </c>
      <c r="DT72" s="244">
        <v>42030</v>
      </c>
      <c r="DU72" s="244"/>
      <c r="DV72" s="244"/>
      <c r="DW72" s="244">
        <v>42095.688888888901</v>
      </c>
      <c r="DX72" s="244">
        <v>42123.336805555598</v>
      </c>
      <c r="DY72" s="244"/>
      <c r="DZ72" s="244"/>
      <c r="EA72" s="244"/>
      <c r="EB72" s="244">
        <v>42089.460416666698</v>
      </c>
      <c r="EC72" s="244">
        <v>42102.806944444397</v>
      </c>
      <c r="ED72" s="244">
        <v>42026</v>
      </c>
      <c r="EE72" s="244">
        <v>42026</v>
      </c>
      <c r="EF72" s="244">
        <v>42026</v>
      </c>
      <c r="EG72" s="244">
        <v>42026</v>
      </c>
      <c r="EH72" s="244">
        <v>42026</v>
      </c>
      <c r="EI72" s="244"/>
      <c r="EJ72" s="244"/>
      <c r="EK72" s="244"/>
      <c r="EL72" s="244"/>
      <c r="EM72" s="244">
        <v>41426</v>
      </c>
      <c r="EN72" s="244">
        <v>41426</v>
      </c>
      <c r="EO72" s="244">
        <v>41426</v>
      </c>
      <c r="EP72" s="244">
        <v>41426</v>
      </c>
      <c r="EQ72" s="244"/>
      <c r="ER72" s="244"/>
      <c r="ES72" s="244"/>
      <c r="ET72" s="244"/>
      <c r="EU72" s="244"/>
      <c r="EV72" s="244">
        <v>42123.336805555598</v>
      </c>
    </row>
    <row r="73" spans="1:152">
      <c r="A73" s="270" t="s">
        <v>87</v>
      </c>
      <c r="B73" s="244"/>
      <c r="C73" s="244">
        <v>42102.984722222202</v>
      </c>
      <c r="D73" s="244"/>
      <c r="E73" s="244"/>
      <c r="F73" s="244">
        <v>42103.521527777797</v>
      </c>
      <c r="G73" s="244"/>
      <c r="H73" s="244"/>
      <c r="I73" s="244">
        <v>42040</v>
      </c>
      <c r="J73" s="244"/>
      <c r="K73" s="244">
        <v>42068.434722222199</v>
      </c>
      <c r="L73" s="244">
        <v>42068.434722222199</v>
      </c>
      <c r="M73" s="244"/>
      <c r="N73" s="244">
        <v>42039.637499999997</v>
      </c>
      <c r="O73" s="244"/>
      <c r="P73" s="244">
        <v>42108</v>
      </c>
      <c r="Q73" s="244">
        <v>42059.466666666704</v>
      </c>
      <c r="R73" s="244">
        <v>42109.438888888901</v>
      </c>
      <c r="S73" s="244">
        <v>42040.448611111096</v>
      </c>
      <c r="T73" s="244"/>
      <c r="U73" s="244"/>
      <c r="V73" s="244"/>
      <c r="W73" s="244"/>
      <c r="X73" s="244"/>
      <c r="Y73" s="244"/>
      <c r="Z73" s="244"/>
      <c r="AA73" s="244">
        <v>42054.681944444397</v>
      </c>
      <c r="AB73" s="244"/>
      <c r="AC73" s="244">
        <v>42033.354166666701</v>
      </c>
      <c r="AD73" s="244"/>
      <c r="AE73" s="244"/>
      <c r="AF73" s="244"/>
      <c r="AG73" s="244"/>
      <c r="AH73" s="244">
        <v>41825</v>
      </c>
      <c r="AI73" s="244"/>
      <c r="AJ73" s="244"/>
      <c r="AK73" s="244">
        <v>42026</v>
      </c>
      <c r="AL73" s="244"/>
      <c r="AM73" s="244"/>
      <c r="AN73" s="244"/>
      <c r="AO73" s="244"/>
      <c r="AP73" s="244">
        <v>42026</v>
      </c>
      <c r="AQ73" s="244">
        <v>42026</v>
      </c>
      <c r="AR73" s="244"/>
      <c r="AS73" s="244"/>
      <c r="AT73" s="244"/>
      <c r="AU73" s="244"/>
      <c r="AV73" s="244"/>
      <c r="AW73" s="244"/>
      <c r="AX73" s="244"/>
      <c r="AY73" s="244"/>
      <c r="AZ73" s="244"/>
      <c r="BA73" s="244"/>
      <c r="BB73" s="244"/>
      <c r="BC73" s="244"/>
      <c r="BD73" s="244">
        <v>42108.409722222197</v>
      </c>
      <c r="BE73" s="244">
        <v>42026</v>
      </c>
      <c r="BF73" s="244">
        <v>41870</v>
      </c>
      <c r="BG73" s="244">
        <v>41943.251388888901</v>
      </c>
      <c r="BH73" s="244">
        <v>42044.335416666698</v>
      </c>
      <c r="BI73" s="244">
        <v>42026</v>
      </c>
      <c r="BJ73" s="244">
        <v>42026</v>
      </c>
      <c r="BK73" s="244">
        <v>42081.359722222202</v>
      </c>
      <c r="BL73" s="244">
        <v>42026</v>
      </c>
      <c r="BM73" s="244">
        <v>42026</v>
      </c>
      <c r="BN73" s="244">
        <v>41963.6472222222</v>
      </c>
      <c r="BO73" s="244">
        <v>42026</v>
      </c>
      <c r="BP73" s="244">
        <v>42026</v>
      </c>
      <c r="BQ73" s="244"/>
      <c r="BR73" s="244"/>
      <c r="BS73" s="244">
        <v>42026</v>
      </c>
      <c r="BT73" s="244"/>
      <c r="BU73" s="244"/>
      <c r="BV73" s="244"/>
      <c r="BW73" s="244"/>
      <c r="BX73" s="244"/>
      <c r="BY73" s="244"/>
      <c r="BZ73" s="244">
        <v>40057</v>
      </c>
      <c r="CA73" s="244">
        <v>40057</v>
      </c>
      <c r="CB73" s="244">
        <v>40057</v>
      </c>
      <c r="CC73" s="244">
        <v>40057</v>
      </c>
      <c r="CD73" s="244">
        <v>40057</v>
      </c>
      <c r="CE73" s="244">
        <v>40057</v>
      </c>
      <c r="CF73" s="244">
        <v>42111.106249999997</v>
      </c>
      <c r="CG73" s="244">
        <v>40664</v>
      </c>
      <c r="CH73" s="244">
        <v>39904</v>
      </c>
      <c r="CI73" s="244">
        <v>40118</v>
      </c>
      <c r="CJ73" s="244">
        <v>41214</v>
      </c>
      <c r="CK73" s="244">
        <v>41214</v>
      </c>
      <c r="CL73" s="244">
        <v>39873</v>
      </c>
      <c r="CM73" s="244">
        <v>39873</v>
      </c>
      <c r="CN73" s="244">
        <v>41864.396527777797</v>
      </c>
      <c r="CO73" s="244">
        <v>41395</v>
      </c>
      <c r="CP73" s="244">
        <v>40909</v>
      </c>
      <c r="CQ73" s="244">
        <v>39995</v>
      </c>
      <c r="CR73" s="244">
        <v>39995</v>
      </c>
      <c r="CS73" s="244">
        <v>38018</v>
      </c>
      <c r="CT73" s="244">
        <v>40087</v>
      </c>
      <c r="CU73" s="244">
        <v>40087</v>
      </c>
      <c r="CV73" s="244">
        <v>40087</v>
      </c>
      <c r="CW73" s="244"/>
      <c r="CX73" s="244"/>
      <c r="CY73" s="244"/>
      <c r="CZ73" s="244"/>
      <c r="DA73" s="244"/>
      <c r="DB73" s="244">
        <v>41943.244444444397</v>
      </c>
      <c r="DC73" s="244">
        <v>40087</v>
      </c>
      <c r="DD73" s="244">
        <v>40087</v>
      </c>
      <c r="DE73" s="244"/>
      <c r="DF73" s="244"/>
      <c r="DG73" s="244"/>
      <c r="DH73" s="244"/>
      <c r="DI73" s="244"/>
      <c r="DJ73" s="244"/>
      <c r="DK73" s="244">
        <v>41943.572222222203</v>
      </c>
      <c r="DL73" s="244"/>
      <c r="DM73" s="244"/>
      <c r="DN73" s="244"/>
      <c r="DO73" s="244"/>
      <c r="DP73" s="244"/>
      <c r="DQ73" s="244"/>
      <c r="DR73" s="244"/>
      <c r="DS73" s="244"/>
      <c r="DT73" s="244"/>
      <c r="DU73" s="244"/>
      <c r="DV73" s="244"/>
      <c r="DW73" s="244"/>
      <c r="DX73" s="244"/>
      <c r="DY73" s="244"/>
      <c r="DZ73" s="244"/>
      <c r="EA73" s="244"/>
      <c r="EB73" s="244"/>
      <c r="EC73" s="244"/>
      <c r="ED73" s="244"/>
      <c r="EE73" s="244"/>
      <c r="EF73" s="244"/>
      <c r="EG73" s="244"/>
      <c r="EH73" s="244"/>
      <c r="EI73" s="244"/>
      <c r="EJ73" s="244"/>
      <c r="EK73" s="244"/>
      <c r="EL73" s="244"/>
      <c r="EM73" s="244"/>
      <c r="EN73" s="244"/>
      <c r="EO73" s="244"/>
      <c r="EP73" s="244"/>
      <c r="EQ73" s="244"/>
      <c r="ER73" s="244"/>
      <c r="ES73" s="244"/>
      <c r="ET73" s="244"/>
      <c r="EU73" s="244"/>
      <c r="EV73" s="244">
        <v>42111.106249999997</v>
      </c>
    </row>
    <row r="74" spans="1:152">
      <c r="A74" s="270" t="s">
        <v>172</v>
      </c>
      <c r="B74" s="244"/>
      <c r="C74" s="244"/>
      <c r="D74" s="244"/>
      <c r="E74" s="244">
        <v>42054.327083333301</v>
      </c>
      <c r="F74" s="244"/>
      <c r="G74" s="244"/>
      <c r="H74" s="244"/>
      <c r="I74" s="244"/>
      <c r="J74" s="244"/>
      <c r="K74" s="244"/>
      <c r="L74" s="244"/>
      <c r="M74" s="244"/>
      <c r="N74" s="244"/>
      <c r="O74" s="244"/>
      <c r="P74" s="244">
        <v>42031</v>
      </c>
      <c r="Q74" s="244"/>
      <c r="R74" s="244"/>
      <c r="S74" s="244"/>
      <c r="T74" s="244"/>
      <c r="U74" s="244"/>
      <c r="V74" s="244">
        <v>42047.565972222197</v>
      </c>
      <c r="W74" s="244"/>
      <c r="X74" s="244"/>
      <c r="Y74" s="244"/>
      <c r="Z74" s="244"/>
      <c r="AA74" s="244"/>
      <c r="AB74" s="244"/>
      <c r="AC74" s="244"/>
      <c r="AD74" s="244"/>
      <c r="AE74" s="244"/>
      <c r="AF74" s="244"/>
      <c r="AG74" s="244">
        <v>39988</v>
      </c>
      <c r="AH74" s="244"/>
      <c r="AI74" s="244"/>
      <c r="AJ74" s="244"/>
      <c r="AK74" s="244"/>
      <c r="AL74" s="244"/>
      <c r="AM74" s="244"/>
      <c r="AN74" s="244"/>
      <c r="AO74" s="244"/>
      <c r="AP74" s="244"/>
      <c r="AQ74" s="244"/>
      <c r="AR74" s="244"/>
      <c r="AS74" s="244"/>
      <c r="AT74" s="244"/>
      <c r="AU74" s="244"/>
      <c r="AV74" s="244"/>
      <c r="AW74" s="244"/>
      <c r="AX74" s="244"/>
      <c r="AY74" s="244"/>
      <c r="AZ74" s="244"/>
      <c r="BA74" s="244"/>
      <c r="BB74" s="244"/>
      <c r="BC74" s="244"/>
      <c r="BD74" s="244"/>
      <c r="BE74" s="244"/>
      <c r="BF74" s="244"/>
      <c r="BG74" s="244"/>
      <c r="BH74" s="244"/>
      <c r="BI74" s="244"/>
      <c r="BJ74" s="244"/>
      <c r="BK74" s="244"/>
      <c r="BL74" s="244"/>
      <c r="BM74" s="244"/>
      <c r="BN74" s="244"/>
      <c r="BO74" s="244"/>
      <c r="BP74" s="244"/>
      <c r="BQ74" s="244"/>
      <c r="BR74" s="244"/>
      <c r="BS74" s="244"/>
      <c r="BT74" s="244"/>
      <c r="BU74" s="244"/>
      <c r="BV74" s="244"/>
      <c r="BW74" s="244"/>
      <c r="BX74" s="244"/>
      <c r="BY74" s="244"/>
      <c r="BZ74" s="244"/>
      <c r="CA74" s="244"/>
      <c r="CB74" s="244"/>
      <c r="CC74" s="244"/>
      <c r="CD74" s="244"/>
      <c r="CE74" s="244"/>
      <c r="CF74" s="244"/>
      <c r="CG74" s="244"/>
      <c r="CH74" s="244"/>
      <c r="CI74" s="244"/>
      <c r="CJ74" s="244"/>
      <c r="CK74" s="244"/>
      <c r="CL74" s="244"/>
      <c r="CM74" s="244"/>
      <c r="CN74" s="244"/>
      <c r="CO74" s="244"/>
      <c r="CP74" s="244"/>
      <c r="CQ74" s="244"/>
      <c r="CR74" s="244"/>
      <c r="CS74" s="244"/>
      <c r="CT74" s="244"/>
      <c r="CU74" s="244"/>
      <c r="CV74" s="244"/>
      <c r="CW74" s="244"/>
      <c r="CX74" s="244"/>
      <c r="CY74" s="244"/>
      <c r="CZ74" s="244"/>
      <c r="DA74" s="244"/>
      <c r="DB74" s="244"/>
      <c r="DC74" s="244"/>
      <c r="DD74" s="244"/>
      <c r="DE74" s="244"/>
      <c r="DF74" s="244"/>
      <c r="DG74" s="244"/>
      <c r="DH74" s="244"/>
      <c r="DI74" s="244"/>
      <c r="DJ74" s="244"/>
      <c r="DK74" s="244"/>
      <c r="DL74" s="244"/>
      <c r="DM74" s="244">
        <v>42033.500694444403</v>
      </c>
      <c r="DN74" s="244">
        <v>42026</v>
      </c>
      <c r="DO74" s="244">
        <v>42026.427777777797</v>
      </c>
      <c r="DP74" s="244">
        <v>42119.309027777803</v>
      </c>
      <c r="DQ74" s="244">
        <v>42033.313888888901</v>
      </c>
      <c r="DR74" s="244"/>
      <c r="DS74" s="244">
        <v>42034.477083333302</v>
      </c>
      <c r="DT74" s="244">
        <v>42030</v>
      </c>
      <c r="DU74" s="244"/>
      <c r="DV74" s="244"/>
      <c r="DW74" s="244"/>
      <c r="DX74" s="244">
        <v>42123.336805555598</v>
      </c>
      <c r="DY74" s="244"/>
      <c r="DZ74" s="244"/>
      <c r="EA74" s="244"/>
      <c r="EB74" s="244"/>
      <c r="EC74" s="244"/>
      <c r="ED74" s="244"/>
      <c r="EE74" s="244"/>
      <c r="EF74" s="244"/>
      <c r="EG74" s="244"/>
      <c r="EH74" s="244"/>
      <c r="EI74" s="244"/>
      <c r="EJ74" s="244"/>
      <c r="EK74" s="244"/>
      <c r="EL74" s="244"/>
      <c r="EM74" s="244"/>
      <c r="EN74" s="244"/>
      <c r="EO74" s="244"/>
      <c r="EP74" s="244"/>
      <c r="EQ74" s="244"/>
      <c r="ER74" s="244"/>
      <c r="ES74" s="244"/>
      <c r="ET74" s="244"/>
      <c r="EU74" s="244"/>
      <c r="EV74" s="244">
        <v>42123.336805555598</v>
      </c>
    </row>
    <row r="75" spans="1:152">
      <c r="A75" s="270" t="s">
        <v>173</v>
      </c>
      <c r="B75" s="244"/>
      <c r="C75" s="244"/>
      <c r="D75" s="244"/>
      <c r="E75" s="244"/>
      <c r="F75" s="244"/>
      <c r="G75" s="244"/>
      <c r="H75" s="244"/>
      <c r="I75" s="244"/>
      <c r="J75" s="244"/>
      <c r="K75" s="244"/>
      <c r="L75" s="244"/>
      <c r="M75" s="244"/>
      <c r="N75" s="244"/>
      <c r="O75" s="244"/>
      <c r="P75" s="244"/>
      <c r="Q75" s="244"/>
      <c r="R75" s="244"/>
      <c r="S75" s="244"/>
      <c r="T75" s="244"/>
      <c r="U75" s="244"/>
      <c r="V75" s="244"/>
      <c r="W75" s="244"/>
      <c r="X75" s="244"/>
      <c r="Y75" s="244"/>
      <c r="Z75" s="244"/>
      <c r="AA75" s="244"/>
      <c r="AB75" s="244"/>
      <c r="AC75" s="244"/>
      <c r="AD75" s="244"/>
      <c r="AE75" s="244"/>
      <c r="AF75" s="244"/>
      <c r="AG75" s="244"/>
      <c r="AH75" s="244"/>
      <c r="AI75" s="244"/>
      <c r="AJ75" s="244"/>
      <c r="AK75" s="244"/>
      <c r="AL75" s="244"/>
      <c r="AM75" s="244"/>
      <c r="AN75" s="244"/>
      <c r="AO75" s="244"/>
      <c r="AP75" s="244"/>
      <c r="AQ75" s="244"/>
      <c r="AR75" s="244"/>
      <c r="AS75" s="244"/>
      <c r="AT75" s="244"/>
      <c r="AU75" s="244"/>
      <c r="AV75" s="244"/>
      <c r="AW75" s="244"/>
      <c r="AX75" s="244"/>
      <c r="AY75" s="244"/>
      <c r="AZ75" s="244"/>
      <c r="BA75" s="244"/>
      <c r="BB75" s="244"/>
      <c r="BC75" s="244"/>
      <c r="BD75" s="244"/>
      <c r="BE75" s="244"/>
      <c r="BF75" s="244"/>
      <c r="BG75" s="244"/>
      <c r="BH75" s="244"/>
      <c r="BI75" s="244"/>
      <c r="BJ75" s="244"/>
      <c r="BK75" s="244"/>
      <c r="BL75" s="244"/>
      <c r="BM75" s="244"/>
      <c r="BN75" s="244"/>
      <c r="BO75" s="244"/>
      <c r="BP75" s="244"/>
      <c r="BQ75" s="244"/>
      <c r="BR75" s="244"/>
      <c r="BS75" s="244"/>
      <c r="BT75" s="244"/>
      <c r="BU75" s="244"/>
      <c r="BV75" s="244"/>
      <c r="BW75" s="244"/>
      <c r="BX75" s="244"/>
      <c r="BY75" s="244"/>
      <c r="BZ75" s="244"/>
      <c r="CA75" s="244"/>
      <c r="CB75" s="244"/>
      <c r="CC75" s="244"/>
      <c r="CD75" s="244"/>
      <c r="CE75" s="244"/>
      <c r="CF75" s="244"/>
      <c r="CG75" s="244"/>
      <c r="CH75" s="244"/>
      <c r="CI75" s="244"/>
      <c r="CJ75" s="244"/>
      <c r="CK75" s="244"/>
      <c r="CL75" s="244"/>
      <c r="CM75" s="244"/>
      <c r="CN75" s="244"/>
      <c r="CO75" s="244"/>
      <c r="CP75" s="244"/>
      <c r="CQ75" s="244"/>
      <c r="CR75" s="244"/>
      <c r="CS75" s="244"/>
      <c r="CT75" s="244"/>
      <c r="CU75" s="244"/>
      <c r="CV75" s="244"/>
      <c r="CW75" s="244"/>
      <c r="CX75" s="244"/>
      <c r="CY75" s="244"/>
      <c r="CZ75" s="244"/>
      <c r="DA75" s="244"/>
      <c r="DB75" s="244"/>
      <c r="DC75" s="244"/>
      <c r="DD75" s="244"/>
      <c r="DE75" s="244"/>
      <c r="DF75" s="244"/>
      <c r="DG75" s="244"/>
      <c r="DH75" s="244"/>
      <c r="DI75" s="244"/>
      <c r="DJ75" s="244"/>
      <c r="DK75" s="244"/>
      <c r="DL75" s="244"/>
      <c r="DM75" s="244"/>
      <c r="DN75" s="244"/>
      <c r="DO75" s="244"/>
      <c r="DP75" s="244"/>
      <c r="DQ75" s="244"/>
      <c r="DR75" s="244"/>
      <c r="DS75" s="244"/>
      <c r="DT75" s="244"/>
      <c r="DU75" s="244"/>
      <c r="DV75" s="244"/>
      <c r="DW75" s="244">
        <v>42095.688888888901</v>
      </c>
      <c r="DX75" s="244"/>
      <c r="DY75" s="244"/>
      <c r="DZ75" s="244"/>
      <c r="EA75" s="244"/>
      <c r="EB75" s="244">
        <v>42089.460416666698</v>
      </c>
      <c r="EC75" s="244">
        <v>42102.806944444397</v>
      </c>
      <c r="ED75" s="244">
        <v>42026</v>
      </c>
      <c r="EE75" s="244">
        <v>42026</v>
      </c>
      <c r="EF75" s="244">
        <v>42026</v>
      </c>
      <c r="EG75" s="244">
        <v>42026</v>
      </c>
      <c r="EH75" s="244">
        <v>42026</v>
      </c>
      <c r="EI75" s="244"/>
      <c r="EJ75" s="244"/>
      <c r="EK75" s="244"/>
      <c r="EL75" s="244"/>
      <c r="EM75" s="244">
        <v>41426</v>
      </c>
      <c r="EN75" s="244">
        <v>41426</v>
      </c>
      <c r="EO75" s="244">
        <v>41426</v>
      </c>
      <c r="EP75" s="244">
        <v>41426</v>
      </c>
      <c r="EQ75" s="244"/>
      <c r="ER75" s="244"/>
      <c r="ES75" s="244"/>
      <c r="ET75" s="244"/>
      <c r="EU75" s="244"/>
      <c r="EV75" s="244">
        <v>42102.806944444397</v>
      </c>
    </row>
    <row r="76" spans="1:152">
      <c r="A76" s="269" t="s">
        <v>157</v>
      </c>
      <c r="B76" s="244"/>
      <c r="C76" s="244">
        <v>42111</v>
      </c>
      <c r="D76" s="244"/>
      <c r="E76" s="244">
        <v>42111</v>
      </c>
      <c r="F76" s="244">
        <v>42108.479166666701</v>
      </c>
      <c r="G76" s="244"/>
      <c r="H76" s="244">
        <v>42108.479861111096</v>
      </c>
      <c r="I76" s="244"/>
      <c r="J76" s="244"/>
      <c r="K76" s="244">
        <v>42068.673611111102</v>
      </c>
      <c r="L76" s="244">
        <v>42068.673611111102</v>
      </c>
      <c r="M76" s="244">
        <v>42068.673611111102</v>
      </c>
      <c r="N76" s="244"/>
      <c r="O76" s="244">
        <v>42081</v>
      </c>
      <c r="P76" s="244">
        <v>42108.4909722222</v>
      </c>
      <c r="Q76" s="244">
        <v>42048</v>
      </c>
      <c r="R76" s="244">
        <v>42094.949305555601</v>
      </c>
      <c r="S76" s="244">
        <v>42080.431944444397</v>
      </c>
      <c r="T76" s="244"/>
      <c r="U76" s="244"/>
      <c r="V76" s="244">
        <v>41949.501388888901</v>
      </c>
      <c r="W76" s="244"/>
      <c r="X76" s="244">
        <v>41912.315972222197</v>
      </c>
      <c r="Y76" s="244"/>
      <c r="Z76" s="244"/>
      <c r="AA76" s="244">
        <v>42096.318749999999</v>
      </c>
      <c r="AB76" s="244"/>
      <c r="AC76" s="244">
        <v>42072</v>
      </c>
      <c r="AD76" s="244"/>
      <c r="AE76" s="244"/>
      <c r="AF76" s="244"/>
      <c r="AG76" s="244">
        <v>40803</v>
      </c>
      <c r="AH76" s="244">
        <v>41825.3125</v>
      </c>
      <c r="AI76" s="244"/>
      <c r="AJ76" s="244"/>
      <c r="AK76" s="244">
        <v>41575</v>
      </c>
      <c r="AL76" s="244">
        <v>41940</v>
      </c>
      <c r="AM76" s="244">
        <v>41990.432638888902</v>
      </c>
      <c r="AN76" s="244"/>
      <c r="AO76" s="244"/>
      <c r="AP76" s="244">
        <v>41999</v>
      </c>
      <c r="AQ76" s="244">
        <v>41999</v>
      </c>
      <c r="AR76" s="244"/>
      <c r="AS76" s="244"/>
      <c r="AT76" s="244"/>
      <c r="AU76" s="244"/>
      <c r="AV76" s="244"/>
      <c r="AW76" s="244"/>
      <c r="AX76" s="244"/>
      <c r="AY76" s="244"/>
      <c r="AZ76" s="244"/>
      <c r="BA76" s="244"/>
      <c r="BB76" s="244"/>
      <c r="BC76" s="244"/>
      <c r="BD76" s="244">
        <v>42058.469444444403</v>
      </c>
      <c r="BE76" s="244">
        <v>42093</v>
      </c>
      <c r="BF76" s="244">
        <v>41764.504166666702</v>
      </c>
      <c r="BG76" s="244">
        <v>41729</v>
      </c>
      <c r="BH76" s="244">
        <v>41730</v>
      </c>
      <c r="BI76" s="244">
        <v>41729.313888888901</v>
      </c>
      <c r="BJ76" s="244">
        <v>41729.313888888901</v>
      </c>
      <c r="BK76" s="244">
        <v>41973</v>
      </c>
      <c r="BL76" s="244">
        <v>41729.314583333296</v>
      </c>
      <c r="BM76" s="244">
        <v>41729</v>
      </c>
      <c r="BN76" s="244">
        <v>42097.297916666699</v>
      </c>
      <c r="BO76" s="244">
        <v>42094</v>
      </c>
      <c r="BP76" s="244">
        <v>42094</v>
      </c>
      <c r="BQ76" s="244"/>
      <c r="BR76" s="244">
        <v>41901</v>
      </c>
      <c r="BS76" s="244">
        <v>41733</v>
      </c>
      <c r="BT76" s="244">
        <v>41758</v>
      </c>
      <c r="BU76" s="244">
        <v>41758</v>
      </c>
      <c r="BV76" s="244">
        <v>41758</v>
      </c>
      <c r="BW76" s="244">
        <v>41758</v>
      </c>
      <c r="BX76" s="244">
        <v>41758</v>
      </c>
      <c r="BY76" s="244">
        <v>41758</v>
      </c>
      <c r="BZ76" s="244">
        <v>41758</v>
      </c>
      <c r="CA76" s="244">
        <v>41758</v>
      </c>
      <c r="CB76" s="244">
        <v>40148</v>
      </c>
      <c r="CC76" s="244">
        <v>40148</v>
      </c>
      <c r="CD76" s="244">
        <v>40148</v>
      </c>
      <c r="CE76" s="244">
        <v>40148</v>
      </c>
      <c r="CF76" s="244">
        <v>40269</v>
      </c>
      <c r="CG76" s="244">
        <v>40756</v>
      </c>
      <c r="CH76" s="244">
        <v>40269</v>
      </c>
      <c r="CI76" s="244">
        <v>39840</v>
      </c>
      <c r="CJ76" s="244">
        <v>39995</v>
      </c>
      <c r="CK76" s="244">
        <v>41183</v>
      </c>
      <c r="CL76" s="244">
        <v>39692</v>
      </c>
      <c r="CM76" s="244">
        <v>39692</v>
      </c>
      <c r="CN76" s="244">
        <v>40238</v>
      </c>
      <c r="CO76" s="244">
        <v>40238</v>
      </c>
      <c r="CP76" s="244">
        <v>41275</v>
      </c>
      <c r="CQ76" s="244">
        <v>41275</v>
      </c>
      <c r="CR76" s="244">
        <v>41275</v>
      </c>
      <c r="CS76" s="244">
        <v>40057</v>
      </c>
      <c r="CT76" s="244">
        <v>39295</v>
      </c>
      <c r="CU76" s="244">
        <v>40057</v>
      </c>
      <c r="CV76" s="244">
        <v>38808</v>
      </c>
      <c r="CW76" s="244"/>
      <c r="CX76" s="244"/>
      <c r="CY76" s="244"/>
      <c r="CZ76" s="244"/>
      <c r="DA76" s="244"/>
      <c r="DB76" s="244">
        <v>41729</v>
      </c>
      <c r="DC76" s="244">
        <v>40057</v>
      </c>
      <c r="DD76" s="244">
        <v>40057</v>
      </c>
      <c r="DE76" s="244">
        <v>41575</v>
      </c>
      <c r="DF76" s="244"/>
      <c r="DG76" s="244">
        <v>42111.357638888898</v>
      </c>
      <c r="DH76" s="244">
        <v>42111.348611111098</v>
      </c>
      <c r="DI76" s="244">
        <v>42111.350694444402</v>
      </c>
      <c r="DJ76" s="244">
        <v>42111.349305555603</v>
      </c>
      <c r="DK76" s="244"/>
      <c r="DL76" s="244"/>
      <c r="DM76" s="244"/>
      <c r="DN76" s="244"/>
      <c r="DO76" s="244"/>
      <c r="DP76" s="244">
        <v>42079.574305555601</v>
      </c>
      <c r="DQ76" s="244">
        <v>42089.313888888901</v>
      </c>
      <c r="DR76" s="244"/>
      <c r="DS76" s="244">
        <v>42089</v>
      </c>
      <c r="DT76" s="244">
        <v>42093</v>
      </c>
      <c r="DU76" s="244"/>
      <c r="DV76" s="244"/>
      <c r="DW76" s="244">
        <v>42096.350694444402</v>
      </c>
      <c r="DX76" s="244"/>
      <c r="DY76" s="244">
        <v>41949.504861111098</v>
      </c>
      <c r="DZ76" s="244">
        <v>41758</v>
      </c>
      <c r="EA76" s="244"/>
      <c r="EB76" s="244">
        <v>42094.931944444397</v>
      </c>
      <c r="EC76" s="244">
        <v>42105.461805555598</v>
      </c>
      <c r="ED76" s="244">
        <v>42068.680555555598</v>
      </c>
      <c r="EE76" s="244">
        <v>42105.463194444397</v>
      </c>
      <c r="EF76" s="244">
        <v>42105.463888888902</v>
      </c>
      <c r="EG76" s="244">
        <v>42094</v>
      </c>
      <c r="EH76" s="244"/>
      <c r="EI76" s="244"/>
      <c r="EJ76" s="244"/>
      <c r="EK76" s="244"/>
      <c r="EL76" s="244"/>
      <c r="EM76" s="244"/>
      <c r="EN76" s="244"/>
      <c r="EO76" s="244"/>
      <c r="EP76" s="244"/>
      <c r="EQ76" s="244"/>
      <c r="ER76" s="244"/>
      <c r="ES76" s="244"/>
      <c r="ET76" s="244"/>
      <c r="EU76" s="244"/>
      <c r="EV76" s="244">
        <v>42111.357638888898</v>
      </c>
    </row>
    <row r="77" spans="1:152">
      <c r="A77" s="270" t="s">
        <v>87</v>
      </c>
      <c r="B77" s="244"/>
      <c r="C77" s="244">
        <v>42111</v>
      </c>
      <c r="D77" s="244"/>
      <c r="E77" s="244">
        <v>42111</v>
      </c>
      <c r="F77" s="244">
        <v>42108.479166666701</v>
      </c>
      <c r="G77" s="244"/>
      <c r="H77" s="244">
        <v>42108.479861111096</v>
      </c>
      <c r="I77" s="244"/>
      <c r="J77" s="244"/>
      <c r="K77" s="244">
        <v>42068.673611111102</v>
      </c>
      <c r="L77" s="244">
        <v>42068.673611111102</v>
      </c>
      <c r="M77" s="244">
        <v>42068.673611111102</v>
      </c>
      <c r="N77" s="244"/>
      <c r="O77" s="244"/>
      <c r="P77" s="244">
        <v>42108.4909722222</v>
      </c>
      <c r="Q77" s="244">
        <v>42048</v>
      </c>
      <c r="R77" s="244">
        <v>42094.949305555601</v>
      </c>
      <c r="S77" s="244">
        <v>42080.431944444397</v>
      </c>
      <c r="T77" s="244"/>
      <c r="U77" s="244"/>
      <c r="V77" s="244"/>
      <c r="W77" s="244"/>
      <c r="X77" s="244"/>
      <c r="Y77" s="244"/>
      <c r="Z77" s="244"/>
      <c r="AA77" s="244">
        <v>42096.318749999999</v>
      </c>
      <c r="AB77" s="244"/>
      <c r="AC77" s="244">
        <v>42072</v>
      </c>
      <c r="AD77" s="244"/>
      <c r="AE77" s="244"/>
      <c r="AF77" s="244"/>
      <c r="AG77" s="244"/>
      <c r="AH77" s="244">
        <v>41825.3125</v>
      </c>
      <c r="AI77" s="244"/>
      <c r="AJ77" s="244"/>
      <c r="AK77" s="244"/>
      <c r="AL77" s="244"/>
      <c r="AM77" s="244"/>
      <c r="AN77" s="244"/>
      <c r="AO77" s="244"/>
      <c r="AP77" s="244">
        <v>41999</v>
      </c>
      <c r="AQ77" s="244">
        <v>41999</v>
      </c>
      <c r="AR77" s="244"/>
      <c r="AS77" s="244"/>
      <c r="AT77" s="244"/>
      <c r="AU77" s="244"/>
      <c r="AV77" s="244"/>
      <c r="AW77" s="244"/>
      <c r="AX77" s="244"/>
      <c r="AY77" s="244"/>
      <c r="AZ77" s="244"/>
      <c r="BA77" s="244"/>
      <c r="BB77" s="244"/>
      <c r="BC77" s="244"/>
      <c r="BD77" s="244">
        <v>42058.469444444403</v>
      </c>
      <c r="BE77" s="244">
        <v>42093</v>
      </c>
      <c r="BF77" s="244">
        <v>41764.504166666702</v>
      </c>
      <c r="BG77" s="244">
        <v>41729</v>
      </c>
      <c r="BH77" s="244">
        <v>41730</v>
      </c>
      <c r="BI77" s="244">
        <v>41729.313888888901</v>
      </c>
      <c r="BJ77" s="244">
        <v>41729.313888888901</v>
      </c>
      <c r="BK77" s="244">
        <v>41973</v>
      </c>
      <c r="BL77" s="244">
        <v>41729.314583333296</v>
      </c>
      <c r="BM77" s="244">
        <v>41729</v>
      </c>
      <c r="BN77" s="244">
        <v>42097.297916666699</v>
      </c>
      <c r="BO77" s="244">
        <v>42094</v>
      </c>
      <c r="BP77" s="244">
        <v>42094</v>
      </c>
      <c r="BQ77" s="244"/>
      <c r="BR77" s="244">
        <v>41901</v>
      </c>
      <c r="BS77" s="244">
        <v>41733</v>
      </c>
      <c r="BT77" s="244">
        <v>41758</v>
      </c>
      <c r="BU77" s="244">
        <v>41758</v>
      </c>
      <c r="BV77" s="244">
        <v>41758</v>
      </c>
      <c r="BW77" s="244">
        <v>41758</v>
      </c>
      <c r="BX77" s="244">
        <v>41758</v>
      </c>
      <c r="BY77" s="244">
        <v>41758</v>
      </c>
      <c r="BZ77" s="244">
        <v>41758</v>
      </c>
      <c r="CA77" s="244">
        <v>41758</v>
      </c>
      <c r="CB77" s="244">
        <v>40148</v>
      </c>
      <c r="CC77" s="244">
        <v>40148</v>
      </c>
      <c r="CD77" s="244">
        <v>40148</v>
      </c>
      <c r="CE77" s="244">
        <v>40148</v>
      </c>
      <c r="CF77" s="244">
        <v>40269</v>
      </c>
      <c r="CG77" s="244">
        <v>40756</v>
      </c>
      <c r="CH77" s="244">
        <v>40269</v>
      </c>
      <c r="CI77" s="244">
        <v>39840</v>
      </c>
      <c r="CJ77" s="244">
        <v>39995</v>
      </c>
      <c r="CK77" s="244">
        <v>41183</v>
      </c>
      <c r="CL77" s="244">
        <v>39692</v>
      </c>
      <c r="CM77" s="244">
        <v>39692</v>
      </c>
      <c r="CN77" s="244">
        <v>40238</v>
      </c>
      <c r="CO77" s="244">
        <v>40238</v>
      </c>
      <c r="CP77" s="244">
        <v>41275</v>
      </c>
      <c r="CQ77" s="244">
        <v>41275</v>
      </c>
      <c r="CR77" s="244">
        <v>41275</v>
      </c>
      <c r="CS77" s="244">
        <v>40057</v>
      </c>
      <c r="CT77" s="244">
        <v>39295</v>
      </c>
      <c r="CU77" s="244">
        <v>40057</v>
      </c>
      <c r="CV77" s="244">
        <v>38808</v>
      </c>
      <c r="CW77" s="244"/>
      <c r="CX77" s="244"/>
      <c r="CY77" s="244"/>
      <c r="CZ77" s="244"/>
      <c r="DA77" s="244"/>
      <c r="DB77" s="244">
        <v>41729</v>
      </c>
      <c r="DC77" s="244">
        <v>40057</v>
      </c>
      <c r="DD77" s="244">
        <v>40057</v>
      </c>
      <c r="DE77" s="244">
        <v>41575</v>
      </c>
      <c r="DF77" s="244"/>
      <c r="DG77" s="244">
        <v>42111.357638888898</v>
      </c>
      <c r="DH77" s="244">
        <v>42111.348611111098</v>
      </c>
      <c r="DI77" s="244">
        <v>42111.350694444402</v>
      </c>
      <c r="DJ77" s="244">
        <v>42111.349305555603</v>
      </c>
      <c r="DK77" s="244"/>
      <c r="DL77" s="244"/>
      <c r="DM77" s="244"/>
      <c r="DN77" s="244"/>
      <c r="DO77" s="244"/>
      <c r="DP77" s="244"/>
      <c r="DQ77" s="244"/>
      <c r="DR77" s="244"/>
      <c r="DS77" s="244"/>
      <c r="DT77" s="244"/>
      <c r="DU77" s="244"/>
      <c r="DV77" s="244"/>
      <c r="DW77" s="244"/>
      <c r="DX77" s="244"/>
      <c r="DY77" s="244"/>
      <c r="DZ77" s="244"/>
      <c r="EA77" s="244"/>
      <c r="EB77" s="244"/>
      <c r="EC77" s="244"/>
      <c r="ED77" s="244"/>
      <c r="EE77" s="244"/>
      <c r="EF77" s="244"/>
      <c r="EG77" s="244"/>
      <c r="EH77" s="244"/>
      <c r="EI77" s="244"/>
      <c r="EJ77" s="244"/>
      <c r="EK77" s="244"/>
      <c r="EL77" s="244"/>
      <c r="EM77" s="244"/>
      <c r="EN77" s="244"/>
      <c r="EO77" s="244"/>
      <c r="EP77" s="244"/>
      <c r="EQ77" s="244"/>
      <c r="ER77" s="244"/>
      <c r="ES77" s="244"/>
      <c r="ET77" s="244"/>
      <c r="EU77" s="244"/>
      <c r="EV77" s="244">
        <v>42111.357638888898</v>
      </c>
    </row>
    <row r="78" spans="1:152">
      <c r="A78" s="270" t="s">
        <v>172</v>
      </c>
      <c r="B78" s="244"/>
      <c r="C78" s="244"/>
      <c r="D78" s="244"/>
      <c r="E78" s="244">
        <v>42062.616666666698</v>
      </c>
      <c r="F78" s="244"/>
      <c r="G78" s="244"/>
      <c r="H78" s="244"/>
      <c r="I78" s="244"/>
      <c r="J78" s="244"/>
      <c r="K78" s="244"/>
      <c r="L78" s="244"/>
      <c r="M78" s="244"/>
      <c r="N78" s="244"/>
      <c r="O78" s="244">
        <v>42081</v>
      </c>
      <c r="P78" s="244"/>
      <c r="Q78" s="244"/>
      <c r="R78" s="244"/>
      <c r="S78" s="244"/>
      <c r="T78" s="244"/>
      <c r="U78" s="244"/>
      <c r="V78" s="244">
        <v>41949.501388888901</v>
      </c>
      <c r="W78" s="244"/>
      <c r="X78" s="244">
        <v>41912.315972222197</v>
      </c>
      <c r="Y78" s="244"/>
      <c r="Z78" s="244"/>
      <c r="AA78" s="244"/>
      <c r="AB78" s="244"/>
      <c r="AC78" s="244"/>
      <c r="AD78" s="244"/>
      <c r="AE78" s="244"/>
      <c r="AF78" s="244"/>
      <c r="AG78" s="244">
        <v>40803</v>
      </c>
      <c r="AH78" s="244"/>
      <c r="AI78" s="244"/>
      <c r="AJ78" s="244"/>
      <c r="AK78" s="244">
        <v>41575</v>
      </c>
      <c r="AL78" s="244">
        <v>41940</v>
      </c>
      <c r="AM78" s="244">
        <v>41990.432638888902</v>
      </c>
      <c r="AN78" s="244"/>
      <c r="AO78" s="244"/>
      <c r="AP78" s="244"/>
      <c r="AQ78" s="244"/>
      <c r="AR78" s="244"/>
      <c r="AS78" s="244"/>
      <c r="AT78" s="244"/>
      <c r="AU78" s="244"/>
      <c r="AV78" s="244"/>
      <c r="AW78" s="244"/>
      <c r="AX78" s="244"/>
      <c r="AY78" s="244"/>
      <c r="AZ78" s="244"/>
      <c r="BA78" s="244"/>
      <c r="BB78" s="244"/>
      <c r="BC78" s="244"/>
      <c r="BD78" s="244"/>
      <c r="BE78" s="244"/>
      <c r="BF78" s="244"/>
      <c r="BG78" s="244"/>
      <c r="BH78" s="244"/>
      <c r="BI78" s="244"/>
      <c r="BJ78" s="244"/>
      <c r="BK78" s="244"/>
      <c r="BL78" s="244"/>
      <c r="BM78" s="244"/>
      <c r="BN78" s="244"/>
      <c r="BO78" s="244"/>
      <c r="BP78" s="244"/>
      <c r="BQ78" s="244"/>
      <c r="BR78" s="244"/>
      <c r="BS78" s="244"/>
      <c r="BT78" s="244"/>
      <c r="BU78" s="244"/>
      <c r="BV78" s="244"/>
      <c r="BW78" s="244"/>
      <c r="BX78" s="244"/>
      <c r="BY78" s="244"/>
      <c r="BZ78" s="244"/>
      <c r="CA78" s="244"/>
      <c r="CB78" s="244"/>
      <c r="CC78" s="244"/>
      <c r="CD78" s="244"/>
      <c r="CE78" s="244"/>
      <c r="CF78" s="244"/>
      <c r="CG78" s="244"/>
      <c r="CH78" s="244"/>
      <c r="CI78" s="244"/>
      <c r="CJ78" s="244"/>
      <c r="CK78" s="244"/>
      <c r="CL78" s="244"/>
      <c r="CM78" s="244"/>
      <c r="CN78" s="244"/>
      <c r="CO78" s="244"/>
      <c r="CP78" s="244"/>
      <c r="CQ78" s="244"/>
      <c r="CR78" s="244"/>
      <c r="CS78" s="244"/>
      <c r="CT78" s="244"/>
      <c r="CU78" s="244"/>
      <c r="CV78" s="244"/>
      <c r="CW78" s="244"/>
      <c r="CX78" s="244"/>
      <c r="CY78" s="244"/>
      <c r="CZ78" s="244"/>
      <c r="DA78" s="244"/>
      <c r="DB78" s="244"/>
      <c r="DC78" s="244"/>
      <c r="DD78" s="244"/>
      <c r="DE78" s="244"/>
      <c r="DF78" s="244"/>
      <c r="DG78" s="244"/>
      <c r="DH78" s="244"/>
      <c r="DI78" s="244"/>
      <c r="DJ78" s="244"/>
      <c r="DK78" s="244"/>
      <c r="DL78" s="244"/>
      <c r="DM78" s="244"/>
      <c r="DN78" s="244"/>
      <c r="DO78" s="244"/>
      <c r="DP78" s="244">
        <v>42079.574305555601</v>
      </c>
      <c r="DQ78" s="244">
        <v>42089.313888888901</v>
      </c>
      <c r="DR78" s="244"/>
      <c r="DS78" s="244">
        <v>42089</v>
      </c>
      <c r="DT78" s="244">
        <v>42093</v>
      </c>
      <c r="DU78" s="244"/>
      <c r="DV78" s="244"/>
      <c r="DW78" s="244"/>
      <c r="DX78" s="244"/>
      <c r="DY78" s="244">
        <v>41949.504861111098</v>
      </c>
      <c r="DZ78" s="244">
        <v>41758</v>
      </c>
      <c r="EA78" s="244"/>
      <c r="EB78" s="244"/>
      <c r="EC78" s="244"/>
      <c r="ED78" s="244"/>
      <c r="EE78" s="244"/>
      <c r="EF78" s="244"/>
      <c r="EG78" s="244"/>
      <c r="EH78" s="244"/>
      <c r="EI78" s="244"/>
      <c r="EJ78" s="244"/>
      <c r="EK78" s="244"/>
      <c r="EL78" s="244"/>
      <c r="EM78" s="244"/>
      <c r="EN78" s="244"/>
      <c r="EO78" s="244"/>
      <c r="EP78" s="244"/>
      <c r="EQ78" s="244"/>
      <c r="ER78" s="244"/>
      <c r="ES78" s="244"/>
      <c r="ET78" s="244"/>
      <c r="EU78" s="244"/>
      <c r="EV78" s="244">
        <v>42093</v>
      </c>
    </row>
    <row r="79" spans="1:152">
      <c r="A79" s="270" t="s">
        <v>173</v>
      </c>
      <c r="B79" s="244"/>
      <c r="C79" s="244"/>
      <c r="D79" s="244"/>
      <c r="E79" s="244"/>
      <c r="F79" s="244"/>
      <c r="G79" s="244"/>
      <c r="H79" s="244"/>
      <c r="I79" s="244"/>
      <c r="J79" s="244"/>
      <c r="K79" s="244"/>
      <c r="L79" s="244"/>
      <c r="M79" s="244"/>
      <c r="N79" s="244"/>
      <c r="O79" s="244"/>
      <c r="P79" s="244"/>
      <c r="Q79" s="244"/>
      <c r="R79" s="244"/>
      <c r="S79" s="244"/>
      <c r="T79" s="244"/>
      <c r="U79" s="244"/>
      <c r="V79" s="244"/>
      <c r="W79" s="244"/>
      <c r="X79" s="244"/>
      <c r="Y79" s="244"/>
      <c r="Z79" s="244"/>
      <c r="AA79" s="244"/>
      <c r="AB79" s="244"/>
      <c r="AC79" s="244"/>
      <c r="AD79" s="244"/>
      <c r="AE79" s="244"/>
      <c r="AF79" s="244"/>
      <c r="AG79" s="244"/>
      <c r="AH79" s="244"/>
      <c r="AI79" s="244"/>
      <c r="AJ79" s="244"/>
      <c r="AK79" s="244"/>
      <c r="AL79" s="244"/>
      <c r="AM79" s="244"/>
      <c r="AN79" s="244"/>
      <c r="AO79" s="244"/>
      <c r="AP79" s="244"/>
      <c r="AQ79" s="244"/>
      <c r="AR79" s="244"/>
      <c r="AS79" s="244"/>
      <c r="AT79" s="244"/>
      <c r="AU79" s="244"/>
      <c r="AV79" s="244"/>
      <c r="AW79" s="244"/>
      <c r="AX79" s="244"/>
      <c r="AY79" s="244"/>
      <c r="AZ79" s="244"/>
      <c r="BA79" s="244"/>
      <c r="BB79" s="244"/>
      <c r="BC79" s="244"/>
      <c r="BD79" s="244"/>
      <c r="BE79" s="244"/>
      <c r="BF79" s="244"/>
      <c r="BG79" s="244"/>
      <c r="BH79" s="244"/>
      <c r="BI79" s="244"/>
      <c r="BJ79" s="244"/>
      <c r="BK79" s="244"/>
      <c r="BL79" s="244"/>
      <c r="BM79" s="244"/>
      <c r="BN79" s="244"/>
      <c r="BO79" s="244"/>
      <c r="BP79" s="244"/>
      <c r="BQ79" s="244"/>
      <c r="BR79" s="244"/>
      <c r="BS79" s="244"/>
      <c r="BT79" s="244"/>
      <c r="BU79" s="244"/>
      <c r="BV79" s="244"/>
      <c r="BW79" s="244"/>
      <c r="BX79" s="244"/>
      <c r="BY79" s="244"/>
      <c r="BZ79" s="244"/>
      <c r="CA79" s="244"/>
      <c r="CB79" s="244"/>
      <c r="CC79" s="244"/>
      <c r="CD79" s="244"/>
      <c r="CE79" s="244"/>
      <c r="CF79" s="244"/>
      <c r="CG79" s="244"/>
      <c r="CH79" s="244"/>
      <c r="CI79" s="244"/>
      <c r="CJ79" s="244"/>
      <c r="CK79" s="244"/>
      <c r="CL79" s="244"/>
      <c r="CM79" s="244"/>
      <c r="CN79" s="244"/>
      <c r="CO79" s="244"/>
      <c r="CP79" s="244"/>
      <c r="CQ79" s="244"/>
      <c r="CR79" s="244"/>
      <c r="CS79" s="244"/>
      <c r="CT79" s="244"/>
      <c r="CU79" s="244"/>
      <c r="CV79" s="244"/>
      <c r="CW79" s="244"/>
      <c r="CX79" s="244"/>
      <c r="CY79" s="244"/>
      <c r="CZ79" s="244"/>
      <c r="DA79" s="244"/>
      <c r="DB79" s="244"/>
      <c r="DC79" s="244"/>
      <c r="DD79" s="244"/>
      <c r="DE79" s="244"/>
      <c r="DF79" s="244"/>
      <c r="DG79" s="244"/>
      <c r="DH79" s="244"/>
      <c r="DI79" s="244"/>
      <c r="DJ79" s="244"/>
      <c r="DK79" s="244"/>
      <c r="DL79" s="244"/>
      <c r="DM79" s="244"/>
      <c r="DN79" s="244"/>
      <c r="DO79" s="244"/>
      <c r="DP79" s="244"/>
      <c r="DQ79" s="244"/>
      <c r="DR79" s="244"/>
      <c r="DS79" s="244"/>
      <c r="DT79" s="244"/>
      <c r="DU79" s="244"/>
      <c r="DV79" s="244"/>
      <c r="DW79" s="244">
        <v>42096.350694444402</v>
      </c>
      <c r="DX79" s="244"/>
      <c r="DY79" s="244"/>
      <c r="DZ79" s="244"/>
      <c r="EA79" s="244"/>
      <c r="EB79" s="244">
        <v>42094.931944444397</v>
      </c>
      <c r="EC79" s="244">
        <v>42105.461805555598</v>
      </c>
      <c r="ED79" s="244">
        <v>42068.680555555598</v>
      </c>
      <c r="EE79" s="244">
        <v>42105.463194444397</v>
      </c>
      <c r="EF79" s="244">
        <v>42105.463888888902</v>
      </c>
      <c r="EG79" s="244">
        <v>42094</v>
      </c>
      <c r="EH79" s="244"/>
      <c r="EI79" s="244"/>
      <c r="EJ79" s="244"/>
      <c r="EK79" s="244"/>
      <c r="EL79" s="244"/>
      <c r="EM79" s="244"/>
      <c r="EN79" s="244"/>
      <c r="EO79" s="244"/>
      <c r="EP79" s="244"/>
      <c r="EQ79" s="244"/>
      <c r="ER79" s="244"/>
      <c r="ES79" s="244"/>
      <c r="ET79" s="244"/>
      <c r="EU79" s="244"/>
      <c r="EV79" s="244">
        <v>42105.463888888902</v>
      </c>
    </row>
    <row r="80" spans="1:152">
      <c r="A80" s="269" t="s">
        <v>169</v>
      </c>
      <c r="B80" s="244"/>
      <c r="C80" s="244"/>
      <c r="D80" s="244"/>
      <c r="E80" s="244">
        <v>42065.620833333298</v>
      </c>
      <c r="F80" s="244">
        <v>42109.7590277778</v>
      </c>
      <c r="G80" s="244"/>
      <c r="H80" s="244">
        <v>42109.760416666701</v>
      </c>
      <c r="I80" s="244"/>
      <c r="J80" s="244"/>
      <c r="K80" s="244">
        <v>42065.672222222202</v>
      </c>
      <c r="L80" s="244">
        <v>42068.533333333296</v>
      </c>
      <c r="M80" s="244"/>
      <c r="N80" s="244"/>
      <c r="O80" s="244"/>
      <c r="P80" s="244">
        <v>42082.5805555556</v>
      </c>
      <c r="Q80" s="244">
        <v>42052.581250000003</v>
      </c>
      <c r="R80" s="244">
        <v>42096.363888888904</v>
      </c>
      <c r="S80" s="244">
        <v>42072.704861111102</v>
      </c>
      <c r="T80" s="244"/>
      <c r="U80" s="244"/>
      <c r="V80" s="244">
        <v>42087.420833333301</v>
      </c>
      <c r="W80" s="244"/>
      <c r="X80" s="244"/>
      <c r="Y80" s="244"/>
      <c r="Z80" s="244"/>
      <c r="AA80" s="244">
        <v>42076.676388888904</v>
      </c>
      <c r="AB80" s="244"/>
      <c r="AC80" s="244">
        <v>42074.498611111099</v>
      </c>
      <c r="AD80" s="244"/>
      <c r="AE80" s="244"/>
      <c r="AF80" s="244"/>
      <c r="AG80" s="244">
        <v>40567</v>
      </c>
      <c r="AH80" s="244">
        <v>41968.642361111102</v>
      </c>
      <c r="AI80" s="244"/>
      <c r="AJ80" s="244"/>
      <c r="AK80" s="244"/>
      <c r="AL80" s="244"/>
      <c r="AM80" s="244"/>
      <c r="AN80" s="244"/>
      <c r="AO80" s="244"/>
      <c r="AP80" s="244">
        <v>41894</v>
      </c>
      <c r="AQ80" s="244">
        <v>41894</v>
      </c>
      <c r="AR80" s="244"/>
      <c r="AS80" s="244"/>
      <c r="AT80" s="244"/>
      <c r="AU80" s="244"/>
      <c r="AV80" s="244"/>
      <c r="AW80" s="244"/>
      <c r="AX80" s="244"/>
      <c r="AY80" s="244"/>
      <c r="AZ80" s="244"/>
      <c r="BA80" s="244"/>
      <c r="BB80" s="244"/>
      <c r="BC80" s="244"/>
      <c r="BD80" s="244">
        <v>42009.542361111096</v>
      </c>
      <c r="BE80" s="244">
        <v>42083.347916666702</v>
      </c>
      <c r="BF80" s="244">
        <v>41870.258333333302</v>
      </c>
      <c r="BG80" s="244">
        <v>41985</v>
      </c>
      <c r="BH80" s="244">
        <v>41725.4868055556</v>
      </c>
      <c r="BI80" s="244">
        <v>41985.717361111099</v>
      </c>
      <c r="BJ80" s="244">
        <v>41985</v>
      </c>
      <c r="BK80" s="244">
        <v>42083.347916666702</v>
      </c>
      <c r="BL80" s="244">
        <v>41985</v>
      </c>
      <c r="BM80" s="244">
        <v>42083.348611111098</v>
      </c>
      <c r="BN80" s="244">
        <v>42110.498611111099</v>
      </c>
      <c r="BO80" s="244">
        <v>42083.347222222197</v>
      </c>
      <c r="BP80" s="244">
        <v>42083.346527777801</v>
      </c>
      <c r="BQ80" s="244"/>
      <c r="BR80" s="244"/>
      <c r="BS80" s="244">
        <v>42091</v>
      </c>
      <c r="BT80" s="244"/>
      <c r="BU80" s="244"/>
      <c r="BV80" s="244"/>
      <c r="BW80" s="244"/>
      <c r="BX80" s="244"/>
      <c r="BY80" s="244"/>
      <c r="BZ80" s="244">
        <v>40391</v>
      </c>
      <c r="CA80" s="244">
        <v>40391</v>
      </c>
      <c r="CB80" s="244">
        <v>40391</v>
      </c>
      <c r="CC80" s="244">
        <v>40391</v>
      </c>
      <c r="CD80" s="244">
        <v>40391</v>
      </c>
      <c r="CE80" s="244">
        <v>40391</v>
      </c>
      <c r="CF80" s="244">
        <v>40451</v>
      </c>
      <c r="CG80" s="244">
        <v>40451</v>
      </c>
      <c r="CH80" s="244">
        <v>40148</v>
      </c>
      <c r="CI80" s="244">
        <v>40422</v>
      </c>
      <c r="CJ80" s="244">
        <v>40391</v>
      </c>
      <c r="CK80" s="244">
        <v>40391</v>
      </c>
      <c r="CL80" s="244">
        <v>40421</v>
      </c>
      <c r="CM80" s="244">
        <v>40421</v>
      </c>
      <c r="CN80" s="244">
        <v>40421</v>
      </c>
      <c r="CO80" s="244">
        <v>40421</v>
      </c>
      <c r="CP80" s="244">
        <v>40391</v>
      </c>
      <c r="CQ80" s="244">
        <v>40391</v>
      </c>
      <c r="CR80" s="244">
        <v>40391</v>
      </c>
      <c r="CS80" s="244">
        <v>38018</v>
      </c>
      <c r="CT80" s="244">
        <v>40391</v>
      </c>
      <c r="CU80" s="244">
        <v>40391</v>
      </c>
      <c r="CV80" s="244">
        <v>38990</v>
      </c>
      <c r="CW80" s="244"/>
      <c r="CX80" s="244"/>
      <c r="CY80" s="244"/>
      <c r="CZ80" s="244"/>
      <c r="DA80" s="244"/>
      <c r="DB80" s="244">
        <v>42088</v>
      </c>
      <c r="DC80" s="244">
        <v>38018</v>
      </c>
      <c r="DD80" s="244">
        <v>40391</v>
      </c>
      <c r="DE80" s="244"/>
      <c r="DF80" s="244"/>
      <c r="DG80" s="244">
        <v>42076.813194444403</v>
      </c>
      <c r="DH80" s="244">
        <v>42109</v>
      </c>
      <c r="DI80" s="244">
        <v>42102.9284722222</v>
      </c>
      <c r="DJ80" s="244">
        <v>42109</v>
      </c>
      <c r="DK80" s="244"/>
      <c r="DL80" s="244"/>
      <c r="DM80" s="244"/>
      <c r="DN80" s="244"/>
      <c r="DO80" s="244"/>
      <c r="DP80" s="244">
        <v>42079.654861111099</v>
      </c>
      <c r="DQ80" s="244"/>
      <c r="DR80" s="244"/>
      <c r="DS80" s="244">
        <v>42082.370833333298</v>
      </c>
      <c r="DT80" s="244">
        <v>42082.4868055556</v>
      </c>
      <c r="DU80" s="244"/>
      <c r="DV80" s="244"/>
      <c r="DW80" s="244">
        <v>42096.395138888904</v>
      </c>
      <c r="DX80" s="244">
        <v>41965.686111111099</v>
      </c>
      <c r="DY80" s="244"/>
      <c r="DZ80" s="244"/>
      <c r="EA80" s="244"/>
      <c r="EB80" s="244">
        <v>42096.396527777797</v>
      </c>
      <c r="EC80" s="244">
        <v>42103.8930555556</v>
      </c>
      <c r="ED80" s="244">
        <v>42103.8972222222</v>
      </c>
      <c r="EE80" s="244">
        <v>42081.463888888902</v>
      </c>
      <c r="EF80" s="244">
        <v>42080.438888888901</v>
      </c>
      <c r="EG80" s="244">
        <v>42104.449305555601</v>
      </c>
      <c r="EH80" s="244"/>
      <c r="EI80" s="244"/>
      <c r="EJ80" s="244"/>
      <c r="EK80" s="244"/>
      <c r="EL80" s="244"/>
      <c r="EM80" s="244">
        <v>41456</v>
      </c>
      <c r="EN80" s="244">
        <v>41456</v>
      </c>
      <c r="EO80" s="244">
        <v>41456</v>
      </c>
      <c r="EP80" s="244">
        <v>41456</v>
      </c>
      <c r="EQ80" s="244"/>
      <c r="ER80" s="244"/>
      <c r="ES80" s="244"/>
      <c r="ET80" s="244"/>
      <c r="EU80" s="244"/>
      <c r="EV80" s="244">
        <v>42110.498611111099</v>
      </c>
    </row>
    <row r="81" spans="1:152">
      <c r="A81" s="270" t="s">
        <v>87</v>
      </c>
      <c r="B81" s="244"/>
      <c r="C81" s="244"/>
      <c r="D81" s="244"/>
      <c r="E81" s="244"/>
      <c r="F81" s="244">
        <v>42109.7590277778</v>
      </c>
      <c r="G81" s="244"/>
      <c r="H81" s="244">
        <v>42109.760416666701</v>
      </c>
      <c r="I81" s="244"/>
      <c r="J81" s="244"/>
      <c r="K81" s="244">
        <v>42065.672222222202</v>
      </c>
      <c r="L81" s="244">
        <v>42068.533333333296</v>
      </c>
      <c r="M81" s="244"/>
      <c r="N81" s="244"/>
      <c r="O81" s="244"/>
      <c r="P81" s="244">
        <v>42082.5805555556</v>
      </c>
      <c r="Q81" s="244">
        <v>42052.581250000003</v>
      </c>
      <c r="R81" s="244">
        <v>42096.363888888904</v>
      </c>
      <c r="S81" s="244">
        <v>42072.704861111102</v>
      </c>
      <c r="T81" s="244"/>
      <c r="U81" s="244"/>
      <c r="V81" s="244"/>
      <c r="W81" s="244"/>
      <c r="X81" s="244"/>
      <c r="Y81" s="244"/>
      <c r="Z81" s="244"/>
      <c r="AA81" s="244">
        <v>42076.676388888904</v>
      </c>
      <c r="AB81" s="244"/>
      <c r="AC81" s="244">
        <v>42074.498611111099</v>
      </c>
      <c r="AD81" s="244"/>
      <c r="AE81" s="244"/>
      <c r="AF81" s="244"/>
      <c r="AG81" s="244"/>
      <c r="AH81" s="244">
        <v>41968.642361111102</v>
      </c>
      <c r="AI81" s="244"/>
      <c r="AJ81" s="244"/>
      <c r="AK81" s="244"/>
      <c r="AL81" s="244"/>
      <c r="AM81" s="244"/>
      <c r="AN81" s="244"/>
      <c r="AO81" s="244"/>
      <c r="AP81" s="244">
        <v>41894</v>
      </c>
      <c r="AQ81" s="244">
        <v>41894</v>
      </c>
      <c r="AR81" s="244"/>
      <c r="AS81" s="244"/>
      <c r="AT81" s="244"/>
      <c r="AU81" s="244"/>
      <c r="AV81" s="244"/>
      <c r="AW81" s="244"/>
      <c r="AX81" s="244"/>
      <c r="AY81" s="244"/>
      <c r="AZ81" s="244"/>
      <c r="BA81" s="244"/>
      <c r="BB81" s="244"/>
      <c r="BC81" s="244"/>
      <c r="BD81" s="244">
        <v>42009.542361111096</v>
      </c>
      <c r="BE81" s="244">
        <v>42083.347916666702</v>
      </c>
      <c r="BF81" s="244">
        <v>41870.258333333302</v>
      </c>
      <c r="BG81" s="244">
        <v>41985</v>
      </c>
      <c r="BH81" s="244">
        <v>41725.4868055556</v>
      </c>
      <c r="BI81" s="244">
        <v>41985.717361111099</v>
      </c>
      <c r="BJ81" s="244">
        <v>41985</v>
      </c>
      <c r="BK81" s="244">
        <v>42083.347916666702</v>
      </c>
      <c r="BL81" s="244">
        <v>41985</v>
      </c>
      <c r="BM81" s="244">
        <v>42083.348611111098</v>
      </c>
      <c r="BN81" s="244">
        <v>42110.498611111099</v>
      </c>
      <c r="BO81" s="244">
        <v>42083.347222222197</v>
      </c>
      <c r="BP81" s="244">
        <v>42083.346527777801</v>
      </c>
      <c r="BQ81" s="244"/>
      <c r="BR81" s="244"/>
      <c r="BS81" s="244">
        <v>42091</v>
      </c>
      <c r="BT81" s="244"/>
      <c r="BU81" s="244"/>
      <c r="BV81" s="244"/>
      <c r="BW81" s="244"/>
      <c r="BX81" s="244"/>
      <c r="BY81" s="244"/>
      <c r="BZ81" s="244">
        <v>40391</v>
      </c>
      <c r="CA81" s="244">
        <v>40391</v>
      </c>
      <c r="CB81" s="244">
        <v>40391</v>
      </c>
      <c r="CC81" s="244">
        <v>40391</v>
      </c>
      <c r="CD81" s="244">
        <v>40391</v>
      </c>
      <c r="CE81" s="244">
        <v>40391</v>
      </c>
      <c r="CF81" s="244">
        <v>40451</v>
      </c>
      <c r="CG81" s="244">
        <v>40451</v>
      </c>
      <c r="CH81" s="244">
        <v>40148</v>
      </c>
      <c r="CI81" s="244">
        <v>40422</v>
      </c>
      <c r="CJ81" s="244">
        <v>40391</v>
      </c>
      <c r="CK81" s="244">
        <v>40391</v>
      </c>
      <c r="CL81" s="244">
        <v>40421</v>
      </c>
      <c r="CM81" s="244">
        <v>40421</v>
      </c>
      <c r="CN81" s="244">
        <v>40421</v>
      </c>
      <c r="CO81" s="244">
        <v>40421</v>
      </c>
      <c r="CP81" s="244">
        <v>40391</v>
      </c>
      <c r="CQ81" s="244">
        <v>40391</v>
      </c>
      <c r="CR81" s="244">
        <v>40391</v>
      </c>
      <c r="CS81" s="244">
        <v>38018</v>
      </c>
      <c r="CT81" s="244">
        <v>40391</v>
      </c>
      <c r="CU81" s="244">
        <v>40391</v>
      </c>
      <c r="CV81" s="244">
        <v>38990</v>
      </c>
      <c r="CW81" s="244"/>
      <c r="CX81" s="244"/>
      <c r="CY81" s="244"/>
      <c r="CZ81" s="244"/>
      <c r="DA81" s="244"/>
      <c r="DB81" s="244">
        <v>42088</v>
      </c>
      <c r="DC81" s="244">
        <v>38018</v>
      </c>
      <c r="DD81" s="244">
        <v>40391</v>
      </c>
      <c r="DE81" s="244"/>
      <c r="DF81" s="244"/>
      <c r="DG81" s="244">
        <v>42076.813194444403</v>
      </c>
      <c r="DH81" s="244">
        <v>42109</v>
      </c>
      <c r="DI81" s="244">
        <v>42102.9284722222</v>
      </c>
      <c r="DJ81" s="244">
        <v>42109</v>
      </c>
      <c r="DK81" s="244"/>
      <c r="DL81" s="244"/>
      <c r="DM81" s="244"/>
      <c r="DN81" s="244"/>
      <c r="DO81" s="244"/>
      <c r="DP81" s="244"/>
      <c r="DQ81" s="244"/>
      <c r="DR81" s="244"/>
      <c r="DS81" s="244"/>
      <c r="DT81" s="244"/>
      <c r="DU81" s="244"/>
      <c r="DV81" s="244"/>
      <c r="DW81" s="244"/>
      <c r="DX81" s="244"/>
      <c r="DY81" s="244"/>
      <c r="DZ81" s="244"/>
      <c r="EA81" s="244"/>
      <c r="EB81" s="244"/>
      <c r="EC81" s="244"/>
      <c r="ED81" s="244"/>
      <c r="EE81" s="244"/>
      <c r="EF81" s="244"/>
      <c r="EG81" s="244"/>
      <c r="EH81" s="244"/>
      <c r="EI81" s="244"/>
      <c r="EJ81" s="244"/>
      <c r="EK81" s="244"/>
      <c r="EL81" s="244"/>
      <c r="EM81" s="244"/>
      <c r="EN81" s="244"/>
      <c r="EO81" s="244"/>
      <c r="EP81" s="244"/>
      <c r="EQ81" s="244"/>
      <c r="ER81" s="244"/>
      <c r="ES81" s="244"/>
      <c r="ET81" s="244"/>
      <c r="EU81" s="244"/>
      <c r="EV81" s="244">
        <v>42110.498611111099</v>
      </c>
    </row>
    <row r="82" spans="1:152">
      <c r="A82" s="270" t="s">
        <v>172</v>
      </c>
      <c r="B82" s="244"/>
      <c r="C82" s="244"/>
      <c r="D82" s="244"/>
      <c r="E82" s="244">
        <v>42065.620833333298</v>
      </c>
      <c r="F82" s="244"/>
      <c r="G82" s="244"/>
      <c r="H82" s="244"/>
      <c r="I82" s="244"/>
      <c r="J82" s="244"/>
      <c r="K82" s="244"/>
      <c r="L82" s="244"/>
      <c r="M82" s="244"/>
      <c r="N82" s="244"/>
      <c r="O82" s="244"/>
      <c r="P82" s="244">
        <v>42009.508333333302</v>
      </c>
      <c r="Q82" s="244"/>
      <c r="R82" s="244"/>
      <c r="S82" s="244"/>
      <c r="T82" s="244"/>
      <c r="U82" s="244"/>
      <c r="V82" s="244">
        <v>42087.420833333301</v>
      </c>
      <c r="W82" s="244"/>
      <c r="X82" s="244"/>
      <c r="Y82" s="244"/>
      <c r="Z82" s="244"/>
      <c r="AA82" s="244"/>
      <c r="AB82" s="244"/>
      <c r="AC82" s="244"/>
      <c r="AD82" s="244"/>
      <c r="AE82" s="244"/>
      <c r="AF82" s="244"/>
      <c r="AG82" s="244">
        <v>40567</v>
      </c>
      <c r="AH82" s="244"/>
      <c r="AI82" s="244"/>
      <c r="AJ82" s="244"/>
      <c r="AK82" s="244"/>
      <c r="AL82" s="244"/>
      <c r="AM82" s="244"/>
      <c r="AN82" s="244"/>
      <c r="AO82" s="244"/>
      <c r="AP82" s="244"/>
      <c r="AQ82" s="244"/>
      <c r="AR82" s="244"/>
      <c r="AS82" s="244"/>
      <c r="AT82" s="244"/>
      <c r="AU82" s="244"/>
      <c r="AV82" s="244"/>
      <c r="AW82" s="244"/>
      <c r="AX82" s="244"/>
      <c r="AY82" s="244"/>
      <c r="AZ82" s="244"/>
      <c r="BA82" s="244"/>
      <c r="BB82" s="244"/>
      <c r="BC82" s="244"/>
      <c r="BD82" s="244"/>
      <c r="BE82" s="244"/>
      <c r="BF82" s="244"/>
      <c r="BG82" s="244"/>
      <c r="BH82" s="244"/>
      <c r="BI82" s="244"/>
      <c r="BJ82" s="244"/>
      <c r="BK82" s="244"/>
      <c r="BL82" s="244"/>
      <c r="BM82" s="244"/>
      <c r="BN82" s="244"/>
      <c r="BO82" s="244"/>
      <c r="BP82" s="244"/>
      <c r="BQ82" s="244"/>
      <c r="BR82" s="244"/>
      <c r="BS82" s="244"/>
      <c r="BT82" s="244"/>
      <c r="BU82" s="244"/>
      <c r="BV82" s="244"/>
      <c r="BW82" s="244"/>
      <c r="BX82" s="244"/>
      <c r="BY82" s="244"/>
      <c r="BZ82" s="244"/>
      <c r="CA82" s="244"/>
      <c r="CB82" s="244"/>
      <c r="CC82" s="244"/>
      <c r="CD82" s="244"/>
      <c r="CE82" s="244"/>
      <c r="CF82" s="244"/>
      <c r="CG82" s="244"/>
      <c r="CH82" s="244"/>
      <c r="CI82" s="244"/>
      <c r="CJ82" s="244"/>
      <c r="CK82" s="244"/>
      <c r="CL82" s="244"/>
      <c r="CM82" s="244"/>
      <c r="CN82" s="244"/>
      <c r="CO82" s="244"/>
      <c r="CP82" s="244"/>
      <c r="CQ82" s="244"/>
      <c r="CR82" s="244"/>
      <c r="CS82" s="244"/>
      <c r="CT82" s="244"/>
      <c r="CU82" s="244"/>
      <c r="CV82" s="244"/>
      <c r="CW82" s="244"/>
      <c r="CX82" s="244"/>
      <c r="CY82" s="244"/>
      <c r="CZ82" s="244"/>
      <c r="DA82" s="244"/>
      <c r="DB82" s="244"/>
      <c r="DC82" s="244"/>
      <c r="DD82" s="244"/>
      <c r="DE82" s="244"/>
      <c r="DF82" s="244"/>
      <c r="DG82" s="244"/>
      <c r="DH82" s="244"/>
      <c r="DI82" s="244"/>
      <c r="DJ82" s="244"/>
      <c r="DK82" s="244"/>
      <c r="DL82" s="244"/>
      <c r="DM82" s="244"/>
      <c r="DN82" s="244"/>
      <c r="DO82" s="244"/>
      <c r="DP82" s="244">
        <v>42079.654861111099</v>
      </c>
      <c r="DQ82" s="244"/>
      <c r="DR82" s="244"/>
      <c r="DS82" s="244">
        <v>42082.370833333298</v>
      </c>
      <c r="DT82" s="244">
        <v>42082.4868055556</v>
      </c>
      <c r="DU82" s="244"/>
      <c r="DV82" s="244"/>
      <c r="DW82" s="244"/>
      <c r="DX82" s="244">
        <v>41965.686111111099</v>
      </c>
      <c r="DY82" s="244"/>
      <c r="DZ82" s="244"/>
      <c r="EA82" s="244"/>
      <c r="EB82" s="244"/>
      <c r="EC82" s="244"/>
      <c r="ED82" s="244"/>
      <c r="EE82" s="244"/>
      <c r="EF82" s="244"/>
      <c r="EG82" s="244"/>
      <c r="EH82" s="244"/>
      <c r="EI82" s="244"/>
      <c r="EJ82" s="244"/>
      <c r="EK82" s="244"/>
      <c r="EL82" s="244"/>
      <c r="EM82" s="244"/>
      <c r="EN82" s="244"/>
      <c r="EO82" s="244"/>
      <c r="EP82" s="244"/>
      <c r="EQ82" s="244"/>
      <c r="ER82" s="244"/>
      <c r="ES82" s="244"/>
      <c r="ET82" s="244"/>
      <c r="EU82" s="244"/>
      <c r="EV82" s="244">
        <v>42087.420833333301</v>
      </c>
    </row>
    <row r="83" spans="1:152">
      <c r="A83" s="270" t="s">
        <v>173</v>
      </c>
      <c r="B83" s="244"/>
      <c r="C83" s="244"/>
      <c r="D83" s="244"/>
      <c r="E83" s="244"/>
      <c r="F83" s="244"/>
      <c r="G83" s="244"/>
      <c r="H83" s="244"/>
      <c r="I83" s="244"/>
      <c r="J83" s="244"/>
      <c r="K83" s="244"/>
      <c r="L83" s="244"/>
      <c r="M83" s="244"/>
      <c r="N83" s="244"/>
      <c r="O83" s="244"/>
      <c r="P83" s="244"/>
      <c r="Q83" s="244"/>
      <c r="R83" s="244"/>
      <c r="S83" s="244"/>
      <c r="T83" s="244"/>
      <c r="U83" s="244"/>
      <c r="V83" s="244"/>
      <c r="W83" s="244"/>
      <c r="X83" s="244"/>
      <c r="Y83" s="244"/>
      <c r="Z83" s="244"/>
      <c r="AA83" s="244"/>
      <c r="AB83" s="244"/>
      <c r="AC83" s="244"/>
      <c r="AD83" s="244"/>
      <c r="AE83" s="244"/>
      <c r="AF83" s="244"/>
      <c r="AG83" s="244"/>
      <c r="AH83" s="244"/>
      <c r="AI83" s="244"/>
      <c r="AJ83" s="244"/>
      <c r="AK83" s="244"/>
      <c r="AL83" s="244"/>
      <c r="AM83" s="244"/>
      <c r="AN83" s="244"/>
      <c r="AO83" s="244"/>
      <c r="AP83" s="244"/>
      <c r="AQ83" s="244"/>
      <c r="AR83" s="244"/>
      <c r="AS83" s="244"/>
      <c r="AT83" s="244"/>
      <c r="AU83" s="244"/>
      <c r="AV83" s="244"/>
      <c r="AW83" s="244"/>
      <c r="AX83" s="244"/>
      <c r="AY83" s="244"/>
      <c r="AZ83" s="244"/>
      <c r="BA83" s="244"/>
      <c r="BB83" s="244"/>
      <c r="BC83" s="244"/>
      <c r="BD83" s="244"/>
      <c r="BE83" s="244"/>
      <c r="BF83" s="244"/>
      <c r="BG83" s="244"/>
      <c r="BH83" s="244"/>
      <c r="BI83" s="244"/>
      <c r="BJ83" s="244"/>
      <c r="BK83" s="244"/>
      <c r="BL83" s="244"/>
      <c r="BM83" s="244"/>
      <c r="BN83" s="244"/>
      <c r="BO83" s="244"/>
      <c r="BP83" s="244"/>
      <c r="BQ83" s="244"/>
      <c r="BR83" s="244"/>
      <c r="BS83" s="244"/>
      <c r="BT83" s="244"/>
      <c r="BU83" s="244"/>
      <c r="BV83" s="244"/>
      <c r="BW83" s="244"/>
      <c r="BX83" s="244"/>
      <c r="BY83" s="244"/>
      <c r="BZ83" s="244"/>
      <c r="CA83" s="244"/>
      <c r="CB83" s="244"/>
      <c r="CC83" s="244"/>
      <c r="CD83" s="244"/>
      <c r="CE83" s="244"/>
      <c r="CF83" s="244"/>
      <c r="CG83" s="244"/>
      <c r="CH83" s="244"/>
      <c r="CI83" s="244"/>
      <c r="CJ83" s="244"/>
      <c r="CK83" s="244"/>
      <c r="CL83" s="244"/>
      <c r="CM83" s="244"/>
      <c r="CN83" s="244"/>
      <c r="CO83" s="244"/>
      <c r="CP83" s="244"/>
      <c r="CQ83" s="244"/>
      <c r="CR83" s="244"/>
      <c r="CS83" s="244"/>
      <c r="CT83" s="244"/>
      <c r="CU83" s="244"/>
      <c r="CV83" s="244"/>
      <c r="CW83" s="244"/>
      <c r="CX83" s="244"/>
      <c r="CY83" s="244"/>
      <c r="CZ83" s="244"/>
      <c r="DA83" s="244"/>
      <c r="DB83" s="244"/>
      <c r="DC83" s="244"/>
      <c r="DD83" s="244"/>
      <c r="DE83" s="244"/>
      <c r="DF83" s="244"/>
      <c r="DG83" s="244"/>
      <c r="DH83" s="244"/>
      <c r="DI83" s="244"/>
      <c r="DJ83" s="244"/>
      <c r="DK83" s="244"/>
      <c r="DL83" s="244"/>
      <c r="DM83" s="244"/>
      <c r="DN83" s="244"/>
      <c r="DO83" s="244"/>
      <c r="DP83" s="244"/>
      <c r="DQ83" s="244"/>
      <c r="DR83" s="244"/>
      <c r="DS83" s="244"/>
      <c r="DT83" s="244"/>
      <c r="DU83" s="244"/>
      <c r="DV83" s="244"/>
      <c r="DW83" s="244">
        <v>42096.395138888904</v>
      </c>
      <c r="DX83" s="244"/>
      <c r="DY83" s="244"/>
      <c r="DZ83" s="244"/>
      <c r="EA83" s="244"/>
      <c r="EB83" s="244">
        <v>42096.396527777797</v>
      </c>
      <c r="EC83" s="244">
        <v>42103.8930555556</v>
      </c>
      <c r="ED83" s="244">
        <v>42103.8972222222</v>
      </c>
      <c r="EE83" s="244">
        <v>42081.463888888902</v>
      </c>
      <c r="EF83" s="244">
        <v>42080.438888888901</v>
      </c>
      <c r="EG83" s="244">
        <v>42104.449305555601</v>
      </c>
      <c r="EH83" s="244"/>
      <c r="EI83" s="244"/>
      <c r="EJ83" s="244"/>
      <c r="EK83" s="244"/>
      <c r="EL83" s="244"/>
      <c r="EM83" s="244">
        <v>41456</v>
      </c>
      <c r="EN83" s="244">
        <v>41456</v>
      </c>
      <c r="EO83" s="244">
        <v>41456</v>
      </c>
      <c r="EP83" s="244">
        <v>41456</v>
      </c>
      <c r="EQ83" s="244"/>
      <c r="ER83" s="244"/>
      <c r="ES83" s="244"/>
      <c r="ET83" s="244"/>
      <c r="EU83" s="244"/>
      <c r="EV83" s="244">
        <v>42104.449305555601</v>
      </c>
    </row>
    <row r="84" spans="1:152">
      <c r="A84" s="269" t="s">
        <v>170</v>
      </c>
      <c r="B84" s="244"/>
      <c r="C84" s="244"/>
      <c r="D84" s="244"/>
      <c r="E84" s="244">
        <v>42068.593055555597</v>
      </c>
      <c r="F84" s="244">
        <v>42076.502083333296</v>
      </c>
      <c r="G84" s="244"/>
      <c r="H84" s="244">
        <v>42110.934027777803</v>
      </c>
      <c r="I84" s="244">
        <v>41955.65625</v>
      </c>
      <c r="J84" s="244"/>
      <c r="K84" s="244">
        <v>42061.597916666702</v>
      </c>
      <c r="L84" s="244">
        <v>42061.587500000001</v>
      </c>
      <c r="M84" s="244"/>
      <c r="N84" s="244">
        <v>41955</v>
      </c>
      <c r="O84" s="244"/>
      <c r="P84" s="244">
        <v>42107</v>
      </c>
      <c r="Q84" s="244">
        <v>42047</v>
      </c>
      <c r="R84" s="244">
        <v>42069.631944444402</v>
      </c>
      <c r="S84" s="244">
        <v>42036.454166666699</v>
      </c>
      <c r="T84" s="244"/>
      <c r="U84" s="244"/>
      <c r="V84" s="244">
        <v>42041.736111111102</v>
      </c>
      <c r="W84" s="244"/>
      <c r="X84" s="244">
        <v>41969</v>
      </c>
      <c r="Y84" s="244"/>
      <c r="Z84" s="244"/>
      <c r="AA84" s="244">
        <v>42047.151388888902</v>
      </c>
      <c r="AB84" s="244"/>
      <c r="AC84" s="244">
        <v>42082.390277777798</v>
      </c>
      <c r="AD84" s="244"/>
      <c r="AE84" s="244"/>
      <c r="AF84" s="244"/>
      <c r="AG84" s="244">
        <v>40597</v>
      </c>
      <c r="AH84" s="244">
        <v>41856.547916666699</v>
      </c>
      <c r="AI84" s="244"/>
      <c r="AJ84" s="244"/>
      <c r="AK84" s="244">
        <v>41969</v>
      </c>
      <c r="AL84" s="244">
        <v>41969</v>
      </c>
      <c r="AM84" s="244">
        <v>42059</v>
      </c>
      <c r="AN84" s="244"/>
      <c r="AO84" s="244"/>
      <c r="AP84" s="244">
        <v>41969</v>
      </c>
      <c r="AQ84" s="244">
        <v>41969</v>
      </c>
      <c r="AR84" s="244"/>
      <c r="AS84" s="244"/>
      <c r="AT84" s="244"/>
      <c r="AU84" s="244"/>
      <c r="AV84" s="244"/>
      <c r="AW84" s="244"/>
      <c r="AX84" s="244"/>
      <c r="AY84" s="244"/>
      <c r="AZ84" s="244"/>
      <c r="BA84" s="244"/>
      <c r="BB84" s="244"/>
      <c r="BC84" s="244"/>
      <c r="BD84" s="244">
        <v>41955.3215277778</v>
      </c>
      <c r="BE84" s="244">
        <v>42073.394444444399</v>
      </c>
      <c r="BF84" s="244">
        <v>42083.695138888899</v>
      </c>
      <c r="BG84" s="244">
        <v>42073.394444444399</v>
      </c>
      <c r="BH84" s="244">
        <v>42043.270138888904</v>
      </c>
      <c r="BI84" s="244">
        <v>42073.849305555603</v>
      </c>
      <c r="BJ84" s="244">
        <v>42114.559027777803</v>
      </c>
      <c r="BK84" s="244">
        <v>42004.347222222197</v>
      </c>
      <c r="BL84" s="244">
        <v>42073.4</v>
      </c>
      <c r="BM84" s="244">
        <v>42070.3305555556</v>
      </c>
      <c r="BN84" s="244">
        <v>41984.494444444397</v>
      </c>
      <c r="BO84" s="244">
        <v>41977</v>
      </c>
      <c r="BP84" s="244">
        <v>41977</v>
      </c>
      <c r="BQ84" s="244"/>
      <c r="BR84" s="244">
        <v>41969</v>
      </c>
      <c r="BS84" s="244">
        <v>42007</v>
      </c>
      <c r="BT84" s="244"/>
      <c r="BU84" s="244"/>
      <c r="BV84" s="244"/>
      <c r="BW84" s="244"/>
      <c r="BX84" s="244"/>
      <c r="BY84" s="244"/>
      <c r="BZ84" s="244">
        <v>40422</v>
      </c>
      <c r="CA84" s="244">
        <v>40422</v>
      </c>
      <c r="CB84" s="244">
        <v>40695</v>
      </c>
      <c r="CC84" s="244">
        <v>40422</v>
      </c>
      <c r="CD84" s="244">
        <v>40422</v>
      </c>
      <c r="CE84" s="244">
        <v>40695</v>
      </c>
      <c r="CF84" s="244">
        <v>39934</v>
      </c>
      <c r="CG84" s="244">
        <v>40452</v>
      </c>
      <c r="CH84" s="244">
        <v>40452</v>
      </c>
      <c r="CI84" s="244">
        <v>40483</v>
      </c>
      <c r="CJ84" s="244">
        <v>40422</v>
      </c>
      <c r="CK84" s="244">
        <v>40422</v>
      </c>
      <c r="CL84" s="244">
        <v>40422</v>
      </c>
      <c r="CM84" s="244">
        <v>40422</v>
      </c>
      <c r="CN84" s="244">
        <v>40422</v>
      </c>
      <c r="CO84" s="244">
        <v>40422</v>
      </c>
      <c r="CP84" s="244"/>
      <c r="CQ84" s="244">
        <v>40422</v>
      </c>
      <c r="CR84" s="244">
        <v>40422</v>
      </c>
      <c r="CS84" s="244">
        <v>38018</v>
      </c>
      <c r="CT84" s="244">
        <v>40422</v>
      </c>
      <c r="CU84" s="244">
        <v>40422</v>
      </c>
      <c r="CV84" s="244">
        <v>40422</v>
      </c>
      <c r="CW84" s="244"/>
      <c r="CX84" s="244"/>
      <c r="CY84" s="244"/>
      <c r="CZ84" s="244"/>
      <c r="DA84" s="244"/>
      <c r="DB84" s="244">
        <v>41705</v>
      </c>
      <c r="DC84" s="244">
        <v>38018</v>
      </c>
      <c r="DD84" s="244">
        <v>40422</v>
      </c>
      <c r="DE84" s="244">
        <v>41969</v>
      </c>
      <c r="DF84" s="244"/>
      <c r="DG84" s="244">
        <v>42047</v>
      </c>
      <c r="DH84" s="244">
        <v>42111.083333333299</v>
      </c>
      <c r="DI84" s="244"/>
      <c r="DJ84" s="244">
        <v>42110.896527777797</v>
      </c>
      <c r="DK84" s="244">
        <v>41955.319444444402</v>
      </c>
      <c r="DL84" s="244"/>
      <c r="DM84" s="244">
        <v>41955</v>
      </c>
      <c r="DN84" s="244">
        <v>41857.737500000003</v>
      </c>
      <c r="DO84" s="244">
        <v>41918</v>
      </c>
      <c r="DP84" s="244">
        <v>42045.387499999997</v>
      </c>
      <c r="DQ84" s="244">
        <v>41969</v>
      </c>
      <c r="DR84" s="244">
        <v>41969</v>
      </c>
      <c r="DS84" s="244">
        <v>42035.331944444399</v>
      </c>
      <c r="DT84" s="244">
        <v>42042.409027777801</v>
      </c>
      <c r="DU84" s="244"/>
      <c r="DV84" s="244"/>
      <c r="DW84" s="244">
        <v>42095.445138888899</v>
      </c>
      <c r="DX84" s="244"/>
      <c r="DY84" s="244"/>
      <c r="DZ84" s="244"/>
      <c r="EA84" s="244"/>
      <c r="EB84" s="244"/>
      <c r="EC84" s="244">
        <v>42108.626388888901</v>
      </c>
      <c r="ED84" s="244">
        <v>41969</v>
      </c>
      <c r="EE84" s="244"/>
      <c r="EF84" s="244"/>
      <c r="EG84" s="244">
        <v>42110.425694444399</v>
      </c>
      <c r="EH84" s="244">
        <v>41918</v>
      </c>
      <c r="EI84" s="244"/>
      <c r="EJ84" s="244"/>
      <c r="EK84" s="244"/>
      <c r="EL84" s="244">
        <v>41969</v>
      </c>
      <c r="EM84" s="244">
        <v>41456</v>
      </c>
      <c r="EN84" s="244">
        <v>41456</v>
      </c>
      <c r="EO84" s="244">
        <v>41456</v>
      </c>
      <c r="EP84" s="244">
        <v>41456</v>
      </c>
      <c r="EQ84" s="244"/>
      <c r="ER84" s="244"/>
      <c r="ES84" s="244"/>
      <c r="ET84" s="244"/>
      <c r="EU84" s="244"/>
      <c r="EV84" s="244">
        <v>42114.559027777803</v>
      </c>
    </row>
    <row r="85" spans="1:152">
      <c r="A85" s="270" t="s">
        <v>87</v>
      </c>
      <c r="B85" s="244"/>
      <c r="C85" s="244"/>
      <c r="D85" s="244"/>
      <c r="E85" s="244"/>
      <c r="F85" s="244">
        <v>42076.502083333296</v>
      </c>
      <c r="G85" s="244"/>
      <c r="H85" s="244">
        <v>42110.934027777803</v>
      </c>
      <c r="I85" s="244">
        <v>41955.65625</v>
      </c>
      <c r="J85" s="244"/>
      <c r="K85" s="244">
        <v>42061.597916666702</v>
      </c>
      <c r="L85" s="244">
        <v>42061.587500000001</v>
      </c>
      <c r="M85" s="244"/>
      <c r="N85" s="244">
        <v>41955</v>
      </c>
      <c r="O85" s="244"/>
      <c r="P85" s="244">
        <v>42107</v>
      </c>
      <c r="Q85" s="244">
        <v>42047</v>
      </c>
      <c r="R85" s="244">
        <v>42069.631944444402</v>
      </c>
      <c r="S85" s="244">
        <v>42036.454166666699</v>
      </c>
      <c r="T85" s="244"/>
      <c r="U85" s="244"/>
      <c r="V85" s="244"/>
      <c r="W85" s="244"/>
      <c r="X85" s="244"/>
      <c r="Y85" s="244"/>
      <c r="Z85" s="244"/>
      <c r="AA85" s="244">
        <v>42047.151388888902</v>
      </c>
      <c r="AB85" s="244"/>
      <c r="AC85" s="244">
        <v>42082.390277777798</v>
      </c>
      <c r="AD85" s="244"/>
      <c r="AE85" s="244"/>
      <c r="AF85" s="244"/>
      <c r="AG85" s="244"/>
      <c r="AH85" s="244">
        <v>41856.547916666699</v>
      </c>
      <c r="AI85" s="244"/>
      <c r="AJ85" s="244"/>
      <c r="AK85" s="244">
        <v>41855.444444444402</v>
      </c>
      <c r="AL85" s="244"/>
      <c r="AM85" s="244"/>
      <c r="AN85" s="244"/>
      <c r="AO85" s="244"/>
      <c r="AP85" s="244">
        <v>41969</v>
      </c>
      <c r="AQ85" s="244">
        <v>41969</v>
      </c>
      <c r="AR85" s="244"/>
      <c r="AS85" s="244"/>
      <c r="AT85" s="244"/>
      <c r="AU85" s="244"/>
      <c r="AV85" s="244"/>
      <c r="AW85" s="244"/>
      <c r="AX85" s="244"/>
      <c r="AY85" s="244"/>
      <c r="AZ85" s="244"/>
      <c r="BA85" s="244"/>
      <c r="BB85" s="244"/>
      <c r="BC85" s="244"/>
      <c r="BD85" s="244">
        <v>41955.3215277778</v>
      </c>
      <c r="BE85" s="244">
        <v>42073.394444444399</v>
      </c>
      <c r="BF85" s="244">
        <v>42083.695138888899</v>
      </c>
      <c r="BG85" s="244">
        <v>42073.394444444399</v>
      </c>
      <c r="BH85" s="244">
        <v>42043.270138888904</v>
      </c>
      <c r="BI85" s="244">
        <v>42073.849305555603</v>
      </c>
      <c r="BJ85" s="244">
        <v>42114.559027777803</v>
      </c>
      <c r="BK85" s="244">
        <v>42004.347222222197</v>
      </c>
      <c r="BL85" s="244">
        <v>42073.4</v>
      </c>
      <c r="BM85" s="244">
        <v>42070.3305555556</v>
      </c>
      <c r="BN85" s="244">
        <v>41984.494444444397</v>
      </c>
      <c r="BO85" s="244">
        <v>41977</v>
      </c>
      <c r="BP85" s="244">
        <v>41977</v>
      </c>
      <c r="BQ85" s="244"/>
      <c r="BR85" s="244">
        <v>41969</v>
      </c>
      <c r="BS85" s="244">
        <v>42007</v>
      </c>
      <c r="BT85" s="244"/>
      <c r="BU85" s="244"/>
      <c r="BV85" s="244"/>
      <c r="BW85" s="244"/>
      <c r="BX85" s="244"/>
      <c r="BY85" s="244"/>
      <c r="BZ85" s="244">
        <v>40422</v>
      </c>
      <c r="CA85" s="244">
        <v>40422</v>
      </c>
      <c r="CB85" s="244">
        <v>40695</v>
      </c>
      <c r="CC85" s="244">
        <v>40422</v>
      </c>
      <c r="CD85" s="244">
        <v>40422</v>
      </c>
      <c r="CE85" s="244">
        <v>40695</v>
      </c>
      <c r="CF85" s="244">
        <v>39934</v>
      </c>
      <c r="CG85" s="244">
        <v>40452</v>
      </c>
      <c r="CH85" s="244">
        <v>40452</v>
      </c>
      <c r="CI85" s="244">
        <v>40483</v>
      </c>
      <c r="CJ85" s="244">
        <v>40422</v>
      </c>
      <c r="CK85" s="244">
        <v>40422</v>
      </c>
      <c r="CL85" s="244">
        <v>40422</v>
      </c>
      <c r="CM85" s="244">
        <v>40422</v>
      </c>
      <c r="CN85" s="244">
        <v>40422</v>
      </c>
      <c r="CO85" s="244">
        <v>40422</v>
      </c>
      <c r="CP85" s="244"/>
      <c r="CQ85" s="244">
        <v>40422</v>
      </c>
      <c r="CR85" s="244">
        <v>40422</v>
      </c>
      <c r="CS85" s="244">
        <v>38018</v>
      </c>
      <c r="CT85" s="244">
        <v>40422</v>
      </c>
      <c r="CU85" s="244">
        <v>40422</v>
      </c>
      <c r="CV85" s="244">
        <v>40422</v>
      </c>
      <c r="CW85" s="244"/>
      <c r="CX85" s="244"/>
      <c r="CY85" s="244"/>
      <c r="CZ85" s="244"/>
      <c r="DA85" s="244"/>
      <c r="DB85" s="244">
        <v>41705</v>
      </c>
      <c r="DC85" s="244">
        <v>38018</v>
      </c>
      <c r="DD85" s="244">
        <v>40422</v>
      </c>
      <c r="DE85" s="244">
        <v>41969</v>
      </c>
      <c r="DF85" s="244"/>
      <c r="DG85" s="244">
        <v>42047</v>
      </c>
      <c r="DH85" s="244">
        <v>42111.083333333299</v>
      </c>
      <c r="DI85" s="244"/>
      <c r="DJ85" s="244">
        <v>42110.896527777797</v>
      </c>
      <c r="DK85" s="244">
        <v>41955.319444444402</v>
      </c>
      <c r="DL85" s="244"/>
      <c r="DM85" s="244"/>
      <c r="DN85" s="244"/>
      <c r="DO85" s="244"/>
      <c r="DP85" s="244"/>
      <c r="DQ85" s="244"/>
      <c r="DR85" s="244"/>
      <c r="DS85" s="244"/>
      <c r="DT85" s="244"/>
      <c r="DU85" s="244"/>
      <c r="DV85" s="244"/>
      <c r="DW85" s="244"/>
      <c r="DX85" s="244"/>
      <c r="DY85" s="244"/>
      <c r="DZ85" s="244"/>
      <c r="EA85" s="244"/>
      <c r="EB85" s="244"/>
      <c r="EC85" s="244"/>
      <c r="ED85" s="244"/>
      <c r="EE85" s="244"/>
      <c r="EF85" s="244"/>
      <c r="EG85" s="244"/>
      <c r="EH85" s="244"/>
      <c r="EI85" s="244"/>
      <c r="EJ85" s="244"/>
      <c r="EK85" s="244"/>
      <c r="EL85" s="244"/>
      <c r="EM85" s="244"/>
      <c r="EN85" s="244"/>
      <c r="EO85" s="244"/>
      <c r="EP85" s="244"/>
      <c r="EQ85" s="244"/>
      <c r="ER85" s="244"/>
      <c r="ES85" s="244"/>
      <c r="ET85" s="244"/>
      <c r="EU85" s="244"/>
      <c r="EV85" s="244">
        <v>42114.559027777803</v>
      </c>
    </row>
    <row r="86" spans="1:152">
      <c r="A86" s="270" t="s">
        <v>172</v>
      </c>
      <c r="B86" s="244"/>
      <c r="C86" s="244"/>
      <c r="D86" s="244"/>
      <c r="E86" s="244">
        <v>42068.593055555597</v>
      </c>
      <c r="F86" s="244"/>
      <c r="G86" s="244"/>
      <c r="H86" s="244"/>
      <c r="I86" s="244"/>
      <c r="J86" s="244"/>
      <c r="K86" s="244"/>
      <c r="L86" s="244"/>
      <c r="M86" s="244"/>
      <c r="N86" s="244"/>
      <c r="O86" s="244"/>
      <c r="P86" s="244">
        <v>42073</v>
      </c>
      <c r="Q86" s="244"/>
      <c r="R86" s="244"/>
      <c r="S86" s="244"/>
      <c r="T86" s="244"/>
      <c r="U86" s="244"/>
      <c r="V86" s="244">
        <v>42041.736111111102</v>
      </c>
      <c r="W86" s="244"/>
      <c r="X86" s="244">
        <v>41969</v>
      </c>
      <c r="Y86" s="244"/>
      <c r="Z86" s="244"/>
      <c r="AA86" s="244"/>
      <c r="AB86" s="244"/>
      <c r="AC86" s="244"/>
      <c r="AD86" s="244"/>
      <c r="AE86" s="244"/>
      <c r="AF86" s="244"/>
      <c r="AG86" s="244">
        <v>40597</v>
      </c>
      <c r="AH86" s="244"/>
      <c r="AI86" s="244"/>
      <c r="AJ86" s="244"/>
      <c r="AK86" s="244">
        <v>41969</v>
      </c>
      <c r="AL86" s="244">
        <v>41969</v>
      </c>
      <c r="AM86" s="244">
        <v>42059</v>
      </c>
      <c r="AN86" s="244"/>
      <c r="AO86" s="244"/>
      <c r="AP86" s="244"/>
      <c r="AQ86" s="244"/>
      <c r="AR86" s="244"/>
      <c r="AS86" s="244"/>
      <c r="AT86" s="244"/>
      <c r="AU86" s="244"/>
      <c r="AV86" s="244"/>
      <c r="AW86" s="244"/>
      <c r="AX86" s="244"/>
      <c r="AY86" s="244"/>
      <c r="AZ86" s="244"/>
      <c r="BA86" s="244"/>
      <c r="BB86" s="244"/>
      <c r="BC86" s="244"/>
      <c r="BD86" s="244"/>
      <c r="BE86" s="244"/>
      <c r="BF86" s="244"/>
      <c r="BG86" s="244"/>
      <c r="BH86" s="244"/>
      <c r="BI86" s="244"/>
      <c r="BJ86" s="244"/>
      <c r="BK86" s="244"/>
      <c r="BL86" s="244"/>
      <c r="BM86" s="244"/>
      <c r="BN86" s="244"/>
      <c r="BO86" s="244"/>
      <c r="BP86" s="244"/>
      <c r="BQ86" s="244"/>
      <c r="BR86" s="244"/>
      <c r="BS86" s="244"/>
      <c r="BT86" s="244"/>
      <c r="BU86" s="244"/>
      <c r="BV86" s="244"/>
      <c r="BW86" s="244"/>
      <c r="BX86" s="244"/>
      <c r="BY86" s="244"/>
      <c r="BZ86" s="244"/>
      <c r="CA86" s="244"/>
      <c r="CB86" s="244"/>
      <c r="CC86" s="244"/>
      <c r="CD86" s="244"/>
      <c r="CE86" s="244"/>
      <c r="CF86" s="244"/>
      <c r="CG86" s="244"/>
      <c r="CH86" s="244"/>
      <c r="CI86" s="244"/>
      <c r="CJ86" s="244"/>
      <c r="CK86" s="244"/>
      <c r="CL86" s="244"/>
      <c r="CM86" s="244"/>
      <c r="CN86" s="244"/>
      <c r="CO86" s="244"/>
      <c r="CP86" s="244"/>
      <c r="CQ86" s="244"/>
      <c r="CR86" s="244"/>
      <c r="CS86" s="244"/>
      <c r="CT86" s="244"/>
      <c r="CU86" s="244"/>
      <c r="CV86" s="244"/>
      <c r="CW86" s="244"/>
      <c r="CX86" s="244"/>
      <c r="CY86" s="244"/>
      <c r="CZ86" s="244"/>
      <c r="DA86" s="244"/>
      <c r="DB86" s="244"/>
      <c r="DC86" s="244"/>
      <c r="DD86" s="244"/>
      <c r="DE86" s="244"/>
      <c r="DF86" s="244"/>
      <c r="DG86" s="244"/>
      <c r="DH86" s="244"/>
      <c r="DI86" s="244"/>
      <c r="DJ86" s="244"/>
      <c r="DK86" s="244"/>
      <c r="DL86" s="244"/>
      <c r="DM86" s="244">
        <v>41955</v>
      </c>
      <c r="DN86" s="244">
        <v>41857.737500000003</v>
      </c>
      <c r="DO86" s="244">
        <v>41918</v>
      </c>
      <c r="DP86" s="244">
        <v>42045.387499999997</v>
      </c>
      <c r="DQ86" s="244">
        <v>41969</v>
      </c>
      <c r="DR86" s="244">
        <v>41969</v>
      </c>
      <c r="DS86" s="244">
        <v>42035.331944444399</v>
      </c>
      <c r="DT86" s="244">
        <v>42042.409027777801</v>
      </c>
      <c r="DU86" s="244"/>
      <c r="DV86" s="244"/>
      <c r="DW86" s="244"/>
      <c r="DX86" s="244"/>
      <c r="DY86" s="244"/>
      <c r="DZ86" s="244"/>
      <c r="EA86" s="244"/>
      <c r="EB86" s="244"/>
      <c r="EC86" s="244"/>
      <c r="ED86" s="244"/>
      <c r="EE86" s="244"/>
      <c r="EF86" s="244"/>
      <c r="EG86" s="244"/>
      <c r="EH86" s="244"/>
      <c r="EI86" s="244"/>
      <c r="EJ86" s="244"/>
      <c r="EK86" s="244"/>
      <c r="EL86" s="244"/>
      <c r="EM86" s="244"/>
      <c r="EN86" s="244"/>
      <c r="EO86" s="244"/>
      <c r="EP86" s="244"/>
      <c r="EQ86" s="244"/>
      <c r="ER86" s="244"/>
      <c r="ES86" s="244"/>
      <c r="ET86" s="244"/>
      <c r="EU86" s="244"/>
      <c r="EV86" s="244">
        <v>42073</v>
      </c>
    </row>
    <row r="87" spans="1:152">
      <c r="A87" s="270" t="s">
        <v>173</v>
      </c>
      <c r="B87" s="244"/>
      <c r="C87" s="244"/>
      <c r="D87" s="244"/>
      <c r="E87" s="244"/>
      <c r="F87" s="244"/>
      <c r="G87" s="244"/>
      <c r="H87" s="244"/>
      <c r="I87" s="244"/>
      <c r="J87" s="244"/>
      <c r="K87" s="244"/>
      <c r="L87" s="244"/>
      <c r="M87" s="244"/>
      <c r="N87" s="244"/>
      <c r="O87" s="244"/>
      <c r="P87" s="244"/>
      <c r="Q87" s="244"/>
      <c r="R87" s="244"/>
      <c r="S87" s="244"/>
      <c r="T87" s="244"/>
      <c r="U87" s="244"/>
      <c r="V87" s="244"/>
      <c r="W87" s="244"/>
      <c r="X87" s="244"/>
      <c r="Y87" s="244"/>
      <c r="Z87" s="244"/>
      <c r="AA87" s="244"/>
      <c r="AB87" s="244"/>
      <c r="AC87" s="244"/>
      <c r="AD87" s="244"/>
      <c r="AE87" s="244"/>
      <c r="AF87" s="244"/>
      <c r="AG87" s="244"/>
      <c r="AH87" s="244"/>
      <c r="AI87" s="244"/>
      <c r="AJ87" s="244"/>
      <c r="AK87" s="244"/>
      <c r="AL87" s="244"/>
      <c r="AM87" s="244"/>
      <c r="AN87" s="244"/>
      <c r="AO87" s="244"/>
      <c r="AP87" s="244"/>
      <c r="AQ87" s="244"/>
      <c r="AR87" s="244"/>
      <c r="AS87" s="244"/>
      <c r="AT87" s="244"/>
      <c r="AU87" s="244"/>
      <c r="AV87" s="244"/>
      <c r="AW87" s="244"/>
      <c r="AX87" s="244"/>
      <c r="AY87" s="244"/>
      <c r="AZ87" s="244"/>
      <c r="BA87" s="244"/>
      <c r="BB87" s="244"/>
      <c r="BC87" s="244"/>
      <c r="BD87" s="244"/>
      <c r="BE87" s="244"/>
      <c r="BF87" s="244"/>
      <c r="BG87" s="244"/>
      <c r="BH87" s="244"/>
      <c r="BI87" s="244"/>
      <c r="BJ87" s="244"/>
      <c r="BK87" s="244"/>
      <c r="BL87" s="244"/>
      <c r="BM87" s="244"/>
      <c r="BN87" s="244"/>
      <c r="BO87" s="244"/>
      <c r="BP87" s="244"/>
      <c r="BQ87" s="244"/>
      <c r="BR87" s="244"/>
      <c r="BS87" s="244"/>
      <c r="BT87" s="244"/>
      <c r="BU87" s="244"/>
      <c r="BV87" s="244"/>
      <c r="BW87" s="244"/>
      <c r="BX87" s="244"/>
      <c r="BY87" s="244"/>
      <c r="BZ87" s="244"/>
      <c r="CA87" s="244"/>
      <c r="CB87" s="244"/>
      <c r="CC87" s="244"/>
      <c r="CD87" s="244"/>
      <c r="CE87" s="244"/>
      <c r="CF87" s="244"/>
      <c r="CG87" s="244"/>
      <c r="CH87" s="244"/>
      <c r="CI87" s="244"/>
      <c r="CJ87" s="244"/>
      <c r="CK87" s="244"/>
      <c r="CL87" s="244"/>
      <c r="CM87" s="244"/>
      <c r="CN87" s="244"/>
      <c r="CO87" s="244"/>
      <c r="CP87" s="244"/>
      <c r="CQ87" s="244"/>
      <c r="CR87" s="244"/>
      <c r="CS87" s="244"/>
      <c r="CT87" s="244"/>
      <c r="CU87" s="244"/>
      <c r="CV87" s="244"/>
      <c r="CW87" s="244"/>
      <c r="CX87" s="244"/>
      <c r="CY87" s="244"/>
      <c r="CZ87" s="244"/>
      <c r="DA87" s="244"/>
      <c r="DB87" s="244"/>
      <c r="DC87" s="244"/>
      <c r="DD87" s="244"/>
      <c r="DE87" s="244"/>
      <c r="DF87" s="244"/>
      <c r="DG87" s="244"/>
      <c r="DH87" s="244"/>
      <c r="DI87" s="244"/>
      <c r="DJ87" s="244"/>
      <c r="DK87" s="244"/>
      <c r="DL87" s="244"/>
      <c r="DM87" s="244"/>
      <c r="DN87" s="244"/>
      <c r="DO87" s="244"/>
      <c r="DP87" s="244"/>
      <c r="DQ87" s="244"/>
      <c r="DR87" s="244"/>
      <c r="DS87" s="244"/>
      <c r="DT87" s="244"/>
      <c r="DU87" s="244"/>
      <c r="DV87" s="244"/>
      <c r="DW87" s="244">
        <v>42095.445138888899</v>
      </c>
      <c r="DX87" s="244"/>
      <c r="DY87" s="244"/>
      <c r="DZ87" s="244"/>
      <c r="EA87" s="244"/>
      <c r="EB87" s="244"/>
      <c r="EC87" s="244">
        <v>42108.626388888901</v>
      </c>
      <c r="ED87" s="244">
        <v>41969</v>
      </c>
      <c r="EE87" s="244"/>
      <c r="EF87" s="244"/>
      <c r="EG87" s="244">
        <v>42110.425694444399</v>
      </c>
      <c r="EH87" s="244">
        <v>41918</v>
      </c>
      <c r="EI87" s="244"/>
      <c r="EJ87" s="244"/>
      <c r="EK87" s="244"/>
      <c r="EL87" s="244">
        <v>41969</v>
      </c>
      <c r="EM87" s="244">
        <v>41456</v>
      </c>
      <c r="EN87" s="244">
        <v>41456</v>
      </c>
      <c r="EO87" s="244">
        <v>41456</v>
      </c>
      <c r="EP87" s="244">
        <v>41456</v>
      </c>
      <c r="EQ87" s="244"/>
      <c r="ER87" s="244"/>
      <c r="ES87" s="244"/>
      <c r="ET87" s="244"/>
      <c r="EU87" s="244"/>
      <c r="EV87" s="244">
        <v>42110.425694444399</v>
      </c>
    </row>
    <row r="88" spans="1:152">
      <c r="A88" s="269" t="s">
        <v>158</v>
      </c>
      <c r="B88" s="244"/>
      <c r="C88" s="244">
        <v>42111.340277777803</v>
      </c>
      <c r="D88" s="244"/>
      <c r="E88" s="244">
        <v>42109.389583333301</v>
      </c>
      <c r="F88" s="244">
        <v>42108.843055555597</v>
      </c>
      <c r="G88" s="244"/>
      <c r="H88" s="244">
        <v>42104.018750000003</v>
      </c>
      <c r="I88" s="244"/>
      <c r="J88" s="244"/>
      <c r="K88" s="244">
        <v>42053.423611111102</v>
      </c>
      <c r="L88" s="244">
        <v>42053.427083333299</v>
      </c>
      <c r="M88" s="244">
        <v>42053.427083333299</v>
      </c>
      <c r="N88" s="244"/>
      <c r="O88" s="244"/>
      <c r="P88" s="244">
        <v>42089</v>
      </c>
      <c r="Q88" s="244">
        <v>42059</v>
      </c>
      <c r="R88" s="244">
        <v>42104.322222222203</v>
      </c>
      <c r="S88" s="244">
        <v>42041.089583333298</v>
      </c>
      <c r="T88" s="244"/>
      <c r="U88" s="244"/>
      <c r="V88" s="244">
        <v>42037.548611111102</v>
      </c>
      <c r="W88" s="244"/>
      <c r="X88" s="244">
        <v>42037.5493055556</v>
      </c>
      <c r="Y88" s="244"/>
      <c r="Z88" s="244"/>
      <c r="AA88" s="244">
        <v>42111.587500000001</v>
      </c>
      <c r="AB88" s="244"/>
      <c r="AC88" s="244">
        <v>42076.34375</v>
      </c>
      <c r="AD88" s="244"/>
      <c r="AE88" s="244"/>
      <c r="AF88" s="244"/>
      <c r="AG88" s="244">
        <v>40567</v>
      </c>
      <c r="AH88" s="244">
        <v>41968</v>
      </c>
      <c r="AI88" s="244"/>
      <c r="AJ88" s="244"/>
      <c r="AK88" s="244"/>
      <c r="AL88" s="244"/>
      <c r="AM88" s="244">
        <v>42068.404166666704</v>
      </c>
      <c r="AN88" s="244"/>
      <c r="AO88" s="244"/>
      <c r="AP88" s="244">
        <v>41963.5625</v>
      </c>
      <c r="AQ88" s="244">
        <v>41873</v>
      </c>
      <c r="AR88" s="244"/>
      <c r="AS88" s="244"/>
      <c r="AT88" s="244"/>
      <c r="AU88" s="244"/>
      <c r="AV88" s="244"/>
      <c r="AW88" s="244"/>
      <c r="AX88" s="244"/>
      <c r="AY88" s="244"/>
      <c r="AZ88" s="244"/>
      <c r="BA88" s="244"/>
      <c r="BB88" s="244"/>
      <c r="BC88" s="244"/>
      <c r="BD88" s="244">
        <v>42103.545138888898</v>
      </c>
      <c r="BE88" s="244">
        <v>41948.435416666704</v>
      </c>
      <c r="BF88" s="244">
        <v>41870</v>
      </c>
      <c r="BG88" s="244">
        <v>41774.617361111101</v>
      </c>
      <c r="BH88" s="244">
        <v>41779</v>
      </c>
      <c r="BI88" s="244">
        <v>41774.618055555598</v>
      </c>
      <c r="BJ88" s="244">
        <v>41774.618055555598</v>
      </c>
      <c r="BK88" s="244">
        <v>42075.397916666698</v>
      </c>
      <c r="BL88" s="244">
        <v>41774.618750000001</v>
      </c>
      <c r="BM88" s="244">
        <v>41772.508333333302</v>
      </c>
      <c r="BN88" s="244">
        <v>41857.6027777778</v>
      </c>
      <c r="BO88" s="244">
        <v>42091.416666666701</v>
      </c>
      <c r="BP88" s="244">
        <v>42091.417361111096</v>
      </c>
      <c r="BQ88" s="244"/>
      <c r="BR88" s="244">
        <v>41901</v>
      </c>
      <c r="BS88" s="244">
        <v>41402</v>
      </c>
      <c r="BT88" s="244"/>
      <c r="BU88" s="244"/>
      <c r="BV88" s="244"/>
      <c r="BW88" s="244"/>
      <c r="BX88" s="244"/>
      <c r="BY88" s="244"/>
      <c r="BZ88" s="244">
        <v>40360</v>
      </c>
      <c r="CA88" s="244">
        <v>40360</v>
      </c>
      <c r="CB88" s="244">
        <v>40360</v>
      </c>
      <c r="CC88" s="244">
        <v>40360</v>
      </c>
      <c r="CD88" s="244">
        <v>40360</v>
      </c>
      <c r="CE88" s="244">
        <v>40360</v>
      </c>
      <c r="CF88" s="244">
        <v>40391</v>
      </c>
      <c r="CG88" s="244">
        <v>40422</v>
      </c>
      <c r="CH88" s="244">
        <v>40422</v>
      </c>
      <c r="CI88" s="244">
        <v>40422</v>
      </c>
      <c r="CJ88" s="244">
        <v>40391</v>
      </c>
      <c r="CK88" s="244">
        <v>40391</v>
      </c>
      <c r="CL88" s="244">
        <v>40391</v>
      </c>
      <c r="CM88" s="244">
        <v>40391</v>
      </c>
      <c r="CN88" s="244">
        <v>40391</v>
      </c>
      <c r="CO88" s="244">
        <v>40391</v>
      </c>
      <c r="CP88" s="244">
        <v>40391</v>
      </c>
      <c r="CQ88" s="244">
        <v>40391</v>
      </c>
      <c r="CR88" s="244">
        <v>40391</v>
      </c>
      <c r="CS88" s="244">
        <v>41365</v>
      </c>
      <c r="CT88" s="244">
        <v>40391</v>
      </c>
      <c r="CU88" s="244">
        <v>40391</v>
      </c>
      <c r="CV88" s="244">
        <v>40391</v>
      </c>
      <c r="CW88" s="244"/>
      <c r="CX88" s="244"/>
      <c r="CY88" s="244"/>
      <c r="CZ88" s="244"/>
      <c r="DA88" s="244"/>
      <c r="DB88" s="244">
        <v>41479</v>
      </c>
      <c r="DC88" s="244">
        <v>40391</v>
      </c>
      <c r="DD88" s="244">
        <v>40391</v>
      </c>
      <c r="DE88" s="244"/>
      <c r="DF88" s="244"/>
      <c r="DG88" s="244">
        <v>42076.664583333302</v>
      </c>
      <c r="DH88" s="244">
        <v>42102.5847222222</v>
      </c>
      <c r="DI88" s="244">
        <v>42087.568749999999</v>
      </c>
      <c r="DJ88" s="244">
        <v>42104.020138888904</v>
      </c>
      <c r="DK88" s="244"/>
      <c r="DL88" s="244"/>
      <c r="DM88" s="244"/>
      <c r="DN88" s="244"/>
      <c r="DO88" s="244"/>
      <c r="DP88" s="244">
        <v>42013.711805555598</v>
      </c>
      <c r="DQ88" s="244">
        <v>42017</v>
      </c>
      <c r="DR88" s="244"/>
      <c r="DS88" s="244">
        <v>41946.643750000003</v>
      </c>
      <c r="DT88" s="244">
        <v>42043</v>
      </c>
      <c r="DU88" s="244"/>
      <c r="DV88" s="244"/>
      <c r="DW88" s="244">
        <v>42105.388888888898</v>
      </c>
      <c r="DX88" s="244">
        <v>41965.578472222202</v>
      </c>
      <c r="DY88" s="244"/>
      <c r="DZ88" s="244">
        <v>41886</v>
      </c>
      <c r="EA88" s="244"/>
      <c r="EB88" s="244">
        <v>42105.3125</v>
      </c>
      <c r="EC88" s="244">
        <v>42103.429861111101</v>
      </c>
      <c r="ED88" s="244">
        <v>41953.048611111102</v>
      </c>
      <c r="EE88" s="244">
        <v>42042.436111111099</v>
      </c>
      <c r="EF88" s="244">
        <v>42042.4375</v>
      </c>
      <c r="EG88" s="244">
        <v>41773.074999999997</v>
      </c>
      <c r="EH88" s="244"/>
      <c r="EI88" s="244"/>
      <c r="EJ88" s="244"/>
      <c r="EK88" s="244"/>
      <c r="EL88" s="244">
        <v>41456</v>
      </c>
      <c r="EM88" s="244">
        <v>41456</v>
      </c>
      <c r="EN88" s="244">
        <v>41456</v>
      </c>
      <c r="EO88" s="244">
        <v>41456</v>
      </c>
      <c r="EP88" s="244">
        <v>41456</v>
      </c>
      <c r="EQ88" s="244"/>
      <c r="ER88" s="244"/>
      <c r="ES88" s="244"/>
      <c r="ET88" s="244"/>
      <c r="EU88" s="244">
        <v>42111</v>
      </c>
      <c r="EV88" s="244">
        <v>42111.587500000001</v>
      </c>
    </row>
    <row r="89" spans="1:152">
      <c r="A89" s="270" t="s">
        <v>87</v>
      </c>
      <c r="B89" s="244"/>
      <c r="C89" s="244">
        <v>42111.340277777803</v>
      </c>
      <c r="D89" s="244"/>
      <c r="E89" s="244">
        <v>42109.389583333301</v>
      </c>
      <c r="F89" s="244">
        <v>42108.843055555597</v>
      </c>
      <c r="G89" s="244"/>
      <c r="H89" s="244">
        <v>42104.018750000003</v>
      </c>
      <c r="I89" s="244"/>
      <c r="J89" s="244"/>
      <c r="K89" s="244">
        <v>42053.423611111102</v>
      </c>
      <c r="L89" s="244">
        <v>42053.427083333299</v>
      </c>
      <c r="M89" s="244">
        <v>42053.427083333299</v>
      </c>
      <c r="N89" s="244"/>
      <c r="O89" s="244"/>
      <c r="P89" s="244">
        <v>42089</v>
      </c>
      <c r="Q89" s="244">
        <v>42059</v>
      </c>
      <c r="R89" s="244">
        <v>42104.322222222203</v>
      </c>
      <c r="S89" s="244">
        <v>42041.089583333298</v>
      </c>
      <c r="T89" s="244"/>
      <c r="U89" s="244"/>
      <c r="V89" s="244"/>
      <c r="W89" s="244"/>
      <c r="X89" s="244"/>
      <c r="Y89" s="244"/>
      <c r="Z89" s="244"/>
      <c r="AA89" s="244">
        <v>42111.587500000001</v>
      </c>
      <c r="AB89" s="244"/>
      <c r="AC89" s="244">
        <v>42076.34375</v>
      </c>
      <c r="AD89" s="244"/>
      <c r="AE89" s="244"/>
      <c r="AF89" s="244"/>
      <c r="AG89" s="244"/>
      <c r="AH89" s="244">
        <v>41968</v>
      </c>
      <c r="AI89" s="244"/>
      <c r="AJ89" s="244"/>
      <c r="AK89" s="244"/>
      <c r="AL89" s="244"/>
      <c r="AM89" s="244"/>
      <c r="AN89" s="244"/>
      <c r="AO89" s="244"/>
      <c r="AP89" s="244">
        <v>41963.5625</v>
      </c>
      <c r="AQ89" s="244">
        <v>41873</v>
      </c>
      <c r="AR89" s="244"/>
      <c r="AS89" s="244"/>
      <c r="AT89" s="244"/>
      <c r="AU89" s="244"/>
      <c r="AV89" s="244"/>
      <c r="AW89" s="244"/>
      <c r="AX89" s="244"/>
      <c r="AY89" s="244"/>
      <c r="AZ89" s="244"/>
      <c r="BA89" s="244"/>
      <c r="BB89" s="244"/>
      <c r="BC89" s="244"/>
      <c r="BD89" s="244">
        <v>42103.545138888898</v>
      </c>
      <c r="BE89" s="244">
        <v>41948.435416666704</v>
      </c>
      <c r="BF89" s="244">
        <v>41870</v>
      </c>
      <c r="BG89" s="244">
        <v>41774.617361111101</v>
      </c>
      <c r="BH89" s="244">
        <v>41779</v>
      </c>
      <c r="BI89" s="244">
        <v>41774.618055555598</v>
      </c>
      <c r="BJ89" s="244">
        <v>41774.618055555598</v>
      </c>
      <c r="BK89" s="244">
        <v>42075.397916666698</v>
      </c>
      <c r="BL89" s="244">
        <v>41774.618750000001</v>
      </c>
      <c r="BM89" s="244">
        <v>41772.508333333302</v>
      </c>
      <c r="BN89" s="244">
        <v>41857.6027777778</v>
      </c>
      <c r="BO89" s="244">
        <v>42091.416666666701</v>
      </c>
      <c r="BP89" s="244">
        <v>42091.417361111096</v>
      </c>
      <c r="BQ89" s="244"/>
      <c r="BR89" s="244">
        <v>41901</v>
      </c>
      <c r="BS89" s="244">
        <v>41402</v>
      </c>
      <c r="BT89" s="244"/>
      <c r="BU89" s="244"/>
      <c r="BV89" s="244"/>
      <c r="BW89" s="244"/>
      <c r="BX89" s="244"/>
      <c r="BY89" s="244"/>
      <c r="BZ89" s="244">
        <v>40360</v>
      </c>
      <c r="CA89" s="244">
        <v>40360</v>
      </c>
      <c r="CB89" s="244">
        <v>40360</v>
      </c>
      <c r="CC89" s="244">
        <v>40360</v>
      </c>
      <c r="CD89" s="244">
        <v>40360</v>
      </c>
      <c r="CE89" s="244">
        <v>40360</v>
      </c>
      <c r="CF89" s="244">
        <v>40391</v>
      </c>
      <c r="CG89" s="244">
        <v>40422</v>
      </c>
      <c r="CH89" s="244">
        <v>40422</v>
      </c>
      <c r="CI89" s="244">
        <v>40422</v>
      </c>
      <c r="CJ89" s="244">
        <v>40391</v>
      </c>
      <c r="CK89" s="244">
        <v>40391</v>
      </c>
      <c r="CL89" s="244">
        <v>40391</v>
      </c>
      <c r="CM89" s="244">
        <v>40391</v>
      </c>
      <c r="CN89" s="244">
        <v>40391</v>
      </c>
      <c r="CO89" s="244">
        <v>40391</v>
      </c>
      <c r="CP89" s="244">
        <v>40391</v>
      </c>
      <c r="CQ89" s="244">
        <v>40391</v>
      </c>
      <c r="CR89" s="244">
        <v>40391</v>
      </c>
      <c r="CS89" s="244">
        <v>41365</v>
      </c>
      <c r="CT89" s="244">
        <v>40391</v>
      </c>
      <c r="CU89" s="244">
        <v>40391</v>
      </c>
      <c r="CV89" s="244">
        <v>40391</v>
      </c>
      <c r="CW89" s="244"/>
      <c r="CX89" s="244"/>
      <c r="CY89" s="244"/>
      <c r="CZ89" s="244"/>
      <c r="DA89" s="244"/>
      <c r="DB89" s="244">
        <v>41479</v>
      </c>
      <c r="DC89" s="244">
        <v>40391</v>
      </c>
      <c r="DD89" s="244">
        <v>40391</v>
      </c>
      <c r="DE89" s="244"/>
      <c r="DF89" s="244"/>
      <c r="DG89" s="244">
        <v>42076.664583333302</v>
      </c>
      <c r="DH89" s="244">
        <v>42102.5847222222</v>
      </c>
      <c r="DI89" s="244">
        <v>42087.568749999999</v>
      </c>
      <c r="DJ89" s="244">
        <v>42104.020138888904</v>
      </c>
      <c r="DK89" s="244"/>
      <c r="DL89" s="244"/>
      <c r="DM89" s="244"/>
      <c r="DN89" s="244"/>
      <c r="DO89" s="244"/>
      <c r="DP89" s="244"/>
      <c r="DQ89" s="244"/>
      <c r="DR89" s="244"/>
      <c r="DS89" s="244"/>
      <c r="DT89" s="244"/>
      <c r="DU89" s="244"/>
      <c r="DV89" s="244"/>
      <c r="DW89" s="244"/>
      <c r="DX89" s="244"/>
      <c r="DY89" s="244"/>
      <c r="DZ89" s="244"/>
      <c r="EA89" s="244"/>
      <c r="EB89" s="244"/>
      <c r="EC89" s="244"/>
      <c r="ED89" s="244"/>
      <c r="EE89" s="244"/>
      <c r="EF89" s="244"/>
      <c r="EG89" s="244"/>
      <c r="EH89" s="244"/>
      <c r="EI89" s="244"/>
      <c r="EJ89" s="244"/>
      <c r="EK89" s="244"/>
      <c r="EL89" s="244"/>
      <c r="EM89" s="244"/>
      <c r="EN89" s="244"/>
      <c r="EO89" s="244"/>
      <c r="EP89" s="244"/>
      <c r="EQ89" s="244"/>
      <c r="ER89" s="244"/>
      <c r="ES89" s="244"/>
      <c r="ET89" s="244"/>
      <c r="EU89" s="244">
        <v>42111</v>
      </c>
      <c r="EV89" s="244">
        <v>42111.587500000001</v>
      </c>
    </row>
    <row r="90" spans="1:152">
      <c r="A90" s="270" t="s">
        <v>172</v>
      </c>
      <c r="B90" s="244"/>
      <c r="C90" s="244"/>
      <c r="D90" s="244"/>
      <c r="E90" s="244">
        <v>42053.425694444399</v>
      </c>
      <c r="F90" s="244"/>
      <c r="G90" s="244"/>
      <c r="H90" s="244"/>
      <c r="I90" s="244"/>
      <c r="J90" s="244"/>
      <c r="K90" s="244"/>
      <c r="L90" s="244"/>
      <c r="M90" s="244"/>
      <c r="N90" s="244"/>
      <c r="O90" s="244"/>
      <c r="P90" s="244">
        <v>42042.381944444402</v>
      </c>
      <c r="Q90" s="244"/>
      <c r="R90" s="244"/>
      <c r="S90" s="244"/>
      <c r="T90" s="244"/>
      <c r="U90" s="244"/>
      <c r="V90" s="244">
        <v>42037.548611111102</v>
      </c>
      <c r="W90" s="244"/>
      <c r="X90" s="244">
        <v>42037.5493055556</v>
      </c>
      <c r="Y90" s="244"/>
      <c r="Z90" s="244"/>
      <c r="AA90" s="244"/>
      <c r="AB90" s="244"/>
      <c r="AC90" s="244"/>
      <c r="AD90" s="244"/>
      <c r="AE90" s="244"/>
      <c r="AF90" s="244"/>
      <c r="AG90" s="244">
        <v>40567</v>
      </c>
      <c r="AH90" s="244"/>
      <c r="AI90" s="244"/>
      <c r="AJ90" s="244"/>
      <c r="AK90" s="244"/>
      <c r="AL90" s="244"/>
      <c r="AM90" s="244">
        <v>42068.404166666704</v>
      </c>
      <c r="AN90" s="244"/>
      <c r="AO90" s="244"/>
      <c r="AP90" s="244"/>
      <c r="AQ90" s="244"/>
      <c r="AR90" s="244"/>
      <c r="AS90" s="244"/>
      <c r="AT90" s="244"/>
      <c r="AU90" s="244"/>
      <c r="AV90" s="244"/>
      <c r="AW90" s="244"/>
      <c r="AX90" s="244"/>
      <c r="AY90" s="244"/>
      <c r="AZ90" s="244"/>
      <c r="BA90" s="244"/>
      <c r="BB90" s="244"/>
      <c r="BC90" s="244"/>
      <c r="BD90" s="244"/>
      <c r="BE90" s="244"/>
      <c r="BF90" s="244"/>
      <c r="BG90" s="244"/>
      <c r="BH90" s="244"/>
      <c r="BI90" s="244"/>
      <c r="BJ90" s="244"/>
      <c r="BK90" s="244"/>
      <c r="BL90" s="244"/>
      <c r="BM90" s="244"/>
      <c r="BN90" s="244"/>
      <c r="BO90" s="244"/>
      <c r="BP90" s="244"/>
      <c r="BQ90" s="244"/>
      <c r="BR90" s="244"/>
      <c r="BS90" s="244"/>
      <c r="BT90" s="244"/>
      <c r="BU90" s="244"/>
      <c r="BV90" s="244"/>
      <c r="BW90" s="244"/>
      <c r="BX90" s="244"/>
      <c r="BY90" s="244"/>
      <c r="BZ90" s="244"/>
      <c r="CA90" s="244"/>
      <c r="CB90" s="244"/>
      <c r="CC90" s="244"/>
      <c r="CD90" s="244"/>
      <c r="CE90" s="244"/>
      <c r="CF90" s="244"/>
      <c r="CG90" s="244"/>
      <c r="CH90" s="244"/>
      <c r="CI90" s="244"/>
      <c r="CJ90" s="244"/>
      <c r="CK90" s="244"/>
      <c r="CL90" s="244"/>
      <c r="CM90" s="244"/>
      <c r="CN90" s="244"/>
      <c r="CO90" s="244"/>
      <c r="CP90" s="244"/>
      <c r="CQ90" s="244"/>
      <c r="CR90" s="244"/>
      <c r="CS90" s="244"/>
      <c r="CT90" s="244"/>
      <c r="CU90" s="244"/>
      <c r="CV90" s="244"/>
      <c r="CW90" s="244"/>
      <c r="CX90" s="244"/>
      <c r="CY90" s="244"/>
      <c r="CZ90" s="244"/>
      <c r="DA90" s="244"/>
      <c r="DB90" s="244"/>
      <c r="DC90" s="244"/>
      <c r="DD90" s="244"/>
      <c r="DE90" s="244"/>
      <c r="DF90" s="244"/>
      <c r="DG90" s="244"/>
      <c r="DH90" s="244"/>
      <c r="DI90" s="244"/>
      <c r="DJ90" s="244"/>
      <c r="DK90" s="244"/>
      <c r="DL90" s="244"/>
      <c r="DM90" s="244"/>
      <c r="DN90" s="244"/>
      <c r="DO90" s="244"/>
      <c r="DP90" s="244">
        <v>42013.711805555598</v>
      </c>
      <c r="DQ90" s="244">
        <v>42017</v>
      </c>
      <c r="DR90" s="244"/>
      <c r="DS90" s="244">
        <v>41946.643750000003</v>
      </c>
      <c r="DT90" s="244">
        <v>42043</v>
      </c>
      <c r="DU90" s="244"/>
      <c r="DV90" s="244"/>
      <c r="DW90" s="244"/>
      <c r="DX90" s="244">
        <v>41965.578472222202</v>
      </c>
      <c r="DY90" s="244"/>
      <c r="DZ90" s="244">
        <v>41886</v>
      </c>
      <c r="EA90" s="244"/>
      <c r="EB90" s="244"/>
      <c r="EC90" s="244"/>
      <c r="ED90" s="244"/>
      <c r="EE90" s="244"/>
      <c r="EF90" s="244"/>
      <c r="EG90" s="244"/>
      <c r="EH90" s="244"/>
      <c r="EI90" s="244"/>
      <c r="EJ90" s="244"/>
      <c r="EK90" s="244"/>
      <c r="EL90" s="244"/>
      <c r="EM90" s="244"/>
      <c r="EN90" s="244"/>
      <c r="EO90" s="244"/>
      <c r="EP90" s="244"/>
      <c r="EQ90" s="244"/>
      <c r="ER90" s="244"/>
      <c r="ES90" s="244"/>
      <c r="ET90" s="244"/>
      <c r="EU90" s="244"/>
      <c r="EV90" s="244">
        <v>42068.404166666704</v>
      </c>
    </row>
    <row r="91" spans="1:152">
      <c r="A91" s="270" t="s">
        <v>173</v>
      </c>
      <c r="B91" s="244"/>
      <c r="C91" s="244"/>
      <c r="D91" s="244"/>
      <c r="E91" s="244"/>
      <c r="F91" s="244"/>
      <c r="G91" s="244"/>
      <c r="H91" s="244"/>
      <c r="I91" s="244"/>
      <c r="J91" s="244"/>
      <c r="K91" s="244"/>
      <c r="L91" s="244"/>
      <c r="M91" s="244"/>
      <c r="N91" s="244"/>
      <c r="O91" s="244"/>
      <c r="P91" s="244"/>
      <c r="Q91" s="244"/>
      <c r="R91" s="244"/>
      <c r="S91" s="244"/>
      <c r="T91" s="244"/>
      <c r="U91" s="244"/>
      <c r="V91" s="244"/>
      <c r="W91" s="244"/>
      <c r="X91" s="244"/>
      <c r="Y91" s="244"/>
      <c r="Z91" s="244"/>
      <c r="AA91" s="244"/>
      <c r="AB91" s="244"/>
      <c r="AC91" s="244"/>
      <c r="AD91" s="244"/>
      <c r="AE91" s="244"/>
      <c r="AF91" s="244"/>
      <c r="AG91" s="244"/>
      <c r="AH91" s="244"/>
      <c r="AI91" s="244"/>
      <c r="AJ91" s="244"/>
      <c r="AK91" s="244"/>
      <c r="AL91" s="244"/>
      <c r="AM91" s="244"/>
      <c r="AN91" s="244"/>
      <c r="AO91" s="244"/>
      <c r="AP91" s="244"/>
      <c r="AQ91" s="244"/>
      <c r="AR91" s="244"/>
      <c r="AS91" s="244"/>
      <c r="AT91" s="244"/>
      <c r="AU91" s="244"/>
      <c r="AV91" s="244"/>
      <c r="AW91" s="244"/>
      <c r="AX91" s="244"/>
      <c r="AY91" s="244"/>
      <c r="AZ91" s="244"/>
      <c r="BA91" s="244"/>
      <c r="BB91" s="244"/>
      <c r="BC91" s="244"/>
      <c r="BD91" s="244"/>
      <c r="BE91" s="244"/>
      <c r="BF91" s="244"/>
      <c r="BG91" s="244"/>
      <c r="BH91" s="244"/>
      <c r="BI91" s="244"/>
      <c r="BJ91" s="244"/>
      <c r="BK91" s="244"/>
      <c r="BL91" s="244"/>
      <c r="BM91" s="244"/>
      <c r="BN91" s="244"/>
      <c r="BO91" s="244"/>
      <c r="BP91" s="244"/>
      <c r="BQ91" s="244"/>
      <c r="BR91" s="244"/>
      <c r="BS91" s="244"/>
      <c r="BT91" s="244"/>
      <c r="BU91" s="244"/>
      <c r="BV91" s="244"/>
      <c r="BW91" s="244"/>
      <c r="BX91" s="244"/>
      <c r="BY91" s="244"/>
      <c r="BZ91" s="244"/>
      <c r="CA91" s="244"/>
      <c r="CB91" s="244"/>
      <c r="CC91" s="244"/>
      <c r="CD91" s="244"/>
      <c r="CE91" s="244"/>
      <c r="CF91" s="244"/>
      <c r="CG91" s="244"/>
      <c r="CH91" s="244"/>
      <c r="CI91" s="244"/>
      <c r="CJ91" s="244"/>
      <c r="CK91" s="244"/>
      <c r="CL91" s="244"/>
      <c r="CM91" s="244"/>
      <c r="CN91" s="244"/>
      <c r="CO91" s="244"/>
      <c r="CP91" s="244"/>
      <c r="CQ91" s="244"/>
      <c r="CR91" s="244"/>
      <c r="CS91" s="244"/>
      <c r="CT91" s="244"/>
      <c r="CU91" s="244"/>
      <c r="CV91" s="244"/>
      <c r="CW91" s="244"/>
      <c r="CX91" s="244"/>
      <c r="CY91" s="244"/>
      <c r="CZ91" s="244"/>
      <c r="DA91" s="244"/>
      <c r="DB91" s="244"/>
      <c r="DC91" s="244"/>
      <c r="DD91" s="244"/>
      <c r="DE91" s="244"/>
      <c r="DF91" s="244"/>
      <c r="DG91" s="244"/>
      <c r="DH91" s="244"/>
      <c r="DI91" s="244"/>
      <c r="DJ91" s="244"/>
      <c r="DK91" s="244"/>
      <c r="DL91" s="244"/>
      <c r="DM91" s="244"/>
      <c r="DN91" s="244"/>
      <c r="DO91" s="244"/>
      <c r="DP91" s="244"/>
      <c r="DQ91" s="244"/>
      <c r="DR91" s="244"/>
      <c r="DS91" s="244"/>
      <c r="DT91" s="244"/>
      <c r="DU91" s="244"/>
      <c r="DV91" s="244"/>
      <c r="DW91" s="244">
        <v>42105.388888888898</v>
      </c>
      <c r="DX91" s="244"/>
      <c r="DY91" s="244"/>
      <c r="DZ91" s="244"/>
      <c r="EA91" s="244"/>
      <c r="EB91" s="244">
        <v>42105.3125</v>
      </c>
      <c r="EC91" s="244">
        <v>42103.429861111101</v>
      </c>
      <c r="ED91" s="244">
        <v>41953.048611111102</v>
      </c>
      <c r="EE91" s="244">
        <v>42042.436111111099</v>
      </c>
      <c r="EF91" s="244">
        <v>42042.4375</v>
      </c>
      <c r="EG91" s="244">
        <v>41773.074999999997</v>
      </c>
      <c r="EH91" s="244"/>
      <c r="EI91" s="244"/>
      <c r="EJ91" s="244"/>
      <c r="EK91" s="244"/>
      <c r="EL91" s="244">
        <v>41456</v>
      </c>
      <c r="EM91" s="244">
        <v>41456</v>
      </c>
      <c r="EN91" s="244">
        <v>41456</v>
      </c>
      <c r="EO91" s="244">
        <v>41456</v>
      </c>
      <c r="EP91" s="244">
        <v>41456</v>
      </c>
      <c r="EQ91" s="244"/>
      <c r="ER91" s="244"/>
      <c r="ES91" s="244"/>
      <c r="ET91" s="244"/>
      <c r="EU91" s="244"/>
      <c r="EV91" s="244">
        <v>42105.388888888898</v>
      </c>
    </row>
    <row r="92" spans="1:152">
      <c r="A92" s="269" t="s">
        <v>159</v>
      </c>
      <c r="B92" s="244"/>
      <c r="C92" s="244">
        <v>42111.368055555598</v>
      </c>
      <c r="D92" s="244"/>
      <c r="E92" s="244">
        <v>42111.590972222199</v>
      </c>
      <c r="F92" s="244">
        <v>42104.570833333302</v>
      </c>
      <c r="G92" s="244"/>
      <c r="H92" s="244">
        <v>42104.5715277778</v>
      </c>
      <c r="I92" s="244"/>
      <c r="J92" s="244"/>
      <c r="K92" s="244">
        <v>42059</v>
      </c>
      <c r="L92" s="244">
        <v>42059</v>
      </c>
      <c r="M92" s="244">
        <v>42059</v>
      </c>
      <c r="N92" s="244"/>
      <c r="O92" s="244"/>
      <c r="P92" s="244">
        <v>42107.413194444402</v>
      </c>
      <c r="Q92" s="244">
        <v>42047.413888888899</v>
      </c>
      <c r="R92" s="244">
        <v>42107.426388888904</v>
      </c>
      <c r="S92" s="244">
        <v>42058.863888888904</v>
      </c>
      <c r="T92" s="244"/>
      <c r="U92" s="244"/>
      <c r="V92" s="244">
        <v>41964.646527777797</v>
      </c>
      <c r="W92" s="244"/>
      <c r="X92" s="244">
        <v>41991.433333333298</v>
      </c>
      <c r="Y92" s="244"/>
      <c r="Z92" s="244"/>
      <c r="AA92" s="244">
        <v>42105</v>
      </c>
      <c r="AB92" s="244"/>
      <c r="AC92" s="244">
        <v>42072</v>
      </c>
      <c r="AD92" s="244"/>
      <c r="AE92" s="244"/>
      <c r="AF92" s="244"/>
      <c r="AG92" s="244">
        <v>40597</v>
      </c>
      <c r="AH92" s="244">
        <v>41842.535416666702</v>
      </c>
      <c r="AI92" s="244"/>
      <c r="AJ92" s="244"/>
      <c r="AK92" s="244"/>
      <c r="AL92" s="244"/>
      <c r="AM92" s="244"/>
      <c r="AN92" s="244"/>
      <c r="AO92" s="244"/>
      <c r="AP92" s="244">
        <v>41933.657638888901</v>
      </c>
      <c r="AQ92" s="244">
        <v>41933</v>
      </c>
      <c r="AR92" s="244"/>
      <c r="AS92" s="244"/>
      <c r="AT92" s="244"/>
      <c r="AU92" s="244"/>
      <c r="AV92" s="244"/>
      <c r="AW92" s="244"/>
      <c r="AX92" s="244"/>
      <c r="AY92" s="244"/>
      <c r="AZ92" s="244"/>
      <c r="BA92" s="244"/>
      <c r="BB92" s="244"/>
      <c r="BC92" s="244"/>
      <c r="BD92" s="244">
        <v>42081.367361111101</v>
      </c>
      <c r="BE92" s="244">
        <v>41958.711805555598</v>
      </c>
      <c r="BF92" s="244">
        <v>41901</v>
      </c>
      <c r="BG92" s="244">
        <v>41989</v>
      </c>
      <c r="BH92" s="244">
        <v>41789.46875</v>
      </c>
      <c r="BI92" s="244">
        <v>41989</v>
      </c>
      <c r="BJ92" s="244">
        <v>41989</v>
      </c>
      <c r="BK92" s="244">
        <v>41907</v>
      </c>
      <c r="BL92" s="244">
        <v>41989</v>
      </c>
      <c r="BM92" s="244">
        <v>41779.730555555601</v>
      </c>
      <c r="BN92" s="244">
        <v>41787</v>
      </c>
      <c r="BO92" s="244">
        <v>41789.671527777798</v>
      </c>
      <c r="BP92" s="244">
        <v>41789.673611111102</v>
      </c>
      <c r="BQ92" s="244"/>
      <c r="BR92" s="244">
        <v>41901</v>
      </c>
      <c r="BS92" s="244">
        <v>41414</v>
      </c>
      <c r="BT92" s="244"/>
      <c r="BU92" s="244"/>
      <c r="BV92" s="244"/>
      <c r="BW92" s="244"/>
      <c r="BX92" s="244"/>
      <c r="BY92" s="244"/>
      <c r="BZ92" s="244">
        <v>40391</v>
      </c>
      <c r="CA92" s="244">
        <v>40391</v>
      </c>
      <c r="CB92" s="244">
        <v>40391</v>
      </c>
      <c r="CC92" s="244">
        <v>40391</v>
      </c>
      <c r="CD92" s="244">
        <v>40391</v>
      </c>
      <c r="CE92" s="244">
        <v>40391</v>
      </c>
      <c r="CF92" s="244">
        <v>40422</v>
      </c>
      <c r="CG92" s="244">
        <v>40422</v>
      </c>
      <c r="CH92" s="244">
        <v>39722</v>
      </c>
      <c r="CI92" s="244">
        <v>40452</v>
      </c>
      <c r="CJ92" s="244">
        <v>40422</v>
      </c>
      <c r="CK92" s="244">
        <v>40422</v>
      </c>
      <c r="CL92" s="244">
        <v>40422</v>
      </c>
      <c r="CM92" s="244">
        <v>40422</v>
      </c>
      <c r="CN92" s="244">
        <v>40422</v>
      </c>
      <c r="CO92" s="244">
        <v>40422</v>
      </c>
      <c r="CP92" s="244">
        <v>40422</v>
      </c>
      <c r="CQ92" s="244">
        <v>40422</v>
      </c>
      <c r="CR92" s="244">
        <v>40422</v>
      </c>
      <c r="CS92" s="244">
        <v>38018</v>
      </c>
      <c r="CT92" s="244">
        <v>40422</v>
      </c>
      <c r="CU92" s="244">
        <v>40422</v>
      </c>
      <c r="CV92" s="244">
        <v>40422</v>
      </c>
      <c r="CW92" s="244"/>
      <c r="CX92" s="244"/>
      <c r="CY92" s="244"/>
      <c r="CZ92" s="244"/>
      <c r="DA92" s="244"/>
      <c r="DB92" s="244">
        <v>41416</v>
      </c>
      <c r="DC92" s="244">
        <v>40422</v>
      </c>
      <c r="DD92" s="244">
        <v>40422</v>
      </c>
      <c r="DE92" s="244"/>
      <c r="DF92" s="244"/>
      <c r="DG92" s="244">
        <v>42092.493750000001</v>
      </c>
      <c r="DH92" s="244">
        <v>42104.686805555597</v>
      </c>
      <c r="DI92" s="244">
        <v>42071</v>
      </c>
      <c r="DJ92" s="244">
        <v>42104.572222222203</v>
      </c>
      <c r="DK92" s="244"/>
      <c r="DL92" s="244"/>
      <c r="DM92" s="244"/>
      <c r="DN92" s="244"/>
      <c r="DO92" s="244"/>
      <c r="DP92" s="244">
        <v>42045.493055555598</v>
      </c>
      <c r="DQ92" s="244">
        <v>42017</v>
      </c>
      <c r="DR92" s="244"/>
      <c r="DS92" s="244">
        <v>41972.452777777798</v>
      </c>
      <c r="DT92" s="244">
        <v>42043.621527777803</v>
      </c>
      <c r="DU92" s="244"/>
      <c r="DV92" s="244"/>
      <c r="DW92" s="244">
        <v>42110.40625</v>
      </c>
      <c r="DX92" s="244">
        <v>42028.702083333301</v>
      </c>
      <c r="DY92" s="244"/>
      <c r="DZ92" s="244">
        <v>41890</v>
      </c>
      <c r="EA92" s="244"/>
      <c r="EB92" s="244">
        <v>42107.427083333299</v>
      </c>
      <c r="EC92" s="244">
        <v>42109.4909722222</v>
      </c>
      <c r="ED92" s="244">
        <v>42094.635416666701</v>
      </c>
      <c r="EE92" s="244"/>
      <c r="EF92" s="244"/>
      <c r="EG92" s="244">
        <v>42094</v>
      </c>
      <c r="EH92" s="244"/>
      <c r="EI92" s="244"/>
      <c r="EJ92" s="244"/>
      <c r="EK92" s="244"/>
      <c r="EL92" s="244"/>
      <c r="EM92" s="244">
        <v>41456</v>
      </c>
      <c r="EN92" s="244">
        <v>41456</v>
      </c>
      <c r="EO92" s="244">
        <v>41456</v>
      </c>
      <c r="EP92" s="244">
        <v>41456</v>
      </c>
      <c r="EQ92" s="244"/>
      <c r="ER92" s="244"/>
      <c r="ES92" s="244"/>
      <c r="ET92" s="244"/>
      <c r="EU92" s="244"/>
      <c r="EV92" s="244">
        <v>42111.590972222199</v>
      </c>
    </row>
    <row r="93" spans="1:152">
      <c r="A93" s="270" t="s">
        <v>87</v>
      </c>
      <c r="B93" s="244"/>
      <c r="C93" s="244">
        <v>42111.368055555598</v>
      </c>
      <c r="D93" s="244"/>
      <c r="E93" s="244">
        <v>42111.590972222199</v>
      </c>
      <c r="F93" s="244">
        <v>42104.570833333302</v>
      </c>
      <c r="G93" s="244"/>
      <c r="H93" s="244">
        <v>42104.5715277778</v>
      </c>
      <c r="I93" s="244"/>
      <c r="J93" s="244"/>
      <c r="K93" s="244">
        <v>42059</v>
      </c>
      <c r="L93" s="244">
        <v>42059</v>
      </c>
      <c r="M93" s="244">
        <v>42059</v>
      </c>
      <c r="N93" s="244"/>
      <c r="O93" s="244"/>
      <c r="P93" s="244">
        <v>42107.413194444402</v>
      </c>
      <c r="Q93" s="244">
        <v>42047.413888888899</v>
      </c>
      <c r="R93" s="244">
        <v>42107.426388888904</v>
      </c>
      <c r="S93" s="244">
        <v>42058.863888888904</v>
      </c>
      <c r="T93" s="244"/>
      <c r="U93" s="244"/>
      <c r="V93" s="244"/>
      <c r="W93" s="244"/>
      <c r="X93" s="244"/>
      <c r="Y93" s="244"/>
      <c r="Z93" s="244"/>
      <c r="AA93" s="244">
        <v>42105</v>
      </c>
      <c r="AB93" s="244"/>
      <c r="AC93" s="244">
        <v>42072</v>
      </c>
      <c r="AD93" s="244"/>
      <c r="AE93" s="244"/>
      <c r="AF93" s="244"/>
      <c r="AG93" s="244"/>
      <c r="AH93" s="244">
        <v>41842.535416666702</v>
      </c>
      <c r="AI93" s="244"/>
      <c r="AJ93" s="244"/>
      <c r="AK93" s="244"/>
      <c r="AL93" s="244"/>
      <c r="AM93" s="244"/>
      <c r="AN93" s="244"/>
      <c r="AO93" s="244"/>
      <c r="AP93" s="244">
        <v>41933.657638888901</v>
      </c>
      <c r="AQ93" s="244">
        <v>41933</v>
      </c>
      <c r="AR93" s="244"/>
      <c r="AS93" s="244"/>
      <c r="AT93" s="244"/>
      <c r="AU93" s="244"/>
      <c r="AV93" s="244"/>
      <c r="AW93" s="244"/>
      <c r="AX93" s="244"/>
      <c r="AY93" s="244"/>
      <c r="AZ93" s="244"/>
      <c r="BA93" s="244"/>
      <c r="BB93" s="244"/>
      <c r="BC93" s="244"/>
      <c r="BD93" s="244">
        <v>42081.367361111101</v>
      </c>
      <c r="BE93" s="244">
        <v>41958.711805555598</v>
      </c>
      <c r="BF93" s="244">
        <v>41901</v>
      </c>
      <c r="BG93" s="244">
        <v>41989</v>
      </c>
      <c r="BH93" s="244">
        <v>41789.46875</v>
      </c>
      <c r="BI93" s="244">
        <v>41989</v>
      </c>
      <c r="BJ93" s="244">
        <v>41989</v>
      </c>
      <c r="BK93" s="244">
        <v>41907</v>
      </c>
      <c r="BL93" s="244">
        <v>41989</v>
      </c>
      <c r="BM93" s="244">
        <v>41779.730555555601</v>
      </c>
      <c r="BN93" s="244">
        <v>41787</v>
      </c>
      <c r="BO93" s="244">
        <v>41789.671527777798</v>
      </c>
      <c r="BP93" s="244">
        <v>41789.673611111102</v>
      </c>
      <c r="BQ93" s="244"/>
      <c r="BR93" s="244">
        <v>41901</v>
      </c>
      <c r="BS93" s="244">
        <v>41414</v>
      </c>
      <c r="BT93" s="244"/>
      <c r="BU93" s="244"/>
      <c r="BV93" s="244"/>
      <c r="BW93" s="244"/>
      <c r="BX93" s="244"/>
      <c r="BY93" s="244"/>
      <c r="BZ93" s="244">
        <v>40391</v>
      </c>
      <c r="CA93" s="244">
        <v>40391</v>
      </c>
      <c r="CB93" s="244">
        <v>40391</v>
      </c>
      <c r="CC93" s="244">
        <v>40391</v>
      </c>
      <c r="CD93" s="244">
        <v>40391</v>
      </c>
      <c r="CE93" s="244">
        <v>40391</v>
      </c>
      <c r="CF93" s="244">
        <v>40422</v>
      </c>
      <c r="CG93" s="244">
        <v>40422</v>
      </c>
      <c r="CH93" s="244">
        <v>39722</v>
      </c>
      <c r="CI93" s="244">
        <v>40452</v>
      </c>
      <c r="CJ93" s="244">
        <v>40422</v>
      </c>
      <c r="CK93" s="244">
        <v>40422</v>
      </c>
      <c r="CL93" s="244">
        <v>40422</v>
      </c>
      <c r="CM93" s="244">
        <v>40422</v>
      </c>
      <c r="CN93" s="244">
        <v>40422</v>
      </c>
      <c r="CO93" s="244">
        <v>40422</v>
      </c>
      <c r="CP93" s="244">
        <v>40422</v>
      </c>
      <c r="CQ93" s="244">
        <v>40422</v>
      </c>
      <c r="CR93" s="244">
        <v>40422</v>
      </c>
      <c r="CS93" s="244">
        <v>38018</v>
      </c>
      <c r="CT93" s="244">
        <v>40422</v>
      </c>
      <c r="CU93" s="244">
        <v>40422</v>
      </c>
      <c r="CV93" s="244">
        <v>40422</v>
      </c>
      <c r="CW93" s="244"/>
      <c r="CX93" s="244"/>
      <c r="CY93" s="244"/>
      <c r="CZ93" s="244"/>
      <c r="DA93" s="244"/>
      <c r="DB93" s="244">
        <v>41416</v>
      </c>
      <c r="DC93" s="244">
        <v>40422</v>
      </c>
      <c r="DD93" s="244">
        <v>40422</v>
      </c>
      <c r="DE93" s="244"/>
      <c r="DF93" s="244"/>
      <c r="DG93" s="244">
        <v>42092.493750000001</v>
      </c>
      <c r="DH93" s="244">
        <v>42104.686805555597</v>
      </c>
      <c r="DI93" s="244">
        <v>42071</v>
      </c>
      <c r="DJ93" s="244">
        <v>42104.572222222203</v>
      </c>
      <c r="DK93" s="244"/>
      <c r="DL93" s="244"/>
      <c r="DM93" s="244"/>
      <c r="DN93" s="244"/>
      <c r="DO93" s="244"/>
      <c r="DP93" s="244"/>
      <c r="DQ93" s="244"/>
      <c r="DR93" s="244"/>
      <c r="DS93" s="244"/>
      <c r="DT93" s="244"/>
      <c r="DU93" s="244"/>
      <c r="DV93" s="244"/>
      <c r="DW93" s="244"/>
      <c r="DX93" s="244"/>
      <c r="DY93" s="244"/>
      <c r="DZ93" s="244"/>
      <c r="EA93" s="244"/>
      <c r="EB93" s="244"/>
      <c r="EC93" s="244"/>
      <c r="ED93" s="244"/>
      <c r="EE93" s="244"/>
      <c r="EF93" s="244"/>
      <c r="EG93" s="244"/>
      <c r="EH93" s="244"/>
      <c r="EI93" s="244"/>
      <c r="EJ93" s="244"/>
      <c r="EK93" s="244"/>
      <c r="EL93" s="244"/>
      <c r="EM93" s="244"/>
      <c r="EN93" s="244"/>
      <c r="EO93" s="244"/>
      <c r="EP93" s="244"/>
      <c r="EQ93" s="244"/>
      <c r="ER93" s="244"/>
      <c r="ES93" s="244"/>
      <c r="ET93" s="244"/>
      <c r="EU93" s="244"/>
      <c r="EV93" s="244">
        <v>42111.590972222199</v>
      </c>
    </row>
    <row r="94" spans="1:152">
      <c r="A94" s="270" t="s">
        <v>172</v>
      </c>
      <c r="B94" s="244"/>
      <c r="C94" s="244"/>
      <c r="D94" s="244"/>
      <c r="E94" s="244">
        <v>42058.373611111099</v>
      </c>
      <c r="F94" s="244"/>
      <c r="G94" s="244"/>
      <c r="H94" s="244"/>
      <c r="I94" s="244"/>
      <c r="J94" s="244"/>
      <c r="K94" s="244"/>
      <c r="L94" s="244"/>
      <c r="M94" s="244"/>
      <c r="N94" s="244"/>
      <c r="O94" s="244"/>
      <c r="P94" s="244">
        <v>41990.465972222199</v>
      </c>
      <c r="Q94" s="244"/>
      <c r="R94" s="244"/>
      <c r="S94" s="244"/>
      <c r="T94" s="244"/>
      <c r="U94" s="244"/>
      <c r="V94" s="244">
        <v>41964.646527777797</v>
      </c>
      <c r="W94" s="244"/>
      <c r="X94" s="244">
        <v>41991.433333333298</v>
      </c>
      <c r="Y94" s="244"/>
      <c r="Z94" s="244"/>
      <c r="AA94" s="244"/>
      <c r="AB94" s="244"/>
      <c r="AC94" s="244"/>
      <c r="AD94" s="244"/>
      <c r="AE94" s="244"/>
      <c r="AF94" s="244"/>
      <c r="AG94" s="244">
        <v>40597</v>
      </c>
      <c r="AH94" s="244"/>
      <c r="AI94" s="244"/>
      <c r="AJ94" s="244"/>
      <c r="AK94" s="244"/>
      <c r="AL94" s="244"/>
      <c r="AM94" s="244"/>
      <c r="AN94" s="244"/>
      <c r="AO94" s="244"/>
      <c r="AP94" s="244"/>
      <c r="AQ94" s="244"/>
      <c r="AR94" s="244"/>
      <c r="AS94" s="244"/>
      <c r="AT94" s="244"/>
      <c r="AU94" s="244"/>
      <c r="AV94" s="244"/>
      <c r="AW94" s="244"/>
      <c r="AX94" s="244"/>
      <c r="AY94" s="244"/>
      <c r="AZ94" s="244"/>
      <c r="BA94" s="244"/>
      <c r="BB94" s="244"/>
      <c r="BC94" s="244"/>
      <c r="BD94" s="244"/>
      <c r="BE94" s="244"/>
      <c r="BF94" s="244"/>
      <c r="BG94" s="244"/>
      <c r="BH94" s="244"/>
      <c r="BI94" s="244"/>
      <c r="BJ94" s="244"/>
      <c r="BK94" s="244"/>
      <c r="BL94" s="244"/>
      <c r="BM94" s="244"/>
      <c r="BN94" s="244"/>
      <c r="BO94" s="244"/>
      <c r="BP94" s="244"/>
      <c r="BQ94" s="244"/>
      <c r="BR94" s="244"/>
      <c r="BS94" s="244"/>
      <c r="BT94" s="244"/>
      <c r="BU94" s="244"/>
      <c r="BV94" s="244"/>
      <c r="BW94" s="244"/>
      <c r="BX94" s="244"/>
      <c r="BY94" s="244"/>
      <c r="BZ94" s="244"/>
      <c r="CA94" s="244"/>
      <c r="CB94" s="244"/>
      <c r="CC94" s="244"/>
      <c r="CD94" s="244"/>
      <c r="CE94" s="244"/>
      <c r="CF94" s="244"/>
      <c r="CG94" s="244"/>
      <c r="CH94" s="244"/>
      <c r="CI94" s="244"/>
      <c r="CJ94" s="244"/>
      <c r="CK94" s="244"/>
      <c r="CL94" s="244"/>
      <c r="CM94" s="244"/>
      <c r="CN94" s="244"/>
      <c r="CO94" s="244"/>
      <c r="CP94" s="244"/>
      <c r="CQ94" s="244"/>
      <c r="CR94" s="244"/>
      <c r="CS94" s="244"/>
      <c r="CT94" s="244"/>
      <c r="CU94" s="244"/>
      <c r="CV94" s="244"/>
      <c r="CW94" s="244"/>
      <c r="CX94" s="244"/>
      <c r="CY94" s="244"/>
      <c r="CZ94" s="244"/>
      <c r="DA94" s="244"/>
      <c r="DB94" s="244"/>
      <c r="DC94" s="244"/>
      <c r="DD94" s="244"/>
      <c r="DE94" s="244"/>
      <c r="DF94" s="244"/>
      <c r="DG94" s="244"/>
      <c r="DH94" s="244"/>
      <c r="DI94" s="244"/>
      <c r="DJ94" s="244"/>
      <c r="DK94" s="244"/>
      <c r="DL94" s="244"/>
      <c r="DM94" s="244"/>
      <c r="DN94" s="244"/>
      <c r="DO94" s="244"/>
      <c r="DP94" s="244">
        <v>42045.493055555598</v>
      </c>
      <c r="DQ94" s="244">
        <v>42017</v>
      </c>
      <c r="DR94" s="244"/>
      <c r="DS94" s="244">
        <v>41972.452777777798</v>
      </c>
      <c r="DT94" s="244">
        <v>42043.621527777803</v>
      </c>
      <c r="DU94" s="244"/>
      <c r="DV94" s="244"/>
      <c r="DW94" s="244"/>
      <c r="DX94" s="244">
        <v>42028.702083333301</v>
      </c>
      <c r="DY94" s="244"/>
      <c r="DZ94" s="244">
        <v>41890</v>
      </c>
      <c r="EA94" s="244"/>
      <c r="EB94" s="244"/>
      <c r="EC94" s="244"/>
      <c r="ED94" s="244"/>
      <c r="EE94" s="244"/>
      <c r="EF94" s="244"/>
      <c r="EG94" s="244"/>
      <c r="EH94" s="244"/>
      <c r="EI94" s="244"/>
      <c r="EJ94" s="244"/>
      <c r="EK94" s="244"/>
      <c r="EL94" s="244"/>
      <c r="EM94" s="244"/>
      <c r="EN94" s="244"/>
      <c r="EO94" s="244"/>
      <c r="EP94" s="244"/>
      <c r="EQ94" s="244"/>
      <c r="ER94" s="244"/>
      <c r="ES94" s="244"/>
      <c r="ET94" s="244"/>
      <c r="EU94" s="244"/>
      <c r="EV94" s="244">
        <v>42058.373611111099</v>
      </c>
    </row>
    <row r="95" spans="1:152">
      <c r="A95" s="270" t="s">
        <v>173</v>
      </c>
      <c r="B95" s="244"/>
      <c r="C95" s="244"/>
      <c r="D95" s="244"/>
      <c r="E95" s="244"/>
      <c r="F95" s="244"/>
      <c r="G95" s="244"/>
      <c r="H95" s="244"/>
      <c r="I95" s="244"/>
      <c r="J95" s="244"/>
      <c r="K95" s="244"/>
      <c r="L95" s="244"/>
      <c r="M95" s="244"/>
      <c r="N95" s="244"/>
      <c r="O95" s="244"/>
      <c r="P95" s="244"/>
      <c r="Q95" s="244"/>
      <c r="R95" s="244"/>
      <c r="S95" s="244"/>
      <c r="T95" s="244"/>
      <c r="U95" s="244"/>
      <c r="V95" s="244"/>
      <c r="W95" s="244"/>
      <c r="X95" s="244"/>
      <c r="Y95" s="244"/>
      <c r="Z95" s="244"/>
      <c r="AA95" s="244"/>
      <c r="AB95" s="244"/>
      <c r="AC95" s="244"/>
      <c r="AD95" s="244"/>
      <c r="AE95" s="244"/>
      <c r="AF95" s="244"/>
      <c r="AG95" s="244"/>
      <c r="AH95" s="244"/>
      <c r="AI95" s="244"/>
      <c r="AJ95" s="244"/>
      <c r="AK95" s="244"/>
      <c r="AL95" s="244"/>
      <c r="AM95" s="244"/>
      <c r="AN95" s="244"/>
      <c r="AO95" s="244"/>
      <c r="AP95" s="244"/>
      <c r="AQ95" s="244"/>
      <c r="AR95" s="244"/>
      <c r="AS95" s="244"/>
      <c r="AT95" s="244"/>
      <c r="AU95" s="244"/>
      <c r="AV95" s="244"/>
      <c r="AW95" s="244"/>
      <c r="AX95" s="244"/>
      <c r="AY95" s="244"/>
      <c r="AZ95" s="244"/>
      <c r="BA95" s="244"/>
      <c r="BB95" s="244"/>
      <c r="BC95" s="244"/>
      <c r="BD95" s="244"/>
      <c r="BE95" s="244"/>
      <c r="BF95" s="244"/>
      <c r="BG95" s="244"/>
      <c r="BH95" s="244"/>
      <c r="BI95" s="244"/>
      <c r="BJ95" s="244"/>
      <c r="BK95" s="244"/>
      <c r="BL95" s="244"/>
      <c r="BM95" s="244"/>
      <c r="BN95" s="244"/>
      <c r="BO95" s="244"/>
      <c r="BP95" s="244"/>
      <c r="BQ95" s="244"/>
      <c r="BR95" s="244"/>
      <c r="BS95" s="244"/>
      <c r="BT95" s="244"/>
      <c r="BU95" s="244"/>
      <c r="BV95" s="244"/>
      <c r="BW95" s="244"/>
      <c r="BX95" s="244"/>
      <c r="BY95" s="244"/>
      <c r="BZ95" s="244"/>
      <c r="CA95" s="244"/>
      <c r="CB95" s="244"/>
      <c r="CC95" s="244"/>
      <c r="CD95" s="244"/>
      <c r="CE95" s="244"/>
      <c r="CF95" s="244"/>
      <c r="CG95" s="244"/>
      <c r="CH95" s="244"/>
      <c r="CI95" s="244"/>
      <c r="CJ95" s="244"/>
      <c r="CK95" s="244"/>
      <c r="CL95" s="244"/>
      <c r="CM95" s="244"/>
      <c r="CN95" s="244"/>
      <c r="CO95" s="244"/>
      <c r="CP95" s="244"/>
      <c r="CQ95" s="244"/>
      <c r="CR95" s="244"/>
      <c r="CS95" s="244"/>
      <c r="CT95" s="244"/>
      <c r="CU95" s="244"/>
      <c r="CV95" s="244"/>
      <c r="CW95" s="244"/>
      <c r="CX95" s="244"/>
      <c r="CY95" s="244"/>
      <c r="CZ95" s="244"/>
      <c r="DA95" s="244"/>
      <c r="DB95" s="244"/>
      <c r="DC95" s="244"/>
      <c r="DD95" s="244"/>
      <c r="DE95" s="244"/>
      <c r="DF95" s="244"/>
      <c r="DG95" s="244"/>
      <c r="DH95" s="244"/>
      <c r="DI95" s="244"/>
      <c r="DJ95" s="244"/>
      <c r="DK95" s="244"/>
      <c r="DL95" s="244"/>
      <c r="DM95" s="244"/>
      <c r="DN95" s="244"/>
      <c r="DO95" s="244"/>
      <c r="DP95" s="244"/>
      <c r="DQ95" s="244"/>
      <c r="DR95" s="244"/>
      <c r="DS95" s="244"/>
      <c r="DT95" s="244"/>
      <c r="DU95" s="244"/>
      <c r="DV95" s="244"/>
      <c r="DW95" s="244">
        <v>42110.40625</v>
      </c>
      <c r="DX95" s="244"/>
      <c r="DY95" s="244"/>
      <c r="DZ95" s="244"/>
      <c r="EA95" s="244"/>
      <c r="EB95" s="244">
        <v>42107.427083333299</v>
      </c>
      <c r="EC95" s="244">
        <v>42109.4909722222</v>
      </c>
      <c r="ED95" s="244">
        <v>42094.635416666701</v>
      </c>
      <c r="EE95" s="244"/>
      <c r="EF95" s="244"/>
      <c r="EG95" s="244">
        <v>42094</v>
      </c>
      <c r="EH95" s="244"/>
      <c r="EI95" s="244"/>
      <c r="EJ95" s="244"/>
      <c r="EK95" s="244"/>
      <c r="EL95" s="244"/>
      <c r="EM95" s="244">
        <v>41456</v>
      </c>
      <c r="EN95" s="244">
        <v>41456</v>
      </c>
      <c r="EO95" s="244">
        <v>41456</v>
      </c>
      <c r="EP95" s="244">
        <v>41456</v>
      </c>
      <c r="EQ95" s="244"/>
      <c r="ER95" s="244"/>
      <c r="ES95" s="244"/>
      <c r="ET95" s="244"/>
      <c r="EU95" s="244"/>
      <c r="EV95" s="244">
        <v>42110.40625</v>
      </c>
    </row>
    <row r="96" spans="1:152">
      <c r="A96" s="269" t="s">
        <v>160</v>
      </c>
      <c r="B96" s="244"/>
      <c r="C96" s="244">
        <v>42102</v>
      </c>
      <c r="D96" s="244"/>
      <c r="E96" s="244">
        <v>42102.284722222197</v>
      </c>
      <c r="F96" s="244">
        <v>42104.588194444397</v>
      </c>
      <c r="G96" s="244"/>
      <c r="H96" s="244">
        <v>42104.588194444397</v>
      </c>
      <c r="I96" s="244"/>
      <c r="J96" s="244"/>
      <c r="K96" s="244">
        <v>42060.3215277778</v>
      </c>
      <c r="L96" s="244">
        <v>42060.322222222203</v>
      </c>
      <c r="M96" s="244">
        <v>42060.322916666701</v>
      </c>
      <c r="N96" s="244"/>
      <c r="O96" s="244"/>
      <c r="P96" s="244">
        <v>42109.443749999999</v>
      </c>
      <c r="Q96" s="244">
        <v>42050.883333333302</v>
      </c>
      <c r="R96" s="244">
        <v>42095.286805555603</v>
      </c>
      <c r="S96" s="244">
        <v>42093</v>
      </c>
      <c r="T96" s="244"/>
      <c r="U96" s="244"/>
      <c r="V96" s="244">
        <v>41989.547916666699</v>
      </c>
      <c r="W96" s="244"/>
      <c r="X96" s="244">
        <v>41961.586111111101</v>
      </c>
      <c r="Y96" s="244"/>
      <c r="Z96" s="244"/>
      <c r="AA96" s="244">
        <v>42104.711805555598</v>
      </c>
      <c r="AB96" s="244"/>
      <c r="AC96" s="244">
        <v>42087.313888888901</v>
      </c>
      <c r="AD96" s="244"/>
      <c r="AE96" s="244"/>
      <c r="AF96" s="244"/>
      <c r="AG96" s="244">
        <v>41757</v>
      </c>
      <c r="AH96" s="244">
        <v>41825</v>
      </c>
      <c r="AI96" s="244"/>
      <c r="AJ96" s="244"/>
      <c r="AK96" s="244">
        <v>41961.581944444399</v>
      </c>
      <c r="AL96" s="244">
        <v>42122</v>
      </c>
      <c r="AM96" s="244">
        <v>42050.371527777803</v>
      </c>
      <c r="AN96" s="244"/>
      <c r="AO96" s="244"/>
      <c r="AP96" s="244">
        <v>41961</v>
      </c>
      <c r="AQ96" s="244">
        <v>41961.656944444403</v>
      </c>
      <c r="AR96" s="244"/>
      <c r="AS96" s="244"/>
      <c r="AT96" s="244"/>
      <c r="AU96" s="244"/>
      <c r="AV96" s="244"/>
      <c r="AW96" s="244"/>
      <c r="AX96" s="244"/>
      <c r="AY96" s="244"/>
      <c r="AZ96" s="244"/>
      <c r="BA96" s="244"/>
      <c r="BB96" s="244"/>
      <c r="BC96" s="244"/>
      <c r="BD96" s="244">
        <v>41982.675000000003</v>
      </c>
      <c r="BE96" s="244">
        <v>42056</v>
      </c>
      <c r="BF96" s="244">
        <v>41914</v>
      </c>
      <c r="BG96" s="244">
        <v>41964.625</v>
      </c>
      <c r="BH96" s="244">
        <v>41739.625</v>
      </c>
      <c r="BI96" s="244">
        <v>41964.625</v>
      </c>
      <c r="BJ96" s="244">
        <v>41964.625</v>
      </c>
      <c r="BK96" s="244">
        <v>41832</v>
      </c>
      <c r="BL96" s="244">
        <v>41964.625</v>
      </c>
      <c r="BM96" s="244">
        <v>42053</v>
      </c>
      <c r="BN96" s="244">
        <v>42095.363888888904</v>
      </c>
      <c r="BO96" s="244">
        <v>42067</v>
      </c>
      <c r="BP96" s="244">
        <v>42067</v>
      </c>
      <c r="BQ96" s="244"/>
      <c r="BR96" s="244">
        <v>41901</v>
      </c>
      <c r="BS96" s="244">
        <v>41733</v>
      </c>
      <c r="BT96" s="244">
        <v>41757</v>
      </c>
      <c r="BU96" s="244">
        <v>41757</v>
      </c>
      <c r="BV96" s="244">
        <v>41757</v>
      </c>
      <c r="BW96" s="244">
        <v>41757</v>
      </c>
      <c r="BX96" s="244">
        <v>41757</v>
      </c>
      <c r="BY96" s="244">
        <v>41757</v>
      </c>
      <c r="BZ96" s="244">
        <v>40513</v>
      </c>
      <c r="CA96" s="244">
        <v>40513</v>
      </c>
      <c r="CB96" s="244">
        <v>40575</v>
      </c>
      <c r="CC96" s="244">
        <v>40513</v>
      </c>
      <c r="CD96" s="244">
        <v>40513</v>
      </c>
      <c r="CE96" s="244">
        <v>40513</v>
      </c>
      <c r="CF96" s="244">
        <v>40544</v>
      </c>
      <c r="CG96" s="244">
        <v>40544</v>
      </c>
      <c r="CH96" s="244">
        <v>39722</v>
      </c>
      <c r="CI96" s="244">
        <v>40575</v>
      </c>
      <c r="CJ96" s="244">
        <v>40513</v>
      </c>
      <c r="CK96" s="244">
        <v>40513</v>
      </c>
      <c r="CL96" s="244">
        <v>40513</v>
      </c>
      <c r="CM96" s="244">
        <v>40513</v>
      </c>
      <c r="CN96" s="244">
        <v>40513</v>
      </c>
      <c r="CO96" s="244">
        <v>40513</v>
      </c>
      <c r="CP96" s="244">
        <v>40513</v>
      </c>
      <c r="CQ96" s="244">
        <v>40513</v>
      </c>
      <c r="CR96" s="244">
        <v>40513</v>
      </c>
      <c r="CS96" s="244">
        <v>40513</v>
      </c>
      <c r="CT96" s="244">
        <v>40513</v>
      </c>
      <c r="CU96" s="244">
        <v>40513</v>
      </c>
      <c r="CV96" s="244">
        <v>40513</v>
      </c>
      <c r="CW96" s="244"/>
      <c r="CX96" s="244"/>
      <c r="CY96" s="244"/>
      <c r="CZ96" s="244"/>
      <c r="DA96" s="244"/>
      <c r="DB96" s="244">
        <v>42068</v>
      </c>
      <c r="DC96" s="244">
        <v>40513</v>
      </c>
      <c r="DD96" s="244">
        <v>40513</v>
      </c>
      <c r="DE96" s="244">
        <v>41757</v>
      </c>
      <c r="DF96" s="244"/>
      <c r="DG96" s="244">
        <v>42094.254861111098</v>
      </c>
      <c r="DH96" s="244">
        <v>42104.783333333296</v>
      </c>
      <c r="DI96" s="244">
        <v>42082</v>
      </c>
      <c r="DJ96" s="244">
        <v>42104.781944444403</v>
      </c>
      <c r="DK96" s="244"/>
      <c r="DL96" s="244"/>
      <c r="DM96" s="244"/>
      <c r="DN96" s="244">
        <v>41961.404166666704</v>
      </c>
      <c r="DO96" s="244"/>
      <c r="DP96" s="244">
        <v>42038.697916666701</v>
      </c>
      <c r="DQ96" s="244">
        <v>41961.431944444397</v>
      </c>
      <c r="DR96" s="244"/>
      <c r="DS96" s="244">
        <v>41961.596527777801</v>
      </c>
      <c r="DT96" s="244">
        <v>42056</v>
      </c>
      <c r="DU96" s="244"/>
      <c r="DV96" s="244"/>
      <c r="DW96" s="244">
        <v>42097.534027777801</v>
      </c>
      <c r="DX96" s="244"/>
      <c r="DY96" s="244">
        <v>41961.59375</v>
      </c>
      <c r="DZ96" s="244">
        <v>41901</v>
      </c>
      <c r="EA96" s="244"/>
      <c r="EB96" s="244">
        <v>42102.405555555597</v>
      </c>
      <c r="EC96" s="244">
        <v>42102.360416666699</v>
      </c>
      <c r="ED96" s="244">
        <v>41961.547222222202</v>
      </c>
      <c r="EE96" s="244">
        <v>42050.547916666699</v>
      </c>
      <c r="EF96" s="244">
        <v>42067.4868055556</v>
      </c>
      <c r="EG96" s="244">
        <v>41961.5</v>
      </c>
      <c r="EH96" s="244"/>
      <c r="EI96" s="244"/>
      <c r="EJ96" s="244"/>
      <c r="EK96" s="244"/>
      <c r="EL96" s="244">
        <v>41757</v>
      </c>
      <c r="EM96" s="244">
        <v>40360</v>
      </c>
      <c r="EN96" s="244">
        <v>40360</v>
      </c>
      <c r="EO96" s="244">
        <v>40360</v>
      </c>
      <c r="EP96" s="244">
        <v>40360</v>
      </c>
      <c r="EQ96" s="244"/>
      <c r="ER96" s="244"/>
      <c r="ES96" s="244"/>
      <c r="ET96" s="244"/>
      <c r="EU96" s="244"/>
      <c r="EV96" s="244">
        <v>42122</v>
      </c>
    </row>
    <row r="97" spans="1:152">
      <c r="A97" s="270" t="s">
        <v>87</v>
      </c>
      <c r="B97" s="244"/>
      <c r="C97" s="244">
        <v>42102</v>
      </c>
      <c r="D97" s="244"/>
      <c r="E97" s="244">
        <v>42102.284722222197</v>
      </c>
      <c r="F97" s="244">
        <v>42104.588194444397</v>
      </c>
      <c r="G97" s="244"/>
      <c r="H97" s="244">
        <v>42104.588194444397</v>
      </c>
      <c r="I97" s="244"/>
      <c r="J97" s="244"/>
      <c r="K97" s="244">
        <v>42060.3215277778</v>
      </c>
      <c r="L97" s="244">
        <v>42060.322222222203</v>
      </c>
      <c r="M97" s="244">
        <v>42060.322916666701</v>
      </c>
      <c r="N97" s="244"/>
      <c r="O97" s="244"/>
      <c r="P97" s="244">
        <v>42109.443749999999</v>
      </c>
      <c r="Q97" s="244">
        <v>42050.883333333302</v>
      </c>
      <c r="R97" s="244">
        <v>42095.286805555603</v>
      </c>
      <c r="S97" s="244">
        <v>42093</v>
      </c>
      <c r="T97" s="244"/>
      <c r="U97" s="244"/>
      <c r="V97" s="244"/>
      <c r="W97" s="244"/>
      <c r="X97" s="244"/>
      <c r="Y97" s="244"/>
      <c r="Z97" s="244"/>
      <c r="AA97" s="244">
        <v>42104.711805555598</v>
      </c>
      <c r="AB97" s="244"/>
      <c r="AC97" s="244">
        <v>42087.313888888901</v>
      </c>
      <c r="AD97" s="244"/>
      <c r="AE97" s="244"/>
      <c r="AF97" s="244"/>
      <c r="AG97" s="244"/>
      <c r="AH97" s="244">
        <v>41825</v>
      </c>
      <c r="AI97" s="244"/>
      <c r="AJ97" s="244"/>
      <c r="AK97" s="244"/>
      <c r="AL97" s="244"/>
      <c r="AM97" s="244"/>
      <c r="AN97" s="244"/>
      <c r="AO97" s="244"/>
      <c r="AP97" s="244">
        <v>41961</v>
      </c>
      <c r="AQ97" s="244">
        <v>41961.656944444403</v>
      </c>
      <c r="AR97" s="244"/>
      <c r="AS97" s="244"/>
      <c r="AT97" s="244"/>
      <c r="AU97" s="244"/>
      <c r="AV97" s="244"/>
      <c r="AW97" s="244"/>
      <c r="AX97" s="244"/>
      <c r="AY97" s="244"/>
      <c r="AZ97" s="244"/>
      <c r="BA97" s="244"/>
      <c r="BB97" s="244"/>
      <c r="BC97" s="244"/>
      <c r="BD97" s="244">
        <v>41982.675000000003</v>
      </c>
      <c r="BE97" s="244">
        <v>42056</v>
      </c>
      <c r="BF97" s="244">
        <v>41914</v>
      </c>
      <c r="BG97" s="244">
        <v>41964.625</v>
      </c>
      <c r="BH97" s="244">
        <v>41739.625</v>
      </c>
      <c r="BI97" s="244">
        <v>41964.625</v>
      </c>
      <c r="BJ97" s="244">
        <v>41964.625</v>
      </c>
      <c r="BK97" s="244">
        <v>41832</v>
      </c>
      <c r="BL97" s="244">
        <v>41964.625</v>
      </c>
      <c r="BM97" s="244">
        <v>42053</v>
      </c>
      <c r="BN97" s="244">
        <v>42095.363888888904</v>
      </c>
      <c r="BO97" s="244">
        <v>42067</v>
      </c>
      <c r="BP97" s="244">
        <v>42067</v>
      </c>
      <c r="BQ97" s="244"/>
      <c r="BR97" s="244">
        <v>41901</v>
      </c>
      <c r="BS97" s="244">
        <v>41733</v>
      </c>
      <c r="BT97" s="244">
        <v>41757</v>
      </c>
      <c r="BU97" s="244">
        <v>41757</v>
      </c>
      <c r="BV97" s="244">
        <v>41757</v>
      </c>
      <c r="BW97" s="244">
        <v>41757</v>
      </c>
      <c r="BX97" s="244">
        <v>41757</v>
      </c>
      <c r="BY97" s="244">
        <v>41757</v>
      </c>
      <c r="BZ97" s="244">
        <v>40513</v>
      </c>
      <c r="CA97" s="244">
        <v>40513</v>
      </c>
      <c r="CB97" s="244">
        <v>40575</v>
      </c>
      <c r="CC97" s="244">
        <v>40513</v>
      </c>
      <c r="CD97" s="244">
        <v>40513</v>
      </c>
      <c r="CE97" s="244">
        <v>40513</v>
      </c>
      <c r="CF97" s="244">
        <v>40544</v>
      </c>
      <c r="CG97" s="244">
        <v>40544</v>
      </c>
      <c r="CH97" s="244">
        <v>39722</v>
      </c>
      <c r="CI97" s="244">
        <v>40575</v>
      </c>
      <c r="CJ97" s="244">
        <v>40513</v>
      </c>
      <c r="CK97" s="244">
        <v>40513</v>
      </c>
      <c r="CL97" s="244">
        <v>40513</v>
      </c>
      <c r="CM97" s="244">
        <v>40513</v>
      </c>
      <c r="CN97" s="244">
        <v>40513</v>
      </c>
      <c r="CO97" s="244">
        <v>40513</v>
      </c>
      <c r="CP97" s="244">
        <v>40513</v>
      </c>
      <c r="CQ97" s="244">
        <v>40513</v>
      </c>
      <c r="CR97" s="244">
        <v>40513</v>
      </c>
      <c r="CS97" s="244">
        <v>40513</v>
      </c>
      <c r="CT97" s="244">
        <v>40513</v>
      </c>
      <c r="CU97" s="244">
        <v>40513</v>
      </c>
      <c r="CV97" s="244">
        <v>40513</v>
      </c>
      <c r="CW97" s="244"/>
      <c r="CX97" s="244"/>
      <c r="CY97" s="244"/>
      <c r="CZ97" s="244"/>
      <c r="DA97" s="244"/>
      <c r="DB97" s="244">
        <v>42068</v>
      </c>
      <c r="DC97" s="244">
        <v>40513</v>
      </c>
      <c r="DD97" s="244">
        <v>40513</v>
      </c>
      <c r="DE97" s="244">
        <v>41757</v>
      </c>
      <c r="DF97" s="244"/>
      <c r="DG97" s="244">
        <v>42094.254861111098</v>
      </c>
      <c r="DH97" s="244">
        <v>42104.783333333296</v>
      </c>
      <c r="DI97" s="244">
        <v>42082</v>
      </c>
      <c r="DJ97" s="244">
        <v>42104.781944444403</v>
      </c>
      <c r="DK97" s="244"/>
      <c r="DL97" s="244"/>
      <c r="DM97" s="244"/>
      <c r="DN97" s="244"/>
      <c r="DO97" s="244"/>
      <c r="DP97" s="244"/>
      <c r="DQ97" s="244"/>
      <c r="DR97" s="244"/>
      <c r="DS97" s="244"/>
      <c r="DT97" s="244"/>
      <c r="DU97" s="244"/>
      <c r="DV97" s="244"/>
      <c r="DW97" s="244"/>
      <c r="DX97" s="244"/>
      <c r="DY97" s="244"/>
      <c r="DZ97" s="244"/>
      <c r="EA97" s="244"/>
      <c r="EB97" s="244"/>
      <c r="EC97" s="244"/>
      <c r="ED97" s="244"/>
      <c r="EE97" s="244"/>
      <c r="EF97" s="244"/>
      <c r="EG97" s="244"/>
      <c r="EH97" s="244"/>
      <c r="EI97" s="244"/>
      <c r="EJ97" s="244"/>
      <c r="EK97" s="244"/>
      <c r="EL97" s="244"/>
      <c r="EM97" s="244"/>
      <c r="EN97" s="244"/>
      <c r="EO97" s="244"/>
      <c r="EP97" s="244"/>
      <c r="EQ97" s="244"/>
      <c r="ER97" s="244"/>
      <c r="ES97" s="244"/>
      <c r="ET97" s="244"/>
      <c r="EU97" s="244"/>
      <c r="EV97" s="244">
        <v>42109.443749999999</v>
      </c>
    </row>
    <row r="98" spans="1:152">
      <c r="A98" s="270" t="s">
        <v>172</v>
      </c>
      <c r="B98" s="244"/>
      <c r="C98" s="244"/>
      <c r="D98" s="244"/>
      <c r="E98" s="244">
        <v>42068.443055555603</v>
      </c>
      <c r="F98" s="244"/>
      <c r="G98" s="244"/>
      <c r="H98" s="244"/>
      <c r="I98" s="244"/>
      <c r="J98" s="244"/>
      <c r="K98" s="244"/>
      <c r="L98" s="244"/>
      <c r="M98" s="244"/>
      <c r="N98" s="244"/>
      <c r="O98" s="244"/>
      <c r="P98" s="244">
        <v>41977.511111111096</v>
      </c>
      <c r="Q98" s="244"/>
      <c r="R98" s="244"/>
      <c r="S98" s="244"/>
      <c r="T98" s="244"/>
      <c r="U98" s="244"/>
      <c r="V98" s="244">
        <v>41989.547916666699</v>
      </c>
      <c r="W98" s="244"/>
      <c r="X98" s="244">
        <v>41961.586111111101</v>
      </c>
      <c r="Y98" s="244"/>
      <c r="Z98" s="244"/>
      <c r="AA98" s="244"/>
      <c r="AB98" s="244"/>
      <c r="AC98" s="244"/>
      <c r="AD98" s="244"/>
      <c r="AE98" s="244"/>
      <c r="AF98" s="244"/>
      <c r="AG98" s="244">
        <v>41757</v>
      </c>
      <c r="AH98" s="244"/>
      <c r="AI98" s="244"/>
      <c r="AJ98" s="244"/>
      <c r="AK98" s="244">
        <v>41961.581944444399</v>
      </c>
      <c r="AL98" s="244">
        <v>42122</v>
      </c>
      <c r="AM98" s="244">
        <v>42050.371527777803</v>
      </c>
      <c r="AN98" s="244"/>
      <c r="AO98" s="244"/>
      <c r="AP98" s="244"/>
      <c r="AQ98" s="244"/>
      <c r="AR98" s="244"/>
      <c r="AS98" s="244"/>
      <c r="AT98" s="244"/>
      <c r="AU98" s="244"/>
      <c r="AV98" s="244"/>
      <c r="AW98" s="244"/>
      <c r="AX98" s="244"/>
      <c r="AY98" s="244"/>
      <c r="AZ98" s="244"/>
      <c r="BA98" s="244"/>
      <c r="BB98" s="244"/>
      <c r="BC98" s="244"/>
      <c r="BD98" s="244"/>
      <c r="BE98" s="244"/>
      <c r="BF98" s="244"/>
      <c r="BG98" s="244"/>
      <c r="BH98" s="244"/>
      <c r="BI98" s="244"/>
      <c r="BJ98" s="244"/>
      <c r="BK98" s="244"/>
      <c r="BL98" s="244"/>
      <c r="BM98" s="244"/>
      <c r="BN98" s="244"/>
      <c r="BO98" s="244"/>
      <c r="BP98" s="244"/>
      <c r="BQ98" s="244"/>
      <c r="BR98" s="244"/>
      <c r="BS98" s="244"/>
      <c r="BT98" s="244"/>
      <c r="BU98" s="244"/>
      <c r="BV98" s="244"/>
      <c r="BW98" s="244"/>
      <c r="BX98" s="244"/>
      <c r="BY98" s="244"/>
      <c r="BZ98" s="244"/>
      <c r="CA98" s="244"/>
      <c r="CB98" s="244"/>
      <c r="CC98" s="244"/>
      <c r="CD98" s="244"/>
      <c r="CE98" s="244"/>
      <c r="CF98" s="244"/>
      <c r="CG98" s="244"/>
      <c r="CH98" s="244"/>
      <c r="CI98" s="244"/>
      <c r="CJ98" s="244"/>
      <c r="CK98" s="244"/>
      <c r="CL98" s="244"/>
      <c r="CM98" s="244"/>
      <c r="CN98" s="244"/>
      <c r="CO98" s="244"/>
      <c r="CP98" s="244"/>
      <c r="CQ98" s="244"/>
      <c r="CR98" s="244"/>
      <c r="CS98" s="244"/>
      <c r="CT98" s="244"/>
      <c r="CU98" s="244"/>
      <c r="CV98" s="244"/>
      <c r="CW98" s="244"/>
      <c r="CX98" s="244"/>
      <c r="CY98" s="244"/>
      <c r="CZ98" s="244"/>
      <c r="DA98" s="244"/>
      <c r="DB98" s="244"/>
      <c r="DC98" s="244"/>
      <c r="DD98" s="244"/>
      <c r="DE98" s="244"/>
      <c r="DF98" s="244"/>
      <c r="DG98" s="244"/>
      <c r="DH98" s="244"/>
      <c r="DI98" s="244"/>
      <c r="DJ98" s="244"/>
      <c r="DK98" s="244"/>
      <c r="DL98" s="244"/>
      <c r="DM98" s="244"/>
      <c r="DN98" s="244">
        <v>41961.404166666704</v>
      </c>
      <c r="DO98" s="244"/>
      <c r="DP98" s="244">
        <v>42038.697916666701</v>
      </c>
      <c r="DQ98" s="244">
        <v>41961.431944444397</v>
      </c>
      <c r="DR98" s="244"/>
      <c r="DS98" s="244">
        <v>41961.596527777801</v>
      </c>
      <c r="DT98" s="244">
        <v>42056</v>
      </c>
      <c r="DU98" s="244"/>
      <c r="DV98" s="244"/>
      <c r="DW98" s="244"/>
      <c r="DX98" s="244"/>
      <c r="DY98" s="244">
        <v>41961.59375</v>
      </c>
      <c r="DZ98" s="244">
        <v>41901</v>
      </c>
      <c r="EA98" s="244"/>
      <c r="EB98" s="244"/>
      <c r="EC98" s="244"/>
      <c r="ED98" s="244"/>
      <c r="EE98" s="244"/>
      <c r="EF98" s="244"/>
      <c r="EG98" s="244"/>
      <c r="EH98" s="244"/>
      <c r="EI98" s="244"/>
      <c r="EJ98" s="244"/>
      <c r="EK98" s="244"/>
      <c r="EL98" s="244"/>
      <c r="EM98" s="244"/>
      <c r="EN98" s="244"/>
      <c r="EO98" s="244"/>
      <c r="EP98" s="244"/>
      <c r="EQ98" s="244"/>
      <c r="ER98" s="244"/>
      <c r="ES98" s="244"/>
      <c r="ET98" s="244"/>
      <c r="EU98" s="244"/>
      <c r="EV98" s="244">
        <v>42122</v>
      </c>
    </row>
    <row r="99" spans="1:152">
      <c r="A99" s="270" t="s">
        <v>173</v>
      </c>
      <c r="B99" s="244"/>
      <c r="C99" s="244"/>
      <c r="D99" s="244"/>
      <c r="E99" s="244"/>
      <c r="F99" s="244"/>
      <c r="G99" s="244"/>
      <c r="H99" s="244"/>
      <c r="I99" s="244"/>
      <c r="J99" s="244"/>
      <c r="K99" s="244"/>
      <c r="L99" s="244"/>
      <c r="M99" s="244"/>
      <c r="N99" s="244"/>
      <c r="O99" s="244"/>
      <c r="P99" s="244"/>
      <c r="Q99" s="244"/>
      <c r="R99" s="244"/>
      <c r="S99" s="244"/>
      <c r="T99" s="244"/>
      <c r="U99" s="244"/>
      <c r="V99" s="244"/>
      <c r="W99" s="244"/>
      <c r="X99" s="244"/>
      <c r="Y99" s="244"/>
      <c r="Z99" s="244"/>
      <c r="AA99" s="244"/>
      <c r="AB99" s="244"/>
      <c r="AC99" s="244"/>
      <c r="AD99" s="244"/>
      <c r="AE99" s="244"/>
      <c r="AF99" s="244"/>
      <c r="AG99" s="244"/>
      <c r="AH99" s="244"/>
      <c r="AI99" s="244"/>
      <c r="AJ99" s="244"/>
      <c r="AK99" s="244"/>
      <c r="AL99" s="244"/>
      <c r="AM99" s="244"/>
      <c r="AN99" s="244"/>
      <c r="AO99" s="244"/>
      <c r="AP99" s="244"/>
      <c r="AQ99" s="244"/>
      <c r="AR99" s="244"/>
      <c r="AS99" s="244"/>
      <c r="AT99" s="244"/>
      <c r="AU99" s="244"/>
      <c r="AV99" s="244"/>
      <c r="AW99" s="244"/>
      <c r="AX99" s="244"/>
      <c r="AY99" s="244"/>
      <c r="AZ99" s="244"/>
      <c r="BA99" s="244"/>
      <c r="BB99" s="244"/>
      <c r="BC99" s="244"/>
      <c r="BD99" s="244"/>
      <c r="BE99" s="244"/>
      <c r="BF99" s="244"/>
      <c r="BG99" s="244"/>
      <c r="BH99" s="244"/>
      <c r="BI99" s="244"/>
      <c r="BJ99" s="244"/>
      <c r="BK99" s="244"/>
      <c r="BL99" s="244"/>
      <c r="BM99" s="244"/>
      <c r="BN99" s="244"/>
      <c r="BO99" s="244"/>
      <c r="BP99" s="244"/>
      <c r="BQ99" s="244"/>
      <c r="BR99" s="244"/>
      <c r="BS99" s="244"/>
      <c r="BT99" s="244"/>
      <c r="BU99" s="244"/>
      <c r="BV99" s="244"/>
      <c r="BW99" s="244"/>
      <c r="BX99" s="244"/>
      <c r="BY99" s="244"/>
      <c r="BZ99" s="244"/>
      <c r="CA99" s="244"/>
      <c r="CB99" s="244"/>
      <c r="CC99" s="244"/>
      <c r="CD99" s="244"/>
      <c r="CE99" s="244"/>
      <c r="CF99" s="244"/>
      <c r="CG99" s="244"/>
      <c r="CH99" s="244"/>
      <c r="CI99" s="244"/>
      <c r="CJ99" s="244"/>
      <c r="CK99" s="244"/>
      <c r="CL99" s="244"/>
      <c r="CM99" s="244"/>
      <c r="CN99" s="244"/>
      <c r="CO99" s="244"/>
      <c r="CP99" s="244"/>
      <c r="CQ99" s="244"/>
      <c r="CR99" s="244"/>
      <c r="CS99" s="244"/>
      <c r="CT99" s="244"/>
      <c r="CU99" s="244"/>
      <c r="CV99" s="244"/>
      <c r="CW99" s="244"/>
      <c r="CX99" s="244"/>
      <c r="CY99" s="244"/>
      <c r="CZ99" s="244"/>
      <c r="DA99" s="244"/>
      <c r="DB99" s="244"/>
      <c r="DC99" s="244"/>
      <c r="DD99" s="244"/>
      <c r="DE99" s="244"/>
      <c r="DF99" s="244"/>
      <c r="DG99" s="244"/>
      <c r="DH99" s="244"/>
      <c r="DI99" s="244"/>
      <c r="DJ99" s="244"/>
      <c r="DK99" s="244"/>
      <c r="DL99" s="244"/>
      <c r="DM99" s="244"/>
      <c r="DN99" s="244"/>
      <c r="DO99" s="244"/>
      <c r="DP99" s="244"/>
      <c r="DQ99" s="244"/>
      <c r="DR99" s="244"/>
      <c r="DS99" s="244"/>
      <c r="DT99" s="244"/>
      <c r="DU99" s="244"/>
      <c r="DV99" s="244"/>
      <c r="DW99" s="244">
        <v>42097.534027777801</v>
      </c>
      <c r="DX99" s="244"/>
      <c r="DY99" s="244"/>
      <c r="DZ99" s="244"/>
      <c r="EA99" s="244"/>
      <c r="EB99" s="244">
        <v>42102.405555555597</v>
      </c>
      <c r="EC99" s="244">
        <v>42102.360416666699</v>
      </c>
      <c r="ED99" s="244">
        <v>41961.547222222202</v>
      </c>
      <c r="EE99" s="244">
        <v>42050.547916666699</v>
      </c>
      <c r="EF99" s="244">
        <v>42067.4868055556</v>
      </c>
      <c r="EG99" s="244">
        <v>41961.5</v>
      </c>
      <c r="EH99" s="244"/>
      <c r="EI99" s="244"/>
      <c r="EJ99" s="244"/>
      <c r="EK99" s="244"/>
      <c r="EL99" s="244">
        <v>41757</v>
      </c>
      <c r="EM99" s="244">
        <v>40360</v>
      </c>
      <c r="EN99" s="244">
        <v>40360</v>
      </c>
      <c r="EO99" s="244">
        <v>40360</v>
      </c>
      <c r="EP99" s="244">
        <v>40360</v>
      </c>
      <c r="EQ99" s="244"/>
      <c r="ER99" s="244"/>
      <c r="ES99" s="244"/>
      <c r="ET99" s="244"/>
      <c r="EU99" s="244"/>
      <c r="EV99" s="244">
        <v>42102.405555555597</v>
      </c>
    </row>
    <row r="100" spans="1:152">
      <c r="A100" s="268" t="s">
        <v>175</v>
      </c>
      <c r="B100" s="244">
        <v>41960.420138888898</v>
      </c>
      <c r="C100" s="244">
        <v>42111.368055555598</v>
      </c>
      <c r="D100" s="244"/>
      <c r="E100" s="244">
        <v>42111.734722222202</v>
      </c>
      <c r="F100" s="244">
        <v>42111.621527777803</v>
      </c>
      <c r="G100" s="244"/>
      <c r="H100" s="244">
        <v>42111.837500000001</v>
      </c>
      <c r="I100" s="244">
        <v>42060.572916666701</v>
      </c>
      <c r="J100" s="244"/>
      <c r="K100" s="244">
        <v>42078.349305555603</v>
      </c>
      <c r="L100" s="244">
        <v>42080.085416666698</v>
      </c>
      <c r="M100" s="244">
        <v>42068.673611111102</v>
      </c>
      <c r="N100" s="244">
        <v>42059.677083333299</v>
      </c>
      <c r="O100" s="244">
        <v>42081</v>
      </c>
      <c r="P100" s="244">
        <v>42109.620138888902</v>
      </c>
      <c r="Q100" s="244">
        <v>42075.322222222203</v>
      </c>
      <c r="R100" s="244">
        <v>42109.438888888901</v>
      </c>
      <c r="S100" s="244">
        <v>42104</v>
      </c>
      <c r="T100" s="244">
        <v>42104.818055555603</v>
      </c>
      <c r="U100" s="244"/>
      <c r="V100" s="244">
        <v>42104.208333333299</v>
      </c>
      <c r="W100" s="244"/>
      <c r="X100" s="244">
        <v>42068.431250000001</v>
      </c>
      <c r="Y100" s="244"/>
      <c r="Z100" s="244"/>
      <c r="AA100" s="244">
        <v>42111.587500000001</v>
      </c>
      <c r="AB100" s="244"/>
      <c r="AC100" s="244">
        <v>42111</v>
      </c>
      <c r="AD100" s="244"/>
      <c r="AE100" s="244"/>
      <c r="AF100" s="244"/>
      <c r="AG100" s="244">
        <v>42060</v>
      </c>
      <c r="AH100" s="244">
        <v>42099</v>
      </c>
      <c r="AI100" s="244"/>
      <c r="AJ100" s="244"/>
      <c r="AK100" s="244">
        <v>42026</v>
      </c>
      <c r="AL100" s="244">
        <v>42122</v>
      </c>
      <c r="AM100" s="244">
        <v>42070</v>
      </c>
      <c r="AN100" s="244"/>
      <c r="AO100" s="244"/>
      <c r="AP100" s="244">
        <v>42093.838888888902</v>
      </c>
      <c r="AQ100" s="244">
        <v>42074.690972222197</v>
      </c>
      <c r="AR100" s="244"/>
      <c r="AS100" s="244"/>
      <c r="AT100" s="244"/>
      <c r="AU100" s="244"/>
      <c r="AV100" s="244"/>
      <c r="AW100" s="244"/>
      <c r="AX100" s="244"/>
      <c r="AY100" s="244"/>
      <c r="AZ100" s="244">
        <v>41955</v>
      </c>
      <c r="BA100" s="244">
        <v>41955</v>
      </c>
      <c r="BB100" s="244"/>
      <c r="BC100" s="244"/>
      <c r="BD100" s="244">
        <v>42108.409722222197</v>
      </c>
      <c r="BE100" s="244">
        <v>42112.038194444402</v>
      </c>
      <c r="BF100" s="244">
        <v>42083.695138888899</v>
      </c>
      <c r="BG100" s="244">
        <v>42087.394444444399</v>
      </c>
      <c r="BH100" s="244">
        <v>42109.740277777797</v>
      </c>
      <c r="BI100" s="244">
        <v>42104.25</v>
      </c>
      <c r="BJ100" s="244">
        <v>42114.559027777803</v>
      </c>
      <c r="BK100" s="244">
        <v>42107.5756944444</v>
      </c>
      <c r="BL100" s="244">
        <v>42073.4</v>
      </c>
      <c r="BM100" s="244">
        <v>42104</v>
      </c>
      <c r="BN100" s="244">
        <v>42111</v>
      </c>
      <c r="BO100" s="244">
        <v>42115.5756944444</v>
      </c>
      <c r="BP100" s="244">
        <v>42115.577777777798</v>
      </c>
      <c r="BQ100" s="244">
        <v>41968</v>
      </c>
      <c r="BR100" s="244">
        <v>42074</v>
      </c>
      <c r="BS100" s="244">
        <v>42112.022916666698</v>
      </c>
      <c r="BT100" s="244">
        <v>41969</v>
      </c>
      <c r="BU100" s="244">
        <v>41969</v>
      </c>
      <c r="BV100" s="244">
        <v>41969</v>
      </c>
      <c r="BW100" s="244">
        <v>41969</v>
      </c>
      <c r="BX100" s="244">
        <v>41969</v>
      </c>
      <c r="BY100" s="244">
        <v>41969</v>
      </c>
      <c r="BZ100" s="244">
        <v>41793</v>
      </c>
      <c r="CA100" s="244">
        <v>41793</v>
      </c>
      <c r="CB100" s="244">
        <v>41306</v>
      </c>
      <c r="CC100" s="244">
        <v>41306</v>
      </c>
      <c r="CD100" s="244">
        <v>41306</v>
      </c>
      <c r="CE100" s="244">
        <v>41306</v>
      </c>
      <c r="CF100" s="244">
        <v>42111.106249999997</v>
      </c>
      <c r="CG100" s="244">
        <v>42046.351388888899</v>
      </c>
      <c r="CH100" s="244">
        <v>42109</v>
      </c>
      <c r="CI100" s="244">
        <v>41976.720833333296</v>
      </c>
      <c r="CJ100" s="244">
        <v>41214</v>
      </c>
      <c r="CK100" s="244">
        <v>41214</v>
      </c>
      <c r="CL100" s="244">
        <v>40603</v>
      </c>
      <c r="CM100" s="244">
        <v>40603</v>
      </c>
      <c r="CN100" s="244">
        <v>41864.416666666701</v>
      </c>
      <c r="CO100" s="244">
        <v>41730</v>
      </c>
      <c r="CP100" s="244">
        <v>41365</v>
      </c>
      <c r="CQ100" s="244">
        <v>41334</v>
      </c>
      <c r="CR100" s="244">
        <v>41334</v>
      </c>
      <c r="CS100" s="244">
        <v>42095.556250000001</v>
      </c>
      <c r="CT100" s="244">
        <v>46478</v>
      </c>
      <c r="CU100" s="244">
        <v>46478</v>
      </c>
      <c r="CV100" s="244">
        <v>42095.559027777803</v>
      </c>
      <c r="CW100" s="244"/>
      <c r="CX100" s="244"/>
      <c r="CY100" s="244"/>
      <c r="CZ100" s="244"/>
      <c r="DA100" s="244"/>
      <c r="DB100" s="244">
        <v>42088</v>
      </c>
      <c r="DC100" s="244">
        <v>46478</v>
      </c>
      <c r="DD100" s="244">
        <v>42095.560416666704</v>
      </c>
      <c r="DE100" s="244">
        <v>42074</v>
      </c>
      <c r="DF100" s="244">
        <v>41917</v>
      </c>
      <c r="DG100" s="244">
        <v>42111.897916666698</v>
      </c>
      <c r="DH100" s="244">
        <v>42114.399305555598</v>
      </c>
      <c r="DI100" s="244">
        <v>42111.350694444402</v>
      </c>
      <c r="DJ100" s="244">
        <v>42111.472222222197</v>
      </c>
      <c r="DK100" s="244">
        <v>42068.339583333298</v>
      </c>
      <c r="DL100" s="244">
        <v>42060</v>
      </c>
      <c r="DM100" s="244">
        <v>42068.747222222199</v>
      </c>
      <c r="DN100" s="244">
        <v>42045.313888888901</v>
      </c>
      <c r="DO100" s="244">
        <v>42064.633333333302</v>
      </c>
      <c r="DP100" s="244">
        <v>42119.309027777803</v>
      </c>
      <c r="DQ100" s="244">
        <v>42119.0715277778</v>
      </c>
      <c r="DR100" s="244">
        <v>42037</v>
      </c>
      <c r="DS100" s="244">
        <v>42104.460416666698</v>
      </c>
      <c r="DT100" s="244">
        <v>42101.614583333299</v>
      </c>
      <c r="DU100" s="244">
        <v>42004.756249999999</v>
      </c>
      <c r="DV100" s="244">
        <v>42111.591666666704</v>
      </c>
      <c r="DW100" s="244">
        <v>42112.440972222197</v>
      </c>
      <c r="DX100" s="244">
        <v>42123.336805555598</v>
      </c>
      <c r="DY100" s="244">
        <v>42109.643750000003</v>
      </c>
      <c r="DZ100" s="244">
        <v>42009</v>
      </c>
      <c r="EA100" s="244"/>
      <c r="EB100" s="244">
        <v>42109.496527777803</v>
      </c>
      <c r="EC100" s="244">
        <v>42110.563194444403</v>
      </c>
      <c r="ED100" s="244">
        <v>42104</v>
      </c>
      <c r="EE100" s="244">
        <v>42105.463194444397</v>
      </c>
      <c r="EF100" s="244">
        <v>42105.463888888902</v>
      </c>
      <c r="EG100" s="244">
        <v>42110.425694444399</v>
      </c>
      <c r="EH100" s="244">
        <v>42059.543749999997</v>
      </c>
      <c r="EI100" s="244"/>
      <c r="EJ100" s="244"/>
      <c r="EK100" s="244"/>
      <c r="EL100" s="244">
        <v>42081</v>
      </c>
      <c r="EM100" s="244">
        <v>41781</v>
      </c>
      <c r="EN100" s="244">
        <v>41781</v>
      </c>
      <c r="EO100" s="244">
        <v>41781</v>
      </c>
      <c r="EP100" s="244">
        <v>41781</v>
      </c>
      <c r="EQ100" s="244"/>
      <c r="ER100" s="244"/>
      <c r="ES100" s="244"/>
      <c r="ET100" s="244"/>
      <c r="EU100" s="244">
        <v>42111</v>
      </c>
      <c r="EV100" s="244">
        <v>46478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>
  <sheetPr codeName="Sheet8"/>
  <dimension ref="A1:AV25"/>
  <sheetViews>
    <sheetView workbookViewId="0">
      <selection activeCell="A13" sqref="A13"/>
    </sheetView>
  </sheetViews>
  <sheetFormatPr defaultRowHeight="15"/>
  <cols>
    <col min="1" max="1" width="7.7109375" bestFit="1" customWidth="1"/>
    <col min="2" max="2" width="7" bestFit="1" customWidth="1"/>
    <col min="3" max="3" width="7.28515625" bestFit="1" customWidth="1"/>
    <col min="4" max="4" width="8.42578125" bestFit="1" customWidth="1"/>
    <col min="5" max="5" width="9.28515625" bestFit="1" customWidth="1"/>
    <col min="6" max="6" width="8.7109375" bestFit="1" customWidth="1"/>
    <col min="7" max="7" width="14" bestFit="1" customWidth="1"/>
    <col min="8" max="8" width="13.5703125" bestFit="1" customWidth="1"/>
    <col min="9" max="9" width="15" bestFit="1" customWidth="1"/>
    <col min="10" max="10" width="13.5703125" bestFit="1" customWidth="1"/>
    <col min="11" max="11" width="12.5703125" bestFit="1" customWidth="1"/>
    <col min="12" max="12" width="8.42578125" bestFit="1" customWidth="1"/>
    <col min="13" max="13" width="14.28515625" bestFit="1" customWidth="1"/>
    <col min="14" max="14" width="15.140625" bestFit="1" customWidth="1"/>
    <col min="15" max="15" width="53.28515625" bestFit="1" customWidth="1"/>
    <col min="16" max="16" width="11.5703125" bestFit="1" customWidth="1"/>
    <col min="17" max="17" width="15" bestFit="1" customWidth="1"/>
    <col min="18" max="18" width="13.85546875" bestFit="1" customWidth="1"/>
    <col min="19" max="19" width="11.140625" bestFit="1" customWidth="1"/>
    <col min="20" max="20" width="12.42578125" bestFit="1" customWidth="1"/>
    <col min="21" max="21" width="53.28515625" bestFit="1" customWidth="1"/>
    <col min="22" max="22" width="13.85546875" bestFit="1" customWidth="1"/>
    <col min="23" max="23" width="20.85546875" bestFit="1" customWidth="1"/>
    <col min="24" max="24" width="37.140625" bestFit="1" customWidth="1"/>
    <col min="25" max="25" width="12" bestFit="1" customWidth="1"/>
    <col min="26" max="26" width="16.140625" bestFit="1" customWidth="1"/>
    <col min="27" max="27" width="12.85546875" bestFit="1" customWidth="1"/>
    <col min="28" max="28" width="14.28515625" bestFit="1" customWidth="1"/>
    <col min="29" max="29" width="21.42578125" bestFit="1" customWidth="1"/>
    <col min="30" max="30" width="19.7109375" bestFit="1" customWidth="1"/>
    <col min="31" max="31" width="19" bestFit="1" customWidth="1"/>
    <col min="32" max="33" width="16.7109375" bestFit="1" customWidth="1"/>
    <col min="34" max="34" width="12.5703125" bestFit="1" customWidth="1"/>
    <col min="35" max="35" width="12.42578125" bestFit="1" customWidth="1"/>
    <col min="36" max="36" width="9.28515625" bestFit="1" customWidth="1"/>
    <col min="37" max="37" width="22.7109375" bestFit="1" customWidth="1"/>
    <col min="38" max="38" width="8.28515625" bestFit="1" customWidth="1"/>
    <col min="39" max="39" width="13.7109375" bestFit="1" customWidth="1"/>
    <col min="40" max="40" width="11.85546875" bestFit="1" customWidth="1"/>
    <col min="41" max="41" width="19.28515625" bestFit="1" customWidth="1"/>
    <col min="42" max="42" width="7.7109375" bestFit="1" customWidth="1"/>
    <col min="43" max="43" width="14.140625" bestFit="1" customWidth="1"/>
    <col min="44" max="44" width="20.28515625" bestFit="1" customWidth="1"/>
    <col min="45" max="45" width="18.42578125" bestFit="1" customWidth="1"/>
    <col min="46" max="46" width="15.5703125" bestFit="1" customWidth="1"/>
    <col min="47" max="47" width="12.5703125" bestFit="1" customWidth="1"/>
    <col min="48" max="48" width="16.85546875" bestFit="1" customWidth="1"/>
  </cols>
  <sheetData>
    <row r="1" spans="1:48">
      <c r="A1" t="s">
        <v>137</v>
      </c>
      <c r="B1" t="s">
        <v>179</v>
      </c>
      <c r="C1" t="s">
        <v>16</v>
      </c>
      <c r="D1" t="s">
        <v>23</v>
      </c>
      <c r="E1" t="s">
        <v>22</v>
      </c>
      <c r="F1" t="s">
        <v>65</v>
      </c>
      <c r="G1" t="s">
        <v>180</v>
      </c>
      <c r="H1" t="s">
        <v>181</v>
      </c>
      <c r="I1" t="s">
        <v>182</v>
      </c>
      <c r="J1" t="s">
        <v>183</v>
      </c>
      <c r="K1" t="s">
        <v>184</v>
      </c>
      <c r="L1" t="s">
        <v>185</v>
      </c>
      <c r="M1" t="s">
        <v>186</v>
      </c>
      <c r="N1" t="s">
        <v>187</v>
      </c>
      <c r="O1" t="s">
        <v>188</v>
      </c>
      <c r="P1" t="s">
        <v>189</v>
      </c>
      <c r="Q1" t="s">
        <v>190</v>
      </c>
      <c r="R1" t="s">
        <v>191</v>
      </c>
      <c r="S1" t="s">
        <v>192</v>
      </c>
      <c r="T1" t="s">
        <v>193</v>
      </c>
      <c r="U1" t="s">
        <v>194</v>
      </c>
      <c r="V1" t="s">
        <v>195</v>
      </c>
      <c r="W1" t="s">
        <v>196</v>
      </c>
      <c r="X1" t="s">
        <v>197</v>
      </c>
      <c r="Y1" t="s">
        <v>143</v>
      </c>
      <c r="Z1" t="s">
        <v>198</v>
      </c>
      <c r="AA1" t="s">
        <v>199</v>
      </c>
      <c r="AB1" t="s">
        <v>200</v>
      </c>
      <c r="AC1" t="s">
        <v>201</v>
      </c>
      <c r="AD1" t="s">
        <v>202</v>
      </c>
      <c r="AE1" t="s">
        <v>203</v>
      </c>
      <c r="AF1" t="s">
        <v>204</v>
      </c>
      <c r="AG1" t="s">
        <v>205</v>
      </c>
      <c r="AH1" t="s">
        <v>206</v>
      </c>
      <c r="AI1" t="s">
        <v>207</v>
      </c>
      <c r="AJ1" t="s">
        <v>208</v>
      </c>
      <c r="AK1" t="s">
        <v>209</v>
      </c>
      <c r="AL1" t="s">
        <v>210</v>
      </c>
      <c r="AM1" t="s">
        <v>211</v>
      </c>
      <c r="AN1" t="s">
        <v>212</v>
      </c>
      <c r="AO1" t="s">
        <v>213</v>
      </c>
      <c r="AP1" t="s">
        <v>214</v>
      </c>
      <c r="AQ1" t="s">
        <v>215</v>
      </c>
      <c r="AR1" t="s">
        <v>216</v>
      </c>
      <c r="AS1" t="s">
        <v>217</v>
      </c>
      <c r="AT1" t="s">
        <v>218</v>
      </c>
      <c r="AU1" t="s">
        <v>219</v>
      </c>
      <c r="AV1" t="s">
        <v>220</v>
      </c>
    </row>
    <row r="2" spans="1:48">
      <c r="A2" t="s">
        <v>164</v>
      </c>
      <c r="B2">
        <v>20</v>
      </c>
      <c r="C2">
        <v>0</v>
      </c>
      <c r="D2">
        <v>24</v>
      </c>
      <c r="E2">
        <v>0</v>
      </c>
      <c r="F2">
        <v>0</v>
      </c>
      <c r="G2">
        <v>0</v>
      </c>
      <c r="H2">
        <v>0</v>
      </c>
      <c r="I2">
        <v>0</v>
      </c>
      <c r="J2">
        <v>0</v>
      </c>
      <c r="K2">
        <v>0</v>
      </c>
      <c r="L2">
        <v>0</v>
      </c>
      <c r="M2" t="s">
        <v>429</v>
      </c>
      <c r="O2" t="s">
        <v>430</v>
      </c>
      <c r="Q2" s="242">
        <v>42103</v>
      </c>
      <c r="R2" s="242">
        <v>42124</v>
      </c>
      <c r="U2" t="s">
        <v>430</v>
      </c>
      <c r="V2" s="242">
        <v>42114</v>
      </c>
      <c r="W2" s="242">
        <v>42114.584426620371</v>
      </c>
      <c r="X2" t="s">
        <v>456</v>
      </c>
      <c r="Y2" t="b">
        <v>0</v>
      </c>
      <c r="Z2" t="b">
        <v>1</v>
      </c>
      <c r="AA2" t="s">
        <v>23</v>
      </c>
      <c r="AC2" s="242"/>
      <c r="AH2" t="s">
        <v>221</v>
      </c>
      <c r="AJ2">
        <v>5417.5</v>
      </c>
      <c r="AK2" s="242">
        <v>42114.766261574077</v>
      </c>
      <c r="AL2" t="s">
        <v>234</v>
      </c>
      <c r="AM2">
        <v>5711.60009765625</v>
      </c>
      <c r="AO2">
        <v>2</v>
      </c>
      <c r="AP2">
        <v>0</v>
      </c>
      <c r="AQ2">
        <v>0</v>
      </c>
      <c r="AR2" s="242"/>
      <c r="AU2" t="b">
        <v>0</v>
      </c>
    </row>
    <row r="3" spans="1:48">
      <c r="A3" t="s">
        <v>161</v>
      </c>
      <c r="B3">
        <v>20</v>
      </c>
      <c r="C3">
        <v>0</v>
      </c>
      <c r="D3">
        <v>0</v>
      </c>
      <c r="E3">
        <v>0</v>
      </c>
      <c r="F3">
        <v>0</v>
      </c>
      <c r="G3">
        <v>24</v>
      </c>
      <c r="H3">
        <v>0</v>
      </c>
      <c r="I3">
        <v>0</v>
      </c>
      <c r="J3">
        <v>0</v>
      </c>
      <c r="K3">
        <v>0</v>
      </c>
      <c r="L3">
        <v>0</v>
      </c>
      <c r="O3" t="s">
        <v>498</v>
      </c>
      <c r="Q3" s="242">
        <v>42110</v>
      </c>
      <c r="R3" s="242">
        <v>42124</v>
      </c>
      <c r="U3" t="s">
        <v>498</v>
      </c>
      <c r="V3" s="242">
        <v>42114</v>
      </c>
      <c r="W3" s="242">
        <v>42111.709739965278</v>
      </c>
      <c r="X3" t="s">
        <v>456</v>
      </c>
      <c r="Y3" t="b">
        <v>0</v>
      </c>
      <c r="Z3" t="b">
        <v>1</v>
      </c>
      <c r="AA3" t="s">
        <v>24</v>
      </c>
      <c r="AC3" s="242"/>
      <c r="AH3" t="s">
        <v>221</v>
      </c>
      <c r="AJ3">
        <v>7232.1</v>
      </c>
      <c r="AK3" s="242">
        <v>42089.027442129627</v>
      </c>
      <c r="AL3" t="s">
        <v>222</v>
      </c>
      <c r="AM3">
        <v>7259.5</v>
      </c>
      <c r="AO3">
        <v>1</v>
      </c>
      <c r="AP3">
        <v>0</v>
      </c>
      <c r="AQ3">
        <v>0</v>
      </c>
      <c r="AR3" s="242"/>
      <c r="AU3" t="b">
        <v>1</v>
      </c>
      <c r="AV3" t="s">
        <v>398</v>
      </c>
    </row>
    <row r="4" spans="1:48">
      <c r="A4" t="s">
        <v>165</v>
      </c>
      <c r="B4">
        <v>20</v>
      </c>
      <c r="C4">
        <v>0</v>
      </c>
      <c r="D4">
        <v>24</v>
      </c>
      <c r="E4">
        <v>0</v>
      </c>
      <c r="F4">
        <v>0</v>
      </c>
      <c r="G4">
        <v>0</v>
      </c>
      <c r="H4">
        <v>0</v>
      </c>
      <c r="I4">
        <v>0</v>
      </c>
      <c r="J4">
        <v>1</v>
      </c>
      <c r="K4">
        <v>2</v>
      </c>
      <c r="L4">
        <v>0</v>
      </c>
      <c r="M4" t="s">
        <v>429</v>
      </c>
      <c r="O4" t="s">
        <v>430</v>
      </c>
      <c r="P4" t="s">
        <v>327</v>
      </c>
      <c r="Q4" s="242">
        <v>42095</v>
      </c>
      <c r="R4" s="242">
        <v>42122</v>
      </c>
      <c r="U4" t="s">
        <v>430</v>
      </c>
      <c r="V4" s="242">
        <v>42114</v>
      </c>
      <c r="W4" s="242">
        <v>42111.277758796299</v>
      </c>
      <c r="X4" t="s">
        <v>456</v>
      </c>
      <c r="Y4" t="b">
        <v>0</v>
      </c>
      <c r="Z4" t="b">
        <v>1</v>
      </c>
      <c r="AA4" t="s">
        <v>23</v>
      </c>
      <c r="AC4" s="242"/>
      <c r="AH4" t="s">
        <v>221</v>
      </c>
      <c r="AJ4">
        <v>7810.4</v>
      </c>
      <c r="AK4" s="242">
        <v>42114.889305555553</v>
      </c>
      <c r="AL4" t="s">
        <v>235</v>
      </c>
      <c r="AM4">
        <v>7958.7001953125</v>
      </c>
      <c r="AO4">
        <v>144</v>
      </c>
      <c r="AP4">
        <v>0</v>
      </c>
      <c r="AQ4">
        <v>0</v>
      </c>
      <c r="AR4" s="242"/>
      <c r="AU4" t="b">
        <v>0</v>
      </c>
    </row>
    <row r="5" spans="1:48">
      <c r="A5" t="s">
        <v>148</v>
      </c>
      <c r="B5">
        <v>20</v>
      </c>
      <c r="C5">
        <v>0</v>
      </c>
      <c r="D5">
        <v>11.1000003814697</v>
      </c>
      <c r="E5">
        <v>0</v>
      </c>
      <c r="F5">
        <v>0</v>
      </c>
      <c r="G5">
        <v>12.899999618530201</v>
      </c>
      <c r="H5">
        <v>0</v>
      </c>
      <c r="I5">
        <v>0</v>
      </c>
      <c r="J5">
        <v>0</v>
      </c>
      <c r="K5">
        <v>0</v>
      </c>
      <c r="L5">
        <v>0</v>
      </c>
      <c r="M5" t="s">
        <v>429</v>
      </c>
      <c r="O5" t="s">
        <v>498</v>
      </c>
      <c r="Q5" s="242">
        <v>42080</v>
      </c>
      <c r="R5" s="242">
        <v>42185</v>
      </c>
      <c r="U5" t="s">
        <v>498</v>
      </c>
      <c r="V5" s="242">
        <v>42114</v>
      </c>
      <c r="W5" s="242">
        <v>42114.668331099536</v>
      </c>
      <c r="X5" t="s">
        <v>456</v>
      </c>
      <c r="Y5" t="b">
        <v>0</v>
      </c>
      <c r="Z5" t="b">
        <v>1</v>
      </c>
      <c r="AA5" t="s">
        <v>502</v>
      </c>
      <c r="AC5" s="242"/>
      <c r="AH5" t="s">
        <v>221</v>
      </c>
      <c r="AJ5">
        <v>6772.2</v>
      </c>
      <c r="AK5" s="242">
        <v>42110.932523148149</v>
      </c>
      <c r="AL5" t="s">
        <v>223</v>
      </c>
      <c r="AM5">
        <v>6961.39990234375</v>
      </c>
      <c r="AO5">
        <v>0</v>
      </c>
      <c r="AP5">
        <v>0</v>
      </c>
      <c r="AQ5">
        <v>0</v>
      </c>
      <c r="AR5" s="242"/>
      <c r="AU5" t="b">
        <v>0</v>
      </c>
    </row>
    <row r="6" spans="1:48">
      <c r="A6" t="s">
        <v>162</v>
      </c>
      <c r="B6">
        <v>20</v>
      </c>
      <c r="C6">
        <v>0</v>
      </c>
      <c r="D6">
        <v>24</v>
      </c>
      <c r="E6">
        <v>0</v>
      </c>
      <c r="F6">
        <v>0</v>
      </c>
      <c r="G6">
        <v>0</v>
      </c>
      <c r="H6">
        <v>0</v>
      </c>
      <c r="I6">
        <v>0</v>
      </c>
      <c r="J6">
        <v>0</v>
      </c>
      <c r="K6">
        <v>0</v>
      </c>
      <c r="L6">
        <v>0</v>
      </c>
      <c r="M6" t="s">
        <v>429</v>
      </c>
      <c r="O6" t="s">
        <v>430</v>
      </c>
      <c r="P6" t="s">
        <v>327</v>
      </c>
      <c r="Q6" s="242">
        <v>42095</v>
      </c>
      <c r="R6" s="242">
        <v>42124</v>
      </c>
      <c r="U6" t="s">
        <v>430</v>
      </c>
      <c r="V6" s="242">
        <v>42114</v>
      </c>
      <c r="W6" s="242">
        <v>42110.287160219908</v>
      </c>
      <c r="X6" t="s">
        <v>456</v>
      </c>
      <c r="Y6" t="b">
        <v>0</v>
      </c>
      <c r="Z6" t="b">
        <v>1</v>
      </c>
      <c r="AA6" t="s">
        <v>23</v>
      </c>
      <c r="AC6" s="242"/>
      <c r="AH6" t="s">
        <v>221</v>
      </c>
      <c r="AJ6">
        <v>7481.9</v>
      </c>
      <c r="AK6" s="242">
        <v>42114.769120370373</v>
      </c>
      <c r="AL6" t="s">
        <v>224</v>
      </c>
      <c r="AM6">
        <v>7883.10009765625</v>
      </c>
      <c r="AO6">
        <v>2</v>
      </c>
      <c r="AP6">
        <v>0</v>
      </c>
      <c r="AQ6">
        <v>0</v>
      </c>
      <c r="AR6" s="242"/>
      <c r="AU6" t="b">
        <v>0</v>
      </c>
    </row>
    <row r="7" spans="1:48">
      <c r="A7" t="s">
        <v>163</v>
      </c>
      <c r="B7">
        <v>20</v>
      </c>
      <c r="C7">
        <v>0</v>
      </c>
      <c r="D7">
        <v>24</v>
      </c>
      <c r="E7">
        <v>0</v>
      </c>
      <c r="F7">
        <v>0</v>
      </c>
      <c r="G7">
        <v>0</v>
      </c>
      <c r="H7">
        <v>0</v>
      </c>
      <c r="I7">
        <v>0</v>
      </c>
      <c r="J7">
        <v>0</v>
      </c>
      <c r="K7">
        <v>0</v>
      </c>
      <c r="L7">
        <v>0</v>
      </c>
      <c r="M7" t="s">
        <v>429</v>
      </c>
      <c r="O7" t="s">
        <v>430</v>
      </c>
      <c r="P7" t="s">
        <v>327</v>
      </c>
      <c r="Q7" s="242">
        <v>42095</v>
      </c>
      <c r="R7" s="242">
        <v>42115</v>
      </c>
      <c r="U7" t="s">
        <v>430</v>
      </c>
      <c r="V7" s="242">
        <v>42114</v>
      </c>
      <c r="W7" s="242">
        <v>42110.287593900466</v>
      </c>
      <c r="X7" t="s">
        <v>456</v>
      </c>
      <c r="Y7" t="b">
        <v>0</v>
      </c>
      <c r="Z7" t="b">
        <v>1</v>
      </c>
      <c r="AA7" t="s">
        <v>23</v>
      </c>
      <c r="AC7" s="242"/>
      <c r="AH7" t="s">
        <v>221</v>
      </c>
      <c r="AJ7">
        <v>4823.8999999999996</v>
      </c>
      <c r="AK7" s="242">
        <v>42114.899618055555</v>
      </c>
      <c r="AL7" t="s">
        <v>236</v>
      </c>
      <c r="AM7">
        <v>5078.7001953125</v>
      </c>
      <c r="AO7">
        <v>1</v>
      </c>
      <c r="AP7">
        <v>0</v>
      </c>
      <c r="AQ7">
        <v>0</v>
      </c>
      <c r="AR7" s="242"/>
      <c r="AU7" t="b">
        <v>0</v>
      </c>
    </row>
    <row r="8" spans="1:48">
      <c r="A8" t="s">
        <v>166</v>
      </c>
      <c r="B8">
        <v>20</v>
      </c>
      <c r="C8">
        <v>0</v>
      </c>
      <c r="D8">
        <v>0</v>
      </c>
      <c r="E8">
        <v>0</v>
      </c>
      <c r="F8">
        <v>24</v>
      </c>
      <c r="G8">
        <v>0</v>
      </c>
      <c r="H8">
        <v>0</v>
      </c>
      <c r="I8">
        <v>0</v>
      </c>
      <c r="J8">
        <v>0</v>
      </c>
      <c r="K8">
        <v>0</v>
      </c>
      <c r="L8">
        <v>0</v>
      </c>
      <c r="O8" t="s">
        <v>487</v>
      </c>
      <c r="P8" t="s">
        <v>327</v>
      </c>
      <c r="Q8" s="242">
        <v>42101</v>
      </c>
      <c r="R8" s="242">
        <v>42115</v>
      </c>
      <c r="U8" t="s">
        <v>487</v>
      </c>
      <c r="V8" s="242">
        <v>42114</v>
      </c>
      <c r="W8" s="242">
        <v>42111.572720636577</v>
      </c>
      <c r="X8" t="s">
        <v>497</v>
      </c>
      <c r="Y8" t="b">
        <v>0</v>
      </c>
      <c r="Z8" t="b">
        <v>1</v>
      </c>
      <c r="AA8" t="s">
        <v>65</v>
      </c>
      <c r="AC8" s="242"/>
      <c r="AH8" t="s">
        <v>226</v>
      </c>
      <c r="AJ8">
        <v>3563</v>
      </c>
      <c r="AK8" s="242">
        <v>42114.822418981479</v>
      </c>
      <c r="AL8" t="s">
        <v>237</v>
      </c>
      <c r="AM8">
        <v>3613.30004882812</v>
      </c>
      <c r="AO8">
        <v>8</v>
      </c>
      <c r="AP8">
        <v>0</v>
      </c>
      <c r="AQ8">
        <v>0</v>
      </c>
      <c r="AR8" s="242"/>
      <c r="AU8" t="b">
        <v>0</v>
      </c>
    </row>
    <row r="9" spans="1:48">
      <c r="A9" t="s">
        <v>149</v>
      </c>
      <c r="B9">
        <v>20</v>
      </c>
      <c r="C9">
        <v>0</v>
      </c>
      <c r="D9">
        <v>24</v>
      </c>
      <c r="E9">
        <v>0</v>
      </c>
      <c r="F9">
        <v>0</v>
      </c>
      <c r="G9">
        <v>0</v>
      </c>
      <c r="H9">
        <v>0</v>
      </c>
      <c r="I9">
        <v>0</v>
      </c>
      <c r="J9">
        <v>0</v>
      </c>
      <c r="K9">
        <v>0</v>
      </c>
      <c r="L9">
        <v>0</v>
      </c>
      <c r="M9" t="s">
        <v>429</v>
      </c>
      <c r="O9" t="s">
        <v>430</v>
      </c>
      <c r="P9" t="s">
        <v>327</v>
      </c>
      <c r="Q9" s="242">
        <v>42095</v>
      </c>
      <c r="R9" s="242">
        <v>42139</v>
      </c>
      <c r="U9" t="s">
        <v>430</v>
      </c>
      <c r="V9" s="242">
        <v>42114</v>
      </c>
      <c r="W9" s="242">
        <v>42114.718894988429</v>
      </c>
      <c r="X9" t="s">
        <v>456</v>
      </c>
      <c r="Y9" t="b">
        <v>0</v>
      </c>
      <c r="Z9" t="b">
        <v>1</v>
      </c>
      <c r="AA9" t="s">
        <v>23</v>
      </c>
      <c r="AC9" s="242"/>
      <c r="AH9" t="s">
        <v>221</v>
      </c>
      <c r="AJ9">
        <v>5179.8999999999996</v>
      </c>
      <c r="AK9" s="242">
        <v>42112.996018518519</v>
      </c>
      <c r="AL9" t="s">
        <v>238</v>
      </c>
      <c r="AM9">
        <v>5206.39990234375</v>
      </c>
      <c r="AO9">
        <v>5</v>
      </c>
      <c r="AP9">
        <v>0</v>
      </c>
      <c r="AQ9">
        <v>0</v>
      </c>
      <c r="AR9" s="242"/>
      <c r="AU9" t="b">
        <v>0</v>
      </c>
    </row>
    <row r="10" spans="1:48">
      <c r="A10" t="s">
        <v>150</v>
      </c>
      <c r="B10">
        <v>20</v>
      </c>
      <c r="C10">
        <v>0</v>
      </c>
      <c r="D10">
        <v>24</v>
      </c>
      <c r="E10">
        <v>0</v>
      </c>
      <c r="F10">
        <v>0</v>
      </c>
      <c r="G10">
        <v>0</v>
      </c>
      <c r="H10">
        <v>0</v>
      </c>
      <c r="I10">
        <v>0</v>
      </c>
      <c r="J10">
        <v>0</v>
      </c>
      <c r="K10">
        <v>0</v>
      </c>
      <c r="L10">
        <v>0</v>
      </c>
      <c r="M10" t="s">
        <v>87</v>
      </c>
      <c r="O10" t="s">
        <v>428</v>
      </c>
      <c r="Q10" s="242">
        <v>42095</v>
      </c>
      <c r="R10" s="242">
        <v>42115</v>
      </c>
      <c r="U10" t="s">
        <v>428</v>
      </c>
      <c r="V10" s="242">
        <v>42114</v>
      </c>
      <c r="W10" s="242">
        <v>42110.286675960648</v>
      </c>
      <c r="X10" t="s">
        <v>456</v>
      </c>
      <c r="Y10" t="b">
        <v>0</v>
      </c>
      <c r="Z10" t="b">
        <v>1</v>
      </c>
      <c r="AA10" t="s">
        <v>23</v>
      </c>
      <c r="AC10" s="242"/>
      <c r="AH10" t="s">
        <v>221</v>
      </c>
      <c r="AJ10">
        <v>4074.6</v>
      </c>
      <c r="AK10" s="242">
        <v>42112.056921296295</v>
      </c>
      <c r="AL10" t="s">
        <v>225</v>
      </c>
      <c r="AM10">
        <v>4243.39990234375</v>
      </c>
      <c r="AO10">
        <v>14</v>
      </c>
      <c r="AP10">
        <v>0</v>
      </c>
      <c r="AQ10">
        <v>0</v>
      </c>
      <c r="AR10" s="242"/>
      <c r="AU10" t="b">
        <v>0</v>
      </c>
    </row>
    <row r="11" spans="1:48">
      <c r="A11" t="s">
        <v>151</v>
      </c>
      <c r="B11">
        <v>20</v>
      </c>
      <c r="C11">
        <v>0</v>
      </c>
      <c r="D11">
        <v>0</v>
      </c>
      <c r="E11">
        <v>0</v>
      </c>
      <c r="F11">
        <v>24</v>
      </c>
      <c r="G11">
        <v>0</v>
      </c>
      <c r="H11">
        <v>0</v>
      </c>
      <c r="I11">
        <v>0</v>
      </c>
      <c r="J11">
        <v>0</v>
      </c>
      <c r="K11">
        <v>0</v>
      </c>
      <c r="L11">
        <v>0</v>
      </c>
      <c r="O11" t="s">
        <v>326</v>
      </c>
      <c r="Q11" s="242">
        <v>42110</v>
      </c>
      <c r="R11" s="242">
        <v>42139</v>
      </c>
      <c r="U11" t="s">
        <v>326</v>
      </c>
      <c r="V11" s="242">
        <v>42114</v>
      </c>
      <c r="W11" s="242">
        <v>42114.702448842596</v>
      </c>
      <c r="X11" t="s">
        <v>456</v>
      </c>
      <c r="Y11" t="b">
        <v>0</v>
      </c>
      <c r="Z11" t="b">
        <v>1</v>
      </c>
      <c r="AA11" t="s">
        <v>65</v>
      </c>
      <c r="AC11" s="242"/>
      <c r="AH11" t="s">
        <v>226</v>
      </c>
      <c r="AJ11">
        <v>1990.3</v>
      </c>
      <c r="AK11" s="242">
        <v>42067.755532407406</v>
      </c>
      <c r="AL11" t="s">
        <v>227</v>
      </c>
      <c r="AM11">
        <v>2026.90002441406</v>
      </c>
      <c r="AO11">
        <v>0</v>
      </c>
      <c r="AP11">
        <v>0</v>
      </c>
      <c r="AQ11">
        <v>0</v>
      </c>
      <c r="AR11" s="242"/>
      <c r="AU11" t="b">
        <v>1</v>
      </c>
      <c r="AV11" t="s">
        <v>240</v>
      </c>
    </row>
    <row r="12" spans="1:48">
      <c r="A12" t="s">
        <v>152</v>
      </c>
      <c r="B12">
        <v>20</v>
      </c>
      <c r="C12">
        <v>0</v>
      </c>
      <c r="D12">
        <v>0</v>
      </c>
      <c r="E12">
        <v>0</v>
      </c>
      <c r="F12">
        <v>24</v>
      </c>
      <c r="G12">
        <v>0</v>
      </c>
      <c r="H12">
        <v>0</v>
      </c>
      <c r="I12">
        <v>0</v>
      </c>
      <c r="J12">
        <v>0</v>
      </c>
      <c r="K12">
        <v>0</v>
      </c>
      <c r="L12">
        <v>0</v>
      </c>
      <c r="O12" t="s">
        <v>459</v>
      </c>
      <c r="Q12" s="242">
        <v>42101</v>
      </c>
      <c r="R12" s="242">
        <v>42122</v>
      </c>
      <c r="U12" t="s">
        <v>459</v>
      </c>
      <c r="V12" s="242">
        <v>42114</v>
      </c>
      <c r="W12" s="242">
        <v>42111.276127812504</v>
      </c>
      <c r="X12" t="s">
        <v>456</v>
      </c>
      <c r="Y12" t="b">
        <v>0</v>
      </c>
      <c r="Z12" t="b">
        <v>1</v>
      </c>
      <c r="AA12" t="s">
        <v>65</v>
      </c>
      <c r="AC12" s="242"/>
      <c r="AH12" t="s">
        <v>226</v>
      </c>
      <c r="AJ12">
        <v>1846.7</v>
      </c>
      <c r="AK12" s="242">
        <v>42112.098587962966</v>
      </c>
      <c r="AL12" t="s">
        <v>239</v>
      </c>
      <c r="AM12">
        <v>2270.30004882812</v>
      </c>
      <c r="AO12">
        <v>10</v>
      </c>
      <c r="AP12">
        <v>0</v>
      </c>
      <c r="AQ12">
        <v>0</v>
      </c>
      <c r="AR12" s="242"/>
      <c r="AU12" t="b">
        <v>0</v>
      </c>
    </row>
    <row r="13" spans="1:48">
      <c r="A13" t="s">
        <v>145</v>
      </c>
      <c r="B13">
        <v>20</v>
      </c>
      <c r="C13">
        <v>0</v>
      </c>
      <c r="D13">
        <v>0</v>
      </c>
      <c r="E13">
        <v>0</v>
      </c>
      <c r="F13">
        <v>0</v>
      </c>
      <c r="G13">
        <v>0</v>
      </c>
      <c r="H13">
        <v>0</v>
      </c>
      <c r="I13">
        <v>24</v>
      </c>
      <c r="J13">
        <v>0</v>
      </c>
      <c r="K13">
        <v>0</v>
      </c>
      <c r="L13">
        <v>0</v>
      </c>
      <c r="O13" t="s">
        <v>474</v>
      </c>
      <c r="P13" t="s">
        <v>327</v>
      </c>
      <c r="Q13" s="242">
        <v>42107</v>
      </c>
      <c r="R13" s="242">
        <v>42122</v>
      </c>
      <c r="U13" t="s">
        <v>474</v>
      </c>
      <c r="V13" s="242">
        <v>42114</v>
      </c>
      <c r="W13" s="242">
        <v>42111.276458067128</v>
      </c>
      <c r="X13" t="s">
        <v>456</v>
      </c>
      <c r="Y13" t="b">
        <v>0</v>
      </c>
      <c r="Z13" t="b">
        <v>1</v>
      </c>
      <c r="AA13" t="s">
        <v>24</v>
      </c>
      <c r="AC13" s="242"/>
      <c r="AH13" t="s">
        <v>226</v>
      </c>
      <c r="AJ13">
        <v>1825.9</v>
      </c>
      <c r="AK13" s="242">
        <v>42114.770243055558</v>
      </c>
      <c r="AL13" t="s">
        <v>241</v>
      </c>
      <c r="AM13">
        <v>2204.69995117187</v>
      </c>
      <c r="AO13">
        <v>5</v>
      </c>
      <c r="AP13">
        <v>0</v>
      </c>
      <c r="AQ13">
        <v>0</v>
      </c>
      <c r="AR13" s="242"/>
      <c r="AU13" t="b">
        <v>0</v>
      </c>
    </row>
    <row r="14" spans="1:48">
      <c r="A14" t="s">
        <v>167</v>
      </c>
      <c r="B14">
        <v>20</v>
      </c>
      <c r="C14">
        <v>0</v>
      </c>
      <c r="D14">
        <v>0</v>
      </c>
      <c r="E14">
        <v>0</v>
      </c>
      <c r="F14">
        <v>0</v>
      </c>
      <c r="G14">
        <v>0</v>
      </c>
      <c r="H14">
        <v>0</v>
      </c>
      <c r="I14">
        <v>24</v>
      </c>
      <c r="J14">
        <v>0</v>
      </c>
      <c r="K14">
        <v>0</v>
      </c>
      <c r="L14">
        <v>0</v>
      </c>
      <c r="O14" t="s">
        <v>476</v>
      </c>
      <c r="P14" t="s">
        <v>327</v>
      </c>
      <c r="Q14" s="242">
        <v>42107</v>
      </c>
      <c r="R14" s="242">
        <v>42122</v>
      </c>
      <c r="U14" t="s">
        <v>476</v>
      </c>
      <c r="V14" s="242">
        <v>42114</v>
      </c>
      <c r="W14" s="242">
        <v>42111.59824146991</v>
      </c>
      <c r="X14" t="s">
        <v>497</v>
      </c>
      <c r="Y14" t="b">
        <v>0</v>
      </c>
      <c r="Z14" t="b">
        <v>1</v>
      </c>
      <c r="AA14" t="s">
        <v>24</v>
      </c>
      <c r="AC14" s="242"/>
      <c r="AH14" t="s">
        <v>226</v>
      </c>
      <c r="AJ14">
        <v>1944.4</v>
      </c>
      <c r="AK14" s="242">
        <v>42112.018958333334</v>
      </c>
      <c r="AL14" t="s">
        <v>242</v>
      </c>
      <c r="AM14">
        <v>2018.80004882812</v>
      </c>
      <c r="AO14">
        <v>6</v>
      </c>
      <c r="AP14">
        <v>0</v>
      </c>
      <c r="AQ14">
        <v>0</v>
      </c>
      <c r="AR14" s="242"/>
      <c r="AU14" t="b">
        <v>0</v>
      </c>
    </row>
    <row r="15" spans="1:48">
      <c r="A15" t="s">
        <v>153</v>
      </c>
      <c r="B15">
        <v>20</v>
      </c>
      <c r="C15">
        <v>0</v>
      </c>
      <c r="D15">
        <v>0</v>
      </c>
      <c r="E15">
        <v>0</v>
      </c>
      <c r="F15">
        <v>24</v>
      </c>
      <c r="G15">
        <v>0</v>
      </c>
      <c r="H15">
        <v>0</v>
      </c>
      <c r="I15">
        <v>0</v>
      </c>
      <c r="J15">
        <v>0</v>
      </c>
      <c r="K15">
        <v>0</v>
      </c>
      <c r="L15">
        <v>0</v>
      </c>
      <c r="O15" t="s">
        <v>399</v>
      </c>
      <c r="Q15" s="242">
        <v>42110</v>
      </c>
      <c r="R15" s="242">
        <v>42124</v>
      </c>
      <c r="U15" t="s">
        <v>399</v>
      </c>
      <c r="V15" s="242">
        <v>42114</v>
      </c>
      <c r="W15" s="242">
        <v>42110.278468055556</v>
      </c>
      <c r="X15" t="s">
        <v>456</v>
      </c>
      <c r="Y15" t="b">
        <v>0</v>
      </c>
      <c r="Z15" t="b">
        <v>1</v>
      </c>
      <c r="AA15" t="s">
        <v>65</v>
      </c>
      <c r="AC15" s="242"/>
      <c r="AH15" t="s">
        <v>226</v>
      </c>
      <c r="AJ15">
        <v>1645.6</v>
      </c>
      <c r="AK15" s="242">
        <v>42088.854907407411</v>
      </c>
      <c r="AL15" t="s">
        <v>228</v>
      </c>
      <c r="AM15">
        <v>1691.19995117187</v>
      </c>
      <c r="AO15">
        <v>3</v>
      </c>
      <c r="AP15">
        <v>0</v>
      </c>
      <c r="AQ15">
        <v>0</v>
      </c>
      <c r="AR15" s="242"/>
      <c r="AU15" t="b">
        <v>1</v>
      </c>
      <c r="AV15" t="s">
        <v>240</v>
      </c>
    </row>
    <row r="16" spans="1:48">
      <c r="A16" t="s">
        <v>154</v>
      </c>
      <c r="B16">
        <v>20</v>
      </c>
      <c r="C16">
        <v>0</v>
      </c>
      <c r="D16">
        <v>24</v>
      </c>
      <c r="E16">
        <v>0</v>
      </c>
      <c r="F16">
        <v>0</v>
      </c>
      <c r="G16">
        <v>0</v>
      </c>
      <c r="H16">
        <v>0</v>
      </c>
      <c r="I16">
        <v>0</v>
      </c>
      <c r="J16">
        <v>0</v>
      </c>
      <c r="K16">
        <v>0</v>
      </c>
      <c r="L16">
        <v>0</v>
      </c>
      <c r="M16" t="s">
        <v>328</v>
      </c>
      <c r="O16" t="s">
        <v>400</v>
      </c>
      <c r="P16" t="s">
        <v>327</v>
      </c>
      <c r="Q16" s="242">
        <v>42083</v>
      </c>
      <c r="R16" s="242">
        <v>42115</v>
      </c>
      <c r="U16" t="s">
        <v>400</v>
      </c>
      <c r="V16" s="242">
        <v>42114</v>
      </c>
      <c r="W16" s="242">
        <v>42110.283619178241</v>
      </c>
      <c r="X16" t="s">
        <v>456</v>
      </c>
      <c r="Y16" t="b">
        <v>0</v>
      </c>
      <c r="Z16" t="b">
        <v>1</v>
      </c>
      <c r="AA16" t="s">
        <v>23</v>
      </c>
      <c r="AC16" s="242"/>
      <c r="AH16" t="s">
        <v>221</v>
      </c>
      <c r="AJ16">
        <v>2835.8</v>
      </c>
      <c r="AK16" s="242">
        <v>42111.857870370368</v>
      </c>
      <c r="AL16" t="s">
        <v>229</v>
      </c>
      <c r="AM16">
        <v>3170.80004882812</v>
      </c>
      <c r="AO16">
        <v>3</v>
      </c>
      <c r="AP16">
        <v>0</v>
      </c>
      <c r="AQ16">
        <v>0</v>
      </c>
      <c r="AR16" s="242"/>
      <c r="AU16" t="b">
        <v>0</v>
      </c>
    </row>
    <row r="17" spans="1:47">
      <c r="A17" t="s">
        <v>168</v>
      </c>
      <c r="B17">
        <v>20</v>
      </c>
      <c r="C17">
        <v>0</v>
      </c>
      <c r="D17">
        <v>24</v>
      </c>
      <c r="E17">
        <v>0</v>
      </c>
      <c r="F17">
        <v>0</v>
      </c>
      <c r="G17">
        <v>0</v>
      </c>
      <c r="H17">
        <v>0</v>
      </c>
      <c r="I17">
        <v>0</v>
      </c>
      <c r="J17">
        <v>0</v>
      </c>
      <c r="K17">
        <v>0</v>
      </c>
      <c r="L17">
        <v>0</v>
      </c>
      <c r="M17" t="s">
        <v>87</v>
      </c>
      <c r="O17" t="s">
        <v>430</v>
      </c>
      <c r="P17" t="s">
        <v>327</v>
      </c>
      <c r="Q17" s="242">
        <v>42093</v>
      </c>
      <c r="R17" s="242">
        <v>42115</v>
      </c>
      <c r="U17" t="s">
        <v>430</v>
      </c>
      <c r="V17" s="242">
        <v>42114</v>
      </c>
      <c r="W17" s="242">
        <v>42110.284496643515</v>
      </c>
      <c r="X17" t="s">
        <v>456</v>
      </c>
      <c r="Y17" t="b">
        <v>0</v>
      </c>
      <c r="Z17" t="b">
        <v>1</v>
      </c>
      <c r="AA17" t="s">
        <v>23</v>
      </c>
      <c r="AC17" s="242"/>
      <c r="AH17" t="s">
        <v>221</v>
      </c>
      <c r="AJ17">
        <v>5291.3</v>
      </c>
      <c r="AK17" s="242">
        <v>42111.631388888891</v>
      </c>
      <c r="AL17" t="s">
        <v>230</v>
      </c>
      <c r="AM17">
        <v>5699.39990234375</v>
      </c>
      <c r="AO17">
        <v>4</v>
      </c>
      <c r="AP17">
        <v>0</v>
      </c>
      <c r="AQ17">
        <v>0</v>
      </c>
      <c r="AR17" s="242"/>
      <c r="AU17" t="b">
        <v>0</v>
      </c>
    </row>
    <row r="18" spans="1:47">
      <c r="A18" t="s">
        <v>155</v>
      </c>
      <c r="B18">
        <v>20</v>
      </c>
      <c r="C18">
        <v>0</v>
      </c>
      <c r="D18">
        <v>0</v>
      </c>
      <c r="E18">
        <v>0</v>
      </c>
      <c r="F18">
        <v>0</v>
      </c>
      <c r="G18">
        <v>0</v>
      </c>
      <c r="H18">
        <v>0</v>
      </c>
      <c r="I18">
        <v>24</v>
      </c>
      <c r="J18">
        <v>0</v>
      </c>
      <c r="K18">
        <v>0</v>
      </c>
      <c r="L18">
        <v>0</v>
      </c>
      <c r="O18" t="s">
        <v>492</v>
      </c>
      <c r="Q18" s="242">
        <v>42109</v>
      </c>
      <c r="R18" s="242">
        <v>42139</v>
      </c>
      <c r="U18" t="s">
        <v>492</v>
      </c>
      <c r="V18" s="242">
        <v>42114</v>
      </c>
      <c r="W18" s="242">
        <v>42114.703060729167</v>
      </c>
      <c r="X18" t="s">
        <v>456</v>
      </c>
      <c r="Y18" t="b">
        <v>0</v>
      </c>
      <c r="Z18" t="b">
        <v>1</v>
      </c>
      <c r="AA18" t="s">
        <v>24</v>
      </c>
      <c r="AC18" s="242"/>
      <c r="AH18" t="s">
        <v>226</v>
      </c>
      <c r="AJ18">
        <v>4425.5</v>
      </c>
      <c r="AK18" s="242">
        <v>42114.88177083333</v>
      </c>
      <c r="AL18" t="s">
        <v>243</v>
      </c>
      <c r="AM18">
        <v>4498.60009765625</v>
      </c>
      <c r="AO18">
        <v>13</v>
      </c>
      <c r="AP18">
        <v>0</v>
      </c>
      <c r="AQ18">
        <v>0</v>
      </c>
      <c r="AR18" s="242"/>
      <c r="AU18" t="b">
        <v>0</v>
      </c>
    </row>
    <row r="19" spans="1:47">
      <c r="A19" t="s">
        <v>156</v>
      </c>
      <c r="B19">
        <v>20</v>
      </c>
      <c r="C19">
        <v>0</v>
      </c>
      <c r="D19">
        <v>24</v>
      </c>
      <c r="E19">
        <v>0</v>
      </c>
      <c r="F19">
        <v>0</v>
      </c>
      <c r="G19">
        <v>0</v>
      </c>
      <c r="H19">
        <v>0</v>
      </c>
      <c r="I19">
        <v>0</v>
      </c>
      <c r="J19">
        <v>0</v>
      </c>
      <c r="K19">
        <v>0</v>
      </c>
      <c r="L19">
        <v>0</v>
      </c>
      <c r="M19" t="s">
        <v>328</v>
      </c>
      <c r="O19" t="s">
        <v>458</v>
      </c>
      <c r="Q19" s="242">
        <v>42079</v>
      </c>
      <c r="R19" s="242">
        <v>42139</v>
      </c>
      <c r="U19" t="s">
        <v>458</v>
      </c>
      <c r="V19" s="242">
        <v>42114</v>
      </c>
      <c r="W19" s="242">
        <v>42114.703551469909</v>
      </c>
      <c r="X19" t="s">
        <v>456</v>
      </c>
      <c r="Y19" t="b">
        <v>0</v>
      </c>
      <c r="Z19" t="b">
        <v>1</v>
      </c>
      <c r="AA19" t="s">
        <v>23</v>
      </c>
      <c r="AC19" s="242"/>
      <c r="AH19" t="s">
        <v>221</v>
      </c>
      <c r="AJ19">
        <v>4836.8999999999996</v>
      </c>
      <c r="AK19" s="242">
        <v>42114.55431712963</v>
      </c>
      <c r="AL19" t="s">
        <v>231</v>
      </c>
      <c r="AM19">
        <v>5256.5</v>
      </c>
      <c r="AO19">
        <v>4</v>
      </c>
      <c r="AP19">
        <v>0</v>
      </c>
      <c r="AQ19">
        <v>0</v>
      </c>
      <c r="AR19" s="242"/>
      <c r="AU19" t="b">
        <v>0</v>
      </c>
    </row>
    <row r="20" spans="1:47">
      <c r="A20" t="s">
        <v>157</v>
      </c>
      <c r="B20">
        <v>20</v>
      </c>
      <c r="C20">
        <v>0</v>
      </c>
      <c r="D20">
        <v>24</v>
      </c>
      <c r="E20">
        <v>0</v>
      </c>
      <c r="F20">
        <v>0</v>
      </c>
      <c r="G20">
        <v>0</v>
      </c>
      <c r="H20">
        <v>0</v>
      </c>
      <c r="I20">
        <v>0</v>
      </c>
      <c r="J20">
        <v>0</v>
      </c>
      <c r="K20">
        <v>0</v>
      </c>
      <c r="L20">
        <v>0</v>
      </c>
      <c r="M20" t="s">
        <v>429</v>
      </c>
      <c r="O20" t="s">
        <v>430</v>
      </c>
      <c r="Q20" s="242">
        <v>42105</v>
      </c>
      <c r="R20" s="242">
        <v>42124</v>
      </c>
      <c r="U20" t="s">
        <v>430</v>
      </c>
      <c r="V20" s="242">
        <v>42114</v>
      </c>
      <c r="W20" s="242">
        <v>42114.535454166667</v>
      </c>
      <c r="X20" t="s">
        <v>456</v>
      </c>
      <c r="Y20" t="b">
        <v>0</v>
      </c>
      <c r="Z20" t="b">
        <v>1</v>
      </c>
      <c r="AA20" t="s">
        <v>23</v>
      </c>
      <c r="AC20" s="242"/>
      <c r="AH20" t="s">
        <v>221</v>
      </c>
      <c r="AJ20">
        <v>5291.6</v>
      </c>
      <c r="AK20" s="242">
        <v>42111.892939814818</v>
      </c>
      <c r="AL20" t="s">
        <v>232</v>
      </c>
      <c r="AM20">
        <v>5581</v>
      </c>
      <c r="AO20">
        <v>6</v>
      </c>
      <c r="AP20">
        <v>0</v>
      </c>
      <c r="AQ20">
        <v>0</v>
      </c>
      <c r="AR20" s="242"/>
      <c r="AU20" t="b">
        <v>0</v>
      </c>
    </row>
    <row r="21" spans="1:47">
      <c r="A21" t="s">
        <v>169</v>
      </c>
      <c r="B21">
        <v>20</v>
      </c>
      <c r="C21">
        <v>0</v>
      </c>
      <c r="D21">
        <v>0</v>
      </c>
      <c r="E21">
        <v>0</v>
      </c>
      <c r="F21">
        <v>0</v>
      </c>
      <c r="G21">
        <v>0</v>
      </c>
      <c r="H21">
        <v>0</v>
      </c>
      <c r="I21">
        <v>24</v>
      </c>
      <c r="J21">
        <v>0</v>
      </c>
      <c r="K21">
        <v>0</v>
      </c>
      <c r="L21">
        <v>0</v>
      </c>
      <c r="O21" t="s">
        <v>488</v>
      </c>
      <c r="Q21" s="242">
        <v>42109</v>
      </c>
      <c r="R21" s="242">
        <v>42139</v>
      </c>
      <c r="U21" t="s">
        <v>488</v>
      </c>
      <c r="V21" s="242">
        <v>42114</v>
      </c>
      <c r="W21" s="242">
        <v>42114.704077627313</v>
      </c>
      <c r="X21" t="s">
        <v>456</v>
      </c>
      <c r="Y21" t="b">
        <v>0</v>
      </c>
      <c r="Z21" t="b">
        <v>1</v>
      </c>
      <c r="AA21" t="s">
        <v>24</v>
      </c>
      <c r="AC21" s="242"/>
      <c r="AH21" t="s">
        <v>226</v>
      </c>
      <c r="AJ21">
        <v>1602.4</v>
      </c>
      <c r="AK21" s="242">
        <v>42112.281377314815</v>
      </c>
      <c r="AL21" t="s">
        <v>244</v>
      </c>
      <c r="AM21">
        <v>1747.90002441406</v>
      </c>
      <c r="AO21">
        <v>4</v>
      </c>
      <c r="AP21">
        <v>0</v>
      </c>
      <c r="AQ21">
        <v>0</v>
      </c>
      <c r="AR21" s="242"/>
      <c r="AU21" t="b">
        <v>0</v>
      </c>
    </row>
    <row r="22" spans="1:47">
      <c r="A22" t="s">
        <v>170</v>
      </c>
      <c r="B22">
        <v>20</v>
      </c>
      <c r="C22">
        <v>0</v>
      </c>
      <c r="D22">
        <v>0</v>
      </c>
      <c r="E22">
        <v>0</v>
      </c>
      <c r="F22">
        <v>24</v>
      </c>
      <c r="G22">
        <v>0</v>
      </c>
      <c r="H22">
        <v>0</v>
      </c>
      <c r="I22">
        <v>0</v>
      </c>
      <c r="J22">
        <v>0</v>
      </c>
      <c r="K22">
        <v>0</v>
      </c>
      <c r="L22">
        <v>0</v>
      </c>
      <c r="O22" t="s">
        <v>457</v>
      </c>
      <c r="P22" t="s">
        <v>327</v>
      </c>
      <c r="Q22" s="242">
        <v>42079</v>
      </c>
      <c r="R22" s="242">
        <v>42122</v>
      </c>
      <c r="U22" t="s">
        <v>457</v>
      </c>
      <c r="V22" s="242">
        <v>42114</v>
      </c>
      <c r="W22" s="242">
        <v>42111.278088854167</v>
      </c>
      <c r="X22" t="s">
        <v>456</v>
      </c>
      <c r="Y22" t="b">
        <v>0</v>
      </c>
      <c r="Z22" t="b">
        <v>1</v>
      </c>
      <c r="AA22" t="s">
        <v>65</v>
      </c>
      <c r="AC22" s="242"/>
      <c r="AH22" t="s">
        <v>226</v>
      </c>
      <c r="AJ22">
        <v>1530.5</v>
      </c>
      <c r="AK22" s="242">
        <v>42114.967893518522</v>
      </c>
      <c r="AL22" t="s">
        <v>245</v>
      </c>
      <c r="AM22">
        <v>1825.40002441406</v>
      </c>
      <c r="AO22">
        <v>7</v>
      </c>
      <c r="AP22">
        <v>0</v>
      </c>
      <c r="AQ22">
        <v>0</v>
      </c>
      <c r="AR22" s="242"/>
      <c r="AU22" t="b">
        <v>0</v>
      </c>
    </row>
    <row r="23" spans="1:47">
      <c r="A23" t="s">
        <v>158</v>
      </c>
      <c r="B23">
        <v>20</v>
      </c>
      <c r="C23">
        <v>0</v>
      </c>
      <c r="D23">
        <v>24</v>
      </c>
      <c r="E23">
        <v>0</v>
      </c>
      <c r="F23">
        <v>0</v>
      </c>
      <c r="G23">
        <v>0</v>
      </c>
      <c r="H23">
        <v>0</v>
      </c>
      <c r="I23">
        <v>0</v>
      </c>
      <c r="J23">
        <v>0</v>
      </c>
      <c r="K23">
        <v>0</v>
      </c>
      <c r="L23">
        <v>0</v>
      </c>
      <c r="M23" t="s">
        <v>429</v>
      </c>
      <c r="O23" t="s">
        <v>430</v>
      </c>
      <c r="P23" t="s">
        <v>327</v>
      </c>
      <c r="Q23" s="242">
        <v>42090</v>
      </c>
      <c r="R23" s="242">
        <v>42122</v>
      </c>
      <c r="U23" t="s">
        <v>430</v>
      </c>
      <c r="V23" s="242">
        <v>42114</v>
      </c>
      <c r="W23" s="242">
        <v>42111.272843865743</v>
      </c>
      <c r="X23" t="s">
        <v>456</v>
      </c>
      <c r="Y23" t="b">
        <v>0</v>
      </c>
      <c r="Z23" t="b">
        <v>1</v>
      </c>
      <c r="AA23" t="s">
        <v>23</v>
      </c>
      <c r="AC23" s="242"/>
      <c r="AH23" t="s">
        <v>226</v>
      </c>
      <c r="AJ23">
        <v>5448.2</v>
      </c>
      <c r="AK23" s="242">
        <v>42112.364340277774</v>
      </c>
      <c r="AL23" t="s">
        <v>246</v>
      </c>
      <c r="AM23">
        <v>5490.10009765625</v>
      </c>
      <c r="AO23">
        <v>2</v>
      </c>
      <c r="AP23">
        <v>0</v>
      </c>
      <c r="AQ23">
        <v>0</v>
      </c>
      <c r="AR23" s="242"/>
      <c r="AU23" t="b">
        <v>0</v>
      </c>
    </row>
    <row r="24" spans="1:47">
      <c r="A24" t="s">
        <v>159</v>
      </c>
      <c r="B24">
        <v>20</v>
      </c>
      <c r="C24">
        <v>0</v>
      </c>
      <c r="D24">
        <v>24</v>
      </c>
      <c r="E24">
        <v>0</v>
      </c>
      <c r="F24">
        <v>0</v>
      </c>
      <c r="G24">
        <v>0</v>
      </c>
      <c r="H24">
        <v>0</v>
      </c>
      <c r="I24">
        <v>0</v>
      </c>
      <c r="J24">
        <v>0</v>
      </c>
      <c r="K24">
        <v>0</v>
      </c>
      <c r="L24">
        <v>0</v>
      </c>
      <c r="M24" t="s">
        <v>429</v>
      </c>
      <c r="O24" t="s">
        <v>430</v>
      </c>
      <c r="P24" t="s">
        <v>327</v>
      </c>
      <c r="Q24" s="242">
        <v>42095</v>
      </c>
      <c r="R24" s="242">
        <v>42122</v>
      </c>
      <c r="U24" t="s">
        <v>430</v>
      </c>
      <c r="V24" s="242">
        <v>42114</v>
      </c>
      <c r="W24" s="242">
        <v>42114.534483680553</v>
      </c>
      <c r="X24" t="s">
        <v>456</v>
      </c>
      <c r="Y24" t="b">
        <v>0</v>
      </c>
      <c r="Z24" t="b">
        <v>1</v>
      </c>
      <c r="AA24" t="s">
        <v>23</v>
      </c>
      <c r="AC24" s="242"/>
      <c r="AH24" t="s">
        <v>221</v>
      </c>
      <c r="AJ24">
        <v>3248.7</v>
      </c>
      <c r="AK24" s="242">
        <v>42111.859780092593</v>
      </c>
      <c r="AL24" t="s">
        <v>247</v>
      </c>
      <c r="AM24">
        <v>3418.19995117187</v>
      </c>
      <c r="AO24">
        <v>3</v>
      </c>
      <c r="AP24">
        <v>0</v>
      </c>
      <c r="AQ24">
        <v>0</v>
      </c>
      <c r="AR24" s="242"/>
      <c r="AU24" t="b">
        <v>0</v>
      </c>
    </row>
    <row r="25" spans="1:47">
      <c r="A25" t="s">
        <v>160</v>
      </c>
      <c r="B25">
        <v>20</v>
      </c>
      <c r="C25">
        <v>0</v>
      </c>
      <c r="D25">
        <v>24</v>
      </c>
      <c r="E25">
        <v>0</v>
      </c>
      <c r="F25">
        <v>0</v>
      </c>
      <c r="G25">
        <v>0</v>
      </c>
      <c r="H25">
        <v>0</v>
      </c>
      <c r="I25">
        <v>0</v>
      </c>
      <c r="J25">
        <v>0</v>
      </c>
      <c r="K25">
        <v>0</v>
      </c>
      <c r="L25">
        <v>0</v>
      </c>
      <c r="M25" t="s">
        <v>429</v>
      </c>
      <c r="O25" t="s">
        <v>430</v>
      </c>
      <c r="P25" t="s">
        <v>327</v>
      </c>
      <c r="Q25" s="242">
        <v>42074</v>
      </c>
      <c r="R25" s="242">
        <v>42122</v>
      </c>
      <c r="T25" t="s">
        <v>248</v>
      </c>
      <c r="U25" t="s">
        <v>430</v>
      </c>
      <c r="V25" s="242">
        <v>42114</v>
      </c>
      <c r="W25" s="242">
        <v>42111.274668020837</v>
      </c>
      <c r="X25" t="s">
        <v>456</v>
      </c>
      <c r="Y25" t="b">
        <v>0</v>
      </c>
      <c r="Z25" t="b">
        <v>1</v>
      </c>
      <c r="AA25" t="s">
        <v>23</v>
      </c>
      <c r="AC25" s="242"/>
      <c r="AH25" t="s">
        <v>221</v>
      </c>
      <c r="AJ25">
        <v>3033.6</v>
      </c>
      <c r="AK25" s="242">
        <v>42111.946712962963</v>
      </c>
      <c r="AL25" t="s">
        <v>233</v>
      </c>
      <c r="AM25">
        <v>3469.10009765625</v>
      </c>
      <c r="AO25">
        <v>2</v>
      </c>
      <c r="AP25">
        <v>0</v>
      </c>
      <c r="AQ25">
        <v>0</v>
      </c>
      <c r="AR25" s="242"/>
      <c r="AU25" t="b">
        <v>0</v>
      </c>
    </row>
  </sheetData>
  <pageMargins left="0.7" right="0.7" top="0.75" bottom="0.75" header="0.3" footer="0.3"/>
  <tableParts count="1">
    <tablePart r:id="rId1"/>
  </tableParts>
</worksheet>
</file>

<file path=xl/worksheets/sheet9.xml><?xml version="1.0" encoding="utf-8"?>
<worksheet xmlns="http://schemas.openxmlformats.org/spreadsheetml/2006/main" xmlns:r="http://schemas.openxmlformats.org/officeDocument/2006/relationships">
  <sheetPr codeName="Sheet10"/>
  <dimension ref="A1:Q79"/>
  <sheetViews>
    <sheetView topLeftCell="K29" workbookViewId="0">
      <selection activeCell="M20" sqref="M20"/>
    </sheetView>
  </sheetViews>
  <sheetFormatPr defaultRowHeight="15"/>
  <cols>
    <col min="1" max="1" width="9.7109375" bestFit="1" customWidth="1"/>
    <col min="2" max="2" width="6" bestFit="1" customWidth="1"/>
    <col min="3" max="3" width="7.140625" bestFit="1" customWidth="1"/>
    <col min="4" max="4" width="5.5703125" bestFit="1" customWidth="1"/>
    <col min="5" max="5" width="7.140625" bestFit="1" customWidth="1"/>
    <col min="6" max="6" width="5.5703125" bestFit="1" customWidth="1"/>
    <col min="7" max="7" width="7.7109375" bestFit="1" customWidth="1"/>
    <col min="8" max="8" width="7.42578125" customWidth="1"/>
    <col min="9" max="9" width="7.7109375" style="248" bestFit="1" customWidth="1"/>
    <col min="10" max="14" width="7.140625" style="248" customWidth="1"/>
    <col min="15" max="15" width="18.140625" bestFit="1" customWidth="1"/>
    <col min="16" max="16" width="14.140625" bestFit="1" customWidth="1"/>
    <col min="17" max="17" width="13" customWidth="1"/>
    <col min="18" max="18" width="11.7109375" customWidth="1"/>
    <col min="19" max="19" width="10.85546875" customWidth="1"/>
    <col min="20" max="20" width="14.140625" customWidth="1"/>
    <col min="21" max="21" width="7.42578125" customWidth="1"/>
    <col min="22" max="22" width="14.140625" customWidth="1"/>
    <col min="23" max="23" width="13" bestFit="1" customWidth="1"/>
    <col min="24" max="24" width="8" bestFit="1" customWidth="1"/>
    <col min="25" max="25" width="13.85546875" bestFit="1" customWidth="1"/>
    <col min="26" max="26" width="14.140625" bestFit="1" customWidth="1"/>
    <col min="27" max="27" width="11.7109375" bestFit="1" customWidth="1"/>
    <col min="28" max="28" width="10.140625" bestFit="1" customWidth="1"/>
    <col min="29" max="29" width="11.85546875" bestFit="1" customWidth="1"/>
    <col min="30" max="30" width="11.28515625" bestFit="1" customWidth="1"/>
    <col min="31" max="31" width="13.28515625" bestFit="1" customWidth="1"/>
    <col min="32" max="33" width="13" bestFit="1" customWidth="1"/>
    <col min="34" max="34" width="13.42578125" bestFit="1" customWidth="1"/>
    <col min="35" max="35" width="12.5703125" bestFit="1" customWidth="1"/>
    <col min="36" max="36" width="12.7109375" bestFit="1" customWidth="1"/>
    <col min="37" max="37" width="15.5703125" bestFit="1" customWidth="1"/>
    <col min="38" max="38" width="12" bestFit="1" customWidth="1"/>
    <col min="39" max="39" width="19.140625" bestFit="1" customWidth="1"/>
    <col min="40" max="40" width="17.140625" bestFit="1" customWidth="1"/>
    <col min="41" max="41" width="17" bestFit="1" customWidth="1"/>
    <col min="42" max="42" width="21.7109375" bestFit="1" customWidth="1"/>
  </cols>
  <sheetData>
    <row r="1" spans="1:17">
      <c r="B1" s="509" t="s">
        <v>316</v>
      </c>
      <c r="C1" s="509"/>
      <c r="D1" s="509" t="s">
        <v>317</v>
      </c>
      <c r="E1" s="509"/>
      <c r="F1" s="509" t="s">
        <v>318</v>
      </c>
      <c r="G1" s="509"/>
      <c r="H1" s="509" t="s">
        <v>319</v>
      </c>
      <c r="I1" s="507"/>
      <c r="J1" s="507"/>
      <c r="K1" s="498" t="s">
        <v>461</v>
      </c>
      <c r="L1" s="499"/>
      <c r="M1" s="500"/>
    </row>
    <row r="2" spans="1:17">
      <c r="A2" t="s">
        <v>320</v>
      </c>
      <c r="B2" s="423">
        <f ca="1">SUM(D2,F2,H2)</f>
        <v>2880</v>
      </c>
      <c r="C2" s="508"/>
      <c r="D2" s="423">
        <f ca="1">'A Co Readiness'!E246</f>
        <v>960</v>
      </c>
      <c r="E2" s="508"/>
      <c r="F2" s="423">
        <f ca="1">'B Co Readiness'!$E$246</f>
        <v>960</v>
      </c>
      <c r="G2" s="508"/>
      <c r="H2" s="423">
        <f ca="1">'C Co Readiness'!$E$246</f>
        <v>960</v>
      </c>
      <c r="I2" s="508"/>
      <c r="J2" s="508"/>
      <c r="K2" s="501" t="s">
        <v>462</v>
      </c>
      <c r="L2" s="502" t="s">
        <v>463</v>
      </c>
      <c r="M2" s="503" t="s">
        <v>464</v>
      </c>
      <c r="N2" s="278"/>
    </row>
    <row r="3" spans="1:17">
      <c r="A3" s="509" t="s">
        <v>16</v>
      </c>
      <c r="B3" s="423">
        <f t="shared" ref="B3:B7" ca="1" si="0">SUM(D3,F3,H3)</f>
        <v>0</v>
      </c>
      <c r="C3" s="508">
        <f ca="1">B3/$B$2</f>
        <v>0</v>
      </c>
      <c r="D3" s="423">
        <f ca="1">'A Co Readiness'!$E$244</f>
        <v>0</v>
      </c>
      <c r="E3" s="508">
        <f ca="1">D3/$D$2</f>
        <v>0</v>
      </c>
      <c r="F3" s="423">
        <f ca="1">'B Co Readiness'!$E$244</f>
        <v>0</v>
      </c>
      <c r="G3" s="508">
        <f ca="1">F3/$F$2</f>
        <v>0</v>
      </c>
      <c r="H3" s="423">
        <f ca="1">'C Co Readiness'!$E$244</f>
        <v>0</v>
      </c>
      <c r="I3" s="508">
        <f ca="1">H3/$H$2</f>
        <v>0</v>
      </c>
      <c r="J3" s="508"/>
      <c r="K3" s="501" t="s">
        <v>465</v>
      </c>
      <c r="L3" s="502" t="s">
        <v>466</v>
      </c>
      <c r="M3" s="503" t="s">
        <v>473</v>
      </c>
      <c r="N3" s="278"/>
    </row>
    <row r="4" spans="1:17">
      <c r="A4" t="s">
        <v>22</v>
      </c>
      <c r="B4" s="423">
        <f t="shared" ca="1" si="0"/>
        <v>0</v>
      </c>
      <c r="C4" s="508">
        <f ca="1">B4/$B$2</f>
        <v>0</v>
      </c>
      <c r="D4" s="423">
        <f ca="1">'A Co Readiness'!$G$244</f>
        <v>0</v>
      </c>
      <c r="E4" s="508">
        <f t="shared" ref="E4:E7" ca="1" si="1">D4/$D$2</f>
        <v>0</v>
      </c>
      <c r="F4" s="423">
        <f ca="1">'B Co Readiness'!$G$244</f>
        <v>0</v>
      </c>
      <c r="G4" s="508">
        <f t="shared" ref="G4:G7" ca="1" si="2">F4/$F$2</f>
        <v>0</v>
      </c>
      <c r="H4" s="423">
        <f ca="1">'C Co Readiness'!$G$244</f>
        <v>0</v>
      </c>
      <c r="I4" s="508">
        <f t="shared" ref="I4:I7" ca="1" si="3">H4/$H$2</f>
        <v>0</v>
      </c>
      <c r="J4" s="508"/>
      <c r="K4" s="501"/>
      <c r="L4" s="502"/>
      <c r="M4" s="503"/>
      <c r="N4" s="278"/>
    </row>
    <row r="5" spans="1:17">
      <c r="A5" t="s">
        <v>23</v>
      </c>
      <c r="B5" s="423">
        <f t="shared" ca="1" si="0"/>
        <v>1555</v>
      </c>
      <c r="C5" s="508">
        <f ca="1">B5/$B$2</f>
        <v>0.53990000000000005</v>
      </c>
      <c r="D5" s="423">
        <f ca="1">'A Co Readiness'!$F$244</f>
        <v>429</v>
      </c>
      <c r="E5" s="508">
        <f t="shared" ca="1" si="1"/>
        <v>0.44690000000000002</v>
      </c>
      <c r="F5" s="423">
        <f ca="1">'B Co Readiness'!$F$244</f>
        <v>560</v>
      </c>
      <c r="G5" s="508">
        <f t="shared" ca="1" si="2"/>
        <v>0.58330000000000004</v>
      </c>
      <c r="H5" s="423">
        <f ca="1">'C Co Readiness'!$F$244</f>
        <v>566</v>
      </c>
      <c r="I5" s="508">
        <f t="shared" ca="1" si="3"/>
        <v>0.58960000000000001</v>
      </c>
      <c r="J5" s="508"/>
      <c r="K5" s="501"/>
      <c r="L5" s="502"/>
      <c r="M5" s="503"/>
      <c r="N5" s="278"/>
    </row>
    <row r="6" spans="1:17">
      <c r="A6" s="509" t="s">
        <v>65</v>
      </c>
      <c r="B6" s="423">
        <f t="shared" ca="1" si="0"/>
        <v>615</v>
      </c>
      <c r="C6" s="508">
        <f ca="1">B6/$B$2</f>
        <v>0.2135</v>
      </c>
      <c r="D6" s="423">
        <f ca="1">'A Co Readiness'!$H$244</f>
        <v>243</v>
      </c>
      <c r="E6" s="508">
        <f t="shared" ca="1" si="1"/>
        <v>0.25309999999999999</v>
      </c>
      <c r="F6" s="423">
        <f ca="1">'B Co Readiness'!$H$244</f>
        <v>240</v>
      </c>
      <c r="G6" s="508">
        <f t="shared" ca="1" si="2"/>
        <v>0.25</v>
      </c>
      <c r="H6" s="423">
        <f ca="1">'C Co Readiness'!$H$244</f>
        <v>132</v>
      </c>
      <c r="I6" s="508">
        <f t="shared" ca="1" si="3"/>
        <v>0.13750000000000001</v>
      </c>
      <c r="J6" s="508"/>
      <c r="K6" s="501" t="s">
        <v>467</v>
      </c>
      <c r="L6" s="502" t="s">
        <v>468</v>
      </c>
      <c r="M6" s="503" t="s">
        <v>469</v>
      </c>
      <c r="N6" s="278"/>
    </row>
    <row r="7" spans="1:17">
      <c r="A7" s="509" t="s">
        <v>24</v>
      </c>
      <c r="B7" s="423">
        <f t="shared" ca="1" si="0"/>
        <v>578</v>
      </c>
      <c r="C7" s="508">
        <f ca="1">B7/$B$2</f>
        <v>0.20069999999999999</v>
      </c>
      <c r="D7" s="423">
        <f ca="1">'A Co Readiness'!$I$244</f>
        <v>275</v>
      </c>
      <c r="E7" s="508">
        <f t="shared" ca="1" si="1"/>
        <v>0.28649999999999998</v>
      </c>
      <c r="F7" s="423">
        <f ca="1">'B Co Readiness'!$I$244</f>
        <v>160</v>
      </c>
      <c r="G7" s="508">
        <f t="shared" ca="1" si="2"/>
        <v>0.16669999999999999</v>
      </c>
      <c r="H7" s="423">
        <f ca="1">'C Co Readiness'!$I$244</f>
        <v>143</v>
      </c>
      <c r="I7" s="508">
        <f t="shared" ca="1" si="3"/>
        <v>0.14899999999999999</v>
      </c>
      <c r="J7" s="508"/>
      <c r="K7" s="501" t="s">
        <v>467</v>
      </c>
      <c r="L7" s="502" t="s">
        <v>468</v>
      </c>
      <c r="M7" s="503" t="s">
        <v>469</v>
      </c>
      <c r="N7" s="278"/>
    </row>
    <row r="8" spans="1:17">
      <c r="B8" s="423"/>
      <c r="C8" s="508"/>
      <c r="D8" s="423"/>
      <c r="E8" s="508"/>
      <c r="F8" s="423"/>
      <c r="G8" s="508"/>
      <c r="H8" s="423"/>
      <c r="I8" s="508"/>
      <c r="J8" s="508"/>
      <c r="K8" s="501"/>
      <c r="L8" s="502"/>
      <c r="M8" s="503"/>
      <c r="N8" s="278"/>
      <c r="Q8" s="133">
        <f>500/23</f>
        <v>21.7</v>
      </c>
    </row>
    <row r="9" spans="1:17" ht="26.25" thickBot="1">
      <c r="A9" s="509" t="s">
        <v>135</v>
      </c>
      <c r="B9" s="423">
        <f ca="1">B4+B5</f>
        <v>1555</v>
      </c>
      <c r="C9" s="508">
        <f ca="1">B9/B2</f>
        <v>0.53990000000000005</v>
      </c>
      <c r="D9" s="423">
        <f ca="1">D4+D5</f>
        <v>429</v>
      </c>
      <c r="E9" s="508">
        <f ca="1">D9/D2</f>
        <v>0.44690000000000002</v>
      </c>
      <c r="F9" s="423">
        <f ca="1">F4+F5</f>
        <v>560</v>
      </c>
      <c r="G9" s="508">
        <f ca="1">F9/F2</f>
        <v>0.58330000000000004</v>
      </c>
      <c r="H9" s="423">
        <f ca="1">H4+H5</f>
        <v>566</v>
      </c>
      <c r="I9" s="508">
        <f ca="1">H9/H2</f>
        <v>0.58960000000000001</v>
      </c>
      <c r="J9" s="508"/>
      <c r="K9" s="504" t="s">
        <v>470</v>
      </c>
      <c r="L9" s="505" t="s">
        <v>471</v>
      </c>
      <c r="M9" s="506" t="s">
        <v>472</v>
      </c>
      <c r="N9" s="278"/>
      <c r="O9" s="279" t="str">
        <f>Status!$A$53</f>
        <v>10-05626</v>
      </c>
      <c r="P9" s="496">
        <f>Status!$L$53</f>
        <v>435.5</v>
      </c>
      <c r="Q9" s="133">
        <v>500</v>
      </c>
    </row>
    <row r="10" spans="1:17" ht="25.5">
      <c r="A10" s="509" t="s">
        <v>3</v>
      </c>
      <c r="B10" s="423">
        <f ca="1">SUM(B3:B5)</f>
        <v>1555</v>
      </c>
      <c r="C10" s="508">
        <f ca="1">B10/B2</f>
        <v>0.53990000000000005</v>
      </c>
      <c r="D10" s="423">
        <f ca="1">SUM(D3:D5)</f>
        <v>429</v>
      </c>
      <c r="E10" s="508">
        <f ca="1">D10/D2</f>
        <v>0.44690000000000002</v>
      </c>
      <c r="F10" s="423">
        <f ca="1">SUM(F3:F5)</f>
        <v>560</v>
      </c>
      <c r="G10" s="508">
        <f ca="1">F10/F2</f>
        <v>0.58330000000000004</v>
      </c>
      <c r="H10" s="423">
        <f ca="1">SUM(H3:H5)</f>
        <v>566</v>
      </c>
      <c r="I10" s="508">
        <f ca="1">H10/H2</f>
        <v>0.58960000000000001</v>
      </c>
      <c r="J10" s="278"/>
      <c r="K10" s="278"/>
      <c r="L10" s="278"/>
      <c r="M10" s="278"/>
      <c r="N10" s="278"/>
      <c r="O10" s="279" t="str">
        <f>Status!$A$35</f>
        <v>07-07037</v>
      </c>
      <c r="P10" s="496">
        <f>Status!$L$35</f>
        <v>423.6</v>
      </c>
      <c r="Q10" s="133">
        <f t="shared" ref="Q10:Q32" si="4">Q9-$Q$8</f>
        <v>478.3</v>
      </c>
    </row>
    <row r="11" spans="1:17" ht="25.5">
      <c r="A11" t="s">
        <v>321</v>
      </c>
      <c r="B11" s="510">
        <f>SUM(D11,F11,H11)</f>
        <v>518.1</v>
      </c>
      <c r="C11" s="510"/>
      <c r="D11" s="510">
        <f>'1-4 ARB'!T14</f>
        <v>252.1</v>
      </c>
      <c r="E11" s="510"/>
      <c r="F11" s="510">
        <f>'1-4 ARB'!T23</f>
        <v>195.7</v>
      </c>
      <c r="G11" s="510"/>
      <c r="H11" s="510">
        <f>'1-4 ARB'!T32</f>
        <v>70.3</v>
      </c>
      <c r="I11" s="508"/>
      <c r="J11" s="278"/>
      <c r="K11" s="278"/>
      <c r="L11" s="278"/>
      <c r="M11" s="278"/>
      <c r="N11" s="278"/>
      <c r="O11" s="279" t="str">
        <f>Status!$A$22</f>
        <v>09-05583</v>
      </c>
      <c r="P11" s="496">
        <f>Status!$L$22</f>
        <v>419.6</v>
      </c>
      <c r="Q11" s="133">
        <f t="shared" si="4"/>
        <v>456.6</v>
      </c>
    </row>
    <row r="12" spans="1:17" ht="25.5">
      <c r="K12" s="507"/>
      <c r="L12" s="507"/>
      <c r="M12" s="507"/>
      <c r="O12" s="279" t="str">
        <f>Status!$A$44</f>
        <v>09-05595</v>
      </c>
      <c r="P12" s="496">
        <f>Status!$L$44</f>
        <v>408.1</v>
      </c>
      <c r="Q12" s="133">
        <f t="shared" si="4"/>
        <v>434.9</v>
      </c>
    </row>
    <row r="13" spans="1:17" ht="25.5">
      <c r="A13" t="s">
        <v>490</v>
      </c>
      <c r="B13" s="133">
        <f ca="1">SUM(D13,F13,H13)</f>
        <v>132.9</v>
      </c>
      <c r="C13" s="278">
        <f ca="1">B13/B2</f>
        <v>4.6100000000000002E-2</v>
      </c>
      <c r="D13" s="133">
        <f ca="1">'A Co Readiness'!L244</f>
        <v>12.9</v>
      </c>
      <c r="E13" s="278">
        <f ca="1">D13/D2</f>
        <v>1.34E-2</v>
      </c>
      <c r="F13" s="133">
        <f ca="1">'B Co Readiness'!L244</f>
        <v>0</v>
      </c>
      <c r="G13" s="278">
        <f ca="1">F13/F2</f>
        <v>0</v>
      </c>
      <c r="H13" s="133">
        <f ca="1">'C Co Readiness'!L244</f>
        <v>120</v>
      </c>
      <c r="I13" s="278">
        <f ca="1">H13/H2</f>
        <v>0.125</v>
      </c>
      <c r="K13" s="507"/>
      <c r="L13" s="507"/>
      <c r="M13" s="507"/>
      <c r="O13" s="279" t="str">
        <f>Status!$A$75</f>
        <v>96-05008</v>
      </c>
      <c r="P13" s="496">
        <f>Status!$L$75</f>
        <v>401.2</v>
      </c>
      <c r="Q13" s="133">
        <f t="shared" si="4"/>
        <v>413.2</v>
      </c>
    </row>
    <row r="14" spans="1:17" ht="25.5">
      <c r="A14" t="s">
        <v>316</v>
      </c>
      <c r="C14" s="281">
        <f ca="1">SUM(C3,C6,C7,C9,C13)</f>
        <v>1</v>
      </c>
      <c r="D14" s="281"/>
      <c r="E14" s="281">
        <f ca="1">SUM(E3,E6,E7,E9,E13)</f>
        <v>1</v>
      </c>
      <c r="G14" s="281">
        <f ca="1">SUM(G3,G6,G7,G9,G13)</f>
        <v>1</v>
      </c>
      <c r="I14" s="281">
        <f ca="1">SUM(I3,I6,I7,I9,I13)</f>
        <v>1.0009999999999999</v>
      </c>
      <c r="K14" s="507"/>
      <c r="L14" s="507"/>
      <c r="M14" s="507"/>
      <c r="O14" s="279" t="str">
        <f>Status!$A$66</f>
        <v>07-07039</v>
      </c>
      <c r="P14" s="496">
        <f>Status!$L$66</f>
        <v>378.8</v>
      </c>
      <c r="Q14" s="133">
        <f t="shared" si="4"/>
        <v>391.5</v>
      </c>
    </row>
    <row r="15" spans="1:17" ht="25.5">
      <c r="O15" s="279" t="str">
        <f>Status!$A$41</f>
        <v>07-07044</v>
      </c>
      <c r="P15" s="496">
        <f>Status!$L$41</f>
        <v>335</v>
      </c>
      <c r="Q15" s="133">
        <f t="shared" si="4"/>
        <v>369.8</v>
      </c>
    </row>
    <row r="16" spans="1:17" ht="25.5">
      <c r="O16" s="279" t="str">
        <f>Status!$A$47</f>
        <v>09-05598</v>
      </c>
      <c r="P16" s="496">
        <f>Status!$L$47</f>
        <v>289.39999999999998</v>
      </c>
      <c r="Q16" s="133">
        <f t="shared" si="4"/>
        <v>348.1</v>
      </c>
    </row>
    <row r="17" spans="1:17" ht="25.5">
      <c r="O17" s="279" t="str">
        <f>Status!$A$69</f>
        <v>08-07052</v>
      </c>
      <c r="P17" s="496">
        <f>Status!$L$69</f>
        <v>294.89999999999998</v>
      </c>
      <c r="Q17" s="133">
        <f t="shared" si="4"/>
        <v>326.39999999999998</v>
      </c>
    </row>
    <row r="18" spans="1:17" ht="25.5">
      <c r="O18" s="279" t="str">
        <f>Status!$A$57</f>
        <v>00-05187</v>
      </c>
      <c r="P18" s="496">
        <f>Status!$L$57</f>
        <v>294.10000000000002</v>
      </c>
      <c r="Q18" s="133">
        <f t="shared" si="4"/>
        <v>304.7</v>
      </c>
    </row>
    <row r="19" spans="1:17" ht="25.5">
      <c r="O19" s="279" t="str">
        <f>Status!$A$78</f>
        <v>99-05141</v>
      </c>
      <c r="P19" s="496">
        <f>Status!$L$78</f>
        <v>254.8</v>
      </c>
      <c r="Q19" s="133">
        <f t="shared" si="4"/>
        <v>283</v>
      </c>
    </row>
    <row r="20" spans="1:17" ht="25.5">
      <c r="O20" s="279" t="str">
        <f>Status!$A$7</f>
        <v>02-05298</v>
      </c>
      <c r="P20" s="496">
        <f>Status!$L$7</f>
        <v>189.2</v>
      </c>
      <c r="Q20" s="133">
        <f t="shared" si="4"/>
        <v>261.3</v>
      </c>
    </row>
    <row r="21" spans="1:17" ht="25.5">
      <c r="O21" s="279" t="str">
        <f>Status!$A$50</f>
        <v>10-05615</v>
      </c>
      <c r="P21" s="496">
        <f>Status!$L$50</f>
        <v>169.5</v>
      </c>
      <c r="Q21" s="133">
        <f t="shared" si="4"/>
        <v>239.6</v>
      </c>
    </row>
    <row r="22" spans="1:17" ht="25.5">
      <c r="O22" s="279" t="str">
        <f>Status!$A$72</f>
        <v>09-05575</v>
      </c>
      <c r="P22" s="496">
        <f>Status!$L$72</f>
        <v>168.8</v>
      </c>
      <c r="Q22" s="133">
        <f t="shared" si="4"/>
        <v>217.9</v>
      </c>
    </row>
    <row r="23" spans="1:17" ht="25.5">
      <c r="O23" s="279" t="str">
        <f>Status!$A$63</f>
        <v>03-05383</v>
      </c>
      <c r="P23" s="496">
        <f>Status!$L$63</f>
        <v>148.30000000000001</v>
      </c>
      <c r="Q23" s="133">
        <f t="shared" si="4"/>
        <v>196.2</v>
      </c>
    </row>
    <row r="24" spans="1:17" ht="25.5">
      <c r="O24" s="279" t="str">
        <f>Status!$A$16</f>
        <v>08-07051</v>
      </c>
      <c r="P24" s="496">
        <f>Status!$L$16</f>
        <v>145.5</v>
      </c>
      <c r="Q24" s="133">
        <f t="shared" si="4"/>
        <v>174.5</v>
      </c>
    </row>
    <row r="25" spans="1:17" ht="25.5">
      <c r="O25" s="279" t="str">
        <f>Status!$A$19</f>
        <v>09-05582</v>
      </c>
      <c r="P25" s="496">
        <f>Status!$L$19</f>
        <v>73.099999999999994</v>
      </c>
      <c r="Q25" s="133">
        <f t="shared" si="4"/>
        <v>152.80000000000001</v>
      </c>
    </row>
    <row r="26" spans="1:17" ht="25.5">
      <c r="O26" s="279" t="str">
        <f>Status!$A$38</f>
        <v>07-07041</v>
      </c>
      <c r="P26" s="496">
        <f>Status!$L$38</f>
        <v>74.400000000000006</v>
      </c>
      <c r="Q26" s="133">
        <f t="shared" si="4"/>
        <v>131.1</v>
      </c>
    </row>
    <row r="27" spans="1:17" ht="25.5">
      <c r="O27" s="279" t="str">
        <f>Status!$A$32</f>
        <v>07-05524</v>
      </c>
      <c r="P27" s="496">
        <f>Status!$L$32</f>
        <v>50.3</v>
      </c>
      <c r="Q27" s="133">
        <f t="shared" si="4"/>
        <v>109.4</v>
      </c>
    </row>
    <row r="28" spans="1:17" ht="25.5">
      <c r="O28" s="279" t="str">
        <f>Status!$A$13</f>
        <v>07-07042</v>
      </c>
      <c r="P28" s="496">
        <f>Status!$L$13</f>
        <v>45.6</v>
      </c>
      <c r="Q28" s="133">
        <f t="shared" si="4"/>
        <v>87.7</v>
      </c>
    </row>
    <row r="29" spans="1:17" ht="25.5">
      <c r="O29" s="279" t="str">
        <f>Status!$A$28</f>
        <v>10-05613</v>
      </c>
      <c r="P29" s="496">
        <f>Status!$L$28</f>
        <v>41.9</v>
      </c>
      <c r="Q29" s="133">
        <f t="shared" si="4"/>
        <v>66</v>
      </c>
    </row>
    <row r="30" spans="1:17" ht="25.5">
      <c r="A30" t="s">
        <v>317</v>
      </c>
      <c r="O30" s="279" t="str">
        <f>Status!$A$10</f>
        <v>07-07036</v>
      </c>
      <c r="P30" s="496">
        <f>Status!$L$10</f>
        <v>36.6</v>
      </c>
      <c r="Q30" s="133">
        <f t="shared" si="4"/>
        <v>44.3</v>
      </c>
    </row>
    <row r="31" spans="1:17" ht="15" customHeight="1">
      <c r="O31" s="279" t="str">
        <f>Status!$A$60</f>
        <v>03-05365</v>
      </c>
      <c r="P31" s="496">
        <f>Status!$L$60</f>
        <v>27.4</v>
      </c>
      <c r="Q31" s="133">
        <f t="shared" si="4"/>
        <v>22.6</v>
      </c>
    </row>
    <row r="32" spans="1:17" ht="15" customHeight="1">
      <c r="O32" s="279" t="str">
        <f>Status!$A$25</f>
        <v>09-05585</v>
      </c>
      <c r="P32" s="496">
        <f>Status!$L$25</f>
        <v>26.5</v>
      </c>
      <c r="Q32" s="133">
        <f t="shared" si="4"/>
        <v>0.9</v>
      </c>
    </row>
    <row r="33" spans="1:17" ht="15" customHeight="1">
      <c r="O33" s="497"/>
      <c r="P33" s="133"/>
    </row>
    <row r="34" spans="1:17" ht="15" customHeight="1">
      <c r="O34" s="497"/>
      <c r="P34" s="133"/>
      <c r="Q34" s="133">
        <f>500/7</f>
        <v>71.400000000000006</v>
      </c>
    </row>
    <row r="35" spans="1:17" ht="15" customHeight="1">
      <c r="Q35" s="133">
        <v>500</v>
      </c>
    </row>
    <row r="36" spans="1:17" ht="15" customHeight="1">
      <c r="O36" t="s">
        <v>460</v>
      </c>
      <c r="P36" s="282">
        <f>((SUM(P9:P27))/9500)</f>
        <v>0.52</v>
      </c>
      <c r="Q36" s="133">
        <f t="shared" ref="Q36:Q42" si="5">Q35-$Q$34</f>
        <v>428.6</v>
      </c>
    </row>
    <row r="37" spans="1:17" ht="15" customHeight="1">
      <c r="Q37" s="133">
        <f t="shared" si="5"/>
        <v>357.2</v>
      </c>
    </row>
    <row r="38" spans="1:17" ht="15" customHeight="1">
      <c r="O38" s="279" t="str">
        <f>Status!$A$22</f>
        <v>09-05583</v>
      </c>
      <c r="P38" s="496">
        <f>Status!$L$22</f>
        <v>419.6</v>
      </c>
      <c r="Q38" s="133">
        <f t="shared" si="5"/>
        <v>285.8</v>
      </c>
    </row>
    <row r="39" spans="1:17" ht="15" customHeight="1">
      <c r="O39" s="279" t="str">
        <f>Status!$A$7</f>
        <v>02-05298</v>
      </c>
      <c r="P39" s="496">
        <f>Status!$L$7</f>
        <v>189.2</v>
      </c>
      <c r="Q39" s="133">
        <f t="shared" si="5"/>
        <v>214.4</v>
      </c>
    </row>
    <row r="40" spans="1:17" ht="15" customHeight="1">
      <c r="O40" s="279" t="str">
        <f>Status!$A$16</f>
        <v>08-07051</v>
      </c>
      <c r="P40" s="496">
        <f>Status!$L$16</f>
        <v>145.5</v>
      </c>
      <c r="Q40" s="133">
        <f t="shared" si="5"/>
        <v>143</v>
      </c>
    </row>
    <row r="41" spans="1:17" ht="15" customHeight="1">
      <c r="O41" s="279" t="str">
        <f>Status!$A$19</f>
        <v>09-05582</v>
      </c>
      <c r="P41" s="496">
        <f>Status!$L$19</f>
        <v>73.099999999999994</v>
      </c>
      <c r="Q41" s="133">
        <f t="shared" si="5"/>
        <v>71.599999999999994</v>
      </c>
    </row>
    <row r="42" spans="1:17" ht="15" customHeight="1">
      <c r="O42" s="279" t="str">
        <f>Status!$A$13</f>
        <v>07-07042</v>
      </c>
      <c r="P42" s="496">
        <f>Status!$L$13</f>
        <v>45.6</v>
      </c>
      <c r="Q42" s="133">
        <f t="shared" si="5"/>
        <v>0.2</v>
      </c>
    </row>
    <row r="43" spans="1:17" ht="15" customHeight="1">
      <c r="O43" s="279" t="str">
        <f>Status!$A$28</f>
        <v>10-05613</v>
      </c>
      <c r="P43" s="496">
        <f>Status!$L$28</f>
        <v>41.9</v>
      </c>
    </row>
    <row r="44" spans="1:17" ht="15" customHeight="1">
      <c r="O44" s="279" t="str">
        <f>Status!$A$10</f>
        <v>07-07036</v>
      </c>
      <c r="P44" s="496">
        <f>Status!$L$10</f>
        <v>36.6</v>
      </c>
    </row>
    <row r="45" spans="1:17" ht="15" customHeight="1">
      <c r="O45" s="279" t="str">
        <f>Status!$A$25</f>
        <v>09-05585</v>
      </c>
      <c r="P45" s="496">
        <f>Status!$L$25</f>
        <v>26.5</v>
      </c>
    </row>
    <row r="46" spans="1:17" ht="15" customHeight="1">
      <c r="A46" t="s">
        <v>318</v>
      </c>
      <c r="P46" s="133"/>
    </row>
    <row r="47" spans="1:17" ht="15" customHeight="1">
      <c r="O47" t="s">
        <v>460</v>
      </c>
      <c r="P47" s="281">
        <f>(SUM(P38:P45))/4000</f>
        <v>0.245</v>
      </c>
    </row>
    <row r="48" spans="1:17" ht="15" customHeight="1"/>
    <row r="49" spans="1:17" ht="15" customHeight="1"/>
    <row r="50" spans="1:17" ht="15" customHeight="1">
      <c r="Q50" s="280">
        <v>71.430000000000007</v>
      </c>
    </row>
    <row r="51" spans="1:17" ht="15" customHeight="1">
      <c r="Q51" s="280">
        <v>500</v>
      </c>
    </row>
    <row r="52" spans="1:17" ht="15" customHeight="1">
      <c r="Q52" s="280">
        <v>428.57</v>
      </c>
    </row>
    <row r="53" spans="1:17" ht="15" customHeight="1">
      <c r="Q53" s="280">
        <v>357.14</v>
      </c>
    </row>
    <row r="54" spans="1:17" ht="15" customHeight="1">
      <c r="O54" s="279" t="str">
        <f>Status!$A$53</f>
        <v>10-05626</v>
      </c>
      <c r="P54" s="496">
        <f>Status!$L$53</f>
        <v>435.5</v>
      </c>
      <c r="Q54" s="280">
        <v>285.70999999999998</v>
      </c>
    </row>
    <row r="55" spans="1:17" ht="15" customHeight="1">
      <c r="O55" s="279" t="str">
        <f>Status!$A$35</f>
        <v>07-07037</v>
      </c>
      <c r="P55" s="496">
        <f>Status!$L$35</f>
        <v>423.6</v>
      </c>
      <c r="Q55" s="280">
        <v>214.29</v>
      </c>
    </row>
    <row r="56" spans="1:17" ht="15" customHeight="1">
      <c r="O56" s="279" t="str">
        <f>Status!$A$44</f>
        <v>09-05595</v>
      </c>
      <c r="P56" s="496">
        <f>Status!$L$44</f>
        <v>408.1</v>
      </c>
      <c r="Q56" s="280">
        <v>142.86000000000001</v>
      </c>
    </row>
    <row r="57" spans="1:17" ht="15" customHeight="1">
      <c r="O57" s="279" t="str">
        <f>Status!$A$41</f>
        <v>07-07044</v>
      </c>
      <c r="P57" s="496">
        <f>Status!$L$41</f>
        <v>335</v>
      </c>
      <c r="Q57" s="280">
        <v>71.430000000000007</v>
      </c>
    </row>
    <row r="58" spans="1:17" ht="15" customHeight="1">
      <c r="O58" s="279" t="str">
        <f>Status!$A$47</f>
        <v>09-05598</v>
      </c>
      <c r="P58" s="496">
        <f>Status!$L$47</f>
        <v>289.39999999999998</v>
      </c>
      <c r="Q58" s="280">
        <v>0</v>
      </c>
    </row>
    <row r="59" spans="1:17" ht="15" customHeight="1">
      <c r="O59" s="279" t="str">
        <f>Status!$A$50</f>
        <v>10-05615</v>
      </c>
      <c r="P59" s="496">
        <f>Status!$L$50</f>
        <v>169.5</v>
      </c>
    </row>
    <row r="60" spans="1:17" ht="15" customHeight="1">
      <c r="O60" s="279" t="str">
        <f>Status!$A$38</f>
        <v>07-07041</v>
      </c>
      <c r="P60" s="496">
        <f>Status!$L$38</f>
        <v>74.400000000000006</v>
      </c>
    </row>
    <row r="61" spans="1:17" ht="15" customHeight="1">
      <c r="O61" s="279" t="str">
        <f>Status!$A$32</f>
        <v>07-05524</v>
      </c>
      <c r="P61" s="496">
        <f>Status!$L$32</f>
        <v>50.3</v>
      </c>
    </row>
    <row r="62" spans="1:17" ht="15" customHeight="1">
      <c r="A62" t="s">
        <v>319</v>
      </c>
    </row>
    <row r="63" spans="1:17" ht="15" customHeight="1">
      <c r="O63" t="s">
        <v>460</v>
      </c>
      <c r="P63" s="281">
        <f>(SUM(P54:P61))/4000</f>
        <v>0.54600000000000004</v>
      </c>
    </row>
    <row r="64" spans="1:17" ht="15" customHeight="1"/>
    <row r="65" spans="15:17" ht="15" customHeight="1"/>
    <row r="66" spans="15:17" ht="15" customHeight="1">
      <c r="Q66" s="280">
        <v>71.430000000000007</v>
      </c>
    </row>
    <row r="67" spans="15:17" ht="15" customHeight="1">
      <c r="Q67" s="280">
        <v>500</v>
      </c>
    </row>
    <row r="68" spans="15:17" ht="15" customHeight="1">
      <c r="Q68" s="280">
        <v>428.57</v>
      </c>
    </row>
    <row r="69" spans="15:17" ht="15" customHeight="1">
      <c r="Q69" s="280">
        <v>357.14</v>
      </c>
    </row>
    <row r="70" spans="15:17" ht="15" customHeight="1">
      <c r="O70" s="279" t="str">
        <f>Status!$A$75</f>
        <v>96-05008</v>
      </c>
      <c r="P70" s="496">
        <f>Status!$L$75</f>
        <v>401.2</v>
      </c>
      <c r="Q70" s="280">
        <v>285.70999999999998</v>
      </c>
    </row>
    <row r="71" spans="15:17" ht="15" customHeight="1">
      <c r="O71" s="279" t="str">
        <f>Status!$A$66</f>
        <v>07-07039</v>
      </c>
      <c r="P71" s="496">
        <f>Status!$L$66</f>
        <v>378.8</v>
      </c>
      <c r="Q71" s="280">
        <v>214.29</v>
      </c>
    </row>
    <row r="72" spans="15:17" ht="15" customHeight="1">
      <c r="O72" s="279" t="str">
        <f>Status!$A$69</f>
        <v>08-07052</v>
      </c>
      <c r="P72" s="496">
        <f>Status!$L$69</f>
        <v>294.89999999999998</v>
      </c>
      <c r="Q72" s="280">
        <v>142.86000000000001</v>
      </c>
    </row>
    <row r="73" spans="15:17" ht="15" customHeight="1">
      <c r="O73" s="279" t="str">
        <f>Status!$A$57</f>
        <v>00-05187</v>
      </c>
      <c r="P73" s="496">
        <f>Status!$L$57</f>
        <v>294.10000000000002</v>
      </c>
      <c r="Q73" s="280">
        <v>71.430000000000007</v>
      </c>
    </row>
    <row r="74" spans="15:17" ht="15" customHeight="1">
      <c r="O74" s="279" t="str">
        <f>Status!$A$78</f>
        <v>99-05141</v>
      </c>
      <c r="P74" s="496">
        <f>Status!$L$78</f>
        <v>254.8</v>
      </c>
      <c r="Q74" s="280">
        <v>0</v>
      </c>
    </row>
    <row r="75" spans="15:17" ht="15" customHeight="1">
      <c r="O75" s="279" t="str">
        <f>Status!$A$72</f>
        <v>09-05575</v>
      </c>
      <c r="P75" s="496">
        <f>Status!$L$72</f>
        <v>168.8</v>
      </c>
    </row>
    <row r="76" spans="15:17" ht="15" customHeight="1">
      <c r="O76" s="279" t="str">
        <f>Status!$A$63</f>
        <v>03-05383</v>
      </c>
      <c r="P76" s="496">
        <f>Status!$L$63</f>
        <v>148.30000000000001</v>
      </c>
    </row>
    <row r="77" spans="15:17" ht="15" customHeight="1">
      <c r="O77" s="279" t="str">
        <f>Status!$A$60</f>
        <v>03-05365</v>
      </c>
      <c r="P77" s="496">
        <f>Status!$L$60</f>
        <v>27.4</v>
      </c>
    </row>
    <row r="78" spans="15:17" ht="15" customHeight="1">
      <c r="P78" s="133"/>
    </row>
    <row r="79" spans="15:17" ht="25.5">
      <c r="O79" s="497" t="s">
        <v>460</v>
      </c>
      <c r="P79" s="281">
        <f>(SUM(P70:P77))/4000</f>
        <v>0.49199999999999999</v>
      </c>
    </row>
  </sheetData>
  <sortState ref="K70:L77">
    <sortCondition descending="1" ref="L70:L77"/>
  </sortState>
  <pageMargins left="0.7" right="0.7" top="0.75" bottom="0.75" header="0.3" footer="0.3"/>
  <pageSetup orientation="portrait" r:id="rId1"/>
  <ignoredErrors>
    <ignoredError sqref="G7 C9:C10 E9:E10 G9:G10 H9:H10 F9:F10 D9:D10" formula="1"/>
  </ignoredErrors>
  <drawing r:id="rId2"/>
  <legacyDrawing r:id="rId3"/>
</worksheet>
</file>

<file path=xl/worksheets/sheet10.xml><?xml version="1.0" encoding="utf-8"?>
<worksheet xmlns="http://schemas.openxmlformats.org/spreadsheetml/2006/main" xmlns:r="http://schemas.openxmlformats.org/officeDocument/2006/relationships">
  <sheetPr codeName="Sheet9">
    <pageSetUpPr fitToPage="1"/>
  </sheetPr>
  <dimension ref="A1:G19"/>
  <sheetViews>
    <sheetView workbookViewId="0">
      <selection activeCell="C14" sqref="C14"/>
    </sheetView>
  </sheetViews>
  <sheetFormatPr defaultRowHeight="15"/>
  <cols>
    <col min="1" max="1" width="9.140625" style="248"/>
    <col min="2" max="3" width="31.42578125" bestFit="1" customWidth="1"/>
    <col min="4" max="4" width="25.140625" bestFit="1" customWidth="1"/>
    <col min="5" max="5" width="9.140625" style="249"/>
    <col min="6" max="6" width="9.7109375" bestFit="1" customWidth="1"/>
  </cols>
  <sheetData>
    <row r="1" spans="1:7" ht="15.75" thickBot="1">
      <c r="A1" s="252" t="s">
        <v>2</v>
      </c>
      <c r="B1" s="253" t="s">
        <v>281</v>
      </c>
      <c r="C1" s="253" t="s">
        <v>282</v>
      </c>
      <c r="D1" s="253" t="s">
        <v>283</v>
      </c>
      <c r="E1" s="254" t="s">
        <v>284</v>
      </c>
      <c r="F1" s="253" t="s">
        <v>285</v>
      </c>
      <c r="G1" s="265" t="s">
        <v>293</v>
      </c>
    </row>
    <row r="2" spans="1:7">
      <c r="A2" s="255">
        <v>583</v>
      </c>
      <c r="B2" s="256" t="s">
        <v>255</v>
      </c>
      <c r="C2" s="256"/>
      <c r="D2" s="256"/>
      <c r="E2" s="257"/>
      <c r="F2" s="256"/>
      <c r="G2" s="258"/>
    </row>
    <row r="3" spans="1:7">
      <c r="A3" s="259">
        <v>51</v>
      </c>
      <c r="B3" s="260"/>
      <c r="C3" s="260" t="s">
        <v>256</v>
      </c>
      <c r="D3" s="260"/>
      <c r="E3" s="261">
        <v>4</v>
      </c>
      <c r="F3" s="260" t="s">
        <v>291</v>
      </c>
      <c r="G3" s="262" t="s">
        <v>296</v>
      </c>
    </row>
    <row r="4" spans="1:7">
      <c r="A4" s="259">
        <v>582</v>
      </c>
      <c r="B4" s="260" t="s">
        <v>266</v>
      </c>
      <c r="C4" s="260" t="s">
        <v>257</v>
      </c>
      <c r="D4" s="260" t="s">
        <v>258</v>
      </c>
      <c r="E4" s="261">
        <v>3</v>
      </c>
      <c r="F4" s="260" t="s">
        <v>288</v>
      </c>
      <c r="G4" s="262" t="s">
        <v>299</v>
      </c>
    </row>
    <row r="5" spans="1:7">
      <c r="A5" s="259" t="s">
        <v>259</v>
      </c>
      <c r="B5" s="260"/>
      <c r="C5" s="260" t="s">
        <v>260</v>
      </c>
      <c r="D5" s="260" t="s">
        <v>261</v>
      </c>
      <c r="E5" s="261">
        <v>1</v>
      </c>
      <c r="F5" s="260" t="s">
        <v>286</v>
      </c>
      <c r="G5" s="262" t="s">
        <v>298</v>
      </c>
    </row>
    <row r="6" spans="1:7">
      <c r="A6" s="259" t="s">
        <v>264</v>
      </c>
      <c r="B6" s="260"/>
      <c r="C6" s="260"/>
      <c r="D6" s="260"/>
      <c r="E6" s="261"/>
      <c r="F6" s="260"/>
      <c r="G6" s="262"/>
    </row>
    <row r="7" spans="1:7">
      <c r="A7" s="259" t="s">
        <v>262</v>
      </c>
      <c r="B7" s="260" t="s">
        <v>255</v>
      </c>
      <c r="C7" s="260" t="s">
        <v>263</v>
      </c>
      <c r="D7" s="260"/>
      <c r="E7" s="261">
        <v>2</v>
      </c>
      <c r="F7" s="260" t="s">
        <v>287</v>
      </c>
      <c r="G7" s="266" t="s">
        <v>295</v>
      </c>
    </row>
    <row r="8" spans="1:7">
      <c r="A8" s="259" t="s">
        <v>265</v>
      </c>
      <c r="B8" s="260" t="s">
        <v>280</v>
      </c>
      <c r="C8" s="260"/>
      <c r="D8" s="260"/>
      <c r="E8" s="261"/>
      <c r="F8" s="260"/>
      <c r="G8" s="262"/>
    </row>
    <row r="9" spans="1:7">
      <c r="A9" s="259" t="s">
        <v>267</v>
      </c>
      <c r="B9" s="260" t="s">
        <v>280</v>
      </c>
      <c r="C9" s="842" t="s">
        <v>275</v>
      </c>
      <c r="D9" s="842"/>
      <c r="E9" s="261" t="s">
        <v>290</v>
      </c>
      <c r="F9" s="260" t="s">
        <v>289</v>
      </c>
      <c r="G9" s="262" t="s">
        <v>297</v>
      </c>
    </row>
    <row r="10" spans="1:7">
      <c r="A10" s="843"/>
      <c r="B10" s="844"/>
      <c r="C10" s="844"/>
      <c r="D10" s="844"/>
      <c r="E10" s="844"/>
      <c r="F10" s="844"/>
      <c r="G10" s="845"/>
    </row>
    <row r="11" spans="1:7">
      <c r="A11" s="259" t="s">
        <v>269</v>
      </c>
      <c r="B11" s="260"/>
      <c r="C11" s="260"/>
      <c r="D11" s="260" t="s">
        <v>270</v>
      </c>
      <c r="E11" s="261">
        <v>5</v>
      </c>
      <c r="F11" s="260"/>
      <c r="G11" s="262"/>
    </row>
    <row r="12" spans="1:7">
      <c r="A12" s="259" t="s">
        <v>272</v>
      </c>
      <c r="B12" s="260"/>
      <c r="C12" s="260"/>
      <c r="D12" s="260" t="s">
        <v>270</v>
      </c>
      <c r="E12" s="261">
        <v>6</v>
      </c>
      <c r="F12" s="260"/>
      <c r="G12" s="262"/>
    </row>
    <row r="13" spans="1:7">
      <c r="A13" s="259" t="s">
        <v>274</v>
      </c>
      <c r="B13" s="260"/>
      <c r="C13" s="260"/>
      <c r="D13" s="260" t="s">
        <v>270</v>
      </c>
      <c r="E13" s="261">
        <v>7</v>
      </c>
      <c r="F13" s="260"/>
      <c r="G13" s="262"/>
    </row>
    <row r="14" spans="1:7">
      <c r="A14" s="259" t="s">
        <v>276</v>
      </c>
      <c r="B14" s="260"/>
      <c r="C14" s="260"/>
      <c r="D14" s="260" t="s">
        <v>270</v>
      </c>
      <c r="E14" s="261">
        <v>8</v>
      </c>
      <c r="F14" s="260" t="s">
        <v>292</v>
      </c>
      <c r="G14" s="262" t="s">
        <v>294</v>
      </c>
    </row>
    <row r="15" spans="1:7">
      <c r="A15" s="259" t="s">
        <v>279</v>
      </c>
      <c r="B15" s="260"/>
      <c r="C15" s="260"/>
      <c r="D15" s="260" t="s">
        <v>270</v>
      </c>
      <c r="E15" s="261">
        <v>9</v>
      </c>
      <c r="F15" s="260"/>
      <c r="G15" s="262"/>
    </row>
    <row r="16" spans="1:7">
      <c r="A16" s="259" t="s">
        <v>277</v>
      </c>
      <c r="B16" s="260"/>
      <c r="C16" s="842" t="s">
        <v>278</v>
      </c>
      <c r="D16" s="842"/>
      <c r="E16" s="261">
        <v>10</v>
      </c>
      <c r="F16" s="260" t="s">
        <v>292</v>
      </c>
      <c r="G16" s="262" t="s">
        <v>294</v>
      </c>
    </row>
    <row r="17" spans="1:7">
      <c r="A17" s="259" t="s">
        <v>268</v>
      </c>
      <c r="B17" s="260" t="s">
        <v>273</v>
      </c>
      <c r="C17" s="260"/>
      <c r="D17" s="260" t="s">
        <v>270</v>
      </c>
      <c r="E17" s="261">
        <v>11</v>
      </c>
      <c r="F17" s="260"/>
      <c r="G17" s="262"/>
    </row>
    <row r="18" spans="1:7">
      <c r="A18" s="259" t="s">
        <v>271</v>
      </c>
      <c r="B18" s="260" t="s">
        <v>273</v>
      </c>
      <c r="C18" s="260"/>
      <c r="D18" s="260" t="s">
        <v>270</v>
      </c>
      <c r="E18" s="261">
        <v>12</v>
      </c>
      <c r="F18" s="260"/>
      <c r="G18" s="262"/>
    </row>
    <row r="19" spans="1:7" ht="15.75" thickBot="1">
      <c r="A19" s="263" t="s">
        <v>300</v>
      </c>
      <c r="B19" s="250"/>
      <c r="C19" s="250"/>
      <c r="D19" s="267" t="s">
        <v>270</v>
      </c>
      <c r="E19" s="264">
        <v>13</v>
      </c>
      <c r="F19" s="250"/>
      <c r="G19" s="251"/>
    </row>
  </sheetData>
  <mergeCells count="3">
    <mergeCell ref="C16:D16"/>
    <mergeCell ref="C9:D9"/>
    <mergeCell ref="A10:G10"/>
  </mergeCells>
  <pageMargins left="0.7" right="0.7" top="0.75" bottom="0.75" header="0.3" footer="0.3"/>
  <pageSetup scale="97" fitToHeight="0" orientation="landscape" r:id="rId1"/>
</worksheet>
</file>

<file path=xl/worksheets/sheet11.xml><?xml version="1.0" encoding="utf-8"?>
<worksheet xmlns="http://schemas.openxmlformats.org/spreadsheetml/2006/main" xmlns:r="http://schemas.openxmlformats.org/officeDocument/2006/relationships">
  <sheetPr codeName="Sheet11"/>
  <dimension ref="A1:M246"/>
  <sheetViews>
    <sheetView workbookViewId="0">
      <selection activeCell="G8" sqref="G8"/>
    </sheetView>
  </sheetViews>
  <sheetFormatPr defaultRowHeight="15"/>
  <cols>
    <col min="1" max="1" width="17.5703125" customWidth="1"/>
    <col min="2" max="2" width="8.7109375" bestFit="1" customWidth="1"/>
    <col min="3" max="3" width="7.7109375" bestFit="1" customWidth="1"/>
    <col min="4" max="4" width="7" style="133" bestFit="1" customWidth="1"/>
    <col min="5" max="5" width="7.28515625" style="133" bestFit="1" customWidth="1"/>
    <col min="6" max="6" width="8.42578125" style="133" bestFit="1" customWidth="1"/>
    <col min="7" max="7" width="9.28515625" style="133" bestFit="1" customWidth="1"/>
    <col min="8" max="8" width="8.7109375" style="133" bestFit="1" customWidth="1"/>
    <col min="9" max="9" width="15" style="133" bestFit="1" customWidth="1"/>
    <col min="10" max="10" width="13.5703125" style="133" bestFit="1" customWidth="1"/>
    <col min="11" max="11" width="12.140625" bestFit="1" customWidth="1"/>
    <col min="12" max="12" width="14" style="133" customWidth="1"/>
    <col min="13" max="13" width="7" customWidth="1"/>
  </cols>
  <sheetData>
    <row r="1" spans="1:13">
      <c r="A1" s="133" t="s">
        <v>322</v>
      </c>
      <c r="B1" s="133" t="s">
        <v>323</v>
      </c>
      <c r="C1" s="133" t="s">
        <v>137</v>
      </c>
      <c r="D1" s="133" t="s">
        <v>179</v>
      </c>
      <c r="E1" s="133" t="s">
        <v>16</v>
      </c>
      <c r="F1" s="133" t="s">
        <v>23</v>
      </c>
      <c r="G1" s="133" t="s">
        <v>22</v>
      </c>
      <c r="H1" s="133" t="s">
        <v>65</v>
      </c>
      <c r="I1" s="133" t="s">
        <v>182</v>
      </c>
      <c r="J1" s="133" t="s">
        <v>183</v>
      </c>
      <c r="K1" s="133" t="s">
        <v>195</v>
      </c>
      <c r="L1" s="133" t="s">
        <v>180</v>
      </c>
      <c r="M1" s="133" t="s">
        <v>331</v>
      </c>
    </row>
    <row r="2" spans="1:13">
      <c r="A2">
        <v>42139</v>
      </c>
      <c r="B2" t="s">
        <v>324</v>
      </c>
      <c r="C2" t="s">
        <v>148</v>
      </c>
      <c r="D2" s="133">
        <v>1</v>
      </c>
      <c r="E2" s="133">
        <v>0</v>
      </c>
      <c r="F2" s="133">
        <v>0</v>
      </c>
      <c r="G2" s="133">
        <v>0</v>
      </c>
      <c r="H2" s="133">
        <v>0</v>
      </c>
      <c r="I2" s="133">
        <v>0</v>
      </c>
      <c r="J2" s="133">
        <v>0</v>
      </c>
      <c r="K2">
        <v>42125</v>
      </c>
      <c r="L2" s="133">
        <v>24</v>
      </c>
      <c r="M2" s="133" t="b">
        <f ca="1">IF(TODAY()-Table_Query_from_A_Readiness_1[[#This Row],[PER_DATE]]&gt;=0,TRUE, FALSE)</f>
        <v>0</v>
      </c>
    </row>
    <row r="3" spans="1:13">
      <c r="A3">
        <v>42139</v>
      </c>
      <c r="B3" t="s">
        <v>324</v>
      </c>
      <c r="C3" t="s">
        <v>149</v>
      </c>
      <c r="D3" s="133">
        <v>1</v>
      </c>
      <c r="E3" s="133">
        <v>0</v>
      </c>
      <c r="F3" s="133">
        <v>24</v>
      </c>
      <c r="G3" s="133">
        <v>0</v>
      </c>
      <c r="H3" s="133">
        <v>0</v>
      </c>
      <c r="I3" s="133">
        <v>0</v>
      </c>
      <c r="J3" s="133">
        <v>0</v>
      </c>
      <c r="K3">
        <v>42125</v>
      </c>
      <c r="L3" s="133">
        <v>0</v>
      </c>
      <c r="M3" s="133" t="b">
        <f ca="1">IF(TODAY()-Table_Query_from_A_Readiness_1[[#This Row],[PER_DATE]]&gt;=0,TRUE, FALSE)</f>
        <v>0</v>
      </c>
    </row>
    <row r="4" spans="1:13">
      <c r="A4">
        <v>42139</v>
      </c>
      <c r="B4" t="s">
        <v>324</v>
      </c>
      <c r="C4" t="s">
        <v>151</v>
      </c>
      <c r="D4" s="133">
        <v>1</v>
      </c>
      <c r="E4" s="133">
        <v>0</v>
      </c>
      <c r="F4" s="133">
        <v>0</v>
      </c>
      <c r="G4" s="133">
        <v>0</v>
      </c>
      <c r="H4" s="133">
        <v>24</v>
      </c>
      <c r="I4" s="133">
        <v>0</v>
      </c>
      <c r="J4" s="133">
        <v>0</v>
      </c>
      <c r="K4">
        <v>42125</v>
      </c>
      <c r="L4" s="133">
        <v>0</v>
      </c>
      <c r="M4" s="133" t="b">
        <f ca="1">IF(TODAY()-Table_Query_from_A_Readiness_1[[#This Row],[PER_DATE]]&gt;=0,TRUE, FALSE)</f>
        <v>0</v>
      </c>
    </row>
    <row r="5" spans="1:13">
      <c r="A5">
        <v>42139</v>
      </c>
      <c r="B5" t="s">
        <v>324</v>
      </c>
      <c r="C5" t="s">
        <v>153</v>
      </c>
      <c r="D5" s="133">
        <v>1</v>
      </c>
      <c r="E5" s="133">
        <v>0</v>
      </c>
      <c r="F5" s="133">
        <v>0</v>
      </c>
      <c r="G5" s="133">
        <v>0</v>
      </c>
      <c r="H5" s="133">
        <v>24</v>
      </c>
      <c r="I5" s="133">
        <v>0</v>
      </c>
      <c r="J5" s="133">
        <v>0</v>
      </c>
      <c r="K5">
        <v>42125</v>
      </c>
      <c r="L5" s="133">
        <v>0</v>
      </c>
      <c r="M5" s="133" t="b">
        <f ca="1">IF(TODAY()-Table_Query_from_A_Readiness_1[[#This Row],[PER_DATE]]&gt;=0,TRUE, FALSE)</f>
        <v>0</v>
      </c>
    </row>
    <row r="6" spans="1:13">
      <c r="A6">
        <v>42139</v>
      </c>
      <c r="B6" t="s">
        <v>324</v>
      </c>
      <c r="C6" t="s">
        <v>155</v>
      </c>
      <c r="D6" s="133">
        <v>1</v>
      </c>
      <c r="E6" s="133">
        <v>0</v>
      </c>
      <c r="F6" s="133">
        <v>0</v>
      </c>
      <c r="G6" s="133">
        <v>0</v>
      </c>
      <c r="H6" s="133">
        <v>0</v>
      </c>
      <c r="I6" s="133">
        <v>24</v>
      </c>
      <c r="J6" s="133">
        <v>0</v>
      </c>
      <c r="K6">
        <v>42125</v>
      </c>
      <c r="L6" s="133">
        <v>0</v>
      </c>
      <c r="M6" s="133" t="b">
        <f ca="1">IF(TODAY()-Table_Query_from_A_Readiness_1[[#This Row],[PER_DATE]]&gt;=0,TRUE, FALSE)</f>
        <v>0</v>
      </c>
    </row>
    <row r="7" spans="1:13">
      <c r="A7">
        <v>42139</v>
      </c>
      <c r="B7" t="s">
        <v>324</v>
      </c>
      <c r="C7" t="s">
        <v>156</v>
      </c>
      <c r="D7" s="133">
        <v>1</v>
      </c>
      <c r="E7" s="133">
        <v>0</v>
      </c>
      <c r="F7" s="133">
        <v>24</v>
      </c>
      <c r="G7" s="133">
        <v>0</v>
      </c>
      <c r="H7" s="133">
        <v>0</v>
      </c>
      <c r="I7" s="133">
        <v>0</v>
      </c>
      <c r="J7" s="133">
        <v>0</v>
      </c>
      <c r="K7">
        <v>42125</v>
      </c>
      <c r="L7" s="133">
        <v>0</v>
      </c>
      <c r="M7" s="133" t="b">
        <f ca="1">IF(TODAY()-Table_Query_from_A_Readiness_1[[#This Row],[PER_DATE]]&gt;=0,TRUE, FALSE)</f>
        <v>0</v>
      </c>
    </row>
    <row r="8" spans="1:13">
      <c r="A8">
        <v>42139</v>
      </c>
      <c r="B8" t="s">
        <v>324</v>
      </c>
      <c r="C8" t="s">
        <v>169</v>
      </c>
      <c r="D8" s="133">
        <v>1</v>
      </c>
      <c r="E8" s="133">
        <v>0</v>
      </c>
      <c r="F8" s="133">
        <v>0</v>
      </c>
      <c r="G8" s="133">
        <v>0</v>
      </c>
      <c r="H8" s="133">
        <v>0</v>
      </c>
      <c r="I8" s="133">
        <v>24</v>
      </c>
      <c r="J8" s="133">
        <v>0</v>
      </c>
      <c r="K8">
        <v>42125</v>
      </c>
      <c r="L8" s="133">
        <v>0</v>
      </c>
      <c r="M8" s="133" t="b">
        <f ca="1">IF(TODAY()-Table_Query_from_A_Readiness_1[[#This Row],[PER_DATE]]&gt;=0,TRUE, FALSE)</f>
        <v>0</v>
      </c>
    </row>
    <row r="9" spans="1:13">
      <c r="A9">
        <v>42139</v>
      </c>
      <c r="B9" t="s">
        <v>324</v>
      </c>
      <c r="C9" t="s">
        <v>158</v>
      </c>
      <c r="D9" s="133">
        <v>1</v>
      </c>
      <c r="E9" s="133">
        <v>24</v>
      </c>
      <c r="F9" s="133">
        <v>0</v>
      </c>
      <c r="G9" s="133">
        <v>0</v>
      </c>
      <c r="H9" s="133">
        <v>0</v>
      </c>
      <c r="I9" s="133">
        <v>0</v>
      </c>
      <c r="J9" s="133">
        <v>0</v>
      </c>
      <c r="K9">
        <v>42125</v>
      </c>
      <c r="L9" s="133">
        <v>0</v>
      </c>
      <c r="M9" s="133" t="b">
        <f ca="1">IF(TODAY()-Table_Query_from_A_Readiness_1[[#This Row],[PER_DATE]]&gt;=0,TRUE, FALSE)</f>
        <v>0</v>
      </c>
    </row>
    <row r="10" spans="1:13">
      <c r="A10">
        <v>42139</v>
      </c>
      <c r="B10" t="s">
        <v>324</v>
      </c>
      <c r="C10" t="s">
        <v>148</v>
      </c>
      <c r="D10" s="133">
        <v>2</v>
      </c>
      <c r="E10" s="133">
        <v>0</v>
      </c>
      <c r="F10" s="133">
        <v>0</v>
      </c>
      <c r="G10" s="133">
        <v>0</v>
      </c>
      <c r="H10" s="133">
        <v>0</v>
      </c>
      <c r="I10" s="133">
        <v>0</v>
      </c>
      <c r="J10" s="133">
        <v>0</v>
      </c>
      <c r="K10">
        <v>42126</v>
      </c>
      <c r="L10" s="133">
        <v>24</v>
      </c>
      <c r="M10" s="133" t="b">
        <f ca="1">IF(TODAY()-Table_Query_from_A_Readiness_1[[#This Row],[PER_DATE]]&gt;=0,TRUE, FALSE)</f>
        <v>0</v>
      </c>
    </row>
    <row r="11" spans="1:13">
      <c r="A11">
        <v>42139</v>
      </c>
      <c r="B11" t="s">
        <v>324</v>
      </c>
      <c r="C11" t="s">
        <v>149</v>
      </c>
      <c r="D11" s="133">
        <v>2</v>
      </c>
      <c r="E11" s="133">
        <v>0</v>
      </c>
      <c r="F11" s="133">
        <v>24</v>
      </c>
      <c r="G11" s="133">
        <v>0</v>
      </c>
      <c r="H11" s="133">
        <v>0</v>
      </c>
      <c r="I11" s="133">
        <v>0</v>
      </c>
      <c r="J11" s="133">
        <v>0</v>
      </c>
      <c r="K11">
        <v>42126</v>
      </c>
      <c r="L11" s="133">
        <v>0</v>
      </c>
      <c r="M11" s="133" t="b">
        <f ca="1">IF(TODAY()-Table_Query_from_A_Readiness_1[[#This Row],[PER_DATE]]&gt;=0,TRUE, FALSE)</f>
        <v>0</v>
      </c>
    </row>
    <row r="12" spans="1:13">
      <c r="A12">
        <v>42139</v>
      </c>
      <c r="B12" t="s">
        <v>324</v>
      </c>
      <c r="C12" t="s">
        <v>151</v>
      </c>
      <c r="D12" s="133">
        <v>2</v>
      </c>
      <c r="E12" s="133">
        <v>0</v>
      </c>
      <c r="F12" s="133">
        <v>0</v>
      </c>
      <c r="G12" s="133">
        <v>0</v>
      </c>
      <c r="H12" s="133">
        <v>24</v>
      </c>
      <c r="I12" s="133">
        <v>0</v>
      </c>
      <c r="J12" s="133">
        <v>0</v>
      </c>
      <c r="K12">
        <v>42126</v>
      </c>
      <c r="L12" s="133">
        <v>0</v>
      </c>
      <c r="M12" s="133" t="b">
        <f ca="1">IF(TODAY()-Table_Query_from_A_Readiness_1[[#This Row],[PER_DATE]]&gt;=0,TRUE, FALSE)</f>
        <v>0</v>
      </c>
    </row>
    <row r="13" spans="1:13">
      <c r="A13">
        <v>42139</v>
      </c>
      <c r="B13" t="s">
        <v>324</v>
      </c>
      <c r="C13" t="s">
        <v>153</v>
      </c>
      <c r="D13" s="133">
        <v>2</v>
      </c>
      <c r="E13" s="133">
        <v>0</v>
      </c>
      <c r="F13" s="133">
        <v>0</v>
      </c>
      <c r="G13" s="133">
        <v>0</v>
      </c>
      <c r="H13" s="133">
        <v>24</v>
      </c>
      <c r="I13" s="133">
        <v>0</v>
      </c>
      <c r="J13" s="133">
        <v>0</v>
      </c>
      <c r="K13">
        <v>42126</v>
      </c>
      <c r="L13" s="133">
        <v>0</v>
      </c>
      <c r="M13" s="133" t="b">
        <f ca="1">IF(TODAY()-Table_Query_from_A_Readiness_1[[#This Row],[PER_DATE]]&gt;=0,TRUE, FALSE)</f>
        <v>0</v>
      </c>
    </row>
    <row r="14" spans="1:13">
      <c r="A14">
        <v>42139</v>
      </c>
      <c r="B14" t="s">
        <v>324</v>
      </c>
      <c r="C14" t="s">
        <v>155</v>
      </c>
      <c r="D14" s="133">
        <v>2</v>
      </c>
      <c r="E14" s="133">
        <v>0</v>
      </c>
      <c r="F14" s="133">
        <v>0</v>
      </c>
      <c r="G14" s="133">
        <v>0</v>
      </c>
      <c r="H14" s="133">
        <v>0</v>
      </c>
      <c r="I14" s="133">
        <v>24</v>
      </c>
      <c r="J14" s="133">
        <v>0</v>
      </c>
      <c r="K14">
        <v>42126</v>
      </c>
      <c r="L14" s="133">
        <v>0</v>
      </c>
      <c r="M14" s="133" t="b">
        <f ca="1">IF(TODAY()-Table_Query_from_A_Readiness_1[[#This Row],[PER_DATE]]&gt;=0,TRUE, FALSE)</f>
        <v>0</v>
      </c>
    </row>
    <row r="15" spans="1:13">
      <c r="A15">
        <v>42139</v>
      </c>
      <c r="B15" t="s">
        <v>324</v>
      </c>
      <c r="C15" t="s">
        <v>156</v>
      </c>
      <c r="D15" s="133">
        <v>2</v>
      </c>
      <c r="E15" s="133">
        <v>0</v>
      </c>
      <c r="F15" s="133">
        <v>24</v>
      </c>
      <c r="G15" s="133">
        <v>0</v>
      </c>
      <c r="H15" s="133">
        <v>0</v>
      </c>
      <c r="I15" s="133">
        <v>0</v>
      </c>
      <c r="J15" s="133">
        <v>0</v>
      </c>
      <c r="K15">
        <v>42126</v>
      </c>
      <c r="L15" s="133">
        <v>0</v>
      </c>
      <c r="M15" s="133" t="b">
        <f ca="1">IF(TODAY()-Table_Query_from_A_Readiness_1[[#This Row],[PER_DATE]]&gt;=0,TRUE, FALSE)</f>
        <v>0</v>
      </c>
    </row>
    <row r="16" spans="1:13">
      <c r="A16">
        <v>42139</v>
      </c>
      <c r="B16" t="s">
        <v>324</v>
      </c>
      <c r="C16" t="s">
        <v>169</v>
      </c>
      <c r="D16" s="133">
        <v>2</v>
      </c>
      <c r="E16" s="133">
        <v>0</v>
      </c>
      <c r="F16" s="133">
        <v>0</v>
      </c>
      <c r="G16" s="133">
        <v>0</v>
      </c>
      <c r="H16" s="133">
        <v>0</v>
      </c>
      <c r="I16" s="133">
        <v>24</v>
      </c>
      <c r="J16" s="133">
        <v>0</v>
      </c>
      <c r="K16">
        <v>42126</v>
      </c>
      <c r="L16" s="133">
        <v>0</v>
      </c>
      <c r="M16" s="133" t="b">
        <f ca="1">IF(TODAY()-Table_Query_from_A_Readiness_1[[#This Row],[PER_DATE]]&gt;=0,TRUE, FALSE)</f>
        <v>0</v>
      </c>
    </row>
    <row r="17" spans="1:13">
      <c r="A17">
        <v>42139</v>
      </c>
      <c r="B17" t="s">
        <v>324</v>
      </c>
      <c r="C17" t="s">
        <v>158</v>
      </c>
      <c r="D17" s="133">
        <v>2</v>
      </c>
      <c r="E17" s="133">
        <v>24</v>
      </c>
      <c r="F17" s="133">
        <v>0</v>
      </c>
      <c r="G17" s="133">
        <v>0</v>
      </c>
      <c r="H17" s="133">
        <v>0</v>
      </c>
      <c r="I17" s="133">
        <v>0</v>
      </c>
      <c r="J17" s="133">
        <v>0</v>
      </c>
      <c r="K17">
        <v>42126</v>
      </c>
      <c r="L17" s="133">
        <v>0</v>
      </c>
      <c r="M17" s="133" t="b">
        <f ca="1">IF(TODAY()-Table_Query_from_A_Readiness_1[[#This Row],[PER_DATE]]&gt;=0,TRUE, FALSE)</f>
        <v>0</v>
      </c>
    </row>
    <row r="18" spans="1:13">
      <c r="A18">
        <v>42139</v>
      </c>
      <c r="B18" t="s">
        <v>324</v>
      </c>
      <c r="C18" t="s">
        <v>148</v>
      </c>
      <c r="D18" s="133">
        <v>3</v>
      </c>
      <c r="E18" s="133">
        <v>0</v>
      </c>
      <c r="F18" s="133">
        <v>0</v>
      </c>
      <c r="G18" s="133">
        <v>0</v>
      </c>
      <c r="H18" s="133">
        <v>0</v>
      </c>
      <c r="I18" s="133">
        <v>0</v>
      </c>
      <c r="J18" s="133">
        <v>0</v>
      </c>
      <c r="K18">
        <v>42127</v>
      </c>
      <c r="L18" s="133">
        <v>24</v>
      </c>
      <c r="M18" s="133" t="b">
        <f ca="1">IF(TODAY()-Table_Query_from_A_Readiness_1[[#This Row],[PER_DATE]]&gt;=0,TRUE, FALSE)</f>
        <v>0</v>
      </c>
    </row>
    <row r="19" spans="1:13">
      <c r="A19">
        <v>42139</v>
      </c>
      <c r="B19" t="s">
        <v>324</v>
      </c>
      <c r="C19" t="s">
        <v>149</v>
      </c>
      <c r="D19" s="133">
        <v>3</v>
      </c>
      <c r="E19" s="133">
        <v>0</v>
      </c>
      <c r="F19" s="133">
        <v>24</v>
      </c>
      <c r="G19" s="133">
        <v>0</v>
      </c>
      <c r="H19" s="133">
        <v>0</v>
      </c>
      <c r="I19" s="133">
        <v>0</v>
      </c>
      <c r="J19" s="133">
        <v>0</v>
      </c>
      <c r="K19">
        <v>42127</v>
      </c>
      <c r="L19" s="133">
        <v>0</v>
      </c>
      <c r="M19" s="133" t="b">
        <f ca="1">IF(TODAY()-Table_Query_from_A_Readiness_1[[#This Row],[PER_DATE]]&gt;=0,TRUE, FALSE)</f>
        <v>0</v>
      </c>
    </row>
    <row r="20" spans="1:13">
      <c r="A20">
        <v>42139</v>
      </c>
      <c r="B20" t="s">
        <v>324</v>
      </c>
      <c r="C20" t="s">
        <v>151</v>
      </c>
      <c r="D20" s="133">
        <v>3</v>
      </c>
      <c r="E20" s="133">
        <v>0</v>
      </c>
      <c r="F20" s="133">
        <v>0</v>
      </c>
      <c r="G20" s="133">
        <v>0</v>
      </c>
      <c r="H20" s="133">
        <v>24</v>
      </c>
      <c r="I20" s="133">
        <v>0</v>
      </c>
      <c r="J20" s="133">
        <v>0</v>
      </c>
      <c r="K20">
        <v>42127</v>
      </c>
      <c r="L20" s="133">
        <v>0</v>
      </c>
      <c r="M20" s="133" t="b">
        <f ca="1">IF(TODAY()-Table_Query_from_A_Readiness_1[[#This Row],[PER_DATE]]&gt;=0,TRUE, FALSE)</f>
        <v>0</v>
      </c>
    </row>
    <row r="21" spans="1:13">
      <c r="A21">
        <v>42139</v>
      </c>
      <c r="B21" t="s">
        <v>324</v>
      </c>
      <c r="C21" t="s">
        <v>153</v>
      </c>
      <c r="D21" s="133">
        <v>3</v>
      </c>
      <c r="E21" s="133">
        <v>0</v>
      </c>
      <c r="F21" s="133">
        <v>0</v>
      </c>
      <c r="G21" s="133">
        <v>0</v>
      </c>
      <c r="H21" s="133">
        <v>24</v>
      </c>
      <c r="I21" s="133">
        <v>0</v>
      </c>
      <c r="J21" s="133">
        <v>0</v>
      </c>
      <c r="K21">
        <v>42127</v>
      </c>
      <c r="L21" s="133">
        <v>0</v>
      </c>
      <c r="M21" s="133" t="b">
        <f ca="1">IF(TODAY()-Table_Query_from_A_Readiness_1[[#This Row],[PER_DATE]]&gt;=0,TRUE, FALSE)</f>
        <v>0</v>
      </c>
    </row>
    <row r="22" spans="1:13">
      <c r="A22">
        <v>42139</v>
      </c>
      <c r="B22" t="s">
        <v>324</v>
      </c>
      <c r="C22" t="s">
        <v>155</v>
      </c>
      <c r="D22" s="133">
        <v>3</v>
      </c>
      <c r="E22" s="133">
        <v>0</v>
      </c>
      <c r="F22" s="133">
        <v>0</v>
      </c>
      <c r="G22" s="133">
        <v>0</v>
      </c>
      <c r="H22" s="133">
        <v>0</v>
      </c>
      <c r="I22" s="133">
        <v>24</v>
      </c>
      <c r="J22" s="133">
        <v>0</v>
      </c>
      <c r="K22">
        <v>42127</v>
      </c>
      <c r="L22" s="133">
        <v>0</v>
      </c>
      <c r="M22" s="133" t="b">
        <f ca="1">IF(TODAY()-Table_Query_from_A_Readiness_1[[#This Row],[PER_DATE]]&gt;=0,TRUE, FALSE)</f>
        <v>0</v>
      </c>
    </row>
    <row r="23" spans="1:13">
      <c r="A23">
        <v>42139</v>
      </c>
      <c r="B23" t="s">
        <v>324</v>
      </c>
      <c r="C23" t="s">
        <v>156</v>
      </c>
      <c r="D23" s="133">
        <v>3</v>
      </c>
      <c r="E23" s="133">
        <v>0</v>
      </c>
      <c r="F23" s="133">
        <v>24</v>
      </c>
      <c r="G23" s="133">
        <v>0</v>
      </c>
      <c r="H23" s="133">
        <v>0</v>
      </c>
      <c r="I23" s="133">
        <v>0</v>
      </c>
      <c r="J23" s="133">
        <v>0</v>
      </c>
      <c r="K23">
        <v>42127</v>
      </c>
      <c r="L23" s="133">
        <v>0</v>
      </c>
      <c r="M23" s="133" t="b">
        <f ca="1">IF(TODAY()-Table_Query_from_A_Readiness_1[[#This Row],[PER_DATE]]&gt;=0,TRUE, FALSE)</f>
        <v>0</v>
      </c>
    </row>
    <row r="24" spans="1:13">
      <c r="A24">
        <v>42139</v>
      </c>
      <c r="B24" t="s">
        <v>324</v>
      </c>
      <c r="C24" t="s">
        <v>169</v>
      </c>
      <c r="D24" s="133">
        <v>3</v>
      </c>
      <c r="E24" s="133">
        <v>0</v>
      </c>
      <c r="F24" s="133">
        <v>0</v>
      </c>
      <c r="G24" s="133">
        <v>0</v>
      </c>
      <c r="H24" s="133">
        <v>0</v>
      </c>
      <c r="I24" s="133">
        <v>24</v>
      </c>
      <c r="J24" s="133">
        <v>0</v>
      </c>
      <c r="K24">
        <v>42127</v>
      </c>
      <c r="L24" s="133">
        <v>0</v>
      </c>
      <c r="M24" s="133" t="b">
        <f ca="1">IF(TODAY()-Table_Query_from_A_Readiness_1[[#This Row],[PER_DATE]]&gt;=0,TRUE, FALSE)</f>
        <v>0</v>
      </c>
    </row>
    <row r="25" spans="1:13">
      <c r="A25">
        <v>42139</v>
      </c>
      <c r="B25" t="s">
        <v>324</v>
      </c>
      <c r="C25" t="s">
        <v>158</v>
      </c>
      <c r="D25" s="133">
        <v>3</v>
      </c>
      <c r="E25" s="133">
        <v>24</v>
      </c>
      <c r="F25" s="133">
        <v>0</v>
      </c>
      <c r="G25" s="133">
        <v>0</v>
      </c>
      <c r="H25" s="133">
        <v>0</v>
      </c>
      <c r="I25" s="133">
        <v>0</v>
      </c>
      <c r="J25" s="133">
        <v>0</v>
      </c>
      <c r="K25">
        <v>42127</v>
      </c>
      <c r="L25" s="133">
        <v>0</v>
      </c>
      <c r="M25" s="133" t="b">
        <f ca="1">IF(TODAY()-Table_Query_from_A_Readiness_1[[#This Row],[PER_DATE]]&gt;=0,TRUE, FALSE)</f>
        <v>0</v>
      </c>
    </row>
    <row r="26" spans="1:13">
      <c r="A26">
        <v>42139</v>
      </c>
      <c r="B26" t="s">
        <v>324</v>
      </c>
      <c r="C26" t="s">
        <v>148</v>
      </c>
      <c r="D26" s="133">
        <v>4</v>
      </c>
      <c r="E26" s="133">
        <v>0</v>
      </c>
      <c r="F26" s="133">
        <v>0</v>
      </c>
      <c r="G26" s="133">
        <v>0</v>
      </c>
      <c r="H26" s="133">
        <v>0</v>
      </c>
      <c r="I26" s="133">
        <v>0</v>
      </c>
      <c r="J26" s="133">
        <v>0</v>
      </c>
      <c r="K26">
        <v>42128</v>
      </c>
      <c r="L26" s="133">
        <v>24</v>
      </c>
      <c r="M26" s="133" t="b">
        <f ca="1">IF(TODAY()-Table_Query_from_A_Readiness_1[[#This Row],[PER_DATE]]&gt;=0,TRUE, FALSE)</f>
        <v>0</v>
      </c>
    </row>
    <row r="27" spans="1:13">
      <c r="A27">
        <v>42139</v>
      </c>
      <c r="B27" t="s">
        <v>324</v>
      </c>
      <c r="C27" t="s">
        <v>149</v>
      </c>
      <c r="D27" s="133">
        <v>4</v>
      </c>
      <c r="E27" s="133">
        <v>0</v>
      </c>
      <c r="F27" s="133">
        <v>24</v>
      </c>
      <c r="G27" s="133">
        <v>0</v>
      </c>
      <c r="H27" s="133">
        <v>0</v>
      </c>
      <c r="I27" s="133">
        <v>0</v>
      </c>
      <c r="J27" s="133">
        <v>0</v>
      </c>
      <c r="K27">
        <v>42128</v>
      </c>
      <c r="L27" s="133">
        <v>0</v>
      </c>
      <c r="M27" s="133" t="b">
        <f ca="1">IF(TODAY()-Table_Query_from_A_Readiness_1[[#This Row],[PER_DATE]]&gt;=0,TRUE, FALSE)</f>
        <v>0</v>
      </c>
    </row>
    <row r="28" spans="1:13">
      <c r="A28">
        <v>42139</v>
      </c>
      <c r="B28" t="s">
        <v>324</v>
      </c>
      <c r="C28" t="s">
        <v>151</v>
      </c>
      <c r="D28" s="133">
        <v>4</v>
      </c>
      <c r="E28" s="133">
        <v>0</v>
      </c>
      <c r="F28" s="133">
        <v>0</v>
      </c>
      <c r="G28" s="133">
        <v>0</v>
      </c>
      <c r="H28" s="133">
        <v>24</v>
      </c>
      <c r="I28" s="133">
        <v>0</v>
      </c>
      <c r="J28" s="133">
        <v>0</v>
      </c>
      <c r="K28">
        <v>42128</v>
      </c>
      <c r="L28" s="133">
        <v>0</v>
      </c>
      <c r="M28" s="133" t="b">
        <f ca="1">IF(TODAY()-Table_Query_from_A_Readiness_1[[#This Row],[PER_DATE]]&gt;=0,TRUE, FALSE)</f>
        <v>0</v>
      </c>
    </row>
    <row r="29" spans="1:13">
      <c r="A29">
        <v>42139</v>
      </c>
      <c r="B29" t="s">
        <v>324</v>
      </c>
      <c r="C29" t="s">
        <v>153</v>
      </c>
      <c r="D29" s="133">
        <v>4</v>
      </c>
      <c r="E29" s="133">
        <v>0</v>
      </c>
      <c r="F29" s="133">
        <v>0</v>
      </c>
      <c r="G29" s="133">
        <v>0</v>
      </c>
      <c r="H29" s="133">
        <v>24</v>
      </c>
      <c r="I29" s="133">
        <v>0</v>
      </c>
      <c r="J29" s="133">
        <v>0</v>
      </c>
      <c r="K29">
        <v>42128</v>
      </c>
      <c r="L29" s="133">
        <v>0</v>
      </c>
      <c r="M29" s="133" t="b">
        <f ca="1">IF(TODAY()-Table_Query_from_A_Readiness_1[[#This Row],[PER_DATE]]&gt;=0,TRUE, FALSE)</f>
        <v>0</v>
      </c>
    </row>
    <row r="30" spans="1:13">
      <c r="A30">
        <v>42139</v>
      </c>
      <c r="B30" t="s">
        <v>324</v>
      </c>
      <c r="C30" t="s">
        <v>155</v>
      </c>
      <c r="D30" s="133">
        <v>4</v>
      </c>
      <c r="E30" s="133">
        <v>0</v>
      </c>
      <c r="F30" s="133">
        <v>0</v>
      </c>
      <c r="G30" s="133">
        <v>0</v>
      </c>
      <c r="H30" s="133">
        <v>0</v>
      </c>
      <c r="I30" s="133">
        <v>24</v>
      </c>
      <c r="J30" s="133">
        <v>0</v>
      </c>
      <c r="K30">
        <v>42128</v>
      </c>
      <c r="L30" s="133">
        <v>0</v>
      </c>
      <c r="M30" s="133" t="b">
        <f ca="1">IF(TODAY()-Table_Query_from_A_Readiness_1[[#This Row],[PER_DATE]]&gt;=0,TRUE, FALSE)</f>
        <v>0</v>
      </c>
    </row>
    <row r="31" spans="1:13">
      <c r="A31">
        <v>42139</v>
      </c>
      <c r="B31" t="s">
        <v>324</v>
      </c>
      <c r="C31" t="s">
        <v>156</v>
      </c>
      <c r="D31" s="133">
        <v>4</v>
      </c>
      <c r="E31" s="133">
        <v>0</v>
      </c>
      <c r="F31" s="133">
        <v>24</v>
      </c>
      <c r="G31" s="133">
        <v>0</v>
      </c>
      <c r="H31" s="133">
        <v>0</v>
      </c>
      <c r="I31" s="133">
        <v>0</v>
      </c>
      <c r="J31" s="133">
        <v>0</v>
      </c>
      <c r="K31">
        <v>42128</v>
      </c>
      <c r="L31" s="133">
        <v>0</v>
      </c>
      <c r="M31" s="133" t="b">
        <f ca="1">IF(TODAY()-Table_Query_from_A_Readiness_1[[#This Row],[PER_DATE]]&gt;=0,TRUE, FALSE)</f>
        <v>0</v>
      </c>
    </row>
    <row r="32" spans="1:13">
      <c r="A32">
        <v>42139</v>
      </c>
      <c r="B32" t="s">
        <v>324</v>
      </c>
      <c r="C32" t="s">
        <v>169</v>
      </c>
      <c r="D32" s="133">
        <v>4</v>
      </c>
      <c r="E32" s="133">
        <v>0</v>
      </c>
      <c r="F32" s="133">
        <v>0</v>
      </c>
      <c r="G32" s="133">
        <v>0</v>
      </c>
      <c r="H32" s="133">
        <v>0</v>
      </c>
      <c r="I32" s="133">
        <v>24</v>
      </c>
      <c r="J32" s="133">
        <v>0</v>
      </c>
      <c r="K32">
        <v>42128</v>
      </c>
      <c r="L32" s="133">
        <v>0</v>
      </c>
      <c r="M32" s="133" t="b">
        <f ca="1">IF(TODAY()-Table_Query_from_A_Readiness_1[[#This Row],[PER_DATE]]&gt;=0,TRUE, FALSE)</f>
        <v>0</v>
      </c>
    </row>
    <row r="33" spans="1:13">
      <c r="A33">
        <v>42139</v>
      </c>
      <c r="B33" t="s">
        <v>324</v>
      </c>
      <c r="C33" t="s">
        <v>158</v>
      </c>
      <c r="D33" s="133">
        <v>4</v>
      </c>
      <c r="E33" s="133">
        <v>24</v>
      </c>
      <c r="F33" s="133">
        <v>0</v>
      </c>
      <c r="G33" s="133">
        <v>0</v>
      </c>
      <c r="H33" s="133">
        <v>0</v>
      </c>
      <c r="I33" s="133">
        <v>0</v>
      </c>
      <c r="J33" s="133">
        <v>0</v>
      </c>
      <c r="K33">
        <v>42128</v>
      </c>
      <c r="L33" s="133">
        <v>0</v>
      </c>
      <c r="M33" s="133" t="b">
        <f ca="1">IF(TODAY()-Table_Query_from_A_Readiness_1[[#This Row],[PER_DATE]]&gt;=0,TRUE, FALSE)</f>
        <v>0</v>
      </c>
    </row>
    <row r="34" spans="1:13">
      <c r="A34">
        <v>42139</v>
      </c>
      <c r="B34" t="s">
        <v>324</v>
      </c>
      <c r="C34" t="s">
        <v>148</v>
      </c>
      <c r="D34" s="133">
        <v>5</v>
      </c>
      <c r="E34" s="133">
        <v>0</v>
      </c>
      <c r="F34" s="133">
        <v>0</v>
      </c>
      <c r="G34" s="133">
        <v>0</v>
      </c>
      <c r="H34" s="133">
        <v>0</v>
      </c>
      <c r="I34" s="133">
        <v>0</v>
      </c>
      <c r="J34" s="133">
        <v>0</v>
      </c>
      <c r="K34">
        <v>42129</v>
      </c>
      <c r="L34" s="133">
        <v>24</v>
      </c>
      <c r="M34" s="133" t="b">
        <f ca="1">IF(TODAY()-Table_Query_from_A_Readiness_1[[#This Row],[PER_DATE]]&gt;=0,TRUE, FALSE)</f>
        <v>0</v>
      </c>
    </row>
    <row r="35" spans="1:13">
      <c r="A35">
        <v>42139</v>
      </c>
      <c r="B35" t="s">
        <v>324</v>
      </c>
      <c r="C35" t="s">
        <v>149</v>
      </c>
      <c r="D35" s="133">
        <v>5</v>
      </c>
      <c r="E35" s="133">
        <v>0</v>
      </c>
      <c r="F35" s="133">
        <v>24</v>
      </c>
      <c r="G35" s="133">
        <v>0</v>
      </c>
      <c r="H35" s="133">
        <v>0</v>
      </c>
      <c r="I35" s="133">
        <v>0</v>
      </c>
      <c r="J35" s="133">
        <v>0</v>
      </c>
      <c r="K35">
        <v>42129</v>
      </c>
      <c r="L35" s="133">
        <v>0</v>
      </c>
      <c r="M35" s="133" t="b">
        <f ca="1">IF(TODAY()-Table_Query_from_A_Readiness_1[[#This Row],[PER_DATE]]&gt;=0,TRUE, FALSE)</f>
        <v>0</v>
      </c>
    </row>
    <row r="36" spans="1:13">
      <c r="A36">
        <v>42139</v>
      </c>
      <c r="B36" t="s">
        <v>324</v>
      </c>
      <c r="C36" t="s">
        <v>151</v>
      </c>
      <c r="D36" s="133">
        <v>5</v>
      </c>
      <c r="E36" s="133">
        <v>0</v>
      </c>
      <c r="F36" s="133">
        <v>0</v>
      </c>
      <c r="G36" s="133">
        <v>0</v>
      </c>
      <c r="H36" s="133">
        <v>24</v>
      </c>
      <c r="I36" s="133">
        <v>0</v>
      </c>
      <c r="J36" s="133">
        <v>0</v>
      </c>
      <c r="K36">
        <v>42129</v>
      </c>
      <c r="L36" s="133">
        <v>0</v>
      </c>
      <c r="M36" s="133" t="b">
        <f ca="1">IF(TODAY()-Table_Query_from_A_Readiness_1[[#This Row],[PER_DATE]]&gt;=0,TRUE, FALSE)</f>
        <v>0</v>
      </c>
    </row>
    <row r="37" spans="1:13">
      <c r="A37">
        <v>42139</v>
      </c>
      <c r="B37" t="s">
        <v>324</v>
      </c>
      <c r="C37" t="s">
        <v>153</v>
      </c>
      <c r="D37" s="133">
        <v>5</v>
      </c>
      <c r="E37" s="133">
        <v>0</v>
      </c>
      <c r="F37" s="133">
        <v>0</v>
      </c>
      <c r="G37" s="133">
        <v>0</v>
      </c>
      <c r="H37" s="133">
        <v>24</v>
      </c>
      <c r="I37" s="133">
        <v>0</v>
      </c>
      <c r="J37" s="133">
        <v>0</v>
      </c>
      <c r="K37">
        <v>42129</v>
      </c>
      <c r="L37" s="133">
        <v>0</v>
      </c>
      <c r="M37" s="133" t="b">
        <f ca="1">IF(TODAY()-Table_Query_from_A_Readiness_1[[#This Row],[PER_DATE]]&gt;=0,TRUE, FALSE)</f>
        <v>0</v>
      </c>
    </row>
    <row r="38" spans="1:13">
      <c r="A38">
        <v>42139</v>
      </c>
      <c r="B38" t="s">
        <v>324</v>
      </c>
      <c r="C38" t="s">
        <v>155</v>
      </c>
      <c r="D38" s="133">
        <v>5</v>
      </c>
      <c r="E38" s="133">
        <v>0</v>
      </c>
      <c r="F38" s="133">
        <v>0</v>
      </c>
      <c r="G38" s="133">
        <v>0</v>
      </c>
      <c r="H38" s="133">
        <v>0</v>
      </c>
      <c r="I38" s="133">
        <v>24</v>
      </c>
      <c r="J38" s="133">
        <v>0</v>
      </c>
      <c r="K38">
        <v>42129</v>
      </c>
      <c r="L38" s="133">
        <v>0</v>
      </c>
      <c r="M38" s="133" t="b">
        <f ca="1">IF(TODAY()-Table_Query_from_A_Readiness_1[[#This Row],[PER_DATE]]&gt;=0,TRUE, FALSE)</f>
        <v>0</v>
      </c>
    </row>
    <row r="39" spans="1:13">
      <c r="A39">
        <v>42139</v>
      </c>
      <c r="B39" t="s">
        <v>324</v>
      </c>
      <c r="C39" t="s">
        <v>156</v>
      </c>
      <c r="D39" s="133">
        <v>5</v>
      </c>
      <c r="E39" s="133">
        <v>0</v>
      </c>
      <c r="F39" s="133">
        <v>24</v>
      </c>
      <c r="G39" s="133">
        <v>0</v>
      </c>
      <c r="H39" s="133">
        <v>0</v>
      </c>
      <c r="I39" s="133">
        <v>0</v>
      </c>
      <c r="J39" s="133">
        <v>0</v>
      </c>
      <c r="K39">
        <v>42129</v>
      </c>
      <c r="L39" s="133">
        <v>0</v>
      </c>
      <c r="M39" s="133" t="b">
        <f ca="1">IF(TODAY()-Table_Query_from_A_Readiness_1[[#This Row],[PER_DATE]]&gt;=0,TRUE, FALSE)</f>
        <v>0</v>
      </c>
    </row>
    <row r="40" spans="1:13">
      <c r="A40">
        <v>42139</v>
      </c>
      <c r="B40" t="s">
        <v>324</v>
      </c>
      <c r="C40" t="s">
        <v>169</v>
      </c>
      <c r="D40" s="133">
        <v>5</v>
      </c>
      <c r="E40" s="133">
        <v>0</v>
      </c>
      <c r="F40" s="133">
        <v>0</v>
      </c>
      <c r="G40" s="133">
        <v>0</v>
      </c>
      <c r="H40" s="133">
        <v>0</v>
      </c>
      <c r="I40" s="133">
        <v>24</v>
      </c>
      <c r="J40" s="133">
        <v>0</v>
      </c>
      <c r="K40">
        <v>42129</v>
      </c>
      <c r="L40" s="133">
        <v>0</v>
      </c>
      <c r="M40" s="133" t="b">
        <f ca="1">IF(TODAY()-Table_Query_from_A_Readiness_1[[#This Row],[PER_DATE]]&gt;=0,TRUE, FALSE)</f>
        <v>0</v>
      </c>
    </row>
    <row r="41" spans="1:13">
      <c r="A41">
        <v>42139</v>
      </c>
      <c r="B41" t="s">
        <v>324</v>
      </c>
      <c r="C41" t="s">
        <v>158</v>
      </c>
      <c r="D41" s="133">
        <v>5</v>
      </c>
      <c r="E41" s="133">
        <v>24</v>
      </c>
      <c r="F41" s="133">
        <v>0</v>
      </c>
      <c r="G41" s="133">
        <v>0</v>
      </c>
      <c r="H41" s="133">
        <v>0</v>
      </c>
      <c r="I41" s="133">
        <v>0</v>
      </c>
      <c r="J41" s="133">
        <v>0</v>
      </c>
      <c r="K41">
        <v>42129</v>
      </c>
      <c r="L41" s="133">
        <v>0</v>
      </c>
      <c r="M41" s="133" t="b">
        <f ca="1">IF(TODAY()-Table_Query_from_A_Readiness_1[[#This Row],[PER_DATE]]&gt;=0,TRUE, FALSE)</f>
        <v>0</v>
      </c>
    </row>
    <row r="42" spans="1:13">
      <c r="A42">
        <v>42139</v>
      </c>
      <c r="B42" t="s">
        <v>324</v>
      </c>
      <c r="C42" t="s">
        <v>148</v>
      </c>
      <c r="D42" s="133">
        <v>6</v>
      </c>
      <c r="E42" s="133">
        <v>0</v>
      </c>
      <c r="F42" s="133">
        <v>0</v>
      </c>
      <c r="G42" s="133">
        <v>0</v>
      </c>
      <c r="H42" s="133">
        <v>0</v>
      </c>
      <c r="I42" s="133">
        <v>0</v>
      </c>
      <c r="J42" s="133">
        <v>0</v>
      </c>
      <c r="K42">
        <v>42130</v>
      </c>
      <c r="L42" s="133">
        <v>24</v>
      </c>
      <c r="M42" s="133" t="b">
        <f ca="1">IF(TODAY()-Table_Query_from_A_Readiness_1[[#This Row],[PER_DATE]]&gt;=0,TRUE, FALSE)</f>
        <v>0</v>
      </c>
    </row>
    <row r="43" spans="1:13">
      <c r="A43">
        <v>42139</v>
      </c>
      <c r="B43" t="s">
        <v>324</v>
      </c>
      <c r="C43" t="s">
        <v>149</v>
      </c>
      <c r="D43" s="133">
        <v>6</v>
      </c>
      <c r="E43" s="133">
        <v>0</v>
      </c>
      <c r="F43" s="133">
        <v>24</v>
      </c>
      <c r="G43" s="133">
        <v>0</v>
      </c>
      <c r="H43" s="133">
        <v>0</v>
      </c>
      <c r="I43" s="133">
        <v>0</v>
      </c>
      <c r="J43" s="133">
        <v>0</v>
      </c>
      <c r="K43">
        <v>42130</v>
      </c>
      <c r="L43" s="133">
        <v>0</v>
      </c>
      <c r="M43" s="133" t="b">
        <f ca="1">IF(TODAY()-Table_Query_from_A_Readiness_1[[#This Row],[PER_DATE]]&gt;=0,TRUE, FALSE)</f>
        <v>0</v>
      </c>
    </row>
    <row r="44" spans="1:13">
      <c r="A44">
        <v>42139</v>
      </c>
      <c r="B44" t="s">
        <v>324</v>
      </c>
      <c r="C44" t="s">
        <v>151</v>
      </c>
      <c r="D44" s="133">
        <v>6</v>
      </c>
      <c r="E44" s="133">
        <v>0</v>
      </c>
      <c r="F44" s="133">
        <v>0</v>
      </c>
      <c r="G44" s="133">
        <v>0</v>
      </c>
      <c r="H44" s="133">
        <v>24</v>
      </c>
      <c r="I44" s="133">
        <v>0</v>
      </c>
      <c r="J44" s="133">
        <v>0</v>
      </c>
      <c r="K44">
        <v>42130</v>
      </c>
      <c r="L44" s="133">
        <v>0</v>
      </c>
      <c r="M44" s="133" t="b">
        <f ca="1">IF(TODAY()-Table_Query_from_A_Readiness_1[[#This Row],[PER_DATE]]&gt;=0,TRUE, FALSE)</f>
        <v>0</v>
      </c>
    </row>
    <row r="45" spans="1:13">
      <c r="A45">
        <v>42139</v>
      </c>
      <c r="B45" t="s">
        <v>324</v>
      </c>
      <c r="C45" t="s">
        <v>153</v>
      </c>
      <c r="D45" s="133">
        <v>6</v>
      </c>
      <c r="E45" s="133">
        <v>0</v>
      </c>
      <c r="F45" s="133">
        <v>0</v>
      </c>
      <c r="G45" s="133">
        <v>0</v>
      </c>
      <c r="H45" s="133">
        <v>24</v>
      </c>
      <c r="I45" s="133">
        <v>0</v>
      </c>
      <c r="J45" s="133">
        <v>0</v>
      </c>
      <c r="K45">
        <v>42130</v>
      </c>
      <c r="L45" s="133">
        <v>0</v>
      </c>
      <c r="M45" s="133" t="b">
        <f ca="1">IF(TODAY()-Table_Query_from_A_Readiness_1[[#This Row],[PER_DATE]]&gt;=0,TRUE, FALSE)</f>
        <v>0</v>
      </c>
    </row>
    <row r="46" spans="1:13">
      <c r="A46">
        <v>42139</v>
      </c>
      <c r="B46" t="s">
        <v>324</v>
      </c>
      <c r="C46" t="s">
        <v>155</v>
      </c>
      <c r="D46" s="133">
        <v>6</v>
      </c>
      <c r="E46" s="133">
        <v>0</v>
      </c>
      <c r="F46" s="133">
        <v>0</v>
      </c>
      <c r="G46" s="133">
        <v>0</v>
      </c>
      <c r="H46" s="133">
        <v>0</v>
      </c>
      <c r="I46" s="133">
        <v>24</v>
      </c>
      <c r="J46" s="133">
        <v>0</v>
      </c>
      <c r="K46">
        <v>42130</v>
      </c>
      <c r="L46" s="133">
        <v>0</v>
      </c>
      <c r="M46" s="133" t="b">
        <f ca="1">IF(TODAY()-Table_Query_from_A_Readiness_1[[#This Row],[PER_DATE]]&gt;=0,TRUE, FALSE)</f>
        <v>0</v>
      </c>
    </row>
    <row r="47" spans="1:13">
      <c r="A47">
        <v>42139</v>
      </c>
      <c r="B47" t="s">
        <v>324</v>
      </c>
      <c r="C47" t="s">
        <v>156</v>
      </c>
      <c r="D47" s="133">
        <v>6</v>
      </c>
      <c r="E47" s="133">
        <v>0</v>
      </c>
      <c r="F47" s="133">
        <v>24</v>
      </c>
      <c r="G47" s="133">
        <v>0</v>
      </c>
      <c r="H47" s="133">
        <v>0</v>
      </c>
      <c r="I47" s="133">
        <v>0</v>
      </c>
      <c r="J47" s="133">
        <v>0</v>
      </c>
      <c r="K47">
        <v>42130</v>
      </c>
      <c r="L47" s="133">
        <v>0</v>
      </c>
      <c r="M47" s="133" t="b">
        <f ca="1">IF(TODAY()-Table_Query_from_A_Readiness_1[[#This Row],[PER_DATE]]&gt;=0,TRUE, FALSE)</f>
        <v>0</v>
      </c>
    </row>
    <row r="48" spans="1:13">
      <c r="A48">
        <v>42139</v>
      </c>
      <c r="B48" t="s">
        <v>324</v>
      </c>
      <c r="C48" t="s">
        <v>169</v>
      </c>
      <c r="D48" s="133">
        <v>6</v>
      </c>
      <c r="E48" s="133">
        <v>0</v>
      </c>
      <c r="F48" s="133">
        <v>0</v>
      </c>
      <c r="G48" s="133">
        <v>0</v>
      </c>
      <c r="H48" s="133">
        <v>0</v>
      </c>
      <c r="I48" s="133">
        <v>24</v>
      </c>
      <c r="J48" s="133">
        <v>0</v>
      </c>
      <c r="K48">
        <v>42130</v>
      </c>
      <c r="L48" s="133">
        <v>0</v>
      </c>
      <c r="M48" s="133" t="b">
        <f ca="1">IF(TODAY()-Table_Query_from_A_Readiness_1[[#This Row],[PER_DATE]]&gt;=0,TRUE, FALSE)</f>
        <v>0</v>
      </c>
    </row>
    <row r="49" spans="1:13">
      <c r="A49">
        <v>42139</v>
      </c>
      <c r="B49" t="s">
        <v>324</v>
      </c>
      <c r="C49" t="s">
        <v>158</v>
      </c>
      <c r="D49" s="133">
        <v>6</v>
      </c>
      <c r="E49" s="133">
        <v>24</v>
      </c>
      <c r="F49" s="133">
        <v>0</v>
      </c>
      <c r="G49" s="133">
        <v>0</v>
      </c>
      <c r="H49" s="133">
        <v>0</v>
      </c>
      <c r="I49" s="133">
        <v>0</v>
      </c>
      <c r="J49" s="133">
        <v>0</v>
      </c>
      <c r="K49">
        <v>42130</v>
      </c>
      <c r="L49" s="133">
        <v>0</v>
      </c>
      <c r="M49" s="133" t="b">
        <f ca="1">IF(TODAY()-Table_Query_from_A_Readiness_1[[#This Row],[PER_DATE]]&gt;=0,TRUE, FALSE)</f>
        <v>0</v>
      </c>
    </row>
    <row r="50" spans="1:13">
      <c r="A50">
        <v>42139</v>
      </c>
      <c r="B50" t="s">
        <v>324</v>
      </c>
      <c r="C50" t="s">
        <v>148</v>
      </c>
      <c r="D50" s="133">
        <v>7</v>
      </c>
      <c r="E50" s="133">
        <v>0</v>
      </c>
      <c r="F50" s="133">
        <v>0</v>
      </c>
      <c r="G50" s="133">
        <v>0</v>
      </c>
      <c r="H50" s="133">
        <v>0</v>
      </c>
      <c r="I50" s="133">
        <v>0</v>
      </c>
      <c r="J50" s="133">
        <v>0</v>
      </c>
      <c r="K50">
        <v>42131</v>
      </c>
      <c r="L50" s="133">
        <v>24</v>
      </c>
      <c r="M50" s="133" t="b">
        <f ca="1">IF(TODAY()-Table_Query_from_A_Readiness_1[[#This Row],[PER_DATE]]&gt;=0,TRUE, FALSE)</f>
        <v>0</v>
      </c>
    </row>
    <row r="51" spans="1:13">
      <c r="A51">
        <v>42139</v>
      </c>
      <c r="B51" t="s">
        <v>324</v>
      </c>
      <c r="C51" t="s">
        <v>149</v>
      </c>
      <c r="D51" s="133">
        <v>7</v>
      </c>
      <c r="E51" s="133">
        <v>0</v>
      </c>
      <c r="F51" s="133">
        <v>24</v>
      </c>
      <c r="G51" s="133">
        <v>0</v>
      </c>
      <c r="H51" s="133">
        <v>0</v>
      </c>
      <c r="I51" s="133">
        <v>0</v>
      </c>
      <c r="J51" s="133">
        <v>0</v>
      </c>
      <c r="K51">
        <v>42131</v>
      </c>
      <c r="L51" s="133">
        <v>0</v>
      </c>
      <c r="M51" s="133" t="b">
        <f ca="1">IF(TODAY()-Table_Query_from_A_Readiness_1[[#This Row],[PER_DATE]]&gt;=0,TRUE, FALSE)</f>
        <v>0</v>
      </c>
    </row>
    <row r="52" spans="1:13">
      <c r="A52">
        <v>42139</v>
      </c>
      <c r="B52" t="s">
        <v>324</v>
      </c>
      <c r="C52" t="s">
        <v>151</v>
      </c>
      <c r="D52" s="133">
        <v>7</v>
      </c>
      <c r="E52" s="133">
        <v>0</v>
      </c>
      <c r="F52" s="133">
        <v>0</v>
      </c>
      <c r="G52" s="133">
        <v>0</v>
      </c>
      <c r="H52" s="133">
        <v>24</v>
      </c>
      <c r="I52" s="133">
        <v>0</v>
      </c>
      <c r="J52" s="133">
        <v>0</v>
      </c>
      <c r="K52">
        <v>42131</v>
      </c>
      <c r="L52" s="133">
        <v>0</v>
      </c>
      <c r="M52" s="133" t="b">
        <f ca="1">IF(TODAY()-Table_Query_from_A_Readiness_1[[#This Row],[PER_DATE]]&gt;=0,TRUE, FALSE)</f>
        <v>0</v>
      </c>
    </row>
    <row r="53" spans="1:13">
      <c r="A53">
        <v>42139</v>
      </c>
      <c r="B53" t="s">
        <v>324</v>
      </c>
      <c r="C53" t="s">
        <v>153</v>
      </c>
      <c r="D53" s="133">
        <v>7</v>
      </c>
      <c r="E53" s="133">
        <v>0</v>
      </c>
      <c r="F53" s="133">
        <v>0</v>
      </c>
      <c r="G53" s="133">
        <v>0</v>
      </c>
      <c r="H53" s="133">
        <v>24</v>
      </c>
      <c r="I53" s="133">
        <v>0</v>
      </c>
      <c r="J53" s="133">
        <v>0</v>
      </c>
      <c r="K53">
        <v>42131</v>
      </c>
      <c r="L53" s="133">
        <v>0</v>
      </c>
      <c r="M53" s="133" t="b">
        <f ca="1">IF(TODAY()-Table_Query_from_A_Readiness_1[[#This Row],[PER_DATE]]&gt;=0,TRUE, FALSE)</f>
        <v>0</v>
      </c>
    </row>
    <row r="54" spans="1:13">
      <c r="A54">
        <v>42139</v>
      </c>
      <c r="B54" t="s">
        <v>324</v>
      </c>
      <c r="C54" t="s">
        <v>155</v>
      </c>
      <c r="D54" s="133">
        <v>7</v>
      </c>
      <c r="E54" s="133">
        <v>0</v>
      </c>
      <c r="F54" s="133">
        <v>0</v>
      </c>
      <c r="G54" s="133">
        <v>0</v>
      </c>
      <c r="H54" s="133">
        <v>0</v>
      </c>
      <c r="I54" s="133">
        <v>24</v>
      </c>
      <c r="J54" s="133">
        <v>0</v>
      </c>
      <c r="K54">
        <v>42131</v>
      </c>
      <c r="L54" s="133">
        <v>0</v>
      </c>
      <c r="M54" s="133" t="b">
        <f ca="1">IF(TODAY()-Table_Query_from_A_Readiness_1[[#This Row],[PER_DATE]]&gt;=0,TRUE, FALSE)</f>
        <v>0</v>
      </c>
    </row>
    <row r="55" spans="1:13">
      <c r="A55">
        <v>42139</v>
      </c>
      <c r="B55" t="s">
        <v>324</v>
      </c>
      <c r="C55" t="s">
        <v>156</v>
      </c>
      <c r="D55" s="133">
        <v>7</v>
      </c>
      <c r="E55" s="133">
        <v>0</v>
      </c>
      <c r="F55" s="133">
        <v>24</v>
      </c>
      <c r="G55" s="133">
        <v>0</v>
      </c>
      <c r="H55" s="133">
        <v>0</v>
      </c>
      <c r="I55" s="133">
        <v>0</v>
      </c>
      <c r="J55" s="133">
        <v>0</v>
      </c>
      <c r="K55">
        <v>42131</v>
      </c>
      <c r="L55" s="133">
        <v>0</v>
      </c>
      <c r="M55" s="133" t="b">
        <f ca="1">IF(TODAY()-Table_Query_from_A_Readiness_1[[#This Row],[PER_DATE]]&gt;=0,TRUE, FALSE)</f>
        <v>0</v>
      </c>
    </row>
    <row r="56" spans="1:13">
      <c r="A56">
        <v>42139</v>
      </c>
      <c r="B56" t="s">
        <v>324</v>
      </c>
      <c r="C56" t="s">
        <v>169</v>
      </c>
      <c r="D56" s="133">
        <v>7</v>
      </c>
      <c r="E56" s="133">
        <v>0</v>
      </c>
      <c r="F56" s="133">
        <v>0</v>
      </c>
      <c r="G56" s="133">
        <v>0</v>
      </c>
      <c r="H56" s="133">
        <v>0</v>
      </c>
      <c r="I56" s="133">
        <v>24</v>
      </c>
      <c r="J56" s="133">
        <v>0</v>
      </c>
      <c r="K56">
        <v>42131</v>
      </c>
      <c r="L56" s="133">
        <v>0</v>
      </c>
      <c r="M56" s="133" t="b">
        <f ca="1">IF(TODAY()-Table_Query_from_A_Readiness_1[[#This Row],[PER_DATE]]&gt;=0,TRUE, FALSE)</f>
        <v>0</v>
      </c>
    </row>
    <row r="57" spans="1:13">
      <c r="A57">
        <v>42139</v>
      </c>
      <c r="B57" t="s">
        <v>324</v>
      </c>
      <c r="C57" t="s">
        <v>158</v>
      </c>
      <c r="D57" s="133">
        <v>7</v>
      </c>
      <c r="E57" s="133">
        <v>24</v>
      </c>
      <c r="F57" s="133">
        <v>0</v>
      </c>
      <c r="G57" s="133">
        <v>0</v>
      </c>
      <c r="H57" s="133">
        <v>0</v>
      </c>
      <c r="I57" s="133">
        <v>0</v>
      </c>
      <c r="J57" s="133">
        <v>0</v>
      </c>
      <c r="K57">
        <v>42131</v>
      </c>
      <c r="L57" s="133">
        <v>0</v>
      </c>
      <c r="M57" s="133" t="b">
        <f ca="1">IF(TODAY()-Table_Query_from_A_Readiness_1[[#This Row],[PER_DATE]]&gt;=0,TRUE, FALSE)</f>
        <v>0</v>
      </c>
    </row>
    <row r="58" spans="1:13">
      <c r="A58">
        <v>42139</v>
      </c>
      <c r="B58" t="s">
        <v>324</v>
      </c>
      <c r="C58" t="s">
        <v>148</v>
      </c>
      <c r="D58" s="133">
        <v>8</v>
      </c>
      <c r="E58" s="133">
        <v>0</v>
      </c>
      <c r="F58" s="133">
        <v>0</v>
      </c>
      <c r="G58" s="133">
        <v>0</v>
      </c>
      <c r="H58" s="133">
        <v>0</v>
      </c>
      <c r="I58" s="133">
        <v>0</v>
      </c>
      <c r="J58" s="133">
        <v>0</v>
      </c>
      <c r="K58">
        <v>42132</v>
      </c>
      <c r="L58" s="133">
        <v>24</v>
      </c>
      <c r="M58" s="133" t="b">
        <f ca="1">IF(TODAY()-Table_Query_from_A_Readiness_1[[#This Row],[PER_DATE]]&gt;=0,TRUE, FALSE)</f>
        <v>0</v>
      </c>
    </row>
    <row r="59" spans="1:13">
      <c r="A59">
        <v>42139</v>
      </c>
      <c r="B59" t="s">
        <v>324</v>
      </c>
      <c r="C59" t="s">
        <v>149</v>
      </c>
      <c r="D59" s="133">
        <v>8</v>
      </c>
      <c r="E59" s="133">
        <v>0</v>
      </c>
      <c r="F59" s="133">
        <v>24</v>
      </c>
      <c r="G59" s="133">
        <v>0</v>
      </c>
      <c r="H59" s="133">
        <v>0</v>
      </c>
      <c r="I59" s="133">
        <v>0</v>
      </c>
      <c r="J59" s="133">
        <v>0</v>
      </c>
      <c r="K59">
        <v>42132</v>
      </c>
      <c r="L59" s="133">
        <v>0</v>
      </c>
      <c r="M59" s="133" t="b">
        <f ca="1">IF(TODAY()-Table_Query_from_A_Readiness_1[[#This Row],[PER_DATE]]&gt;=0,TRUE, FALSE)</f>
        <v>0</v>
      </c>
    </row>
    <row r="60" spans="1:13">
      <c r="A60">
        <v>42139</v>
      </c>
      <c r="B60" t="s">
        <v>324</v>
      </c>
      <c r="C60" t="s">
        <v>151</v>
      </c>
      <c r="D60" s="133">
        <v>8</v>
      </c>
      <c r="E60" s="133">
        <v>0</v>
      </c>
      <c r="F60" s="133">
        <v>0</v>
      </c>
      <c r="G60" s="133">
        <v>0</v>
      </c>
      <c r="H60" s="133">
        <v>24</v>
      </c>
      <c r="I60" s="133">
        <v>0</v>
      </c>
      <c r="J60" s="133">
        <v>0</v>
      </c>
      <c r="K60">
        <v>42132</v>
      </c>
      <c r="L60" s="133">
        <v>0</v>
      </c>
      <c r="M60" s="133" t="b">
        <f ca="1">IF(TODAY()-Table_Query_from_A_Readiness_1[[#This Row],[PER_DATE]]&gt;=0,TRUE, FALSE)</f>
        <v>0</v>
      </c>
    </row>
    <row r="61" spans="1:13">
      <c r="A61">
        <v>42139</v>
      </c>
      <c r="B61" t="s">
        <v>324</v>
      </c>
      <c r="C61" t="s">
        <v>153</v>
      </c>
      <c r="D61" s="133">
        <v>8</v>
      </c>
      <c r="E61" s="133">
        <v>0</v>
      </c>
      <c r="F61" s="133">
        <v>0</v>
      </c>
      <c r="G61" s="133">
        <v>0</v>
      </c>
      <c r="H61" s="133">
        <v>24</v>
      </c>
      <c r="I61" s="133">
        <v>0</v>
      </c>
      <c r="J61" s="133">
        <v>0</v>
      </c>
      <c r="K61">
        <v>42132</v>
      </c>
      <c r="L61" s="133">
        <v>0</v>
      </c>
      <c r="M61" s="133" t="b">
        <f ca="1">IF(TODAY()-Table_Query_from_A_Readiness_1[[#This Row],[PER_DATE]]&gt;=0,TRUE, FALSE)</f>
        <v>0</v>
      </c>
    </row>
    <row r="62" spans="1:13">
      <c r="A62">
        <v>42139</v>
      </c>
      <c r="B62" t="s">
        <v>324</v>
      </c>
      <c r="C62" t="s">
        <v>155</v>
      </c>
      <c r="D62" s="133">
        <v>8</v>
      </c>
      <c r="E62" s="133">
        <v>0</v>
      </c>
      <c r="F62" s="133">
        <v>0</v>
      </c>
      <c r="G62" s="133">
        <v>0</v>
      </c>
      <c r="H62" s="133">
        <v>0</v>
      </c>
      <c r="I62" s="133">
        <v>24</v>
      </c>
      <c r="J62" s="133">
        <v>0</v>
      </c>
      <c r="K62">
        <v>42132</v>
      </c>
      <c r="L62" s="133">
        <v>0</v>
      </c>
      <c r="M62" s="133" t="b">
        <f ca="1">IF(TODAY()-Table_Query_from_A_Readiness_1[[#This Row],[PER_DATE]]&gt;=0,TRUE, FALSE)</f>
        <v>0</v>
      </c>
    </row>
    <row r="63" spans="1:13">
      <c r="A63">
        <v>42139</v>
      </c>
      <c r="B63" t="s">
        <v>324</v>
      </c>
      <c r="C63" t="s">
        <v>156</v>
      </c>
      <c r="D63" s="133">
        <v>8</v>
      </c>
      <c r="E63" s="133">
        <v>0</v>
      </c>
      <c r="F63" s="133">
        <v>24</v>
      </c>
      <c r="G63" s="133">
        <v>0</v>
      </c>
      <c r="H63" s="133">
        <v>0</v>
      </c>
      <c r="I63" s="133">
        <v>0</v>
      </c>
      <c r="J63" s="133">
        <v>0</v>
      </c>
      <c r="K63">
        <v>42132</v>
      </c>
      <c r="L63" s="133">
        <v>0</v>
      </c>
      <c r="M63" s="133" t="b">
        <f ca="1">IF(TODAY()-Table_Query_from_A_Readiness_1[[#This Row],[PER_DATE]]&gt;=0,TRUE, FALSE)</f>
        <v>0</v>
      </c>
    </row>
    <row r="64" spans="1:13">
      <c r="A64">
        <v>42139</v>
      </c>
      <c r="B64" t="s">
        <v>324</v>
      </c>
      <c r="C64" t="s">
        <v>169</v>
      </c>
      <c r="D64" s="133">
        <v>8</v>
      </c>
      <c r="E64" s="133">
        <v>0</v>
      </c>
      <c r="F64" s="133">
        <v>0</v>
      </c>
      <c r="G64" s="133">
        <v>0</v>
      </c>
      <c r="H64" s="133">
        <v>0</v>
      </c>
      <c r="I64" s="133">
        <v>24</v>
      </c>
      <c r="J64" s="133">
        <v>0</v>
      </c>
      <c r="K64">
        <v>42132</v>
      </c>
      <c r="L64" s="133">
        <v>0</v>
      </c>
      <c r="M64" s="133" t="b">
        <f ca="1">IF(TODAY()-Table_Query_from_A_Readiness_1[[#This Row],[PER_DATE]]&gt;=0,TRUE, FALSE)</f>
        <v>0</v>
      </c>
    </row>
    <row r="65" spans="1:13">
      <c r="A65">
        <v>42139</v>
      </c>
      <c r="B65" t="s">
        <v>324</v>
      </c>
      <c r="C65" t="s">
        <v>158</v>
      </c>
      <c r="D65" s="133">
        <v>8</v>
      </c>
      <c r="E65" s="133">
        <v>24</v>
      </c>
      <c r="F65" s="133">
        <v>0</v>
      </c>
      <c r="G65" s="133">
        <v>0</v>
      </c>
      <c r="H65" s="133">
        <v>0</v>
      </c>
      <c r="I65" s="133">
        <v>0</v>
      </c>
      <c r="J65" s="133">
        <v>0</v>
      </c>
      <c r="K65">
        <v>42132</v>
      </c>
      <c r="L65" s="133">
        <v>0</v>
      </c>
      <c r="M65" s="133" t="b">
        <f ca="1">IF(TODAY()-Table_Query_from_A_Readiness_1[[#This Row],[PER_DATE]]&gt;=0,TRUE, FALSE)</f>
        <v>0</v>
      </c>
    </row>
    <row r="66" spans="1:13">
      <c r="A66">
        <v>42139</v>
      </c>
      <c r="B66" t="s">
        <v>324</v>
      </c>
      <c r="C66" t="s">
        <v>148</v>
      </c>
      <c r="D66" s="133">
        <v>9</v>
      </c>
      <c r="E66" s="133">
        <v>0</v>
      </c>
      <c r="F66" s="133">
        <v>0</v>
      </c>
      <c r="G66" s="133">
        <v>0</v>
      </c>
      <c r="H66" s="133">
        <v>0</v>
      </c>
      <c r="I66" s="133">
        <v>0</v>
      </c>
      <c r="J66" s="133">
        <v>0</v>
      </c>
      <c r="K66">
        <v>42133</v>
      </c>
      <c r="L66" s="133">
        <v>24</v>
      </c>
      <c r="M66" s="133" t="b">
        <f ca="1">IF(TODAY()-Table_Query_from_A_Readiness_1[[#This Row],[PER_DATE]]&gt;=0,TRUE, FALSE)</f>
        <v>0</v>
      </c>
    </row>
    <row r="67" spans="1:13">
      <c r="A67">
        <v>42139</v>
      </c>
      <c r="B67" t="s">
        <v>324</v>
      </c>
      <c r="C67" t="s">
        <v>149</v>
      </c>
      <c r="D67" s="133">
        <v>9</v>
      </c>
      <c r="E67" s="133">
        <v>0</v>
      </c>
      <c r="F67" s="133">
        <v>24</v>
      </c>
      <c r="G67" s="133">
        <v>0</v>
      </c>
      <c r="H67" s="133">
        <v>0</v>
      </c>
      <c r="I67" s="133">
        <v>0</v>
      </c>
      <c r="J67" s="133">
        <v>0</v>
      </c>
      <c r="K67">
        <v>42133</v>
      </c>
      <c r="L67" s="133">
        <v>0</v>
      </c>
      <c r="M67" s="133" t="b">
        <f ca="1">IF(TODAY()-Table_Query_from_A_Readiness_1[[#This Row],[PER_DATE]]&gt;=0,TRUE, FALSE)</f>
        <v>0</v>
      </c>
    </row>
    <row r="68" spans="1:13">
      <c r="A68">
        <v>42139</v>
      </c>
      <c r="B68" t="s">
        <v>324</v>
      </c>
      <c r="C68" t="s">
        <v>151</v>
      </c>
      <c r="D68" s="133">
        <v>9</v>
      </c>
      <c r="E68" s="133">
        <v>0</v>
      </c>
      <c r="F68" s="133">
        <v>0</v>
      </c>
      <c r="G68" s="133">
        <v>0</v>
      </c>
      <c r="H68" s="133">
        <v>24</v>
      </c>
      <c r="I68" s="133">
        <v>0</v>
      </c>
      <c r="J68" s="133">
        <v>0</v>
      </c>
      <c r="K68">
        <v>42133</v>
      </c>
      <c r="L68" s="133">
        <v>0</v>
      </c>
      <c r="M68" s="133" t="b">
        <f ca="1">IF(TODAY()-Table_Query_from_A_Readiness_1[[#This Row],[PER_DATE]]&gt;=0,TRUE, FALSE)</f>
        <v>0</v>
      </c>
    </row>
    <row r="69" spans="1:13">
      <c r="A69">
        <v>42139</v>
      </c>
      <c r="B69" t="s">
        <v>324</v>
      </c>
      <c r="C69" t="s">
        <v>153</v>
      </c>
      <c r="D69" s="133">
        <v>9</v>
      </c>
      <c r="E69" s="133">
        <v>0</v>
      </c>
      <c r="F69" s="133">
        <v>0</v>
      </c>
      <c r="G69" s="133">
        <v>0</v>
      </c>
      <c r="H69" s="133">
        <v>24</v>
      </c>
      <c r="I69" s="133">
        <v>0</v>
      </c>
      <c r="J69" s="133">
        <v>0</v>
      </c>
      <c r="K69">
        <v>42133</v>
      </c>
      <c r="L69" s="133">
        <v>0</v>
      </c>
      <c r="M69" s="133" t="b">
        <f ca="1">IF(TODAY()-Table_Query_from_A_Readiness_1[[#This Row],[PER_DATE]]&gt;=0,TRUE, FALSE)</f>
        <v>0</v>
      </c>
    </row>
    <row r="70" spans="1:13">
      <c r="A70">
        <v>42139</v>
      </c>
      <c r="B70" t="s">
        <v>324</v>
      </c>
      <c r="C70" t="s">
        <v>155</v>
      </c>
      <c r="D70" s="133">
        <v>9</v>
      </c>
      <c r="E70" s="133">
        <v>0</v>
      </c>
      <c r="F70" s="133">
        <v>0</v>
      </c>
      <c r="G70" s="133">
        <v>0</v>
      </c>
      <c r="H70" s="133">
        <v>0</v>
      </c>
      <c r="I70" s="133">
        <v>24</v>
      </c>
      <c r="J70" s="133">
        <v>0</v>
      </c>
      <c r="K70">
        <v>42133</v>
      </c>
      <c r="L70" s="133">
        <v>0</v>
      </c>
      <c r="M70" s="133" t="b">
        <f ca="1">IF(TODAY()-Table_Query_from_A_Readiness_1[[#This Row],[PER_DATE]]&gt;=0,TRUE, FALSE)</f>
        <v>0</v>
      </c>
    </row>
    <row r="71" spans="1:13">
      <c r="A71">
        <v>42139</v>
      </c>
      <c r="B71" t="s">
        <v>324</v>
      </c>
      <c r="C71" t="s">
        <v>156</v>
      </c>
      <c r="D71" s="133">
        <v>9</v>
      </c>
      <c r="E71" s="133">
        <v>0</v>
      </c>
      <c r="F71" s="133">
        <v>24</v>
      </c>
      <c r="G71" s="133">
        <v>0</v>
      </c>
      <c r="H71" s="133">
        <v>0</v>
      </c>
      <c r="I71" s="133">
        <v>0</v>
      </c>
      <c r="J71" s="133">
        <v>0</v>
      </c>
      <c r="K71">
        <v>42133</v>
      </c>
      <c r="L71" s="133">
        <v>0</v>
      </c>
      <c r="M71" s="133" t="b">
        <f ca="1">IF(TODAY()-Table_Query_from_A_Readiness_1[[#This Row],[PER_DATE]]&gt;=0,TRUE, FALSE)</f>
        <v>0</v>
      </c>
    </row>
    <row r="72" spans="1:13">
      <c r="A72">
        <v>42139</v>
      </c>
      <c r="B72" t="s">
        <v>324</v>
      </c>
      <c r="C72" t="s">
        <v>169</v>
      </c>
      <c r="D72" s="133">
        <v>9</v>
      </c>
      <c r="E72" s="133">
        <v>0</v>
      </c>
      <c r="F72" s="133">
        <v>0</v>
      </c>
      <c r="G72" s="133">
        <v>0</v>
      </c>
      <c r="H72" s="133">
        <v>0</v>
      </c>
      <c r="I72" s="133">
        <v>24</v>
      </c>
      <c r="J72" s="133">
        <v>0</v>
      </c>
      <c r="K72">
        <v>42133</v>
      </c>
      <c r="L72" s="133">
        <v>0</v>
      </c>
      <c r="M72" s="133" t="b">
        <f ca="1">IF(TODAY()-Table_Query_from_A_Readiness_1[[#This Row],[PER_DATE]]&gt;=0,TRUE, FALSE)</f>
        <v>0</v>
      </c>
    </row>
    <row r="73" spans="1:13">
      <c r="A73">
        <v>42139</v>
      </c>
      <c r="B73" t="s">
        <v>324</v>
      </c>
      <c r="C73" t="s">
        <v>158</v>
      </c>
      <c r="D73" s="133">
        <v>9</v>
      </c>
      <c r="E73" s="133">
        <v>24</v>
      </c>
      <c r="F73" s="133">
        <v>0</v>
      </c>
      <c r="G73" s="133">
        <v>0</v>
      </c>
      <c r="H73" s="133">
        <v>0</v>
      </c>
      <c r="I73" s="133">
        <v>0</v>
      </c>
      <c r="J73" s="133">
        <v>0</v>
      </c>
      <c r="K73">
        <v>42133</v>
      </c>
      <c r="L73" s="133">
        <v>0</v>
      </c>
      <c r="M73" s="133" t="b">
        <f ca="1">IF(TODAY()-Table_Query_from_A_Readiness_1[[#This Row],[PER_DATE]]&gt;=0,TRUE, FALSE)</f>
        <v>0</v>
      </c>
    </row>
    <row r="74" spans="1:13">
      <c r="A74">
        <v>42139</v>
      </c>
      <c r="B74" t="s">
        <v>324</v>
      </c>
      <c r="C74" t="s">
        <v>148</v>
      </c>
      <c r="D74" s="133">
        <v>10</v>
      </c>
      <c r="E74" s="133">
        <v>0</v>
      </c>
      <c r="F74" s="133">
        <v>0</v>
      </c>
      <c r="G74" s="133">
        <v>0</v>
      </c>
      <c r="H74" s="133">
        <v>0</v>
      </c>
      <c r="I74" s="133">
        <v>0</v>
      </c>
      <c r="J74" s="133">
        <v>0</v>
      </c>
      <c r="K74">
        <v>42134</v>
      </c>
      <c r="L74" s="133">
        <v>24</v>
      </c>
      <c r="M74" s="133" t="b">
        <f ca="1">IF(TODAY()-Table_Query_from_A_Readiness_1[[#This Row],[PER_DATE]]&gt;=0,TRUE, FALSE)</f>
        <v>0</v>
      </c>
    </row>
    <row r="75" spans="1:13">
      <c r="A75">
        <v>42139</v>
      </c>
      <c r="B75" t="s">
        <v>324</v>
      </c>
      <c r="C75" t="s">
        <v>149</v>
      </c>
      <c r="D75" s="133">
        <v>10</v>
      </c>
      <c r="E75" s="133">
        <v>0</v>
      </c>
      <c r="F75" s="133">
        <v>24</v>
      </c>
      <c r="G75" s="133">
        <v>0</v>
      </c>
      <c r="H75" s="133">
        <v>0</v>
      </c>
      <c r="I75" s="133">
        <v>0</v>
      </c>
      <c r="J75" s="133">
        <v>0</v>
      </c>
      <c r="K75">
        <v>42134</v>
      </c>
      <c r="L75" s="133">
        <v>0</v>
      </c>
      <c r="M75" s="133" t="b">
        <f ca="1">IF(TODAY()-Table_Query_from_A_Readiness_1[[#This Row],[PER_DATE]]&gt;=0,TRUE, FALSE)</f>
        <v>0</v>
      </c>
    </row>
    <row r="76" spans="1:13">
      <c r="A76">
        <v>42139</v>
      </c>
      <c r="B76" t="s">
        <v>324</v>
      </c>
      <c r="C76" t="s">
        <v>151</v>
      </c>
      <c r="D76" s="133">
        <v>10</v>
      </c>
      <c r="E76" s="133">
        <v>0</v>
      </c>
      <c r="F76" s="133">
        <v>0</v>
      </c>
      <c r="G76" s="133">
        <v>0</v>
      </c>
      <c r="H76" s="133">
        <v>24</v>
      </c>
      <c r="I76" s="133">
        <v>0</v>
      </c>
      <c r="J76" s="133">
        <v>0</v>
      </c>
      <c r="K76">
        <v>42134</v>
      </c>
      <c r="L76" s="133">
        <v>0</v>
      </c>
      <c r="M76" s="133" t="b">
        <f ca="1">IF(TODAY()-Table_Query_from_A_Readiness_1[[#This Row],[PER_DATE]]&gt;=0,TRUE, FALSE)</f>
        <v>0</v>
      </c>
    </row>
    <row r="77" spans="1:13">
      <c r="A77">
        <v>42139</v>
      </c>
      <c r="B77" t="s">
        <v>324</v>
      </c>
      <c r="C77" t="s">
        <v>153</v>
      </c>
      <c r="D77" s="133">
        <v>10</v>
      </c>
      <c r="E77" s="133">
        <v>0</v>
      </c>
      <c r="F77" s="133">
        <v>0</v>
      </c>
      <c r="G77" s="133">
        <v>0</v>
      </c>
      <c r="H77" s="133">
        <v>24</v>
      </c>
      <c r="I77" s="133">
        <v>0</v>
      </c>
      <c r="J77" s="133">
        <v>0</v>
      </c>
      <c r="K77">
        <v>42134</v>
      </c>
      <c r="L77" s="133">
        <v>0</v>
      </c>
      <c r="M77" s="133" t="b">
        <f ca="1">IF(TODAY()-Table_Query_from_A_Readiness_1[[#This Row],[PER_DATE]]&gt;=0,TRUE, FALSE)</f>
        <v>0</v>
      </c>
    </row>
    <row r="78" spans="1:13">
      <c r="A78">
        <v>42139</v>
      </c>
      <c r="B78" t="s">
        <v>324</v>
      </c>
      <c r="C78" t="s">
        <v>155</v>
      </c>
      <c r="D78" s="133">
        <v>10</v>
      </c>
      <c r="E78" s="133">
        <v>0</v>
      </c>
      <c r="F78" s="133">
        <v>0</v>
      </c>
      <c r="G78" s="133">
        <v>0</v>
      </c>
      <c r="H78" s="133">
        <v>0</v>
      </c>
      <c r="I78" s="133">
        <v>24</v>
      </c>
      <c r="J78" s="133">
        <v>0</v>
      </c>
      <c r="K78">
        <v>42134</v>
      </c>
      <c r="L78" s="133">
        <v>0</v>
      </c>
      <c r="M78" s="133" t="b">
        <f ca="1">IF(TODAY()-Table_Query_from_A_Readiness_1[[#This Row],[PER_DATE]]&gt;=0,TRUE, FALSE)</f>
        <v>0</v>
      </c>
    </row>
    <row r="79" spans="1:13">
      <c r="A79">
        <v>42139</v>
      </c>
      <c r="B79" t="s">
        <v>324</v>
      </c>
      <c r="C79" t="s">
        <v>156</v>
      </c>
      <c r="D79" s="133">
        <v>10</v>
      </c>
      <c r="E79" s="133">
        <v>0</v>
      </c>
      <c r="F79" s="133">
        <v>24</v>
      </c>
      <c r="G79" s="133">
        <v>0</v>
      </c>
      <c r="H79" s="133">
        <v>0</v>
      </c>
      <c r="I79" s="133">
        <v>0</v>
      </c>
      <c r="J79" s="133">
        <v>0</v>
      </c>
      <c r="K79">
        <v>42134</v>
      </c>
      <c r="L79" s="133">
        <v>0</v>
      </c>
      <c r="M79" s="133" t="b">
        <f ca="1">IF(TODAY()-Table_Query_from_A_Readiness_1[[#This Row],[PER_DATE]]&gt;=0,TRUE, FALSE)</f>
        <v>0</v>
      </c>
    </row>
    <row r="80" spans="1:13">
      <c r="A80">
        <v>42139</v>
      </c>
      <c r="B80" t="s">
        <v>324</v>
      </c>
      <c r="C80" t="s">
        <v>169</v>
      </c>
      <c r="D80" s="133">
        <v>10</v>
      </c>
      <c r="E80" s="133">
        <v>0</v>
      </c>
      <c r="F80" s="133">
        <v>0</v>
      </c>
      <c r="G80" s="133">
        <v>0</v>
      </c>
      <c r="H80" s="133">
        <v>0</v>
      </c>
      <c r="I80" s="133">
        <v>24</v>
      </c>
      <c r="J80" s="133">
        <v>0</v>
      </c>
      <c r="K80">
        <v>42134</v>
      </c>
      <c r="L80" s="133">
        <v>0</v>
      </c>
      <c r="M80" s="133" t="b">
        <f ca="1">IF(TODAY()-Table_Query_from_A_Readiness_1[[#This Row],[PER_DATE]]&gt;=0,TRUE, FALSE)</f>
        <v>0</v>
      </c>
    </row>
    <row r="81" spans="1:13">
      <c r="A81">
        <v>42139</v>
      </c>
      <c r="B81" t="s">
        <v>324</v>
      </c>
      <c r="C81" t="s">
        <v>158</v>
      </c>
      <c r="D81" s="133">
        <v>10</v>
      </c>
      <c r="E81" s="133">
        <v>24</v>
      </c>
      <c r="F81" s="133">
        <v>0</v>
      </c>
      <c r="G81" s="133">
        <v>0</v>
      </c>
      <c r="H81" s="133">
        <v>0</v>
      </c>
      <c r="I81" s="133">
        <v>0</v>
      </c>
      <c r="J81" s="133">
        <v>0</v>
      </c>
      <c r="K81">
        <v>42134</v>
      </c>
      <c r="L81" s="133">
        <v>0</v>
      </c>
      <c r="M81" s="133" t="b">
        <f ca="1">IF(TODAY()-Table_Query_from_A_Readiness_1[[#This Row],[PER_DATE]]&gt;=0,TRUE, FALSE)</f>
        <v>0</v>
      </c>
    </row>
    <row r="82" spans="1:13">
      <c r="A82">
        <v>42139</v>
      </c>
      <c r="B82" t="s">
        <v>324</v>
      </c>
      <c r="C82" t="s">
        <v>148</v>
      </c>
      <c r="D82" s="133">
        <v>11</v>
      </c>
      <c r="E82" s="133">
        <v>0</v>
      </c>
      <c r="F82" s="133">
        <v>0</v>
      </c>
      <c r="G82" s="133">
        <v>0</v>
      </c>
      <c r="H82" s="133">
        <v>0</v>
      </c>
      <c r="I82" s="133">
        <v>0</v>
      </c>
      <c r="J82" s="133">
        <v>0</v>
      </c>
      <c r="K82">
        <v>42135</v>
      </c>
      <c r="L82" s="133">
        <v>24</v>
      </c>
      <c r="M82" s="133" t="b">
        <f ca="1">IF(TODAY()-Table_Query_from_A_Readiness_1[[#This Row],[PER_DATE]]&gt;=0,TRUE, FALSE)</f>
        <v>0</v>
      </c>
    </row>
    <row r="83" spans="1:13">
      <c r="A83">
        <v>42139</v>
      </c>
      <c r="B83" t="s">
        <v>324</v>
      </c>
      <c r="C83" t="s">
        <v>149</v>
      </c>
      <c r="D83" s="133">
        <v>11</v>
      </c>
      <c r="E83" s="133">
        <v>0</v>
      </c>
      <c r="F83" s="133">
        <v>24</v>
      </c>
      <c r="G83" s="133">
        <v>0</v>
      </c>
      <c r="H83" s="133">
        <v>0</v>
      </c>
      <c r="I83" s="133">
        <v>0</v>
      </c>
      <c r="J83" s="133">
        <v>0</v>
      </c>
      <c r="K83">
        <v>42135</v>
      </c>
      <c r="L83" s="133">
        <v>0</v>
      </c>
      <c r="M83" s="133" t="b">
        <f ca="1">IF(TODAY()-Table_Query_from_A_Readiness_1[[#This Row],[PER_DATE]]&gt;=0,TRUE, FALSE)</f>
        <v>0</v>
      </c>
    </row>
    <row r="84" spans="1:13">
      <c r="A84">
        <v>42139</v>
      </c>
      <c r="B84" t="s">
        <v>324</v>
      </c>
      <c r="C84" t="s">
        <v>151</v>
      </c>
      <c r="D84" s="133">
        <v>11</v>
      </c>
      <c r="E84" s="133">
        <v>0</v>
      </c>
      <c r="F84" s="133">
        <v>0</v>
      </c>
      <c r="G84" s="133">
        <v>0</v>
      </c>
      <c r="H84" s="133">
        <v>24</v>
      </c>
      <c r="I84" s="133">
        <v>0</v>
      </c>
      <c r="J84" s="133">
        <v>0</v>
      </c>
      <c r="K84">
        <v>42135</v>
      </c>
      <c r="L84" s="133">
        <v>0</v>
      </c>
      <c r="M84" s="133" t="b">
        <f ca="1">IF(TODAY()-Table_Query_from_A_Readiness_1[[#This Row],[PER_DATE]]&gt;=0,TRUE, FALSE)</f>
        <v>0</v>
      </c>
    </row>
    <row r="85" spans="1:13">
      <c r="A85">
        <v>42139</v>
      </c>
      <c r="B85" t="s">
        <v>324</v>
      </c>
      <c r="C85" t="s">
        <v>153</v>
      </c>
      <c r="D85" s="133">
        <v>11</v>
      </c>
      <c r="E85" s="133">
        <v>0</v>
      </c>
      <c r="F85" s="133">
        <v>0</v>
      </c>
      <c r="G85" s="133">
        <v>0</v>
      </c>
      <c r="H85" s="133">
        <v>24</v>
      </c>
      <c r="I85" s="133">
        <v>0</v>
      </c>
      <c r="J85" s="133">
        <v>0</v>
      </c>
      <c r="K85">
        <v>42135</v>
      </c>
      <c r="L85" s="133">
        <v>0</v>
      </c>
      <c r="M85" s="133" t="b">
        <f ca="1">IF(TODAY()-Table_Query_from_A_Readiness_1[[#This Row],[PER_DATE]]&gt;=0,TRUE, FALSE)</f>
        <v>0</v>
      </c>
    </row>
    <row r="86" spans="1:13">
      <c r="A86">
        <v>42139</v>
      </c>
      <c r="B86" t="s">
        <v>324</v>
      </c>
      <c r="C86" t="s">
        <v>155</v>
      </c>
      <c r="D86" s="133">
        <v>11</v>
      </c>
      <c r="E86" s="133">
        <v>0</v>
      </c>
      <c r="F86" s="133">
        <v>0</v>
      </c>
      <c r="G86" s="133">
        <v>0</v>
      </c>
      <c r="H86" s="133">
        <v>0</v>
      </c>
      <c r="I86" s="133">
        <v>24</v>
      </c>
      <c r="J86" s="133">
        <v>0</v>
      </c>
      <c r="K86">
        <v>42135</v>
      </c>
      <c r="L86" s="133">
        <v>0</v>
      </c>
      <c r="M86" s="133" t="b">
        <f ca="1">IF(TODAY()-Table_Query_from_A_Readiness_1[[#This Row],[PER_DATE]]&gt;=0,TRUE, FALSE)</f>
        <v>0</v>
      </c>
    </row>
    <row r="87" spans="1:13">
      <c r="A87">
        <v>42139</v>
      </c>
      <c r="B87" t="s">
        <v>324</v>
      </c>
      <c r="C87" t="s">
        <v>156</v>
      </c>
      <c r="D87" s="133">
        <v>11</v>
      </c>
      <c r="E87" s="133">
        <v>0</v>
      </c>
      <c r="F87" s="133">
        <v>24</v>
      </c>
      <c r="G87" s="133">
        <v>0</v>
      </c>
      <c r="H87" s="133">
        <v>0</v>
      </c>
      <c r="I87" s="133">
        <v>0</v>
      </c>
      <c r="J87" s="133">
        <v>0</v>
      </c>
      <c r="K87">
        <v>42135</v>
      </c>
      <c r="L87" s="133">
        <v>0</v>
      </c>
      <c r="M87" s="133" t="b">
        <f ca="1">IF(TODAY()-Table_Query_from_A_Readiness_1[[#This Row],[PER_DATE]]&gt;=0,TRUE, FALSE)</f>
        <v>0</v>
      </c>
    </row>
    <row r="88" spans="1:13">
      <c r="A88">
        <v>42139</v>
      </c>
      <c r="B88" t="s">
        <v>324</v>
      </c>
      <c r="C88" t="s">
        <v>169</v>
      </c>
      <c r="D88" s="133">
        <v>11</v>
      </c>
      <c r="E88" s="133">
        <v>0</v>
      </c>
      <c r="F88" s="133">
        <v>0</v>
      </c>
      <c r="G88" s="133">
        <v>0</v>
      </c>
      <c r="H88" s="133">
        <v>0</v>
      </c>
      <c r="I88" s="133">
        <v>24</v>
      </c>
      <c r="J88" s="133">
        <v>0</v>
      </c>
      <c r="K88">
        <v>42135</v>
      </c>
      <c r="L88" s="133">
        <v>0</v>
      </c>
      <c r="M88" s="133" t="b">
        <f ca="1">IF(TODAY()-Table_Query_from_A_Readiness_1[[#This Row],[PER_DATE]]&gt;=0,TRUE, FALSE)</f>
        <v>0</v>
      </c>
    </row>
    <row r="89" spans="1:13">
      <c r="A89">
        <v>42139</v>
      </c>
      <c r="B89" t="s">
        <v>324</v>
      </c>
      <c r="C89" t="s">
        <v>158</v>
      </c>
      <c r="D89" s="133">
        <v>11</v>
      </c>
      <c r="E89" s="133">
        <v>24</v>
      </c>
      <c r="F89" s="133">
        <v>0</v>
      </c>
      <c r="G89" s="133">
        <v>0</v>
      </c>
      <c r="H89" s="133">
        <v>0</v>
      </c>
      <c r="I89" s="133">
        <v>0</v>
      </c>
      <c r="J89" s="133">
        <v>0</v>
      </c>
      <c r="K89">
        <v>42135</v>
      </c>
      <c r="L89" s="133">
        <v>0</v>
      </c>
      <c r="M89" s="133" t="b">
        <f ca="1">IF(TODAY()-Table_Query_from_A_Readiness_1[[#This Row],[PER_DATE]]&gt;=0,TRUE, FALSE)</f>
        <v>0</v>
      </c>
    </row>
    <row r="90" spans="1:13">
      <c r="A90">
        <v>42139</v>
      </c>
      <c r="B90" t="s">
        <v>324</v>
      </c>
      <c r="C90" t="s">
        <v>148</v>
      </c>
      <c r="D90" s="133">
        <v>12</v>
      </c>
      <c r="E90" s="133">
        <v>0</v>
      </c>
      <c r="F90" s="133">
        <v>0</v>
      </c>
      <c r="G90" s="133">
        <v>0</v>
      </c>
      <c r="H90" s="133">
        <v>0</v>
      </c>
      <c r="I90" s="133">
        <v>0</v>
      </c>
      <c r="J90" s="133">
        <v>0</v>
      </c>
      <c r="K90">
        <v>42136</v>
      </c>
      <c r="L90" s="133">
        <v>24</v>
      </c>
      <c r="M90" s="133" t="b">
        <f ca="1">IF(TODAY()-Table_Query_from_A_Readiness_1[[#This Row],[PER_DATE]]&gt;=0,TRUE, FALSE)</f>
        <v>0</v>
      </c>
    </row>
    <row r="91" spans="1:13">
      <c r="A91">
        <v>42139</v>
      </c>
      <c r="B91" t="s">
        <v>324</v>
      </c>
      <c r="C91" t="s">
        <v>149</v>
      </c>
      <c r="D91" s="133">
        <v>12</v>
      </c>
      <c r="E91" s="133">
        <v>0</v>
      </c>
      <c r="F91" s="133">
        <v>24</v>
      </c>
      <c r="G91" s="133">
        <v>0</v>
      </c>
      <c r="H91" s="133">
        <v>0</v>
      </c>
      <c r="I91" s="133">
        <v>0</v>
      </c>
      <c r="J91" s="133">
        <v>0</v>
      </c>
      <c r="K91">
        <v>42136</v>
      </c>
      <c r="L91" s="133">
        <v>0</v>
      </c>
      <c r="M91" s="133" t="b">
        <f ca="1">IF(TODAY()-Table_Query_from_A_Readiness_1[[#This Row],[PER_DATE]]&gt;=0,TRUE, FALSE)</f>
        <v>0</v>
      </c>
    </row>
    <row r="92" spans="1:13">
      <c r="A92">
        <v>42139</v>
      </c>
      <c r="B92" t="s">
        <v>324</v>
      </c>
      <c r="C92" t="s">
        <v>151</v>
      </c>
      <c r="D92" s="133">
        <v>12</v>
      </c>
      <c r="E92" s="133">
        <v>0</v>
      </c>
      <c r="F92" s="133">
        <v>0</v>
      </c>
      <c r="G92" s="133">
        <v>0</v>
      </c>
      <c r="H92" s="133">
        <v>24</v>
      </c>
      <c r="I92" s="133">
        <v>0</v>
      </c>
      <c r="J92" s="133">
        <v>0</v>
      </c>
      <c r="K92">
        <v>42136</v>
      </c>
      <c r="L92" s="133">
        <v>0</v>
      </c>
      <c r="M92" s="133" t="b">
        <f ca="1">IF(TODAY()-Table_Query_from_A_Readiness_1[[#This Row],[PER_DATE]]&gt;=0,TRUE, FALSE)</f>
        <v>0</v>
      </c>
    </row>
    <row r="93" spans="1:13">
      <c r="A93">
        <v>42139</v>
      </c>
      <c r="B93" t="s">
        <v>324</v>
      </c>
      <c r="C93" t="s">
        <v>153</v>
      </c>
      <c r="D93" s="133">
        <v>12</v>
      </c>
      <c r="E93" s="133">
        <v>0</v>
      </c>
      <c r="F93" s="133">
        <v>0</v>
      </c>
      <c r="G93" s="133">
        <v>0</v>
      </c>
      <c r="H93" s="133">
        <v>24</v>
      </c>
      <c r="I93" s="133">
        <v>0</v>
      </c>
      <c r="J93" s="133">
        <v>0</v>
      </c>
      <c r="K93">
        <v>42136</v>
      </c>
      <c r="L93" s="133">
        <v>0</v>
      </c>
      <c r="M93" s="133" t="b">
        <f ca="1">IF(TODAY()-Table_Query_from_A_Readiness_1[[#This Row],[PER_DATE]]&gt;=0,TRUE, FALSE)</f>
        <v>0</v>
      </c>
    </row>
    <row r="94" spans="1:13">
      <c r="A94">
        <v>42139</v>
      </c>
      <c r="B94" t="s">
        <v>324</v>
      </c>
      <c r="C94" t="s">
        <v>155</v>
      </c>
      <c r="D94" s="133">
        <v>12</v>
      </c>
      <c r="E94" s="133">
        <v>0</v>
      </c>
      <c r="F94" s="133">
        <v>0</v>
      </c>
      <c r="G94" s="133">
        <v>0</v>
      </c>
      <c r="H94" s="133">
        <v>0</v>
      </c>
      <c r="I94" s="133">
        <v>24</v>
      </c>
      <c r="J94" s="133">
        <v>0</v>
      </c>
      <c r="K94">
        <v>42136</v>
      </c>
      <c r="L94" s="133">
        <v>0</v>
      </c>
      <c r="M94" s="133" t="b">
        <f ca="1">IF(TODAY()-Table_Query_from_A_Readiness_1[[#This Row],[PER_DATE]]&gt;=0,TRUE, FALSE)</f>
        <v>0</v>
      </c>
    </row>
    <row r="95" spans="1:13">
      <c r="A95">
        <v>42139</v>
      </c>
      <c r="B95" t="s">
        <v>324</v>
      </c>
      <c r="C95" t="s">
        <v>156</v>
      </c>
      <c r="D95" s="133">
        <v>12</v>
      </c>
      <c r="E95" s="133">
        <v>0</v>
      </c>
      <c r="F95" s="133">
        <v>24</v>
      </c>
      <c r="G95" s="133">
        <v>0</v>
      </c>
      <c r="H95" s="133">
        <v>0</v>
      </c>
      <c r="I95" s="133">
        <v>0</v>
      </c>
      <c r="J95" s="133">
        <v>0</v>
      </c>
      <c r="K95">
        <v>42136</v>
      </c>
      <c r="L95" s="133">
        <v>0</v>
      </c>
      <c r="M95" s="133" t="b">
        <f ca="1">IF(TODAY()-Table_Query_from_A_Readiness_1[[#This Row],[PER_DATE]]&gt;=0,TRUE, FALSE)</f>
        <v>0</v>
      </c>
    </row>
    <row r="96" spans="1:13">
      <c r="A96">
        <v>42139</v>
      </c>
      <c r="B96" t="s">
        <v>324</v>
      </c>
      <c r="C96" t="s">
        <v>169</v>
      </c>
      <c r="D96" s="133">
        <v>12</v>
      </c>
      <c r="E96" s="133">
        <v>0</v>
      </c>
      <c r="F96" s="133">
        <v>0</v>
      </c>
      <c r="G96" s="133">
        <v>0</v>
      </c>
      <c r="H96" s="133">
        <v>0</v>
      </c>
      <c r="I96" s="133">
        <v>24</v>
      </c>
      <c r="J96" s="133">
        <v>0</v>
      </c>
      <c r="K96">
        <v>42136</v>
      </c>
      <c r="L96" s="133">
        <v>0</v>
      </c>
      <c r="M96" s="133" t="b">
        <f ca="1">IF(TODAY()-Table_Query_from_A_Readiness_1[[#This Row],[PER_DATE]]&gt;=0,TRUE, FALSE)</f>
        <v>0</v>
      </c>
    </row>
    <row r="97" spans="1:13">
      <c r="A97">
        <v>42139</v>
      </c>
      <c r="B97" t="s">
        <v>324</v>
      </c>
      <c r="C97" t="s">
        <v>158</v>
      </c>
      <c r="D97" s="133">
        <v>12</v>
      </c>
      <c r="E97" s="133">
        <v>24</v>
      </c>
      <c r="F97" s="133">
        <v>0</v>
      </c>
      <c r="G97" s="133">
        <v>0</v>
      </c>
      <c r="H97" s="133">
        <v>0</v>
      </c>
      <c r="I97" s="133">
        <v>0</v>
      </c>
      <c r="J97" s="133">
        <v>0</v>
      </c>
      <c r="K97">
        <v>42136</v>
      </c>
      <c r="L97" s="133">
        <v>0</v>
      </c>
      <c r="M97" s="133" t="b">
        <f ca="1">IF(TODAY()-Table_Query_from_A_Readiness_1[[#This Row],[PER_DATE]]&gt;=0,TRUE, FALSE)</f>
        <v>0</v>
      </c>
    </row>
    <row r="98" spans="1:13">
      <c r="A98">
        <v>42139</v>
      </c>
      <c r="B98" t="s">
        <v>324</v>
      </c>
      <c r="C98" t="s">
        <v>148</v>
      </c>
      <c r="D98" s="133">
        <v>13</v>
      </c>
      <c r="E98" s="133">
        <v>0</v>
      </c>
      <c r="F98" s="133">
        <v>0</v>
      </c>
      <c r="G98" s="133">
        <v>0</v>
      </c>
      <c r="H98" s="133">
        <v>0</v>
      </c>
      <c r="I98" s="133">
        <v>0</v>
      </c>
      <c r="J98" s="133">
        <v>0</v>
      </c>
      <c r="K98">
        <v>42137</v>
      </c>
      <c r="L98" s="133">
        <v>24</v>
      </c>
      <c r="M98" s="133" t="b">
        <f ca="1">IF(TODAY()-Table_Query_from_A_Readiness_1[[#This Row],[PER_DATE]]&gt;=0,TRUE, FALSE)</f>
        <v>0</v>
      </c>
    </row>
    <row r="99" spans="1:13">
      <c r="A99">
        <v>42139</v>
      </c>
      <c r="B99" t="s">
        <v>324</v>
      </c>
      <c r="C99" t="s">
        <v>149</v>
      </c>
      <c r="D99" s="133">
        <v>13</v>
      </c>
      <c r="E99" s="133">
        <v>0</v>
      </c>
      <c r="F99" s="133">
        <v>24</v>
      </c>
      <c r="G99" s="133">
        <v>0</v>
      </c>
      <c r="H99" s="133">
        <v>0</v>
      </c>
      <c r="I99" s="133">
        <v>0</v>
      </c>
      <c r="J99" s="133">
        <v>0</v>
      </c>
      <c r="K99">
        <v>42137</v>
      </c>
      <c r="L99" s="133">
        <v>0</v>
      </c>
      <c r="M99" s="133" t="b">
        <f ca="1">IF(TODAY()-Table_Query_from_A_Readiness_1[[#This Row],[PER_DATE]]&gt;=0,TRUE, FALSE)</f>
        <v>0</v>
      </c>
    </row>
    <row r="100" spans="1:13">
      <c r="A100">
        <v>42139</v>
      </c>
      <c r="B100" t="s">
        <v>324</v>
      </c>
      <c r="C100" t="s">
        <v>151</v>
      </c>
      <c r="D100" s="133">
        <v>13</v>
      </c>
      <c r="E100" s="133">
        <v>0</v>
      </c>
      <c r="F100" s="133">
        <v>0</v>
      </c>
      <c r="G100" s="133">
        <v>0</v>
      </c>
      <c r="H100" s="133">
        <v>24</v>
      </c>
      <c r="I100" s="133">
        <v>0</v>
      </c>
      <c r="J100" s="133">
        <v>0</v>
      </c>
      <c r="K100">
        <v>42137</v>
      </c>
      <c r="L100" s="133">
        <v>0</v>
      </c>
      <c r="M100" s="133" t="b">
        <f ca="1">IF(TODAY()-Table_Query_from_A_Readiness_1[[#This Row],[PER_DATE]]&gt;=0,TRUE, FALSE)</f>
        <v>0</v>
      </c>
    </row>
    <row r="101" spans="1:13">
      <c r="A101">
        <v>42139</v>
      </c>
      <c r="B101" t="s">
        <v>324</v>
      </c>
      <c r="C101" t="s">
        <v>153</v>
      </c>
      <c r="D101" s="133">
        <v>13</v>
      </c>
      <c r="E101" s="133">
        <v>0</v>
      </c>
      <c r="F101" s="133">
        <v>0</v>
      </c>
      <c r="G101" s="133">
        <v>0</v>
      </c>
      <c r="H101" s="133">
        <v>24</v>
      </c>
      <c r="I101" s="133">
        <v>0</v>
      </c>
      <c r="J101" s="133">
        <v>0</v>
      </c>
      <c r="K101">
        <v>42137</v>
      </c>
      <c r="L101" s="133">
        <v>0</v>
      </c>
      <c r="M101" s="133" t="b">
        <f ca="1">IF(TODAY()-Table_Query_from_A_Readiness_1[[#This Row],[PER_DATE]]&gt;=0,TRUE, FALSE)</f>
        <v>0</v>
      </c>
    </row>
    <row r="102" spans="1:13">
      <c r="A102">
        <v>42139</v>
      </c>
      <c r="B102" t="s">
        <v>324</v>
      </c>
      <c r="C102" t="s">
        <v>155</v>
      </c>
      <c r="D102" s="133">
        <v>13</v>
      </c>
      <c r="E102" s="133">
        <v>0</v>
      </c>
      <c r="F102" s="133">
        <v>0</v>
      </c>
      <c r="G102" s="133">
        <v>0</v>
      </c>
      <c r="H102" s="133">
        <v>0</v>
      </c>
      <c r="I102" s="133">
        <v>24</v>
      </c>
      <c r="J102" s="133">
        <v>0</v>
      </c>
      <c r="K102">
        <v>42137</v>
      </c>
      <c r="L102" s="133">
        <v>0</v>
      </c>
      <c r="M102" s="133" t="b">
        <f ca="1">IF(TODAY()-Table_Query_from_A_Readiness_1[[#This Row],[PER_DATE]]&gt;=0,TRUE, FALSE)</f>
        <v>0</v>
      </c>
    </row>
    <row r="103" spans="1:13">
      <c r="A103">
        <v>42139</v>
      </c>
      <c r="B103" t="s">
        <v>324</v>
      </c>
      <c r="C103" t="s">
        <v>156</v>
      </c>
      <c r="D103" s="133">
        <v>13</v>
      </c>
      <c r="E103" s="133">
        <v>0</v>
      </c>
      <c r="F103" s="133">
        <v>24</v>
      </c>
      <c r="G103" s="133">
        <v>0</v>
      </c>
      <c r="H103" s="133">
        <v>0</v>
      </c>
      <c r="I103" s="133">
        <v>0</v>
      </c>
      <c r="J103" s="133">
        <v>0</v>
      </c>
      <c r="K103">
        <v>42137</v>
      </c>
      <c r="L103" s="133">
        <v>0</v>
      </c>
      <c r="M103" s="133" t="b">
        <f ca="1">IF(TODAY()-Table_Query_from_A_Readiness_1[[#This Row],[PER_DATE]]&gt;=0,TRUE, FALSE)</f>
        <v>0</v>
      </c>
    </row>
    <row r="104" spans="1:13">
      <c r="A104">
        <v>42139</v>
      </c>
      <c r="B104" t="s">
        <v>324</v>
      </c>
      <c r="C104" t="s">
        <v>169</v>
      </c>
      <c r="D104" s="133">
        <v>13</v>
      </c>
      <c r="E104" s="133">
        <v>0</v>
      </c>
      <c r="F104" s="133">
        <v>0</v>
      </c>
      <c r="G104" s="133">
        <v>0</v>
      </c>
      <c r="H104" s="133">
        <v>0</v>
      </c>
      <c r="I104" s="133">
        <v>24</v>
      </c>
      <c r="J104" s="133">
        <v>0</v>
      </c>
      <c r="K104">
        <v>42137</v>
      </c>
      <c r="L104" s="133">
        <v>0</v>
      </c>
      <c r="M104" s="133" t="b">
        <f ca="1">IF(TODAY()-Table_Query_from_A_Readiness_1[[#This Row],[PER_DATE]]&gt;=0,TRUE, FALSE)</f>
        <v>0</v>
      </c>
    </row>
    <row r="105" spans="1:13">
      <c r="A105">
        <v>42139</v>
      </c>
      <c r="B105" t="s">
        <v>324</v>
      </c>
      <c r="C105" t="s">
        <v>158</v>
      </c>
      <c r="D105" s="133">
        <v>13</v>
      </c>
      <c r="E105" s="133">
        <v>24</v>
      </c>
      <c r="F105" s="133">
        <v>0</v>
      </c>
      <c r="G105" s="133">
        <v>0</v>
      </c>
      <c r="H105" s="133">
        <v>0</v>
      </c>
      <c r="I105" s="133">
        <v>0</v>
      </c>
      <c r="J105" s="133">
        <v>0</v>
      </c>
      <c r="K105">
        <v>42137</v>
      </c>
      <c r="L105" s="133">
        <v>0</v>
      </c>
      <c r="M105" s="133" t="b">
        <f ca="1">IF(TODAY()-Table_Query_from_A_Readiness_1[[#This Row],[PER_DATE]]&gt;=0,TRUE, FALSE)</f>
        <v>0</v>
      </c>
    </row>
    <row r="106" spans="1:13">
      <c r="A106">
        <v>42139</v>
      </c>
      <c r="B106" t="s">
        <v>324</v>
      </c>
      <c r="C106" t="s">
        <v>148</v>
      </c>
      <c r="D106" s="133">
        <v>14</v>
      </c>
      <c r="E106" s="133">
        <v>0</v>
      </c>
      <c r="F106" s="133">
        <v>0</v>
      </c>
      <c r="G106" s="133">
        <v>0</v>
      </c>
      <c r="H106" s="133">
        <v>0</v>
      </c>
      <c r="I106" s="133">
        <v>0</v>
      </c>
      <c r="J106" s="133">
        <v>0</v>
      </c>
      <c r="K106">
        <v>42138</v>
      </c>
      <c r="L106" s="133">
        <v>24</v>
      </c>
      <c r="M106" s="133" t="b">
        <f ca="1">IF(TODAY()-Table_Query_from_A_Readiness_1[[#This Row],[PER_DATE]]&gt;=0,TRUE, FALSE)</f>
        <v>0</v>
      </c>
    </row>
    <row r="107" spans="1:13">
      <c r="A107">
        <v>42139</v>
      </c>
      <c r="B107" t="s">
        <v>324</v>
      </c>
      <c r="C107" t="s">
        <v>149</v>
      </c>
      <c r="D107" s="133">
        <v>14</v>
      </c>
      <c r="E107" s="133">
        <v>0</v>
      </c>
      <c r="F107" s="133">
        <v>24</v>
      </c>
      <c r="G107" s="133">
        <v>0</v>
      </c>
      <c r="H107" s="133">
        <v>0</v>
      </c>
      <c r="I107" s="133">
        <v>0</v>
      </c>
      <c r="J107" s="133">
        <v>0</v>
      </c>
      <c r="K107">
        <v>42138</v>
      </c>
      <c r="L107" s="133">
        <v>0</v>
      </c>
      <c r="M107" s="133" t="b">
        <f ca="1">IF(TODAY()-Table_Query_from_A_Readiness_1[[#This Row],[PER_DATE]]&gt;=0,TRUE, FALSE)</f>
        <v>0</v>
      </c>
    </row>
    <row r="108" spans="1:13">
      <c r="A108">
        <v>42139</v>
      </c>
      <c r="B108" t="s">
        <v>324</v>
      </c>
      <c r="C108" t="s">
        <v>151</v>
      </c>
      <c r="D108" s="133">
        <v>14</v>
      </c>
      <c r="E108" s="133">
        <v>0</v>
      </c>
      <c r="F108" s="133">
        <v>0</v>
      </c>
      <c r="G108" s="133">
        <v>0</v>
      </c>
      <c r="H108" s="133">
        <v>24</v>
      </c>
      <c r="I108" s="133">
        <v>0</v>
      </c>
      <c r="J108" s="133">
        <v>0</v>
      </c>
      <c r="K108">
        <v>42138</v>
      </c>
      <c r="L108" s="133">
        <v>0</v>
      </c>
      <c r="M108" s="133" t="b">
        <f ca="1">IF(TODAY()-Table_Query_from_A_Readiness_1[[#This Row],[PER_DATE]]&gt;=0,TRUE, FALSE)</f>
        <v>0</v>
      </c>
    </row>
    <row r="109" spans="1:13">
      <c r="A109">
        <v>42139</v>
      </c>
      <c r="B109" t="s">
        <v>324</v>
      </c>
      <c r="C109" t="s">
        <v>153</v>
      </c>
      <c r="D109" s="133">
        <v>14</v>
      </c>
      <c r="E109" s="133">
        <v>0</v>
      </c>
      <c r="F109" s="133">
        <v>0</v>
      </c>
      <c r="G109" s="133">
        <v>0</v>
      </c>
      <c r="H109" s="133">
        <v>24</v>
      </c>
      <c r="I109" s="133">
        <v>0</v>
      </c>
      <c r="J109" s="133">
        <v>0</v>
      </c>
      <c r="K109">
        <v>42138</v>
      </c>
      <c r="L109" s="133">
        <v>0</v>
      </c>
      <c r="M109" s="133" t="b">
        <f ca="1">IF(TODAY()-Table_Query_from_A_Readiness_1[[#This Row],[PER_DATE]]&gt;=0,TRUE, FALSE)</f>
        <v>0</v>
      </c>
    </row>
    <row r="110" spans="1:13">
      <c r="A110">
        <v>42139</v>
      </c>
      <c r="B110" t="s">
        <v>324</v>
      </c>
      <c r="C110" t="s">
        <v>155</v>
      </c>
      <c r="D110" s="133">
        <v>14</v>
      </c>
      <c r="E110" s="133">
        <v>0</v>
      </c>
      <c r="F110" s="133">
        <v>0</v>
      </c>
      <c r="G110" s="133">
        <v>0</v>
      </c>
      <c r="H110" s="133">
        <v>0</v>
      </c>
      <c r="I110" s="133">
        <v>24</v>
      </c>
      <c r="J110" s="133">
        <v>0</v>
      </c>
      <c r="K110">
        <v>42138</v>
      </c>
      <c r="L110" s="133">
        <v>0</v>
      </c>
      <c r="M110" s="133" t="b">
        <f ca="1">IF(TODAY()-Table_Query_from_A_Readiness_1[[#This Row],[PER_DATE]]&gt;=0,TRUE, FALSE)</f>
        <v>0</v>
      </c>
    </row>
    <row r="111" spans="1:13">
      <c r="A111">
        <v>42139</v>
      </c>
      <c r="B111" t="s">
        <v>324</v>
      </c>
      <c r="C111" t="s">
        <v>156</v>
      </c>
      <c r="D111" s="133">
        <v>14</v>
      </c>
      <c r="E111" s="133">
        <v>0</v>
      </c>
      <c r="F111" s="133">
        <v>24</v>
      </c>
      <c r="G111" s="133">
        <v>0</v>
      </c>
      <c r="H111" s="133">
        <v>0</v>
      </c>
      <c r="I111" s="133">
        <v>0</v>
      </c>
      <c r="J111" s="133">
        <v>0</v>
      </c>
      <c r="K111">
        <v>42138</v>
      </c>
      <c r="L111" s="133">
        <v>0</v>
      </c>
      <c r="M111" s="133" t="b">
        <f ca="1">IF(TODAY()-Table_Query_from_A_Readiness_1[[#This Row],[PER_DATE]]&gt;=0,TRUE, FALSE)</f>
        <v>0</v>
      </c>
    </row>
    <row r="112" spans="1:13">
      <c r="A112">
        <v>42139</v>
      </c>
      <c r="B112" t="s">
        <v>324</v>
      </c>
      <c r="C112" t="s">
        <v>169</v>
      </c>
      <c r="D112" s="133">
        <v>14</v>
      </c>
      <c r="E112" s="133">
        <v>0</v>
      </c>
      <c r="F112" s="133">
        <v>0</v>
      </c>
      <c r="G112" s="133">
        <v>0</v>
      </c>
      <c r="H112" s="133">
        <v>0</v>
      </c>
      <c r="I112" s="133">
        <v>24</v>
      </c>
      <c r="J112" s="133">
        <v>0</v>
      </c>
      <c r="K112">
        <v>42138</v>
      </c>
      <c r="L112" s="133">
        <v>0</v>
      </c>
      <c r="M112" s="133" t="b">
        <f ca="1">IF(TODAY()-Table_Query_from_A_Readiness_1[[#This Row],[PER_DATE]]&gt;=0,TRUE, FALSE)</f>
        <v>0</v>
      </c>
    </row>
    <row r="113" spans="1:13">
      <c r="A113">
        <v>42139</v>
      </c>
      <c r="B113" t="s">
        <v>324</v>
      </c>
      <c r="C113" t="s">
        <v>158</v>
      </c>
      <c r="D113" s="133">
        <v>14</v>
      </c>
      <c r="E113" s="133">
        <v>24</v>
      </c>
      <c r="F113" s="133">
        <v>0</v>
      </c>
      <c r="G113" s="133">
        <v>0</v>
      </c>
      <c r="H113" s="133">
        <v>0</v>
      </c>
      <c r="I113" s="133">
        <v>0</v>
      </c>
      <c r="J113" s="133">
        <v>0</v>
      </c>
      <c r="K113">
        <v>42138</v>
      </c>
      <c r="L113" s="133">
        <v>0</v>
      </c>
      <c r="M113" s="133" t="b">
        <f ca="1">IF(TODAY()-Table_Query_from_A_Readiness_1[[#This Row],[PER_DATE]]&gt;=0,TRUE, FALSE)</f>
        <v>0</v>
      </c>
    </row>
    <row r="114" spans="1:13">
      <c r="A114">
        <v>42139</v>
      </c>
      <c r="B114" t="s">
        <v>324</v>
      </c>
      <c r="C114" t="s">
        <v>148</v>
      </c>
      <c r="D114" s="133">
        <v>15</v>
      </c>
      <c r="E114" s="133">
        <v>0</v>
      </c>
      <c r="F114" s="133">
        <v>0</v>
      </c>
      <c r="G114" s="133">
        <v>0</v>
      </c>
      <c r="H114" s="133">
        <v>0</v>
      </c>
      <c r="I114" s="133">
        <v>0</v>
      </c>
      <c r="J114" s="133">
        <v>0</v>
      </c>
      <c r="K114">
        <v>42139</v>
      </c>
      <c r="L114" s="133">
        <v>24</v>
      </c>
      <c r="M114" s="133" t="b">
        <f ca="1">IF(TODAY()-Table_Query_from_A_Readiness_1[[#This Row],[PER_DATE]]&gt;=0,TRUE, FALSE)</f>
        <v>0</v>
      </c>
    </row>
    <row r="115" spans="1:13">
      <c r="A115">
        <v>42139</v>
      </c>
      <c r="B115" t="s">
        <v>324</v>
      </c>
      <c r="C115" t="s">
        <v>149</v>
      </c>
      <c r="D115" s="133">
        <v>15</v>
      </c>
      <c r="E115" s="133">
        <v>0</v>
      </c>
      <c r="F115" s="133">
        <v>24</v>
      </c>
      <c r="G115" s="133">
        <v>0</v>
      </c>
      <c r="H115" s="133">
        <v>0</v>
      </c>
      <c r="I115" s="133">
        <v>0</v>
      </c>
      <c r="J115" s="133">
        <v>0</v>
      </c>
      <c r="K115">
        <v>42139</v>
      </c>
      <c r="L115" s="133">
        <v>0</v>
      </c>
      <c r="M115" s="133" t="b">
        <f ca="1">IF(TODAY()-Table_Query_from_A_Readiness_1[[#This Row],[PER_DATE]]&gt;=0,TRUE, FALSE)</f>
        <v>0</v>
      </c>
    </row>
    <row r="116" spans="1:13">
      <c r="A116">
        <v>42139</v>
      </c>
      <c r="B116" t="s">
        <v>324</v>
      </c>
      <c r="C116" t="s">
        <v>151</v>
      </c>
      <c r="D116" s="133">
        <v>15</v>
      </c>
      <c r="E116" s="133">
        <v>0</v>
      </c>
      <c r="F116" s="133">
        <v>0</v>
      </c>
      <c r="G116" s="133">
        <v>0</v>
      </c>
      <c r="H116" s="133">
        <v>24</v>
      </c>
      <c r="I116" s="133">
        <v>0</v>
      </c>
      <c r="J116" s="133">
        <v>0</v>
      </c>
      <c r="K116">
        <v>42139</v>
      </c>
      <c r="L116" s="133">
        <v>0</v>
      </c>
      <c r="M116" s="133" t="b">
        <f ca="1">IF(TODAY()-Table_Query_from_A_Readiness_1[[#This Row],[PER_DATE]]&gt;=0,TRUE, FALSE)</f>
        <v>0</v>
      </c>
    </row>
    <row r="117" spans="1:13">
      <c r="A117">
        <v>42139</v>
      </c>
      <c r="B117" t="s">
        <v>324</v>
      </c>
      <c r="C117" t="s">
        <v>153</v>
      </c>
      <c r="D117" s="133">
        <v>15</v>
      </c>
      <c r="E117" s="133">
        <v>0</v>
      </c>
      <c r="F117" s="133">
        <v>0</v>
      </c>
      <c r="G117" s="133">
        <v>0</v>
      </c>
      <c r="H117" s="133">
        <v>24</v>
      </c>
      <c r="I117" s="133">
        <v>0</v>
      </c>
      <c r="J117" s="133">
        <v>0</v>
      </c>
      <c r="K117">
        <v>42139</v>
      </c>
      <c r="L117" s="133">
        <v>0</v>
      </c>
      <c r="M117" s="133" t="b">
        <f ca="1">IF(TODAY()-Table_Query_from_A_Readiness_1[[#This Row],[PER_DATE]]&gt;=0,TRUE, FALSE)</f>
        <v>0</v>
      </c>
    </row>
    <row r="118" spans="1:13">
      <c r="A118">
        <v>42139</v>
      </c>
      <c r="B118" t="s">
        <v>324</v>
      </c>
      <c r="C118" t="s">
        <v>155</v>
      </c>
      <c r="D118" s="133">
        <v>15</v>
      </c>
      <c r="E118" s="133">
        <v>0</v>
      </c>
      <c r="F118" s="133">
        <v>0</v>
      </c>
      <c r="G118" s="133">
        <v>0</v>
      </c>
      <c r="H118" s="133">
        <v>0</v>
      </c>
      <c r="I118" s="133">
        <v>24</v>
      </c>
      <c r="J118" s="133">
        <v>0</v>
      </c>
      <c r="K118">
        <v>42139</v>
      </c>
      <c r="L118" s="133">
        <v>0</v>
      </c>
      <c r="M118" s="133" t="b">
        <f ca="1">IF(TODAY()-Table_Query_from_A_Readiness_1[[#This Row],[PER_DATE]]&gt;=0,TRUE, FALSE)</f>
        <v>0</v>
      </c>
    </row>
    <row r="119" spans="1:13">
      <c r="A119">
        <v>42139</v>
      </c>
      <c r="B119" t="s">
        <v>324</v>
      </c>
      <c r="C119" t="s">
        <v>156</v>
      </c>
      <c r="D119" s="133">
        <v>15</v>
      </c>
      <c r="E119" s="133">
        <v>0</v>
      </c>
      <c r="F119" s="133">
        <v>24</v>
      </c>
      <c r="G119" s="133">
        <v>0</v>
      </c>
      <c r="H119" s="133">
        <v>0</v>
      </c>
      <c r="I119" s="133">
        <v>0</v>
      </c>
      <c r="J119" s="133">
        <v>0</v>
      </c>
      <c r="K119">
        <v>42139</v>
      </c>
      <c r="L119" s="133">
        <v>0</v>
      </c>
      <c r="M119" s="133" t="b">
        <f ca="1">IF(TODAY()-Table_Query_from_A_Readiness_1[[#This Row],[PER_DATE]]&gt;=0,TRUE, FALSE)</f>
        <v>0</v>
      </c>
    </row>
    <row r="120" spans="1:13">
      <c r="A120">
        <v>42139</v>
      </c>
      <c r="B120" t="s">
        <v>324</v>
      </c>
      <c r="C120" t="s">
        <v>169</v>
      </c>
      <c r="D120" s="133">
        <v>15</v>
      </c>
      <c r="E120" s="133">
        <v>0</v>
      </c>
      <c r="F120" s="133">
        <v>0</v>
      </c>
      <c r="G120" s="133">
        <v>0</v>
      </c>
      <c r="H120" s="133">
        <v>0</v>
      </c>
      <c r="I120" s="133">
        <v>24</v>
      </c>
      <c r="J120" s="133">
        <v>0</v>
      </c>
      <c r="K120">
        <v>42139</v>
      </c>
      <c r="L120" s="133">
        <v>0</v>
      </c>
      <c r="M120" s="133" t="b">
        <f ca="1">IF(TODAY()-Table_Query_from_A_Readiness_1[[#This Row],[PER_DATE]]&gt;=0,TRUE, FALSE)</f>
        <v>0</v>
      </c>
    </row>
    <row r="121" spans="1:13">
      <c r="A121">
        <v>42139</v>
      </c>
      <c r="B121" t="s">
        <v>324</v>
      </c>
      <c r="C121" t="s">
        <v>158</v>
      </c>
      <c r="D121" s="133">
        <v>15</v>
      </c>
      <c r="E121" s="133">
        <v>24</v>
      </c>
      <c r="F121" s="133">
        <v>0</v>
      </c>
      <c r="G121" s="133">
        <v>0</v>
      </c>
      <c r="H121" s="133">
        <v>0</v>
      </c>
      <c r="I121" s="133">
        <v>0</v>
      </c>
      <c r="J121" s="133">
        <v>0</v>
      </c>
      <c r="K121">
        <v>42139</v>
      </c>
      <c r="L121" s="133">
        <v>0</v>
      </c>
      <c r="M121" s="133" t="b">
        <f ca="1">IF(TODAY()-Table_Query_from_A_Readiness_1[[#This Row],[PER_DATE]]&gt;=0,TRUE, FALSE)</f>
        <v>0</v>
      </c>
    </row>
    <row r="122" spans="1:13">
      <c r="A122">
        <v>42139</v>
      </c>
      <c r="B122" t="s">
        <v>324</v>
      </c>
      <c r="C122" t="s">
        <v>148</v>
      </c>
      <c r="D122" s="133">
        <v>16</v>
      </c>
      <c r="E122" s="133">
        <v>0</v>
      </c>
      <c r="F122" s="133">
        <v>21</v>
      </c>
      <c r="G122" s="133">
        <v>0</v>
      </c>
      <c r="H122" s="133">
        <v>3</v>
      </c>
      <c r="I122" s="133">
        <v>0</v>
      </c>
      <c r="J122" s="133">
        <v>3</v>
      </c>
      <c r="K122">
        <v>42110</v>
      </c>
      <c r="L122" s="133">
        <v>0</v>
      </c>
      <c r="M122" s="133" t="b">
        <f ca="1">IF(TODAY()-Table_Query_from_A_Readiness_1[[#This Row],[PER_DATE]]&gt;=0,TRUE, FALSE)</f>
        <v>1</v>
      </c>
    </row>
    <row r="123" spans="1:13">
      <c r="A123">
        <v>42139</v>
      </c>
      <c r="B123" t="s">
        <v>324</v>
      </c>
      <c r="C123" t="s">
        <v>149</v>
      </c>
      <c r="D123" s="133">
        <v>16</v>
      </c>
      <c r="E123" s="133">
        <v>0</v>
      </c>
      <c r="F123" s="133">
        <v>0</v>
      </c>
      <c r="G123" s="133">
        <v>0</v>
      </c>
      <c r="H123" s="133">
        <v>0</v>
      </c>
      <c r="I123" s="133">
        <v>24</v>
      </c>
      <c r="J123" s="133">
        <v>0</v>
      </c>
      <c r="K123">
        <v>42110</v>
      </c>
      <c r="L123" s="133">
        <v>0</v>
      </c>
      <c r="M123" s="133" t="b">
        <f ca="1">IF(TODAY()-Table_Query_from_A_Readiness_1[[#This Row],[PER_DATE]]&gt;=0,TRUE, FALSE)</f>
        <v>1</v>
      </c>
    </row>
    <row r="124" spans="1:13">
      <c r="A124">
        <v>42139</v>
      </c>
      <c r="B124" t="s">
        <v>324</v>
      </c>
      <c r="C124" t="s">
        <v>151</v>
      </c>
      <c r="D124" s="133">
        <v>16</v>
      </c>
      <c r="E124" s="133">
        <v>0</v>
      </c>
      <c r="F124" s="133">
        <v>0</v>
      </c>
      <c r="G124" s="133">
        <v>0</v>
      </c>
      <c r="H124" s="133">
        <v>24</v>
      </c>
      <c r="I124" s="133">
        <v>0</v>
      </c>
      <c r="J124" s="133">
        <v>0</v>
      </c>
      <c r="K124">
        <v>42110</v>
      </c>
      <c r="L124" s="133">
        <v>0</v>
      </c>
      <c r="M124" s="133" t="b">
        <f ca="1">IF(TODAY()-Table_Query_from_A_Readiness_1[[#This Row],[PER_DATE]]&gt;=0,TRUE, FALSE)</f>
        <v>1</v>
      </c>
    </row>
    <row r="125" spans="1:13">
      <c r="A125">
        <v>42139</v>
      </c>
      <c r="B125" t="s">
        <v>324</v>
      </c>
      <c r="C125" t="s">
        <v>153</v>
      </c>
      <c r="D125" s="133">
        <v>16</v>
      </c>
      <c r="E125" s="133">
        <v>0</v>
      </c>
      <c r="F125" s="133">
        <v>0</v>
      </c>
      <c r="G125" s="133">
        <v>0</v>
      </c>
      <c r="H125" s="133">
        <v>24</v>
      </c>
      <c r="I125" s="133">
        <v>0</v>
      </c>
      <c r="J125" s="133">
        <v>0</v>
      </c>
      <c r="K125">
        <v>42110</v>
      </c>
      <c r="L125" s="133">
        <v>0</v>
      </c>
      <c r="M125" s="133" t="b">
        <f ca="1">IF(TODAY()-Table_Query_from_A_Readiness_1[[#This Row],[PER_DATE]]&gt;=0,TRUE, FALSE)</f>
        <v>1</v>
      </c>
    </row>
    <row r="126" spans="1:13">
      <c r="A126">
        <v>42139</v>
      </c>
      <c r="B126" t="s">
        <v>324</v>
      </c>
      <c r="C126" t="s">
        <v>155</v>
      </c>
      <c r="D126" s="133">
        <v>16</v>
      </c>
      <c r="E126" s="133">
        <v>0</v>
      </c>
      <c r="F126" s="133">
        <v>0</v>
      </c>
      <c r="G126" s="133">
        <v>0</v>
      </c>
      <c r="H126" s="133">
        <v>0</v>
      </c>
      <c r="I126" s="133">
        <v>24</v>
      </c>
      <c r="J126" s="133">
        <v>0</v>
      </c>
      <c r="K126">
        <v>42110</v>
      </c>
      <c r="L126" s="133">
        <v>0</v>
      </c>
      <c r="M126" s="133" t="b">
        <f ca="1">IF(TODAY()-Table_Query_from_A_Readiness_1[[#This Row],[PER_DATE]]&gt;=0,TRUE, FALSE)</f>
        <v>1</v>
      </c>
    </row>
    <row r="127" spans="1:13">
      <c r="A127">
        <v>42139</v>
      </c>
      <c r="B127" t="s">
        <v>324</v>
      </c>
      <c r="C127" t="s">
        <v>156</v>
      </c>
      <c r="D127" s="133">
        <v>16</v>
      </c>
      <c r="E127" s="133">
        <v>0</v>
      </c>
      <c r="F127" s="133">
        <v>24</v>
      </c>
      <c r="G127" s="133">
        <v>0</v>
      </c>
      <c r="H127" s="133">
        <v>0</v>
      </c>
      <c r="I127" s="133">
        <v>0</v>
      </c>
      <c r="J127" s="133">
        <v>0</v>
      </c>
      <c r="K127">
        <v>42110</v>
      </c>
      <c r="L127" s="133">
        <v>0</v>
      </c>
      <c r="M127" s="133" t="b">
        <f ca="1">IF(TODAY()-Table_Query_from_A_Readiness_1[[#This Row],[PER_DATE]]&gt;=0,TRUE, FALSE)</f>
        <v>1</v>
      </c>
    </row>
    <row r="128" spans="1:13">
      <c r="A128">
        <v>42139</v>
      </c>
      <c r="B128" t="s">
        <v>324</v>
      </c>
      <c r="C128" t="s">
        <v>169</v>
      </c>
      <c r="D128" s="133">
        <v>16</v>
      </c>
      <c r="E128" s="133">
        <v>0</v>
      </c>
      <c r="F128" s="133">
        <v>0</v>
      </c>
      <c r="G128" s="133">
        <v>0</v>
      </c>
      <c r="H128" s="133">
        <v>0</v>
      </c>
      <c r="I128" s="133">
        <v>24</v>
      </c>
      <c r="J128" s="133">
        <v>0</v>
      </c>
      <c r="K128">
        <v>42110</v>
      </c>
      <c r="L128" s="133">
        <v>0</v>
      </c>
      <c r="M128" s="133" t="b">
        <f ca="1">IF(TODAY()-Table_Query_from_A_Readiness_1[[#This Row],[PER_DATE]]&gt;=0,TRUE, FALSE)</f>
        <v>1</v>
      </c>
    </row>
    <row r="129" spans="1:13">
      <c r="A129">
        <v>42139</v>
      </c>
      <c r="B129" t="s">
        <v>324</v>
      </c>
      <c r="C129" t="s">
        <v>158</v>
      </c>
      <c r="D129" s="133">
        <v>16</v>
      </c>
      <c r="E129" s="133">
        <v>0</v>
      </c>
      <c r="F129" s="133">
        <v>24</v>
      </c>
      <c r="G129" s="133">
        <v>0</v>
      </c>
      <c r="H129" s="133">
        <v>0</v>
      </c>
      <c r="I129" s="133">
        <v>0</v>
      </c>
      <c r="J129" s="133">
        <v>0</v>
      </c>
      <c r="K129">
        <v>42110</v>
      </c>
      <c r="L129" s="133">
        <v>0</v>
      </c>
      <c r="M129" s="133" t="b">
        <f ca="1">IF(TODAY()-Table_Query_from_A_Readiness_1[[#This Row],[PER_DATE]]&gt;=0,TRUE, FALSE)</f>
        <v>1</v>
      </c>
    </row>
    <row r="130" spans="1:13">
      <c r="A130">
        <v>42139</v>
      </c>
      <c r="B130" t="s">
        <v>324</v>
      </c>
      <c r="C130" t="s">
        <v>148</v>
      </c>
      <c r="D130" s="133">
        <v>17</v>
      </c>
      <c r="E130" s="133">
        <v>0</v>
      </c>
      <c r="F130" s="133">
        <v>24</v>
      </c>
      <c r="G130" s="133">
        <v>0</v>
      </c>
      <c r="H130" s="133">
        <v>0</v>
      </c>
      <c r="I130" s="133">
        <v>0</v>
      </c>
      <c r="J130" s="133">
        <v>0</v>
      </c>
      <c r="K130">
        <v>42111</v>
      </c>
      <c r="L130" s="133">
        <v>0</v>
      </c>
      <c r="M130" s="133" t="b">
        <f ca="1">IF(TODAY()-Table_Query_from_A_Readiness_1[[#This Row],[PER_DATE]]&gt;=0,TRUE, FALSE)</f>
        <v>1</v>
      </c>
    </row>
    <row r="131" spans="1:13">
      <c r="A131">
        <v>42139</v>
      </c>
      <c r="B131" t="s">
        <v>324</v>
      </c>
      <c r="C131" t="s">
        <v>149</v>
      </c>
      <c r="D131" s="133">
        <v>17</v>
      </c>
      <c r="E131" s="133">
        <v>0</v>
      </c>
      <c r="F131" s="133">
        <v>12.7</v>
      </c>
      <c r="G131" s="133">
        <v>0</v>
      </c>
      <c r="H131" s="133">
        <v>0</v>
      </c>
      <c r="I131" s="133">
        <v>11.3</v>
      </c>
      <c r="J131" s="133">
        <v>0</v>
      </c>
      <c r="K131">
        <v>42111</v>
      </c>
      <c r="L131" s="133">
        <v>0</v>
      </c>
      <c r="M131" s="133" t="b">
        <f ca="1">IF(TODAY()-Table_Query_from_A_Readiness_1[[#This Row],[PER_DATE]]&gt;=0,TRUE, FALSE)</f>
        <v>1</v>
      </c>
    </row>
    <row r="132" spans="1:13">
      <c r="A132">
        <v>42139</v>
      </c>
      <c r="B132" t="s">
        <v>324</v>
      </c>
      <c r="C132" t="s">
        <v>151</v>
      </c>
      <c r="D132" s="133">
        <v>17</v>
      </c>
      <c r="E132" s="133">
        <v>0</v>
      </c>
      <c r="F132" s="133">
        <v>0</v>
      </c>
      <c r="G132" s="133">
        <v>0</v>
      </c>
      <c r="H132" s="133">
        <v>24</v>
      </c>
      <c r="I132" s="133">
        <v>0</v>
      </c>
      <c r="J132" s="133">
        <v>0</v>
      </c>
      <c r="K132">
        <v>42111</v>
      </c>
      <c r="L132" s="133">
        <v>0</v>
      </c>
      <c r="M132" s="133" t="b">
        <f ca="1">IF(TODAY()-Table_Query_from_A_Readiness_1[[#This Row],[PER_DATE]]&gt;=0,TRUE, FALSE)</f>
        <v>1</v>
      </c>
    </row>
    <row r="133" spans="1:13">
      <c r="A133">
        <v>42139</v>
      </c>
      <c r="B133" t="s">
        <v>324</v>
      </c>
      <c r="C133" t="s">
        <v>153</v>
      </c>
      <c r="D133" s="133">
        <v>17</v>
      </c>
      <c r="E133" s="133">
        <v>0</v>
      </c>
      <c r="F133" s="133">
        <v>0</v>
      </c>
      <c r="G133" s="133">
        <v>0</v>
      </c>
      <c r="H133" s="133">
        <v>24</v>
      </c>
      <c r="I133" s="133">
        <v>0</v>
      </c>
      <c r="J133" s="133">
        <v>0</v>
      </c>
      <c r="K133">
        <v>42111</v>
      </c>
      <c r="L133" s="133">
        <v>0</v>
      </c>
      <c r="M133" s="133" t="b">
        <f ca="1">IF(TODAY()-Table_Query_from_A_Readiness_1[[#This Row],[PER_DATE]]&gt;=0,TRUE, FALSE)</f>
        <v>1</v>
      </c>
    </row>
    <row r="134" spans="1:13">
      <c r="A134">
        <v>42139</v>
      </c>
      <c r="B134" t="s">
        <v>324</v>
      </c>
      <c r="C134" t="s">
        <v>155</v>
      </c>
      <c r="D134" s="133">
        <v>17</v>
      </c>
      <c r="E134" s="133">
        <v>0</v>
      </c>
      <c r="F134" s="133">
        <v>0</v>
      </c>
      <c r="G134" s="133">
        <v>0</v>
      </c>
      <c r="H134" s="133">
        <v>0</v>
      </c>
      <c r="I134" s="133">
        <v>24</v>
      </c>
      <c r="J134" s="133">
        <v>0</v>
      </c>
      <c r="K134">
        <v>42111</v>
      </c>
      <c r="L134" s="133">
        <v>0</v>
      </c>
      <c r="M134" s="133" t="b">
        <f ca="1">IF(TODAY()-Table_Query_from_A_Readiness_1[[#This Row],[PER_DATE]]&gt;=0,TRUE, FALSE)</f>
        <v>1</v>
      </c>
    </row>
    <row r="135" spans="1:13">
      <c r="A135">
        <v>42139</v>
      </c>
      <c r="B135" t="s">
        <v>324</v>
      </c>
      <c r="C135" t="s">
        <v>156</v>
      </c>
      <c r="D135" s="133">
        <v>17</v>
      </c>
      <c r="E135" s="133">
        <v>0</v>
      </c>
      <c r="F135" s="133">
        <v>24</v>
      </c>
      <c r="G135" s="133">
        <v>0</v>
      </c>
      <c r="H135" s="133">
        <v>0</v>
      </c>
      <c r="I135" s="133">
        <v>0</v>
      </c>
      <c r="J135" s="133">
        <v>3.8</v>
      </c>
      <c r="K135">
        <v>42111</v>
      </c>
      <c r="L135" s="133">
        <v>0</v>
      </c>
      <c r="M135" s="133" t="b">
        <f ca="1">IF(TODAY()-Table_Query_from_A_Readiness_1[[#This Row],[PER_DATE]]&gt;=0,TRUE, FALSE)</f>
        <v>1</v>
      </c>
    </row>
    <row r="136" spans="1:13">
      <c r="A136">
        <v>42139</v>
      </c>
      <c r="B136" t="s">
        <v>324</v>
      </c>
      <c r="C136" t="s">
        <v>169</v>
      </c>
      <c r="D136" s="133">
        <v>17</v>
      </c>
      <c r="E136" s="133">
        <v>0</v>
      </c>
      <c r="F136" s="133">
        <v>0</v>
      </c>
      <c r="G136" s="133">
        <v>0</v>
      </c>
      <c r="H136" s="133">
        <v>0</v>
      </c>
      <c r="I136" s="133">
        <v>24</v>
      </c>
      <c r="J136" s="133">
        <v>0</v>
      </c>
      <c r="K136">
        <v>42111</v>
      </c>
      <c r="L136" s="133">
        <v>0</v>
      </c>
      <c r="M136" s="133" t="b">
        <f ca="1">IF(TODAY()-Table_Query_from_A_Readiness_1[[#This Row],[PER_DATE]]&gt;=0,TRUE, FALSE)</f>
        <v>1</v>
      </c>
    </row>
    <row r="137" spans="1:13">
      <c r="A137">
        <v>42139</v>
      </c>
      <c r="B137" t="s">
        <v>324</v>
      </c>
      <c r="C137" t="s">
        <v>158</v>
      </c>
      <c r="D137" s="133">
        <v>17</v>
      </c>
      <c r="E137" s="133">
        <v>0</v>
      </c>
      <c r="F137" s="133">
        <v>24</v>
      </c>
      <c r="G137" s="133">
        <v>0</v>
      </c>
      <c r="H137" s="133">
        <v>0</v>
      </c>
      <c r="I137" s="133">
        <v>0</v>
      </c>
      <c r="J137" s="133">
        <v>0</v>
      </c>
      <c r="K137">
        <v>42111</v>
      </c>
      <c r="L137" s="133">
        <v>0</v>
      </c>
      <c r="M137" s="133" t="b">
        <f ca="1">IF(TODAY()-Table_Query_from_A_Readiness_1[[#This Row],[PER_DATE]]&gt;=0,TRUE, FALSE)</f>
        <v>1</v>
      </c>
    </row>
    <row r="138" spans="1:13">
      <c r="A138">
        <v>42139</v>
      </c>
      <c r="B138" t="s">
        <v>324</v>
      </c>
      <c r="C138" t="s">
        <v>148</v>
      </c>
      <c r="D138" s="133">
        <v>18</v>
      </c>
      <c r="E138" s="133">
        <v>0</v>
      </c>
      <c r="F138" s="133">
        <v>24</v>
      </c>
      <c r="G138" s="133">
        <v>0</v>
      </c>
      <c r="H138" s="133">
        <v>0</v>
      </c>
      <c r="I138" s="133">
        <v>0</v>
      </c>
      <c r="J138" s="133">
        <v>0</v>
      </c>
      <c r="K138">
        <v>42112</v>
      </c>
      <c r="L138" s="133">
        <v>0</v>
      </c>
      <c r="M138" s="133" t="b">
        <f ca="1">IF(TODAY()-Table_Query_from_A_Readiness_1[[#This Row],[PER_DATE]]&gt;=0,TRUE, FALSE)</f>
        <v>1</v>
      </c>
    </row>
    <row r="139" spans="1:13">
      <c r="A139">
        <v>42139</v>
      </c>
      <c r="B139" t="s">
        <v>324</v>
      </c>
      <c r="C139" t="s">
        <v>149</v>
      </c>
      <c r="D139" s="133">
        <v>18</v>
      </c>
      <c r="E139" s="133">
        <v>0</v>
      </c>
      <c r="F139" s="133">
        <v>24</v>
      </c>
      <c r="G139" s="133">
        <v>0</v>
      </c>
      <c r="H139" s="133">
        <v>0</v>
      </c>
      <c r="I139" s="133">
        <v>0</v>
      </c>
      <c r="J139" s="133">
        <v>0</v>
      </c>
      <c r="K139">
        <v>42112</v>
      </c>
      <c r="L139" s="133">
        <v>0</v>
      </c>
      <c r="M139" s="133" t="b">
        <f ca="1">IF(TODAY()-Table_Query_from_A_Readiness_1[[#This Row],[PER_DATE]]&gt;=0,TRUE, FALSE)</f>
        <v>1</v>
      </c>
    </row>
    <row r="140" spans="1:13">
      <c r="A140">
        <v>42139</v>
      </c>
      <c r="B140" t="s">
        <v>324</v>
      </c>
      <c r="C140" t="s">
        <v>151</v>
      </c>
      <c r="D140" s="133">
        <v>18</v>
      </c>
      <c r="E140" s="133">
        <v>0</v>
      </c>
      <c r="F140" s="133">
        <v>0</v>
      </c>
      <c r="G140" s="133">
        <v>0</v>
      </c>
      <c r="H140" s="133">
        <v>24</v>
      </c>
      <c r="I140" s="133">
        <v>0</v>
      </c>
      <c r="J140" s="133">
        <v>0</v>
      </c>
      <c r="K140">
        <v>42112</v>
      </c>
      <c r="L140" s="133">
        <v>0</v>
      </c>
      <c r="M140" s="133" t="b">
        <f ca="1">IF(TODAY()-Table_Query_from_A_Readiness_1[[#This Row],[PER_DATE]]&gt;=0,TRUE, FALSE)</f>
        <v>1</v>
      </c>
    </row>
    <row r="141" spans="1:13">
      <c r="A141">
        <v>42139</v>
      </c>
      <c r="B141" t="s">
        <v>324</v>
      </c>
      <c r="C141" t="s">
        <v>153</v>
      </c>
      <c r="D141" s="133">
        <v>18</v>
      </c>
      <c r="E141" s="133">
        <v>0</v>
      </c>
      <c r="F141" s="133">
        <v>0</v>
      </c>
      <c r="G141" s="133">
        <v>0</v>
      </c>
      <c r="H141" s="133">
        <v>24</v>
      </c>
      <c r="I141" s="133">
        <v>0</v>
      </c>
      <c r="J141" s="133">
        <v>0</v>
      </c>
      <c r="K141">
        <v>42112</v>
      </c>
      <c r="L141" s="133">
        <v>0</v>
      </c>
      <c r="M141" s="133" t="b">
        <f ca="1">IF(TODAY()-Table_Query_from_A_Readiness_1[[#This Row],[PER_DATE]]&gt;=0,TRUE, FALSE)</f>
        <v>1</v>
      </c>
    </row>
    <row r="142" spans="1:13">
      <c r="A142">
        <v>42139</v>
      </c>
      <c r="B142" t="s">
        <v>324</v>
      </c>
      <c r="C142" t="s">
        <v>155</v>
      </c>
      <c r="D142" s="133">
        <v>18</v>
      </c>
      <c r="E142" s="133">
        <v>0</v>
      </c>
      <c r="F142" s="133">
        <v>0</v>
      </c>
      <c r="G142" s="133">
        <v>0</v>
      </c>
      <c r="H142" s="133">
        <v>0</v>
      </c>
      <c r="I142" s="133">
        <v>24</v>
      </c>
      <c r="J142" s="133">
        <v>0</v>
      </c>
      <c r="K142">
        <v>42112</v>
      </c>
      <c r="L142" s="133">
        <v>0</v>
      </c>
      <c r="M142" s="133" t="b">
        <f ca="1">IF(TODAY()-Table_Query_from_A_Readiness_1[[#This Row],[PER_DATE]]&gt;=0,TRUE, FALSE)</f>
        <v>1</v>
      </c>
    </row>
    <row r="143" spans="1:13">
      <c r="A143">
        <v>42139</v>
      </c>
      <c r="B143" t="s">
        <v>324</v>
      </c>
      <c r="C143" t="s">
        <v>156</v>
      </c>
      <c r="D143" s="133">
        <v>18</v>
      </c>
      <c r="E143" s="133">
        <v>0</v>
      </c>
      <c r="F143" s="133">
        <v>24</v>
      </c>
      <c r="G143" s="133">
        <v>0</v>
      </c>
      <c r="H143" s="133">
        <v>0</v>
      </c>
      <c r="I143" s="133">
        <v>0</v>
      </c>
      <c r="J143" s="133">
        <v>0</v>
      </c>
      <c r="K143">
        <v>42112</v>
      </c>
      <c r="L143" s="133">
        <v>0</v>
      </c>
      <c r="M143" s="133" t="b">
        <f ca="1">IF(TODAY()-Table_Query_from_A_Readiness_1[[#This Row],[PER_DATE]]&gt;=0,TRUE, FALSE)</f>
        <v>1</v>
      </c>
    </row>
    <row r="144" spans="1:13">
      <c r="A144">
        <v>42139</v>
      </c>
      <c r="B144" t="s">
        <v>324</v>
      </c>
      <c r="C144" t="s">
        <v>169</v>
      </c>
      <c r="D144" s="133">
        <v>18</v>
      </c>
      <c r="E144" s="133">
        <v>0</v>
      </c>
      <c r="F144" s="133">
        <v>0</v>
      </c>
      <c r="G144" s="133">
        <v>0</v>
      </c>
      <c r="H144" s="133">
        <v>0</v>
      </c>
      <c r="I144" s="133">
        <v>24</v>
      </c>
      <c r="J144" s="133">
        <v>0</v>
      </c>
      <c r="K144">
        <v>42112</v>
      </c>
      <c r="L144" s="133">
        <v>0</v>
      </c>
      <c r="M144" s="133" t="b">
        <f ca="1">IF(TODAY()-Table_Query_from_A_Readiness_1[[#This Row],[PER_DATE]]&gt;=0,TRUE, FALSE)</f>
        <v>1</v>
      </c>
    </row>
    <row r="145" spans="1:13">
      <c r="A145">
        <v>42139</v>
      </c>
      <c r="B145" t="s">
        <v>324</v>
      </c>
      <c r="C145" t="s">
        <v>158</v>
      </c>
      <c r="D145" s="133">
        <v>18</v>
      </c>
      <c r="E145" s="133">
        <v>0</v>
      </c>
      <c r="F145" s="133">
        <v>24</v>
      </c>
      <c r="G145" s="133">
        <v>0</v>
      </c>
      <c r="H145" s="133">
        <v>0</v>
      </c>
      <c r="I145" s="133">
        <v>0</v>
      </c>
      <c r="J145" s="133">
        <v>0</v>
      </c>
      <c r="K145">
        <v>42112</v>
      </c>
      <c r="L145" s="133">
        <v>0</v>
      </c>
      <c r="M145" s="133" t="b">
        <f ca="1">IF(TODAY()-Table_Query_from_A_Readiness_1[[#This Row],[PER_DATE]]&gt;=0,TRUE, FALSE)</f>
        <v>1</v>
      </c>
    </row>
    <row r="146" spans="1:13">
      <c r="A146">
        <v>42139</v>
      </c>
      <c r="B146" t="s">
        <v>324</v>
      </c>
      <c r="C146" t="s">
        <v>148</v>
      </c>
      <c r="D146" s="133">
        <v>19</v>
      </c>
      <c r="E146" s="133">
        <v>0</v>
      </c>
      <c r="F146" s="133">
        <v>24</v>
      </c>
      <c r="G146" s="133">
        <v>0</v>
      </c>
      <c r="H146" s="133">
        <v>0</v>
      </c>
      <c r="I146" s="133">
        <v>0</v>
      </c>
      <c r="J146" s="133">
        <v>0</v>
      </c>
      <c r="K146">
        <v>42113</v>
      </c>
      <c r="L146" s="133">
        <v>0</v>
      </c>
      <c r="M146" s="133" t="b">
        <f ca="1">IF(TODAY()-Table_Query_from_A_Readiness_1[[#This Row],[PER_DATE]]&gt;=0,TRUE, FALSE)</f>
        <v>1</v>
      </c>
    </row>
    <row r="147" spans="1:13">
      <c r="A147">
        <v>42139</v>
      </c>
      <c r="B147" t="s">
        <v>324</v>
      </c>
      <c r="C147" t="s">
        <v>149</v>
      </c>
      <c r="D147" s="133">
        <v>19</v>
      </c>
      <c r="E147" s="133">
        <v>0</v>
      </c>
      <c r="F147" s="133">
        <v>24</v>
      </c>
      <c r="G147" s="133">
        <v>0</v>
      </c>
      <c r="H147" s="133">
        <v>0</v>
      </c>
      <c r="I147" s="133">
        <v>0</v>
      </c>
      <c r="J147" s="133">
        <v>0</v>
      </c>
      <c r="K147">
        <v>42113</v>
      </c>
      <c r="L147" s="133">
        <v>0</v>
      </c>
      <c r="M147" s="133" t="b">
        <f ca="1">IF(TODAY()-Table_Query_from_A_Readiness_1[[#This Row],[PER_DATE]]&gt;=0,TRUE, FALSE)</f>
        <v>1</v>
      </c>
    </row>
    <row r="148" spans="1:13">
      <c r="A148">
        <v>42139</v>
      </c>
      <c r="B148" t="s">
        <v>324</v>
      </c>
      <c r="C148" t="s">
        <v>151</v>
      </c>
      <c r="D148" s="133">
        <v>19</v>
      </c>
      <c r="E148" s="133">
        <v>0</v>
      </c>
      <c r="F148" s="133">
        <v>0</v>
      </c>
      <c r="G148" s="133">
        <v>0</v>
      </c>
      <c r="H148" s="133">
        <v>24</v>
      </c>
      <c r="I148" s="133">
        <v>0</v>
      </c>
      <c r="J148" s="133">
        <v>0</v>
      </c>
      <c r="K148">
        <v>42113</v>
      </c>
      <c r="L148" s="133">
        <v>0</v>
      </c>
      <c r="M148" s="133" t="b">
        <f ca="1">IF(TODAY()-Table_Query_from_A_Readiness_1[[#This Row],[PER_DATE]]&gt;=0,TRUE, FALSE)</f>
        <v>1</v>
      </c>
    </row>
    <row r="149" spans="1:13">
      <c r="A149">
        <v>42139</v>
      </c>
      <c r="B149" t="s">
        <v>324</v>
      </c>
      <c r="C149" t="s">
        <v>153</v>
      </c>
      <c r="D149" s="133">
        <v>19</v>
      </c>
      <c r="E149" s="133">
        <v>0</v>
      </c>
      <c r="F149" s="133">
        <v>0</v>
      </c>
      <c r="G149" s="133">
        <v>0</v>
      </c>
      <c r="H149" s="133">
        <v>24</v>
      </c>
      <c r="I149" s="133">
        <v>0</v>
      </c>
      <c r="J149" s="133">
        <v>0</v>
      </c>
      <c r="K149">
        <v>42113</v>
      </c>
      <c r="L149" s="133">
        <v>0</v>
      </c>
      <c r="M149" s="133" t="b">
        <f ca="1">IF(TODAY()-Table_Query_from_A_Readiness_1[[#This Row],[PER_DATE]]&gt;=0,TRUE, FALSE)</f>
        <v>1</v>
      </c>
    </row>
    <row r="150" spans="1:13">
      <c r="A150">
        <v>42139</v>
      </c>
      <c r="B150" t="s">
        <v>324</v>
      </c>
      <c r="C150" t="s">
        <v>155</v>
      </c>
      <c r="D150" s="133">
        <v>19</v>
      </c>
      <c r="E150" s="133">
        <v>0</v>
      </c>
      <c r="F150" s="133">
        <v>0</v>
      </c>
      <c r="G150" s="133">
        <v>0</v>
      </c>
      <c r="H150" s="133">
        <v>0</v>
      </c>
      <c r="I150" s="133">
        <v>24</v>
      </c>
      <c r="J150" s="133">
        <v>0</v>
      </c>
      <c r="K150">
        <v>42113</v>
      </c>
      <c r="L150" s="133">
        <v>0</v>
      </c>
      <c r="M150" s="133" t="b">
        <f ca="1">IF(TODAY()-Table_Query_from_A_Readiness_1[[#This Row],[PER_DATE]]&gt;=0,TRUE, FALSE)</f>
        <v>1</v>
      </c>
    </row>
    <row r="151" spans="1:13">
      <c r="A151">
        <v>42139</v>
      </c>
      <c r="B151" t="s">
        <v>324</v>
      </c>
      <c r="C151" t="s">
        <v>156</v>
      </c>
      <c r="D151" s="133">
        <v>19</v>
      </c>
      <c r="E151" s="133">
        <v>0</v>
      </c>
      <c r="F151" s="133">
        <v>24</v>
      </c>
      <c r="G151" s="133">
        <v>0</v>
      </c>
      <c r="H151" s="133">
        <v>0</v>
      </c>
      <c r="I151" s="133">
        <v>0</v>
      </c>
      <c r="J151" s="133">
        <v>0</v>
      </c>
      <c r="K151">
        <v>42113</v>
      </c>
      <c r="L151" s="133">
        <v>0</v>
      </c>
      <c r="M151" s="133" t="b">
        <f ca="1">IF(TODAY()-Table_Query_from_A_Readiness_1[[#This Row],[PER_DATE]]&gt;=0,TRUE, FALSE)</f>
        <v>1</v>
      </c>
    </row>
    <row r="152" spans="1:13">
      <c r="A152">
        <v>42139</v>
      </c>
      <c r="B152" t="s">
        <v>324</v>
      </c>
      <c r="C152" t="s">
        <v>169</v>
      </c>
      <c r="D152" s="133">
        <v>19</v>
      </c>
      <c r="E152" s="133">
        <v>0</v>
      </c>
      <c r="F152" s="133">
        <v>0</v>
      </c>
      <c r="G152" s="133">
        <v>0</v>
      </c>
      <c r="H152" s="133">
        <v>0</v>
      </c>
      <c r="I152" s="133">
        <v>24</v>
      </c>
      <c r="J152" s="133">
        <v>0</v>
      </c>
      <c r="K152">
        <v>42113</v>
      </c>
      <c r="L152" s="133">
        <v>0</v>
      </c>
      <c r="M152" s="133" t="b">
        <f ca="1">IF(TODAY()-Table_Query_from_A_Readiness_1[[#This Row],[PER_DATE]]&gt;=0,TRUE, FALSE)</f>
        <v>1</v>
      </c>
    </row>
    <row r="153" spans="1:13">
      <c r="A153">
        <v>42139</v>
      </c>
      <c r="B153" t="s">
        <v>324</v>
      </c>
      <c r="C153" t="s">
        <v>158</v>
      </c>
      <c r="D153" s="133">
        <v>19</v>
      </c>
      <c r="E153" s="133">
        <v>0</v>
      </c>
      <c r="F153" s="133">
        <v>24</v>
      </c>
      <c r="G153" s="133">
        <v>0</v>
      </c>
      <c r="H153" s="133">
        <v>0</v>
      </c>
      <c r="I153" s="133">
        <v>0</v>
      </c>
      <c r="J153" s="133">
        <v>0</v>
      </c>
      <c r="K153">
        <v>42113</v>
      </c>
      <c r="L153" s="133">
        <v>0</v>
      </c>
      <c r="M153" s="133" t="b">
        <f ca="1">IF(TODAY()-Table_Query_from_A_Readiness_1[[#This Row],[PER_DATE]]&gt;=0,TRUE, FALSE)</f>
        <v>1</v>
      </c>
    </row>
    <row r="154" spans="1:13">
      <c r="A154">
        <v>42139</v>
      </c>
      <c r="B154" t="s">
        <v>324</v>
      </c>
      <c r="C154" t="s">
        <v>148</v>
      </c>
      <c r="D154" s="133">
        <v>20</v>
      </c>
      <c r="E154" s="133">
        <v>0</v>
      </c>
      <c r="F154" s="133">
        <v>11.1</v>
      </c>
      <c r="G154" s="133">
        <v>0</v>
      </c>
      <c r="H154" s="133">
        <v>0</v>
      </c>
      <c r="I154" s="133">
        <v>0</v>
      </c>
      <c r="J154" s="133">
        <v>0</v>
      </c>
      <c r="K154">
        <v>42114</v>
      </c>
      <c r="L154" s="133">
        <v>12.9</v>
      </c>
      <c r="M154" s="133" t="b">
        <f ca="1">IF(TODAY()-Table_Query_from_A_Readiness_1[[#This Row],[PER_DATE]]&gt;=0,TRUE, FALSE)</f>
        <v>1</v>
      </c>
    </row>
    <row r="155" spans="1:13">
      <c r="A155">
        <v>42139</v>
      </c>
      <c r="B155" t="s">
        <v>324</v>
      </c>
      <c r="C155" t="s">
        <v>149</v>
      </c>
      <c r="D155" s="133">
        <v>20</v>
      </c>
      <c r="E155" s="133">
        <v>0</v>
      </c>
      <c r="F155" s="133">
        <v>24</v>
      </c>
      <c r="G155" s="133">
        <v>0</v>
      </c>
      <c r="H155" s="133">
        <v>0</v>
      </c>
      <c r="I155" s="133">
        <v>0</v>
      </c>
      <c r="J155" s="133">
        <v>0</v>
      </c>
      <c r="K155">
        <v>42114</v>
      </c>
      <c r="L155" s="133">
        <v>0</v>
      </c>
      <c r="M155" s="133" t="b">
        <f ca="1">IF(TODAY()-Table_Query_from_A_Readiness_1[[#This Row],[PER_DATE]]&gt;=0,TRUE, FALSE)</f>
        <v>1</v>
      </c>
    </row>
    <row r="156" spans="1:13">
      <c r="A156">
        <v>42139</v>
      </c>
      <c r="B156" t="s">
        <v>324</v>
      </c>
      <c r="C156" t="s">
        <v>151</v>
      </c>
      <c r="D156" s="133">
        <v>20</v>
      </c>
      <c r="E156" s="133">
        <v>0</v>
      </c>
      <c r="F156" s="133">
        <v>0</v>
      </c>
      <c r="G156" s="133">
        <v>0</v>
      </c>
      <c r="H156" s="133">
        <v>24</v>
      </c>
      <c r="I156" s="133">
        <v>0</v>
      </c>
      <c r="J156" s="133">
        <v>0</v>
      </c>
      <c r="K156">
        <v>42114</v>
      </c>
      <c r="L156" s="133">
        <v>0</v>
      </c>
      <c r="M156" s="133" t="b">
        <f ca="1">IF(TODAY()-Table_Query_from_A_Readiness_1[[#This Row],[PER_DATE]]&gt;=0,TRUE, FALSE)</f>
        <v>1</v>
      </c>
    </row>
    <row r="157" spans="1:13">
      <c r="A157">
        <v>42139</v>
      </c>
      <c r="B157" t="s">
        <v>324</v>
      </c>
      <c r="C157" t="s">
        <v>153</v>
      </c>
      <c r="D157" s="133">
        <v>20</v>
      </c>
      <c r="E157" s="133">
        <v>0</v>
      </c>
      <c r="F157" s="133">
        <v>0</v>
      </c>
      <c r="G157" s="133">
        <v>0</v>
      </c>
      <c r="H157" s="133">
        <v>24</v>
      </c>
      <c r="I157" s="133">
        <v>0</v>
      </c>
      <c r="J157" s="133">
        <v>0</v>
      </c>
      <c r="K157">
        <v>42114</v>
      </c>
      <c r="L157" s="133">
        <v>0</v>
      </c>
      <c r="M157" s="133" t="b">
        <f ca="1">IF(TODAY()-Table_Query_from_A_Readiness_1[[#This Row],[PER_DATE]]&gt;=0,TRUE, FALSE)</f>
        <v>1</v>
      </c>
    </row>
    <row r="158" spans="1:13">
      <c r="A158">
        <v>42139</v>
      </c>
      <c r="B158" t="s">
        <v>324</v>
      </c>
      <c r="C158" t="s">
        <v>155</v>
      </c>
      <c r="D158" s="133">
        <v>20</v>
      </c>
      <c r="E158" s="133">
        <v>0</v>
      </c>
      <c r="F158" s="133">
        <v>0</v>
      </c>
      <c r="G158" s="133">
        <v>0</v>
      </c>
      <c r="H158" s="133">
        <v>0</v>
      </c>
      <c r="I158" s="133">
        <v>24</v>
      </c>
      <c r="J158" s="133">
        <v>0</v>
      </c>
      <c r="K158">
        <v>42114</v>
      </c>
      <c r="L158" s="133">
        <v>0</v>
      </c>
      <c r="M158" s="133" t="b">
        <f ca="1">IF(TODAY()-Table_Query_from_A_Readiness_1[[#This Row],[PER_DATE]]&gt;=0,TRUE, FALSE)</f>
        <v>1</v>
      </c>
    </row>
    <row r="159" spans="1:13">
      <c r="A159">
        <v>42139</v>
      </c>
      <c r="B159" t="s">
        <v>324</v>
      </c>
      <c r="C159" t="s">
        <v>156</v>
      </c>
      <c r="D159" s="133">
        <v>20</v>
      </c>
      <c r="E159" s="133">
        <v>0</v>
      </c>
      <c r="F159" s="133">
        <v>24</v>
      </c>
      <c r="G159" s="133">
        <v>0</v>
      </c>
      <c r="H159" s="133">
        <v>0</v>
      </c>
      <c r="I159" s="133">
        <v>0</v>
      </c>
      <c r="J159" s="133">
        <v>0</v>
      </c>
      <c r="K159">
        <v>42114</v>
      </c>
      <c r="L159" s="133">
        <v>0</v>
      </c>
      <c r="M159" s="133" t="b">
        <f ca="1">IF(TODAY()-Table_Query_from_A_Readiness_1[[#This Row],[PER_DATE]]&gt;=0,TRUE, FALSE)</f>
        <v>1</v>
      </c>
    </row>
    <row r="160" spans="1:13">
      <c r="A160">
        <v>42139</v>
      </c>
      <c r="B160" t="s">
        <v>324</v>
      </c>
      <c r="C160" t="s">
        <v>169</v>
      </c>
      <c r="D160" s="133">
        <v>20</v>
      </c>
      <c r="E160" s="133">
        <v>0</v>
      </c>
      <c r="F160" s="133">
        <v>0</v>
      </c>
      <c r="G160" s="133">
        <v>0</v>
      </c>
      <c r="H160" s="133">
        <v>0</v>
      </c>
      <c r="I160" s="133">
        <v>24</v>
      </c>
      <c r="J160" s="133">
        <v>0</v>
      </c>
      <c r="K160">
        <v>42114</v>
      </c>
      <c r="L160" s="133">
        <v>0</v>
      </c>
      <c r="M160" s="133" t="b">
        <f ca="1">IF(TODAY()-Table_Query_from_A_Readiness_1[[#This Row],[PER_DATE]]&gt;=0,TRUE, FALSE)</f>
        <v>1</v>
      </c>
    </row>
    <row r="161" spans="1:13">
      <c r="A161">
        <v>42139</v>
      </c>
      <c r="B161" t="s">
        <v>324</v>
      </c>
      <c r="C161" t="s">
        <v>158</v>
      </c>
      <c r="D161" s="133">
        <v>20</v>
      </c>
      <c r="E161" s="133">
        <v>0</v>
      </c>
      <c r="F161" s="133">
        <v>24</v>
      </c>
      <c r="G161" s="133">
        <v>0</v>
      </c>
      <c r="H161" s="133">
        <v>0</v>
      </c>
      <c r="I161" s="133">
        <v>0</v>
      </c>
      <c r="J161" s="133">
        <v>0</v>
      </c>
      <c r="K161">
        <v>42114</v>
      </c>
      <c r="L161" s="133">
        <v>0</v>
      </c>
      <c r="M161" s="133" t="b">
        <f ca="1">IF(TODAY()-Table_Query_from_A_Readiness_1[[#This Row],[PER_DATE]]&gt;=0,TRUE, FALSE)</f>
        <v>1</v>
      </c>
    </row>
    <row r="162" spans="1:13">
      <c r="A162">
        <v>42139</v>
      </c>
      <c r="B162" t="s">
        <v>324</v>
      </c>
      <c r="C162" t="s">
        <v>148</v>
      </c>
      <c r="D162" s="133">
        <v>21</v>
      </c>
      <c r="E162" s="133">
        <v>0</v>
      </c>
      <c r="F162" s="133">
        <v>0</v>
      </c>
      <c r="G162" s="133">
        <v>0</v>
      </c>
      <c r="H162" s="133">
        <v>0</v>
      </c>
      <c r="I162" s="133">
        <v>0</v>
      </c>
      <c r="J162" s="133">
        <v>0</v>
      </c>
      <c r="K162">
        <v>42115</v>
      </c>
      <c r="L162" s="133">
        <v>24</v>
      </c>
      <c r="M162" s="133" t="b">
        <f ca="1">IF(TODAY()-Table_Query_from_A_Readiness_1[[#This Row],[PER_DATE]]&gt;=0,TRUE, FALSE)</f>
        <v>0</v>
      </c>
    </row>
    <row r="163" spans="1:13">
      <c r="A163">
        <v>42139</v>
      </c>
      <c r="B163" t="s">
        <v>324</v>
      </c>
      <c r="C163" t="s">
        <v>149</v>
      </c>
      <c r="D163" s="133">
        <v>21</v>
      </c>
      <c r="E163" s="133">
        <v>0</v>
      </c>
      <c r="F163" s="133">
        <v>24</v>
      </c>
      <c r="G163" s="133">
        <v>0</v>
      </c>
      <c r="H163" s="133">
        <v>0</v>
      </c>
      <c r="I163" s="133">
        <v>0</v>
      </c>
      <c r="J163" s="133">
        <v>0</v>
      </c>
      <c r="K163">
        <v>42115</v>
      </c>
      <c r="L163" s="133">
        <v>0</v>
      </c>
      <c r="M163" s="133" t="b">
        <f ca="1">IF(TODAY()-Table_Query_from_A_Readiness_1[[#This Row],[PER_DATE]]&gt;=0,TRUE, FALSE)</f>
        <v>0</v>
      </c>
    </row>
    <row r="164" spans="1:13">
      <c r="A164">
        <v>42139</v>
      </c>
      <c r="B164" t="s">
        <v>324</v>
      </c>
      <c r="C164" t="s">
        <v>151</v>
      </c>
      <c r="D164" s="133">
        <v>21</v>
      </c>
      <c r="E164" s="133">
        <v>0</v>
      </c>
      <c r="F164" s="133">
        <v>0</v>
      </c>
      <c r="G164" s="133">
        <v>0</v>
      </c>
      <c r="H164" s="133">
        <v>24</v>
      </c>
      <c r="I164" s="133">
        <v>0</v>
      </c>
      <c r="J164" s="133">
        <v>0</v>
      </c>
      <c r="K164">
        <v>42115</v>
      </c>
      <c r="L164" s="133">
        <v>0</v>
      </c>
      <c r="M164" s="133" t="b">
        <f ca="1">IF(TODAY()-Table_Query_from_A_Readiness_1[[#This Row],[PER_DATE]]&gt;=0,TRUE, FALSE)</f>
        <v>0</v>
      </c>
    </row>
    <row r="165" spans="1:13">
      <c r="A165">
        <v>42139</v>
      </c>
      <c r="B165" t="s">
        <v>324</v>
      </c>
      <c r="C165" t="s">
        <v>153</v>
      </c>
      <c r="D165" s="133">
        <v>21</v>
      </c>
      <c r="E165" s="133">
        <v>0</v>
      </c>
      <c r="F165" s="133">
        <v>0</v>
      </c>
      <c r="G165" s="133">
        <v>0</v>
      </c>
      <c r="H165" s="133">
        <v>24</v>
      </c>
      <c r="I165" s="133">
        <v>0</v>
      </c>
      <c r="J165" s="133">
        <v>0</v>
      </c>
      <c r="K165">
        <v>42115</v>
      </c>
      <c r="L165" s="133">
        <v>0</v>
      </c>
      <c r="M165" s="133" t="b">
        <f ca="1">IF(TODAY()-Table_Query_from_A_Readiness_1[[#This Row],[PER_DATE]]&gt;=0,TRUE, FALSE)</f>
        <v>0</v>
      </c>
    </row>
    <row r="166" spans="1:13">
      <c r="A166">
        <v>42139</v>
      </c>
      <c r="B166" t="s">
        <v>324</v>
      </c>
      <c r="C166" t="s">
        <v>155</v>
      </c>
      <c r="D166" s="133">
        <v>21</v>
      </c>
      <c r="E166" s="133">
        <v>0</v>
      </c>
      <c r="F166" s="133">
        <v>0</v>
      </c>
      <c r="G166" s="133">
        <v>0</v>
      </c>
      <c r="H166" s="133">
        <v>0</v>
      </c>
      <c r="I166" s="133">
        <v>24</v>
      </c>
      <c r="J166" s="133">
        <v>0</v>
      </c>
      <c r="K166">
        <v>42115</v>
      </c>
      <c r="L166" s="133">
        <v>0</v>
      </c>
      <c r="M166" s="133" t="b">
        <f ca="1">IF(TODAY()-Table_Query_from_A_Readiness_1[[#This Row],[PER_DATE]]&gt;=0,TRUE, FALSE)</f>
        <v>0</v>
      </c>
    </row>
    <row r="167" spans="1:13">
      <c r="A167">
        <v>42139</v>
      </c>
      <c r="B167" t="s">
        <v>324</v>
      </c>
      <c r="C167" t="s">
        <v>156</v>
      </c>
      <c r="D167" s="133">
        <v>21</v>
      </c>
      <c r="E167" s="133">
        <v>0</v>
      </c>
      <c r="F167" s="133">
        <v>24</v>
      </c>
      <c r="G167" s="133">
        <v>0</v>
      </c>
      <c r="H167" s="133">
        <v>0</v>
      </c>
      <c r="I167" s="133">
        <v>0</v>
      </c>
      <c r="J167" s="133">
        <v>0</v>
      </c>
      <c r="K167">
        <v>42115</v>
      </c>
      <c r="L167" s="133">
        <v>0</v>
      </c>
      <c r="M167" s="133" t="b">
        <f ca="1">IF(TODAY()-Table_Query_from_A_Readiness_1[[#This Row],[PER_DATE]]&gt;=0,TRUE, FALSE)</f>
        <v>0</v>
      </c>
    </row>
    <row r="168" spans="1:13">
      <c r="A168">
        <v>42139</v>
      </c>
      <c r="B168" t="s">
        <v>324</v>
      </c>
      <c r="C168" t="s">
        <v>169</v>
      </c>
      <c r="D168" s="133">
        <v>21</v>
      </c>
      <c r="E168" s="133">
        <v>0</v>
      </c>
      <c r="F168" s="133">
        <v>0</v>
      </c>
      <c r="G168" s="133">
        <v>0</v>
      </c>
      <c r="H168" s="133">
        <v>0</v>
      </c>
      <c r="I168" s="133">
        <v>24</v>
      </c>
      <c r="J168" s="133">
        <v>0</v>
      </c>
      <c r="K168">
        <v>42115</v>
      </c>
      <c r="L168" s="133">
        <v>0</v>
      </c>
      <c r="M168" s="133" t="b">
        <f ca="1">IF(TODAY()-Table_Query_from_A_Readiness_1[[#This Row],[PER_DATE]]&gt;=0,TRUE, FALSE)</f>
        <v>0</v>
      </c>
    </row>
    <row r="169" spans="1:13">
      <c r="A169">
        <v>42139</v>
      </c>
      <c r="B169" t="s">
        <v>324</v>
      </c>
      <c r="C169" t="s">
        <v>158</v>
      </c>
      <c r="D169" s="133">
        <v>21</v>
      </c>
      <c r="E169" s="133">
        <v>0</v>
      </c>
      <c r="F169" s="133">
        <v>24</v>
      </c>
      <c r="G169" s="133">
        <v>0</v>
      </c>
      <c r="H169" s="133">
        <v>0</v>
      </c>
      <c r="I169" s="133">
        <v>0</v>
      </c>
      <c r="J169" s="133">
        <v>0</v>
      </c>
      <c r="K169">
        <v>42115</v>
      </c>
      <c r="L169" s="133">
        <v>0</v>
      </c>
      <c r="M169" s="133" t="b">
        <f ca="1">IF(TODAY()-Table_Query_from_A_Readiness_1[[#This Row],[PER_DATE]]&gt;=0,TRUE, FALSE)</f>
        <v>0</v>
      </c>
    </row>
    <row r="170" spans="1:13">
      <c r="A170">
        <v>42139</v>
      </c>
      <c r="B170" t="s">
        <v>324</v>
      </c>
      <c r="C170" t="s">
        <v>148</v>
      </c>
      <c r="D170" s="133">
        <v>22</v>
      </c>
      <c r="E170" s="133">
        <v>0</v>
      </c>
      <c r="F170" s="133">
        <v>0</v>
      </c>
      <c r="G170" s="133">
        <v>0</v>
      </c>
      <c r="H170" s="133">
        <v>0</v>
      </c>
      <c r="I170" s="133">
        <v>0</v>
      </c>
      <c r="J170" s="133">
        <v>0</v>
      </c>
      <c r="K170">
        <v>42116</v>
      </c>
      <c r="L170" s="133">
        <v>24</v>
      </c>
      <c r="M170" s="133" t="b">
        <f ca="1">IF(TODAY()-Table_Query_from_A_Readiness_1[[#This Row],[PER_DATE]]&gt;=0,TRUE, FALSE)</f>
        <v>0</v>
      </c>
    </row>
    <row r="171" spans="1:13">
      <c r="A171">
        <v>42139</v>
      </c>
      <c r="B171" t="s">
        <v>324</v>
      </c>
      <c r="C171" t="s">
        <v>149</v>
      </c>
      <c r="D171" s="133">
        <v>22</v>
      </c>
      <c r="E171" s="133">
        <v>0</v>
      </c>
      <c r="F171" s="133">
        <v>24</v>
      </c>
      <c r="G171" s="133">
        <v>0</v>
      </c>
      <c r="H171" s="133">
        <v>0</v>
      </c>
      <c r="I171" s="133">
        <v>0</v>
      </c>
      <c r="J171" s="133">
        <v>0</v>
      </c>
      <c r="K171">
        <v>42116</v>
      </c>
      <c r="L171" s="133">
        <v>0</v>
      </c>
      <c r="M171" s="133" t="b">
        <f ca="1">IF(TODAY()-Table_Query_from_A_Readiness_1[[#This Row],[PER_DATE]]&gt;=0,TRUE, FALSE)</f>
        <v>0</v>
      </c>
    </row>
    <row r="172" spans="1:13">
      <c r="A172">
        <v>42139</v>
      </c>
      <c r="B172" t="s">
        <v>324</v>
      </c>
      <c r="C172" t="s">
        <v>151</v>
      </c>
      <c r="D172" s="133">
        <v>22</v>
      </c>
      <c r="E172" s="133">
        <v>0</v>
      </c>
      <c r="F172" s="133">
        <v>0</v>
      </c>
      <c r="G172" s="133">
        <v>0</v>
      </c>
      <c r="H172" s="133">
        <v>24</v>
      </c>
      <c r="I172" s="133">
        <v>0</v>
      </c>
      <c r="J172" s="133">
        <v>0</v>
      </c>
      <c r="K172">
        <v>42116</v>
      </c>
      <c r="L172" s="133">
        <v>0</v>
      </c>
      <c r="M172" s="133" t="b">
        <f ca="1">IF(TODAY()-Table_Query_from_A_Readiness_1[[#This Row],[PER_DATE]]&gt;=0,TRUE, FALSE)</f>
        <v>0</v>
      </c>
    </row>
    <row r="173" spans="1:13">
      <c r="A173">
        <v>42139</v>
      </c>
      <c r="B173" t="s">
        <v>324</v>
      </c>
      <c r="C173" t="s">
        <v>153</v>
      </c>
      <c r="D173" s="133">
        <v>22</v>
      </c>
      <c r="E173" s="133">
        <v>0</v>
      </c>
      <c r="F173" s="133">
        <v>0</v>
      </c>
      <c r="G173" s="133">
        <v>0</v>
      </c>
      <c r="H173" s="133">
        <v>24</v>
      </c>
      <c r="I173" s="133">
        <v>0</v>
      </c>
      <c r="J173" s="133">
        <v>0</v>
      </c>
      <c r="K173">
        <v>42116</v>
      </c>
      <c r="L173" s="133">
        <v>0</v>
      </c>
      <c r="M173" s="133" t="b">
        <f ca="1">IF(TODAY()-Table_Query_from_A_Readiness_1[[#This Row],[PER_DATE]]&gt;=0,TRUE, FALSE)</f>
        <v>0</v>
      </c>
    </row>
    <row r="174" spans="1:13">
      <c r="A174">
        <v>42139</v>
      </c>
      <c r="B174" t="s">
        <v>324</v>
      </c>
      <c r="C174" t="s">
        <v>155</v>
      </c>
      <c r="D174" s="133">
        <v>22</v>
      </c>
      <c r="E174" s="133">
        <v>0</v>
      </c>
      <c r="F174" s="133">
        <v>0</v>
      </c>
      <c r="G174" s="133">
        <v>0</v>
      </c>
      <c r="H174" s="133">
        <v>0</v>
      </c>
      <c r="I174" s="133">
        <v>24</v>
      </c>
      <c r="J174" s="133">
        <v>0</v>
      </c>
      <c r="K174">
        <v>42116</v>
      </c>
      <c r="L174" s="133">
        <v>0</v>
      </c>
      <c r="M174" s="133" t="b">
        <f ca="1">IF(TODAY()-Table_Query_from_A_Readiness_1[[#This Row],[PER_DATE]]&gt;=0,TRUE, FALSE)</f>
        <v>0</v>
      </c>
    </row>
    <row r="175" spans="1:13">
      <c r="A175">
        <v>42139</v>
      </c>
      <c r="B175" t="s">
        <v>324</v>
      </c>
      <c r="C175" t="s">
        <v>156</v>
      </c>
      <c r="D175" s="133">
        <v>22</v>
      </c>
      <c r="E175" s="133">
        <v>0</v>
      </c>
      <c r="F175" s="133">
        <v>24</v>
      </c>
      <c r="G175" s="133">
        <v>0</v>
      </c>
      <c r="H175" s="133">
        <v>0</v>
      </c>
      <c r="I175" s="133">
        <v>0</v>
      </c>
      <c r="J175" s="133">
        <v>0</v>
      </c>
      <c r="K175">
        <v>42116</v>
      </c>
      <c r="L175" s="133">
        <v>0</v>
      </c>
      <c r="M175" s="133" t="b">
        <f ca="1">IF(TODAY()-Table_Query_from_A_Readiness_1[[#This Row],[PER_DATE]]&gt;=0,TRUE, FALSE)</f>
        <v>0</v>
      </c>
    </row>
    <row r="176" spans="1:13">
      <c r="A176">
        <v>42139</v>
      </c>
      <c r="B176" t="s">
        <v>324</v>
      </c>
      <c r="C176" t="s">
        <v>169</v>
      </c>
      <c r="D176" s="133">
        <v>22</v>
      </c>
      <c r="E176" s="133">
        <v>0</v>
      </c>
      <c r="F176" s="133">
        <v>0</v>
      </c>
      <c r="G176" s="133">
        <v>0</v>
      </c>
      <c r="H176" s="133">
        <v>0</v>
      </c>
      <c r="I176" s="133">
        <v>24</v>
      </c>
      <c r="J176" s="133">
        <v>0</v>
      </c>
      <c r="K176">
        <v>42116</v>
      </c>
      <c r="L176" s="133">
        <v>0</v>
      </c>
      <c r="M176" s="133" t="b">
        <f ca="1">IF(TODAY()-Table_Query_from_A_Readiness_1[[#This Row],[PER_DATE]]&gt;=0,TRUE, FALSE)</f>
        <v>0</v>
      </c>
    </row>
    <row r="177" spans="1:13">
      <c r="A177">
        <v>42139</v>
      </c>
      <c r="B177" t="s">
        <v>324</v>
      </c>
      <c r="C177" t="s">
        <v>158</v>
      </c>
      <c r="D177" s="133">
        <v>22</v>
      </c>
      <c r="E177" s="133">
        <v>0</v>
      </c>
      <c r="F177" s="133">
        <v>24</v>
      </c>
      <c r="G177" s="133">
        <v>0</v>
      </c>
      <c r="H177" s="133">
        <v>0</v>
      </c>
      <c r="I177" s="133">
        <v>0</v>
      </c>
      <c r="J177" s="133">
        <v>0</v>
      </c>
      <c r="K177">
        <v>42116</v>
      </c>
      <c r="L177" s="133">
        <v>0</v>
      </c>
      <c r="M177" s="133" t="b">
        <f ca="1">IF(TODAY()-Table_Query_from_A_Readiness_1[[#This Row],[PER_DATE]]&gt;=0,TRUE, FALSE)</f>
        <v>0</v>
      </c>
    </row>
    <row r="178" spans="1:13">
      <c r="A178">
        <v>42139</v>
      </c>
      <c r="B178" t="s">
        <v>324</v>
      </c>
      <c r="C178" t="s">
        <v>148</v>
      </c>
      <c r="D178" s="133">
        <v>23</v>
      </c>
      <c r="E178" s="133">
        <v>0</v>
      </c>
      <c r="F178" s="133">
        <v>0</v>
      </c>
      <c r="G178" s="133">
        <v>0</v>
      </c>
      <c r="H178" s="133">
        <v>0</v>
      </c>
      <c r="I178" s="133">
        <v>0</v>
      </c>
      <c r="J178" s="133">
        <v>0</v>
      </c>
      <c r="K178">
        <v>42117</v>
      </c>
      <c r="L178" s="133">
        <v>24</v>
      </c>
      <c r="M178" s="133" t="b">
        <f ca="1">IF(TODAY()-Table_Query_from_A_Readiness_1[[#This Row],[PER_DATE]]&gt;=0,TRUE, FALSE)</f>
        <v>0</v>
      </c>
    </row>
    <row r="179" spans="1:13">
      <c r="A179">
        <v>42139</v>
      </c>
      <c r="B179" t="s">
        <v>324</v>
      </c>
      <c r="C179" t="s">
        <v>149</v>
      </c>
      <c r="D179" s="133">
        <v>23</v>
      </c>
      <c r="E179" s="133">
        <v>0</v>
      </c>
      <c r="F179" s="133">
        <v>24</v>
      </c>
      <c r="G179" s="133">
        <v>0</v>
      </c>
      <c r="H179" s="133">
        <v>0</v>
      </c>
      <c r="I179" s="133">
        <v>0</v>
      </c>
      <c r="J179" s="133">
        <v>0</v>
      </c>
      <c r="K179">
        <v>42117</v>
      </c>
      <c r="L179" s="133">
        <v>0</v>
      </c>
      <c r="M179" s="133" t="b">
        <f ca="1">IF(TODAY()-Table_Query_from_A_Readiness_1[[#This Row],[PER_DATE]]&gt;=0,TRUE, FALSE)</f>
        <v>0</v>
      </c>
    </row>
    <row r="180" spans="1:13">
      <c r="A180">
        <v>42139</v>
      </c>
      <c r="B180" t="s">
        <v>324</v>
      </c>
      <c r="C180" t="s">
        <v>151</v>
      </c>
      <c r="D180" s="133">
        <v>23</v>
      </c>
      <c r="E180" s="133">
        <v>0</v>
      </c>
      <c r="F180" s="133">
        <v>0</v>
      </c>
      <c r="G180" s="133">
        <v>0</v>
      </c>
      <c r="H180" s="133">
        <v>24</v>
      </c>
      <c r="I180" s="133">
        <v>0</v>
      </c>
      <c r="J180" s="133">
        <v>0</v>
      </c>
      <c r="K180">
        <v>42117</v>
      </c>
      <c r="L180" s="133">
        <v>0</v>
      </c>
      <c r="M180" s="133" t="b">
        <f ca="1">IF(TODAY()-Table_Query_from_A_Readiness_1[[#This Row],[PER_DATE]]&gt;=0,TRUE, FALSE)</f>
        <v>0</v>
      </c>
    </row>
    <row r="181" spans="1:13">
      <c r="A181">
        <v>42139</v>
      </c>
      <c r="B181" t="s">
        <v>324</v>
      </c>
      <c r="C181" t="s">
        <v>153</v>
      </c>
      <c r="D181" s="133">
        <v>23</v>
      </c>
      <c r="E181" s="133">
        <v>0</v>
      </c>
      <c r="F181" s="133">
        <v>0</v>
      </c>
      <c r="G181" s="133">
        <v>0</v>
      </c>
      <c r="H181" s="133">
        <v>24</v>
      </c>
      <c r="I181" s="133">
        <v>0</v>
      </c>
      <c r="J181" s="133">
        <v>0</v>
      </c>
      <c r="K181">
        <v>42117</v>
      </c>
      <c r="L181" s="133">
        <v>0</v>
      </c>
      <c r="M181" s="133" t="b">
        <f ca="1">IF(TODAY()-Table_Query_from_A_Readiness_1[[#This Row],[PER_DATE]]&gt;=0,TRUE, FALSE)</f>
        <v>0</v>
      </c>
    </row>
    <row r="182" spans="1:13">
      <c r="A182">
        <v>42139</v>
      </c>
      <c r="B182" t="s">
        <v>324</v>
      </c>
      <c r="C182" t="s">
        <v>155</v>
      </c>
      <c r="D182" s="133">
        <v>23</v>
      </c>
      <c r="E182" s="133">
        <v>0</v>
      </c>
      <c r="F182" s="133">
        <v>0</v>
      </c>
      <c r="G182" s="133">
        <v>0</v>
      </c>
      <c r="H182" s="133">
        <v>0</v>
      </c>
      <c r="I182" s="133">
        <v>24</v>
      </c>
      <c r="J182" s="133">
        <v>0</v>
      </c>
      <c r="K182">
        <v>42117</v>
      </c>
      <c r="L182" s="133">
        <v>0</v>
      </c>
      <c r="M182" s="133" t="b">
        <f ca="1">IF(TODAY()-Table_Query_from_A_Readiness_1[[#This Row],[PER_DATE]]&gt;=0,TRUE, FALSE)</f>
        <v>0</v>
      </c>
    </row>
    <row r="183" spans="1:13">
      <c r="A183">
        <v>42139</v>
      </c>
      <c r="B183" t="s">
        <v>324</v>
      </c>
      <c r="C183" t="s">
        <v>156</v>
      </c>
      <c r="D183" s="133">
        <v>23</v>
      </c>
      <c r="E183" s="133">
        <v>0</v>
      </c>
      <c r="F183" s="133">
        <v>24</v>
      </c>
      <c r="G183" s="133">
        <v>0</v>
      </c>
      <c r="H183" s="133">
        <v>0</v>
      </c>
      <c r="I183" s="133">
        <v>0</v>
      </c>
      <c r="J183" s="133">
        <v>0</v>
      </c>
      <c r="K183">
        <v>42117</v>
      </c>
      <c r="L183" s="133">
        <v>0</v>
      </c>
      <c r="M183" s="133" t="b">
        <f ca="1">IF(TODAY()-Table_Query_from_A_Readiness_1[[#This Row],[PER_DATE]]&gt;=0,TRUE, FALSE)</f>
        <v>0</v>
      </c>
    </row>
    <row r="184" spans="1:13">
      <c r="A184">
        <v>42139</v>
      </c>
      <c r="B184" t="s">
        <v>324</v>
      </c>
      <c r="C184" t="s">
        <v>169</v>
      </c>
      <c r="D184" s="133">
        <v>23</v>
      </c>
      <c r="E184" s="133">
        <v>0</v>
      </c>
      <c r="F184" s="133">
        <v>0</v>
      </c>
      <c r="G184" s="133">
        <v>0</v>
      </c>
      <c r="H184" s="133">
        <v>0</v>
      </c>
      <c r="I184" s="133">
        <v>24</v>
      </c>
      <c r="J184" s="133">
        <v>0</v>
      </c>
      <c r="K184">
        <v>42117</v>
      </c>
      <c r="L184" s="133">
        <v>0</v>
      </c>
      <c r="M184" s="133" t="b">
        <f ca="1">IF(TODAY()-Table_Query_from_A_Readiness_1[[#This Row],[PER_DATE]]&gt;=0,TRUE, FALSE)</f>
        <v>0</v>
      </c>
    </row>
    <row r="185" spans="1:13">
      <c r="A185">
        <v>42139</v>
      </c>
      <c r="B185" t="s">
        <v>324</v>
      </c>
      <c r="C185" t="s">
        <v>158</v>
      </c>
      <c r="D185" s="133">
        <v>23</v>
      </c>
      <c r="E185" s="133">
        <v>0</v>
      </c>
      <c r="F185" s="133">
        <v>24</v>
      </c>
      <c r="G185" s="133">
        <v>0</v>
      </c>
      <c r="H185" s="133">
        <v>0</v>
      </c>
      <c r="I185" s="133">
        <v>0</v>
      </c>
      <c r="J185" s="133">
        <v>0</v>
      </c>
      <c r="K185">
        <v>42117</v>
      </c>
      <c r="L185" s="133">
        <v>0</v>
      </c>
      <c r="M185" s="133" t="b">
        <f ca="1">IF(TODAY()-Table_Query_from_A_Readiness_1[[#This Row],[PER_DATE]]&gt;=0,TRUE, FALSE)</f>
        <v>0</v>
      </c>
    </row>
    <row r="186" spans="1:13">
      <c r="A186">
        <v>42139</v>
      </c>
      <c r="B186" t="s">
        <v>324</v>
      </c>
      <c r="C186" t="s">
        <v>148</v>
      </c>
      <c r="D186" s="133">
        <v>24</v>
      </c>
      <c r="E186" s="133">
        <v>0</v>
      </c>
      <c r="F186" s="133">
        <v>0</v>
      </c>
      <c r="G186" s="133">
        <v>0</v>
      </c>
      <c r="H186" s="133">
        <v>0</v>
      </c>
      <c r="I186" s="133">
        <v>0</v>
      </c>
      <c r="J186" s="133">
        <v>0</v>
      </c>
      <c r="K186">
        <v>42118</v>
      </c>
      <c r="L186" s="133">
        <v>24</v>
      </c>
      <c r="M186" s="133" t="b">
        <f ca="1">IF(TODAY()-Table_Query_from_A_Readiness_1[[#This Row],[PER_DATE]]&gt;=0,TRUE, FALSE)</f>
        <v>0</v>
      </c>
    </row>
    <row r="187" spans="1:13">
      <c r="A187">
        <v>42139</v>
      </c>
      <c r="B187" t="s">
        <v>324</v>
      </c>
      <c r="C187" t="s">
        <v>149</v>
      </c>
      <c r="D187" s="133">
        <v>24</v>
      </c>
      <c r="E187" s="133">
        <v>0</v>
      </c>
      <c r="F187" s="133">
        <v>24</v>
      </c>
      <c r="G187" s="133">
        <v>0</v>
      </c>
      <c r="H187" s="133">
        <v>0</v>
      </c>
      <c r="I187" s="133">
        <v>0</v>
      </c>
      <c r="J187" s="133">
        <v>0</v>
      </c>
      <c r="K187">
        <v>42118</v>
      </c>
      <c r="L187" s="133">
        <v>0</v>
      </c>
      <c r="M187" s="133" t="b">
        <f ca="1">IF(TODAY()-Table_Query_from_A_Readiness_1[[#This Row],[PER_DATE]]&gt;=0,TRUE, FALSE)</f>
        <v>0</v>
      </c>
    </row>
    <row r="188" spans="1:13">
      <c r="A188">
        <v>42139</v>
      </c>
      <c r="B188" t="s">
        <v>324</v>
      </c>
      <c r="C188" t="s">
        <v>151</v>
      </c>
      <c r="D188" s="133">
        <v>24</v>
      </c>
      <c r="E188" s="133">
        <v>0</v>
      </c>
      <c r="F188" s="133">
        <v>0</v>
      </c>
      <c r="G188" s="133">
        <v>0</v>
      </c>
      <c r="H188" s="133">
        <v>24</v>
      </c>
      <c r="I188" s="133">
        <v>0</v>
      </c>
      <c r="J188" s="133">
        <v>0</v>
      </c>
      <c r="K188">
        <v>42118</v>
      </c>
      <c r="L188" s="133">
        <v>0</v>
      </c>
      <c r="M188" s="133" t="b">
        <f ca="1">IF(TODAY()-Table_Query_from_A_Readiness_1[[#This Row],[PER_DATE]]&gt;=0,TRUE, FALSE)</f>
        <v>0</v>
      </c>
    </row>
    <row r="189" spans="1:13">
      <c r="A189">
        <v>42139</v>
      </c>
      <c r="B189" t="s">
        <v>324</v>
      </c>
      <c r="C189" t="s">
        <v>153</v>
      </c>
      <c r="D189" s="133">
        <v>24</v>
      </c>
      <c r="E189" s="133">
        <v>0</v>
      </c>
      <c r="F189" s="133">
        <v>0</v>
      </c>
      <c r="G189" s="133">
        <v>0</v>
      </c>
      <c r="H189" s="133">
        <v>24</v>
      </c>
      <c r="I189" s="133">
        <v>0</v>
      </c>
      <c r="J189" s="133">
        <v>0</v>
      </c>
      <c r="K189">
        <v>42118</v>
      </c>
      <c r="L189" s="133">
        <v>0</v>
      </c>
      <c r="M189" s="133" t="b">
        <f ca="1">IF(TODAY()-Table_Query_from_A_Readiness_1[[#This Row],[PER_DATE]]&gt;=0,TRUE, FALSE)</f>
        <v>0</v>
      </c>
    </row>
    <row r="190" spans="1:13">
      <c r="A190">
        <v>42139</v>
      </c>
      <c r="B190" t="s">
        <v>324</v>
      </c>
      <c r="C190" t="s">
        <v>155</v>
      </c>
      <c r="D190" s="133">
        <v>24</v>
      </c>
      <c r="E190" s="133">
        <v>0</v>
      </c>
      <c r="F190" s="133">
        <v>0</v>
      </c>
      <c r="G190" s="133">
        <v>0</v>
      </c>
      <c r="H190" s="133">
        <v>0</v>
      </c>
      <c r="I190" s="133">
        <v>24</v>
      </c>
      <c r="J190" s="133">
        <v>0</v>
      </c>
      <c r="K190">
        <v>42118</v>
      </c>
      <c r="L190" s="133">
        <v>0</v>
      </c>
      <c r="M190" s="133" t="b">
        <f ca="1">IF(TODAY()-Table_Query_from_A_Readiness_1[[#This Row],[PER_DATE]]&gt;=0,TRUE, FALSE)</f>
        <v>0</v>
      </c>
    </row>
    <row r="191" spans="1:13">
      <c r="A191">
        <v>42139</v>
      </c>
      <c r="B191" t="s">
        <v>324</v>
      </c>
      <c r="C191" t="s">
        <v>156</v>
      </c>
      <c r="D191" s="133">
        <v>24</v>
      </c>
      <c r="E191" s="133">
        <v>0</v>
      </c>
      <c r="F191" s="133">
        <v>24</v>
      </c>
      <c r="G191" s="133">
        <v>0</v>
      </c>
      <c r="H191" s="133">
        <v>0</v>
      </c>
      <c r="I191" s="133">
        <v>0</v>
      </c>
      <c r="J191" s="133">
        <v>0</v>
      </c>
      <c r="K191">
        <v>42118</v>
      </c>
      <c r="L191" s="133">
        <v>0</v>
      </c>
      <c r="M191" s="133" t="b">
        <f ca="1">IF(TODAY()-Table_Query_from_A_Readiness_1[[#This Row],[PER_DATE]]&gt;=0,TRUE, FALSE)</f>
        <v>0</v>
      </c>
    </row>
    <row r="192" spans="1:13">
      <c r="A192">
        <v>42139</v>
      </c>
      <c r="B192" t="s">
        <v>324</v>
      </c>
      <c r="C192" t="s">
        <v>169</v>
      </c>
      <c r="D192" s="133">
        <v>24</v>
      </c>
      <c r="E192" s="133">
        <v>0</v>
      </c>
      <c r="F192" s="133">
        <v>0</v>
      </c>
      <c r="G192" s="133">
        <v>0</v>
      </c>
      <c r="H192" s="133">
        <v>0</v>
      </c>
      <c r="I192" s="133">
        <v>24</v>
      </c>
      <c r="J192" s="133">
        <v>0</v>
      </c>
      <c r="K192">
        <v>42118</v>
      </c>
      <c r="L192" s="133">
        <v>0</v>
      </c>
      <c r="M192" s="133" t="b">
        <f ca="1">IF(TODAY()-Table_Query_from_A_Readiness_1[[#This Row],[PER_DATE]]&gt;=0,TRUE, FALSE)</f>
        <v>0</v>
      </c>
    </row>
    <row r="193" spans="1:13">
      <c r="A193">
        <v>42139</v>
      </c>
      <c r="B193" t="s">
        <v>324</v>
      </c>
      <c r="C193" t="s">
        <v>158</v>
      </c>
      <c r="D193" s="133">
        <v>24</v>
      </c>
      <c r="E193" s="133">
        <v>0</v>
      </c>
      <c r="F193" s="133">
        <v>24</v>
      </c>
      <c r="G193" s="133">
        <v>0</v>
      </c>
      <c r="H193" s="133">
        <v>0</v>
      </c>
      <c r="I193" s="133">
        <v>0</v>
      </c>
      <c r="J193" s="133">
        <v>0</v>
      </c>
      <c r="K193">
        <v>42118</v>
      </c>
      <c r="L193" s="133">
        <v>0</v>
      </c>
      <c r="M193" s="133" t="b">
        <f ca="1">IF(TODAY()-Table_Query_from_A_Readiness_1[[#This Row],[PER_DATE]]&gt;=0,TRUE, FALSE)</f>
        <v>0</v>
      </c>
    </row>
    <row r="194" spans="1:13">
      <c r="A194">
        <v>42139</v>
      </c>
      <c r="B194" t="s">
        <v>324</v>
      </c>
      <c r="C194" t="s">
        <v>148</v>
      </c>
      <c r="D194" s="133">
        <v>25</v>
      </c>
      <c r="E194" s="133">
        <v>0</v>
      </c>
      <c r="F194" s="133">
        <v>0</v>
      </c>
      <c r="G194" s="133">
        <v>0</v>
      </c>
      <c r="H194" s="133">
        <v>0</v>
      </c>
      <c r="I194" s="133">
        <v>0</v>
      </c>
      <c r="J194" s="133">
        <v>0</v>
      </c>
      <c r="K194">
        <v>42119</v>
      </c>
      <c r="L194" s="133">
        <v>24</v>
      </c>
      <c r="M194" s="133" t="b">
        <f ca="1">IF(TODAY()-Table_Query_from_A_Readiness_1[[#This Row],[PER_DATE]]&gt;=0,TRUE, FALSE)</f>
        <v>0</v>
      </c>
    </row>
    <row r="195" spans="1:13">
      <c r="A195">
        <v>42139</v>
      </c>
      <c r="B195" t="s">
        <v>324</v>
      </c>
      <c r="C195" t="s">
        <v>149</v>
      </c>
      <c r="D195" s="133">
        <v>25</v>
      </c>
      <c r="E195" s="133">
        <v>0</v>
      </c>
      <c r="F195" s="133">
        <v>24</v>
      </c>
      <c r="G195" s="133">
        <v>0</v>
      </c>
      <c r="H195" s="133">
        <v>0</v>
      </c>
      <c r="I195" s="133">
        <v>0</v>
      </c>
      <c r="J195" s="133">
        <v>0</v>
      </c>
      <c r="K195">
        <v>42119</v>
      </c>
      <c r="L195" s="133">
        <v>0</v>
      </c>
      <c r="M195" s="133" t="b">
        <f ca="1">IF(TODAY()-Table_Query_from_A_Readiness_1[[#This Row],[PER_DATE]]&gt;=0,TRUE, FALSE)</f>
        <v>0</v>
      </c>
    </row>
    <row r="196" spans="1:13">
      <c r="A196">
        <v>42139</v>
      </c>
      <c r="B196" t="s">
        <v>324</v>
      </c>
      <c r="C196" t="s">
        <v>151</v>
      </c>
      <c r="D196" s="133">
        <v>25</v>
      </c>
      <c r="E196" s="133">
        <v>0</v>
      </c>
      <c r="F196" s="133">
        <v>0</v>
      </c>
      <c r="G196" s="133">
        <v>0</v>
      </c>
      <c r="H196" s="133">
        <v>24</v>
      </c>
      <c r="I196" s="133">
        <v>0</v>
      </c>
      <c r="J196" s="133">
        <v>0</v>
      </c>
      <c r="K196">
        <v>42119</v>
      </c>
      <c r="L196" s="133">
        <v>0</v>
      </c>
      <c r="M196" s="133" t="b">
        <f ca="1">IF(TODAY()-Table_Query_from_A_Readiness_1[[#This Row],[PER_DATE]]&gt;=0,TRUE, FALSE)</f>
        <v>0</v>
      </c>
    </row>
    <row r="197" spans="1:13">
      <c r="A197">
        <v>42139</v>
      </c>
      <c r="B197" t="s">
        <v>324</v>
      </c>
      <c r="C197" t="s">
        <v>153</v>
      </c>
      <c r="D197" s="133">
        <v>25</v>
      </c>
      <c r="E197" s="133">
        <v>0</v>
      </c>
      <c r="F197" s="133">
        <v>0</v>
      </c>
      <c r="G197" s="133">
        <v>0</v>
      </c>
      <c r="H197" s="133">
        <v>24</v>
      </c>
      <c r="I197" s="133">
        <v>0</v>
      </c>
      <c r="J197" s="133">
        <v>0</v>
      </c>
      <c r="K197">
        <v>42119</v>
      </c>
      <c r="L197" s="133">
        <v>0</v>
      </c>
      <c r="M197" s="133" t="b">
        <f ca="1">IF(TODAY()-Table_Query_from_A_Readiness_1[[#This Row],[PER_DATE]]&gt;=0,TRUE, FALSE)</f>
        <v>0</v>
      </c>
    </row>
    <row r="198" spans="1:13">
      <c r="A198">
        <v>42139</v>
      </c>
      <c r="B198" t="s">
        <v>324</v>
      </c>
      <c r="C198" t="s">
        <v>155</v>
      </c>
      <c r="D198" s="133">
        <v>25</v>
      </c>
      <c r="E198" s="133">
        <v>0</v>
      </c>
      <c r="F198" s="133">
        <v>0</v>
      </c>
      <c r="G198" s="133">
        <v>0</v>
      </c>
      <c r="H198" s="133">
        <v>0</v>
      </c>
      <c r="I198" s="133">
        <v>24</v>
      </c>
      <c r="J198" s="133">
        <v>0</v>
      </c>
      <c r="K198">
        <v>42119</v>
      </c>
      <c r="L198" s="133">
        <v>0</v>
      </c>
      <c r="M198" s="133" t="b">
        <f ca="1">IF(TODAY()-Table_Query_from_A_Readiness_1[[#This Row],[PER_DATE]]&gt;=0,TRUE, FALSE)</f>
        <v>0</v>
      </c>
    </row>
    <row r="199" spans="1:13">
      <c r="A199">
        <v>42139</v>
      </c>
      <c r="B199" t="s">
        <v>324</v>
      </c>
      <c r="C199" t="s">
        <v>156</v>
      </c>
      <c r="D199" s="133">
        <v>25</v>
      </c>
      <c r="E199" s="133">
        <v>0</v>
      </c>
      <c r="F199" s="133">
        <v>24</v>
      </c>
      <c r="G199" s="133">
        <v>0</v>
      </c>
      <c r="H199" s="133">
        <v>0</v>
      </c>
      <c r="I199" s="133">
        <v>0</v>
      </c>
      <c r="J199" s="133">
        <v>0</v>
      </c>
      <c r="K199">
        <v>42119</v>
      </c>
      <c r="L199" s="133">
        <v>0</v>
      </c>
      <c r="M199" s="133" t="b">
        <f ca="1">IF(TODAY()-Table_Query_from_A_Readiness_1[[#This Row],[PER_DATE]]&gt;=0,TRUE, FALSE)</f>
        <v>0</v>
      </c>
    </row>
    <row r="200" spans="1:13">
      <c r="A200">
        <v>42139</v>
      </c>
      <c r="B200" t="s">
        <v>324</v>
      </c>
      <c r="C200" t="s">
        <v>169</v>
      </c>
      <c r="D200" s="133">
        <v>25</v>
      </c>
      <c r="E200" s="133">
        <v>0</v>
      </c>
      <c r="F200" s="133">
        <v>0</v>
      </c>
      <c r="G200" s="133">
        <v>0</v>
      </c>
      <c r="H200" s="133">
        <v>0</v>
      </c>
      <c r="I200" s="133">
        <v>24</v>
      </c>
      <c r="J200" s="133">
        <v>0</v>
      </c>
      <c r="K200">
        <v>42119</v>
      </c>
      <c r="L200" s="133">
        <v>0</v>
      </c>
      <c r="M200" s="133" t="b">
        <f ca="1">IF(TODAY()-Table_Query_from_A_Readiness_1[[#This Row],[PER_DATE]]&gt;=0,TRUE, FALSE)</f>
        <v>0</v>
      </c>
    </row>
    <row r="201" spans="1:13">
      <c r="A201">
        <v>42139</v>
      </c>
      <c r="B201" t="s">
        <v>324</v>
      </c>
      <c r="C201" t="s">
        <v>158</v>
      </c>
      <c r="D201" s="133">
        <v>25</v>
      </c>
      <c r="E201" s="133">
        <v>0</v>
      </c>
      <c r="F201" s="133">
        <v>24</v>
      </c>
      <c r="G201" s="133">
        <v>0</v>
      </c>
      <c r="H201" s="133">
        <v>0</v>
      </c>
      <c r="I201" s="133">
        <v>0</v>
      </c>
      <c r="J201" s="133">
        <v>0</v>
      </c>
      <c r="K201">
        <v>42119</v>
      </c>
      <c r="L201" s="133">
        <v>0</v>
      </c>
      <c r="M201" s="133" t="b">
        <f ca="1">IF(TODAY()-Table_Query_from_A_Readiness_1[[#This Row],[PER_DATE]]&gt;=0,TRUE, FALSE)</f>
        <v>0</v>
      </c>
    </row>
    <row r="202" spans="1:13">
      <c r="A202">
        <v>42139</v>
      </c>
      <c r="B202" t="s">
        <v>324</v>
      </c>
      <c r="C202" t="s">
        <v>148</v>
      </c>
      <c r="D202" s="133">
        <v>26</v>
      </c>
      <c r="E202" s="133">
        <v>0</v>
      </c>
      <c r="F202" s="133">
        <v>0</v>
      </c>
      <c r="G202" s="133">
        <v>0</v>
      </c>
      <c r="H202" s="133">
        <v>0</v>
      </c>
      <c r="I202" s="133">
        <v>0</v>
      </c>
      <c r="J202" s="133">
        <v>0</v>
      </c>
      <c r="K202">
        <v>42120</v>
      </c>
      <c r="L202" s="133">
        <v>24</v>
      </c>
      <c r="M202" s="133" t="b">
        <f ca="1">IF(TODAY()-Table_Query_from_A_Readiness_1[[#This Row],[PER_DATE]]&gt;=0,TRUE, FALSE)</f>
        <v>0</v>
      </c>
    </row>
    <row r="203" spans="1:13">
      <c r="A203">
        <v>42139</v>
      </c>
      <c r="B203" t="s">
        <v>324</v>
      </c>
      <c r="C203" t="s">
        <v>149</v>
      </c>
      <c r="D203" s="133">
        <v>26</v>
      </c>
      <c r="E203" s="133">
        <v>0</v>
      </c>
      <c r="F203" s="133">
        <v>24</v>
      </c>
      <c r="G203" s="133">
        <v>0</v>
      </c>
      <c r="H203" s="133">
        <v>0</v>
      </c>
      <c r="I203" s="133">
        <v>0</v>
      </c>
      <c r="J203" s="133">
        <v>0</v>
      </c>
      <c r="K203">
        <v>42120</v>
      </c>
      <c r="L203" s="133">
        <v>0</v>
      </c>
      <c r="M203" s="133" t="b">
        <f ca="1">IF(TODAY()-Table_Query_from_A_Readiness_1[[#This Row],[PER_DATE]]&gt;=0,TRUE, FALSE)</f>
        <v>0</v>
      </c>
    </row>
    <row r="204" spans="1:13">
      <c r="A204">
        <v>42139</v>
      </c>
      <c r="B204" t="s">
        <v>324</v>
      </c>
      <c r="C204" t="s">
        <v>151</v>
      </c>
      <c r="D204" s="133">
        <v>26</v>
      </c>
      <c r="E204" s="133">
        <v>0</v>
      </c>
      <c r="F204" s="133">
        <v>0</v>
      </c>
      <c r="G204" s="133">
        <v>0</v>
      </c>
      <c r="H204" s="133">
        <v>24</v>
      </c>
      <c r="I204" s="133">
        <v>0</v>
      </c>
      <c r="J204" s="133">
        <v>0</v>
      </c>
      <c r="K204">
        <v>42120</v>
      </c>
      <c r="L204" s="133">
        <v>0</v>
      </c>
      <c r="M204" s="133" t="b">
        <f ca="1">IF(TODAY()-Table_Query_from_A_Readiness_1[[#This Row],[PER_DATE]]&gt;=0,TRUE, FALSE)</f>
        <v>0</v>
      </c>
    </row>
    <row r="205" spans="1:13">
      <c r="A205">
        <v>42139</v>
      </c>
      <c r="B205" t="s">
        <v>324</v>
      </c>
      <c r="C205" t="s">
        <v>153</v>
      </c>
      <c r="D205" s="133">
        <v>26</v>
      </c>
      <c r="E205" s="133">
        <v>0</v>
      </c>
      <c r="F205" s="133">
        <v>0</v>
      </c>
      <c r="G205" s="133">
        <v>0</v>
      </c>
      <c r="H205" s="133">
        <v>24</v>
      </c>
      <c r="I205" s="133">
        <v>0</v>
      </c>
      <c r="J205" s="133">
        <v>0</v>
      </c>
      <c r="K205">
        <v>42120</v>
      </c>
      <c r="L205" s="133">
        <v>0</v>
      </c>
      <c r="M205" s="133" t="b">
        <f ca="1">IF(TODAY()-Table_Query_from_A_Readiness_1[[#This Row],[PER_DATE]]&gt;=0,TRUE, FALSE)</f>
        <v>0</v>
      </c>
    </row>
    <row r="206" spans="1:13">
      <c r="A206">
        <v>42139</v>
      </c>
      <c r="B206" t="s">
        <v>324</v>
      </c>
      <c r="C206" t="s">
        <v>155</v>
      </c>
      <c r="D206" s="133">
        <v>26</v>
      </c>
      <c r="E206" s="133">
        <v>0</v>
      </c>
      <c r="F206" s="133">
        <v>0</v>
      </c>
      <c r="G206" s="133">
        <v>0</v>
      </c>
      <c r="H206" s="133">
        <v>0</v>
      </c>
      <c r="I206" s="133">
        <v>24</v>
      </c>
      <c r="J206" s="133">
        <v>0</v>
      </c>
      <c r="K206">
        <v>42120</v>
      </c>
      <c r="L206" s="133">
        <v>0</v>
      </c>
      <c r="M206" s="133" t="b">
        <f ca="1">IF(TODAY()-Table_Query_from_A_Readiness_1[[#This Row],[PER_DATE]]&gt;=0,TRUE, FALSE)</f>
        <v>0</v>
      </c>
    </row>
    <row r="207" spans="1:13">
      <c r="A207">
        <v>42139</v>
      </c>
      <c r="B207" t="s">
        <v>324</v>
      </c>
      <c r="C207" t="s">
        <v>156</v>
      </c>
      <c r="D207" s="133">
        <v>26</v>
      </c>
      <c r="E207" s="133">
        <v>0</v>
      </c>
      <c r="F207" s="133">
        <v>24</v>
      </c>
      <c r="G207" s="133">
        <v>0</v>
      </c>
      <c r="H207" s="133">
        <v>0</v>
      </c>
      <c r="I207" s="133">
        <v>0</v>
      </c>
      <c r="J207" s="133">
        <v>0</v>
      </c>
      <c r="K207">
        <v>42120</v>
      </c>
      <c r="L207" s="133">
        <v>0</v>
      </c>
      <c r="M207" s="133" t="b">
        <f ca="1">IF(TODAY()-Table_Query_from_A_Readiness_1[[#This Row],[PER_DATE]]&gt;=0,TRUE, FALSE)</f>
        <v>0</v>
      </c>
    </row>
    <row r="208" spans="1:13">
      <c r="A208">
        <v>42139</v>
      </c>
      <c r="B208" t="s">
        <v>324</v>
      </c>
      <c r="C208" t="s">
        <v>169</v>
      </c>
      <c r="D208" s="133">
        <v>26</v>
      </c>
      <c r="E208" s="133">
        <v>0</v>
      </c>
      <c r="F208" s="133">
        <v>0</v>
      </c>
      <c r="G208" s="133">
        <v>0</v>
      </c>
      <c r="H208" s="133">
        <v>0</v>
      </c>
      <c r="I208" s="133">
        <v>24</v>
      </c>
      <c r="J208" s="133">
        <v>0</v>
      </c>
      <c r="K208">
        <v>42120</v>
      </c>
      <c r="L208" s="133">
        <v>0</v>
      </c>
      <c r="M208" s="133" t="b">
        <f ca="1">IF(TODAY()-Table_Query_from_A_Readiness_1[[#This Row],[PER_DATE]]&gt;=0,TRUE, FALSE)</f>
        <v>0</v>
      </c>
    </row>
    <row r="209" spans="1:13">
      <c r="A209">
        <v>42139</v>
      </c>
      <c r="B209" t="s">
        <v>324</v>
      </c>
      <c r="C209" t="s">
        <v>158</v>
      </c>
      <c r="D209" s="133">
        <v>26</v>
      </c>
      <c r="E209" s="133">
        <v>0</v>
      </c>
      <c r="F209" s="133">
        <v>24</v>
      </c>
      <c r="G209" s="133">
        <v>0</v>
      </c>
      <c r="H209" s="133">
        <v>0</v>
      </c>
      <c r="I209" s="133">
        <v>0</v>
      </c>
      <c r="J209" s="133">
        <v>0</v>
      </c>
      <c r="K209">
        <v>42120</v>
      </c>
      <c r="L209" s="133">
        <v>0</v>
      </c>
      <c r="M209" s="133" t="b">
        <f ca="1">IF(TODAY()-Table_Query_from_A_Readiness_1[[#This Row],[PER_DATE]]&gt;=0,TRUE, FALSE)</f>
        <v>0</v>
      </c>
    </row>
    <row r="210" spans="1:13">
      <c r="A210">
        <v>42139</v>
      </c>
      <c r="B210" t="s">
        <v>324</v>
      </c>
      <c r="C210" t="s">
        <v>148</v>
      </c>
      <c r="D210" s="133">
        <v>27</v>
      </c>
      <c r="E210" s="133">
        <v>0</v>
      </c>
      <c r="F210" s="133">
        <v>0</v>
      </c>
      <c r="G210" s="133">
        <v>0</v>
      </c>
      <c r="H210" s="133">
        <v>0</v>
      </c>
      <c r="I210" s="133">
        <v>0</v>
      </c>
      <c r="J210" s="133">
        <v>0</v>
      </c>
      <c r="K210">
        <v>42121</v>
      </c>
      <c r="L210" s="133">
        <v>24</v>
      </c>
      <c r="M210" s="133" t="b">
        <f ca="1">IF(TODAY()-Table_Query_from_A_Readiness_1[[#This Row],[PER_DATE]]&gt;=0,TRUE, FALSE)</f>
        <v>0</v>
      </c>
    </row>
    <row r="211" spans="1:13">
      <c r="A211">
        <v>42139</v>
      </c>
      <c r="B211" t="s">
        <v>324</v>
      </c>
      <c r="C211" t="s">
        <v>149</v>
      </c>
      <c r="D211" s="133">
        <v>27</v>
      </c>
      <c r="E211" s="133">
        <v>0</v>
      </c>
      <c r="F211" s="133">
        <v>24</v>
      </c>
      <c r="G211" s="133">
        <v>0</v>
      </c>
      <c r="H211" s="133">
        <v>0</v>
      </c>
      <c r="I211" s="133">
        <v>0</v>
      </c>
      <c r="J211" s="133">
        <v>0</v>
      </c>
      <c r="K211">
        <v>42121</v>
      </c>
      <c r="L211" s="133">
        <v>0</v>
      </c>
      <c r="M211" s="133" t="b">
        <f ca="1">IF(TODAY()-Table_Query_from_A_Readiness_1[[#This Row],[PER_DATE]]&gt;=0,TRUE, FALSE)</f>
        <v>0</v>
      </c>
    </row>
    <row r="212" spans="1:13">
      <c r="A212">
        <v>42139</v>
      </c>
      <c r="B212" t="s">
        <v>324</v>
      </c>
      <c r="C212" t="s">
        <v>151</v>
      </c>
      <c r="D212" s="133">
        <v>27</v>
      </c>
      <c r="E212" s="133">
        <v>0</v>
      </c>
      <c r="F212" s="133">
        <v>0</v>
      </c>
      <c r="G212" s="133">
        <v>0</v>
      </c>
      <c r="H212" s="133">
        <v>24</v>
      </c>
      <c r="I212" s="133">
        <v>0</v>
      </c>
      <c r="J212" s="133">
        <v>0</v>
      </c>
      <c r="K212">
        <v>42121</v>
      </c>
      <c r="L212" s="133">
        <v>0</v>
      </c>
      <c r="M212" s="133" t="b">
        <f ca="1">IF(TODAY()-Table_Query_from_A_Readiness_1[[#This Row],[PER_DATE]]&gt;=0,TRUE, FALSE)</f>
        <v>0</v>
      </c>
    </row>
    <row r="213" spans="1:13">
      <c r="A213">
        <v>42139</v>
      </c>
      <c r="B213" t="s">
        <v>324</v>
      </c>
      <c r="C213" t="s">
        <v>153</v>
      </c>
      <c r="D213" s="133">
        <v>27</v>
      </c>
      <c r="E213" s="133">
        <v>0</v>
      </c>
      <c r="F213" s="133">
        <v>0</v>
      </c>
      <c r="G213" s="133">
        <v>0</v>
      </c>
      <c r="H213" s="133">
        <v>24</v>
      </c>
      <c r="I213" s="133">
        <v>0</v>
      </c>
      <c r="J213" s="133">
        <v>0</v>
      </c>
      <c r="K213">
        <v>42121</v>
      </c>
      <c r="L213" s="133">
        <v>0</v>
      </c>
      <c r="M213" s="133" t="b">
        <f ca="1">IF(TODAY()-Table_Query_from_A_Readiness_1[[#This Row],[PER_DATE]]&gt;=0,TRUE, FALSE)</f>
        <v>0</v>
      </c>
    </row>
    <row r="214" spans="1:13">
      <c r="A214">
        <v>42139</v>
      </c>
      <c r="B214" t="s">
        <v>324</v>
      </c>
      <c r="C214" t="s">
        <v>155</v>
      </c>
      <c r="D214" s="133">
        <v>27</v>
      </c>
      <c r="E214" s="133">
        <v>0</v>
      </c>
      <c r="F214" s="133">
        <v>0</v>
      </c>
      <c r="G214" s="133">
        <v>0</v>
      </c>
      <c r="H214" s="133">
        <v>0</v>
      </c>
      <c r="I214" s="133">
        <v>24</v>
      </c>
      <c r="J214" s="133">
        <v>0</v>
      </c>
      <c r="K214">
        <v>42121</v>
      </c>
      <c r="L214" s="133">
        <v>0</v>
      </c>
      <c r="M214" s="133" t="b">
        <f ca="1">IF(TODAY()-Table_Query_from_A_Readiness_1[[#This Row],[PER_DATE]]&gt;=0,TRUE, FALSE)</f>
        <v>0</v>
      </c>
    </row>
    <row r="215" spans="1:13">
      <c r="A215">
        <v>42139</v>
      </c>
      <c r="B215" t="s">
        <v>324</v>
      </c>
      <c r="C215" t="s">
        <v>156</v>
      </c>
      <c r="D215" s="133">
        <v>27</v>
      </c>
      <c r="E215" s="133">
        <v>0</v>
      </c>
      <c r="F215" s="133">
        <v>24</v>
      </c>
      <c r="G215" s="133">
        <v>0</v>
      </c>
      <c r="H215" s="133">
        <v>0</v>
      </c>
      <c r="I215" s="133">
        <v>0</v>
      </c>
      <c r="J215" s="133">
        <v>0</v>
      </c>
      <c r="K215">
        <v>42121</v>
      </c>
      <c r="L215" s="133">
        <v>0</v>
      </c>
      <c r="M215" s="133" t="b">
        <f ca="1">IF(TODAY()-Table_Query_from_A_Readiness_1[[#This Row],[PER_DATE]]&gt;=0,TRUE, FALSE)</f>
        <v>0</v>
      </c>
    </row>
    <row r="216" spans="1:13">
      <c r="A216">
        <v>42139</v>
      </c>
      <c r="B216" t="s">
        <v>324</v>
      </c>
      <c r="C216" t="s">
        <v>169</v>
      </c>
      <c r="D216" s="133">
        <v>27</v>
      </c>
      <c r="E216" s="133">
        <v>0</v>
      </c>
      <c r="F216" s="133">
        <v>0</v>
      </c>
      <c r="G216" s="133">
        <v>0</v>
      </c>
      <c r="H216" s="133">
        <v>0</v>
      </c>
      <c r="I216" s="133">
        <v>24</v>
      </c>
      <c r="J216" s="133">
        <v>0</v>
      </c>
      <c r="K216">
        <v>42121</v>
      </c>
      <c r="L216" s="133">
        <v>0</v>
      </c>
      <c r="M216" s="133" t="b">
        <f ca="1">IF(TODAY()-Table_Query_from_A_Readiness_1[[#This Row],[PER_DATE]]&gt;=0,TRUE, FALSE)</f>
        <v>0</v>
      </c>
    </row>
    <row r="217" spans="1:13">
      <c r="A217">
        <v>42139</v>
      </c>
      <c r="B217" t="s">
        <v>324</v>
      </c>
      <c r="C217" t="s">
        <v>158</v>
      </c>
      <c r="D217" s="133">
        <v>27</v>
      </c>
      <c r="E217" s="133">
        <v>0</v>
      </c>
      <c r="F217" s="133">
        <v>24</v>
      </c>
      <c r="G217" s="133">
        <v>0</v>
      </c>
      <c r="H217" s="133">
        <v>0</v>
      </c>
      <c r="I217" s="133">
        <v>0</v>
      </c>
      <c r="J217" s="133">
        <v>0</v>
      </c>
      <c r="K217">
        <v>42121</v>
      </c>
      <c r="L217" s="133">
        <v>0</v>
      </c>
      <c r="M217" s="133" t="b">
        <f ca="1">IF(TODAY()-Table_Query_from_A_Readiness_1[[#This Row],[PER_DATE]]&gt;=0,TRUE, FALSE)</f>
        <v>0</v>
      </c>
    </row>
    <row r="218" spans="1:13">
      <c r="A218">
        <v>42139</v>
      </c>
      <c r="B218" t="s">
        <v>324</v>
      </c>
      <c r="C218" t="s">
        <v>148</v>
      </c>
      <c r="D218" s="133">
        <v>28</v>
      </c>
      <c r="E218" s="133">
        <v>0</v>
      </c>
      <c r="F218" s="133">
        <v>0</v>
      </c>
      <c r="G218" s="133">
        <v>0</v>
      </c>
      <c r="H218" s="133">
        <v>0</v>
      </c>
      <c r="I218" s="133">
        <v>0</v>
      </c>
      <c r="J218" s="133">
        <v>0</v>
      </c>
      <c r="K218">
        <v>42122</v>
      </c>
      <c r="L218" s="133">
        <v>24</v>
      </c>
      <c r="M218" s="133" t="b">
        <f ca="1">IF(TODAY()-Table_Query_from_A_Readiness_1[[#This Row],[PER_DATE]]&gt;=0,TRUE, FALSE)</f>
        <v>0</v>
      </c>
    </row>
    <row r="219" spans="1:13">
      <c r="A219">
        <v>42139</v>
      </c>
      <c r="B219" t="s">
        <v>324</v>
      </c>
      <c r="C219" t="s">
        <v>149</v>
      </c>
      <c r="D219" s="133">
        <v>28</v>
      </c>
      <c r="E219" s="133">
        <v>0</v>
      </c>
      <c r="F219" s="133">
        <v>24</v>
      </c>
      <c r="G219" s="133">
        <v>0</v>
      </c>
      <c r="H219" s="133">
        <v>0</v>
      </c>
      <c r="I219" s="133">
        <v>0</v>
      </c>
      <c r="J219" s="133">
        <v>0</v>
      </c>
      <c r="K219">
        <v>42122</v>
      </c>
      <c r="L219" s="133">
        <v>0</v>
      </c>
      <c r="M219" s="133" t="b">
        <f ca="1">IF(TODAY()-Table_Query_from_A_Readiness_1[[#This Row],[PER_DATE]]&gt;=0,TRUE, FALSE)</f>
        <v>0</v>
      </c>
    </row>
    <row r="220" spans="1:13">
      <c r="A220">
        <v>42139</v>
      </c>
      <c r="B220" t="s">
        <v>324</v>
      </c>
      <c r="C220" t="s">
        <v>151</v>
      </c>
      <c r="D220" s="133">
        <v>28</v>
      </c>
      <c r="E220" s="133">
        <v>0</v>
      </c>
      <c r="F220" s="133">
        <v>0</v>
      </c>
      <c r="G220" s="133">
        <v>0</v>
      </c>
      <c r="H220" s="133">
        <v>24</v>
      </c>
      <c r="I220" s="133">
        <v>0</v>
      </c>
      <c r="J220" s="133">
        <v>0</v>
      </c>
      <c r="K220">
        <v>42122</v>
      </c>
      <c r="L220" s="133">
        <v>0</v>
      </c>
      <c r="M220" s="133" t="b">
        <f ca="1">IF(TODAY()-Table_Query_from_A_Readiness_1[[#This Row],[PER_DATE]]&gt;=0,TRUE, FALSE)</f>
        <v>0</v>
      </c>
    </row>
    <row r="221" spans="1:13">
      <c r="A221">
        <v>42139</v>
      </c>
      <c r="B221" t="s">
        <v>324</v>
      </c>
      <c r="C221" t="s">
        <v>153</v>
      </c>
      <c r="D221" s="133">
        <v>28</v>
      </c>
      <c r="E221" s="133">
        <v>0</v>
      </c>
      <c r="F221" s="133">
        <v>0</v>
      </c>
      <c r="G221" s="133">
        <v>0</v>
      </c>
      <c r="H221" s="133">
        <v>24</v>
      </c>
      <c r="I221" s="133">
        <v>0</v>
      </c>
      <c r="J221" s="133">
        <v>0</v>
      </c>
      <c r="K221">
        <v>42122</v>
      </c>
      <c r="L221" s="133">
        <v>0</v>
      </c>
      <c r="M221" s="133" t="b">
        <f ca="1">IF(TODAY()-Table_Query_from_A_Readiness_1[[#This Row],[PER_DATE]]&gt;=0,TRUE, FALSE)</f>
        <v>0</v>
      </c>
    </row>
    <row r="222" spans="1:13">
      <c r="A222">
        <v>42139</v>
      </c>
      <c r="B222" t="s">
        <v>324</v>
      </c>
      <c r="C222" t="s">
        <v>155</v>
      </c>
      <c r="D222" s="133">
        <v>28</v>
      </c>
      <c r="E222" s="133">
        <v>0</v>
      </c>
      <c r="F222" s="133">
        <v>0</v>
      </c>
      <c r="G222" s="133">
        <v>0</v>
      </c>
      <c r="H222" s="133">
        <v>0</v>
      </c>
      <c r="I222" s="133">
        <v>24</v>
      </c>
      <c r="J222" s="133">
        <v>0</v>
      </c>
      <c r="K222">
        <v>42122</v>
      </c>
      <c r="L222" s="133">
        <v>0</v>
      </c>
      <c r="M222" s="133" t="b">
        <f ca="1">IF(TODAY()-Table_Query_from_A_Readiness_1[[#This Row],[PER_DATE]]&gt;=0,TRUE, FALSE)</f>
        <v>0</v>
      </c>
    </row>
    <row r="223" spans="1:13">
      <c r="A223">
        <v>42139</v>
      </c>
      <c r="B223" t="s">
        <v>324</v>
      </c>
      <c r="C223" t="s">
        <v>156</v>
      </c>
      <c r="D223" s="133">
        <v>28</v>
      </c>
      <c r="E223" s="133">
        <v>0</v>
      </c>
      <c r="F223" s="133">
        <v>24</v>
      </c>
      <c r="G223" s="133">
        <v>0</v>
      </c>
      <c r="H223" s="133">
        <v>0</v>
      </c>
      <c r="I223" s="133">
        <v>0</v>
      </c>
      <c r="J223" s="133">
        <v>0</v>
      </c>
      <c r="K223">
        <v>42122</v>
      </c>
      <c r="L223" s="133">
        <v>0</v>
      </c>
      <c r="M223" s="133" t="b">
        <f ca="1">IF(TODAY()-Table_Query_from_A_Readiness_1[[#This Row],[PER_DATE]]&gt;=0,TRUE, FALSE)</f>
        <v>0</v>
      </c>
    </row>
    <row r="224" spans="1:13">
      <c r="A224">
        <v>42139</v>
      </c>
      <c r="B224" t="s">
        <v>324</v>
      </c>
      <c r="C224" t="s">
        <v>169</v>
      </c>
      <c r="D224" s="133">
        <v>28</v>
      </c>
      <c r="E224" s="133">
        <v>0</v>
      </c>
      <c r="F224" s="133">
        <v>0</v>
      </c>
      <c r="G224" s="133">
        <v>0</v>
      </c>
      <c r="H224" s="133">
        <v>0</v>
      </c>
      <c r="I224" s="133">
        <v>24</v>
      </c>
      <c r="J224" s="133">
        <v>0</v>
      </c>
      <c r="K224">
        <v>42122</v>
      </c>
      <c r="L224" s="133">
        <v>0</v>
      </c>
      <c r="M224" s="133" t="b">
        <f ca="1">IF(TODAY()-Table_Query_from_A_Readiness_1[[#This Row],[PER_DATE]]&gt;=0,TRUE, FALSE)</f>
        <v>0</v>
      </c>
    </row>
    <row r="225" spans="1:13">
      <c r="A225">
        <v>42139</v>
      </c>
      <c r="B225" t="s">
        <v>324</v>
      </c>
      <c r="C225" t="s">
        <v>158</v>
      </c>
      <c r="D225" s="133">
        <v>28</v>
      </c>
      <c r="E225" s="133">
        <v>0</v>
      </c>
      <c r="F225" s="133">
        <v>24</v>
      </c>
      <c r="G225" s="133">
        <v>0</v>
      </c>
      <c r="H225" s="133">
        <v>0</v>
      </c>
      <c r="I225" s="133">
        <v>0</v>
      </c>
      <c r="J225" s="133">
        <v>0</v>
      </c>
      <c r="K225">
        <v>42122</v>
      </c>
      <c r="L225" s="133">
        <v>0</v>
      </c>
      <c r="M225" s="133" t="b">
        <f ca="1">IF(TODAY()-Table_Query_from_A_Readiness_1[[#This Row],[PER_DATE]]&gt;=0,TRUE, FALSE)</f>
        <v>0</v>
      </c>
    </row>
    <row r="226" spans="1:13">
      <c r="A226">
        <v>42139</v>
      </c>
      <c r="B226" t="s">
        <v>324</v>
      </c>
      <c r="C226" t="s">
        <v>148</v>
      </c>
      <c r="D226" s="133">
        <v>29</v>
      </c>
      <c r="E226" s="133">
        <v>0</v>
      </c>
      <c r="F226" s="133">
        <v>0</v>
      </c>
      <c r="G226" s="133">
        <v>0</v>
      </c>
      <c r="H226" s="133">
        <v>0</v>
      </c>
      <c r="I226" s="133">
        <v>0</v>
      </c>
      <c r="J226" s="133">
        <v>0</v>
      </c>
      <c r="K226">
        <v>42123</v>
      </c>
      <c r="L226" s="133">
        <v>24</v>
      </c>
      <c r="M226" s="133" t="b">
        <f ca="1">IF(TODAY()-Table_Query_from_A_Readiness_1[[#This Row],[PER_DATE]]&gt;=0,TRUE, FALSE)</f>
        <v>0</v>
      </c>
    </row>
    <row r="227" spans="1:13">
      <c r="A227">
        <v>42139</v>
      </c>
      <c r="B227" t="s">
        <v>324</v>
      </c>
      <c r="C227" t="s">
        <v>149</v>
      </c>
      <c r="D227" s="133">
        <v>29</v>
      </c>
      <c r="E227" s="133">
        <v>0</v>
      </c>
      <c r="F227" s="133">
        <v>24</v>
      </c>
      <c r="G227" s="133">
        <v>0</v>
      </c>
      <c r="H227" s="133">
        <v>0</v>
      </c>
      <c r="I227" s="133">
        <v>0</v>
      </c>
      <c r="J227" s="133">
        <v>0</v>
      </c>
      <c r="K227">
        <v>42123</v>
      </c>
      <c r="L227" s="133">
        <v>0</v>
      </c>
      <c r="M227" s="133" t="b">
        <f ca="1">IF(TODAY()-Table_Query_from_A_Readiness_1[[#This Row],[PER_DATE]]&gt;=0,TRUE, FALSE)</f>
        <v>0</v>
      </c>
    </row>
    <row r="228" spans="1:13">
      <c r="A228">
        <v>42139</v>
      </c>
      <c r="B228" t="s">
        <v>324</v>
      </c>
      <c r="C228" t="s">
        <v>151</v>
      </c>
      <c r="D228" s="133">
        <v>29</v>
      </c>
      <c r="E228" s="133">
        <v>0</v>
      </c>
      <c r="F228" s="133">
        <v>0</v>
      </c>
      <c r="G228" s="133">
        <v>0</v>
      </c>
      <c r="H228" s="133">
        <v>24</v>
      </c>
      <c r="I228" s="133">
        <v>0</v>
      </c>
      <c r="J228" s="133">
        <v>0</v>
      </c>
      <c r="K228">
        <v>42123</v>
      </c>
      <c r="L228" s="133">
        <v>0</v>
      </c>
      <c r="M228" s="133" t="b">
        <f ca="1">IF(TODAY()-Table_Query_from_A_Readiness_1[[#This Row],[PER_DATE]]&gt;=0,TRUE, FALSE)</f>
        <v>0</v>
      </c>
    </row>
    <row r="229" spans="1:13">
      <c r="A229">
        <v>42139</v>
      </c>
      <c r="B229" t="s">
        <v>324</v>
      </c>
      <c r="C229" t="s">
        <v>153</v>
      </c>
      <c r="D229" s="133">
        <v>29</v>
      </c>
      <c r="E229" s="133">
        <v>0</v>
      </c>
      <c r="F229" s="133">
        <v>0</v>
      </c>
      <c r="G229" s="133">
        <v>0</v>
      </c>
      <c r="H229" s="133">
        <v>24</v>
      </c>
      <c r="I229" s="133">
        <v>0</v>
      </c>
      <c r="J229" s="133">
        <v>0</v>
      </c>
      <c r="K229">
        <v>42123</v>
      </c>
      <c r="L229" s="133">
        <v>0</v>
      </c>
      <c r="M229" s="133" t="b">
        <f ca="1">IF(TODAY()-Table_Query_from_A_Readiness_1[[#This Row],[PER_DATE]]&gt;=0,TRUE, FALSE)</f>
        <v>0</v>
      </c>
    </row>
    <row r="230" spans="1:13">
      <c r="A230">
        <v>42139</v>
      </c>
      <c r="B230" t="s">
        <v>324</v>
      </c>
      <c r="C230" t="s">
        <v>155</v>
      </c>
      <c r="D230" s="133">
        <v>29</v>
      </c>
      <c r="E230" s="133">
        <v>0</v>
      </c>
      <c r="F230" s="133">
        <v>0</v>
      </c>
      <c r="G230" s="133">
        <v>0</v>
      </c>
      <c r="H230" s="133">
        <v>0</v>
      </c>
      <c r="I230" s="133">
        <v>24</v>
      </c>
      <c r="J230" s="133">
        <v>0</v>
      </c>
      <c r="K230">
        <v>42123</v>
      </c>
      <c r="L230" s="133">
        <v>0</v>
      </c>
      <c r="M230" s="133" t="b">
        <f ca="1">IF(TODAY()-Table_Query_from_A_Readiness_1[[#This Row],[PER_DATE]]&gt;=0,TRUE, FALSE)</f>
        <v>0</v>
      </c>
    </row>
    <row r="231" spans="1:13">
      <c r="A231">
        <v>42139</v>
      </c>
      <c r="B231" t="s">
        <v>324</v>
      </c>
      <c r="C231" t="s">
        <v>156</v>
      </c>
      <c r="D231" s="133">
        <v>29</v>
      </c>
      <c r="E231" s="133">
        <v>0</v>
      </c>
      <c r="F231" s="133">
        <v>24</v>
      </c>
      <c r="G231" s="133">
        <v>0</v>
      </c>
      <c r="H231" s="133">
        <v>0</v>
      </c>
      <c r="I231" s="133">
        <v>0</v>
      </c>
      <c r="J231" s="133">
        <v>0</v>
      </c>
      <c r="K231">
        <v>42123</v>
      </c>
      <c r="L231" s="133">
        <v>0</v>
      </c>
      <c r="M231" s="133" t="b">
        <f ca="1">IF(TODAY()-Table_Query_from_A_Readiness_1[[#This Row],[PER_DATE]]&gt;=0,TRUE, FALSE)</f>
        <v>0</v>
      </c>
    </row>
    <row r="232" spans="1:13">
      <c r="A232">
        <v>42139</v>
      </c>
      <c r="B232" t="s">
        <v>324</v>
      </c>
      <c r="C232" t="s">
        <v>169</v>
      </c>
      <c r="D232" s="133">
        <v>29</v>
      </c>
      <c r="E232" s="133">
        <v>0</v>
      </c>
      <c r="F232" s="133">
        <v>0</v>
      </c>
      <c r="G232" s="133">
        <v>0</v>
      </c>
      <c r="H232" s="133">
        <v>0</v>
      </c>
      <c r="I232" s="133">
        <v>24</v>
      </c>
      <c r="J232" s="133">
        <v>0</v>
      </c>
      <c r="K232">
        <v>42123</v>
      </c>
      <c r="L232" s="133">
        <v>0</v>
      </c>
      <c r="M232" s="133" t="b">
        <f ca="1">IF(TODAY()-Table_Query_from_A_Readiness_1[[#This Row],[PER_DATE]]&gt;=0,TRUE, FALSE)</f>
        <v>0</v>
      </c>
    </row>
    <row r="233" spans="1:13">
      <c r="A233">
        <v>42139</v>
      </c>
      <c r="B233" t="s">
        <v>324</v>
      </c>
      <c r="C233" t="s">
        <v>158</v>
      </c>
      <c r="D233" s="133">
        <v>29</v>
      </c>
      <c r="E233" s="133">
        <v>24</v>
      </c>
      <c r="F233" s="133">
        <v>0</v>
      </c>
      <c r="G233" s="133">
        <v>0</v>
      </c>
      <c r="H233" s="133">
        <v>0</v>
      </c>
      <c r="I233" s="133">
        <v>0</v>
      </c>
      <c r="J233" s="133">
        <v>0</v>
      </c>
      <c r="K233">
        <v>42123</v>
      </c>
      <c r="L233" s="133">
        <v>0</v>
      </c>
      <c r="M233" s="133" t="b">
        <f ca="1">IF(TODAY()-Table_Query_from_A_Readiness_1[[#This Row],[PER_DATE]]&gt;=0,TRUE, FALSE)</f>
        <v>0</v>
      </c>
    </row>
    <row r="234" spans="1:13">
      <c r="A234">
        <v>42139</v>
      </c>
      <c r="B234" t="s">
        <v>324</v>
      </c>
      <c r="C234" t="s">
        <v>148</v>
      </c>
      <c r="D234" s="133">
        <v>30</v>
      </c>
      <c r="E234" s="133">
        <v>0</v>
      </c>
      <c r="F234" s="133">
        <v>0</v>
      </c>
      <c r="G234" s="133">
        <v>0</v>
      </c>
      <c r="H234" s="133">
        <v>0</v>
      </c>
      <c r="I234" s="133">
        <v>0</v>
      </c>
      <c r="J234" s="133">
        <v>0</v>
      </c>
      <c r="K234">
        <v>42124</v>
      </c>
      <c r="L234" s="133">
        <v>24</v>
      </c>
      <c r="M234" s="133" t="b">
        <f ca="1">IF(TODAY()-Table_Query_from_A_Readiness_1[[#This Row],[PER_DATE]]&gt;=0,TRUE, FALSE)</f>
        <v>0</v>
      </c>
    </row>
    <row r="235" spans="1:13">
      <c r="A235">
        <v>42139</v>
      </c>
      <c r="B235" t="s">
        <v>324</v>
      </c>
      <c r="C235" t="s">
        <v>149</v>
      </c>
      <c r="D235" s="133">
        <v>30</v>
      </c>
      <c r="E235" s="133">
        <v>0</v>
      </c>
      <c r="F235" s="133">
        <v>24</v>
      </c>
      <c r="G235" s="133">
        <v>0</v>
      </c>
      <c r="H235" s="133">
        <v>0</v>
      </c>
      <c r="I235" s="133">
        <v>0</v>
      </c>
      <c r="J235" s="133">
        <v>0</v>
      </c>
      <c r="K235">
        <v>42124</v>
      </c>
      <c r="L235" s="133">
        <v>0</v>
      </c>
      <c r="M235" s="133" t="b">
        <f ca="1">IF(TODAY()-Table_Query_from_A_Readiness_1[[#This Row],[PER_DATE]]&gt;=0,TRUE, FALSE)</f>
        <v>0</v>
      </c>
    </row>
    <row r="236" spans="1:13">
      <c r="A236">
        <v>42139</v>
      </c>
      <c r="B236" t="s">
        <v>324</v>
      </c>
      <c r="C236" t="s">
        <v>151</v>
      </c>
      <c r="D236" s="133">
        <v>30</v>
      </c>
      <c r="E236" s="133">
        <v>0</v>
      </c>
      <c r="F236" s="133">
        <v>0</v>
      </c>
      <c r="G236" s="133">
        <v>0</v>
      </c>
      <c r="H236" s="133">
        <v>24</v>
      </c>
      <c r="I236" s="133">
        <v>0</v>
      </c>
      <c r="J236" s="133">
        <v>0</v>
      </c>
      <c r="K236">
        <v>42124</v>
      </c>
      <c r="L236" s="133">
        <v>0</v>
      </c>
      <c r="M236" s="133" t="b">
        <f ca="1">IF(TODAY()-Table_Query_from_A_Readiness_1[[#This Row],[PER_DATE]]&gt;=0,TRUE, FALSE)</f>
        <v>0</v>
      </c>
    </row>
    <row r="237" spans="1:13">
      <c r="A237">
        <v>42139</v>
      </c>
      <c r="B237" t="s">
        <v>324</v>
      </c>
      <c r="C237" t="s">
        <v>153</v>
      </c>
      <c r="D237" s="133">
        <v>30</v>
      </c>
      <c r="E237" s="133">
        <v>0</v>
      </c>
      <c r="F237" s="133">
        <v>0</v>
      </c>
      <c r="G237" s="133">
        <v>0</v>
      </c>
      <c r="H237" s="133">
        <v>24</v>
      </c>
      <c r="I237" s="133">
        <v>0</v>
      </c>
      <c r="J237" s="133">
        <v>0</v>
      </c>
      <c r="K237">
        <v>42124</v>
      </c>
      <c r="L237" s="133">
        <v>0</v>
      </c>
      <c r="M237" s="133" t="b">
        <f ca="1">IF(TODAY()-Table_Query_from_A_Readiness_1[[#This Row],[PER_DATE]]&gt;=0,TRUE, FALSE)</f>
        <v>0</v>
      </c>
    </row>
    <row r="238" spans="1:13">
      <c r="A238">
        <v>42139</v>
      </c>
      <c r="B238" t="s">
        <v>324</v>
      </c>
      <c r="C238" t="s">
        <v>155</v>
      </c>
      <c r="D238" s="133">
        <v>30</v>
      </c>
      <c r="E238" s="133">
        <v>0</v>
      </c>
      <c r="F238" s="133">
        <v>0</v>
      </c>
      <c r="G238" s="133">
        <v>0</v>
      </c>
      <c r="H238" s="133">
        <v>0</v>
      </c>
      <c r="I238" s="133">
        <v>24</v>
      </c>
      <c r="J238" s="133">
        <v>0</v>
      </c>
      <c r="K238">
        <v>42124</v>
      </c>
      <c r="L238" s="133">
        <v>0</v>
      </c>
      <c r="M238" s="133" t="b">
        <f ca="1">IF(TODAY()-Table_Query_from_A_Readiness_1[[#This Row],[PER_DATE]]&gt;=0,TRUE, FALSE)</f>
        <v>0</v>
      </c>
    </row>
    <row r="239" spans="1:13">
      <c r="A239">
        <v>42139</v>
      </c>
      <c r="B239" t="s">
        <v>324</v>
      </c>
      <c r="C239" t="s">
        <v>156</v>
      </c>
      <c r="D239" s="133">
        <v>30</v>
      </c>
      <c r="E239" s="133">
        <v>0</v>
      </c>
      <c r="F239" s="133">
        <v>24</v>
      </c>
      <c r="G239" s="133">
        <v>0</v>
      </c>
      <c r="H239" s="133">
        <v>0</v>
      </c>
      <c r="I239" s="133">
        <v>0</v>
      </c>
      <c r="J239" s="133">
        <v>0</v>
      </c>
      <c r="K239">
        <v>42124</v>
      </c>
      <c r="L239" s="133">
        <v>0</v>
      </c>
      <c r="M239" s="133" t="b">
        <f ca="1">IF(TODAY()-Table_Query_from_A_Readiness_1[[#This Row],[PER_DATE]]&gt;=0,TRUE, FALSE)</f>
        <v>0</v>
      </c>
    </row>
    <row r="240" spans="1:13">
      <c r="A240">
        <v>42139</v>
      </c>
      <c r="B240" t="s">
        <v>324</v>
      </c>
      <c r="C240" t="s">
        <v>169</v>
      </c>
      <c r="D240" s="133">
        <v>30</v>
      </c>
      <c r="E240" s="133">
        <v>0</v>
      </c>
      <c r="F240" s="133">
        <v>0</v>
      </c>
      <c r="G240" s="133">
        <v>0</v>
      </c>
      <c r="H240" s="133">
        <v>0</v>
      </c>
      <c r="I240" s="133">
        <v>24</v>
      </c>
      <c r="J240" s="133">
        <v>0</v>
      </c>
      <c r="K240">
        <v>42124</v>
      </c>
      <c r="L240" s="133">
        <v>0</v>
      </c>
      <c r="M240" s="133" t="b">
        <f ca="1">IF(TODAY()-Table_Query_from_A_Readiness_1[[#This Row],[PER_DATE]]&gt;=0,TRUE, FALSE)</f>
        <v>0</v>
      </c>
    </row>
    <row r="241" spans="1:13">
      <c r="A241">
        <v>42139</v>
      </c>
      <c r="B241" t="s">
        <v>324</v>
      </c>
      <c r="C241" t="s">
        <v>158</v>
      </c>
      <c r="D241" s="133">
        <v>30</v>
      </c>
      <c r="E241" s="133">
        <v>24</v>
      </c>
      <c r="F241" s="133">
        <v>0</v>
      </c>
      <c r="G241" s="133">
        <v>0</v>
      </c>
      <c r="H241" s="133">
        <v>0</v>
      </c>
      <c r="I241" s="133">
        <v>0</v>
      </c>
      <c r="J241" s="133">
        <v>0</v>
      </c>
      <c r="K241">
        <v>42124</v>
      </c>
      <c r="L241" s="133">
        <v>0</v>
      </c>
      <c r="M241" s="133" t="b">
        <f ca="1">IF(TODAY()-Table_Query_from_A_Readiness_1[[#This Row],[PER_DATE]]&gt;=0,TRUE, FALSE)</f>
        <v>0</v>
      </c>
    </row>
    <row r="244" spans="1:13">
      <c r="E244" s="133">
        <f ca="1">SUMIF(Table_Query_from_A_Readiness_1[Past], TRUE, Table_Query_from_A_Readiness_1[FMC])</f>
        <v>0</v>
      </c>
      <c r="F244" s="133">
        <f ca="1">SUMIF(Table_Query_from_A_Readiness_1[Past], TRUE, Table_Query_from_A_Readiness_1[PMCS])</f>
        <v>428.8</v>
      </c>
      <c r="G244" s="133">
        <f ca="1">SUMIF(Table_Query_from_A_Readiness_1[Past], TRUE,Table_Query_from_A_Readiness_1[PMCM])</f>
        <v>0</v>
      </c>
      <c r="H244" s="133">
        <f ca="1">SUMIF(Table_Query_from_A_Readiness_1[Past], TRUE, Table_Query_from_A_Readiness_1[NMCS])</f>
        <v>243</v>
      </c>
      <c r="I244" s="133">
        <f ca="1">SUMIF(Table_Query_from_A_Readiness_1[Past], TRUE, Table_Query_from_A_Readiness_1[NMCM_UNIT])</f>
        <v>275.3</v>
      </c>
      <c r="J244" s="133">
        <f ca="1">SUMIF(Table_Query_from_A_Readiness_1[Past],TRUE,Table_Query_from_A_Readiness_1[FLY_HOURS])</f>
        <v>6.8</v>
      </c>
      <c r="L244" s="133">
        <f ca="1">SUMIF(Table_Query_from_A_Readiness_1[Past], TRUE, Table_Query_from_A_Readiness_1[NMCM_DEP])</f>
        <v>12.9</v>
      </c>
    </row>
    <row r="246" spans="1:13">
      <c r="E246" s="133">
        <f ca="1">SUM(E244:I244,L244)</f>
        <v>960</v>
      </c>
    </row>
  </sheetData>
  <pageMargins left="0.7" right="0.7" top="0.75" bottom="0.75" header="0.3" footer="0.3"/>
  <tableParts count="1">
    <tablePart r:id="rId1"/>
  </tableParts>
</worksheet>
</file>

<file path=xl/worksheets/sheet12.xml><?xml version="1.0" encoding="utf-8"?>
<worksheet xmlns="http://schemas.openxmlformats.org/spreadsheetml/2006/main" xmlns:r="http://schemas.openxmlformats.org/officeDocument/2006/relationships">
  <sheetPr codeName="Sheet14"/>
  <dimension ref="A1:M726"/>
  <sheetViews>
    <sheetView topLeftCell="A6" workbookViewId="0">
      <selection activeCell="I17" sqref="I17"/>
    </sheetView>
  </sheetViews>
  <sheetFormatPr defaultRowHeight="15"/>
  <cols>
    <col min="1" max="1" width="17.5703125" customWidth="1"/>
    <col min="2" max="2" width="8.7109375" bestFit="1" customWidth="1"/>
    <col min="3" max="3" width="7.7109375" bestFit="1" customWidth="1"/>
    <col min="4" max="4" width="7" style="133" bestFit="1" customWidth="1"/>
    <col min="5" max="5" width="7.28515625" style="133" bestFit="1" customWidth="1"/>
    <col min="6" max="6" width="8.42578125" style="133" bestFit="1" customWidth="1"/>
    <col min="7" max="7" width="9.28515625" style="133" bestFit="1" customWidth="1"/>
    <col min="8" max="8" width="8.7109375" style="133" bestFit="1" customWidth="1"/>
    <col min="9" max="9" width="15" style="133" bestFit="1" customWidth="1"/>
    <col min="10" max="10" width="13.5703125" style="133" bestFit="1" customWidth="1"/>
    <col min="11" max="11" width="12.140625" bestFit="1" customWidth="1"/>
    <col min="12" max="12" width="14" style="133" customWidth="1"/>
    <col min="13" max="13" width="7" customWidth="1"/>
  </cols>
  <sheetData>
    <row r="1" spans="1:13">
      <c r="A1" s="133" t="s">
        <v>322</v>
      </c>
      <c r="B1" s="133" t="s">
        <v>323</v>
      </c>
      <c r="C1" s="133" t="s">
        <v>137</v>
      </c>
      <c r="D1" s="133" t="s">
        <v>179</v>
      </c>
      <c r="E1" s="133" t="s">
        <v>16</v>
      </c>
      <c r="F1" s="133" t="s">
        <v>23</v>
      </c>
      <c r="G1" s="133" t="s">
        <v>22</v>
      </c>
      <c r="H1" s="133" t="s">
        <v>65</v>
      </c>
      <c r="I1" s="133" t="s">
        <v>182</v>
      </c>
      <c r="J1" s="133" t="s">
        <v>183</v>
      </c>
      <c r="K1" s="133" t="s">
        <v>195</v>
      </c>
      <c r="L1" s="133" t="s">
        <v>180</v>
      </c>
      <c r="M1" s="133" t="s">
        <v>331</v>
      </c>
    </row>
    <row r="2" spans="1:13">
      <c r="A2">
        <v>42139</v>
      </c>
      <c r="B2" t="s">
        <v>332</v>
      </c>
      <c r="C2" t="s">
        <v>164</v>
      </c>
      <c r="D2" s="133">
        <v>1</v>
      </c>
      <c r="E2" s="133">
        <v>24</v>
      </c>
      <c r="F2" s="133">
        <v>0</v>
      </c>
      <c r="G2" s="133">
        <v>0</v>
      </c>
      <c r="H2" s="133">
        <v>0</v>
      </c>
      <c r="I2" s="133">
        <v>0</v>
      </c>
      <c r="J2" s="133">
        <v>0</v>
      </c>
      <c r="K2">
        <v>42125</v>
      </c>
      <c r="L2" s="133">
        <v>0</v>
      </c>
      <c r="M2" s="133" t="b">
        <f ca="1">IF(TODAY()-Table_Query_from_A_Readiness_19[[#This Row],[PER_DATE]]&gt;=0,TRUE, FALSE)</f>
        <v>0</v>
      </c>
    </row>
    <row r="3" spans="1:13">
      <c r="A3">
        <v>42139</v>
      </c>
      <c r="B3" t="s">
        <v>332</v>
      </c>
      <c r="C3" t="s">
        <v>161</v>
      </c>
      <c r="D3" s="133">
        <v>1</v>
      </c>
      <c r="E3" s="133">
        <v>0</v>
      </c>
      <c r="F3" s="133">
        <v>0</v>
      </c>
      <c r="G3" s="133">
        <v>0</v>
      </c>
      <c r="H3" s="133">
        <v>0</v>
      </c>
      <c r="I3" s="133">
        <v>0</v>
      </c>
      <c r="J3" s="133">
        <v>0</v>
      </c>
      <c r="K3">
        <v>42125</v>
      </c>
      <c r="L3" s="133">
        <v>24</v>
      </c>
      <c r="M3" s="133" t="b">
        <f ca="1">IF(TODAY()-Table_Query_from_A_Readiness_19[[#This Row],[PER_DATE]]&gt;=0,TRUE, FALSE)</f>
        <v>0</v>
      </c>
    </row>
    <row r="4" spans="1:13">
      <c r="A4">
        <v>42139</v>
      </c>
      <c r="B4" t="s">
        <v>332</v>
      </c>
      <c r="C4" t="s">
        <v>165</v>
      </c>
      <c r="D4" s="133">
        <v>1</v>
      </c>
      <c r="E4" s="133">
        <v>24</v>
      </c>
      <c r="F4" s="133">
        <v>0</v>
      </c>
      <c r="G4" s="133">
        <v>0</v>
      </c>
      <c r="H4" s="133">
        <v>0</v>
      </c>
      <c r="I4" s="133">
        <v>0</v>
      </c>
      <c r="J4" s="133">
        <v>0</v>
      </c>
      <c r="K4">
        <v>42125</v>
      </c>
      <c r="L4" s="133">
        <v>0</v>
      </c>
      <c r="M4" s="133" t="b">
        <f ca="1">IF(TODAY()-Table_Query_from_A_Readiness_19[[#This Row],[PER_DATE]]&gt;=0,TRUE, FALSE)</f>
        <v>0</v>
      </c>
    </row>
    <row r="5" spans="1:13">
      <c r="A5">
        <v>42139</v>
      </c>
      <c r="B5" t="s">
        <v>324</v>
      </c>
      <c r="C5" t="s">
        <v>148</v>
      </c>
      <c r="D5" s="133">
        <v>1</v>
      </c>
      <c r="E5" s="133">
        <v>0</v>
      </c>
      <c r="F5" s="133">
        <v>0</v>
      </c>
      <c r="G5" s="133">
        <v>0</v>
      </c>
      <c r="H5" s="133">
        <v>0</v>
      </c>
      <c r="I5" s="133">
        <v>0</v>
      </c>
      <c r="J5" s="133">
        <v>0</v>
      </c>
      <c r="K5">
        <v>42125</v>
      </c>
      <c r="L5" s="133">
        <v>24</v>
      </c>
      <c r="M5" s="133" t="b">
        <f ca="1">IF(TODAY()-Table_Query_from_A_Readiness_19[[#This Row],[PER_DATE]]&gt;=0,TRUE, FALSE)</f>
        <v>0</v>
      </c>
    </row>
    <row r="6" spans="1:13">
      <c r="A6">
        <v>42139</v>
      </c>
      <c r="B6" t="s">
        <v>332</v>
      </c>
      <c r="C6" t="s">
        <v>162</v>
      </c>
      <c r="D6" s="133">
        <v>1</v>
      </c>
      <c r="E6" s="133">
        <v>24</v>
      </c>
      <c r="F6" s="133">
        <v>0</v>
      </c>
      <c r="G6" s="133">
        <v>0</v>
      </c>
      <c r="H6" s="133">
        <v>0</v>
      </c>
      <c r="I6" s="133">
        <v>0</v>
      </c>
      <c r="J6" s="133">
        <v>0</v>
      </c>
      <c r="K6">
        <v>42125</v>
      </c>
      <c r="L6" s="133">
        <v>0</v>
      </c>
      <c r="M6" s="133" t="b">
        <f ca="1">IF(TODAY()-Table_Query_from_A_Readiness_19[[#This Row],[PER_DATE]]&gt;=0,TRUE, FALSE)</f>
        <v>0</v>
      </c>
    </row>
    <row r="7" spans="1:13">
      <c r="A7">
        <v>42139</v>
      </c>
      <c r="B7" t="s">
        <v>332</v>
      </c>
      <c r="C7" t="s">
        <v>163</v>
      </c>
      <c r="D7" s="133">
        <v>1</v>
      </c>
      <c r="E7" s="133">
        <v>24</v>
      </c>
      <c r="F7" s="133">
        <v>0</v>
      </c>
      <c r="G7" s="133">
        <v>0</v>
      </c>
      <c r="H7" s="133">
        <v>0</v>
      </c>
      <c r="I7" s="133">
        <v>0</v>
      </c>
      <c r="J7" s="133">
        <v>0</v>
      </c>
      <c r="K7">
        <v>42125</v>
      </c>
      <c r="L7" s="133">
        <v>0</v>
      </c>
      <c r="M7" s="133" t="b">
        <f ca="1">IF(TODAY()-Table_Query_from_A_Readiness_19[[#This Row],[PER_DATE]]&gt;=0,TRUE, FALSE)</f>
        <v>0</v>
      </c>
    </row>
    <row r="8" spans="1:13">
      <c r="A8">
        <v>42139</v>
      </c>
      <c r="B8" t="s">
        <v>325</v>
      </c>
      <c r="C8" t="s">
        <v>166</v>
      </c>
      <c r="D8" s="133">
        <v>1</v>
      </c>
      <c r="E8" s="133">
        <v>24</v>
      </c>
      <c r="F8" s="133">
        <v>0</v>
      </c>
      <c r="G8" s="133">
        <v>0</v>
      </c>
      <c r="H8" s="133">
        <v>0</v>
      </c>
      <c r="I8" s="133">
        <v>0</v>
      </c>
      <c r="J8" s="133">
        <v>0</v>
      </c>
      <c r="K8">
        <v>42125</v>
      </c>
      <c r="L8" s="133">
        <v>0</v>
      </c>
      <c r="M8" s="133" t="b">
        <f ca="1">IF(TODAY()-Table_Query_from_A_Readiness_19[[#This Row],[PER_DATE]]&gt;=0,TRUE, FALSE)</f>
        <v>0</v>
      </c>
    </row>
    <row r="9" spans="1:13">
      <c r="A9">
        <v>42139</v>
      </c>
      <c r="B9" t="s">
        <v>324</v>
      </c>
      <c r="C9" t="s">
        <v>149</v>
      </c>
      <c r="D9" s="133">
        <v>1</v>
      </c>
      <c r="E9" s="133">
        <v>0</v>
      </c>
      <c r="F9" s="133">
        <v>24</v>
      </c>
      <c r="G9" s="133">
        <v>0</v>
      </c>
      <c r="H9" s="133">
        <v>0</v>
      </c>
      <c r="I9" s="133">
        <v>0</v>
      </c>
      <c r="J9" s="133">
        <v>0</v>
      </c>
      <c r="K9">
        <v>42125</v>
      </c>
      <c r="L9" s="133">
        <v>0</v>
      </c>
      <c r="M9" s="133" t="b">
        <f ca="1">IF(TODAY()-Table_Query_from_A_Readiness_19[[#This Row],[PER_DATE]]&gt;=0,TRUE, FALSE)</f>
        <v>0</v>
      </c>
    </row>
    <row r="10" spans="1:13">
      <c r="A10">
        <v>42139</v>
      </c>
      <c r="B10" t="s">
        <v>332</v>
      </c>
      <c r="C10" t="s">
        <v>150</v>
      </c>
      <c r="D10" s="133">
        <v>1</v>
      </c>
      <c r="E10" s="133">
        <v>24</v>
      </c>
      <c r="F10" s="133">
        <v>0</v>
      </c>
      <c r="G10" s="133">
        <v>0</v>
      </c>
      <c r="H10" s="133">
        <v>0</v>
      </c>
      <c r="I10" s="133">
        <v>0</v>
      </c>
      <c r="J10" s="133">
        <v>0</v>
      </c>
      <c r="K10">
        <v>42125</v>
      </c>
      <c r="L10" s="133">
        <v>0</v>
      </c>
      <c r="M10" s="133" t="b">
        <f ca="1">IF(TODAY()-Table_Query_from_A_Readiness_19[[#This Row],[PER_DATE]]&gt;=0,TRUE, FALSE)</f>
        <v>0</v>
      </c>
    </row>
    <row r="11" spans="1:13">
      <c r="A11">
        <v>42139</v>
      </c>
      <c r="B11" t="s">
        <v>324</v>
      </c>
      <c r="C11" t="s">
        <v>151</v>
      </c>
      <c r="D11" s="133">
        <v>1</v>
      </c>
      <c r="E11" s="133">
        <v>0</v>
      </c>
      <c r="F11" s="133">
        <v>0</v>
      </c>
      <c r="G11" s="133">
        <v>0</v>
      </c>
      <c r="H11" s="133">
        <v>24</v>
      </c>
      <c r="I11" s="133">
        <v>0</v>
      </c>
      <c r="J11" s="133">
        <v>0</v>
      </c>
      <c r="K11">
        <v>42125</v>
      </c>
      <c r="L11" s="133">
        <v>0</v>
      </c>
      <c r="M11" s="133" t="b">
        <f ca="1">IF(TODAY()-Table_Query_from_A_Readiness_19[[#This Row],[PER_DATE]]&gt;=0,TRUE, FALSE)</f>
        <v>0</v>
      </c>
    </row>
    <row r="12" spans="1:13">
      <c r="A12">
        <v>42139</v>
      </c>
      <c r="B12" t="s">
        <v>325</v>
      </c>
      <c r="C12" t="s">
        <v>152</v>
      </c>
      <c r="D12" s="133">
        <v>1</v>
      </c>
      <c r="E12" s="133">
        <v>24</v>
      </c>
      <c r="F12" s="133">
        <v>0</v>
      </c>
      <c r="G12" s="133">
        <v>0</v>
      </c>
      <c r="H12" s="133">
        <v>0</v>
      </c>
      <c r="I12" s="133">
        <v>0</v>
      </c>
      <c r="J12" s="133">
        <v>0</v>
      </c>
      <c r="K12">
        <v>42125</v>
      </c>
      <c r="L12" s="133">
        <v>0</v>
      </c>
      <c r="M12" s="133" t="b">
        <f ca="1">IF(TODAY()-Table_Query_from_A_Readiness_19[[#This Row],[PER_DATE]]&gt;=0,TRUE, FALSE)</f>
        <v>0</v>
      </c>
    </row>
    <row r="13" spans="1:13">
      <c r="A13">
        <v>42139</v>
      </c>
      <c r="B13" t="s">
        <v>332</v>
      </c>
      <c r="C13" t="s">
        <v>145</v>
      </c>
      <c r="D13" s="133">
        <v>1</v>
      </c>
      <c r="E13" s="133">
        <v>24</v>
      </c>
      <c r="F13" s="133">
        <v>0</v>
      </c>
      <c r="G13" s="133">
        <v>0</v>
      </c>
      <c r="H13" s="133">
        <v>0</v>
      </c>
      <c r="I13" s="133">
        <v>0</v>
      </c>
      <c r="J13" s="133">
        <v>0</v>
      </c>
      <c r="K13">
        <v>42125</v>
      </c>
      <c r="L13" s="133">
        <v>0</v>
      </c>
      <c r="M13" s="133" t="b">
        <f ca="1">IF(TODAY()-Table_Query_from_A_Readiness_19[[#This Row],[PER_DATE]]&gt;=0,TRUE, FALSE)</f>
        <v>0</v>
      </c>
    </row>
    <row r="14" spans="1:13">
      <c r="A14">
        <v>42139</v>
      </c>
      <c r="B14" t="s">
        <v>325</v>
      </c>
      <c r="C14" t="s">
        <v>167</v>
      </c>
      <c r="D14" s="133">
        <v>1</v>
      </c>
      <c r="E14" s="133">
        <v>24</v>
      </c>
      <c r="F14" s="133">
        <v>0</v>
      </c>
      <c r="G14" s="133">
        <v>0</v>
      </c>
      <c r="H14" s="133">
        <v>0</v>
      </c>
      <c r="I14" s="133">
        <v>0</v>
      </c>
      <c r="J14" s="133">
        <v>0</v>
      </c>
      <c r="K14">
        <v>42125</v>
      </c>
      <c r="L14" s="133">
        <v>0</v>
      </c>
      <c r="M14" s="133" t="b">
        <f ca="1">IF(TODAY()-Table_Query_from_A_Readiness_19[[#This Row],[PER_DATE]]&gt;=0,TRUE, FALSE)</f>
        <v>0</v>
      </c>
    </row>
    <row r="15" spans="1:13">
      <c r="A15">
        <v>42139</v>
      </c>
      <c r="B15" t="s">
        <v>324</v>
      </c>
      <c r="C15" t="s">
        <v>153</v>
      </c>
      <c r="D15" s="133">
        <v>1</v>
      </c>
      <c r="E15" s="133">
        <v>0</v>
      </c>
      <c r="F15" s="133">
        <v>0</v>
      </c>
      <c r="G15" s="133">
        <v>0</v>
      </c>
      <c r="H15" s="133">
        <v>24</v>
      </c>
      <c r="I15" s="133">
        <v>0</v>
      </c>
      <c r="J15" s="133">
        <v>0</v>
      </c>
      <c r="K15">
        <v>42125</v>
      </c>
      <c r="L15" s="133">
        <v>0</v>
      </c>
      <c r="M15" s="133" t="b">
        <f ca="1">IF(TODAY()-Table_Query_from_A_Readiness_19[[#This Row],[PER_DATE]]&gt;=0,TRUE, FALSE)</f>
        <v>0</v>
      </c>
    </row>
    <row r="16" spans="1:13">
      <c r="A16">
        <v>42139</v>
      </c>
      <c r="B16" t="s">
        <v>325</v>
      </c>
      <c r="C16" t="s">
        <v>154</v>
      </c>
      <c r="D16" s="133">
        <v>1</v>
      </c>
      <c r="E16" s="133">
        <v>24</v>
      </c>
      <c r="F16" s="133">
        <v>0</v>
      </c>
      <c r="G16" s="133">
        <v>0</v>
      </c>
      <c r="H16" s="133">
        <v>0</v>
      </c>
      <c r="I16" s="133">
        <v>0</v>
      </c>
      <c r="J16" s="133">
        <v>0</v>
      </c>
      <c r="K16">
        <v>42125</v>
      </c>
      <c r="L16" s="133">
        <v>0</v>
      </c>
      <c r="M16" s="133" t="b">
        <f ca="1">IF(TODAY()-Table_Query_from_A_Readiness_19[[#This Row],[PER_DATE]]&gt;=0,TRUE, FALSE)</f>
        <v>0</v>
      </c>
    </row>
    <row r="17" spans="1:13">
      <c r="A17">
        <v>42139</v>
      </c>
      <c r="B17" t="s">
        <v>325</v>
      </c>
      <c r="C17" t="s">
        <v>168</v>
      </c>
      <c r="D17" s="133">
        <v>1</v>
      </c>
      <c r="E17" s="133">
        <v>24</v>
      </c>
      <c r="F17" s="133">
        <v>0</v>
      </c>
      <c r="G17" s="133">
        <v>0</v>
      </c>
      <c r="H17" s="133">
        <v>0</v>
      </c>
      <c r="I17" s="133">
        <v>0</v>
      </c>
      <c r="J17" s="133">
        <v>0</v>
      </c>
      <c r="K17">
        <v>42125</v>
      </c>
      <c r="L17" s="133">
        <v>0</v>
      </c>
      <c r="M17" s="133" t="b">
        <f ca="1">IF(TODAY()-Table_Query_from_A_Readiness_19[[#This Row],[PER_DATE]]&gt;=0,TRUE, FALSE)</f>
        <v>0</v>
      </c>
    </row>
    <row r="18" spans="1:13">
      <c r="A18">
        <v>42139</v>
      </c>
      <c r="B18" t="s">
        <v>324</v>
      </c>
      <c r="C18" t="s">
        <v>155</v>
      </c>
      <c r="D18" s="133">
        <v>1</v>
      </c>
      <c r="E18" s="133">
        <v>0</v>
      </c>
      <c r="F18" s="133">
        <v>0</v>
      </c>
      <c r="G18" s="133">
        <v>0</v>
      </c>
      <c r="H18" s="133">
        <v>0</v>
      </c>
      <c r="I18" s="133">
        <v>24</v>
      </c>
      <c r="J18" s="133">
        <v>0</v>
      </c>
      <c r="K18">
        <v>42125</v>
      </c>
      <c r="L18" s="133">
        <v>0</v>
      </c>
      <c r="M18" s="133" t="b">
        <f ca="1">IF(TODAY()-Table_Query_from_A_Readiness_19[[#This Row],[PER_DATE]]&gt;=0,TRUE, FALSE)</f>
        <v>0</v>
      </c>
    </row>
    <row r="19" spans="1:13">
      <c r="A19">
        <v>42139</v>
      </c>
      <c r="B19" t="s">
        <v>324</v>
      </c>
      <c r="C19" t="s">
        <v>156</v>
      </c>
      <c r="D19" s="133">
        <v>1</v>
      </c>
      <c r="E19" s="133">
        <v>0</v>
      </c>
      <c r="F19" s="133">
        <v>24</v>
      </c>
      <c r="G19" s="133">
        <v>0</v>
      </c>
      <c r="H19" s="133">
        <v>0</v>
      </c>
      <c r="I19" s="133">
        <v>0</v>
      </c>
      <c r="J19" s="133">
        <v>0</v>
      </c>
      <c r="K19">
        <v>42125</v>
      </c>
      <c r="L19" s="133">
        <v>0</v>
      </c>
      <c r="M19" s="133" t="b">
        <f ca="1">IF(TODAY()-Table_Query_from_A_Readiness_19[[#This Row],[PER_DATE]]&gt;=0,TRUE, FALSE)</f>
        <v>0</v>
      </c>
    </row>
    <row r="20" spans="1:13">
      <c r="A20">
        <v>42139</v>
      </c>
      <c r="B20" t="s">
        <v>325</v>
      </c>
      <c r="C20" t="s">
        <v>157</v>
      </c>
      <c r="D20" s="133">
        <v>1</v>
      </c>
      <c r="E20" s="133">
        <v>24</v>
      </c>
      <c r="F20" s="133">
        <v>0</v>
      </c>
      <c r="G20" s="133">
        <v>0</v>
      </c>
      <c r="H20" s="133">
        <v>0</v>
      </c>
      <c r="I20" s="133">
        <v>0</v>
      </c>
      <c r="J20" s="133">
        <v>0</v>
      </c>
      <c r="K20">
        <v>42125</v>
      </c>
      <c r="L20" s="133">
        <v>0</v>
      </c>
      <c r="M20" s="133" t="b">
        <f ca="1">IF(TODAY()-Table_Query_from_A_Readiness_19[[#This Row],[PER_DATE]]&gt;=0,TRUE, FALSE)</f>
        <v>0</v>
      </c>
    </row>
    <row r="21" spans="1:13">
      <c r="A21">
        <v>42139</v>
      </c>
      <c r="B21" t="s">
        <v>324</v>
      </c>
      <c r="C21" t="s">
        <v>169</v>
      </c>
      <c r="D21" s="133">
        <v>1</v>
      </c>
      <c r="E21" s="133">
        <v>0</v>
      </c>
      <c r="F21" s="133">
        <v>0</v>
      </c>
      <c r="G21" s="133">
        <v>0</v>
      </c>
      <c r="H21" s="133">
        <v>0</v>
      </c>
      <c r="I21" s="133">
        <v>24</v>
      </c>
      <c r="J21" s="133">
        <v>0</v>
      </c>
      <c r="K21">
        <v>42125</v>
      </c>
      <c r="L21" s="133">
        <v>0</v>
      </c>
      <c r="M21" s="133" t="b">
        <f ca="1">IF(TODAY()-Table_Query_from_A_Readiness_19[[#This Row],[PER_DATE]]&gt;=0,TRUE, FALSE)</f>
        <v>0</v>
      </c>
    </row>
    <row r="22" spans="1:13">
      <c r="A22">
        <v>42139</v>
      </c>
      <c r="B22" t="s">
        <v>332</v>
      </c>
      <c r="C22" t="s">
        <v>170</v>
      </c>
      <c r="D22" s="133">
        <v>1</v>
      </c>
      <c r="E22" s="133">
        <v>24</v>
      </c>
      <c r="F22" s="133">
        <v>0</v>
      </c>
      <c r="G22" s="133">
        <v>0</v>
      </c>
      <c r="H22" s="133">
        <v>0</v>
      </c>
      <c r="I22" s="133">
        <v>0</v>
      </c>
      <c r="J22" s="133">
        <v>0</v>
      </c>
      <c r="K22">
        <v>42125</v>
      </c>
      <c r="L22" s="133">
        <v>0</v>
      </c>
      <c r="M22" s="133" t="b">
        <f ca="1">IF(TODAY()-Table_Query_from_A_Readiness_19[[#This Row],[PER_DATE]]&gt;=0,TRUE, FALSE)</f>
        <v>0</v>
      </c>
    </row>
    <row r="23" spans="1:13">
      <c r="A23">
        <v>42139</v>
      </c>
      <c r="B23" t="s">
        <v>324</v>
      </c>
      <c r="C23" t="s">
        <v>158</v>
      </c>
      <c r="D23" s="133">
        <v>1</v>
      </c>
      <c r="E23" s="133">
        <v>24</v>
      </c>
      <c r="F23" s="133">
        <v>0</v>
      </c>
      <c r="G23" s="133">
        <v>0</v>
      </c>
      <c r="H23" s="133">
        <v>0</v>
      </c>
      <c r="I23" s="133">
        <v>0</v>
      </c>
      <c r="J23" s="133">
        <v>0</v>
      </c>
      <c r="K23">
        <v>42125</v>
      </c>
      <c r="L23" s="133">
        <v>0</v>
      </c>
      <c r="M23" s="133" t="b">
        <f ca="1">IF(TODAY()-Table_Query_from_A_Readiness_19[[#This Row],[PER_DATE]]&gt;=0,TRUE, FALSE)</f>
        <v>0</v>
      </c>
    </row>
    <row r="24" spans="1:13">
      <c r="A24">
        <v>42139</v>
      </c>
      <c r="B24" t="s">
        <v>325</v>
      </c>
      <c r="C24" t="s">
        <v>159</v>
      </c>
      <c r="D24" s="133">
        <v>1</v>
      </c>
      <c r="E24" s="133">
        <v>24</v>
      </c>
      <c r="F24" s="133">
        <v>0</v>
      </c>
      <c r="G24" s="133">
        <v>0</v>
      </c>
      <c r="H24" s="133">
        <v>0</v>
      </c>
      <c r="I24" s="133">
        <v>0</v>
      </c>
      <c r="J24" s="133">
        <v>0</v>
      </c>
      <c r="K24">
        <v>42125</v>
      </c>
      <c r="L24" s="133">
        <v>0</v>
      </c>
      <c r="M24" s="133" t="b">
        <f ca="1">IF(TODAY()-Table_Query_from_A_Readiness_19[[#This Row],[PER_DATE]]&gt;=0,TRUE, FALSE)</f>
        <v>0</v>
      </c>
    </row>
    <row r="25" spans="1:13">
      <c r="A25">
        <v>42139</v>
      </c>
      <c r="B25" t="s">
        <v>325</v>
      </c>
      <c r="C25" t="s">
        <v>160</v>
      </c>
      <c r="D25" s="133">
        <v>1</v>
      </c>
      <c r="E25" s="133">
        <v>24</v>
      </c>
      <c r="F25" s="133">
        <v>0</v>
      </c>
      <c r="G25" s="133">
        <v>0</v>
      </c>
      <c r="H25" s="133">
        <v>0</v>
      </c>
      <c r="I25" s="133">
        <v>0</v>
      </c>
      <c r="J25" s="133">
        <v>0</v>
      </c>
      <c r="K25">
        <v>42125</v>
      </c>
      <c r="L25" s="133">
        <v>0</v>
      </c>
      <c r="M25" s="133" t="b">
        <f ca="1">IF(TODAY()-Table_Query_from_A_Readiness_19[[#This Row],[PER_DATE]]&gt;=0,TRUE, FALSE)</f>
        <v>0</v>
      </c>
    </row>
    <row r="26" spans="1:13">
      <c r="A26">
        <v>42139</v>
      </c>
      <c r="B26" t="s">
        <v>332</v>
      </c>
      <c r="C26" t="s">
        <v>164</v>
      </c>
      <c r="D26" s="133">
        <v>2</v>
      </c>
      <c r="E26" s="133">
        <v>24</v>
      </c>
      <c r="F26" s="133">
        <v>0</v>
      </c>
      <c r="G26" s="133">
        <v>0</v>
      </c>
      <c r="H26" s="133">
        <v>0</v>
      </c>
      <c r="I26" s="133">
        <v>0</v>
      </c>
      <c r="J26" s="133">
        <v>0</v>
      </c>
      <c r="K26">
        <v>42126</v>
      </c>
      <c r="L26" s="133">
        <v>0</v>
      </c>
      <c r="M26" s="133" t="b">
        <f ca="1">IF(TODAY()-Table_Query_from_A_Readiness_19[[#This Row],[PER_DATE]]&gt;=0,TRUE, FALSE)</f>
        <v>0</v>
      </c>
    </row>
    <row r="27" spans="1:13">
      <c r="A27">
        <v>42139</v>
      </c>
      <c r="B27" t="s">
        <v>332</v>
      </c>
      <c r="C27" t="s">
        <v>161</v>
      </c>
      <c r="D27" s="133">
        <v>2</v>
      </c>
      <c r="E27" s="133">
        <v>0</v>
      </c>
      <c r="F27" s="133">
        <v>0</v>
      </c>
      <c r="G27" s="133">
        <v>0</v>
      </c>
      <c r="H27" s="133">
        <v>0</v>
      </c>
      <c r="I27" s="133">
        <v>0</v>
      </c>
      <c r="J27" s="133">
        <v>0</v>
      </c>
      <c r="K27">
        <v>42126</v>
      </c>
      <c r="L27" s="133">
        <v>24</v>
      </c>
      <c r="M27" s="133" t="b">
        <f ca="1">IF(TODAY()-Table_Query_from_A_Readiness_19[[#This Row],[PER_DATE]]&gt;=0,TRUE, FALSE)</f>
        <v>0</v>
      </c>
    </row>
    <row r="28" spans="1:13">
      <c r="A28">
        <v>42139</v>
      </c>
      <c r="B28" t="s">
        <v>332</v>
      </c>
      <c r="C28" t="s">
        <v>165</v>
      </c>
      <c r="D28" s="133">
        <v>2</v>
      </c>
      <c r="E28" s="133">
        <v>24</v>
      </c>
      <c r="F28" s="133">
        <v>0</v>
      </c>
      <c r="G28" s="133">
        <v>0</v>
      </c>
      <c r="H28" s="133">
        <v>0</v>
      </c>
      <c r="I28" s="133">
        <v>0</v>
      </c>
      <c r="J28" s="133">
        <v>0</v>
      </c>
      <c r="K28">
        <v>42126</v>
      </c>
      <c r="L28" s="133">
        <v>0</v>
      </c>
      <c r="M28" s="133" t="b">
        <f ca="1">IF(TODAY()-Table_Query_from_A_Readiness_19[[#This Row],[PER_DATE]]&gt;=0,TRUE, FALSE)</f>
        <v>0</v>
      </c>
    </row>
    <row r="29" spans="1:13">
      <c r="A29">
        <v>42139</v>
      </c>
      <c r="B29" t="s">
        <v>324</v>
      </c>
      <c r="C29" t="s">
        <v>148</v>
      </c>
      <c r="D29" s="133">
        <v>2</v>
      </c>
      <c r="E29" s="133">
        <v>0</v>
      </c>
      <c r="F29" s="133">
        <v>0</v>
      </c>
      <c r="G29" s="133">
        <v>0</v>
      </c>
      <c r="H29" s="133">
        <v>0</v>
      </c>
      <c r="I29" s="133">
        <v>0</v>
      </c>
      <c r="J29" s="133">
        <v>0</v>
      </c>
      <c r="K29">
        <v>42126</v>
      </c>
      <c r="L29" s="133">
        <v>24</v>
      </c>
      <c r="M29" s="133" t="b">
        <f ca="1">IF(TODAY()-Table_Query_from_A_Readiness_19[[#This Row],[PER_DATE]]&gt;=0,TRUE, FALSE)</f>
        <v>0</v>
      </c>
    </row>
    <row r="30" spans="1:13">
      <c r="A30">
        <v>42139</v>
      </c>
      <c r="B30" t="s">
        <v>332</v>
      </c>
      <c r="C30" t="s">
        <v>162</v>
      </c>
      <c r="D30" s="133">
        <v>2</v>
      </c>
      <c r="E30" s="133">
        <v>24</v>
      </c>
      <c r="F30" s="133">
        <v>0</v>
      </c>
      <c r="G30" s="133">
        <v>0</v>
      </c>
      <c r="H30" s="133">
        <v>0</v>
      </c>
      <c r="I30" s="133">
        <v>0</v>
      </c>
      <c r="J30" s="133">
        <v>0</v>
      </c>
      <c r="K30">
        <v>42126</v>
      </c>
      <c r="L30" s="133">
        <v>0</v>
      </c>
      <c r="M30" s="133" t="b">
        <f ca="1">IF(TODAY()-Table_Query_from_A_Readiness_19[[#This Row],[PER_DATE]]&gt;=0,TRUE, FALSE)</f>
        <v>0</v>
      </c>
    </row>
    <row r="31" spans="1:13">
      <c r="A31">
        <v>42139</v>
      </c>
      <c r="B31" t="s">
        <v>332</v>
      </c>
      <c r="C31" t="s">
        <v>163</v>
      </c>
      <c r="D31" s="133">
        <v>2</v>
      </c>
      <c r="E31" s="133">
        <v>24</v>
      </c>
      <c r="F31" s="133">
        <v>0</v>
      </c>
      <c r="G31" s="133">
        <v>0</v>
      </c>
      <c r="H31" s="133">
        <v>0</v>
      </c>
      <c r="I31" s="133">
        <v>0</v>
      </c>
      <c r="J31" s="133">
        <v>0</v>
      </c>
      <c r="K31">
        <v>42126</v>
      </c>
      <c r="L31" s="133">
        <v>0</v>
      </c>
      <c r="M31" s="133" t="b">
        <f ca="1">IF(TODAY()-Table_Query_from_A_Readiness_19[[#This Row],[PER_DATE]]&gt;=0,TRUE, FALSE)</f>
        <v>0</v>
      </c>
    </row>
    <row r="32" spans="1:13">
      <c r="A32">
        <v>42139</v>
      </c>
      <c r="B32" t="s">
        <v>325</v>
      </c>
      <c r="C32" t="s">
        <v>166</v>
      </c>
      <c r="D32" s="133">
        <v>2</v>
      </c>
      <c r="E32" s="133">
        <v>24</v>
      </c>
      <c r="F32" s="133">
        <v>0</v>
      </c>
      <c r="G32" s="133">
        <v>0</v>
      </c>
      <c r="H32" s="133">
        <v>0</v>
      </c>
      <c r="I32" s="133">
        <v>0</v>
      </c>
      <c r="J32" s="133">
        <v>0</v>
      </c>
      <c r="K32">
        <v>42126</v>
      </c>
      <c r="L32" s="133">
        <v>0</v>
      </c>
      <c r="M32" s="133" t="b">
        <f ca="1">IF(TODAY()-Table_Query_from_A_Readiness_19[[#This Row],[PER_DATE]]&gt;=0,TRUE, FALSE)</f>
        <v>0</v>
      </c>
    </row>
    <row r="33" spans="1:13">
      <c r="A33">
        <v>42139</v>
      </c>
      <c r="B33" t="s">
        <v>324</v>
      </c>
      <c r="C33" t="s">
        <v>149</v>
      </c>
      <c r="D33" s="133">
        <v>2</v>
      </c>
      <c r="E33" s="133">
        <v>0</v>
      </c>
      <c r="F33" s="133">
        <v>24</v>
      </c>
      <c r="G33" s="133">
        <v>0</v>
      </c>
      <c r="H33" s="133">
        <v>0</v>
      </c>
      <c r="I33" s="133">
        <v>0</v>
      </c>
      <c r="J33" s="133">
        <v>0</v>
      </c>
      <c r="K33">
        <v>42126</v>
      </c>
      <c r="L33" s="133">
        <v>0</v>
      </c>
      <c r="M33" s="133" t="b">
        <f ca="1">IF(TODAY()-Table_Query_from_A_Readiness_19[[#This Row],[PER_DATE]]&gt;=0,TRUE, FALSE)</f>
        <v>0</v>
      </c>
    </row>
    <row r="34" spans="1:13">
      <c r="A34">
        <v>42139</v>
      </c>
      <c r="B34" t="s">
        <v>332</v>
      </c>
      <c r="C34" t="s">
        <v>150</v>
      </c>
      <c r="D34" s="133">
        <v>2</v>
      </c>
      <c r="E34" s="133">
        <v>24</v>
      </c>
      <c r="F34" s="133">
        <v>0</v>
      </c>
      <c r="G34" s="133">
        <v>0</v>
      </c>
      <c r="H34" s="133">
        <v>0</v>
      </c>
      <c r="I34" s="133">
        <v>0</v>
      </c>
      <c r="J34" s="133">
        <v>0</v>
      </c>
      <c r="K34">
        <v>42126</v>
      </c>
      <c r="L34" s="133">
        <v>0</v>
      </c>
      <c r="M34" s="133" t="b">
        <f ca="1">IF(TODAY()-Table_Query_from_A_Readiness_19[[#This Row],[PER_DATE]]&gt;=0,TRUE, FALSE)</f>
        <v>0</v>
      </c>
    </row>
    <row r="35" spans="1:13">
      <c r="A35">
        <v>42139</v>
      </c>
      <c r="B35" t="s">
        <v>324</v>
      </c>
      <c r="C35" t="s">
        <v>151</v>
      </c>
      <c r="D35" s="133">
        <v>2</v>
      </c>
      <c r="E35" s="133">
        <v>0</v>
      </c>
      <c r="F35" s="133">
        <v>0</v>
      </c>
      <c r="G35" s="133">
        <v>0</v>
      </c>
      <c r="H35" s="133">
        <v>24</v>
      </c>
      <c r="I35" s="133">
        <v>0</v>
      </c>
      <c r="J35" s="133">
        <v>0</v>
      </c>
      <c r="K35">
        <v>42126</v>
      </c>
      <c r="L35" s="133">
        <v>0</v>
      </c>
      <c r="M35" s="133" t="b">
        <f ca="1">IF(TODAY()-Table_Query_from_A_Readiness_19[[#This Row],[PER_DATE]]&gt;=0,TRUE, FALSE)</f>
        <v>0</v>
      </c>
    </row>
    <row r="36" spans="1:13">
      <c r="A36">
        <v>42139</v>
      </c>
      <c r="B36" t="s">
        <v>325</v>
      </c>
      <c r="C36" t="s">
        <v>152</v>
      </c>
      <c r="D36" s="133">
        <v>2</v>
      </c>
      <c r="E36" s="133">
        <v>24</v>
      </c>
      <c r="F36" s="133">
        <v>0</v>
      </c>
      <c r="G36" s="133">
        <v>0</v>
      </c>
      <c r="H36" s="133">
        <v>0</v>
      </c>
      <c r="I36" s="133">
        <v>0</v>
      </c>
      <c r="J36" s="133">
        <v>0</v>
      </c>
      <c r="K36">
        <v>42126</v>
      </c>
      <c r="L36" s="133">
        <v>0</v>
      </c>
      <c r="M36" s="133" t="b">
        <f ca="1">IF(TODAY()-Table_Query_from_A_Readiness_19[[#This Row],[PER_DATE]]&gt;=0,TRUE, FALSE)</f>
        <v>0</v>
      </c>
    </row>
    <row r="37" spans="1:13">
      <c r="A37">
        <v>42139</v>
      </c>
      <c r="B37" t="s">
        <v>332</v>
      </c>
      <c r="C37" t="s">
        <v>145</v>
      </c>
      <c r="D37" s="133">
        <v>2</v>
      </c>
      <c r="E37" s="133">
        <v>24</v>
      </c>
      <c r="F37" s="133">
        <v>0</v>
      </c>
      <c r="G37" s="133">
        <v>0</v>
      </c>
      <c r="H37" s="133">
        <v>0</v>
      </c>
      <c r="I37" s="133">
        <v>0</v>
      </c>
      <c r="J37" s="133">
        <v>0</v>
      </c>
      <c r="K37">
        <v>42126</v>
      </c>
      <c r="L37" s="133">
        <v>0</v>
      </c>
      <c r="M37" s="133" t="b">
        <f ca="1">IF(TODAY()-Table_Query_from_A_Readiness_19[[#This Row],[PER_DATE]]&gt;=0,TRUE, FALSE)</f>
        <v>0</v>
      </c>
    </row>
    <row r="38" spans="1:13">
      <c r="A38">
        <v>42139</v>
      </c>
      <c r="B38" t="s">
        <v>325</v>
      </c>
      <c r="C38" t="s">
        <v>167</v>
      </c>
      <c r="D38" s="133">
        <v>2</v>
      </c>
      <c r="E38" s="133">
        <v>24</v>
      </c>
      <c r="F38" s="133">
        <v>0</v>
      </c>
      <c r="G38" s="133">
        <v>0</v>
      </c>
      <c r="H38" s="133">
        <v>0</v>
      </c>
      <c r="I38" s="133">
        <v>0</v>
      </c>
      <c r="J38" s="133">
        <v>0</v>
      </c>
      <c r="K38">
        <v>42126</v>
      </c>
      <c r="L38" s="133">
        <v>0</v>
      </c>
      <c r="M38" s="133" t="b">
        <f ca="1">IF(TODAY()-Table_Query_from_A_Readiness_19[[#This Row],[PER_DATE]]&gt;=0,TRUE, FALSE)</f>
        <v>0</v>
      </c>
    </row>
    <row r="39" spans="1:13">
      <c r="A39">
        <v>42139</v>
      </c>
      <c r="B39" t="s">
        <v>324</v>
      </c>
      <c r="C39" t="s">
        <v>153</v>
      </c>
      <c r="D39" s="133">
        <v>2</v>
      </c>
      <c r="E39" s="133">
        <v>0</v>
      </c>
      <c r="F39" s="133">
        <v>0</v>
      </c>
      <c r="G39" s="133">
        <v>0</v>
      </c>
      <c r="H39" s="133">
        <v>24</v>
      </c>
      <c r="I39" s="133">
        <v>0</v>
      </c>
      <c r="J39" s="133">
        <v>0</v>
      </c>
      <c r="K39">
        <v>42126</v>
      </c>
      <c r="L39" s="133">
        <v>0</v>
      </c>
      <c r="M39" s="133" t="b">
        <f ca="1">IF(TODAY()-Table_Query_from_A_Readiness_19[[#This Row],[PER_DATE]]&gt;=0,TRUE, FALSE)</f>
        <v>0</v>
      </c>
    </row>
    <row r="40" spans="1:13">
      <c r="A40">
        <v>42139</v>
      </c>
      <c r="B40" t="s">
        <v>325</v>
      </c>
      <c r="C40" t="s">
        <v>154</v>
      </c>
      <c r="D40" s="133">
        <v>2</v>
      </c>
      <c r="E40" s="133">
        <v>24</v>
      </c>
      <c r="F40" s="133">
        <v>0</v>
      </c>
      <c r="G40" s="133">
        <v>0</v>
      </c>
      <c r="H40" s="133">
        <v>0</v>
      </c>
      <c r="I40" s="133">
        <v>0</v>
      </c>
      <c r="J40" s="133">
        <v>0</v>
      </c>
      <c r="K40">
        <v>42126</v>
      </c>
      <c r="L40" s="133">
        <v>0</v>
      </c>
      <c r="M40" s="133" t="b">
        <f ca="1">IF(TODAY()-Table_Query_from_A_Readiness_19[[#This Row],[PER_DATE]]&gt;=0,TRUE, FALSE)</f>
        <v>0</v>
      </c>
    </row>
    <row r="41" spans="1:13">
      <c r="A41">
        <v>42139</v>
      </c>
      <c r="B41" t="s">
        <v>325</v>
      </c>
      <c r="C41" t="s">
        <v>168</v>
      </c>
      <c r="D41" s="133">
        <v>2</v>
      </c>
      <c r="E41" s="133">
        <v>24</v>
      </c>
      <c r="F41" s="133">
        <v>0</v>
      </c>
      <c r="G41" s="133">
        <v>0</v>
      </c>
      <c r="H41" s="133">
        <v>0</v>
      </c>
      <c r="I41" s="133">
        <v>0</v>
      </c>
      <c r="J41" s="133">
        <v>0</v>
      </c>
      <c r="K41">
        <v>42126</v>
      </c>
      <c r="L41" s="133">
        <v>0</v>
      </c>
      <c r="M41" s="133" t="b">
        <f ca="1">IF(TODAY()-Table_Query_from_A_Readiness_19[[#This Row],[PER_DATE]]&gt;=0,TRUE, FALSE)</f>
        <v>0</v>
      </c>
    </row>
    <row r="42" spans="1:13">
      <c r="A42">
        <v>42139</v>
      </c>
      <c r="B42" t="s">
        <v>324</v>
      </c>
      <c r="C42" t="s">
        <v>155</v>
      </c>
      <c r="D42" s="133">
        <v>2</v>
      </c>
      <c r="E42" s="133">
        <v>0</v>
      </c>
      <c r="F42" s="133">
        <v>0</v>
      </c>
      <c r="G42" s="133">
        <v>0</v>
      </c>
      <c r="H42" s="133">
        <v>0</v>
      </c>
      <c r="I42" s="133">
        <v>24</v>
      </c>
      <c r="J42" s="133">
        <v>0</v>
      </c>
      <c r="K42">
        <v>42126</v>
      </c>
      <c r="L42" s="133">
        <v>0</v>
      </c>
      <c r="M42" s="133" t="b">
        <f ca="1">IF(TODAY()-Table_Query_from_A_Readiness_19[[#This Row],[PER_DATE]]&gt;=0,TRUE, FALSE)</f>
        <v>0</v>
      </c>
    </row>
    <row r="43" spans="1:13">
      <c r="A43">
        <v>42139</v>
      </c>
      <c r="B43" t="s">
        <v>324</v>
      </c>
      <c r="C43" t="s">
        <v>156</v>
      </c>
      <c r="D43" s="133">
        <v>2</v>
      </c>
      <c r="E43" s="133">
        <v>0</v>
      </c>
      <c r="F43" s="133">
        <v>24</v>
      </c>
      <c r="G43" s="133">
        <v>0</v>
      </c>
      <c r="H43" s="133">
        <v>0</v>
      </c>
      <c r="I43" s="133">
        <v>0</v>
      </c>
      <c r="J43" s="133">
        <v>0</v>
      </c>
      <c r="K43">
        <v>42126</v>
      </c>
      <c r="L43" s="133">
        <v>0</v>
      </c>
      <c r="M43" s="133" t="b">
        <f ca="1">IF(TODAY()-Table_Query_from_A_Readiness_19[[#This Row],[PER_DATE]]&gt;=0,TRUE, FALSE)</f>
        <v>0</v>
      </c>
    </row>
    <row r="44" spans="1:13">
      <c r="A44">
        <v>42139</v>
      </c>
      <c r="B44" t="s">
        <v>325</v>
      </c>
      <c r="C44" t="s">
        <v>157</v>
      </c>
      <c r="D44" s="133">
        <v>2</v>
      </c>
      <c r="E44" s="133">
        <v>24</v>
      </c>
      <c r="F44" s="133">
        <v>0</v>
      </c>
      <c r="G44" s="133">
        <v>0</v>
      </c>
      <c r="H44" s="133">
        <v>0</v>
      </c>
      <c r="I44" s="133">
        <v>0</v>
      </c>
      <c r="J44" s="133">
        <v>0</v>
      </c>
      <c r="K44">
        <v>42126</v>
      </c>
      <c r="L44" s="133">
        <v>0</v>
      </c>
      <c r="M44" s="133" t="b">
        <f ca="1">IF(TODAY()-Table_Query_from_A_Readiness_19[[#This Row],[PER_DATE]]&gt;=0,TRUE, FALSE)</f>
        <v>0</v>
      </c>
    </row>
    <row r="45" spans="1:13">
      <c r="A45">
        <v>42139</v>
      </c>
      <c r="B45" t="s">
        <v>324</v>
      </c>
      <c r="C45" t="s">
        <v>169</v>
      </c>
      <c r="D45" s="133">
        <v>2</v>
      </c>
      <c r="E45" s="133">
        <v>0</v>
      </c>
      <c r="F45" s="133">
        <v>0</v>
      </c>
      <c r="G45" s="133">
        <v>0</v>
      </c>
      <c r="H45" s="133">
        <v>0</v>
      </c>
      <c r="I45" s="133">
        <v>24</v>
      </c>
      <c r="J45" s="133">
        <v>0</v>
      </c>
      <c r="K45">
        <v>42126</v>
      </c>
      <c r="L45" s="133">
        <v>0</v>
      </c>
      <c r="M45" s="133" t="b">
        <f ca="1">IF(TODAY()-Table_Query_from_A_Readiness_19[[#This Row],[PER_DATE]]&gt;=0,TRUE, FALSE)</f>
        <v>0</v>
      </c>
    </row>
    <row r="46" spans="1:13">
      <c r="A46">
        <v>42139</v>
      </c>
      <c r="B46" t="s">
        <v>332</v>
      </c>
      <c r="C46" t="s">
        <v>170</v>
      </c>
      <c r="D46" s="133">
        <v>2</v>
      </c>
      <c r="E46" s="133">
        <v>24</v>
      </c>
      <c r="F46" s="133">
        <v>0</v>
      </c>
      <c r="G46" s="133">
        <v>0</v>
      </c>
      <c r="H46" s="133">
        <v>0</v>
      </c>
      <c r="I46" s="133">
        <v>0</v>
      </c>
      <c r="J46" s="133">
        <v>0</v>
      </c>
      <c r="K46">
        <v>42126</v>
      </c>
      <c r="L46" s="133">
        <v>0</v>
      </c>
      <c r="M46" s="133" t="b">
        <f ca="1">IF(TODAY()-Table_Query_from_A_Readiness_19[[#This Row],[PER_DATE]]&gt;=0,TRUE, FALSE)</f>
        <v>0</v>
      </c>
    </row>
    <row r="47" spans="1:13">
      <c r="A47">
        <v>42139</v>
      </c>
      <c r="B47" t="s">
        <v>324</v>
      </c>
      <c r="C47" t="s">
        <v>158</v>
      </c>
      <c r="D47" s="133">
        <v>2</v>
      </c>
      <c r="E47" s="133">
        <v>24</v>
      </c>
      <c r="F47" s="133">
        <v>0</v>
      </c>
      <c r="G47" s="133">
        <v>0</v>
      </c>
      <c r="H47" s="133">
        <v>0</v>
      </c>
      <c r="I47" s="133">
        <v>0</v>
      </c>
      <c r="J47" s="133">
        <v>0</v>
      </c>
      <c r="K47">
        <v>42126</v>
      </c>
      <c r="L47" s="133">
        <v>0</v>
      </c>
      <c r="M47" s="133" t="b">
        <f ca="1">IF(TODAY()-Table_Query_from_A_Readiness_19[[#This Row],[PER_DATE]]&gt;=0,TRUE, FALSE)</f>
        <v>0</v>
      </c>
    </row>
    <row r="48" spans="1:13">
      <c r="A48">
        <v>42139</v>
      </c>
      <c r="B48" t="s">
        <v>325</v>
      </c>
      <c r="C48" t="s">
        <v>159</v>
      </c>
      <c r="D48" s="133">
        <v>2</v>
      </c>
      <c r="E48" s="133">
        <v>24</v>
      </c>
      <c r="F48" s="133">
        <v>0</v>
      </c>
      <c r="G48" s="133">
        <v>0</v>
      </c>
      <c r="H48" s="133">
        <v>0</v>
      </c>
      <c r="I48" s="133">
        <v>0</v>
      </c>
      <c r="J48" s="133">
        <v>0</v>
      </c>
      <c r="K48">
        <v>42126</v>
      </c>
      <c r="L48" s="133">
        <v>0</v>
      </c>
      <c r="M48" s="133" t="b">
        <f ca="1">IF(TODAY()-Table_Query_from_A_Readiness_19[[#This Row],[PER_DATE]]&gt;=0,TRUE, FALSE)</f>
        <v>0</v>
      </c>
    </row>
    <row r="49" spans="1:13">
      <c r="A49">
        <v>42139</v>
      </c>
      <c r="B49" t="s">
        <v>325</v>
      </c>
      <c r="C49" t="s">
        <v>160</v>
      </c>
      <c r="D49" s="133">
        <v>2</v>
      </c>
      <c r="E49" s="133">
        <v>24</v>
      </c>
      <c r="F49" s="133">
        <v>0</v>
      </c>
      <c r="G49" s="133">
        <v>0</v>
      </c>
      <c r="H49" s="133">
        <v>0</v>
      </c>
      <c r="I49" s="133">
        <v>0</v>
      </c>
      <c r="J49" s="133">
        <v>0</v>
      </c>
      <c r="K49">
        <v>42126</v>
      </c>
      <c r="L49" s="133">
        <v>0</v>
      </c>
      <c r="M49" s="133" t="b">
        <f ca="1">IF(TODAY()-Table_Query_from_A_Readiness_19[[#This Row],[PER_DATE]]&gt;=0,TRUE, FALSE)</f>
        <v>0</v>
      </c>
    </row>
    <row r="50" spans="1:13">
      <c r="A50">
        <v>42139</v>
      </c>
      <c r="B50" t="s">
        <v>332</v>
      </c>
      <c r="C50" t="s">
        <v>164</v>
      </c>
      <c r="D50" s="133">
        <v>3</v>
      </c>
      <c r="E50" s="133">
        <v>24</v>
      </c>
      <c r="F50" s="133">
        <v>0</v>
      </c>
      <c r="G50" s="133">
        <v>0</v>
      </c>
      <c r="H50" s="133">
        <v>0</v>
      </c>
      <c r="I50" s="133">
        <v>0</v>
      </c>
      <c r="J50" s="133">
        <v>0</v>
      </c>
      <c r="K50">
        <v>42127</v>
      </c>
      <c r="L50" s="133">
        <v>0</v>
      </c>
      <c r="M50" s="133" t="b">
        <f ca="1">IF(TODAY()-Table_Query_from_A_Readiness_19[[#This Row],[PER_DATE]]&gt;=0,TRUE, FALSE)</f>
        <v>0</v>
      </c>
    </row>
    <row r="51" spans="1:13">
      <c r="A51">
        <v>42139</v>
      </c>
      <c r="B51" t="s">
        <v>332</v>
      </c>
      <c r="C51" t="s">
        <v>161</v>
      </c>
      <c r="D51" s="133">
        <v>3</v>
      </c>
      <c r="E51" s="133">
        <v>0</v>
      </c>
      <c r="F51" s="133">
        <v>0</v>
      </c>
      <c r="G51" s="133">
        <v>0</v>
      </c>
      <c r="H51" s="133">
        <v>0</v>
      </c>
      <c r="I51" s="133">
        <v>0</v>
      </c>
      <c r="J51" s="133">
        <v>0</v>
      </c>
      <c r="K51">
        <v>42127</v>
      </c>
      <c r="L51" s="133">
        <v>24</v>
      </c>
      <c r="M51" s="133" t="b">
        <f ca="1">IF(TODAY()-Table_Query_from_A_Readiness_19[[#This Row],[PER_DATE]]&gt;=0,TRUE, FALSE)</f>
        <v>0</v>
      </c>
    </row>
    <row r="52" spans="1:13">
      <c r="A52">
        <v>42139</v>
      </c>
      <c r="B52" t="s">
        <v>332</v>
      </c>
      <c r="C52" t="s">
        <v>165</v>
      </c>
      <c r="D52" s="133">
        <v>3</v>
      </c>
      <c r="E52" s="133">
        <v>24</v>
      </c>
      <c r="F52" s="133">
        <v>0</v>
      </c>
      <c r="G52" s="133">
        <v>0</v>
      </c>
      <c r="H52" s="133">
        <v>0</v>
      </c>
      <c r="I52" s="133">
        <v>0</v>
      </c>
      <c r="J52" s="133">
        <v>0</v>
      </c>
      <c r="K52">
        <v>42127</v>
      </c>
      <c r="L52" s="133">
        <v>0</v>
      </c>
      <c r="M52" s="133" t="b">
        <f ca="1">IF(TODAY()-Table_Query_from_A_Readiness_19[[#This Row],[PER_DATE]]&gt;=0,TRUE, FALSE)</f>
        <v>0</v>
      </c>
    </row>
    <row r="53" spans="1:13">
      <c r="A53">
        <v>42139</v>
      </c>
      <c r="B53" t="s">
        <v>324</v>
      </c>
      <c r="C53" t="s">
        <v>148</v>
      </c>
      <c r="D53" s="133">
        <v>3</v>
      </c>
      <c r="E53" s="133">
        <v>0</v>
      </c>
      <c r="F53" s="133">
        <v>0</v>
      </c>
      <c r="G53" s="133">
        <v>0</v>
      </c>
      <c r="H53" s="133">
        <v>0</v>
      </c>
      <c r="I53" s="133">
        <v>0</v>
      </c>
      <c r="J53" s="133">
        <v>0</v>
      </c>
      <c r="K53">
        <v>42127</v>
      </c>
      <c r="L53" s="133">
        <v>24</v>
      </c>
      <c r="M53" s="133" t="b">
        <f ca="1">IF(TODAY()-Table_Query_from_A_Readiness_19[[#This Row],[PER_DATE]]&gt;=0,TRUE, FALSE)</f>
        <v>0</v>
      </c>
    </row>
    <row r="54" spans="1:13">
      <c r="A54">
        <v>42139</v>
      </c>
      <c r="B54" t="s">
        <v>332</v>
      </c>
      <c r="C54" t="s">
        <v>162</v>
      </c>
      <c r="D54" s="133">
        <v>3</v>
      </c>
      <c r="E54" s="133">
        <v>24</v>
      </c>
      <c r="F54" s="133">
        <v>0</v>
      </c>
      <c r="G54" s="133">
        <v>0</v>
      </c>
      <c r="H54" s="133">
        <v>0</v>
      </c>
      <c r="I54" s="133">
        <v>0</v>
      </c>
      <c r="J54" s="133">
        <v>0</v>
      </c>
      <c r="K54">
        <v>42127</v>
      </c>
      <c r="L54" s="133">
        <v>0</v>
      </c>
      <c r="M54" s="133" t="b">
        <f ca="1">IF(TODAY()-Table_Query_from_A_Readiness_19[[#This Row],[PER_DATE]]&gt;=0,TRUE, FALSE)</f>
        <v>0</v>
      </c>
    </row>
    <row r="55" spans="1:13">
      <c r="A55">
        <v>42139</v>
      </c>
      <c r="B55" t="s">
        <v>332</v>
      </c>
      <c r="C55" t="s">
        <v>163</v>
      </c>
      <c r="D55" s="133">
        <v>3</v>
      </c>
      <c r="E55" s="133">
        <v>24</v>
      </c>
      <c r="F55" s="133">
        <v>0</v>
      </c>
      <c r="G55" s="133">
        <v>0</v>
      </c>
      <c r="H55" s="133">
        <v>0</v>
      </c>
      <c r="I55" s="133">
        <v>0</v>
      </c>
      <c r="J55" s="133">
        <v>0</v>
      </c>
      <c r="K55">
        <v>42127</v>
      </c>
      <c r="L55" s="133">
        <v>0</v>
      </c>
      <c r="M55" s="133" t="b">
        <f ca="1">IF(TODAY()-Table_Query_from_A_Readiness_19[[#This Row],[PER_DATE]]&gt;=0,TRUE, FALSE)</f>
        <v>0</v>
      </c>
    </row>
    <row r="56" spans="1:13">
      <c r="A56">
        <v>42139</v>
      </c>
      <c r="B56" t="s">
        <v>325</v>
      </c>
      <c r="C56" t="s">
        <v>166</v>
      </c>
      <c r="D56" s="133">
        <v>3</v>
      </c>
      <c r="E56" s="133">
        <v>24</v>
      </c>
      <c r="F56" s="133">
        <v>0</v>
      </c>
      <c r="G56" s="133">
        <v>0</v>
      </c>
      <c r="H56" s="133">
        <v>0</v>
      </c>
      <c r="I56" s="133">
        <v>0</v>
      </c>
      <c r="J56" s="133">
        <v>0</v>
      </c>
      <c r="K56">
        <v>42127</v>
      </c>
      <c r="L56" s="133">
        <v>0</v>
      </c>
      <c r="M56" s="133" t="b">
        <f ca="1">IF(TODAY()-Table_Query_from_A_Readiness_19[[#This Row],[PER_DATE]]&gt;=0,TRUE, FALSE)</f>
        <v>0</v>
      </c>
    </row>
    <row r="57" spans="1:13">
      <c r="A57">
        <v>42139</v>
      </c>
      <c r="B57" t="s">
        <v>324</v>
      </c>
      <c r="C57" t="s">
        <v>149</v>
      </c>
      <c r="D57" s="133">
        <v>3</v>
      </c>
      <c r="E57" s="133">
        <v>0</v>
      </c>
      <c r="F57" s="133">
        <v>24</v>
      </c>
      <c r="G57" s="133">
        <v>0</v>
      </c>
      <c r="H57" s="133">
        <v>0</v>
      </c>
      <c r="I57" s="133">
        <v>0</v>
      </c>
      <c r="J57" s="133">
        <v>0</v>
      </c>
      <c r="K57">
        <v>42127</v>
      </c>
      <c r="L57" s="133">
        <v>0</v>
      </c>
      <c r="M57" s="133" t="b">
        <f ca="1">IF(TODAY()-Table_Query_from_A_Readiness_19[[#This Row],[PER_DATE]]&gt;=0,TRUE, FALSE)</f>
        <v>0</v>
      </c>
    </row>
    <row r="58" spans="1:13">
      <c r="A58">
        <v>42139</v>
      </c>
      <c r="B58" t="s">
        <v>332</v>
      </c>
      <c r="C58" t="s">
        <v>150</v>
      </c>
      <c r="D58" s="133">
        <v>3</v>
      </c>
      <c r="E58" s="133">
        <v>24</v>
      </c>
      <c r="F58" s="133">
        <v>0</v>
      </c>
      <c r="G58" s="133">
        <v>0</v>
      </c>
      <c r="H58" s="133">
        <v>0</v>
      </c>
      <c r="I58" s="133">
        <v>0</v>
      </c>
      <c r="J58" s="133">
        <v>0</v>
      </c>
      <c r="K58">
        <v>42127</v>
      </c>
      <c r="L58" s="133">
        <v>0</v>
      </c>
      <c r="M58" s="133" t="b">
        <f ca="1">IF(TODAY()-Table_Query_from_A_Readiness_19[[#This Row],[PER_DATE]]&gt;=0,TRUE, FALSE)</f>
        <v>0</v>
      </c>
    </row>
    <row r="59" spans="1:13">
      <c r="A59">
        <v>42139</v>
      </c>
      <c r="B59" t="s">
        <v>324</v>
      </c>
      <c r="C59" t="s">
        <v>151</v>
      </c>
      <c r="D59" s="133">
        <v>3</v>
      </c>
      <c r="E59" s="133">
        <v>0</v>
      </c>
      <c r="F59" s="133">
        <v>0</v>
      </c>
      <c r="G59" s="133">
        <v>0</v>
      </c>
      <c r="H59" s="133">
        <v>24</v>
      </c>
      <c r="I59" s="133">
        <v>0</v>
      </c>
      <c r="J59" s="133">
        <v>0</v>
      </c>
      <c r="K59">
        <v>42127</v>
      </c>
      <c r="L59" s="133">
        <v>0</v>
      </c>
      <c r="M59" s="133" t="b">
        <f ca="1">IF(TODAY()-Table_Query_from_A_Readiness_19[[#This Row],[PER_DATE]]&gt;=0,TRUE, FALSE)</f>
        <v>0</v>
      </c>
    </row>
    <row r="60" spans="1:13">
      <c r="A60">
        <v>42139</v>
      </c>
      <c r="B60" t="s">
        <v>325</v>
      </c>
      <c r="C60" t="s">
        <v>152</v>
      </c>
      <c r="D60" s="133">
        <v>3</v>
      </c>
      <c r="E60" s="133">
        <v>24</v>
      </c>
      <c r="F60" s="133">
        <v>0</v>
      </c>
      <c r="G60" s="133">
        <v>0</v>
      </c>
      <c r="H60" s="133">
        <v>0</v>
      </c>
      <c r="I60" s="133">
        <v>0</v>
      </c>
      <c r="J60" s="133">
        <v>0</v>
      </c>
      <c r="K60">
        <v>42127</v>
      </c>
      <c r="L60" s="133">
        <v>0</v>
      </c>
      <c r="M60" s="133" t="b">
        <f ca="1">IF(TODAY()-Table_Query_from_A_Readiness_19[[#This Row],[PER_DATE]]&gt;=0,TRUE, FALSE)</f>
        <v>0</v>
      </c>
    </row>
    <row r="61" spans="1:13">
      <c r="A61">
        <v>42139</v>
      </c>
      <c r="B61" t="s">
        <v>332</v>
      </c>
      <c r="C61" t="s">
        <v>145</v>
      </c>
      <c r="D61" s="133">
        <v>3</v>
      </c>
      <c r="E61" s="133">
        <v>24</v>
      </c>
      <c r="F61" s="133">
        <v>0</v>
      </c>
      <c r="G61" s="133">
        <v>0</v>
      </c>
      <c r="H61" s="133">
        <v>0</v>
      </c>
      <c r="I61" s="133">
        <v>0</v>
      </c>
      <c r="J61" s="133">
        <v>0</v>
      </c>
      <c r="K61">
        <v>42127</v>
      </c>
      <c r="L61" s="133">
        <v>0</v>
      </c>
      <c r="M61" s="133" t="b">
        <f ca="1">IF(TODAY()-Table_Query_from_A_Readiness_19[[#This Row],[PER_DATE]]&gt;=0,TRUE, FALSE)</f>
        <v>0</v>
      </c>
    </row>
    <row r="62" spans="1:13">
      <c r="A62">
        <v>42139</v>
      </c>
      <c r="B62" t="s">
        <v>325</v>
      </c>
      <c r="C62" t="s">
        <v>167</v>
      </c>
      <c r="D62" s="133">
        <v>3</v>
      </c>
      <c r="E62" s="133">
        <v>24</v>
      </c>
      <c r="F62" s="133">
        <v>0</v>
      </c>
      <c r="G62" s="133">
        <v>0</v>
      </c>
      <c r="H62" s="133">
        <v>0</v>
      </c>
      <c r="I62" s="133">
        <v>0</v>
      </c>
      <c r="J62" s="133">
        <v>0</v>
      </c>
      <c r="K62">
        <v>42127</v>
      </c>
      <c r="L62" s="133">
        <v>0</v>
      </c>
      <c r="M62" s="133" t="b">
        <f ca="1">IF(TODAY()-Table_Query_from_A_Readiness_19[[#This Row],[PER_DATE]]&gt;=0,TRUE, FALSE)</f>
        <v>0</v>
      </c>
    </row>
    <row r="63" spans="1:13">
      <c r="A63">
        <v>42139</v>
      </c>
      <c r="B63" t="s">
        <v>324</v>
      </c>
      <c r="C63" t="s">
        <v>153</v>
      </c>
      <c r="D63" s="133">
        <v>3</v>
      </c>
      <c r="E63" s="133">
        <v>0</v>
      </c>
      <c r="F63" s="133">
        <v>0</v>
      </c>
      <c r="G63" s="133">
        <v>0</v>
      </c>
      <c r="H63" s="133">
        <v>24</v>
      </c>
      <c r="I63" s="133">
        <v>0</v>
      </c>
      <c r="J63" s="133">
        <v>0</v>
      </c>
      <c r="K63">
        <v>42127</v>
      </c>
      <c r="L63" s="133">
        <v>0</v>
      </c>
      <c r="M63" s="133" t="b">
        <f ca="1">IF(TODAY()-Table_Query_from_A_Readiness_19[[#This Row],[PER_DATE]]&gt;=0,TRUE, FALSE)</f>
        <v>0</v>
      </c>
    </row>
    <row r="64" spans="1:13">
      <c r="A64">
        <v>42139</v>
      </c>
      <c r="B64" t="s">
        <v>325</v>
      </c>
      <c r="C64" t="s">
        <v>154</v>
      </c>
      <c r="D64" s="133">
        <v>3</v>
      </c>
      <c r="E64" s="133">
        <v>24</v>
      </c>
      <c r="F64" s="133">
        <v>0</v>
      </c>
      <c r="G64" s="133">
        <v>0</v>
      </c>
      <c r="H64" s="133">
        <v>0</v>
      </c>
      <c r="I64" s="133">
        <v>0</v>
      </c>
      <c r="J64" s="133">
        <v>0</v>
      </c>
      <c r="K64">
        <v>42127</v>
      </c>
      <c r="L64" s="133">
        <v>0</v>
      </c>
      <c r="M64" s="133" t="b">
        <f ca="1">IF(TODAY()-Table_Query_from_A_Readiness_19[[#This Row],[PER_DATE]]&gt;=0,TRUE, FALSE)</f>
        <v>0</v>
      </c>
    </row>
    <row r="65" spans="1:13">
      <c r="A65">
        <v>42139</v>
      </c>
      <c r="B65" t="s">
        <v>325</v>
      </c>
      <c r="C65" t="s">
        <v>168</v>
      </c>
      <c r="D65" s="133">
        <v>3</v>
      </c>
      <c r="E65" s="133">
        <v>24</v>
      </c>
      <c r="F65" s="133">
        <v>0</v>
      </c>
      <c r="G65" s="133">
        <v>0</v>
      </c>
      <c r="H65" s="133">
        <v>0</v>
      </c>
      <c r="I65" s="133">
        <v>0</v>
      </c>
      <c r="J65" s="133">
        <v>0</v>
      </c>
      <c r="K65">
        <v>42127</v>
      </c>
      <c r="L65" s="133">
        <v>0</v>
      </c>
      <c r="M65" s="133" t="b">
        <f ca="1">IF(TODAY()-Table_Query_from_A_Readiness_19[[#This Row],[PER_DATE]]&gt;=0,TRUE, FALSE)</f>
        <v>0</v>
      </c>
    </row>
    <row r="66" spans="1:13">
      <c r="A66">
        <v>42139</v>
      </c>
      <c r="B66" t="s">
        <v>324</v>
      </c>
      <c r="C66" t="s">
        <v>155</v>
      </c>
      <c r="D66" s="133">
        <v>3</v>
      </c>
      <c r="E66" s="133">
        <v>0</v>
      </c>
      <c r="F66" s="133">
        <v>0</v>
      </c>
      <c r="G66" s="133">
        <v>0</v>
      </c>
      <c r="H66" s="133">
        <v>0</v>
      </c>
      <c r="I66" s="133">
        <v>24</v>
      </c>
      <c r="J66" s="133">
        <v>0</v>
      </c>
      <c r="K66">
        <v>42127</v>
      </c>
      <c r="L66" s="133">
        <v>0</v>
      </c>
      <c r="M66" s="133" t="b">
        <f ca="1">IF(TODAY()-Table_Query_from_A_Readiness_19[[#This Row],[PER_DATE]]&gt;=0,TRUE, FALSE)</f>
        <v>0</v>
      </c>
    </row>
    <row r="67" spans="1:13">
      <c r="A67">
        <v>42139</v>
      </c>
      <c r="B67" t="s">
        <v>324</v>
      </c>
      <c r="C67" t="s">
        <v>156</v>
      </c>
      <c r="D67" s="133">
        <v>3</v>
      </c>
      <c r="E67" s="133">
        <v>0</v>
      </c>
      <c r="F67" s="133">
        <v>24</v>
      </c>
      <c r="G67" s="133">
        <v>0</v>
      </c>
      <c r="H67" s="133">
        <v>0</v>
      </c>
      <c r="I67" s="133">
        <v>0</v>
      </c>
      <c r="J67" s="133">
        <v>0</v>
      </c>
      <c r="K67">
        <v>42127</v>
      </c>
      <c r="L67" s="133">
        <v>0</v>
      </c>
      <c r="M67" s="133" t="b">
        <f ca="1">IF(TODAY()-Table_Query_from_A_Readiness_19[[#This Row],[PER_DATE]]&gt;=0,TRUE, FALSE)</f>
        <v>0</v>
      </c>
    </row>
    <row r="68" spans="1:13">
      <c r="A68">
        <v>42139</v>
      </c>
      <c r="B68" t="s">
        <v>325</v>
      </c>
      <c r="C68" t="s">
        <v>157</v>
      </c>
      <c r="D68" s="133">
        <v>3</v>
      </c>
      <c r="E68" s="133">
        <v>24</v>
      </c>
      <c r="F68" s="133">
        <v>0</v>
      </c>
      <c r="G68" s="133">
        <v>0</v>
      </c>
      <c r="H68" s="133">
        <v>0</v>
      </c>
      <c r="I68" s="133">
        <v>0</v>
      </c>
      <c r="J68" s="133">
        <v>0</v>
      </c>
      <c r="K68">
        <v>42127</v>
      </c>
      <c r="L68" s="133">
        <v>0</v>
      </c>
      <c r="M68" s="133" t="b">
        <f ca="1">IF(TODAY()-Table_Query_from_A_Readiness_19[[#This Row],[PER_DATE]]&gt;=0,TRUE, FALSE)</f>
        <v>0</v>
      </c>
    </row>
    <row r="69" spans="1:13">
      <c r="A69">
        <v>42139</v>
      </c>
      <c r="B69" t="s">
        <v>324</v>
      </c>
      <c r="C69" t="s">
        <v>169</v>
      </c>
      <c r="D69" s="133">
        <v>3</v>
      </c>
      <c r="E69" s="133">
        <v>0</v>
      </c>
      <c r="F69" s="133">
        <v>0</v>
      </c>
      <c r="G69" s="133">
        <v>0</v>
      </c>
      <c r="H69" s="133">
        <v>0</v>
      </c>
      <c r="I69" s="133">
        <v>24</v>
      </c>
      <c r="J69" s="133">
        <v>0</v>
      </c>
      <c r="K69">
        <v>42127</v>
      </c>
      <c r="L69" s="133">
        <v>0</v>
      </c>
      <c r="M69" s="133" t="b">
        <f ca="1">IF(TODAY()-Table_Query_from_A_Readiness_19[[#This Row],[PER_DATE]]&gt;=0,TRUE, FALSE)</f>
        <v>0</v>
      </c>
    </row>
    <row r="70" spans="1:13">
      <c r="A70">
        <v>42139</v>
      </c>
      <c r="B70" t="s">
        <v>332</v>
      </c>
      <c r="C70" t="s">
        <v>170</v>
      </c>
      <c r="D70" s="133">
        <v>3</v>
      </c>
      <c r="E70" s="133">
        <v>24</v>
      </c>
      <c r="F70" s="133">
        <v>0</v>
      </c>
      <c r="G70" s="133">
        <v>0</v>
      </c>
      <c r="H70" s="133">
        <v>0</v>
      </c>
      <c r="I70" s="133">
        <v>0</v>
      </c>
      <c r="J70" s="133">
        <v>0</v>
      </c>
      <c r="K70">
        <v>42127</v>
      </c>
      <c r="L70" s="133">
        <v>0</v>
      </c>
      <c r="M70" s="133" t="b">
        <f ca="1">IF(TODAY()-Table_Query_from_A_Readiness_19[[#This Row],[PER_DATE]]&gt;=0,TRUE, FALSE)</f>
        <v>0</v>
      </c>
    </row>
    <row r="71" spans="1:13">
      <c r="A71">
        <v>42139</v>
      </c>
      <c r="B71" t="s">
        <v>324</v>
      </c>
      <c r="C71" t="s">
        <v>158</v>
      </c>
      <c r="D71" s="133">
        <v>3</v>
      </c>
      <c r="E71" s="133">
        <v>24</v>
      </c>
      <c r="F71" s="133">
        <v>0</v>
      </c>
      <c r="G71" s="133">
        <v>0</v>
      </c>
      <c r="H71" s="133">
        <v>0</v>
      </c>
      <c r="I71" s="133">
        <v>0</v>
      </c>
      <c r="J71" s="133">
        <v>0</v>
      </c>
      <c r="K71">
        <v>42127</v>
      </c>
      <c r="L71" s="133">
        <v>0</v>
      </c>
      <c r="M71" s="133" t="b">
        <f ca="1">IF(TODAY()-Table_Query_from_A_Readiness_19[[#This Row],[PER_DATE]]&gt;=0,TRUE, FALSE)</f>
        <v>0</v>
      </c>
    </row>
    <row r="72" spans="1:13">
      <c r="A72">
        <v>42139</v>
      </c>
      <c r="B72" t="s">
        <v>325</v>
      </c>
      <c r="C72" t="s">
        <v>159</v>
      </c>
      <c r="D72" s="133">
        <v>3</v>
      </c>
      <c r="E72" s="133">
        <v>24</v>
      </c>
      <c r="F72" s="133">
        <v>0</v>
      </c>
      <c r="G72" s="133">
        <v>0</v>
      </c>
      <c r="H72" s="133">
        <v>0</v>
      </c>
      <c r="I72" s="133">
        <v>0</v>
      </c>
      <c r="J72" s="133">
        <v>0</v>
      </c>
      <c r="K72">
        <v>42127</v>
      </c>
      <c r="L72" s="133">
        <v>0</v>
      </c>
      <c r="M72" s="133" t="b">
        <f ca="1">IF(TODAY()-Table_Query_from_A_Readiness_19[[#This Row],[PER_DATE]]&gt;=0,TRUE, FALSE)</f>
        <v>0</v>
      </c>
    </row>
    <row r="73" spans="1:13">
      <c r="A73">
        <v>42139</v>
      </c>
      <c r="B73" t="s">
        <v>325</v>
      </c>
      <c r="C73" t="s">
        <v>160</v>
      </c>
      <c r="D73" s="133">
        <v>3</v>
      </c>
      <c r="E73" s="133">
        <v>24</v>
      </c>
      <c r="F73" s="133">
        <v>0</v>
      </c>
      <c r="G73" s="133">
        <v>0</v>
      </c>
      <c r="H73" s="133">
        <v>0</v>
      </c>
      <c r="I73" s="133">
        <v>0</v>
      </c>
      <c r="J73" s="133">
        <v>0</v>
      </c>
      <c r="K73">
        <v>42127</v>
      </c>
      <c r="L73" s="133">
        <v>0</v>
      </c>
      <c r="M73" s="133" t="b">
        <f ca="1">IF(TODAY()-Table_Query_from_A_Readiness_19[[#This Row],[PER_DATE]]&gt;=0,TRUE, FALSE)</f>
        <v>0</v>
      </c>
    </row>
    <row r="74" spans="1:13">
      <c r="A74">
        <v>42139</v>
      </c>
      <c r="B74" t="s">
        <v>332</v>
      </c>
      <c r="C74" t="s">
        <v>164</v>
      </c>
      <c r="D74" s="133">
        <v>4</v>
      </c>
      <c r="E74" s="133">
        <v>24</v>
      </c>
      <c r="F74" s="133">
        <v>0</v>
      </c>
      <c r="G74" s="133">
        <v>0</v>
      </c>
      <c r="H74" s="133">
        <v>0</v>
      </c>
      <c r="I74" s="133">
        <v>0</v>
      </c>
      <c r="J74" s="133">
        <v>0</v>
      </c>
      <c r="K74">
        <v>42128</v>
      </c>
      <c r="L74" s="133">
        <v>0</v>
      </c>
      <c r="M74" s="133" t="b">
        <f ca="1">IF(TODAY()-Table_Query_from_A_Readiness_19[[#This Row],[PER_DATE]]&gt;=0,TRUE, FALSE)</f>
        <v>0</v>
      </c>
    </row>
    <row r="75" spans="1:13">
      <c r="A75">
        <v>42139</v>
      </c>
      <c r="B75" t="s">
        <v>332</v>
      </c>
      <c r="C75" t="s">
        <v>161</v>
      </c>
      <c r="D75" s="133">
        <v>4</v>
      </c>
      <c r="E75" s="133">
        <v>0</v>
      </c>
      <c r="F75" s="133">
        <v>0</v>
      </c>
      <c r="G75" s="133">
        <v>0</v>
      </c>
      <c r="H75" s="133">
        <v>0</v>
      </c>
      <c r="I75" s="133">
        <v>0</v>
      </c>
      <c r="J75" s="133">
        <v>0</v>
      </c>
      <c r="K75">
        <v>42128</v>
      </c>
      <c r="L75" s="133">
        <v>24</v>
      </c>
      <c r="M75" s="133" t="b">
        <f ca="1">IF(TODAY()-Table_Query_from_A_Readiness_19[[#This Row],[PER_DATE]]&gt;=0,TRUE, FALSE)</f>
        <v>0</v>
      </c>
    </row>
    <row r="76" spans="1:13">
      <c r="A76">
        <v>42139</v>
      </c>
      <c r="B76" t="s">
        <v>332</v>
      </c>
      <c r="C76" t="s">
        <v>165</v>
      </c>
      <c r="D76" s="133">
        <v>4</v>
      </c>
      <c r="E76" s="133">
        <v>24</v>
      </c>
      <c r="F76" s="133">
        <v>0</v>
      </c>
      <c r="G76" s="133">
        <v>0</v>
      </c>
      <c r="H76" s="133">
        <v>0</v>
      </c>
      <c r="I76" s="133">
        <v>0</v>
      </c>
      <c r="J76" s="133">
        <v>0</v>
      </c>
      <c r="K76">
        <v>42128</v>
      </c>
      <c r="L76" s="133">
        <v>0</v>
      </c>
      <c r="M76" s="133" t="b">
        <f ca="1">IF(TODAY()-Table_Query_from_A_Readiness_19[[#This Row],[PER_DATE]]&gt;=0,TRUE, FALSE)</f>
        <v>0</v>
      </c>
    </row>
    <row r="77" spans="1:13">
      <c r="A77">
        <v>42139</v>
      </c>
      <c r="B77" t="s">
        <v>324</v>
      </c>
      <c r="C77" t="s">
        <v>148</v>
      </c>
      <c r="D77" s="133">
        <v>4</v>
      </c>
      <c r="E77" s="133">
        <v>0</v>
      </c>
      <c r="F77" s="133">
        <v>0</v>
      </c>
      <c r="G77" s="133">
        <v>0</v>
      </c>
      <c r="H77" s="133">
        <v>0</v>
      </c>
      <c r="I77" s="133">
        <v>0</v>
      </c>
      <c r="J77" s="133">
        <v>0</v>
      </c>
      <c r="K77">
        <v>42128</v>
      </c>
      <c r="L77" s="133">
        <v>24</v>
      </c>
      <c r="M77" s="133" t="b">
        <f ca="1">IF(TODAY()-Table_Query_from_A_Readiness_19[[#This Row],[PER_DATE]]&gt;=0,TRUE, FALSE)</f>
        <v>0</v>
      </c>
    </row>
    <row r="78" spans="1:13">
      <c r="A78">
        <v>42139</v>
      </c>
      <c r="B78" t="s">
        <v>332</v>
      </c>
      <c r="C78" t="s">
        <v>162</v>
      </c>
      <c r="D78" s="133">
        <v>4</v>
      </c>
      <c r="E78" s="133">
        <v>24</v>
      </c>
      <c r="F78" s="133">
        <v>0</v>
      </c>
      <c r="G78" s="133">
        <v>0</v>
      </c>
      <c r="H78" s="133">
        <v>0</v>
      </c>
      <c r="I78" s="133">
        <v>0</v>
      </c>
      <c r="J78" s="133">
        <v>0</v>
      </c>
      <c r="K78">
        <v>42128</v>
      </c>
      <c r="L78" s="133">
        <v>0</v>
      </c>
      <c r="M78" s="133" t="b">
        <f ca="1">IF(TODAY()-Table_Query_from_A_Readiness_19[[#This Row],[PER_DATE]]&gt;=0,TRUE, FALSE)</f>
        <v>0</v>
      </c>
    </row>
    <row r="79" spans="1:13">
      <c r="A79">
        <v>42139</v>
      </c>
      <c r="B79" t="s">
        <v>332</v>
      </c>
      <c r="C79" t="s">
        <v>163</v>
      </c>
      <c r="D79" s="133">
        <v>4</v>
      </c>
      <c r="E79" s="133">
        <v>24</v>
      </c>
      <c r="F79" s="133">
        <v>0</v>
      </c>
      <c r="G79" s="133">
        <v>0</v>
      </c>
      <c r="H79" s="133">
        <v>0</v>
      </c>
      <c r="I79" s="133">
        <v>0</v>
      </c>
      <c r="J79" s="133">
        <v>0</v>
      </c>
      <c r="K79">
        <v>42128</v>
      </c>
      <c r="L79" s="133">
        <v>0</v>
      </c>
      <c r="M79" s="133" t="b">
        <f ca="1">IF(TODAY()-Table_Query_from_A_Readiness_19[[#This Row],[PER_DATE]]&gt;=0,TRUE, FALSE)</f>
        <v>0</v>
      </c>
    </row>
    <row r="80" spans="1:13">
      <c r="A80">
        <v>42139</v>
      </c>
      <c r="B80" t="s">
        <v>325</v>
      </c>
      <c r="C80" t="s">
        <v>166</v>
      </c>
      <c r="D80" s="133">
        <v>4</v>
      </c>
      <c r="E80" s="133">
        <v>24</v>
      </c>
      <c r="F80" s="133">
        <v>0</v>
      </c>
      <c r="G80" s="133">
        <v>0</v>
      </c>
      <c r="H80" s="133">
        <v>0</v>
      </c>
      <c r="I80" s="133">
        <v>0</v>
      </c>
      <c r="J80" s="133">
        <v>0</v>
      </c>
      <c r="K80">
        <v>42128</v>
      </c>
      <c r="L80" s="133">
        <v>0</v>
      </c>
      <c r="M80" s="133" t="b">
        <f ca="1">IF(TODAY()-Table_Query_from_A_Readiness_19[[#This Row],[PER_DATE]]&gt;=0,TRUE, FALSE)</f>
        <v>0</v>
      </c>
    </row>
    <row r="81" spans="1:13">
      <c r="A81">
        <v>42139</v>
      </c>
      <c r="B81" t="s">
        <v>324</v>
      </c>
      <c r="C81" t="s">
        <v>149</v>
      </c>
      <c r="D81" s="133">
        <v>4</v>
      </c>
      <c r="E81" s="133">
        <v>0</v>
      </c>
      <c r="F81" s="133">
        <v>24</v>
      </c>
      <c r="G81" s="133">
        <v>0</v>
      </c>
      <c r="H81" s="133">
        <v>0</v>
      </c>
      <c r="I81" s="133">
        <v>0</v>
      </c>
      <c r="J81" s="133">
        <v>0</v>
      </c>
      <c r="K81">
        <v>42128</v>
      </c>
      <c r="L81" s="133">
        <v>0</v>
      </c>
      <c r="M81" s="133" t="b">
        <f ca="1">IF(TODAY()-Table_Query_from_A_Readiness_19[[#This Row],[PER_DATE]]&gt;=0,TRUE, FALSE)</f>
        <v>0</v>
      </c>
    </row>
    <row r="82" spans="1:13">
      <c r="A82">
        <v>42139</v>
      </c>
      <c r="B82" t="s">
        <v>332</v>
      </c>
      <c r="C82" t="s">
        <v>150</v>
      </c>
      <c r="D82" s="133">
        <v>4</v>
      </c>
      <c r="E82" s="133">
        <v>24</v>
      </c>
      <c r="F82" s="133">
        <v>0</v>
      </c>
      <c r="G82" s="133">
        <v>0</v>
      </c>
      <c r="H82" s="133">
        <v>0</v>
      </c>
      <c r="I82" s="133">
        <v>0</v>
      </c>
      <c r="J82" s="133">
        <v>0</v>
      </c>
      <c r="K82">
        <v>42128</v>
      </c>
      <c r="L82" s="133">
        <v>0</v>
      </c>
      <c r="M82" s="133" t="b">
        <f ca="1">IF(TODAY()-Table_Query_from_A_Readiness_19[[#This Row],[PER_DATE]]&gt;=0,TRUE, FALSE)</f>
        <v>0</v>
      </c>
    </row>
    <row r="83" spans="1:13">
      <c r="A83">
        <v>42139</v>
      </c>
      <c r="B83" t="s">
        <v>324</v>
      </c>
      <c r="C83" t="s">
        <v>151</v>
      </c>
      <c r="D83" s="133">
        <v>4</v>
      </c>
      <c r="E83" s="133">
        <v>0</v>
      </c>
      <c r="F83" s="133">
        <v>0</v>
      </c>
      <c r="G83" s="133">
        <v>0</v>
      </c>
      <c r="H83" s="133">
        <v>24</v>
      </c>
      <c r="I83" s="133">
        <v>0</v>
      </c>
      <c r="J83" s="133">
        <v>0</v>
      </c>
      <c r="K83">
        <v>42128</v>
      </c>
      <c r="L83" s="133">
        <v>0</v>
      </c>
      <c r="M83" s="133" t="b">
        <f ca="1">IF(TODAY()-Table_Query_from_A_Readiness_19[[#This Row],[PER_DATE]]&gt;=0,TRUE, FALSE)</f>
        <v>0</v>
      </c>
    </row>
    <row r="84" spans="1:13">
      <c r="A84">
        <v>42139</v>
      </c>
      <c r="B84" t="s">
        <v>325</v>
      </c>
      <c r="C84" t="s">
        <v>152</v>
      </c>
      <c r="D84" s="133">
        <v>4</v>
      </c>
      <c r="E84" s="133">
        <v>24</v>
      </c>
      <c r="F84" s="133">
        <v>0</v>
      </c>
      <c r="G84" s="133">
        <v>0</v>
      </c>
      <c r="H84" s="133">
        <v>0</v>
      </c>
      <c r="I84" s="133">
        <v>0</v>
      </c>
      <c r="J84" s="133">
        <v>0</v>
      </c>
      <c r="K84">
        <v>42128</v>
      </c>
      <c r="L84" s="133">
        <v>0</v>
      </c>
      <c r="M84" s="133" t="b">
        <f ca="1">IF(TODAY()-Table_Query_from_A_Readiness_19[[#This Row],[PER_DATE]]&gt;=0,TRUE, FALSE)</f>
        <v>0</v>
      </c>
    </row>
    <row r="85" spans="1:13">
      <c r="A85">
        <v>42139</v>
      </c>
      <c r="B85" t="s">
        <v>332</v>
      </c>
      <c r="C85" t="s">
        <v>145</v>
      </c>
      <c r="D85" s="133">
        <v>4</v>
      </c>
      <c r="E85" s="133">
        <v>24</v>
      </c>
      <c r="F85" s="133">
        <v>0</v>
      </c>
      <c r="G85" s="133">
        <v>0</v>
      </c>
      <c r="H85" s="133">
        <v>0</v>
      </c>
      <c r="I85" s="133">
        <v>0</v>
      </c>
      <c r="J85" s="133">
        <v>0</v>
      </c>
      <c r="K85">
        <v>42128</v>
      </c>
      <c r="L85" s="133">
        <v>0</v>
      </c>
      <c r="M85" s="133" t="b">
        <f ca="1">IF(TODAY()-Table_Query_from_A_Readiness_19[[#This Row],[PER_DATE]]&gt;=0,TRUE, FALSE)</f>
        <v>0</v>
      </c>
    </row>
    <row r="86" spans="1:13">
      <c r="A86">
        <v>42139</v>
      </c>
      <c r="B86" t="s">
        <v>325</v>
      </c>
      <c r="C86" t="s">
        <v>167</v>
      </c>
      <c r="D86" s="133">
        <v>4</v>
      </c>
      <c r="E86" s="133">
        <v>24</v>
      </c>
      <c r="F86" s="133">
        <v>0</v>
      </c>
      <c r="G86" s="133">
        <v>0</v>
      </c>
      <c r="H86" s="133">
        <v>0</v>
      </c>
      <c r="I86" s="133">
        <v>0</v>
      </c>
      <c r="J86" s="133">
        <v>0</v>
      </c>
      <c r="K86">
        <v>42128</v>
      </c>
      <c r="L86" s="133">
        <v>0</v>
      </c>
      <c r="M86" s="133" t="b">
        <f ca="1">IF(TODAY()-Table_Query_from_A_Readiness_19[[#This Row],[PER_DATE]]&gt;=0,TRUE, FALSE)</f>
        <v>0</v>
      </c>
    </row>
    <row r="87" spans="1:13">
      <c r="A87">
        <v>42139</v>
      </c>
      <c r="B87" t="s">
        <v>324</v>
      </c>
      <c r="C87" t="s">
        <v>153</v>
      </c>
      <c r="D87" s="133">
        <v>4</v>
      </c>
      <c r="E87" s="133">
        <v>0</v>
      </c>
      <c r="F87" s="133">
        <v>0</v>
      </c>
      <c r="G87" s="133">
        <v>0</v>
      </c>
      <c r="H87" s="133">
        <v>24</v>
      </c>
      <c r="I87" s="133">
        <v>0</v>
      </c>
      <c r="J87" s="133">
        <v>0</v>
      </c>
      <c r="K87">
        <v>42128</v>
      </c>
      <c r="L87" s="133">
        <v>0</v>
      </c>
      <c r="M87" s="133" t="b">
        <f ca="1">IF(TODAY()-Table_Query_from_A_Readiness_19[[#This Row],[PER_DATE]]&gt;=0,TRUE, FALSE)</f>
        <v>0</v>
      </c>
    </row>
    <row r="88" spans="1:13">
      <c r="A88">
        <v>42139</v>
      </c>
      <c r="B88" t="s">
        <v>325</v>
      </c>
      <c r="C88" t="s">
        <v>154</v>
      </c>
      <c r="D88" s="133">
        <v>4</v>
      </c>
      <c r="E88" s="133">
        <v>24</v>
      </c>
      <c r="F88" s="133">
        <v>0</v>
      </c>
      <c r="G88" s="133">
        <v>0</v>
      </c>
      <c r="H88" s="133">
        <v>0</v>
      </c>
      <c r="I88" s="133">
        <v>0</v>
      </c>
      <c r="J88" s="133">
        <v>0</v>
      </c>
      <c r="K88">
        <v>42128</v>
      </c>
      <c r="L88" s="133">
        <v>0</v>
      </c>
      <c r="M88" s="133" t="b">
        <f ca="1">IF(TODAY()-Table_Query_from_A_Readiness_19[[#This Row],[PER_DATE]]&gt;=0,TRUE, FALSE)</f>
        <v>0</v>
      </c>
    </row>
    <row r="89" spans="1:13">
      <c r="A89">
        <v>42139</v>
      </c>
      <c r="B89" t="s">
        <v>325</v>
      </c>
      <c r="C89" t="s">
        <v>168</v>
      </c>
      <c r="D89" s="133">
        <v>4</v>
      </c>
      <c r="E89" s="133">
        <v>24</v>
      </c>
      <c r="F89" s="133">
        <v>0</v>
      </c>
      <c r="G89" s="133">
        <v>0</v>
      </c>
      <c r="H89" s="133">
        <v>0</v>
      </c>
      <c r="I89" s="133">
        <v>0</v>
      </c>
      <c r="J89" s="133">
        <v>0</v>
      </c>
      <c r="K89">
        <v>42128</v>
      </c>
      <c r="L89" s="133">
        <v>0</v>
      </c>
      <c r="M89" s="133" t="b">
        <f ca="1">IF(TODAY()-Table_Query_from_A_Readiness_19[[#This Row],[PER_DATE]]&gt;=0,TRUE, FALSE)</f>
        <v>0</v>
      </c>
    </row>
    <row r="90" spans="1:13">
      <c r="A90">
        <v>42139</v>
      </c>
      <c r="B90" t="s">
        <v>324</v>
      </c>
      <c r="C90" t="s">
        <v>155</v>
      </c>
      <c r="D90" s="133">
        <v>4</v>
      </c>
      <c r="E90" s="133">
        <v>0</v>
      </c>
      <c r="F90" s="133">
        <v>0</v>
      </c>
      <c r="G90" s="133">
        <v>0</v>
      </c>
      <c r="H90" s="133">
        <v>0</v>
      </c>
      <c r="I90" s="133">
        <v>24</v>
      </c>
      <c r="J90" s="133">
        <v>0</v>
      </c>
      <c r="K90">
        <v>42128</v>
      </c>
      <c r="L90" s="133">
        <v>0</v>
      </c>
      <c r="M90" s="133" t="b">
        <f ca="1">IF(TODAY()-Table_Query_from_A_Readiness_19[[#This Row],[PER_DATE]]&gt;=0,TRUE, FALSE)</f>
        <v>0</v>
      </c>
    </row>
    <row r="91" spans="1:13">
      <c r="A91">
        <v>42139</v>
      </c>
      <c r="B91" t="s">
        <v>324</v>
      </c>
      <c r="C91" t="s">
        <v>156</v>
      </c>
      <c r="D91" s="133">
        <v>4</v>
      </c>
      <c r="E91" s="133">
        <v>0</v>
      </c>
      <c r="F91" s="133">
        <v>24</v>
      </c>
      <c r="G91" s="133">
        <v>0</v>
      </c>
      <c r="H91" s="133">
        <v>0</v>
      </c>
      <c r="I91" s="133">
        <v>0</v>
      </c>
      <c r="J91" s="133">
        <v>0</v>
      </c>
      <c r="K91">
        <v>42128</v>
      </c>
      <c r="L91" s="133">
        <v>0</v>
      </c>
      <c r="M91" s="133" t="b">
        <f ca="1">IF(TODAY()-Table_Query_from_A_Readiness_19[[#This Row],[PER_DATE]]&gt;=0,TRUE, FALSE)</f>
        <v>0</v>
      </c>
    </row>
    <row r="92" spans="1:13">
      <c r="A92">
        <v>42139</v>
      </c>
      <c r="B92" t="s">
        <v>325</v>
      </c>
      <c r="C92" t="s">
        <v>157</v>
      </c>
      <c r="D92" s="133">
        <v>4</v>
      </c>
      <c r="E92" s="133">
        <v>24</v>
      </c>
      <c r="F92" s="133">
        <v>0</v>
      </c>
      <c r="G92" s="133">
        <v>0</v>
      </c>
      <c r="H92" s="133">
        <v>0</v>
      </c>
      <c r="I92" s="133">
        <v>0</v>
      </c>
      <c r="J92" s="133">
        <v>0</v>
      </c>
      <c r="K92">
        <v>42128</v>
      </c>
      <c r="L92" s="133">
        <v>0</v>
      </c>
      <c r="M92" s="133" t="b">
        <f ca="1">IF(TODAY()-Table_Query_from_A_Readiness_19[[#This Row],[PER_DATE]]&gt;=0,TRUE, FALSE)</f>
        <v>0</v>
      </c>
    </row>
    <row r="93" spans="1:13">
      <c r="A93">
        <v>42139</v>
      </c>
      <c r="B93" t="s">
        <v>324</v>
      </c>
      <c r="C93" t="s">
        <v>169</v>
      </c>
      <c r="D93" s="133">
        <v>4</v>
      </c>
      <c r="E93" s="133">
        <v>0</v>
      </c>
      <c r="F93" s="133">
        <v>0</v>
      </c>
      <c r="G93" s="133">
        <v>0</v>
      </c>
      <c r="H93" s="133">
        <v>0</v>
      </c>
      <c r="I93" s="133">
        <v>24</v>
      </c>
      <c r="J93" s="133">
        <v>0</v>
      </c>
      <c r="K93">
        <v>42128</v>
      </c>
      <c r="L93" s="133">
        <v>0</v>
      </c>
      <c r="M93" s="133" t="b">
        <f ca="1">IF(TODAY()-Table_Query_from_A_Readiness_19[[#This Row],[PER_DATE]]&gt;=0,TRUE, FALSE)</f>
        <v>0</v>
      </c>
    </row>
    <row r="94" spans="1:13">
      <c r="A94">
        <v>42139</v>
      </c>
      <c r="B94" t="s">
        <v>332</v>
      </c>
      <c r="C94" t="s">
        <v>170</v>
      </c>
      <c r="D94" s="133">
        <v>4</v>
      </c>
      <c r="E94" s="133">
        <v>24</v>
      </c>
      <c r="F94" s="133">
        <v>0</v>
      </c>
      <c r="G94" s="133">
        <v>0</v>
      </c>
      <c r="H94" s="133">
        <v>0</v>
      </c>
      <c r="I94" s="133">
        <v>0</v>
      </c>
      <c r="J94" s="133">
        <v>0</v>
      </c>
      <c r="K94">
        <v>42128</v>
      </c>
      <c r="L94" s="133">
        <v>0</v>
      </c>
      <c r="M94" s="133" t="b">
        <f ca="1">IF(TODAY()-Table_Query_from_A_Readiness_19[[#This Row],[PER_DATE]]&gt;=0,TRUE, FALSE)</f>
        <v>0</v>
      </c>
    </row>
    <row r="95" spans="1:13">
      <c r="A95">
        <v>42139</v>
      </c>
      <c r="B95" t="s">
        <v>324</v>
      </c>
      <c r="C95" t="s">
        <v>158</v>
      </c>
      <c r="D95" s="133">
        <v>4</v>
      </c>
      <c r="E95" s="133">
        <v>24</v>
      </c>
      <c r="F95" s="133">
        <v>0</v>
      </c>
      <c r="G95" s="133">
        <v>0</v>
      </c>
      <c r="H95" s="133">
        <v>0</v>
      </c>
      <c r="I95" s="133">
        <v>0</v>
      </c>
      <c r="J95" s="133">
        <v>0</v>
      </c>
      <c r="K95">
        <v>42128</v>
      </c>
      <c r="L95" s="133">
        <v>0</v>
      </c>
      <c r="M95" s="133" t="b">
        <f ca="1">IF(TODAY()-Table_Query_from_A_Readiness_19[[#This Row],[PER_DATE]]&gt;=0,TRUE, FALSE)</f>
        <v>0</v>
      </c>
    </row>
    <row r="96" spans="1:13">
      <c r="A96">
        <v>42139</v>
      </c>
      <c r="B96" t="s">
        <v>325</v>
      </c>
      <c r="C96" t="s">
        <v>159</v>
      </c>
      <c r="D96" s="133">
        <v>4</v>
      </c>
      <c r="E96" s="133">
        <v>24</v>
      </c>
      <c r="F96" s="133">
        <v>0</v>
      </c>
      <c r="G96" s="133">
        <v>0</v>
      </c>
      <c r="H96" s="133">
        <v>0</v>
      </c>
      <c r="I96" s="133">
        <v>0</v>
      </c>
      <c r="J96" s="133">
        <v>0</v>
      </c>
      <c r="K96">
        <v>42128</v>
      </c>
      <c r="L96" s="133">
        <v>0</v>
      </c>
      <c r="M96" s="133" t="b">
        <f ca="1">IF(TODAY()-Table_Query_from_A_Readiness_19[[#This Row],[PER_DATE]]&gt;=0,TRUE, FALSE)</f>
        <v>0</v>
      </c>
    </row>
    <row r="97" spans="1:13">
      <c r="A97">
        <v>42139</v>
      </c>
      <c r="B97" t="s">
        <v>325</v>
      </c>
      <c r="C97" t="s">
        <v>160</v>
      </c>
      <c r="D97" s="133">
        <v>4</v>
      </c>
      <c r="E97" s="133">
        <v>24</v>
      </c>
      <c r="F97" s="133">
        <v>0</v>
      </c>
      <c r="G97" s="133">
        <v>0</v>
      </c>
      <c r="H97" s="133">
        <v>0</v>
      </c>
      <c r="I97" s="133">
        <v>0</v>
      </c>
      <c r="J97" s="133">
        <v>0</v>
      </c>
      <c r="K97">
        <v>42128</v>
      </c>
      <c r="L97" s="133">
        <v>0</v>
      </c>
      <c r="M97" s="133" t="b">
        <f ca="1">IF(TODAY()-Table_Query_from_A_Readiness_19[[#This Row],[PER_DATE]]&gt;=0,TRUE, FALSE)</f>
        <v>0</v>
      </c>
    </row>
    <row r="98" spans="1:13">
      <c r="A98">
        <v>42139</v>
      </c>
      <c r="B98" t="s">
        <v>332</v>
      </c>
      <c r="C98" t="s">
        <v>164</v>
      </c>
      <c r="D98" s="133">
        <v>5</v>
      </c>
      <c r="E98" s="133">
        <v>24</v>
      </c>
      <c r="F98" s="133">
        <v>0</v>
      </c>
      <c r="G98" s="133">
        <v>0</v>
      </c>
      <c r="H98" s="133">
        <v>0</v>
      </c>
      <c r="I98" s="133">
        <v>0</v>
      </c>
      <c r="J98" s="133">
        <v>0</v>
      </c>
      <c r="K98">
        <v>42129</v>
      </c>
      <c r="L98" s="133">
        <v>0</v>
      </c>
      <c r="M98" s="133" t="b">
        <f ca="1">IF(TODAY()-Table_Query_from_A_Readiness_19[[#This Row],[PER_DATE]]&gt;=0,TRUE, FALSE)</f>
        <v>0</v>
      </c>
    </row>
    <row r="99" spans="1:13">
      <c r="A99">
        <v>42139</v>
      </c>
      <c r="B99" t="s">
        <v>332</v>
      </c>
      <c r="C99" t="s">
        <v>161</v>
      </c>
      <c r="D99" s="133">
        <v>5</v>
      </c>
      <c r="E99" s="133">
        <v>0</v>
      </c>
      <c r="F99" s="133">
        <v>0</v>
      </c>
      <c r="G99" s="133">
        <v>0</v>
      </c>
      <c r="H99" s="133">
        <v>0</v>
      </c>
      <c r="I99" s="133">
        <v>0</v>
      </c>
      <c r="J99" s="133">
        <v>0</v>
      </c>
      <c r="K99">
        <v>42129</v>
      </c>
      <c r="L99" s="133">
        <v>24</v>
      </c>
      <c r="M99" s="133" t="b">
        <f ca="1">IF(TODAY()-Table_Query_from_A_Readiness_19[[#This Row],[PER_DATE]]&gt;=0,TRUE, FALSE)</f>
        <v>0</v>
      </c>
    </row>
    <row r="100" spans="1:13">
      <c r="A100">
        <v>42139</v>
      </c>
      <c r="B100" t="s">
        <v>332</v>
      </c>
      <c r="C100" t="s">
        <v>165</v>
      </c>
      <c r="D100" s="133">
        <v>5</v>
      </c>
      <c r="E100" s="133">
        <v>24</v>
      </c>
      <c r="F100" s="133">
        <v>0</v>
      </c>
      <c r="G100" s="133">
        <v>0</v>
      </c>
      <c r="H100" s="133">
        <v>0</v>
      </c>
      <c r="I100" s="133">
        <v>0</v>
      </c>
      <c r="J100" s="133">
        <v>0</v>
      </c>
      <c r="K100">
        <v>42129</v>
      </c>
      <c r="L100" s="133">
        <v>0</v>
      </c>
      <c r="M100" s="133" t="b">
        <f ca="1">IF(TODAY()-Table_Query_from_A_Readiness_19[[#This Row],[PER_DATE]]&gt;=0,TRUE, FALSE)</f>
        <v>0</v>
      </c>
    </row>
    <row r="101" spans="1:13">
      <c r="A101">
        <v>42139</v>
      </c>
      <c r="B101" t="s">
        <v>324</v>
      </c>
      <c r="C101" t="s">
        <v>148</v>
      </c>
      <c r="D101" s="133">
        <v>5</v>
      </c>
      <c r="E101" s="133">
        <v>0</v>
      </c>
      <c r="F101" s="133">
        <v>0</v>
      </c>
      <c r="G101" s="133">
        <v>0</v>
      </c>
      <c r="H101" s="133">
        <v>0</v>
      </c>
      <c r="I101" s="133">
        <v>0</v>
      </c>
      <c r="J101" s="133">
        <v>0</v>
      </c>
      <c r="K101">
        <v>42129</v>
      </c>
      <c r="L101" s="133">
        <v>24</v>
      </c>
      <c r="M101" s="133" t="b">
        <f ca="1">IF(TODAY()-Table_Query_from_A_Readiness_19[[#This Row],[PER_DATE]]&gt;=0,TRUE, FALSE)</f>
        <v>0</v>
      </c>
    </row>
    <row r="102" spans="1:13">
      <c r="A102">
        <v>42139</v>
      </c>
      <c r="B102" t="s">
        <v>332</v>
      </c>
      <c r="C102" t="s">
        <v>162</v>
      </c>
      <c r="D102" s="133">
        <v>5</v>
      </c>
      <c r="E102" s="133">
        <v>24</v>
      </c>
      <c r="F102" s="133">
        <v>0</v>
      </c>
      <c r="G102" s="133">
        <v>0</v>
      </c>
      <c r="H102" s="133">
        <v>0</v>
      </c>
      <c r="I102" s="133">
        <v>0</v>
      </c>
      <c r="J102" s="133">
        <v>0</v>
      </c>
      <c r="K102">
        <v>42129</v>
      </c>
      <c r="L102" s="133">
        <v>0</v>
      </c>
      <c r="M102" s="133" t="b">
        <f ca="1">IF(TODAY()-Table_Query_from_A_Readiness_19[[#This Row],[PER_DATE]]&gt;=0,TRUE, FALSE)</f>
        <v>0</v>
      </c>
    </row>
    <row r="103" spans="1:13">
      <c r="A103">
        <v>42139</v>
      </c>
      <c r="B103" t="s">
        <v>332</v>
      </c>
      <c r="C103" t="s">
        <v>163</v>
      </c>
      <c r="D103" s="133">
        <v>5</v>
      </c>
      <c r="E103" s="133">
        <v>24</v>
      </c>
      <c r="F103" s="133">
        <v>0</v>
      </c>
      <c r="G103" s="133">
        <v>0</v>
      </c>
      <c r="H103" s="133">
        <v>0</v>
      </c>
      <c r="I103" s="133">
        <v>0</v>
      </c>
      <c r="J103" s="133">
        <v>0</v>
      </c>
      <c r="K103">
        <v>42129</v>
      </c>
      <c r="L103" s="133">
        <v>0</v>
      </c>
      <c r="M103" s="133" t="b">
        <f ca="1">IF(TODAY()-Table_Query_from_A_Readiness_19[[#This Row],[PER_DATE]]&gt;=0,TRUE, FALSE)</f>
        <v>0</v>
      </c>
    </row>
    <row r="104" spans="1:13">
      <c r="A104">
        <v>42139</v>
      </c>
      <c r="B104" t="s">
        <v>325</v>
      </c>
      <c r="C104" t="s">
        <v>166</v>
      </c>
      <c r="D104" s="133">
        <v>5</v>
      </c>
      <c r="E104" s="133">
        <v>24</v>
      </c>
      <c r="F104" s="133">
        <v>0</v>
      </c>
      <c r="G104" s="133">
        <v>0</v>
      </c>
      <c r="H104" s="133">
        <v>0</v>
      </c>
      <c r="I104" s="133">
        <v>0</v>
      </c>
      <c r="J104" s="133">
        <v>0</v>
      </c>
      <c r="K104">
        <v>42129</v>
      </c>
      <c r="L104" s="133">
        <v>0</v>
      </c>
      <c r="M104" s="133" t="b">
        <f ca="1">IF(TODAY()-Table_Query_from_A_Readiness_19[[#This Row],[PER_DATE]]&gt;=0,TRUE, FALSE)</f>
        <v>0</v>
      </c>
    </row>
    <row r="105" spans="1:13">
      <c r="A105">
        <v>42139</v>
      </c>
      <c r="B105" t="s">
        <v>324</v>
      </c>
      <c r="C105" t="s">
        <v>149</v>
      </c>
      <c r="D105" s="133">
        <v>5</v>
      </c>
      <c r="E105" s="133">
        <v>0</v>
      </c>
      <c r="F105" s="133">
        <v>24</v>
      </c>
      <c r="G105" s="133">
        <v>0</v>
      </c>
      <c r="H105" s="133">
        <v>0</v>
      </c>
      <c r="I105" s="133">
        <v>0</v>
      </c>
      <c r="J105" s="133">
        <v>0</v>
      </c>
      <c r="K105">
        <v>42129</v>
      </c>
      <c r="L105" s="133">
        <v>0</v>
      </c>
      <c r="M105" s="133" t="b">
        <f ca="1">IF(TODAY()-Table_Query_from_A_Readiness_19[[#This Row],[PER_DATE]]&gt;=0,TRUE, FALSE)</f>
        <v>0</v>
      </c>
    </row>
    <row r="106" spans="1:13">
      <c r="A106">
        <v>42139</v>
      </c>
      <c r="B106" t="s">
        <v>332</v>
      </c>
      <c r="C106" t="s">
        <v>150</v>
      </c>
      <c r="D106" s="133">
        <v>5</v>
      </c>
      <c r="E106" s="133">
        <v>24</v>
      </c>
      <c r="F106" s="133">
        <v>0</v>
      </c>
      <c r="G106" s="133">
        <v>0</v>
      </c>
      <c r="H106" s="133">
        <v>0</v>
      </c>
      <c r="I106" s="133">
        <v>0</v>
      </c>
      <c r="J106" s="133">
        <v>0</v>
      </c>
      <c r="K106">
        <v>42129</v>
      </c>
      <c r="L106" s="133">
        <v>0</v>
      </c>
      <c r="M106" s="133" t="b">
        <f ca="1">IF(TODAY()-Table_Query_from_A_Readiness_19[[#This Row],[PER_DATE]]&gt;=0,TRUE, FALSE)</f>
        <v>0</v>
      </c>
    </row>
    <row r="107" spans="1:13">
      <c r="A107">
        <v>42139</v>
      </c>
      <c r="B107" t="s">
        <v>324</v>
      </c>
      <c r="C107" t="s">
        <v>151</v>
      </c>
      <c r="D107" s="133">
        <v>5</v>
      </c>
      <c r="E107" s="133">
        <v>0</v>
      </c>
      <c r="F107" s="133">
        <v>0</v>
      </c>
      <c r="G107" s="133">
        <v>0</v>
      </c>
      <c r="H107" s="133">
        <v>24</v>
      </c>
      <c r="I107" s="133">
        <v>0</v>
      </c>
      <c r="J107" s="133">
        <v>0</v>
      </c>
      <c r="K107">
        <v>42129</v>
      </c>
      <c r="L107" s="133">
        <v>0</v>
      </c>
      <c r="M107" s="133" t="b">
        <f ca="1">IF(TODAY()-Table_Query_from_A_Readiness_19[[#This Row],[PER_DATE]]&gt;=0,TRUE, FALSE)</f>
        <v>0</v>
      </c>
    </row>
    <row r="108" spans="1:13">
      <c r="A108">
        <v>42139</v>
      </c>
      <c r="B108" t="s">
        <v>325</v>
      </c>
      <c r="C108" t="s">
        <v>152</v>
      </c>
      <c r="D108" s="133">
        <v>5</v>
      </c>
      <c r="E108" s="133">
        <v>24</v>
      </c>
      <c r="F108" s="133">
        <v>0</v>
      </c>
      <c r="G108" s="133">
        <v>0</v>
      </c>
      <c r="H108" s="133">
        <v>0</v>
      </c>
      <c r="I108" s="133">
        <v>0</v>
      </c>
      <c r="J108" s="133">
        <v>0</v>
      </c>
      <c r="K108">
        <v>42129</v>
      </c>
      <c r="L108" s="133">
        <v>0</v>
      </c>
      <c r="M108" s="133" t="b">
        <f ca="1">IF(TODAY()-Table_Query_from_A_Readiness_19[[#This Row],[PER_DATE]]&gt;=0,TRUE, FALSE)</f>
        <v>0</v>
      </c>
    </row>
    <row r="109" spans="1:13">
      <c r="A109">
        <v>42139</v>
      </c>
      <c r="B109" t="s">
        <v>332</v>
      </c>
      <c r="C109" t="s">
        <v>145</v>
      </c>
      <c r="D109" s="133">
        <v>5</v>
      </c>
      <c r="E109" s="133">
        <v>24</v>
      </c>
      <c r="F109" s="133">
        <v>0</v>
      </c>
      <c r="G109" s="133">
        <v>0</v>
      </c>
      <c r="H109" s="133">
        <v>0</v>
      </c>
      <c r="I109" s="133">
        <v>0</v>
      </c>
      <c r="J109" s="133">
        <v>0</v>
      </c>
      <c r="K109">
        <v>42129</v>
      </c>
      <c r="L109" s="133">
        <v>0</v>
      </c>
      <c r="M109" s="133" t="b">
        <f ca="1">IF(TODAY()-Table_Query_from_A_Readiness_19[[#This Row],[PER_DATE]]&gt;=0,TRUE, FALSE)</f>
        <v>0</v>
      </c>
    </row>
    <row r="110" spans="1:13">
      <c r="A110">
        <v>42139</v>
      </c>
      <c r="B110" t="s">
        <v>325</v>
      </c>
      <c r="C110" t="s">
        <v>167</v>
      </c>
      <c r="D110" s="133">
        <v>5</v>
      </c>
      <c r="E110" s="133">
        <v>24</v>
      </c>
      <c r="F110" s="133">
        <v>0</v>
      </c>
      <c r="G110" s="133">
        <v>0</v>
      </c>
      <c r="H110" s="133">
        <v>0</v>
      </c>
      <c r="I110" s="133">
        <v>0</v>
      </c>
      <c r="J110" s="133">
        <v>0</v>
      </c>
      <c r="K110">
        <v>42129</v>
      </c>
      <c r="L110" s="133">
        <v>0</v>
      </c>
      <c r="M110" s="133" t="b">
        <f ca="1">IF(TODAY()-Table_Query_from_A_Readiness_19[[#This Row],[PER_DATE]]&gt;=0,TRUE, FALSE)</f>
        <v>0</v>
      </c>
    </row>
    <row r="111" spans="1:13">
      <c r="A111">
        <v>42139</v>
      </c>
      <c r="B111" t="s">
        <v>324</v>
      </c>
      <c r="C111" t="s">
        <v>153</v>
      </c>
      <c r="D111" s="133">
        <v>5</v>
      </c>
      <c r="E111" s="133">
        <v>0</v>
      </c>
      <c r="F111" s="133">
        <v>0</v>
      </c>
      <c r="G111" s="133">
        <v>0</v>
      </c>
      <c r="H111" s="133">
        <v>24</v>
      </c>
      <c r="I111" s="133">
        <v>0</v>
      </c>
      <c r="J111" s="133">
        <v>0</v>
      </c>
      <c r="K111">
        <v>42129</v>
      </c>
      <c r="L111" s="133">
        <v>0</v>
      </c>
      <c r="M111" s="133" t="b">
        <f ca="1">IF(TODAY()-Table_Query_from_A_Readiness_19[[#This Row],[PER_DATE]]&gt;=0,TRUE, FALSE)</f>
        <v>0</v>
      </c>
    </row>
    <row r="112" spans="1:13">
      <c r="A112">
        <v>42139</v>
      </c>
      <c r="B112" t="s">
        <v>325</v>
      </c>
      <c r="C112" t="s">
        <v>154</v>
      </c>
      <c r="D112" s="133">
        <v>5</v>
      </c>
      <c r="E112" s="133">
        <v>24</v>
      </c>
      <c r="F112" s="133">
        <v>0</v>
      </c>
      <c r="G112" s="133">
        <v>0</v>
      </c>
      <c r="H112" s="133">
        <v>0</v>
      </c>
      <c r="I112" s="133">
        <v>0</v>
      </c>
      <c r="J112" s="133">
        <v>0</v>
      </c>
      <c r="K112">
        <v>42129</v>
      </c>
      <c r="L112" s="133">
        <v>0</v>
      </c>
      <c r="M112" s="133" t="b">
        <f ca="1">IF(TODAY()-Table_Query_from_A_Readiness_19[[#This Row],[PER_DATE]]&gt;=0,TRUE, FALSE)</f>
        <v>0</v>
      </c>
    </row>
    <row r="113" spans="1:13">
      <c r="A113">
        <v>42139</v>
      </c>
      <c r="B113" t="s">
        <v>325</v>
      </c>
      <c r="C113" t="s">
        <v>168</v>
      </c>
      <c r="D113" s="133">
        <v>5</v>
      </c>
      <c r="E113" s="133">
        <v>24</v>
      </c>
      <c r="F113" s="133">
        <v>0</v>
      </c>
      <c r="G113" s="133">
        <v>0</v>
      </c>
      <c r="H113" s="133">
        <v>0</v>
      </c>
      <c r="I113" s="133">
        <v>0</v>
      </c>
      <c r="J113" s="133">
        <v>0</v>
      </c>
      <c r="K113">
        <v>42129</v>
      </c>
      <c r="L113" s="133">
        <v>0</v>
      </c>
      <c r="M113" s="133" t="b">
        <f ca="1">IF(TODAY()-Table_Query_from_A_Readiness_19[[#This Row],[PER_DATE]]&gt;=0,TRUE, FALSE)</f>
        <v>0</v>
      </c>
    </row>
    <row r="114" spans="1:13">
      <c r="A114">
        <v>42139</v>
      </c>
      <c r="B114" t="s">
        <v>324</v>
      </c>
      <c r="C114" t="s">
        <v>155</v>
      </c>
      <c r="D114" s="133">
        <v>5</v>
      </c>
      <c r="E114" s="133">
        <v>0</v>
      </c>
      <c r="F114" s="133">
        <v>0</v>
      </c>
      <c r="G114" s="133">
        <v>0</v>
      </c>
      <c r="H114" s="133">
        <v>0</v>
      </c>
      <c r="I114" s="133">
        <v>24</v>
      </c>
      <c r="J114" s="133">
        <v>0</v>
      </c>
      <c r="K114">
        <v>42129</v>
      </c>
      <c r="L114" s="133">
        <v>0</v>
      </c>
      <c r="M114" s="133" t="b">
        <f ca="1">IF(TODAY()-Table_Query_from_A_Readiness_19[[#This Row],[PER_DATE]]&gt;=0,TRUE, FALSE)</f>
        <v>0</v>
      </c>
    </row>
    <row r="115" spans="1:13">
      <c r="A115">
        <v>42139</v>
      </c>
      <c r="B115" t="s">
        <v>324</v>
      </c>
      <c r="C115" t="s">
        <v>156</v>
      </c>
      <c r="D115" s="133">
        <v>5</v>
      </c>
      <c r="E115" s="133">
        <v>0</v>
      </c>
      <c r="F115" s="133">
        <v>24</v>
      </c>
      <c r="G115" s="133">
        <v>0</v>
      </c>
      <c r="H115" s="133">
        <v>0</v>
      </c>
      <c r="I115" s="133">
        <v>0</v>
      </c>
      <c r="J115" s="133">
        <v>0</v>
      </c>
      <c r="K115">
        <v>42129</v>
      </c>
      <c r="L115" s="133">
        <v>0</v>
      </c>
      <c r="M115" s="133" t="b">
        <f ca="1">IF(TODAY()-Table_Query_from_A_Readiness_19[[#This Row],[PER_DATE]]&gt;=0,TRUE, FALSE)</f>
        <v>0</v>
      </c>
    </row>
    <row r="116" spans="1:13">
      <c r="A116">
        <v>42139</v>
      </c>
      <c r="B116" t="s">
        <v>325</v>
      </c>
      <c r="C116" t="s">
        <v>157</v>
      </c>
      <c r="D116" s="133">
        <v>5</v>
      </c>
      <c r="E116" s="133">
        <v>24</v>
      </c>
      <c r="F116" s="133">
        <v>0</v>
      </c>
      <c r="G116" s="133">
        <v>0</v>
      </c>
      <c r="H116" s="133">
        <v>0</v>
      </c>
      <c r="I116" s="133">
        <v>0</v>
      </c>
      <c r="J116" s="133">
        <v>0</v>
      </c>
      <c r="K116">
        <v>42129</v>
      </c>
      <c r="L116" s="133">
        <v>0</v>
      </c>
      <c r="M116" s="133" t="b">
        <f ca="1">IF(TODAY()-Table_Query_from_A_Readiness_19[[#This Row],[PER_DATE]]&gt;=0,TRUE, FALSE)</f>
        <v>0</v>
      </c>
    </row>
    <row r="117" spans="1:13">
      <c r="A117">
        <v>42139</v>
      </c>
      <c r="B117" t="s">
        <v>324</v>
      </c>
      <c r="C117" t="s">
        <v>169</v>
      </c>
      <c r="D117" s="133">
        <v>5</v>
      </c>
      <c r="E117" s="133">
        <v>0</v>
      </c>
      <c r="F117" s="133">
        <v>0</v>
      </c>
      <c r="G117" s="133">
        <v>0</v>
      </c>
      <c r="H117" s="133">
        <v>0</v>
      </c>
      <c r="I117" s="133">
        <v>24</v>
      </c>
      <c r="J117" s="133">
        <v>0</v>
      </c>
      <c r="K117">
        <v>42129</v>
      </c>
      <c r="L117" s="133">
        <v>0</v>
      </c>
      <c r="M117" s="133" t="b">
        <f ca="1">IF(TODAY()-Table_Query_from_A_Readiness_19[[#This Row],[PER_DATE]]&gt;=0,TRUE, FALSE)</f>
        <v>0</v>
      </c>
    </row>
    <row r="118" spans="1:13">
      <c r="A118">
        <v>42139</v>
      </c>
      <c r="B118" t="s">
        <v>332</v>
      </c>
      <c r="C118" t="s">
        <v>170</v>
      </c>
      <c r="D118" s="133">
        <v>5</v>
      </c>
      <c r="E118" s="133">
        <v>24</v>
      </c>
      <c r="F118" s="133">
        <v>0</v>
      </c>
      <c r="G118" s="133">
        <v>0</v>
      </c>
      <c r="H118" s="133">
        <v>0</v>
      </c>
      <c r="I118" s="133">
        <v>0</v>
      </c>
      <c r="J118" s="133">
        <v>0</v>
      </c>
      <c r="K118">
        <v>42129</v>
      </c>
      <c r="L118" s="133">
        <v>0</v>
      </c>
      <c r="M118" s="133" t="b">
        <f ca="1">IF(TODAY()-Table_Query_from_A_Readiness_19[[#This Row],[PER_DATE]]&gt;=0,TRUE, FALSE)</f>
        <v>0</v>
      </c>
    </row>
    <row r="119" spans="1:13">
      <c r="A119">
        <v>42139</v>
      </c>
      <c r="B119" t="s">
        <v>324</v>
      </c>
      <c r="C119" t="s">
        <v>158</v>
      </c>
      <c r="D119" s="133">
        <v>5</v>
      </c>
      <c r="E119" s="133">
        <v>24</v>
      </c>
      <c r="F119" s="133">
        <v>0</v>
      </c>
      <c r="G119" s="133">
        <v>0</v>
      </c>
      <c r="H119" s="133">
        <v>0</v>
      </c>
      <c r="I119" s="133">
        <v>0</v>
      </c>
      <c r="J119" s="133">
        <v>0</v>
      </c>
      <c r="K119">
        <v>42129</v>
      </c>
      <c r="L119" s="133">
        <v>0</v>
      </c>
      <c r="M119" s="133" t="b">
        <f ca="1">IF(TODAY()-Table_Query_from_A_Readiness_19[[#This Row],[PER_DATE]]&gt;=0,TRUE, FALSE)</f>
        <v>0</v>
      </c>
    </row>
    <row r="120" spans="1:13">
      <c r="A120">
        <v>42139</v>
      </c>
      <c r="B120" t="s">
        <v>325</v>
      </c>
      <c r="C120" t="s">
        <v>159</v>
      </c>
      <c r="D120" s="133">
        <v>5</v>
      </c>
      <c r="E120" s="133">
        <v>24</v>
      </c>
      <c r="F120" s="133">
        <v>0</v>
      </c>
      <c r="G120" s="133">
        <v>0</v>
      </c>
      <c r="H120" s="133">
        <v>0</v>
      </c>
      <c r="I120" s="133">
        <v>0</v>
      </c>
      <c r="J120" s="133">
        <v>0</v>
      </c>
      <c r="K120">
        <v>42129</v>
      </c>
      <c r="L120" s="133">
        <v>0</v>
      </c>
      <c r="M120" s="133" t="b">
        <f ca="1">IF(TODAY()-Table_Query_from_A_Readiness_19[[#This Row],[PER_DATE]]&gt;=0,TRUE, FALSE)</f>
        <v>0</v>
      </c>
    </row>
    <row r="121" spans="1:13">
      <c r="A121">
        <v>42139</v>
      </c>
      <c r="B121" t="s">
        <v>325</v>
      </c>
      <c r="C121" t="s">
        <v>160</v>
      </c>
      <c r="D121" s="133">
        <v>5</v>
      </c>
      <c r="E121" s="133">
        <v>24</v>
      </c>
      <c r="F121" s="133">
        <v>0</v>
      </c>
      <c r="G121" s="133">
        <v>0</v>
      </c>
      <c r="H121" s="133">
        <v>0</v>
      </c>
      <c r="I121" s="133">
        <v>0</v>
      </c>
      <c r="J121" s="133">
        <v>0</v>
      </c>
      <c r="K121">
        <v>42129</v>
      </c>
      <c r="L121" s="133">
        <v>0</v>
      </c>
      <c r="M121" s="133" t="b">
        <f ca="1">IF(TODAY()-Table_Query_from_A_Readiness_19[[#This Row],[PER_DATE]]&gt;=0,TRUE, FALSE)</f>
        <v>0</v>
      </c>
    </row>
    <row r="122" spans="1:13">
      <c r="A122">
        <v>42139</v>
      </c>
      <c r="B122" t="s">
        <v>332</v>
      </c>
      <c r="C122" t="s">
        <v>164</v>
      </c>
      <c r="D122" s="133">
        <v>6</v>
      </c>
      <c r="E122" s="133">
        <v>24</v>
      </c>
      <c r="F122" s="133">
        <v>0</v>
      </c>
      <c r="G122" s="133">
        <v>0</v>
      </c>
      <c r="H122" s="133">
        <v>0</v>
      </c>
      <c r="I122" s="133">
        <v>0</v>
      </c>
      <c r="J122" s="133">
        <v>0</v>
      </c>
      <c r="K122">
        <v>42130</v>
      </c>
      <c r="L122" s="133">
        <v>0</v>
      </c>
      <c r="M122" s="133" t="b">
        <f ca="1">IF(TODAY()-Table_Query_from_A_Readiness_19[[#This Row],[PER_DATE]]&gt;=0,TRUE, FALSE)</f>
        <v>0</v>
      </c>
    </row>
    <row r="123" spans="1:13">
      <c r="A123">
        <v>42139</v>
      </c>
      <c r="B123" t="s">
        <v>332</v>
      </c>
      <c r="C123" t="s">
        <v>161</v>
      </c>
      <c r="D123" s="133">
        <v>6</v>
      </c>
      <c r="E123" s="133">
        <v>0</v>
      </c>
      <c r="F123" s="133">
        <v>0</v>
      </c>
      <c r="G123" s="133">
        <v>0</v>
      </c>
      <c r="H123" s="133">
        <v>0</v>
      </c>
      <c r="I123" s="133">
        <v>0</v>
      </c>
      <c r="J123" s="133">
        <v>0</v>
      </c>
      <c r="K123">
        <v>42130</v>
      </c>
      <c r="L123" s="133">
        <v>24</v>
      </c>
      <c r="M123" s="133" t="b">
        <f ca="1">IF(TODAY()-Table_Query_from_A_Readiness_19[[#This Row],[PER_DATE]]&gt;=0,TRUE, FALSE)</f>
        <v>0</v>
      </c>
    </row>
    <row r="124" spans="1:13">
      <c r="A124">
        <v>42139</v>
      </c>
      <c r="B124" t="s">
        <v>332</v>
      </c>
      <c r="C124" t="s">
        <v>165</v>
      </c>
      <c r="D124" s="133">
        <v>6</v>
      </c>
      <c r="E124" s="133">
        <v>24</v>
      </c>
      <c r="F124" s="133">
        <v>0</v>
      </c>
      <c r="G124" s="133">
        <v>0</v>
      </c>
      <c r="H124" s="133">
        <v>0</v>
      </c>
      <c r="I124" s="133">
        <v>0</v>
      </c>
      <c r="J124" s="133">
        <v>0</v>
      </c>
      <c r="K124">
        <v>42130</v>
      </c>
      <c r="L124" s="133">
        <v>0</v>
      </c>
      <c r="M124" s="133" t="b">
        <f ca="1">IF(TODAY()-Table_Query_from_A_Readiness_19[[#This Row],[PER_DATE]]&gt;=0,TRUE, FALSE)</f>
        <v>0</v>
      </c>
    </row>
    <row r="125" spans="1:13">
      <c r="A125">
        <v>42139</v>
      </c>
      <c r="B125" t="s">
        <v>324</v>
      </c>
      <c r="C125" t="s">
        <v>148</v>
      </c>
      <c r="D125" s="133">
        <v>6</v>
      </c>
      <c r="E125" s="133">
        <v>0</v>
      </c>
      <c r="F125" s="133">
        <v>0</v>
      </c>
      <c r="G125" s="133">
        <v>0</v>
      </c>
      <c r="H125" s="133">
        <v>0</v>
      </c>
      <c r="I125" s="133">
        <v>0</v>
      </c>
      <c r="J125" s="133">
        <v>0</v>
      </c>
      <c r="K125">
        <v>42130</v>
      </c>
      <c r="L125" s="133">
        <v>24</v>
      </c>
      <c r="M125" s="133" t="b">
        <f ca="1">IF(TODAY()-Table_Query_from_A_Readiness_19[[#This Row],[PER_DATE]]&gt;=0,TRUE, FALSE)</f>
        <v>0</v>
      </c>
    </row>
    <row r="126" spans="1:13">
      <c r="A126">
        <v>42139</v>
      </c>
      <c r="B126" t="s">
        <v>332</v>
      </c>
      <c r="C126" t="s">
        <v>162</v>
      </c>
      <c r="D126" s="133">
        <v>6</v>
      </c>
      <c r="E126" s="133">
        <v>24</v>
      </c>
      <c r="F126" s="133">
        <v>0</v>
      </c>
      <c r="G126" s="133">
        <v>0</v>
      </c>
      <c r="H126" s="133">
        <v>0</v>
      </c>
      <c r="I126" s="133">
        <v>0</v>
      </c>
      <c r="J126" s="133">
        <v>0</v>
      </c>
      <c r="K126">
        <v>42130</v>
      </c>
      <c r="L126" s="133">
        <v>0</v>
      </c>
      <c r="M126" s="133" t="b">
        <f ca="1">IF(TODAY()-Table_Query_from_A_Readiness_19[[#This Row],[PER_DATE]]&gt;=0,TRUE, FALSE)</f>
        <v>0</v>
      </c>
    </row>
    <row r="127" spans="1:13">
      <c r="A127">
        <v>42139</v>
      </c>
      <c r="B127" t="s">
        <v>332</v>
      </c>
      <c r="C127" t="s">
        <v>163</v>
      </c>
      <c r="D127" s="133">
        <v>6</v>
      </c>
      <c r="E127" s="133">
        <v>24</v>
      </c>
      <c r="F127" s="133">
        <v>0</v>
      </c>
      <c r="G127" s="133">
        <v>0</v>
      </c>
      <c r="H127" s="133">
        <v>0</v>
      </c>
      <c r="I127" s="133">
        <v>0</v>
      </c>
      <c r="J127" s="133">
        <v>0</v>
      </c>
      <c r="K127">
        <v>42130</v>
      </c>
      <c r="L127" s="133">
        <v>0</v>
      </c>
      <c r="M127" s="133" t="b">
        <f ca="1">IF(TODAY()-Table_Query_from_A_Readiness_19[[#This Row],[PER_DATE]]&gt;=0,TRUE, FALSE)</f>
        <v>0</v>
      </c>
    </row>
    <row r="128" spans="1:13">
      <c r="A128">
        <v>42139</v>
      </c>
      <c r="B128" t="s">
        <v>325</v>
      </c>
      <c r="C128" t="s">
        <v>166</v>
      </c>
      <c r="D128" s="133">
        <v>6</v>
      </c>
      <c r="E128" s="133">
        <v>24</v>
      </c>
      <c r="F128" s="133">
        <v>0</v>
      </c>
      <c r="G128" s="133">
        <v>0</v>
      </c>
      <c r="H128" s="133">
        <v>0</v>
      </c>
      <c r="I128" s="133">
        <v>0</v>
      </c>
      <c r="J128" s="133">
        <v>0</v>
      </c>
      <c r="K128">
        <v>42130</v>
      </c>
      <c r="L128" s="133">
        <v>0</v>
      </c>
      <c r="M128" s="133" t="b">
        <f ca="1">IF(TODAY()-Table_Query_from_A_Readiness_19[[#This Row],[PER_DATE]]&gt;=0,TRUE, FALSE)</f>
        <v>0</v>
      </c>
    </row>
    <row r="129" spans="1:13">
      <c r="A129">
        <v>42139</v>
      </c>
      <c r="B129" t="s">
        <v>324</v>
      </c>
      <c r="C129" t="s">
        <v>149</v>
      </c>
      <c r="D129" s="133">
        <v>6</v>
      </c>
      <c r="E129" s="133">
        <v>0</v>
      </c>
      <c r="F129" s="133">
        <v>24</v>
      </c>
      <c r="G129" s="133">
        <v>0</v>
      </c>
      <c r="H129" s="133">
        <v>0</v>
      </c>
      <c r="I129" s="133">
        <v>0</v>
      </c>
      <c r="J129" s="133">
        <v>0</v>
      </c>
      <c r="K129">
        <v>42130</v>
      </c>
      <c r="L129" s="133">
        <v>0</v>
      </c>
      <c r="M129" s="133" t="b">
        <f ca="1">IF(TODAY()-Table_Query_from_A_Readiness_19[[#This Row],[PER_DATE]]&gt;=0,TRUE, FALSE)</f>
        <v>0</v>
      </c>
    </row>
    <row r="130" spans="1:13">
      <c r="A130">
        <v>42139</v>
      </c>
      <c r="B130" t="s">
        <v>332</v>
      </c>
      <c r="C130" t="s">
        <v>150</v>
      </c>
      <c r="D130" s="133">
        <v>6</v>
      </c>
      <c r="E130" s="133">
        <v>24</v>
      </c>
      <c r="F130" s="133">
        <v>0</v>
      </c>
      <c r="G130" s="133">
        <v>0</v>
      </c>
      <c r="H130" s="133">
        <v>0</v>
      </c>
      <c r="I130" s="133">
        <v>0</v>
      </c>
      <c r="J130" s="133">
        <v>0</v>
      </c>
      <c r="K130">
        <v>42130</v>
      </c>
      <c r="L130" s="133">
        <v>0</v>
      </c>
      <c r="M130" s="133" t="b">
        <f ca="1">IF(TODAY()-Table_Query_from_A_Readiness_19[[#This Row],[PER_DATE]]&gt;=0,TRUE, FALSE)</f>
        <v>0</v>
      </c>
    </row>
    <row r="131" spans="1:13">
      <c r="A131">
        <v>42139</v>
      </c>
      <c r="B131" t="s">
        <v>324</v>
      </c>
      <c r="C131" t="s">
        <v>151</v>
      </c>
      <c r="D131" s="133">
        <v>6</v>
      </c>
      <c r="E131" s="133">
        <v>0</v>
      </c>
      <c r="F131" s="133">
        <v>0</v>
      </c>
      <c r="G131" s="133">
        <v>0</v>
      </c>
      <c r="H131" s="133">
        <v>24</v>
      </c>
      <c r="I131" s="133">
        <v>0</v>
      </c>
      <c r="J131" s="133">
        <v>0</v>
      </c>
      <c r="K131">
        <v>42130</v>
      </c>
      <c r="L131" s="133">
        <v>0</v>
      </c>
      <c r="M131" s="133" t="b">
        <f ca="1">IF(TODAY()-Table_Query_from_A_Readiness_19[[#This Row],[PER_DATE]]&gt;=0,TRUE, FALSE)</f>
        <v>0</v>
      </c>
    </row>
    <row r="132" spans="1:13">
      <c r="A132">
        <v>42139</v>
      </c>
      <c r="B132" t="s">
        <v>325</v>
      </c>
      <c r="C132" t="s">
        <v>152</v>
      </c>
      <c r="D132" s="133">
        <v>6</v>
      </c>
      <c r="E132" s="133">
        <v>24</v>
      </c>
      <c r="F132" s="133">
        <v>0</v>
      </c>
      <c r="G132" s="133">
        <v>0</v>
      </c>
      <c r="H132" s="133">
        <v>0</v>
      </c>
      <c r="I132" s="133">
        <v>0</v>
      </c>
      <c r="J132" s="133">
        <v>0</v>
      </c>
      <c r="K132">
        <v>42130</v>
      </c>
      <c r="L132" s="133">
        <v>0</v>
      </c>
      <c r="M132" s="133" t="b">
        <f ca="1">IF(TODAY()-Table_Query_from_A_Readiness_19[[#This Row],[PER_DATE]]&gt;=0,TRUE, FALSE)</f>
        <v>0</v>
      </c>
    </row>
    <row r="133" spans="1:13">
      <c r="A133">
        <v>42139</v>
      </c>
      <c r="B133" t="s">
        <v>332</v>
      </c>
      <c r="C133" t="s">
        <v>145</v>
      </c>
      <c r="D133" s="133">
        <v>6</v>
      </c>
      <c r="E133" s="133">
        <v>24</v>
      </c>
      <c r="F133" s="133">
        <v>0</v>
      </c>
      <c r="G133" s="133">
        <v>0</v>
      </c>
      <c r="H133" s="133">
        <v>0</v>
      </c>
      <c r="I133" s="133">
        <v>0</v>
      </c>
      <c r="J133" s="133">
        <v>0</v>
      </c>
      <c r="K133">
        <v>42130</v>
      </c>
      <c r="L133" s="133">
        <v>0</v>
      </c>
      <c r="M133" s="133" t="b">
        <f ca="1">IF(TODAY()-Table_Query_from_A_Readiness_19[[#This Row],[PER_DATE]]&gt;=0,TRUE, FALSE)</f>
        <v>0</v>
      </c>
    </row>
    <row r="134" spans="1:13">
      <c r="A134">
        <v>42139</v>
      </c>
      <c r="B134" t="s">
        <v>325</v>
      </c>
      <c r="C134" t="s">
        <v>167</v>
      </c>
      <c r="D134" s="133">
        <v>6</v>
      </c>
      <c r="E134" s="133">
        <v>24</v>
      </c>
      <c r="F134" s="133">
        <v>0</v>
      </c>
      <c r="G134" s="133">
        <v>0</v>
      </c>
      <c r="H134" s="133">
        <v>0</v>
      </c>
      <c r="I134" s="133">
        <v>0</v>
      </c>
      <c r="J134" s="133">
        <v>0</v>
      </c>
      <c r="K134">
        <v>42130</v>
      </c>
      <c r="L134" s="133">
        <v>0</v>
      </c>
      <c r="M134" s="133" t="b">
        <f ca="1">IF(TODAY()-Table_Query_from_A_Readiness_19[[#This Row],[PER_DATE]]&gt;=0,TRUE, FALSE)</f>
        <v>0</v>
      </c>
    </row>
    <row r="135" spans="1:13">
      <c r="A135">
        <v>42139</v>
      </c>
      <c r="B135" t="s">
        <v>324</v>
      </c>
      <c r="C135" t="s">
        <v>153</v>
      </c>
      <c r="D135" s="133">
        <v>6</v>
      </c>
      <c r="E135" s="133">
        <v>0</v>
      </c>
      <c r="F135" s="133">
        <v>0</v>
      </c>
      <c r="G135" s="133">
        <v>0</v>
      </c>
      <c r="H135" s="133">
        <v>24</v>
      </c>
      <c r="I135" s="133">
        <v>0</v>
      </c>
      <c r="J135" s="133">
        <v>0</v>
      </c>
      <c r="K135">
        <v>42130</v>
      </c>
      <c r="L135" s="133">
        <v>0</v>
      </c>
      <c r="M135" s="133" t="b">
        <f ca="1">IF(TODAY()-Table_Query_from_A_Readiness_19[[#This Row],[PER_DATE]]&gt;=0,TRUE, FALSE)</f>
        <v>0</v>
      </c>
    </row>
    <row r="136" spans="1:13">
      <c r="A136">
        <v>42139</v>
      </c>
      <c r="B136" t="s">
        <v>325</v>
      </c>
      <c r="C136" t="s">
        <v>154</v>
      </c>
      <c r="D136" s="133">
        <v>6</v>
      </c>
      <c r="E136" s="133">
        <v>24</v>
      </c>
      <c r="F136" s="133">
        <v>0</v>
      </c>
      <c r="G136" s="133">
        <v>0</v>
      </c>
      <c r="H136" s="133">
        <v>0</v>
      </c>
      <c r="I136" s="133">
        <v>0</v>
      </c>
      <c r="J136" s="133">
        <v>0</v>
      </c>
      <c r="K136">
        <v>42130</v>
      </c>
      <c r="L136" s="133">
        <v>0</v>
      </c>
      <c r="M136" s="133" t="b">
        <f ca="1">IF(TODAY()-Table_Query_from_A_Readiness_19[[#This Row],[PER_DATE]]&gt;=0,TRUE, FALSE)</f>
        <v>0</v>
      </c>
    </row>
    <row r="137" spans="1:13">
      <c r="A137">
        <v>42139</v>
      </c>
      <c r="B137" t="s">
        <v>325</v>
      </c>
      <c r="C137" t="s">
        <v>168</v>
      </c>
      <c r="D137" s="133">
        <v>6</v>
      </c>
      <c r="E137" s="133">
        <v>24</v>
      </c>
      <c r="F137" s="133">
        <v>0</v>
      </c>
      <c r="G137" s="133">
        <v>0</v>
      </c>
      <c r="H137" s="133">
        <v>0</v>
      </c>
      <c r="I137" s="133">
        <v>0</v>
      </c>
      <c r="J137" s="133">
        <v>0</v>
      </c>
      <c r="K137">
        <v>42130</v>
      </c>
      <c r="L137" s="133">
        <v>0</v>
      </c>
      <c r="M137" s="133" t="b">
        <f ca="1">IF(TODAY()-Table_Query_from_A_Readiness_19[[#This Row],[PER_DATE]]&gt;=0,TRUE, FALSE)</f>
        <v>0</v>
      </c>
    </row>
    <row r="138" spans="1:13">
      <c r="A138">
        <v>42139</v>
      </c>
      <c r="B138" t="s">
        <v>324</v>
      </c>
      <c r="C138" t="s">
        <v>155</v>
      </c>
      <c r="D138" s="133">
        <v>6</v>
      </c>
      <c r="E138" s="133">
        <v>0</v>
      </c>
      <c r="F138" s="133">
        <v>0</v>
      </c>
      <c r="G138" s="133">
        <v>0</v>
      </c>
      <c r="H138" s="133">
        <v>0</v>
      </c>
      <c r="I138" s="133">
        <v>24</v>
      </c>
      <c r="J138" s="133">
        <v>0</v>
      </c>
      <c r="K138">
        <v>42130</v>
      </c>
      <c r="L138" s="133">
        <v>0</v>
      </c>
      <c r="M138" s="133" t="b">
        <f ca="1">IF(TODAY()-Table_Query_from_A_Readiness_19[[#This Row],[PER_DATE]]&gt;=0,TRUE, FALSE)</f>
        <v>0</v>
      </c>
    </row>
    <row r="139" spans="1:13">
      <c r="A139">
        <v>42139</v>
      </c>
      <c r="B139" t="s">
        <v>324</v>
      </c>
      <c r="C139" t="s">
        <v>156</v>
      </c>
      <c r="D139" s="133">
        <v>6</v>
      </c>
      <c r="E139" s="133">
        <v>0</v>
      </c>
      <c r="F139" s="133">
        <v>24</v>
      </c>
      <c r="G139" s="133">
        <v>0</v>
      </c>
      <c r="H139" s="133">
        <v>0</v>
      </c>
      <c r="I139" s="133">
        <v>0</v>
      </c>
      <c r="J139" s="133">
        <v>0</v>
      </c>
      <c r="K139">
        <v>42130</v>
      </c>
      <c r="L139" s="133">
        <v>0</v>
      </c>
      <c r="M139" s="133" t="b">
        <f ca="1">IF(TODAY()-Table_Query_from_A_Readiness_19[[#This Row],[PER_DATE]]&gt;=0,TRUE, FALSE)</f>
        <v>0</v>
      </c>
    </row>
    <row r="140" spans="1:13">
      <c r="A140">
        <v>42139</v>
      </c>
      <c r="B140" t="s">
        <v>325</v>
      </c>
      <c r="C140" t="s">
        <v>157</v>
      </c>
      <c r="D140" s="133">
        <v>6</v>
      </c>
      <c r="E140" s="133">
        <v>24</v>
      </c>
      <c r="F140" s="133">
        <v>0</v>
      </c>
      <c r="G140" s="133">
        <v>0</v>
      </c>
      <c r="H140" s="133">
        <v>0</v>
      </c>
      <c r="I140" s="133">
        <v>0</v>
      </c>
      <c r="J140" s="133">
        <v>0</v>
      </c>
      <c r="K140">
        <v>42130</v>
      </c>
      <c r="L140" s="133">
        <v>0</v>
      </c>
      <c r="M140" s="133" t="b">
        <f ca="1">IF(TODAY()-Table_Query_from_A_Readiness_19[[#This Row],[PER_DATE]]&gt;=0,TRUE, FALSE)</f>
        <v>0</v>
      </c>
    </row>
    <row r="141" spans="1:13">
      <c r="A141">
        <v>42139</v>
      </c>
      <c r="B141" t="s">
        <v>324</v>
      </c>
      <c r="C141" t="s">
        <v>169</v>
      </c>
      <c r="D141" s="133">
        <v>6</v>
      </c>
      <c r="E141" s="133">
        <v>0</v>
      </c>
      <c r="F141" s="133">
        <v>0</v>
      </c>
      <c r="G141" s="133">
        <v>0</v>
      </c>
      <c r="H141" s="133">
        <v>0</v>
      </c>
      <c r="I141" s="133">
        <v>24</v>
      </c>
      <c r="J141" s="133">
        <v>0</v>
      </c>
      <c r="K141">
        <v>42130</v>
      </c>
      <c r="L141" s="133">
        <v>0</v>
      </c>
      <c r="M141" s="133" t="b">
        <f ca="1">IF(TODAY()-Table_Query_from_A_Readiness_19[[#This Row],[PER_DATE]]&gt;=0,TRUE, FALSE)</f>
        <v>0</v>
      </c>
    </row>
    <row r="142" spans="1:13">
      <c r="A142">
        <v>42139</v>
      </c>
      <c r="B142" t="s">
        <v>332</v>
      </c>
      <c r="C142" t="s">
        <v>170</v>
      </c>
      <c r="D142" s="133">
        <v>6</v>
      </c>
      <c r="E142" s="133">
        <v>24</v>
      </c>
      <c r="F142" s="133">
        <v>0</v>
      </c>
      <c r="G142" s="133">
        <v>0</v>
      </c>
      <c r="H142" s="133">
        <v>0</v>
      </c>
      <c r="I142" s="133">
        <v>0</v>
      </c>
      <c r="J142" s="133">
        <v>0</v>
      </c>
      <c r="K142">
        <v>42130</v>
      </c>
      <c r="L142" s="133">
        <v>0</v>
      </c>
      <c r="M142" s="133" t="b">
        <f ca="1">IF(TODAY()-Table_Query_from_A_Readiness_19[[#This Row],[PER_DATE]]&gt;=0,TRUE, FALSE)</f>
        <v>0</v>
      </c>
    </row>
    <row r="143" spans="1:13">
      <c r="A143">
        <v>42139</v>
      </c>
      <c r="B143" t="s">
        <v>324</v>
      </c>
      <c r="C143" t="s">
        <v>158</v>
      </c>
      <c r="D143" s="133">
        <v>6</v>
      </c>
      <c r="E143" s="133">
        <v>24</v>
      </c>
      <c r="F143" s="133">
        <v>0</v>
      </c>
      <c r="G143" s="133">
        <v>0</v>
      </c>
      <c r="H143" s="133">
        <v>0</v>
      </c>
      <c r="I143" s="133">
        <v>0</v>
      </c>
      <c r="J143" s="133">
        <v>0</v>
      </c>
      <c r="K143">
        <v>42130</v>
      </c>
      <c r="L143" s="133">
        <v>0</v>
      </c>
      <c r="M143" s="133" t="b">
        <f ca="1">IF(TODAY()-Table_Query_from_A_Readiness_19[[#This Row],[PER_DATE]]&gt;=0,TRUE, FALSE)</f>
        <v>0</v>
      </c>
    </row>
    <row r="144" spans="1:13">
      <c r="A144">
        <v>42139</v>
      </c>
      <c r="B144" t="s">
        <v>325</v>
      </c>
      <c r="C144" t="s">
        <v>159</v>
      </c>
      <c r="D144" s="133">
        <v>6</v>
      </c>
      <c r="E144" s="133">
        <v>24</v>
      </c>
      <c r="F144" s="133">
        <v>0</v>
      </c>
      <c r="G144" s="133">
        <v>0</v>
      </c>
      <c r="H144" s="133">
        <v>0</v>
      </c>
      <c r="I144" s="133">
        <v>0</v>
      </c>
      <c r="J144" s="133">
        <v>0</v>
      </c>
      <c r="K144">
        <v>42130</v>
      </c>
      <c r="L144" s="133">
        <v>0</v>
      </c>
      <c r="M144" s="133" t="b">
        <f ca="1">IF(TODAY()-Table_Query_from_A_Readiness_19[[#This Row],[PER_DATE]]&gt;=0,TRUE, FALSE)</f>
        <v>0</v>
      </c>
    </row>
    <row r="145" spans="1:13">
      <c r="A145">
        <v>42139</v>
      </c>
      <c r="B145" t="s">
        <v>325</v>
      </c>
      <c r="C145" t="s">
        <v>160</v>
      </c>
      <c r="D145" s="133">
        <v>6</v>
      </c>
      <c r="E145" s="133">
        <v>24</v>
      </c>
      <c r="F145" s="133">
        <v>0</v>
      </c>
      <c r="G145" s="133">
        <v>0</v>
      </c>
      <c r="H145" s="133">
        <v>0</v>
      </c>
      <c r="I145" s="133">
        <v>0</v>
      </c>
      <c r="J145" s="133">
        <v>0</v>
      </c>
      <c r="K145">
        <v>42130</v>
      </c>
      <c r="L145" s="133">
        <v>0</v>
      </c>
      <c r="M145" s="133" t="b">
        <f ca="1">IF(TODAY()-Table_Query_from_A_Readiness_19[[#This Row],[PER_DATE]]&gt;=0,TRUE, FALSE)</f>
        <v>0</v>
      </c>
    </row>
    <row r="146" spans="1:13">
      <c r="A146">
        <v>42139</v>
      </c>
      <c r="B146" t="s">
        <v>332</v>
      </c>
      <c r="C146" t="s">
        <v>164</v>
      </c>
      <c r="D146" s="133">
        <v>7</v>
      </c>
      <c r="E146" s="133">
        <v>24</v>
      </c>
      <c r="F146" s="133">
        <v>0</v>
      </c>
      <c r="G146" s="133">
        <v>0</v>
      </c>
      <c r="H146" s="133">
        <v>0</v>
      </c>
      <c r="I146" s="133">
        <v>0</v>
      </c>
      <c r="J146" s="133">
        <v>0</v>
      </c>
      <c r="K146">
        <v>42131</v>
      </c>
      <c r="L146" s="133">
        <v>0</v>
      </c>
      <c r="M146" s="133" t="b">
        <f ca="1">IF(TODAY()-Table_Query_from_A_Readiness_19[[#This Row],[PER_DATE]]&gt;=0,TRUE, FALSE)</f>
        <v>0</v>
      </c>
    </row>
    <row r="147" spans="1:13">
      <c r="A147">
        <v>42139</v>
      </c>
      <c r="B147" t="s">
        <v>332</v>
      </c>
      <c r="C147" t="s">
        <v>161</v>
      </c>
      <c r="D147" s="133">
        <v>7</v>
      </c>
      <c r="E147" s="133">
        <v>0</v>
      </c>
      <c r="F147" s="133">
        <v>0</v>
      </c>
      <c r="G147" s="133">
        <v>0</v>
      </c>
      <c r="H147" s="133">
        <v>0</v>
      </c>
      <c r="I147" s="133">
        <v>0</v>
      </c>
      <c r="J147" s="133">
        <v>0</v>
      </c>
      <c r="K147">
        <v>42131</v>
      </c>
      <c r="L147" s="133">
        <v>24</v>
      </c>
      <c r="M147" s="133" t="b">
        <f ca="1">IF(TODAY()-Table_Query_from_A_Readiness_19[[#This Row],[PER_DATE]]&gt;=0,TRUE, FALSE)</f>
        <v>0</v>
      </c>
    </row>
    <row r="148" spans="1:13">
      <c r="A148">
        <v>42139</v>
      </c>
      <c r="B148" t="s">
        <v>332</v>
      </c>
      <c r="C148" t="s">
        <v>165</v>
      </c>
      <c r="D148" s="133">
        <v>7</v>
      </c>
      <c r="E148" s="133">
        <v>24</v>
      </c>
      <c r="F148" s="133">
        <v>0</v>
      </c>
      <c r="G148" s="133">
        <v>0</v>
      </c>
      <c r="H148" s="133">
        <v>0</v>
      </c>
      <c r="I148" s="133">
        <v>0</v>
      </c>
      <c r="J148" s="133">
        <v>0</v>
      </c>
      <c r="K148">
        <v>42131</v>
      </c>
      <c r="L148" s="133">
        <v>0</v>
      </c>
      <c r="M148" s="133" t="b">
        <f ca="1">IF(TODAY()-Table_Query_from_A_Readiness_19[[#This Row],[PER_DATE]]&gt;=0,TRUE, FALSE)</f>
        <v>0</v>
      </c>
    </row>
    <row r="149" spans="1:13">
      <c r="A149">
        <v>42139</v>
      </c>
      <c r="B149" t="s">
        <v>324</v>
      </c>
      <c r="C149" t="s">
        <v>148</v>
      </c>
      <c r="D149" s="133">
        <v>7</v>
      </c>
      <c r="E149" s="133">
        <v>0</v>
      </c>
      <c r="F149" s="133">
        <v>0</v>
      </c>
      <c r="G149" s="133">
        <v>0</v>
      </c>
      <c r="H149" s="133">
        <v>0</v>
      </c>
      <c r="I149" s="133">
        <v>0</v>
      </c>
      <c r="J149" s="133">
        <v>0</v>
      </c>
      <c r="K149">
        <v>42131</v>
      </c>
      <c r="L149" s="133">
        <v>24</v>
      </c>
      <c r="M149" s="133" t="b">
        <f ca="1">IF(TODAY()-Table_Query_from_A_Readiness_19[[#This Row],[PER_DATE]]&gt;=0,TRUE, FALSE)</f>
        <v>0</v>
      </c>
    </row>
    <row r="150" spans="1:13">
      <c r="A150">
        <v>42139</v>
      </c>
      <c r="B150" t="s">
        <v>332</v>
      </c>
      <c r="C150" t="s">
        <v>162</v>
      </c>
      <c r="D150" s="133">
        <v>7</v>
      </c>
      <c r="E150" s="133">
        <v>24</v>
      </c>
      <c r="F150" s="133">
        <v>0</v>
      </c>
      <c r="G150" s="133">
        <v>0</v>
      </c>
      <c r="H150" s="133">
        <v>0</v>
      </c>
      <c r="I150" s="133">
        <v>0</v>
      </c>
      <c r="J150" s="133">
        <v>0</v>
      </c>
      <c r="K150">
        <v>42131</v>
      </c>
      <c r="L150" s="133">
        <v>0</v>
      </c>
      <c r="M150" s="133" t="b">
        <f ca="1">IF(TODAY()-Table_Query_from_A_Readiness_19[[#This Row],[PER_DATE]]&gt;=0,TRUE, FALSE)</f>
        <v>0</v>
      </c>
    </row>
    <row r="151" spans="1:13">
      <c r="A151">
        <v>42139</v>
      </c>
      <c r="B151" t="s">
        <v>332</v>
      </c>
      <c r="C151" t="s">
        <v>163</v>
      </c>
      <c r="D151" s="133">
        <v>7</v>
      </c>
      <c r="E151" s="133">
        <v>24</v>
      </c>
      <c r="F151" s="133">
        <v>0</v>
      </c>
      <c r="G151" s="133">
        <v>0</v>
      </c>
      <c r="H151" s="133">
        <v>0</v>
      </c>
      <c r="I151" s="133">
        <v>0</v>
      </c>
      <c r="J151" s="133">
        <v>0</v>
      </c>
      <c r="K151">
        <v>42131</v>
      </c>
      <c r="L151" s="133">
        <v>0</v>
      </c>
      <c r="M151" s="133" t="b">
        <f ca="1">IF(TODAY()-Table_Query_from_A_Readiness_19[[#This Row],[PER_DATE]]&gt;=0,TRUE, FALSE)</f>
        <v>0</v>
      </c>
    </row>
    <row r="152" spans="1:13">
      <c r="A152">
        <v>42139</v>
      </c>
      <c r="B152" t="s">
        <v>325</v>
      </c>
      <c r="C152" t="s">
        <v>166</v>
      </c>
      <c r="D152" s="133">
        <v>7</v>
      </c>
      <c r="E152" s="133">
        <v>24</v>
      </c>
      <c r="F152" s="133">
        <v>0</v>
      </c>
      <c r="G152" s="133">
        <v>0</v>
      </c>
      <c r="H152" s="133">
        <v>0</v>
      </c>
      <c r="I152" s="133">
        <v>0</v>
      </c>
      <c r="J152" s="133">
        <v>0</v>
      </c>
      <c r="K152">
        <v>42131</v>
      </c>
      <c r="L152" s="133">
        <v>0</v>
      </c>
      <c r="M152" s="133" t="b">
        <f ca="1">IF(TODAY()-Table_Query_from_A_Readiness_19[[#This Row],[PER_DATE]]&gt;=0,TRUE, FALSE)</f>
        <v>0</v>
      </c>
    </row>
    <row r="153" spans="1:13">
      <c r="A153">
        <v>42139</v>
      </c>
      <c r="B153" t="s">
        <v>324</v>
      </c>
      <c r="C153" t="s">
        <v>149</v>
      </c>
      <c r="D153" s="133">
        <v>7</v>
      </c>
      <c r="E153" s="133">
        <v>0</v>
      </c>
      <c r="F153" s="133">
        <v>24</v>
      </c>
      <c r="G153" s="133">
        <v>0</v>
      </c>
      <c r="H153" s="133">
        <v>0</v>
      </c>
      <c r="I153" s="133">
        <v>0</v>
      </c>
      <c r="J153" s="133">
        <v>0</v>
      </c>
      <c r="K153">
        <v>42131</v>
      </c>
      <c r="L153" s="133">
        <v>0</v>
      </c>
      <c r="M153" s="133" t="b">
        <f ca="1">IF(TODAY()-Table_Query_from_A_Readiness_19[[#This Row],[PER_DATE]]&gt;=0,TRUE, FALSE)</f>
        <v>0</v>
      </c>
    </row>
    <row r="154" spans="1:13">
      <c r="A154">
        <v>42139</v>
      </c>
      <c r="B154" t="s">
        <v>332</v>
      </c>
      <c r="C154" t="s">
        <v>150</v>
      </c>
      <c r="D154" s="133">
        <v>7</v>
      </c>
      <c r="E154" s="133">
        <v>24</v>
      </c>
      <c r="F154" s="133">
        <v>0</v>
      </c>
      <c r="G154" s="133">
        <v>0</v>
      </c>
      <c r="H154" s="133">
        <v>0</v>
      </c>
      <c r="I154" s="133">
        <v>0</v>
      </c>
      <c r="J154" s="133">
        <v>0</v>
      </c>
      <c r="K154">
        <v>42131</v>
      </c>
      <c r="L154" s="133">
        <v>0</v>
      </c>
      <c r="M154" s="133" t="b">
        <f ca="1">IF(TODAY()-Table_Query_from_A_Readiness_19[[#This Row],[PER_DATE]]&gt;=0,TRUE, FALSE)</f>
        <v>0</v>
      </c>
    </row>
    <row r="155" spans="1:13">
      <c r="A155">
        <v>42139</v>
      </c>
      <c r="B155" t="s">
        <v>324</v>
      </c>
      <c r="C155" t="s">
        <v>151</v>
      </c>
      <c r="D155" s="133">
        <v>7</v>
      </c>
      <c r="E155" s="133">
        <v>0</v>
      </c>
      <c r="F155" s="133">
        <v>0</v>
      </c>
      <c r="G155" s="133">
        <v>0</v>
      </c>
      <c r="H155" s="133">
        <v>24</v>
      </c>
      <c r="I155" s="133">
        <v>0</v>
      </c>
      <c r="J155" s="133">
        <v>0</v>
      </c>
      <c r="K155">
        <v>42131</v>
      </c>
      <c r="L155" s="133">
        <v>0</v>
      </c>
      <c r="M155" s="133" t="b">
        <f ca="1">IF(TODAY()-Table_Query_from_A_Readiness_19[[#This Row],[PER_DATE]]&gt;=0,TRUE, FALSE)</f>
        <v>0</v>
      </c>
    </row>
    <row r="156" spans="1:13">
      <c r="A156">
        <v>42139</v>
      </c>
      <c r="B156" t="s">
        <v>325</v>
      </c>
      <c r="C156" t="s">
        <v>152</v>
      </c>
      <c r="D156" s="133">
        <v>7</v>
      </c>
      <c r="E156" s="133">
        <v>24</v>
      </c>
      <c r="F156" s="133">
        <v>0</v>
      </c>
      <c r="G156" s="133">
        <v>0</v>
      </c>
      <c r="H156" s="133">
        <v>0</v>
      </c>
      <c r="I156" s="133">
        <v>0</v>
      </c>
      <c r="J156" s="133">
        <v>0</v>
      </c>
      <c r="K156">
        <v>42131</v>
      </c>
      <c r="L156" s="133">
        <v>0</v>
      </c>
      <c r="M156" s="133" t="b">
        <f ca="1">IF(TODAY()-Table_Query_from_A_Readiness_19[[#This Row],[PER_DATE]]&gt;=0,TRUE, FALSE)</f>
        <v>0</v>
      </c>
    </row>
    <row r="157" spans="1:13">
      <c r="A157">
        <v>42139</v>
      </c>
      <c r="B157" t="s">
        <v>332</v>
      </c>
      <c r="C157" t="s">
        <v>145</v>
      </c>
      <c r="D157" s="133">
        <v>7</v>
      </c>
      <c r="E157" s="133">
        <v>24</v>
      </c>
      <c r="F157" s="133">
        <v>0</v>
      </c>
      <c r="G157" s="133">
        <v>0</v>
      </c>
      <c r="H157" s="133">
        <v>0</v>
      </c>
      <c r="I157" s="133">
        <v>0</v>
      </c>
      <c r="J157" s="133">
        <v>0</v>
      </c>
      <c r="K157">
        <v>42131</v>
      </c>
      <c r="L157" s="133">
        <v>0</v>
      </c>
      <c r="M157" s="133" t="b">
        <f ca="1">IF(TODAY()-Table_Query_from_A_Readiness_19[[#This Row],[PER_DATE]]&gt;=0,TRUE, FALSE)</f>
        <v>0</v>
      </c>
    </row>
    <row r="158" spans="1:13">
      <c r="A158">
        <v>42139</v>
      </c>
      <c r="B158" t="s">
        <v>325</v>
      </c>
      <c r="C158" t="s">
        <v>167</v>
      </c>
      <c r="D158" s="133">
        <v>7</v>
      </c>
      <c r="E158" s="133">
        <v>24</v>
      </c>
      <c r="F158" s="133">
        <v>0</v>
      </c>
      <c r="G158" s="133">
        <v>0</v>
      </c>
      <c r="H158" s="133">
        <v>0</v>
      </c>
      <c r="I158" s="133">
        <v>0</v>
      </c>
      <c r="J158" s="133">
        <v>0</v>
      </c>
      <c r="K158">
        <v>42131</v>
      </c>
      <c r="L158" s="133">
        <v>0</v>
      </c>
      <c r="M158" s="133" t="b">
        <f ca="1">IF(TODAY()-Table_Query_from_A_Readiness_19[[#This Row],[PER_DATE]]&gt;=0,TRUE, FALSE)</f>
        <v>0</v>
      </c>
    </row>
    <row r="159" spans="1:13">
      <c r="A159">
        <v>42139</v>
      </c>
      <c r="B159" t="s">
        <v>324</v>
      </c>
      <c r="C159" t="s">
        <v>153</v>
      </c>
      <c r="D159" s="133">
        <v>7</v>
      </c>
      <c r="E159" s="133">
        <v>0</v>
      </c>
      <c r="F159" s="133">
        <v>0</v>
      </c>
      <c r="G159" s="133">
        <v>0</v>
      </c>
      <c r="H159" s="133">
        <v>24</v>
      </c>
      <c r="I159" s="133">
        <v>0</v>
      </c>
      <c r="J159" s="133">
        <v>0</v>
      </c>
      <c r="K159">
        <v>42131</v>
      </c>
      <c r="L159" s="133">
        <v>0</v>
      </c>
      <c r="M159" s="133" t="b">
        <f ca="1">IF(TODAY()-Table_Query_from_A_Readiness_19[[#This Row],[PER_DATE]]&gt;=0,TRUE, FALSE)</f>
        <v>0</v>
      </c>
    </row>
    <row r="160" spans="1:13">
      <c r="A160">
        <v>42139</v>
      </c>
      <c r="B160" t="s">
        <v>325</v>
      </c>
      <c r="C160" t="s">
        <v>154</v>
      </c>
      <c r="D160" s="133">
        <v>7</v>
      </c>
      <c r="E160" s="133">
        <v>24</v>
      </c>
      <c r="F160" s="133">
        <v>0</v>
      </c>
      <c r="G160" s="133">
        <v>0</v>
      </c>
      <c r="H160" s="133">
        <v>0</v>
      </c>
      <c r="I160" s="133">
        <v>0</v>
      </c>
      <c r="J160" s="133">
        <v>0</v>
      </c>
      <c r="K160">
        <v>42131</v>
      </c>
      <c r="L160" s="133">
        <v>0</v>
      </c>
      <c r="M160" s="133" t="b">
        <f ca="1">IF(TODAY()-Table_Query_from_A_Readiness_19[[#This Row],[PER_DATE]]&gt;=0,TRUE, FALSE)</f>
        <v>0</v>
      </c>
    </row>
    <row r="161" spans="1:13">
      <c r="A161">
        <v>42139</v>
      </c>
      <c r="B161" t="s">
        <v>325</v>
      </c>
      <c r="C161" t="s">
        <v>168</v>
      </c>
      <c r="D161" s="133">
        <v>7</v>
      </c>
      <c r="E161" s="133">
        <v>24</v>
      </c>
      <c r="F161" s="133">
        <v>0</v>
      </c>
      <c r="G161" s="133">
        <v>0</v>
      </c>
      <c r="H161" s="133">
        <v>0</v>
      </c>
      <c r="I161" s="133">
        <v>0</v>
      </c>
      <c r="J161" s="133">
        <v>0</v>
      </c>
      <c r="K161">
        <v>42131</v>
      </c>
      <c r="L161" s="133">
        <v>0</v>
      </c>
      <c r="M161" s="133" t="b">
        <f ca="1">IF(TODAY()-Table_Query_from_A_Readiness_19[[#This Row],[PER_DATE]]&gt;=0,TRUE, FALSE)</f>
        <v>0</v>
      </c>
    </row>
    <row r="162" spans="1:13">
      <c r="A162">
        <v>42139</v>
      </c>
      <c r="B162" t="s">
        <v>324</v>
      </c>
      <c r="C162" t="s">
        <v>155</v>
      </c>
      <c r="D162" s="133">
        <v>7</v>
      </c>
      <c r="E162" s="133">
        <v>0</v>
      </c>
      <c r="F162" s="133">
        <v>0</v>
      </c>
      <c r="G162" s="133">
        <v>0</v>
      </c>
      <c r="H162" s="133">
        <v>0</v>
      </c>
      <c r="I162" s="133">
        <v>24</v>
      </c>
      <c r="J162" s="133">
        <v>0</v>
      </c>
      <c r="K162">
        <v>42131</v>
      </c>
      <c r="L162" s="133">
        <v>0</v>
      </c>
      <c r="M162" s="133" t="b">
        <f ca="1">IF(TODAY()-Table_Query_from_A_Readiness_19[[#This Row],[PER_DATE]]&gt;=0,TRUE, FALSE)</f>
        <v>0</v>
      </c>
    </row>
    <row r="163" spans="1:13">
      <c r="A163">
        <v>42139</v>
      </c>
      <c r="B163" t="s">
        <v>324</v>
      </c>
      <c r="C163" t="s">
        <v>156</v>
      </c>
      <c r="D163" s="133">
        <v>7</v>
      </c>
      <c r="E163" s="133">
        <v>0</v>
      </c>
      <c r="F163" s="133">
        <v>24</v>
      </c>
      <c r="G163" s="133">
        <v>0</v>
      </c>
      <c r="H163" s="133">
        <v>0</v>
      </c>
      <c r="I163" s="133">
        <v>0</v>
      </c>
      <c r="J163" s="133">
        <v>0</v>
      </c>
      <c r="K163">
        <v>42131</v>
      </c>
      <c r="L163" s="133">
        <v>0</v>
      </c>
      <c r="M163" s="133" t="b">
        <f ca="1">IF(TODAY()-Table_Query_from_A_Readiness_19[[#This Row],[PER_DATE]]&gt;=0,TRUE, FALSE)</f>
        <v>0</v>
      </c>
    </row>
    <row r="164" spans="1:13">
      <c r="A164">
        <v>42139</v>
      </c>
      <c r="B164" t="s">
        <v>325</v>
      </c>
      <c r="C164" t="s">
        <v>157</v>
      </c>
      <c r="D164" s="133">
        <v>7</v>
      </c>
      <c r="E164" s="133">
        <v>24</v>
      </c>
      <c r="F164" s="133">
        <v>0</v>
      </c>
      <c r="G164" s="133">
        <v>0</v>
      </c>
      <c r="H164" s="133">
        <v>0</v>
      </c>
      <c r="I164" s="133">
        <v>0</v>
      </c>
      <c r="J164" s="133">
        <v>0</v>
      </c>
      <c r="K164">
        <v>42131</v>
      </c>
      <c r="L164" s="133">
        <v>0</v>
      </c>
      <c r="M164" s="133" t="b">
        <f ca="1">IF(TODAY()-Table_Query_from_A_Readiness_19[[#This Row],[PER_DATE]]&gt;=0,TRUE, FALSE)</f>
        <v>0</v>
      </c>
    </row>
    <row r="165" spans="1:13">
      <c r="A165">
        <v>42139</v>
      </c>
      <c r="B165" t="s">
        <v>324</v>
      </c>
      <c r="C165" t="s">
        <v>169</v>
      </c>
      <c r="D165" s="133">
        <v>7</v>
      </c>
      <c r="E165" s="133">
        <v>0</v>
      </c>
      <c r="F165" s="133">
        <v>0</v>
      </c>
      <c r="G165" s="133">
        <v>0</v>
      </c>
      <c r="H165" s="133">
        <v>0</v>
      </c>
      <c r="I165" s="133">
        <v>24</v>
      </c>
      <c r="J165" s="133">
        <v>0</v>
      </c>
      <c r="K165">
        <v>42131</v>
      </c>
      <c r="L165" s="133">
        <v>0</v>
      </c>
      <c r="M165" s="133" t="b">
        <f ca="1">IF(TODAY()-Table_Query_from_A_Readiness_19[[#This Row],[PER_DATE]]&gt;=0,TRUE, FALSE)</f>
        <v>0</v>
      </c>
    </row>
    <row r="166" spans="1:13">
      <c r="A166">
        <v>42139</v>
      </c>
      <c r="B166" t="s">
        <v>332</v>
      </c>
      <c r="C166" t="s">
        <v>170</v>
      </c>
      <c r="D166" s="133">
        <v>7</v>
      </c>
      <c r="E166" s="133">
        <v>24</v>
      </c>
      <c r="F166" s="133">
        <v>0</v>
      </c>
      <c r="G166" s="133">
        <v>0</v>
      </c>
      <c r="H166" s="133">
        <v>0</v>
      </c>
      <c r="I166" s="133">
        <v>0</v>
      </c>
      <c r="J166" s="133">
        <v>0</v>
      </c>
      <c r="K166">
        <v>42131</v>
      </c>
      <c r="L166" s="133">
        <v>0</v>
      </c>
      <c r="M166" s="133" t="b">
        <f ca="1">IF(TODAY()-Table_Query_from_A_Readiness_19[[#This Row],[PER_DATE]]&gt;=0,TRUE, FALSE)</f>
        <v>0</v>
      </c>
    </row>
    <row r="167" spans="1:13">
      <c r="A167">
        <v>42139</v>
      </c>
      <c r="B167" t="s">
        <v>324</v>
      </c>
      <c r="C167" t="s">
        <v>158</v>
      </c>
      <c r="D167" s="133">
        <v>7</v>
      </c>
      <c r="E167" s="133">
        <v>24</v>
      </c>
      <c r="F167" s="133">
        <v>0</v>
      </c>
      <c r="G167" s="133">
        <v>0</v>
      </c>
      <c r="H167" s="133">
        <v>0</v>
      </c>
      <c r="I167" s="133">
        <v>0</v>
      </c>
      <c r="J167" s="133">
        <v>0</v>
      </c>
      <c r="K167">
        <v>42131</v>
      </c>
      <c r="L167" s="133">
        <v>0</v>
      </c>
      <c r="M167" s="133" t="b">
        <f ca="1">IF(TODAY()-Table_Query_from_A_Readiness_19[[#This Row],[PER_DATE]]&gt;=0,TRUE, FALSE)</f>
        <v>0</v>
      </c>
    </row>
    <row r="168" spans="1:13">
      <c r="A168">
        <v>42139</v>
      </c>
      <c r="B168" t="s">
        <v>325</v>
      </c>
      <c r="C168" t="s">
        <v>159</v>
      </c>
      <c r="D168" s="133">
        <v>7</v>
      </c>
      <c r="E168" s="133">
        <v>24</v>
      </c>
      <c r="F168" s="133">
        <v>0</v>
      </c>
      <c r="G168" s="133">
        <v>0</v>
      </c>
      <c r="H168" s="133">
        <v>0</v>
      </c>
      <c r="I168" s="133">
        <v>0</v>
      </c>
      <c r="J168" s="133">
        <v>0</v>
      </c>
      <c r="K168">
        <v>42131</v>
      </c>
      <c r="L168" s="133">
        <v>0</v>
      </c>
      <c r="M168" s="133" t="b">
        <f ca="1">IF(TODAY()-Table_Query_from_A_Readiness_19[[#This Row],[PER_DATE]]&gt;=0,TRUE, FALSE)</f>
        <v>0</v>
      </c>
    </row>
    <row r="169" spans="1:13">
      <c r="A169">
        <v>42139</v>
      </c>
      <c r="B169" t="s">
        <v>325</v>
      </c>
      <c r="C169" t="s">
        <v>160</v>
      </c>
      <c r="D169" s="133">
        <v>7</v>
      </c>
      <c r="E169" s="133">
        <v>24</v>
      </c>
      <c r="F169" s="133">
        <v>0</v>
      </c>
      <c r="G169" s="133">
        <v>0</v>
      </c>
      <c r="H169" s="133">
        <v>0</v>
      </c>
      <c r="I169" s="133">
        <v>0</v>
      </c>
      <c r="J169" s="133">
        <v>0</v>
      </c>
      <c r="K169">
        <v>42131</v>
      </c>
      <c r="L169" s="133">
        <v>0</v>
      </c>
      <c r="M169" s="133" t="b">
        <f ca="1">IF(TODAY()-Table_Query_from_A_Readiness_19[[#This Row],[PER_DATE]]&gt;=0,TRUE, FALSE)</f>
        <v>0</v>
      </c>
    </row>
    <row r="170" spans="1:13">
      <c r="A170">
        <v>42139</v>
      </c>
      <c r="B170" t="s">
        <v>332</v>
      </c>
      <c r="C170" t="s">
        <v>164</v>
      </c>
      <c r="D170" s="133">
        <v>8</v>
      </c>
      <c r="E170" s="133">
        <v>24</v>
      </c>
      <c r="F170" s="133">
        <v>0</v>
      </c>
      <c r="G170" s="133">
        <v>0</v>
      </c>
      <c r="H170" s="133">
        <v>0</v>
      </c>
      <c r="I170" s="133">
        <v>0</v>
      </c>
      <c r="J170" s="133">
        <v>0</v>
      </c>
      <c r="K170">
        <v>42132</v>
      </c>
      <c r="L170" s="133">
        <v>0</v>
      </c>
      <c r="M170" s="133" t="b">
        <f ca="1">IF(TODAY()-Table_Query_from_A_Readiness_19[[#This Row],[PER_DATE]]&gt;=0,TRUE, FALSE)</f>
        <v>0</v>
      </c>
    </row>
    <row r="171" spans="1:13">
      <c r="A171">
        <v>42139</v>
      </c>
      <c r="B171" t="s">
        <v>332</v>
      </c>
      <c r="C171" t="s">
        <v>161</v>
      </c>
      <c r="D171" s="133">
        <v>8</v>
      </c>
      <c r="E171" s="133">
        <v>0</v>
      </c>
      <c r="F171" s="133">
        <v>0</v>
      </c>
      <c r="G171" s="133">
        <v>0</v>
      </c>
      <c r="H171" s="133">
        <v>0</v>
      </c>
      <c r="I171" s="133">
        <v>0</v>
      </c>
      <c r="J171" s="133">
        <v>0</v>
      </c>
      <c r="K171">
        <v>42132</v>
      </c>
      <c r="L171" s="133">
        <v>24</v>
      </c>
      <c r="M171" s="133" t="b">
        <f ca="1">IF(TODAY()-Table_Query_from_A_Readiness_19[[#This Row],[PER_DATE]]&gt;=0,TRUE, FALSE)</f>
        <v>0</v>
      </c>
    </row>
    <row r="172" spans="1:13">
      <c r="A172">
        <v>42139</v>
      </c>
      <c r="B172" t="s">
        <v>332</v>
      </c>
      <c r="C172" t="s">
        <v>165</v>
      </c>
      <c r="D172" s="133">
        <v>8</v>
      </c>
      <c r="E172" s="133">
        <v>24</v>
      </c>
      <c r="F172" s="133">
        <v>0</v>
      </c>
      <c r="G172" s="133">
        <v>0</v>
      </c>
      <c r="H172" s="133">
        <v>0</v>
      </c>
      <c r="I172" s="133">
        <v>0</v>
      </c>
      <c r="J172" s="133">
        <v>0</v>
      </c>
      <c r="K172">
        <v>42132</v>
      </c>
      <c r="L172" s="133">
        <v>0</v>
      </c>
      <c r="M172" s="133" t="b">
        <f ca="1">IF(TODAY()-Table_Query_from_A_Readiness_19[[#This Row],[PER_DATE]]&gt;=0,TRUE, FALSE)</f>
        <v>0</v>
      </c>
    </row>
    <row r="173" spans="1:13">
      <c r="A173">
        <v>42139</v>
      </c>
      <c r="B173" t="s">
        <v>324</v>
      </c>
      <c r="C173" t="s">
        <v>148</v>
      </c>
      <c r="D173" s="133">
        <v>8</v>
      </c>
      <c r="E173" s="133">
        <v>0</v>
      </c>
      <c r="F173" s="133">
        <v>0</v>
      </c>
      <c r="G173" s="133">
        <v>0</v>
      </c>
      <c r="H173" s="133">
        <v>0</v>
      </c>
      <c r="I173" s="133">
        <v>0</v>
      </c>
      <c r="J173" s="133">
        <v>0</v>
      </c>
      <c r="K173">
        <v>42132</v>
      </c>
      <c r="L173" s="133">
        <v>24</v>
      </c>
      <c r="M173" s="133" t="b">
        <f ca="1">IF(TODAY()-Table_Query_from_A_Readiness_19[[#This Row],[PER_DATE]]&gt;=0,TRUE, FALSE)</f>
        <v>0</v>
      </c>
    </row>
    <row r="174" spans="1:13">
      <c r="A174">
        <v>42139</v>
      </c>
      <c r="B174" t="s">
        <v>332</v>
      </c>
      <c r="C174" t="s">
        <v>162</v>
      </c>
      <c r="D174" s="133">
        <v>8</v>
      </c>
      <c r="E174" s="133">
        <v>24</v>
      </c>
      <c r="F174" s="133">
        <v>0</v>
      </c>
      <c r="G174" s="133">
        <v>0</v>
      </c>
      <c r="H174" s="133">
        <v>0</v>
      </c>
      <c r="I174" s="133">
        <v>0</v>
      </c>
      <c r="J174" s="133">
        <v>0</v>
      </c>
      <c r="K174">
        <v>42132</v>
      </c>
      <c r="L174" s="133">
        <v>0</v>
      </c>
      <c r="M174" s="133" t="b">
        <f ca="1">IF(TODAY()-Table_Query_from_A_Readiness_19[[#This Row],[PER_DATE]]&gt;=0,TRUE, FALSE)</f>
        <v>0</v>
      </c>
    </row>
    <row r="175" spans="1:13">
      <c r="A175">
        <v>42139</v>
      </c>
      <c r="B175" t="s">
        <v>332</v>
      </c>
      <c r="C175" t="s">
        <v>163</v>
      </c>
      <c r="D175" s="133">
        <v>8</v>
      </c>
      <c r="E175" s="133">
        <v>24</v>
      </c>
      <c r="F175" s="133">
        <v>0</v>
      </c>
      <c r="G175" s="133">
        <v>0</v>
      </c>
      <c r="H175" s="133">
        <v>0</v>
      </c>
      <c r="I175" s="133">
        <v>0</v>
      </c>
      <c r="J175" s="133">
        <v>0</v>
      </c>
      <c r="K175">
        <v>42132</v>
      </c>
      <c r="L175" s="133">
        <v>0</v>
      </c>
      <c r="M175" s="133" t="b">
        <f ca="1">IF(TODAY()-Table_Query_from_A_Readiness_19[[#This Row],[PER_DATE]]&gt;=0,TRUE, FALSE)</f>
        <v>0</v>
      </c>
    </row>
    <row r="176" spans="1:13">
      <c r="A176">
        <v>42139</v>
      </c>
      <c r="B176" t="s">
        <v>325</v>
      </c>
      <c r="C176" t="s">
        <v>166</v>
      </c>
      <c r="D176" s="133">
        <v>8</v>
      </c>
      <c r="E176" s="133">
        <v>24</v>
      </c>
      <c r="F176" s="133">
        <v>0</v>
      </c>
      <c r="G176" s="133">
        <v>0</v>
      </c>
      <c r="H176" s="133">
        <v>0</v>
      </c>
      <c r="I176" s="133">
        <v>0</v>
      </c>
      <c r="J176" s="133">
        <v>0</v>
      </c>
      <c r="K176">
        <v>42132</v>
      </c>
      <c r="L176" s="133">
        <v>0</v>
      </c>
      <c r="M176" s="133" t="b">
        <f ca="1">IF(TODAY()-Table_Query_from_A_Readiness_19[[#This Row],[PER_DATE]]&gt;=0,TRUE, FALSE)</f>
        <v>0</v>
      </c>
    </row>
    <row r="177" spans="1:13">
      <c r="A177">
        <v>42139</v>
      </c>
      <c r="B177" t="s">
        <v>324</v>
      </c>
      <c r="C177" t="s">
        <v>149</v>
      </c>
      <c r="D177" s="133">
        <v>8</v>
      </c>
      <c r="E177" s="133">
        <v>0</v>
      </c>
      <c r="F177" s="133">
        <v>24</v>
      </c>
      <c r="G177" s="133">
        <v>0</v>
      </c>
      <c r="H177" s="133">
        <v>0</v>
      </c>
      <c r="I177" s="133">
        <v>0</v>
      </c>
      <c r="J177" s="133">
        <v>0</v>
      </c>
      <c r="K177">
        <v>42132</v>
      </c>
      <c r="L177" s="133">
        <v>0</v>
      </c>
      <c r="M177" s="133" t="b">
        <f ca="1">IF(TODAY()-Table_Query_from_A_Readiness_19[[#This Row],[PER_DATE]]&gt;=0,TRUE, FALSE)</f>
        <v>0</v>
      </c>
    </row>
    <row r="178" spans="1:13">
      <c r="A178">
        <v>42139</v>
      </c>
      <c r="B178" t="s">
        <v>332</v>
      </c>
      <c r="C178" t="s">
        <v>150</v>
      </c>
      <c r="D178" s="133">
        <v>8</v>
      </c>
      <c r="E178" s="133">
        <v>24</v>
      </c>
      <c r="F178" s="133">
        <v>0</v>
      </c>
      <c r="G178" s="133">
        <v>0</v>
      </c>
      <c r="H178" s="133">
        <v>0</v>
      </c>
      <c r="I178" s="133">
        <v>0</v>
      </c>
      <c r="J178" s="133">
        <v>0</v>
      </c>
      <c r="K178">
        <v>42132</v>
      </c>
      <c r="L178" s="133">
        <v>0</v>
      </c>
      <c r="M178" s="133" t="b">
        <f ca="1">IF(TODAY()-Table_Query_from_A_Readiness_19[[#This Row],[PER_DATE]]&gt;=0,TRUE, FALSE)</f>
        <v>0</v>
      </c>
    </row>
    <row r="179" spans="1:13">
      <c r="A179">
        <v>42139</v>
      </c>
      <c r="B179" t="s">
        <v>324</v>
      </c>
      <c r="C179" t="s">
        <v>151</v>
      </c>
      <c r="D179" s="133">
        <v>8</v>
      </c>
      <c r="E179" s="133">
        <v>0</v>
      </c>
      <c r="F179" s="133">
        <v>0</v>
      </c>
      <c r="G179" s="133">
        <v>0</v>
      </c>
      <c r="H179" s="133">
        <v>24</v>
      </c>
      <c r="I179" s="133">
        <v>0</v>
      </c>
      <c r="J179" s="133">
        <v>0</v>
      </c>
      <c r="K179">
        <v>42132</v>
      </c>
      <c r="L179" s="133">
        <v>0</v>
      </c>
      <c r="M179" s="133" t="b">
        <f ca="1">IF(TODAY()-Table_Query_from_A_Readiness_19[[#This Row],[PER_DATE]]&gt;=0,TRUE, FALSE)</f>
        <v>0</v>
      </c>
    </row>
    <row r="180" spans="1:13">
      <c r="A180">
        <v>42139</v>
      </c>
      <c r="B180" t="s">
        <v>325</v>
      </c>
      <c r="C180" t="s">
        <v>152</v>
      </c>
      <c r="D180" s="133">
        <v>8</v>
      </c>
      <c r="E180" s="133">
        <v>24</v>
      </c>
      <c r="F180" s="133">
        <v>0</v>
      </c>
      <c r="G180" s="133">
        <v>0</v>
      </c>
      <c r="H180" s="133">
        <v>0</v>
      </c>
      <c r="I180" s="133">
        <v>0</v>
      </c>
      <c r="J180" s="133">
        <v>0</v>
      </c>
      <c r="K180">
        <v>42132</v>
      </c>
      <c r="L180" s="133">
        <v>0</v>
      </c>
      <c r="M180" s="133" t="b">
        <f ca="1">IF(TODAY()-Table_Query_from_A_Readiness_19[[#This Row],[PER_DATE]]&gt;=0,TRUE, FALSE)</f>
        <v>0</v>
      </c>
    </row>
    <row r="181" spans="1:13">
      <c r="A181">
        <v>42139</v>
      </c>
      <c r="B181" t="s">
        <v>332</v>
      </c>
      <c r="C181" t="s">
        <v>145</v>
      </c>
      <c r="D181" s="133">
        <v>8</v>
      </c>
      <c r="E181" s="133">
        <v>24</v>
      </c>
      <c r="F181" s="133">
        <v>0</v>
      </c>
      <c r="G181" s="133">
        <v>0</v>
      </c>
      <c r="H181" s="133">
        <v>0</v>
      </c>
      <c r="I181" s="133">
        <v>0</v>
      </c>
      <c r="J181" s="133">
        <v>0</v>
      </c>
      <c r="K181">
        <v>42132</v>
      </c>
      <c r="L181" s="133">
        <v>0</v>
      </c>
      <c r="M181" s="133" t="b">
        <f ca="1">IF(TODAY()-Table_Query_from_A_Readiness_19[[#This Row],[PER_DATE]]&gt;=0,TRUE, FALSE)</f>
        <v>0</v>
      </c>
    </row>
    <row r="182" spans="1:13">
      <c r="A182">
        <v>42139</v>
      </c>
      <c r="B182" t="s">
        <v>325</v>
      </c>
      <c r="C182" t="s">
        <v>167</v>
      </c>
      <c r="D182" s="133">
        <v>8</v>
      </c>
      <c r="E182" s="133">
        <v>24</v>
      </c>
      <c r="F182" s="133">
        <v>0</v>
      </c>
      <c r="G182" s="133">
        <v>0</v>
      </c>
      <c r="H182" s="133">
        <v>0</v>
      </c>
      <c r="I182" s="133">
        <v>0</v>
      </c>
      <c r="J182" s="133">
        <v>0</v>
      </c>
      <c r="K182">
        <v>42132</v>
      </c>
      <c r="L182" s="133">
        <v>0</v>
      </c>
      <c r="M182" s="133" t="b">
        <f ca="1">IF(TODAY()-Table_Query_from_A_Readiness_19[[#This Row],[PER_DATE]]&gt;=0,TRUE, FALSE)</f>
        <v>0</v>
      </c>
    </row>
    <row r="183" spans="1:13">
      <c r="A183">
        <v>42139</v>
      </c>
      <c r="B183" t="s">
        <v>324</v>
      </c>
      <c r="C183" t="s">
        <v>153</v>
      </c>
      <c r="D183" s="133">
        <v>8</v>
      </c>
      <c r="E183" s="133">
        <v>0</v>
      </c>
      <c r="F183" s="133">
        <v>0</v>
      </c>
      <c r="G183" s="133">
        <v>0</v>
      </c>
      <c r="H183" s="133">
        <v>24</v>
      </c>
      <c r="I183" s="133">
        <v>0</v>
      </c>
      <c r="J183" s="133">
        <v>0</v>
      </c>
      <c r="K183">
        <v>42132</v>
      </c>
      <c r="L183" s="133">
        <v>0</v>
      </c>
      <c r="M183" s="133" t="b">
        <f ca="1">IF(TODAY()-Table_Query_from_A_Readiness_19[[#This Row],[PER_DATE]]&gt;=0,TRUE, FALSE)</f>
        <v>0</v>
      </c>
    </row>
    <row r="184" spans="1:13">
      <c r="A184">
        <v>42139</v>
      </c>
      <c r="B184" t="s">
        <v>325</v>
      </c>
      <c r="C184" t="s">
        <v>154</v>
      </c>
      <c r="D184" s="133">
        <v>8</v>
      </c>
      <c r="E184" s="133">
        <v>24</v>
      </c>
      <c r="F184" s="133">
        <v>0</v>
      </c>
      <c r="G184" s="133">
        <v>0</v>
      </c>
      <c r="H184" s="133">
        <v>0</v>
      </c>
      <c r="I184" s="133">
        <v>0</v>
      </c>
      <c r="J184" s="133">
        <v>0</v>
      </c>
      <c r="K184">
        <v>42132</v>
      </c>
      <c r="L184" s="133">
        <v>0</v>
      </c>
      <c r="M184" s="133" t="b">
        <f ca="1">IF(TODAY()-Table_Query_from_A_Readiness_19[[#This Row],[PER_DATE]]&gt;=0,TRUE, FALSE)</f>
        <v>0</v>
      </c>
    </row>
    <row r="185" spans="1:13">
      <c r="A185">
        <v>42139</v>
      </c>
      <c r="B185" t="s">
        <v>325</v>
      </c>
      <c r="C185" t="s">
        <v>168</v>
      </c>
      <c r="D185" s="133">
        <v>8</v>
      </c>
      <c r="E185" s="133">
        <v>24</v>
      </c>
      <c r="F185" s="133">
        <v>0</v>
      </c>
      <c r="G185" s="133">
        <v>0</v>
      </c>
      <c r="H185" s="133">
        <v>0</v>
      </c>
      <c r="I185" s="133">
        <v>0</v>
      </c>
      <c r="J185" s="133">
        <v>0</v>
      </c>
      <c r="K185">
        <v>42132</v>
      </c>
      <c r="L185" s="133">
        <v>0</v>
      </c>
      <c r="M185" s="133" t="b">
        <f ca="1">IF(TODAY()-Table_Query_from_A_Readiness_19[[#This Row],[PER_DATE]]&gt;=0,TRUE, FALSE)</f>
        <v>0</v>
      </c>
    </row>
    <row r="186" spans="1:13">
      <c r="A186">
        <v>42139</v>
      </c>
      <c r="B186" t="s">
        <v>324</v>
      </c>
      <c r="C186" t="s">
        <v>155</v>
      </c>
      <c r="D186" s="133">
        <v>8</v>
      </c>
      <c r="E186" s="133">
        <v>0</v>
      </c>
      <c r="F186" s="133">
        <v>0</v>
      </c>
      <c r="G186" s="133">
        <v>0</v>
      </c>
      <c r="H186" s="133">
        <v>0</v>
      </c>
      <c r="I186" s="133">
        <v>24</v>
      </c>
      <c r="J186" s="133">
        <v>0</v>
      </c>
      <c r="K186">
        <v>42132</v>
      </c>
      <c r="L186" s="133">
        <v>0</v>
      </c>
      <c r="M186" s="133" t="b">
        <f ca="1">IF(TODAY()-Table_Query_from_A_Readiness_19[[#This Row],[PER_DATE]]&gt;=0,TRUE, FALSE)</f>
        <v>0</v>
      </c>
    </row>
    <row r="187" spans="1:13">
      <c r="A187">
        <v>42139</v>
      </c>
      <c r="B187" t="s">
        <v>324</v>
      </c>
      <c r="C187" t="s">
        <v>156</v>
      </c>
      <c r="D187" s="133">
        <v>8</v>
      </c>
      <c r="E187" s="133">
        <v>0</v>
      </c>
      <c r="F187" s="133">
        <v>24</v>
      </c>
      <c r="G187" s="133">
        <v>0</v>
      </c>
      <c r="H187" s="133">
        <v>0</v>
      </c>
      <c r="I187" s="133">
        <v>0</v>
      </c>
      <c r="J187" s="133">
        <v>0</v>
      </c>
      <c r="K187">
        <v>42132</v>
      </c>
      <c r="L187" s="133">
        <v>0</v>
      </c>
      <c r="M187" s="133" t="b">
        <f ca="1">IF(TODAY()-Table_Query_from_A_Readiness_19[[#This Row],[PER_DATE]]&gt;=0,TRUE, FALSE)</f>
        <v>0</v>
      </c>
    </row>
    <row r="188" spans="1:13">
      <c r="A188">
        <v>42139</v>
      </c>
      <c r="B188" t="s">
        <v>325</v>
      </c>
      <c r="C188" t="s">
        <v>157</v>
      </c>
      <c r="D188" s="133">
        <v>8</v>
      </c>
      <c r="E188" s="133">
        <v>24</v>
      </c>
      <c r="F188" s="133">
        <v>0</v>
      </c>
      <c r="G188" s="133">
        <v>0</v>
      </c>
      <c r="H188" s="133">
        <v>0</v>
      </c>
      <c r="I188" s="133">
        <v>0</v>
      </c>
      <c r="J188" s="133">
        <v>0</v>
      </c>
      <c r="K188">
        <v>42132</v>
      </c>
      <c r="L188" s="133">
        <v>0</v>
      </c>
      <c r="M188" s="133" t="b">
        <f ca="1">IF(TODAY()-Table_Query_from_A_Readiness_19[[#This Row],[PER_DATE]]&gt;=0,TRUE, FALSE)</f>
        <v>0</v>
      </c>
    </row>
    <row r="189" spans="1:13">
      <c r="A189">
        <v>42139</v>
      </c>
      <c r="B189" t="s">
        <v>324</v>
      </c>
      <c r="C189" t="s">
        <v>169</v>
      </c>
      <c r="D189" s="133">
        <v>8</v>
      </c>
      <c r="E189" s="133">
        <v>0</v>
      </c>
      <c r="F189" s="133">
        <v>0</v>
      </c>
      <c r="G189" s="133">
        <v>0</v>
      </c>
      <c r="H189" s="133">
        <v>0</v>
      </c>
      <c r="I189" s="133">
        <v>24</v>
      </c>
      <c r="J189" s="133">
        <v>0</v>
      </c>
      <c r="K189">
        <v>42132</v>
      </c>
      <c r="L189" s="133">
        <v>0</v>
      </c>
      <c r="M189" s="133" t="b">
        <f ca="1">IF(TODAY()-Table_Query_from_A_Readiness_19[[#This Row],[PER_DATE]]&gt;=0,TRUE, FALSE)</f>
        <v>0</v>
      </c>
    </row>
    <row r="190" spans="1:13">
      <c r="A190">
        <v>42139</v>
      </c>
      <c r="B190" t="s">
        <v>332</v>
      </c>
      <c r="C190" t="s">
        <v>170</v>
      </c>
      <c r="D190" s="133">
        <v>8</v>
      </c>
      <c r="E190" s="133">
        <v>24</v>
      </c>
      <c r="F190" s="133">
        <v>0</v>
      </c>
      <c r="G190" s="133">
        <v>0</v>
      </c>
      <c r="H190" s="133">
        <v>0</v>
      </c>
      <c r="I190" s="133">
        <v>0</v>
      </c>
      <c r="J190" s="133">
        <v>0</v>
      </c>
      <c r="K190">
        <v>42132</v>
      </c>
      <c r="L190" s="133">
        <v>0</v>
      </c>
      <c r="M190" s="133" t="b">
        <f ca="1">IF(TODAY()-Table_Query_from_A_Readiness_19[[#This Row],[PER_DATE]]&gt;=0,TRUE, FALSE)</f>
        <v>0</v>
      </c>
    </row>
    <row r="191" spans="1:13">
      <c r="A191">
        <v>42139</v>
      </c>
      <c r="B191" t="s">
        <v>324</v>
      </c>
      <c r="C191" t="s">
        <v>158</v>
      </c>
      <c r="D191" s="133">
        <v>8</v>
      </c>
      <c r="E191" s="133">
        <v>24</v>
      </c>
      <c r="F191" s="133">
        <v>0</v>
      </c>
      <c r="G191" s="133">
        <v>0</v>
      </c>
      <c r="H191" s="133">
        <v>0</v>
      </c>
      <c r="I191" s="133">
        <v>0</v>
      </c>
      <c r="J191" s="133">
        <v>0</v>
      </c>
      <c r="K191">
        <v>42132</v>
      </c>
      <c r="L191" s="133">
        <v>0</v>
      </c>
      <c r="M191" s="133" t="b">
        <f ca="1">IF(TODAY()-Table_Query_from_A_Readiness_19[[#This Row],[PER_DATE]]&gt;=0,TRUE, FALSE)</f>
        <v>0</v>
      </c>
    </row>
    <row r="192" spans="1:13">
      <c r="A192">
        <v>42139</v>
      </c>
      <c r="B192" t="s">
        <v>325</v>
      </c>
      <c r="C192" t="s">
        <v>159</v>
      </c>
      <c r="D192" s="133">
        <v>8</v>
      </c>
      <c r="E192" s="133">
        <v>24</v>
      </c>
      <c r="F192" s="133">
        <v>0</v>
      </c>
      <c r="G192" s="133">
        <v>0</v>
      </c>
      <c r="H192" s="133">
        <v>0</v>
      </c>
      <c r="I192" s="133">
        <v>0</v>
      </c>
      <c r="J192" s="133">
        <v>0</v>
      </c>
      <c r="K192">
        <v>42132</v>
      </c>
      <c r="L192" s="133">
        <v>0</v>
      </c>
      <c r="M192" s="133" t="b">
        <f ca="1">IF(TODAY()-Table_Query_from_A_Readiness_19[[#This Row],[PER_DATE]]&gt;=0,TRUE, FALSE)</f>
        <v>0</v>
      </c>
    </row>
    <row r="193" spans="1:13">
      <c r="A193">
        <v>42139</v>
      </c>
      <c r="B193" t="s">
        <v>325</v>
      </c>
      <c r="C193" t="s">
        <v>160</v>
      </c>
      <c r="D193" s="133">
        <v>8</v>
      </c>
      <c r="E193" s="133">
        <v>24</v>
      </c>
      <c r="F193" s="133">
        <v>0</v>
      </c>
      <c r="G193" s="133">
        <v>0</v>
      </c>
      <c r="H193" s="133">
        <v>0</v>
      </c>
      <c r="I193" s="133">
        <v>0</v>
      </c>
      <c r="J193" s="133">
        <v>0</v>
      </c>
      <c r="K193">
        <v>42132</v>
      </c>
      <c r="L193" s="133">
        <v>0</v>
      </c>
      <c r="M193" s="133" t="b">
        <f ca="1">IF(TODAY()-Table_Query_from_A_Readiness_19[[#This Row],[PER_DATE]]&gt;=0,TRUE, FALSE)</f>
        <v>0</v>
      </c>
    </row>
    <row r="194" spans="1:13">
      <c r="A194">
        <v>42139</v>
      </c>
      <c r="B194" t="s">
        <v>332</v>
      </c>
      <c r="C194" t="s">
        <v>164</v>
      </c>
      <c r="D194" s="133">
        <v>9</v>
      </c>
      <c r="E194" s="133">
        <v>24</v>
      </c>
      <c r="F194" s="133">
        <v>0</v>
      </c>
      <c r="G194" s="133">
        <v>0</v>
      </c>
      <c r="H194" s="133">
        <v>0</v>
      </c>
      <c r="I194" s="133">
        <v>0</v>
      </c>
      <c r="J194" s="133">
        <v>0</v>
      </c>
      <c r="K194">
        <v>42133</v>
      </c>
      <c r="L194" s="133">
        <v>0</v>
      </c>
      <c r="M194" s="133" t="b">
        <f ca="1">IF(TODAY()-Table_Query_from_A_Readiness_19[[#This Row],[PER_DATE]]&gt;=0,TRUE, FALSE)</f>
        <v>0</v>
      </c>
    </row>
    <row r="195" spans="1:13">
      <c r="A195">
        <v>42139</v>
      </c>
      <c r="B195" t="s">
        <v>332</v>
      </c>
      <c r="C195" t="s">
        <v>161</v>
      </c>
      <c r="D195" s="133">
        <v>9</v>
      </c>
      <c r="E195" s="133">
        <v>0</v>
      </c>
      <c r="F195" s="133">
        <v>0</v>
      </c>
      <c r="G195" s="133">
        <v>0</v>
      </c>
      <c r="H195" s="133">
        <v>0</v>
      </c>
      <c r="I195" s="133">
        <v>0</v>
      </c>
      <c r="J195" s="133">
        <v>0</v>
      </c>
      <c r="K195">
        <v>42133</v>
      </c>
      <c r="L195" s="133">
        <v>24</v>
      </c>
      <c r="M195" s="133" t="b">
        <f ca="1">IF(TODAY()-Table_Query_from_A_Readiness_19[[#This Row],[PER_DATE]]&gt;=0,TRUE, FALSE)</f>
        <v>0</v>
      </c>
    </row>
    <row r="196" spans="1:13">
      <c r="A196">
        <v>42139</v>
      </c>
      <c r="B196" t="s">
        <v>332</v>
      </c>
      <c r="C196" t="s">
        <v>165</v>
      </c>
      <c r="D196" s="133">
        <v>9</v>
      </c>
      <c r="E196" s="133">
        <v>24</v>
      </c>
      <c r="F196" s="133">
        <v>0</v>
      </c>
      <c r="G196" s="133">
        <v>0</v>
      </c>
      <c r="H196" s="133">
        <v>0</v>
      </c>
      <c r="I196" s="133">
        <v>0</v>
      </c>
      <c r="J196" s="133">
        <v>0</v>
      </c>
      <c r="K196">
        <v>42133</v>
      </c>
      <c r="L196" s="133">
        <v>0</v>
      </c>
      <c r="M196" s="133" t="b">
        <f ca="1">IF(TODAY()-Table_Query_from_A_Readiness_19[[#This Row],[PER_DATE]]&gt;=0,TRUE, FALSE)</f>
        <v>0</v>
      </c>
    </row>
    <row r="197" spans="1:13">
      <c r="A197">
        <v>42139</v>
      </c>
      <c r="B197" t="s">
        <v>324</v>
      </c>
      <c r="C197" t="s">
        <v>148</v>
      </c>
      <c r="D197" s="133">
        <v>9</v>
      </c>
      <c r="E197" s="133">
        <v>0</v>
      </c>
      <c r="F197" s="133">
        <v>0</v>
      </c>
      <c r="G197" s="133">
        <v>0</v>
      </c>
      <c r="H197" s="133">
        <v>0</v>
      </c>
      <c r="I197" s="133">
        <v>0</v>
      </c>
      <c r="J197" s="133">
        <v>0</v>
      </c>
      <c r="K197">
        <v>42133</v>
      </c>
      <c r="L197" s="133">
        <v>24</v>
      </c>
      <c r="M197" s="133" t="b">
        <f ca="1">IF(TODAY()-Table_Query_from_A_Readiness_19[[#This Row],[PER_DATE]]&gt;=0,TRUE, FALSE)</f>
        <v>0</v>
      </c>
    </row>
    <row r="198" spans="1:13">
      <c r="A198">
        <v>42139</v>
      </c>
      <c r="B198" t="s">
        <v>332</v>
      </c>
      <c r="C198" t="s">
        <v>162</v>
      </c>
      <c r="D198" s="133">
        <v>9</v>
      </c>
      <c r="E198" s="133">
        <v>24</v>
      </c>
      <c r="F198" s="133">
        <v>0</v>
      </c>
      <c r="G198" s="133">
        <v>0</v>
      </c>
      <c r="H198" s="133">
        <v>0</v>
      </c>
      <c r="I198" s="133">
        <v>0</v>
      </c>
      <c r="J198" s="133">
        <v>0</v>
      </c>
      <c r="K198">
        <v>42133</v>
      </c>
      <c r="L198" s="133">
        <v>0</v>
      </c>
      <c r="M198" s="133" t="b">
        <f ca="1">IF(TODAY()-Table_Query_from_A_Readiness_19[[#This Row],[PER_DATE]]&gt;=0,TRUE, FALSE)</f>
        <v>0</v>
      </c>
    </row>
    <row r="199" spans="1:13">
      <c r="A199">
        <v>42139</v>
      </c>
      <c r="B199" t="s">
        <v>332</v>
      </c>
      <c r="C199" t="s">
        <v>163</v>
      </c>
      <c r="D199" s="133">
        <v>9</v>
      </c>
      <c r="E199" s="133">
        <v>24</v>
      </c>
      <c r="F199" s="133">
        <v>0</v>
      </c>
      <c r="G199" s="133">
        <v>0</v>
      </c>
      <c r="H199" s="133">
        <v>0</v>
      </c>
      <c r="I199" s="133">
        <v>0</v>
      </c>
      <c r="J199" s="133">
        <v>0</v>
      </c>
      <c r="K199">
        <v>42133</v>
      </c>
      <c r="L199" s="133">
        <v>0</v>
      </c>
      <c r="M199" s="133" t="b">
        <f ca="1">IF(TODAY()-Table_Query_from_A_Readiness_19[[#This Row],[PER_DATE]]&gt;=0,TRUE, FALSE)</f>
        <v>0</v>
      </c>
    </row>
    <row r="200" spans="1:13">
      <c r="A200">
        <v>42139</v>
      </c>
      <c r="B200" t="s">
        <v>325</v>
      </c>
      <c r="C200" t="s">
        <v>166</v>
      </c>
      <c r="D200" s="133">
        <v>9</v>
      </c>
      <c r="E200" s="133">
        <v>24</v>
      </c>
      <c r="F200" s="133">
        <v>0</v>
      </c>
      <c r="G200" s="133">
        <v>0</v>
      </c>
      <c r="H200" s="133">
        <v>0</v>
      </c>
      <c r="I200" s="133">
        <v>0</v>
      </c>
      <c r="J200" s="133">
        <v>0</v>
      </c>
      <c r="K200">
        <v>42133</v>
      </c>
      <c r="L200" s="133">
        <v>0</v>
      </c>
      <c r="M200" s="133" t="b">
        <f ca="1">IF(TODAY()-Table_Query_from_A_Readiness_19[[#This Row],[PER_DATE]]&gt;=0,TRUE, FALSE)</f>
        <v>0</v>
      </c>
    </row>
    <row r="201" spans="1:13">
      <c r="A201">
        <v>42139</v>
      </c>
      <c r="B201" t="s">
        <v>324</v>
      </c>
      <c r="C201" t="s">
        <v>149</v>
      </c>
      <c r="D201" s="133">
        <v>9</v>
      </c>
      <c r="E201" s="133">
        <v>0</v>
      </c>
      <c r="F201" s="133">
        <v>24</v>
      </c>
      <c r="G201" s="133">
        <v>0</v>
      </c>
      <c r="H201" s="133">
        <v>0</v>
      </c>
      <c r="I201" s="133">
        <v>0</v>
      </c>
      <c r="J201" s="133">
        <v>0</v>
      </c>
      <c r="K201">
        <v>42133</v>
      </c>
      <c r="L201" s="133">
        <v>0</v>
      </c>
      <c r="M201" s="133" t="b">
        <f ca="1">IF(TODAY()-Table_Query_from_A_Readiness_19[[#This Row],[PER_DATE]]&gt;=0,TRUE, FALSE)</f>
        <v>0</v>
      </c>
    </row>
    <row r="202" spans="1:13">
      <c r="A202">
        <v>42139</v>
      </c>
      <c r="B202" t="s">
        <v>332</v>
      </c>
      <c r="C202" t="s">
        <v>150</v>
      </c>
      <c r="D202" s="133">
        <v>9</v>
      </c>
      <c r="E202" s="133">
        <v>24</v>
      </c>
      <c r="F202" s="133">
        <v>0</v>
      </c>
      <c r="G202" s="133">
        <v>0</v>
      </c>
      <c r="H202" s="133">
        <v>0</v>
      </c>
      <c r="I202" s="133">
        <v>0</v>
      </c>
      <c r="J202" s="133">
        <v>0</v>
      </c>
      <c r="K202">
        <v>42133</v>
      </c>
      <c r="L202" s="133">
        <v>0</v>
      </c>
      <c r="M202" s="133" t="b">
        <f ca="1">IF(TODAY()-Table_Query_from_A_Readiness_19[[#This Row],[PER_DATE]]&gt;=0,TRUE, FALSE)</f>
        <v>0</v>
      </c>
    </row>
    <row r="203" spans="1:13">
      <c r="A203">
        <v>42139</v>
      </c>
      <c r="B203" t="s">
        <v>324</v>
      </c>
      <c r="C203" t="s">
        <v>151</v>
      </c>
      <c r="D203" s="133">
        <v>9</v>
      </c>
      <c r="E203" s="133">
        <v>0</v>
      </c>
      <c r="F203" s="133">
        <v>0</v>
      </c>
      <c r="G203" s="133">
        <v>0</v>
      </c>
      <c r="H203" s="133">
        <v>24</v>
      </c>
      <c r="I203" s="133">
        <v>0</v>
      </c>
      <c r="J203" s="133">
        <v>0</v>
      </c>
      <c r="K203">
        <v>42133</v>
      </c>
      <c r="L203" s="133">
        <v>0</v>
      </c>
      <c r="M203" s="133" t="b">
        <f ca="1">IF(TODAY()-Table_Query_from_A_Readiness_19[[#This Row],[PER_DATE]]&gt;=0,TRUE, FALSE)</f>
        <v>0</v>
      </c>
    </row>
    <row r="204" spans="1:13">
      <c r="A204">
        <v>42139</v>
      </c>
      <c r="B204" t="s">
        <v>325</v>
      </c>
      <c r="C204" t="s">
        <v>152</v>
      </c>
      <c r="D204" s="133">
        <v>9</v>
      </c>
      <c r="E204" s="133">
        <v>24</v>
      </c>
      <c r="F204" s="133">
        <v>0</v>
      </c>
      <c r="G204" s="133">
        <v>0</v>
      </c>
      <c r="H204" s="133">
        <v>0</v>
      </c>
      <c r="I204" s="133">
        <v>0</v>
      </c>
      <c r="J204" s="133">
        <v>0</v>
      </c>
      <c r="K204">
        <v>42133</v>
      </c>
      <c r="L204" s="133">
        <v>0</v>
      </c>
      <c r="M204" s="133" t="b">
        <f ca="1">IF(TODAY()-Table_Query_from_A_Readiness_19[[#This Row],[PER_DATE]]&gt;=0,TRUE, FALSE)</f>
        <v>0</v>
      </c>
    </row>
    <row r="205" spans="1:13">
      <c r="A205">
        <v>42139</v>
      </c>
      <c r="B205" t="s">
        <v>332</v>
      </c>
      <c r="C205" t="s">
        <v>145</v>
      </c>
      <c r="D205" s="133">
        <v>9</v>
      </c>
      <c r="E205" s="133">
        <v>24</v>
      </c>
      <c r="F205" s="133">
        <v>0</v>
      </c>
      <c r="G205" s="133">
        <v>0</v>
      </c>
      <c r="H205" s="133">
        <v>0</v>
      </c>
      <c r="I205" s="133">
        <v>0</v>
      </c>
      <c r="J205" s="133">
        <v>0</v>
      </c>
      <c r="K205">
        <v>42133</v>
      </c>
      <c r="L205" s="133">
        <v>0</v>
      </c>
      <c r="M205" s="133" t="b">
        <f ca="1">IF(TODAY()-Table_Query_from_A_Readiness_19[[#This Row],[PER_DATE]]&gt;=0,TRUE, FALSE)</f>
        <v>0</v>
      </c>
    </row>
    <row r="206" spans="1:13">
      <c r="A206">
        <v>42139</v>
      </c>
      <c r="B206" t="s">
        <v>325</v>
      </c>
      <c r="C206" t="s">
        <v>167</v>
      </c>
      <c r="D206" s="133">
        <v>9</v>
      </c>
      <c r="E206" s="133">
        <v>24</v>
      </c>
      <c r="F206" s="133">
        <v>0</v>
      </c>
      <c r="G206" s="133">
        <v>0</v>
      </c>
      <c r="H206" s="133">
        <v>0</v>
      </c>
      <c r="I206" s="133">
        <v>0</v>
      </c>
      <c r="J206" s="133">
        <v>0</v>
      </c>
      <c r="K206">
        <v>42133</v>
      </c>
      <c r="L206" s="133">
        <v>0</v>
      </c>
      <c r="M206" s="133" t="b">
        <f ca="1">IF(TODAY()-Table_Query_from_A_Readiness_19[[#This Row],[PER_DATE]]&gt;=0,TRUE, FALSE)</f>
        <v>0</v>
      </c>
    </row>
    <row r="207" spans="1:13">
      <c r="A207">
        <v>42139</v>
      </c>
      <c r="B207" t="s">
        <v>324</v>
      </c>
      <c r="C207" t="s">
        <v>153</v>
      </c>
      <c r="D207" s="133">
        <v>9</v>
      </c>
      <c r="E207" s="133">
        <v>0</v>
      </c>
      <c r="F207" s="133">
        <v>0</v>
      </c>
      <c r="G207" s="133">
        <v>0</v>
      </c>
      <c r="H207" s="133">
        <v>24</v>
      </c>
      <c r="I207" s="133">
        <v>0</v>
      </c>
      <c r="J207" s="133">
        <v>0</v>
      </c>
      <c r="K207">
        <v>42133</v>
      </c>
      <c r="L207" s="133">
        <v>0</v>
      </c>
      <c r="M207" s="133" t="b">
        <f ca="1">IF(TODAY()-Table_Query_from_A_Readiness_19[[#This Row],[PER_DATE]]&gt;=0,TRUE, FALSE)</f>
        <v>0</v>
      </c>
    </row>
    <row r="208" spans="1:13">
      <c r="A208">
        <v>42139</v>
      </c>
      <c r="B208" t="s">
        <v>325</v>
      </c>
      <c r="C208" t="s">
        <v>154</v>
      </c>
      <c r="D208" s="133">
        <v>9</v>
      </c>
      <c r="E208" s="133">
        <v>24</v>
      </c>
      <c r="F208" s="133">
        <v>0</v>
      </c>
      <c r="G208" s="133">
        <v>0</v>
      </c>
      <c r="H208" s="133">
        <v>0</v>
      </c>
      <c r="I208" s="133">
        <v>0</v>
      </c>
      <c r="J208" s="133">
        <v>0</v>
      </c>
      <c r="K208">
        <v>42133</v>
      </c>
      <c r="L208" s="133">
        <v>0</v>
      </c>
      <c r="M208" s="133" t="b">
        <f ca="1">IF(TODAY()-Table_Query_from_A_Readiness_19[[#This Row],[PER_DATE]]&gt;=0,TRUE, FALSE)</f>
        <v>0</v>
      </c>
    </row>
    <row r="209" spans="1:13">
      <c r="A209">
        <v>42139</v>
      </c>
      <c r="B209" t="s">
        <v>325</v>
      </c>
      <c r="C209" t="s">
        <v>168</v>
      </c>
      <c r="D209" s="133">
        <v>9</v>
      </c>
      <c r="E209" s="133">
        <v>24</v>
      </c>
      <c r="F209" s="133">
        <v>0</v>
      </c>
      <c r="G209" s="133">
        <v>0</v>
      </c>
      <c r="H209" s="133">
        <v>0</v>
      </c>
      <c r="I209" s="133">
        <v>0</v>
      </c>
      <c r="J209" s="133">
        <v>0</v>
      </c>
      <c r="K209">
        <v>42133</v>
      </c>
      <c r="L209" s="133">
        <v>0</v>
      </c>
      <c r="M209" s="133" t="b">
        <f ca="1">IF(TODAY()-Table_Query_from_A_Readiness_19[[#This Row],[PER_DATE]]&gt;=0,TRUE, FALSE)</f>
        <v>0</v>
      </c>
    </row>
    <row r="210" spans="1:13">
      <c r="A210">
        <v>42139</v>
      </c>
      <c r="B210" t="s">
        <v>324</v>
      </c>
      <c r="C210" t="s">
        <v>155</v>
      </c>
      <c r="D210" s="133">
        <v>9</v>
      </c>
      <c r="E210" s="133">
        <v>0</v>
      </c>
      <c r="F210" s="133">
        <v>0</v>
      </c>
      <c r="G210" s="133">
        <v>0</v>
      </c>
      <c r="H210" s="133">
        <v>0</v>
      </c>
      <c r="I210" s="133">
        <v>24</v>
      </c>
      <c r="J210" s="133">
        <v>0</v>
      </c>
      <c r="K210">
        <v>42133</v>
      </c>
      <c r="L210" s="133">
        <v>0</v>
      </c>
      <c r="M210" s="133" t="b">
        <f ca="1">IF(TODAY()-Table_Query_from_A_Readiness_19[[#This Row],[PER_DATE]]&gt;=0,TRUE, FALSE)</f>
        <v>0</v>
      </c>
    </row>
    <row r="211" spans="1:13">
      <c r="A211">
        <v>42139</v>
      </c>
      <c r="B211" t="s">
        <v>324</v>
      </c>
      <c r="C211" t="s">
        <v>156</v>
      </c>
      <c r="D211" s="133">
        <v>9</v>
      </c>
      <c r="E211" s="133">
        <v>0</v>
      </c>
      <c r="F211" s="133">
        <v>24</v>
      </c>
      <c r="G211" s="133">
        <v>0</v>
      </c>
      <c r="H211" s="133">
        <v>0</v>
      </c>
      <c r="I211" s="133">
        <v>0</v>
      </c>
      <c r="J211" s="133">
        <v>0</v>
      </c>
      <c r="K211">
        <v>42133</v>
      </c>
      <c r="L211" s="133">
        <v>0</v>
      </c>
      <c r="M211" s="133" t="b">
        <f ca="1">IF(TODAY()-Table_Query_from_A_Readiness_19[[#This Row],[PER_DATE]]&gt;=0,TRUE, FALSE)</f>
        <v>0</v>
      </c>
    </row>
    <row r="212" spans="1:13">
      <c r="A212">
        <v>42139</v>
      </c>
      <c r="B212" t="s">
        <v>325</v>
      </c>
      <c r="C212" t="s">
        <v>157</v>
      </c>
      <c r="D212" s="133">
        <v>9</v>
      </c>
      <c r="E212" s="133">
        <v>24</v>
      </c>
      <c r="F212" s="133">
        <v>0</v>
      </c>
      <c r="G212" s="133">
        <v>0</v>
      </c>
      <c r="H212" s="133">
        <v>0</v>
      </c>
      <c r="I212" s="133">
        <v>0</v>
      </c>
      <c r="J212" s="133">
        <v>0</v>
      </c>
      <c r="K212">
        <v>42133</v>
      </c>
      <c r="L212" s="133">
        <v>0</v>
      </c>
      <c r="M212" s="133" t="b">
        <f ca="1">IF(TODAY()-Table_Query_from_A_Readiness_19[[#This Row],[PER_DATE]]&gt;=0,TRUE, FALSE)</f>
        <v>0</v>
      </c>
    </row>
    <row r="213" spans="1:13">
      <c r="A213">
        <v>42139</v>
      </c>
      <c r="B213" t="s">
        <v>324</v>
      </c>
      <c r="C213" t="s">
        <v>169</v>
      </c>
      <c r="D213" s="133">
        <v>9</v>
      </c>
      <c r="E213" s="133">
        <v>0</v>
      </c>
      <c r="F213" s="133">
        <v>0</v>
      </c>
      <c r="G213" s="133">
        <v>0</v>
      </c>
      <c r="H213" s="133">
        <v>0</v>
      </c>
      <c r="I213" s="133">
        <v>24</v>
      </c>
      <c r="J213" s="133">
        <v>0</v>
      </c>
      <c r="K213">
        <v>42133</v>
      </c>
      <c r="L213" s="133">
        <v>0</v>
      </c>
      <c r="M213" s="133" t="b">
        <f ca="1">IF(TODAY()-Table_Query_from_A_Readiness_19[[#This Row],[PER_DATE]]&gt;=0,TRUE, FALSE)</f>
        <v>0</v>
      </c>
    </row>
    <row r="214" spans="1:13">
      <c r="A214">
        <v>42139</v>
      </c>
      <c r="B214" t="s">
        <v>332</v>
      </c>
      <c r="C214" t="s">
        <v>170</v>
      </c>
      <c r="D214" s="133">
        <v>9</v>
      </c>
      <c r="E214" s="133">
        <v>24</v>
      </c>
      <c r="F214" s="133">
        <v>0</v>
      </c>
      <c r="G214" s="133">
        <v>0</v>
      </c>
      <c r="H214" s="133">
        <v>0</v>
      </c>
      <c r="I214" s="133">
        <v>0</v>
      </c>
      <c r="J214" s="133">
        <v>0</v>
      </c>
      <c r="K214">
        <v>42133</v>
      </c>
      <c r="L214" s="133">
        <v>0</v>
      </c>
      <c r="M214" s="133" t="b">
        <f ca="1">IF(TODAY()-Table_Query_from_A_Readiness_19[[#This Row],[PER_DATE]]&gt;=0,TRUE, FALSE)</f>
        <v>0</v>
      </c>
    </row>
    <row r="215" spans="1:13">
      <c r="A215">
        <v>42139</v>
      </c>
      <c r="B215" t="s">
        <v>324</v>
      </c>
      <c r="C215" t="s">
        <v>158</v>
      </c>
      <c r="D215" s="133">
        <v>9</v>
      </c>
      <c r="E215" s="133">
        <v>24</v>
      </c>
      <c r="F215" s="133">
        <v>0</v>
      </c>
      <c r="G215" s="133">
        <v>0</v>
      </c>
      <c r="H215" s="133">
        <v>0</v>
      </c>
      <c r="I215" s="133">
        <v>0</v>
      </c>
      <c r="J215" s="133">
        <v>0</v>
      </c>
      <c r="K215">
        <v>42133</v>
      </c>
      <c r="L215" s="133">
        <v>0</v>
      </c>
      <c r="M215" s="133" t="b">
        <f ca="1">IF(TODAY()-Table_Query_from_A_Readiness_19[[#This Row],[PER_DATE]]&gt;=0,TRUE, FALSE)</f>
        <v>0</v>
      </c>
    </row>
    <row r="216" spans="1:13">
      <c r="A216">
        <v>42139</v>
      </c>
      <c r="B216" t="s">
        <v>325</v>
      </c>
      <c r="C216" t="s">
        <v>159</v>
      </c>
      <c r="D216" s="133">
        <v>9</v>
      </c>
      <c r="E216" s="133">
        <v>24</v>
      </c>
      <c r="F216" s="133">
        <v>0</v>
      </c>
      <c r="G216" s="133">
        <v>0</v>
      </c>
      <c r="H216" s="133">
        <v>0</v>
      </c>
      <c r="I216" s="133">
        <v>0</v>
      </c>
      <c r="J216" s="133">
        <v>0</v>
      </c>
      <c r="K216">
        <v>42133</v>
      </c>
      <c r="L216" s="133">
        <v>0</v>
      </c>
      <c r="M216" s="133" t="b">
        <f ca="1">IF(TODAY()-Table_Query_from_A_Readiness_19[[#This Row],[PER_DATE]]&gt;=0,TRUE, FALSE)</f>
        <v>0</v>
      </c>
    </row>
    <row r="217" spans="1:13">
      <c r="A217">
        <v>42139</v>
      </c>
      <c r="B217" t="s">
        <v>325</v>
      </c>
      <c r="C217" t="s">
        <v>160</v>
      </c>
      <c r="D217" s="133">
        <v>9</v>
      </c>
      <c r="E217" s="133">
        <v>24</v>
      </c>
      <c r="F217" s="133">
        <v>0</v>
      </c>
      <c r="G217" s="133">
        <v>0</v>
      </c>
      <c r="H217" s="133">
        <v>0</v>
      </c>
      <c r="I217" s="133">
        <v>0</v>
      </c>
      <c r="J217" s="133">
        <v>0</v>
      </c>
      <c r="K217">
        <v>42133</v>
      </c>
      <c r="L217" s="133">
        <v>0</v>
      </c>
      <c r="M217" s="133" t="b">
        <f ca="1">IF(TODAY()-Table_Query_from_A_Readiness_19[[#This Row],[PER_DATE]]&gt;=0,TRUE, FALSE)</f>
        <v>0</v>
      </c>
    </row>
    <row r="218" spans="1:13">
      <c r="A218">
        <v>42139</v>
      </c>
      <c r="B218" t="s">
        <v>332</v>
      </c>
      <c r="C218" t="s">
        <v>164</v>
      </c>
      <c r="D218" s="133">
        <v>10</v>
      </c>
      <c r="E218" s="133">
        <v>24</v>
      </c>
      <c r="F218" s="133">
        <v>0</v>
      </c>
      <c r="G218" s="133">
        <v>0</v>
      </c>
      <c r="H218" s="133">
        <v>0</v>
      </c>
      <c r="I218" s="133">
        <v>0</v>
      </c>
      <c r="J218" s="133">
        <v>0</v>
      </c>
      <c r="K218">
        <v>42134</v>
      </c>
      <c r="L218" s="133">
        <v>0</v>
      </c>
      <c r="M218" s="133" t="b">
        <f ca="1">IF(TODAY()-Table_Query_from_A_Readiness_19[[#This Row],[PER_DATE]]&gt;=0,TRUE, FALSE)</f>
        <v>0</v>
      </c>
    </row>
    <row r="219" spans="1:13">
      <c r="A219">
        <v>42139</v>
      </c>
      <c r="B219" t="s">
        <v>332</v>
      </c>
      <c r="C219" t="s">
        <v>161</v>
      </c>
      <c r="D219" s="133">
        <v>10</v>
      </c>
      <c r="E219" s="133">
        <v>0</v>
      </c>
      <c r="F219" s="133">
        <v>0</v>
      </c>
      <c r="G219" s="133">
        <v>0</v>
      </c>
      <c r="H219" s="133">
        <v>0</v>
      </c>
      <c r="I219" s="133">
        <v>0</v>
      </c>
      <c r="J219" s="133">
        <v>0</v>
      </c>
      <c r="K219">
        <v>42134</v>
      </c>
      <c r="L219" s="133">
        <v>24</v>
      </c>
      <c r="M219" s="133" t="b">
        <f ca="1">IF(TODAY()-Table_Query_from_A_Readiness_19[[#This Row],[PER_DATE]]&gt;=0,TRUE, FALSE)</f>
        <v>0</v>
      </c>
    </row>
    <row r="220" spans="1:13">
      <c r="A220">
        <v>42139</v>
      </c>
      <c r="B220" t="s">
        <v>332</v>
      </c>
      <c r="C220" t="s">
        <v>165</v>
      </c>
      <c r="D220" s="133">
        <v>10</v>
      </c>
      <c r="E220" s="133">
        <v>24</v>
      </c>
      <c r="F220" s="133">
        <v>0</v>
      </c>
      <c r="G220" s="133">
        <v>0</v>
      </c>
      <c r="H220" s="133">
        <v>0</v>
      </c>
      <c r="I220" s="133">
        <v>0</v>
      </c>
      <c r="J220" s="133">
        <v>0</v>
      </c>
      <c r="K220">
        <v>42134</v>
      </c>
      <c r="L220" s="133">
        <v>0</v>
      </c>
      <c r="M220" s="133" t="b">
        <f ca="1">IF(TODAY()-Table_Query_from_A_Readiness_19[[#This Row],[PER_DATE]]&gt;=0,TRUE, FALSE)</f>
        <v>0</v>
      </c>
    </row>
    <row r="221" spans="1:13">
      <c r="A221">
        <v>42139</v>
      </c>
      <c r="B221" t="s">
        <v>324</v>
      </c>
      <c r="C221" t="s">
        <v>148</v>
      </c>
      <c r="D221" s="133">
        <v>10</v>
      </c>
      <c r="E221" s="133">
        <v>0</v>
      </c>
      <c r="F221" s="133">
        <v>0</v>
      </c>
      <c r="G221" s="133">
        <v>0</v>
      </c>
      <c r="H221" s="133">
        <v>0</v>
      </c>
      <c r="I221" s="133">
        <v>0</v>
      </c>
      <c r="J221" s="133">
        <v>0</v>
      </c>
      <c r="K221">
        <v>42134</v>
      </c>
      <c r="L221" s="133">
        <v>24</v>
      </c>
      <c r="M221" s="133" t="b">
        <f ca="1">IF(TODAY()-Table_Query_from_A_Readiness_19[[#This Row],[PER_DATE]]&gt;=0,TRUE, FALSE)</f>
        <v>0</v>
      </c>
    </row>
    <row r="222" spans="1:13">
      <c r="A222">
        <v>42139</v>
      </c>
      <c r="B222" t="s">
        <v>332</v>
      </c>
      <c r="C222" t="s">
        <v>162</v>
      </c>
      <c r="D222" s="133">
        <v>10</v>
      </c>
      <c r="E222" s="133">
        <v>24</v>
      </c>
      <c r="F222" s="133">
        <v>0</v>
      </c>
      <c r="G222" s="133">
        <v>0</v>
      </c>
      <c r="H222" s="133">
        <v>0</v>
      </c>
      <c r="I222" s="133">
        <v>0</v>
      </c>
      <c r="J222" s="133">
        <v>0</v>
      </c>
      <c r="K222">
        <v>42134</v>
      </c>
      <c r="L222" s="133">
        <v>0</v>
      </c>
      <c r="M222" s="133" t="b">
        <f ca="1">IF(TODAY()-Table_Query_from_A_Readiness_19[[#This Row],[PER_DATE]]&gt;=0,TRUE, FALSE)</f>
        <v>0</v>
      </c>
    </row>
    <row r="223" spans="1:13">
      <c r="A223">
        <v>42139</v>
      </c>
      <c r="B223" t="s">
        <v>332</v>
      </c>
      <c r="C223" t="s">
        <v>163</v>
      </c>
      <c r="D223" s="133">
        <v>10</v>
      </c>
      <c r="E223" s="133">
        <v>24</v>
      </c>
      <c r="F223" s="133">
        <v>0</v>
      </c>
      <c r="G223" s="133">
        <v>0</v>
      </c>
      <c r="H223" s="133">
        <v>0</v>
      </c>
      <c r="I223" s="133">
        <v>0</v>
      </c>
      <c r="J223" s="133">
        <v>0</v>
      </c>
      <c r="K223">
        <v>42134</v>
      </c>
      <c r="L223" s="133">
        <v>0</v>
      </c>
      <c r="M223" s="133" t="b">
        <f ca="1">IF(TODAY()-Table_Query_from_A_Readiness_19[[#This Row],[PER_DATE]]&gt;=0,TRUE, FALSE)</f>
        <v>0</v>
      </c>
    </row>
    <row r="224" spans="1:13">
      <c r="A224">
        <v>42139</v>
      </c>
      <c r="B224" t="s">
        <v>325</v>
      </c>
      <c r="C224" t="s">
        <v>166</v>
      </c>
      <c r="D224" s="133">
        <v>10</v>
      </c>
      <c r="E224" s="133">
        <v>24</v>
      </c>
      <c r="F224" s="133">
        <v>0</v>
      </c>
      <c r="G224" s="133">
        <v>0</v>
      </c>
      <c r="H224" s="133">
        <v>0</v>
      </c>
      <c r="I224" s="133">
        <v>0</v>
      </c>
      <c r="J224" s="133">
        <v>0</v>
      </c>
      <c r="K224">
        <v>42134</v>
      </c>
      <c r="L224" s="133">
        <v>0</v>
      </c>
      <c r="M224" s="133" t="b">
        <f ca="1">IF(TODAY()-Table_Query_from_A_Readiness_19[[#This Row],[PER_DATE]]&gt;=0,TRUE, FALSE)</f>
        <v>0</v>
      </c>
    </row>
    <row r="225" spans="1:13">
      <c r="A225">
        <v>42139</v>
      </c>
      <c r="B225" t="s">
        <v>324</v>
      </c>
      <c r="C225" t="s">
        <v>149</v>
      </c>
      <c r="D225" s="133">
        <v>10</v>
      </c>
      <c r="E225" s="133">
        <v>0</v>
      </c>
      <c r="F225" s="133">
        <v>24</v>
      </c>
      <c r="G225" s="133">
        <v>0</v>
      </c>
      <c r="H225" s="133">
        <v>0</v>
      </c>
      <c r="I225" s="133">
        <v>0</v>
      </c>
      <c r="J225" s="133">
        <v>0</v>
      </c>
      <c r="K225">
        <v>42134</v>
      </c>
      <c r="L225" s="133">
        <v>0</v>
      </c>
      <c r="M225" s="133" t="b">
        <f ca="1">IF(TODAY()-Table_Query_from_A_Readiness_19[[#This Row],[PER_DATE]]&gt;=0,TRUE, FALSE)</f>
        <v>0</v>
      </c>
    </row>
    <row r="226" spans="1:13">
      <c r="A226">
        <v>42139</v>
      </c>
      <c r="B226" t="s">
        <v>332</v>
      </c>
      <c r="C226" t="s">
        <v>150</v>
      </c>
      <c r="D226" s="133">
        <v>10</v>
      </c>
      <c r="E226" s="133">
        <v>24</v>
      </c>
      <c r="F226" s="133">
        <v>0</v>
      </c>
      <c r="G226" s="133">
        <v>0</v>
      </c>
      <c r="H226" s="133">
        <v>0</v>
      </c>
      <c r="I226" s="133">
        <v>0</v>
      </c>
      <c r="J226" s="133">
        <v>0</v>
      </c>
      <c r="K226">
        <v>42134</v>
      </c>
      <c r="L226" s="133">
        <v>0</v>
      </c>
      <c r="M226" s="133" t="b">
        <f ca="1">IF(TODAY()-Table_Query_from_A_Readiness_19[[#This Row],[PER_DATE]]&gt;=0,TRUE, FALSE)</f>
        <v>0</v>
      </c>
    </row>
    <row r="227" spans="1:13">
      <c r="A227">
        <v>42139</v>
      </c>
      <c r="B227" t="s">
        <v>324</v>
      </c>
      <c r="C227" t="s">
        <v>151</v>
      </c>
      <c r="D227" s="133">
        <v>10</v>
      </c>
      <c r="E227" s="133">
        <v>0</v>
      </c>
      <c r="F227" s="133">
        <v>0</v>
      </c>
      <c r="G227" s="133">
        <v>0</v>
      </c>
      <c r="H227" s="133">
        <v>24</v>
      </c>
      <c r="I227" s="133">
        <v>0</v>
      </c>
      <c r="J227" s="133">
        <v>0</v>
      </c>
      <c r="K227">
        <v>42134</v>
      </c>
      <c r="L227" s="133">
        <v>0</v>
      </c>
      <c r="M227" s="133" t="b">
        <f ca="1">IF(TODAY()-Table_Query_from_A_Readiness_19[[#This Row],[PER_DATE]]&gt;=0,TRUE, FALSE)</f>
        <v>0</v>
      </c>
    </row>
    <row r="228" spans="1:13">
      <c r="A228">
        <v>42139</v>
      </c>
      <c r="B228" t="s">
        <v>325</v>
      </c>
      <c r="C228" t="s">
        <v>152</v>
      </c>
      <c r="D228" s="133">
        <v>10</v>
      </c>
      <c r="E228" s="133">
        <v>24</v>
      </c>
      <c r="F228" s="133">
        <v>0</v>
      </c>
      <c r="G228" s="133">
        <v>0</v>
      </c>
      <c r="H228" s="133">
        <v>0</v>
      </c>
      <c r="I228" s="133">
        <v>0</v>
      </c>
      <c r="J228" s="133">
        <v>0</v>
      </c>
      <c r="K228">
        <v>42134</v>
      </c>
      <c r="L228" s="133">
        <v>0</v>
      </c>
      <c r="M228" s="133" t="b">
        <f ca="1">IF(TODAY()-Table_Query_from_A_Readiness_19[[#This Row],[PER_DATE]]&gt;=0,TRUE, FALSE)</f>
        <v>0</v>
      </c>
    </row>
    <row r="229" spans="1:13">
      <c r="A229">
        <v>42139</v>
      </c>
      <c r="B229" t="s">
        <v>332</v>
      </c>
      <c r="C229" t="s">
        <v>145</v>
      </c>
      <c r="D229" s="133">
        <v>10</v>
      </c>
      <c r="E229" s="133">
        <v>24</v>
      </c>
      <c r="F229" s="133">
        <v>0</v>
      </c>
      <c r="G229" s="133">
        <v>0</v>
      </c>
      <c r="H229" s="133">
        <v>0</v>
      </c>
      <c r="I229" s="133">
        <v>0</v>
      </c>
      <c r="J229" s="133">
        <v>0</v>
      </c>
      <c r="K229">
        <v>42134</v>
      </c>
      <c r="L229" s="133">
        <v>0</v>
      </c>
      <c r="M229" s="133" t="b">
        <f ca="1">IF(TODAY()-Table_Query_from_A_Readiness_19[[#This Row],[PER_DATE]]&gt;=0,TRUE, FALSE)</f>
        <v>0</v>
      </c>
    </row>
    <row r="230" spans="1:13">
      <c r="A230">
        <v>42139</v>
      </c>
      <c r="B230" t="s">
        <v>325</v>
      </c>
      <c r="C230" t="s">
        <v>167</v>
      </c>
      <c r="D230" s="133">
        <v>10</v>
      </c>
      <c r="E230" s="133">
        <v>24</v>
      </c>
      <c r="F230" s="133">
        <v>0</v>
      </c>
      <c r="G230" s="133">
        <v>0</v>
      </c>
      <c r="H230" s="133">
        <v>0</v>
      </c>
      <c r="I230" s="133">
        <v>0</v>
      </c>
      <c r="J230" s="133">
        <v>0</v>
      </c>
      <c r="K230">
        <v>42134</v>
      </c>
      <c r="L230" s="133">
        <v>0</v>
      </c>
      <c r="M230" s="133" t="b">
        <f ca="1">IF(TODAY()-Table_Query_from_A_Readiness_19[[#This Row],[PER_DATE]]&gt;=0,TRUE, FALSE)</f>
        <v>0</v>
      </c>
    </row>
    <row r="231" spans="1:13">
      <c r="A231">
        <v>42139</v>
      </c>
      <c r="B231" t="s">
        <v>324</v>
      </c>
      <c r="C231" t="s">
        <v>153</v>
      </c>
      <c r="D231" s="133">
        <v>10</v>
      </c>
      <c r="E231" s="133">
        <v>0</v>
      </c>
      <c r="F231" s="133">
        <v>0</v>
      </c>
      <c r="G231" s="133">
        <v>0</v>
      </c>
      <c r="H231" s="133">
        <v>24</v>
      </c>
      <c r="I231" s="133">
        <v>0</v>
      </c>
      <c r="J231" s="133">
        <v>0</v>
      </c>
      <c r="K231">
        <v>42134</v>
      </c>
      <c r="L231" s="133">
        <v>0</v>
      </c>
      <c r="M231" s="133" t="b">
        <f ca="1">IF(TODAY()-Table_Query_from_A_Readiness_19[[#This Row],[PER_DATE]]&gt;=0,TRUE, FALSE)</f>
        <v>0</v>
      </c>
    </row>
    <row r="232" spans="1:13">
      <c r="A232">
        <v>42139</v>
      </c>
      <c r="B232" t="s">
        <v>325</v>
      </c>
      <c r="C232" t="s">
        <v>154</v>
      </c>
      <c r="D232" s="133">
        <v>10</v>
      </c>
      <c r="E232" s="133">
        <v>24</v>
      </c>
      <c r="F232" s="133">
        <v>0</v>
      </c>
      <c r="G232" s="133">
        <v>0</v>
      </c>
      <c r="H232" s="133">
        <v>0</v>
      </c>
      <c r="I232" s="133">
        <v>0</v>
      </c>
      <c r="J232" s="133">
        <v>0</v>
      </c>
      <c r="K232">
        <v>42134</v>
      </c>
      <c r="L232" s="133">
        <v>0</v>
      </c>
      <c r="M232" s="133" t="b">
        <f ca="1">IF(TODAY()-Table_Query_from_A_Readiness_19[[#This Row],[PER_DATE]]&gt;=0,TRUE, FALSE)</f>
        <v>0</v>
      </c>
    </row>
    <row r="233" spans="1:13">
      <c r="A233">
        <v>42139</v>
      </c>
      <c r="B233" t="s">
        <v>325</v>
      </c>
      <c r="C233" t="s">
        <v>168</v>
      </c>
      <c r="D233" s="133">
        <v>10</v>
      </c>
      <c r="E233" s="133">
        <v>24</v>
      </c>
      <c r="F233" s="133">
        <v>0</v>
      </c>
      <c r="G233" s="133">
        <v>0</v>
      </c>
      <c r="H233" s="133">
        <v>0</v>
      </c>
      <c r="I233" s="133">
        <v>0</v>
      </c>
      <c r="J233" s="133">
        <v>0</v>
      </c>
      <c r="K233">
        <v>42134</v>
      </c>
      <c r="L233" s="133">
        <v>0</v>
      </c>
      <c r="M233" s="133" t="b">
        <f ca="1">IF(TODAY()-Table_Query_from_A_Readiness_19[[#This Row],[PER_DATE]]&gt;=0,TRUE, FALSE)</f>
        <v>0</v>
      </c>
    </row>
    <row r="234" spans="1:13">
      <c r="A234">
        <v>42139</v>
      </c>
      <c r="B234" t="s">
        <v>324</v>
      </c>
      <c r="C234" t="s">
        <v>155</v>
      </c>
      <c r="D234" s="133">
        <v>10</v>
      </c>
      <c r="E234" s="133">
        <v>0</v>
      </c>
      <c r="F234" s="133">
        <v>0</v>
      </c>
      <c r="G234" s="133">
        <v>0</v>
      </c>
      <c r="H234" s="133">
        <v>0</v>
      </c>
      <c r="I234" s="133">
        <v>24</v>
      </c>
      <c r="J234" s="133">
        <v>0</v>
      </c>
      <c r="K234">
        <v>42134</v>
      </c>
      <c r="L234" s="133">
        <v>0</v>
      </c>
      <c r="M234" s="133" t="b">
        <f ca="1">IF(TODAY()-Table_Query_from_A_Readiness_19[[#This Row],[PER_DATE]]&gt;=0,TRUE, FALSE)</f>
        <v>0</v>
      </c>
    </row>
    <row r="235" spans="1:13">
      <c r="A235">
        <v>42139</v>
      </c>
      <c r="B235" t="s">
        <v>324</v>
      </c>
      <c r="C235" t="s">
        <v>156</v>
      </c>
      <c r="D235" s="133">
        <v>10</v>
      </c>
      <c r="E235" s="133">
        <v>0</v>
      </c>
      <c r="F235" s="133">
        <v>24</v>
      </c>
      <c r="G235" s="133">
        <v>0</v>
      </c>
      <c r="H235" s="133">
        <v>0</v>
      </c>
      <c r="I235" s="133">
        <v>0</v>
      </c>
      <c r="J235" s="133">
        <v>0</v>
      </c>
      <c r="K235">
        <v>42134</v>
      </c>
      <c r="L235" s="133">
        <v>0</v>
      </c>
      <c r="M235" s="133" t="b">
        <f ca="1">IF(TODAY()-Table_Query_from_A_Readiness_19[[#This Row],[PER_DATE]]&gt;=0,TRUE, FALSE)</f>
        <v>0</v>
      </c>
    </row>
    <row r="236" spans="1:13">
      <c r="A236">
        <v>42139</v>
      </c>
      <c r="B236" t="s">
        <v>325</v>
      </c>
      <c r="C236" t="s">
        <v>157</v>
      </c>
      <c r="D236" s="133">
        <v>10</v>
      </c>
      <c r="E236" s="133">
        <v>24</v>
      </c>
      <c r="F236" s="133">
        <v>0</v>
      </c>
      <c r="G236" s="133">
        <v>0</v>
      </c>
      <c r="H236" s="133">
        <v>0</v>
      </c>
      <c r="I236" s="133">
        <v>0</v>
      </c>
      <c r="J236" s="133">
        <v>0</v>
      </c>
      <c r="K236">
        <v>42134</v>
      </c>
      <c r="L236" s="133">
        <v>0</v>
      </c>
      <c r="M236" s="133" t="b">
        <f ca="1">IF(TODAY()-Table_Query_from_A_Readiness_19[[#This Row],[PER_DATE]]&gt;=0,TRUE, FALSE)</f>
        <v>0</v>
      </c>
    </row>
    <row r="237" spans="1:13">
      <c r="A237">
        <v>42139</v>
      </c>
      <c r="B237" t="s">
        <v>324</v>
      </c>
      <c r="C237" t="s">
        <v>169</v>
      </c>
      <c r="D237" s="133">
        <v>10</v>
      </c>
      <c r="E237" s="133">
        <v>0</v>
      </c>
      <c r="F237" s="133">
        <v>0</v>
      </c>
      <c r="G237" s="133">
        <v>0</v>
      </c>
      <c r="H237" s="133">
        <v>0</v>
      </c>
      <c r="I237" s="133">
        <v>24</v>
      </c>
      <c r="J237" s="133">
        <v>0</v>
      </c>
      <c r="K237">
        <v>42134</v>
      </c>
      <c r="L237" s="133">
        <v>0</v>
      </c>
      <c r="M237" s="133" t="b">
        <f ca="1">IF(TODAY()-Table_Query_from_A_Readiness_19[[#This Row],[PER_DATE]]&gt;=0,TRUE, FALSE)</f>
        <v>0</v>
      </c>
    </row>
    <row r="238" spans="1:13">
      <c r="A238">
        <v>42139</v>
      </c>
      <c r="B238" t="s">
        <v>332</v>
      </c>
      <c r="C238" t="s">
        <v>170</v>
      </c>
      <c r="D238" s="133">
        <v>10</v>
      </c>
      <c r="E238" s="133">
        <v>24</v>
      </c>
      <c r="F238" s="133">
        <v>0</v>
      </c>
      <c r="G238" s="133">
        <v>0</v>
      </c>
      <c r="H238" s="133">
        <v>0</v>
      </c>
      <c r="I238" s="133">
        <v>0</v>
      </c>
      <c r="J238" s="133">
        <v>0</v>
      </c>
      <c r="K238">
        <v>42134</v>
      </c>
      <c r="L238" s="133">
        <v>0</v>
      </c>
      <c r="M238" s="133" t="b">
        <f ca="1">IF(TODAY()-Table_Query_from_A_Readiness_19[[#This Row],[PER_DATE]]&gt;=0,TRUE, FALSE)</f>
        <v>0</v>
      </c>
    </row>
    <row r="239" spans="1:13">
      <c r="A239">
        <v>42139</v>
      </c>
      <c r="B239" t="s">
        <v>324</v>
      </c>
      <c r="C239" t="s">
        <v>158</v>
      </c>
      <c r="D239" s="133">
        <v>10</v>
      </c>
      <c r="E239" s="133">
        <v>24</v>
      </c>
      <c r="F239" s="133">
        <v>0</v>
      </c>
      <c r="G239" s="133">
        <v>0</v>
      </c>
      <c r="H239" s="133">
        <v>0</v>
      </c>
      <c r="I239" s="133">
        <v>0</v>
      </c>
      <c r="J239" s="133">
        <v>0</v>
      </c>
      <c r="K239">
        <v>42134</v>
      </c>
      <c r="L239" s="133">
        <v>0</v>
      </c>
      <c r="M239" s="133" t="b">
        <f ca="1">IF(TODAY()-Table_Query_from_A_Readiness_19[[#This Row],[PER_DATE]]&gt;=0,TRUE, FALSE)</f>
        <v>0</v>
      </c>
    </row>
    <row r="240" spans="1:13">
      <c r="A240">
        <v>42139</v>
      </c>
      <c r="B240" t="s">
        <v>325</v>
      </c>
      <c r="C240" t="s">
        <v>159</v>
      </c>
      <c r="D240" s="133">
        <v>10</v>
      </c>
      <c r="E240" s="133">
        <v>24</v>
      </c>
      <c r="F240" s="133">
        <v>0</v>
      </c>
      <c r="G240" s="133">
        <v>0</v>
      </c>
      <c r="H240" s="133">
        <v>0</v>
      </c>
      <c r="I240" s="133">
        <v>0</v>
      </c>
      <c r="J240" s="133">
        <v>0</v>
      </c>
      <c r="K240">
        <v>42134</v>
      </c>
      <c r="L240" s="133">
        <v>0</v>
      </c>
      <c r="M240" s="133" t="b">
        <f ca="1">IF(TODAY()-Table_Query_from_A_Readiness_19[[#This Row],[PER_DATE]]&gt;=0,TRUE, FALSE)</f>
        <v>0</v>
      </c>
    </row>
    <row r="241" spans="1:13">
      <c r="A241">
        <v>42139</v>
      </c>
      <c r="B241" t="s">
        <v>325</v>
      </c>
      <c r="C241" t="s">
        <v>160</v>
      </c>
      <c r="D241" s="133">
        <v>10</v>
      </c>
      <c r="E241" s="133">
        <v>24</v>
      </c>
      <c r="F241" s="133">
        <v>0</v>
      </c>
      <c r="G241" s="133">
        <v>0</v>
      </c>
      <c r="H241" s="133">
        <v>0</v>
      </c>
      <c r="I241" s="133">
        <v>0</v>
      </c>
      <c r="J241" s="133">
        <v>0</v>
      </c>
      <c r="K241">
        <v>42134</v>
      </c>
      <c r="L241" s="133">
        <v>0</v>
      </c>
      <c r="M241" s="133" t="b">
        <f ca="1">IF(TODAY()-Table_Query_from_A_Readiness_19[[#This Row],[PER_DATE]]&gt;=0,TRUE, FALSE)</f>
        <v>0</v>
      </c>
    </row>
    <row r="242" spans="1:13">
      <c r="A242">
        <v>42139</v>
      </c>
      <c r="B242" t="s">
        <v>332</v>
      </c>
      <c r="C242" t="s">
        <v>164</v>
      </c>
      <c r="D242" s="133">
        <v>11</v>
      </c>
      <c r="E242" s="133">
        <v>24</v>
      </c>
      <c r="F242" s="133">
        <v>0</v>
      </c>
      <c r="G242" s="133">
        <v>0</v>
      </c>
      <c r="H242" s="133">
        <v>0</v>
      </c>
      <c r="I242" s="133">
        <v>0</v>
      </c>
      <c r="J242" s="133">
        <v>0</v>
      </c>
      <c r="K242">
        <v>42135</v>
      </c>
      <c r="L242" s="133">
        <v>0</v>
      </c>
      <c r="M242" s="133" t="b">
        <f ca="1">IF(TODAY()-Table_Query_from_A_Readiness_19[[#This Row],[PER_DATE]]&gt;=0,TRUE, FALSE)</f>
        <v>0</v>
      </c>
    </row>
    <row r="243" spans="1:13">
      <c r="A243">
        <v>42139</v>
      </c>
      <c r="B243" t="s">
        <v>332</v>
      </c>
      <c r="C243" t="s">
        <v>161</v>
      </c>
      <c r="D243" s="133">
        <v>11</v>
      </c>
      <c r="E243" s="133">
        <v>0</v>
      </c>
      <c r="F243" s="133">
        <v>0</v>
      </c>
      <c r="G243" s="133">
        <v>0</v>
      </c>
      <c r="H243" s="133">
        <v>0</v>
      </c>
      <c r="I243" s="133">
        <v>0</v>
      </c>
      <c r="J243" s="133">
        <v>0</v>
      </c>
      <c r="K243">
        <v>42135</v>
      </c>
      <c r="L243" s="133">
        <v>24</v>
      </c>
      <c r="M243" s="133" t="b">
        <f ca="1">IF(TODAY()-Table_Query_from_A_Readiness_19[[#This Row],[PER_DATE]]&gt;=0,TRUE, FALSE)</f>
        <v>0</v>
      </c>
    </row>
    <row r="244" spans="1:13">
      <c r="A244">
        <v>42139</v>
      </c>
      <c r="B244" t="s">
        <v>332</v>
      </c>
      <c r="C244" t="s">
        <v>165</v>
      </c>
      <c r="D244" s="133">
        <v>11</v>
      </c>
      <c r="E244" s="133">
        <v>24</v>
      </c>
      <c r="F244" s="133">
        <v>0</v>
      </c>
      <c r="G244" s="133">
        <v>0</v>
      </c>
      <c r="H244" s="133">
        <v>0</v>
      </c>
      <c r="I244" s="133">
        <v>0</v>
      </c>
      <c r="J244" s="133">
        <v>0</v>
      </c>
      <c r="K244">
        <v>42135</v>
      </c>
      <c r="L244" s="133">
        <v>0</v>
      </c>
      <c r="M244" s="133" t="b">
        <f ca="1">IF(TODAY()-Table_Query_from_A_Readiness_19[[#This Row],[PER_DATE]]&gt;=0,TRUE, FALSE)</f>
        <v>0</v>
      </c>
    </row>
    <row r="245" spans="1:13">
      <c r="A245">
        <v>42139</v>
      </c>
      <c r="B245" t="s">
        <v>324</v>
      </c>
      <c r="C245" t="s">
        <v>148</v>
      </c>
      <c r="D245" s="133">
        <v>11</v>
      </c>
      <c r="E245" s="133">
        <v>0</v>
      </c>
      <c r="F245" s="133">
        <v>0</v>
      </c>
      <c r="G245" s="133">
        <v>0</v>
      </c>
      <c r="H245" s="133">
        <v>0</v>
      </c>
      <c r="I245" s="133">
        <v>0</v>
      </c>
      <c r="J245" s="133">
        <v>0</v>
      </c>
      <c r="K245">
        <v>42135</v>
      </c>
      <c r="L245" s="133">
        <v>24</v>
      </c>
      <c r="M245" s="133" t="b">
        <f ca="1">IF(TODAY()-Table_Query_from_A_Readiness_19[[#This Row],[PER_DATE]]&gt;=0,TRUE, FALSE)</f>
        <v>0</v>
      </c>
    </row>
    <row r="246" spans="1:13">
      <c r="A246">
        <v>42139</v>
      </c>
      <c r="B246" t="s">
        <v>332</v>
      </c>
      <c r="C246" t="s">
        <v>162</v>
      </c>
      <c r="D246" s="133">
        <v>11</v>
      </c>
      <c r="E246" s="133">
        <v>24</v>
      </c>
      <c r="F246" s="133">
        <v>0</v>
      </c>
      <c r="G246" s="133">
        <v>0</v>
      </c>
      <c r="H246" s="133">
        <v>0</v>
      </c>
      <c r="I246" s="133">
        <v>0</v>
      </c>
      <c r="J246" s="133">
        <v>0</v>
      </c>
      <c r="K246">
        <v>42135</v>
      </c>
      <c r="L246" s="133">
        <v>0</v>
      </c>
      <c r="M246" s="133" t="b">
        <f ca="1">IF(TODAY()-Table_Query_from_A_Readiness_19[[#This Row],[PER_DATE]]&gt;=0,TRUE, FALSE)</f>
        <v>0</v>
      </c>
    </row>
    <row r="247" spans="1:13">
      <c r="A247">
        <v>42139</v>
      </c>
      <c r="B247" t="s">
        <v>332</v>
      </c>
      <c r="C247" t="s">
        <v>163</v>
      </c>
      <c r="D247" s="133">
        <v>11</v>
      </c>
      <c r="E247" s="133">
        <v>24</v>
      </c>
      <c r="F247" s="133">
        <v>0</v>
      </c>
      <c r="G247" s="133">
        <v>0</v>
      </c>
      <c r="H247" s="133">
        <v>0</v>
      </c>
      <c r="I247" s="133">
        <v>0</v>
      </c>
      <c r="J247" s="133">
        <v>0</v>
      </c>
      <c r="K247">
        <v>42135</v>
      </c>
      <c r="L247" s="133">
        <v>0</v>
      </c>
      <c r="M247" s="133" t="b">
        <f ca="1">IF(TODAY()-Table_Query_from_A_Readiness_19[[#This Row],[PER_DATE]]&gt;=0,TRUE, FALSE)</f>
        <v>0</v>
      </c>
    </row>
    <row r="248" spans="1:13">
      <c r="A248">
        <v>42139</v>
      </c>
      <c r="B248" t="s">
        <v>325</v>
      </c>
      <c r="C248" t="s">
        <v>166</v>
      </c>
      <c r="D248" s="133">
        <v>11</v>
      </c>
      <c r="E248" s="133">
        <v>24</v>
      </c>
      <c r="F248" s="133">
        <v>0</v>
      </c>
      <c r="G248" s="133">
        <v>0</v>
      </c>
      <c r="H248" s="133">
        <v>0</v>
      </c>
      <c r="I248" s="133">
        <v>0</v>
      </c>
      <c r="J248" s="133">
        <v>0</v>
      </c>
      <c r="K248">
        <v>42135</v>
      </c>
      <c r="L248" s="133">
        <v>0</v>
      </c>
      <c r="M248" s="133" t="b">
        <f ca="1">IF(TODAY()-Table_Query_from_A_Readiness_19[[#This Row],[PER_DATE]]&gt;=0,TRUE, FALSE)</f>
        <v>0</v>
      </c>
    </row>
    <row r="249" spans="1:13">
      <c r="A249">
        <v>42139</v>
      </c>
      <c r="B249" t="s">
        <v>324</v>
      </c>
      <c r="C249" t="s">
        <v>149</v>
      </c>
      <c r="D249" s="133">
        <v>11</v>
      </c>
      <c r="E249" s="133">
        <v>0</v>
      </c>
      <c r="F249" s="133">
        <v>24</v>
      </c>
      <c r="G249" s="133">
        <v>0</v>
      </c>
      <c r="H249" s="133">
        <v>0</v>
      </c>
      <c r="I249" s="133">
        <v>0</v>
      </c>
      <c r="J249" s="133">
        <v>0</v>
      </c>
      <c r="K249">
        <v>42135</v>
      </c>
      <c r="L249" s="133">
        <v>0</v>
      </c>
      <c r="M249" s="133" t="b">
        <f ca="1">IF(TODAY()-Table_Query_from_A_Readiness_19[[#This Row],[PER_DATE]]&gt;=0,TRUE, FALSE)</f>
        <v>0</v>
      </c>
    </row>
    <row r="250" spans="1:13">
      <c r="A250">
        <v>42139</v>
      </c>
      <c r="B250" t="s">
        <v>332</v>
      </c>
      <c r="C250" t="s">
        <v>150</v>
      </c>
      <c r="D250" s="133">
        <v>11</v>
      </c>
      <c r="E250" s="133">
        <v>24</v>
      </c>
      <c r="F250" s="133">
        <v>0</v>
      </c>
      <c r="G250" s="133">
        <v>0</v>
      </c>
      <c r="H250" s="133">
        <v>0</v>
      </c>
      <c r="I250" s="133">
        <v>0</v>
      </c>
      <c r="J250" s="133">
        <v>0</v>
      </c>
      <c r="K250">
        <v>42135</v>
      </c>
      <c r="L250" s="133">
        <v>0</v>
      </c>
      <c r="M250" s="133" t="b">
        <f ca="1">IF(TODAY()-Table_Query_from_A_Readiness_19[[#This Row],[PER_DATE]]&gt;=0,TRUE, FALSE)</f>
        <v>0</v>
      </c>
    </row>
    <row r="251" spans="1:13">
      <c r="A251">
        <v>42139</v>
      </c>
      <c r="B251" t="s">
        <v>324</v>
      </c>
      <c r="C251" t="s">
        <v>151</v>
      </c>
      <c r="D251" s="133">
        <v>11</v>
      </c>
      <c r="E251" s="133">
        <v>0</v>
      </c>
      <c r="F251" s="133">
        <v>0</v>
      </c>
      <c r="G251" s="133">
        <v>0</v>
      </c>
      <c r="H251" s="133">
        <v>24</v>
      </c>
      <c r="I251" s="133">
        <v>0</v>
      </c>
      <c r="J251" s="133">
        <v>0</v>
      </c>
      <c r="K251">
        <v>42135</v>
      </c>
      <c r="L251" s="133">
        <v>0</v>
      </c>
      <c r="M251" s="133" t="b">
        <f ca="1">IF(TODAY()-Table_Query_from_A_Readiness_19[[#This Row],[PER_DATE]]&gt;=0,TRUE, FALSE)</f>
        <v>0</v>
      </c>
    </row>
    <row r="252" spans="1:13">
      <c r="A252">
        <v>42139</v>
      </c>
      <c r="B252" t="s">
        <v>325</v>
      </c>
      <c r="C252" t="s">
        <v>152</v>
      </c>
      <c r="D252" s="133">
        <v>11</v>
      </c>
      <c r="E252" s="133">
        <v>24</v>
      </c>
      <c r="F252" s="133">
        <v>0</v>
      </c>
      <c r="G252" s="133">
        <v>0</v>
      </c>
      <c r="H252" s="133">
        <v>0</v>
      </c>
      <c r="I252" s="133">
        <v>0</v>
      </c>
      <c r="J252" s="133">
        <v>0</v>
      </c>
      <c r="K252">
        <v>42135</v>
      </c>
      <c r="L252" s="133">
        <v>0</v>
      </c>
      <c r="M252" s="133" t="b">
        <f ca="1">IF(TODAY()-Table_Query_from_A_Readiness_19[[#This Row],[PER_DATE]]&gt;=0,TRUE, FALSE)</f>
        <v>0</v>
      </c>
    </row>
    <row r="253" spans="1:13">
      <c r="A253">
        <v>42139</v>
      </c>
      <c r="B253" t="s">
        <v>332</v>
      </c>
      <c r="C253" t="s">
        <v>145</v>
      </c>
      <c r="D253" s="133">
        <v>11</v>
      </c>
      <c r="E253" s="133">
        <v>24</v>
      </c>
      <c r="F253" s="133">
        <v>0</v>
      </c>
      <c r="G253" s="133">
        <v>0</v>
      </c>
      <c r="H253" s="133">
        <v>0</v>
      </c>
      <c r="I253" s="133">
        <v>0</v>
      </c>
      <c r="J253" s="133">
        <v>0</v>
      </c>
      <c r="K253">
        <v>42135</v>
      </c>
      <c r="L253" s="133">
        <v>0</v>
      </c>
      <c r="M253" s="133" t="b">
        <f ca="1">IF(TODAY()-Table_Query_from_A_Readiness_19[[#This Row],[PER_DATE]]&gt;=0,TRUE, FALSE)</f>
        <v>0</v>
      </c>
    </row>
    <row r="254" spans="1:13">
      <c r="A254">
        <v>42139</v>
      </c>
      <c r="B254" t="s">
        <v>325</v>
      </c>
      <c r="C254" t="s">
        <v>167</v>
      </c>
      <c r="D254" s="133">
        <v>11</v>
      </c>
      <c r="E254" s="133">
        <v>24</v>
      </c>
      <c r="F254" s="133">
        <v>0</v>
      </c>
      <c r="G254" s="133">
        <v>0</v>
      </c>
      <c r="H254" s="133">
        <v>0</v>
      </c>
      <c r="I254" s="133">
        <v>0</v>
      </c>
      <c r="J254" s="133">
        <v>0</v>
      </c>
      <c r="K254">
        <v>42135</v>
      </c>
      <c r="L254" s="133">
        <v>0</v>
      </c>
      <c r="M254" s="133" t="b">
        <f ca="1">IF(TODAY()-Table_Query_from_A_Readiness_19[[#This Row],[PER_DATE]]&gt;=0,TRUE, FALSE)</f>
        <v>0</v>
      </c>
    </row>
    <row r="255" spans="1:13">
      <c r="A255">
        <v>42139</v>
      </c>
      <c r="B255" t="s">
        <v>324</v>
      </c>
      <c r="C255" t="s">
        <v>153</v>
      </c>
      <c r="D255" s="133">
        <v>11</v>
      </c>
      <c r="E255" s="133">
        <v>0</v>
      </c>
      <c r="F255" s="133">
        <v>0</v>
      </c>
      <c r="G255" s="133">
        <v>0</v>
      </c>
      <c r="H255" s="133">
        <v>24</v>
      </c>
      <c r="I255" s="133">
        <v>0</v>
      </c>
      <c r="J255" s="133">
        <v>0</v>
      </c>
      <c r="K255">
        <v>42135</v>
      </c>
      <c r="L255" s="133">
        <v>0</v>
      </c>
      <c r="M255" s="133" t="b">
        <f ca="1">IF(TODAY()-Table_Query_from_A_Readiness_19[[#This Row],[PER_DATE]]&gt;=0,TRUE, FALSE)</f>
        <v>0</v>
      </c>
    </row>
    <row r="256" spans="1:13">
      <c r="A256">
        <v>42139</v>
      </c>
      <c r="B256" t="s">
        <v>325</v>
      </c>
      <c r="C256" t="s">
        <v>154</v>
      </c>
      <c r="D256" s="133">
        <v>11</v>
      </c>
      <c r="E256" s="133">
        <v>24</v>
      </c>
      <c r="F256" s="133">
        <v>0</v>
      </c>
      <c r="G256" s="133">
        <v>0</v>
      </c>
      <c r="H256" s="133">
        <v>0</v>
      </c>
      <c r="I256" s="133">
        <v>0</v>
      </c>
      <c r="J256" s="133">
        <v>0</v>
      </c>
      <c r="K256">
        <v>42135</v>
      </c>
      <c r="L256" s="133">
        <v>0</v>
      </c>
      <c r="M256" s="133" t="b">
        <f ca="1">IF(TODAY()-Table_Query_from_A_Readiness_19[[#This Row],[PER_DATE]]&gt;=0,TRUE, FALSE)</f>
        <v>0</v>
      </c>
    </row>
    <row r="257" spans="1:13">
      <c r="A257">
        <v>42139</v>
      </c>
      <c r="B257" t="s">
        <v>325</v>
      </c>
      <c r="C257" t="s">
        <v>168</v>
      </c>
      <c r="D257" s="133">
        <v>11</v>
      </c>
      <c r="E257" s="133">
        <v>24</v>
      </c>
      <c r="F257" s="133">
        <v>0</v>
      </c>
      <c r="G257" s="133">
        <v>0</v>
      </c>
      <c r="H257" s="133">
        <v>0</v>
      </c>
      <c r="I257" s="133">
        <v>0</v>
      </c>
      <c r="J257" s="133">
        <v>0</v>
      </c>
      <c r="K257">
        <v>42135</v>
      </c>
      <c r="L257" s="133">
        <v>0</v>
      </c>
      <c r="M257" s="133" t="b">
        <f ca="1">IF(TODAY()-Table_Query_from_A_Readiness_19[[#This Row],[PER_DATE]]&gt;=0,TRUE, FALSE)</f>
        <v>0</v>
      </c>
    </row>
    <row r="258" spans="1:13">
      <c r="A258">
        <v>42139</v>
      </c>
      <c r="B258" t="s">
        <v>324</v>
      </c>
      <c r="C258" t="s">
        <v>155</v>
      </c>
      <c r="D258" s="133">
        <v>11</v>
      </c>
      <c r="E258" s="133">
        <v>0</v>
      </c>
      <c r="F258" s="133">
        <v>0</v>
      </c>
      <c r="G258" s="133">
        <v>0</v>
      </c>
      <c r="H258" s="133">
        <v>0</v>
      </c>
      <c r="I258" s="133">
        <v>24</v>
      </c>
      <c r="J258" s="133">
        <v>0</v>
      </c>
      <c r="K258">
        <v>42135</v>
      </c>
      <c r="L258" s="133">
        <v>0</v>
      </c>
      <c r="M258" s="133" t="b">
        <f ca="1">IF(TODAY()-Table_Query_from_A_Readiness_19[[#This Row],[PER_DATE]]&gt;=0,TRUE, FALSE)</f>
        <v>0</v>
      </c>
    </row>
    <row r="259" spans="1:13">
      <c r="A259">
        <v>42139</v>
      </c>
      <c r="B259" t="s">
        <v>324</v>
      </c>
      <c r="C259" t="s">
        <v>156</v>
      </c>
      <c r="D259" s="133">
        <v>11</v>
      </c>
      <c r="E259" s="133">
        <v>0</v>
      </c>
      <c r="F259" s="133">
        <v>24</v>
      </c>
      <c r="G259" s="133">
        <v>0</v>
      </c>
      <c r="H259" s="133">
        <v>0</v>
      </c>
      <c r="I259" s="133">
        <v>0</v>
      </c>
      <c r="J259" s="133">
        <v>0</v>
      </c>
      <c r="K259">
        <v>42135</v>
      </c>
      <c r="L259" s="133">
        <v>0</v>
      </c>
      <c r="M259" s="133" t="b">
        <f ca="1">IF(TODAY()-Table_Query_from_A_Readiness_19[[#This Row],[PER_DATE]]&gt;=0,TRUE, FALSE)</f>
        <v>0</v>
      </c>
    </row>
    <row r="260" spans="1:13">
      <c r="A260">
        <v>42139</v>
      </c>
      <c r="B260" t="s">
        <v>325</v>
      </c>
      <c r="C260" t="s">
        <v>157</v>
      </c>
      <c r="D260" s="133">
        <v>11</v>
      </c>
      <c r="E260" s="133">
        <v>24</v>
      </c>
      <c r="F260" s="133">
        <v>0</v>
      </c>
      <c r="G260" s="133">
        <v>0</v>
      </c>
      <c r="H260" s="133">
        <v>0</v>
      </c>
      <c r="I260" s="133">
        <v>0</v>
      </c>
      <c r="J260" s="133">
        <v>0</v>
      </c>
      <c r="K260">
        <v>42135</v>
      </c>
      <c r="L260" s="133">
        <v>0</v>
      </c>
      <c r="M260" s="133" t="b">
        <f ca="1">IF(TODAY()-Table_Query_from_A_Readiness_19[[#This Row],[PER_DATE]]&gt;=0,TRUE, FALSE)</f>
        <v>0</v>
      </c>
    </row>
    <row r="261" spans="1:13">
      <c r="A261">
        <v>42139</v>
      </c>
      <c r="B261" t="s">
        <v>324</v>
      </c>
      <c r="C261" t="s">
        <v>169</v>
      </c>
      <c r="D261" s="133">
        <v>11</v>
      </c>
      <c r="E261" s="133">
        <v>0</v>
      </c>
      <c r="F261" s="133">
        <v>0</v>
      </c>
      <c r="G261" s="133">
        <v>0</v>
      </c>
      <c r="H261" s="133">
        <v>0</v>
      </c>
      <c r="I261" s="133">
        <v>24</v>
      </c>
      <c r="J261" s="133">
        <v>0</v>
      </c>
      <c r="K261">
        <v>42135</v>
      </c>
      <c r="L261" s="133">
        <v>0</v>
      </c>
      <c r="M261" s="133" t="b">
        <f ca="1">IF(TODAY()-Table_Query_from_A_Readiness_19[[#This Row],[PER_DATE]]&gt;=0,TRUE, FALSE)</f>
        <v>0</v>
      </c>
    </row>
    <row r="262" spans="1:13">
      <c r="A262">
        <v>42139</v>
      </c>
      <c r="B262" t="s">
        <v>332</v>
      </c>
      <c r="C262" t="s">
        <v>170</v>
      </c>
      <c r="D262" s="133">
        <v>11</v>
      </c>
      <c r="E262" s="133">
        <v>24</v>
      </c>
      <c r="F262" s="133">
        <v>0</v>
      </c>
      <c r="G262" s="133">
        <v>0</v>
      </c>
      <c r="H262" s="133">
        <v>0</v>
      </c>
      <c r="I262" s="133">
        <v>0</v>
      </c>
      <c r="J262" s="133">
        <v>0</v>
      </c>
      <c r="K262">
        <v>42135</v>
      </c>
      <c r="L262" s="133">
        <v>0</v>
      </c>
      <c r="M262" s="133" t="b">
        <f ca="1">IF(TODAY()-Table_Query_from_A_Readiness_19[[#This Row],[PER_DATE]]&gt;=0,TRUE, FALSE)</f>
        <v>0</v>
      </c>
    </row>
    <row r="263" spans="1:13">
      <c r="A263">
        <v>42139</v>
      </c>
      <c r="B263" t="s">
        <v>324</v>
      </c>
      <c r="C263" t="s">
        <v>158</v>
      </c>
      <c r="D263" s="133">
        <v>11</v>
      </c>
      <c r="E263" s="133">
        <v>24</v>
      </c>
      <c r="F263" s="133">
        <v>0</v>
      </c>
      <c r="G263" s="133">
        <v>0</v>
      </c>
      <c r="H263" s="133">
        <v>0</v>
      </c>
      <c r="I263" s="133">
        <v>0</v>
      </c>
      <c r="J263" s="133">
        <v>0</v>
      </c>
      <c r="K263">
        <v>42135</v>
      </c>
      <c r="L263" s="133">
        <v>0</v>
      </c>
      <c r="M263" s="133" t="b">
        <f ca="1">IF(TODAY()-Table_Query_from_A_Readiness_19[[#This Row],[PER_DATE]]&gt;=0,TRUE, FALSE)</f>
        <v>0</v>
      </c>
    </row>
    <row r="264" spans="1:13">
      <c r="A264">
        <v>42139</v>
      </c>
      <c r="B264" t="s">
        <v>325</v>
      </c>
      <c r="C264" t="s">
        <v>159</v>
      </c>
      <c r="D264" s="133">
        <v>11</v>
      </c>
      <c r="E264" s="133">
        <v>24</v>
      </c>
      <c r="F264" s="133">
        <v>0</v>
      </c>
      <c r="G264" s="133">
        <v>0</v>
      </c>
      <c r="H264" s="133">
        <v>0</v>
      </c>
      <c r="I264" s="133">
        <v>0</v>
      </c>
      <c r="J264" s="133">
        <v>0</v>
      </c>
      <c r="K264">
        <v>42135</v>
      </c>
      <c r="L264" s="133">
        <v>0</v>
      </c>
      <c r="M264" s="133" t="b">
        <f ca="1">IF(TODAY()-Table_Query_from_A_Readiness_19[[#This Row],[PER_DATE]]&gt;=0,TRUE, FALSE)</f>
        <v>0</v>
      </c>
    </row>
    <row r="265" spans="1:13">
      <c r="A265">
        <v>42139</v>
      </c>
      <c r="B265" t="s">
        <v>325</v>
      </c>
      <c r="C265" t="s">
        <v>160</v>
      </c>
      <c r="D265" s="133">
        <v>11</v>
      </c>
      <c r="E265" s="133">
        <v>24</v>
      </c>
      <c r="F265" s="133">
        <v>0</v>
      </c>
      <c r="G265" s="133">
        <v>0</v>
      </c>
      <c r="H265" s="133">
        <v>0</v>
      </c>
      <c r="I265" s="133">
        <v>0</v>
      </c>
      <c r="J265" s="133">
        <v>0</v>
      </c>
      <c r="K265">
        <v>42135</v>
      </c>
      <c r="L265" s="133">
        <v>0</v>
      </c>
      <c r="M265" s="133" t="b">
        <f ca="1">IF(TODAY()-Table_Query_from_A_Readiness_19[[#This Row],[PER_DATE]]&gt;=0,TRUE, FALSE)</f>
        <v>0</v>
      </c>
    </row>
    <row r="266" spans="1:13">
      <c r="A266">
        <v>42139</v>
      </c>
      <c r="B266" t="s">
        <v>332</v>
      </c>
      <c r="C266" t="s">
        <v>164</v>
      </c>
      <c r="D266" s="133">
        <v>12</v>
      </c>
      <c r="E266" s="133">
        <v>24</v>
      </c>
      <c r="F266" s="133">
        <v>0</v>
      </c>
      <c r="G266" s="133">
        <v>0</v>
      </c>
      <c r="H266" s="133">
        <v>0</v>
      </c>
      <c r="I266" s="133">
        <v>0</v>
      </c>
      <c r="J266" s="133">
        <v>0</v>
      </c>
      <c r="K266">
        <v>42136</v>
      </c>
      <c r="L266" s="133">
        <v>0</v>
      </c>
      <c r="M266" s="133" t="b">
        <f ca="1">IF(TODAY()-Table_Query_from_A_Readiness_19[[#This Row],[PER_DATE]]&gt;=0,TRUE, FALSE)</f>
        <v>0</v>
      </c>
    </row>
    <row r="267" spans="1:13">
      <c r="A267">
        <v>42139</v>
      </c>
      <c r="B267" t="s">
        <v>332</v>
      </c>
      <c r="C267" t="s">
        <v>161</v>
      </c>
      <c r="D267" s="133">
        <v>12</v>
      </c>
      <c r="E267" s="133">
        <v>0</v>
      </c>
      <c r="F267" s="133">
        <v>0</v>
      </c>
      <c r="G267" s="133">
        <v>0</v>
      </c>
      <c r="H267" s="133">
        <v>0</v>
      </c>
      <c r="I267" s="133">
        <v>0</v>
      </c>
      <c r="J267" s="133">
        <v>0</v>
      </c>
      <c r="K267">
        <v>42136</v>
      </c>
      <c r="L267" s="133">
        <v>24</v>
      </c>
      <c r="M267" s="133" t="b">
        <f ca="1">IF(TODAY()-Table_Query_from_A_Readiness_19[[#This Row],[PER_DATE]]&gt;=0,TRUE, FALSE)</f>
        <v>0</v>
      </c>
    </row>
    <row r="268" spans="1:13">
      <c r="A268">
        <v>42139</v>
      </c>
      <c r="B268" t="s">
        <v>332</v>
      </c>
      <c r="C268" t="s">
        <v>165</v>
      </c>
      <c r="D268" s="133">
        <v>12</v>
      </c>
      <c r="E268" s="133">
        <v>24</v>
      </c>
      <c r="F268" s="133">
        <v>0</v>
      </c>
      <c r="G268" s="133">
        <v>0</v>
      </c>
      <c r="H268" s="133">
        <v>0</v>
      </c>
      <c r="I268" s="133">
        <v>0</v>
      </c>
      <c r="J268" s="133">
        <v>0</v>
      </c>
      <c r="K268">
        <v>42136</v>
      </c>
      <c r="L268" s="133">
        <v>0</v>
      </c>
      <c r="M268" s="133" t="b">
        <f ca="1">IF(TODAY()-Table_Query_from_A_Readiness_19[[#This Row],[PER_DATE]]&gt;=0,TRUE, FALSE)</f>
        <v>0</v>
      </c>
    </row>
    <row r="269" spans="1:13">
      <c r="A269">
        <v>42139</v>
      </c>
      <c r="B269" t="s">
        <v>324</v>
      </c>
      <c r="C269" t="s">
        <v>148</v>
      </c>
      <c r="D269" s="133">
        <v>12</v>
      </c>
      <c r="E269" s="133">
        <v>0</v>
      </c>
      <c r="F269" s="133">
        <v>0</v>
      </c>
      <c r="G269" s="133">
        <v>0</v>
      </c>
      <c r="H269" s="133">
        <v>0</v>
      </c>
      <c r="I269" s="133">
        <v>0</v>
      </c>
      <c r="J269" s="133">
        <v>0</v>
      </c>
      <c r="K269">
        <v>42136</v>
      </c>
      <c r="L269" s="133">
        <v>24</v>
      </c>
      <c r="M269" s="133" t="b">
        <f ca="1">IF(TODAY()-Table_Query_from_A_Readiness_19[[#This Row],[PER_DATE]]&gt;=0,TRUE, FALSE)</f>
        <v>0</v>
      </c>
    </row>
    <row r="270" spans="1:13">
      <c r="A270">
        <v>42139</v>
      </c>
      <c r="B270" t="s">
        <v>332</v>
      </c>
      <c r="C270" t="s">
        <v>162</v>
      </c>
      <c r="D270" s="133">
        <v>12</v>
      </c>
      <c r="E270" s="133">
        <v>24</v>
      </c>
      <c r="F270" s="133">
        <v>0</v>
      </c>
      <c r="G270" s="133">
        <v>0</v>
      </c>
      <c r="H270" s="133">
        <v>0</v>
      </c>
      <c r="I270" s="133">
        <v>0</v>
      </c>
      <c r="J270" s="133">
        <v>0</v>
      </c>
      <c r="K270">
        <v>42136</v>
      </c>
      <c r="L270" s="133">
        <v>0</v>
      </c>
      <c r="M270" s="133" t="b">
        <f ca="1">IF(TODAY()-Table_Query_from_A_Readiness_19[[#This Row],[PER_DATE]]&gt;=0,TRUE, FALSE)</f>
        <v>0</v>
      </c>
    </row>
    <row r="271" spans="1:13">
      <c r="A271">
        <v>42139</v>
      </c>
      <c r="B271" t="s">
        <v>332</v>
      </c>
      <c r="C271" t="s">
        <v>163</v>
      </c>
      <c r="D271" s="133">
        <v>12</v>
      </c>
      <c r="E271" s="133">
        <v>24</v>
      </c>
      <c r="F271" s="133">
        <v>0</v>
      </c>
      <c r="G271" s="133">
        <v>0</v>
      </c>
      <c r="H271" s="133">
        <v>0</v>
      </c>
      <c r="I271" s="133">
        <v>0</v>
      </c>
      <c r="J271" s="133">
        <v>0</v>
      </c>
      <c r="K271">
        <v>42136</v>
      </c>
      <c r="L271" s="133">
        <v>0</v>
      </c>
      <c r="M271" s="133" t="b">
        <f ca="1">IF(TODAY()-Table_Query_from_A_Readiness_19[[#This Row],[PER_DATE]]&gt;=0,TRUE, FALSE)</f>
        <v>0</v>
      </c>
    </row>
    <row r="272" spans="1:13">
      <c r="A272">
        <v>42139</v>
      </c>
      <c r="B272" t="s">
        <v>325</v>
      </c>
      <c r="C272" t="s">
        <v>166</v>
      </c>
      <c r="D272" s="133">
        <v>12</v>
      </c>
      <c r="E272" s="133">
        <v>24</v>
      </c>
      <c r="F272" s="133">
        <v>0</v>
      </c>
      <c r="G272" s="133">
        <v>0</v>
      </c>
      <c r="H272" s="133">
        <v>0</v>
      </c>
      <c r="I272" s="133">
        <v>0</v>
      </c>
      <c r="J272" s="133">
        <v>0</v>
      </c>
      <c r="K272">
        <v>42136</v>
      </c>
      <c r="L272" s="133">
        <v>0</v>
      </c>
      <c r="M272" s="133" t="b">
        <f ca="1">IF(TODAY()-Table_Query_from_A_Readiness_19[[#This Row],[PER_DATE]]&gt;=0,TRUE, FALSE)</f>
        <v>0</v>
      </c>
    </row>
    <row r="273" spans="1:13">
      <c r="A273">
        <v>42139</v>
      </c>
      <c r="B273" t="s">
        <v>324</v>
      </c>
      <c r="C273" t="s">
        <v>149</v>
      </c>
      <c r="D273" s="133">
        <v>12</v>
      </c>
      <c r="E273" s="133">
        <v>0</v>
      </c>
      <c r="F273" s="133">
        <v>24</v>
      </c>
      <c r="G273" s="133">
        <v>0</v>
      </c>
      <c r="H273" s="133">
        <v>0</v>
      </c>
      <c r="I273" s="133">
        <v>0</v>
      </c>
      <c r="J273" s="133">
        <v>0</v>
      </c>
      <c r="K273">
        <v>42136</v>
      </c>
      <c r="L273" s="133">
        <v>0</v>
      </c>
      <c r="M273" s="133" t="b">
        <f ca="1">IF(TODAY()-Table_Query_from_A_Readiness_19[[#This Row],[PER_DATE]]&gt;=0,TRUE, FALSE)</f>
        <v>0</v>
      </c>
    </row>
    <row r="274" spans="1:13">
      <c r="A274">
        <v>42139</v>
      </c>
      <c r="B274" t="s">
        <v>332</v>
      </c>
      <c r="C274" t="s">
        <v>150</v>
      </c>
      <c r="D274" s="133">
        <v>12</v>
      </c>
      <c r="E274" s="133">
        <v>24</v>
      </c>
      <c r="F274" s="133">
        <v>0</v>
      </c>
      <c r="G274" s="133">
        <v>0</v>
      </c>
      <c r="H274" s="133">
        <v>0</v>
      </c>
      <c r="I274" s="133">
        <v>0</v>
      </c>
      <c r="J274" s="133">
        <v>0</v>
      </c>
      <c r="K274">
        <v>42136</v>
      </c>
      <c r="L274" s="133">
        <v>0</v>
      </c>
      <c r="M274" s="133" t="b">
        <f ca="1">IF(TODAY()-Table_Query_from_A_Readiness_19[[#This Row],[PER_DATE]]&gt;=0,TRUE, FALSE)</f>
        <v>0</v>
      </c>
    </row>
    <row r="275" spans="1:13">
      <c r="A275">
        <v>42139</v>
      </c>
      <c r="B275" t="s">
        <v>324</v>
      </c>
      <c r="C275" t="s">
        <v>151</v>
      </c>
      <c r="D275" s="133">
        <v>12</v>
      </c>
      <c r="E275" s="133">
        <v>0</v>
      </c>
      <c r="F275" s="133">
        <v>0</v>
      </c>
      <c r="G275" s="133">
        <v>0</v>
      </c>
      <c r="H275" s="133">
        <v>24</v>
      </c>
      <c r="I275" s="133">
        <v>0</v>
      </c>
      <c r="J275" s="133">
        <v>0</v>
      </c>
      <c r="K275">
        <v>42136</v>
      </c>
      <c r="L275" s="133">
        <v>0</v>
      </c>
      <c r="M275" s="133" t="b">
        <f ca="1">IF(TODAY()-Table_Query_from_A_Readiness_19[[#This Row],[PER_DATE]]&gt;=0,TRUE, FALSE)</f>
        <v>0</v>
      </c>
    </row>
    <row r="276" spans="1:13">
      <c r="A276">
        <v>42139</v>
      </c>
      <c r="B276" t="s">
        <v>325</v>
      </c>
      <c r="C276" t="s">
        <v>152</v>
      </c>
      <c r="D276" s="133">
        <v>12</v>
      </c>
      <c r="E276" s="133">
        <v>24</v>
      </c>
      <c r="F276" s="133">
        <v>0</v>
      </c>
      <c r="G276" s="133">
        <v>0</v>
      </c>
      <c r="H276" s="133">
        <v>0</v>
      </c>
      <c r="I276" s="133">
        <v>0</v>
      </c>
      <c r="J276" s="133">
        <v>0</v>
      </c>
      <c r="K276">
        <v>42136</v>
      </c>
      <c r="L276" s="133">
        <v>0</v>
      </c>
      <c r="M276" s="133" t="b">
        <f ca="1">IF(TODAY()-Table_Query_from_A_Readiness_19[[#This Row],[PER_DATE]]&gt;=0,TRUE, FALSE)</f>
        <v>0</v>
      </c>
    </row>
    <row r="277" spans="1:13">
      <c r="A277">
        <v>42139</v>
      </c>
      <c r="B277" t="s">
        <v>332</v>
      </c>
      <c r="C277" t="s">
        <v>145</v>
      </c>
      <c r="D277" s="133">
        <v>12</v>
      </c>
      <c r="E277" s="133">
        <v>24</v>
      </c>
      <c r="F277" s="133">
        <v>0</v>
      </c>
      <c r="G277" s="133">
        <v>0</v>
      </c>
      <c r="H277" s="133">
        <v>0</v>
      </c>
      <c r="I277" s="133">
        <v>0</v>
      </c>
      <c r="J277" s="133">
        <v>0</v>
      </c>
      <c r="K277">
        <v>42136</v>
      </c>
      <c r="L277" s="133">
        <v>0</v>
      </c>
      <c r="M277" s="133" t="b">
        <f ca="1">IF(TODAY()-Table_Query_from_A_Readiness_19[[#This Row],[PER_DATE]]&gt;=0,TRUE, FALSE)</f>
        <v>0</v>
      </c>
    </row>
    <row r="278" spans="1:13">
      <c r="A278">
        <v>42139</v>
      </c>
      <c r="B278" t="s">
        <v>325</v>
      </c>
      <c r="C278" t="s">
        <v>167</v>
      </c>
      <c r="D278" s="133">
        <v>12</v>
      </c>
      <c r="E278" s="133">
        <v>24</v>
      </c>
      <c r="F278" s="133">
        <v>0</v>
      </c>
      <c r="G278" s="133">
        <v>0</v>
      </c>
      <c r="H278" s="133">
        <v>0</v>
      </c>
      <c r="I278" s="133">
        <v>0</v>
      </c>
      <c r="J278" s="133">
        <v>0</v>
      </c>
      <c r="K278">
        <v>42136</v>
      </c>
      <c r="L278" s="133">
        <v>0</v>
      </c>
      <c r="M278" s="133" t="b">
        <f ca="1">IF(TODAY()-Table_Query_from_A_Readiness_19[[#This Row],[PER_DATE]]&gt;=0,TRUE, FALSE)</f>
        <v>0</v>
      </c>
    </row>
    <row r="279" spans="1:13">
      <c r="A279">
        <v>42139</v>
      </c>
      <c r="B279" t="s">
        <v>324</v>
      </c>
      <c r="C279" t="s">
        <v>153</v>
      </c>
      <c r="D279" s="133">
        <v>12</v>
      </c>
      <c r="E279" s="133">
        <v>0</v>
      </c>
      <c r="F279" s="133">
        <v>0</v>
      </c>
      <c r="G279" s="133">
        <v>0</v>
      </c>
      <c r="H279" s="133">
        <v>24</v>
      </c>
      <c r="I279" s="133">
        <v>0</v>
      </c>
      <c r="J279" s="133">
        <v>0</v>
      </c>
      <c r="K279">
        <v>42136</v>
      </c>
      <c r="L279" s="133">
        <v>0</v>
      </c>
      <c r="M279" s="133" t="b">
        <f ca="1">IF(TODAY()-Table_Query_from_A_Readiness_19[[#This Row],[PER_DATE]]&gt;=0,TRUE, FALSE)</f>
        <v>0</v>
      </c>
    </row>
    <row r="280" spans="1:13">
      <c r="A280">
        <v>42139</v>
      </c>
      <c r="B280" t="s">
        <v>325</v>
      </c>
      <c r="C280" t="s">
        <v>154</v>
      </c>
      <c r="D280" s="133">
        <v>12</v>
      </c>
      <c r="E280" s="133">
        <v>24</v>
      </c>
      <c r="F280" s="133">
        <v>0</v>
      </c>
      <c r="G280" s="133">
        <v>0</v>
      </c>
      <c r="H280" s="133">
        <v>0</v>
      </c>
      <c r="I280" s="133">
        <v>0</v>
      </c>
      <c r="J280" s="133">
        <v>0</v>
      </c>
      <c r="K280">
        <v>42136</v>
      </c>
      <c r="L280" s="133">
        <v>0</v>
      </c>
      <c r="M280" s="133" t="b">
        <f ca="1">IF(TODAY()-Table_Query_from_A_Readiness_19[[#This Row],[PER_DATE]]&gt;=0,TRUE, FALSE)</f>
        <v>0</v>
      </c>
    </row>
    <row r="281" spans="1:13">
      <c r="A281">
        <v>42139</v>
      </c>
      <c r="B281" t="s">
        <v>325</v>
      </c>
      <c r="C281" t="s">
        <v>168</v>
      </c>
      <c r="D281" s="133">
        <v>12</v>
      </c>
      <c r="E281" s="133">
        <v>24</v>
      </c>
      <c r="F281" s="133">
        <v>0</v>
      </c>
      <c r="G281" s="133">
        <v>0</v>
      </c>
      <c r="H281" s="133">
        <v>0</v>
      </c>
      <c r="I281" s="133">
        <v>0</v>
      </c>
      <c r="J281" s="133">
        <v>0</v>
      </c>
      <c r="K281">
        <v>42136</v>
      </c>
      <c r="L281" s="133">
        <v>0</v>
      </c>
      <c r="M281" s="133" t="b">
        <f ca="1">IF(TODAY()-Table_Query_from_A_Readiness_19[[#This Row],[PER_DATE]]&gt;=0,TRUE, FALSE)</f>
        <v>0</v>
      </c>
    </row>
    <row r="282" spans="1:13">
      <c r="A282">
        <v>42139</v>
      </c>
      <c r="B282" t="s">
        <v>324</v>
      </c>
      <c r="C282" t="s">
        <v>155</v>
      </c>
      <c r="D282" s="133">
        <v>12</v>
      </c>
      <c r="E282" s="133">
        <v>0</v>
      </c>
      <c r="F282" s="133">
        <v>0</v>
      </c>
      <c r="G282" s="133">
        <v>0</v>
      </c>
      <c r="H282" s="133">
        <v>0</v>
      </c>
      <c r="I282" s="133">
        <v>24</v>
      </c>
      <c r="J282" s="133">
        <v>0</v>
      </c>
      <c r="K282">
        <v>42136</v>
      </c>
      <c r="L282" s="133">
        <v>0</v>
      </c>
      <c r="M282" s="133" t="b">
        <f ca="1">IF(TODAY()-Table_Query_from_A_Readiness_19[[#This Row],[PER_DATE]]&gt;=0,TRUE, FALSE)</f>
        <v>0</v>
      </c>
    </row>
    <row r="283" spans="1:13">
      <c r="A283">
        <v>42139</v>
      </c>
      <c r="B283" t="s">
        <v>324</v>
      </c>
      <c r="C283" t="s">
        <v>156</v>
      </c>
      <c r="D283" s="133">
        <v>12</v>
      </c>
      <c r="E283" s="133">
        <v>0</v>
      </c>
      <c r="F283" s="133">
        <v>24</v>
      </c>
      <c r="G283" s="133">
        <v>0</v>
      </c>
      <c r="H283" s="133">
        <v>0</v>
      </c>
      <c r="I283" s="133">
        <v>0</v>
      </c>
      <c r="J283" s="133">
        <v>0</v>
      </c>
      <c r="K283">
        <v>42136</v>
      </c>
      <c r="L283" s="133">
        <v>0</v>
      </c>
      <c r="M283" s="133" t="b">
        <f ca="1">IF(TODAY()-Table_Query_from_A_Readiness_19[[#This Row],[PER_DATE]]&gt;=0,TRUE, FALSE)</f>
        <v>0</v>
      </c>
    </row>
    <row r="284" spans="1:13">
      <c r="A284">
        <v>42139</v>
      </c>
      <c r="B284" t="s">
        <v>325</v>
      </c>
      <c r="C284" t="s">
        <v>157</v>
      </c>
      <c r="D284" s="133">
        <v>12</v>
      </c>
      <c r="E284" s="133">
        <v>24</v>
      </c>
      <c r="F284" s="133">
        <v>0</v>
      </c>
      <c r="G284" s="133">
        <v>0</v>
      </c>
      <c r="H284" s="133">
        <v>0</v>
      </c>
      <c r="I284" s="133">
        <v>0</v>
      </c>
      <c r="J284" s="133">
        <v>0</v>
      </c>
      <c r="K284">
        <v>42136</v>
      </c>
      <c r="L284" s="133">
        <v>0</v>
      </c>
      <c r="M284" s="133" t="b">
        <f ca="1">IF(TODAY()-Table_Query_from_A_Readiness_19[[#This Row],[PER_DATE]]&gt;=0,TRUE, FALSE)</f>
        <v>0</v>
      </c>
    </row>
    <row r="285" spans="1:13">
      <c r="A285">
        <v>42139</v>
      </c>
      <c r="B285" t="s">
        <v>324</v>
      </c>
      <c r="C285" t="s">
        <v>169</v>
      </c>
      <c r="D285" s="133">
        <v>12</v>
      </c>
      <c r="E285" s="133">
        <v>0</v>
      </c>
      <c r="F285" s="133">
        <v>0</v>
      </c>
      <c r="G285" s="133">
        <v>0</v>
      </c>
      <c r="H285" s="133">
        <v>0</v>
      </c>
      <c r="I285" s="133">
        <v>24</v>
      </c>
      <c r="J285" s="133">
        <v>0</v>
      </c>
      <c r="K285">
        <v>42136</v>
      </c>
      <c r="L285" s="133">
        <v>0</v>
      </c>
      <c r="M285" s="133" t="b">
        <f ca="1">IF(TODAY()-Table_Query_from_A_Readiness_19[[#This Row],[PER_DATE]]&gt;=0,TRUE, FALSE)</f>
        <v>0</v>
      </c>
    </row>
    <row r="286" spans="1:13">
      <c r="A286">
        <v>42139</v>
      </c>
      <c r="B286" t="s">
        <v>332</v>
      </c>
      <c r="C286" t="s">
        <v>170</v>
      </c>
      <c r="D286" s="133">
        <v>12</v>
      </c>
      <c r="E286" s="133">
        <v>24</v>
      </c>
      <c r="F286" s="133">
        <v>0</v>
      </c>
      <c r="G286" s="133">
        <v>0</v>
      </c>
      <c r="H286" s="133">
        <v>0</v>
      </c>
      <c r="I286" s="133">
        <v>0</v>
      </c>
      <c r="J286" s="133">
        <v>0</v>
      </c>
      <c r="K286">
        <v>42136</v>
      </c>
      <c r="L286" s="133">
        <v>0</v>
      </c>
      <c r="M286" s="133" t="b">
        <f ca="1">IF(TODAY()-Table_Query_from_A_Readiness_19[[#This Row],[PER_DATE]]&gt;=0,TRUE, FALSE)</f>
        <v>0</v>
      </c>
    </row>
    <row r="287" spans="1:13">
      <c r="A287">
        <v>42139</v>
      </c>
      <c r="B287" t="s">
        <v>324</v>
      </c>
      <c r="C287" t="s">
        <v>158</v>
      </c>
      <c r="D287" s="133">
        <v>12</v>
      </c>
      <c r="E287" s="133">
        <v>24</v>
      </c>
      <c r="F287" s="133">
        <v>0</v>
      </c>
      <c r="G287" s="133">
        <v>0</v>
      </c>
      <c r="H287" s="133">
        <v>0</v>
      </c>
      <c r="I287" s="133">
        <v>0</v>
      </c>
      <c r="J287" s="133">
        <v>0</v>
      </c>
      <c r="K287">
        <v>42136</v>
      </c>
      <c r="L287" s="133">
        <v>0</v>
      </c>
      <c r="M287" s="133" t="b">
        <f ca="1">IF(TODAY()-Table_Query_from_A_Readiness_19[[#This Row],[PER_DATE]]&gt;=0,TRUE, FALSE)</f>
        <v>0</v>
      </c>
    </row>
    <row r="288" spans="1:13">
      <c r="A288">
        <v>42139</v>
      </c>
      <c r="B288" t="s">
        <v>325</v>
      </c>
      <c r="C288" t="s">
        <v>159</v>
      </c>
      <c r="D288" s="133">
        <v>12</v>
      </c>
      <c r="E288" s="133">
        <v>24</v>
      </c>
      <c r="F288" s="133">
        <v>0</v>
      </c>
      <c r="G288" s="133">
        <v>0</v>
      </c>
      <c r="H288" s="133">
        <v>0</v>
      </c>
      <c r="I288" s="133">
        <v>0</v>
      </c>
      <c r="J288" s="133">
        <v>0</v>
      </c>
      <c r="K288">
        <v>42136</v>
      </c>
      <c r="L288" s="133">
        <v>0</v>
      </c>
      <c r="M288" s="133" t="b">
        <f ca="1">IF(TODAY()-Table_Query_from_A_Readiness_19[[#This Row],[PER_DATE]]&gt;=0,TRUE, FALSE)</f>
        <v>0</v>
      </c>
    </row>
    <row r="289" spans="1:13">
      <c r="A289">
        <v>42139</v>
      </c>
      <c r="B289" t="s">
        <v>325</v>
      </c>
      <c r="C289" t="s">
        <v>160</v>
      </c>
      <c r="D289" s="133">
        <v>12</v>
      </c>
      <c r="E289" s="133">
        <v>24</v>
      </c>
      <c r="F289" s="133">
        <v>0</v>
      </c>
      <c r="G289" s="133">
        <v>0</v>
      </c>
      <c r="H289" s="133">
        <v>0</v>
      </c>
      <c r="I289" s="133">
        <v>0</v>
      </c>
      <c r="J289" s="133">
        <v>0</v>
      </c>
      <c r="K289">
        <v>42136</v>
      </c>
      <c r="L289" s="133">
        <v>0</v>
      </c>
      <c r="M289" s="133" t="b">
        <f ca="1">IF(TODAY()-Table_Query_from_A_Readiness_19[[#This Row],[PER_DATE]]&gt;=0,TRUE, FALSE)</f>
        <v>0</v>
      </c>
    </row>
    <row r="290" spans="1:13">
      <c r="A290">
        <v>42139</v>
      </c>
      <c r="B290" t="s">
        <v>332</v>
      </c>
      <c r="C290" t="s">
        <v>164</v>
      </c>
      <c r="D290" s="133">
        <v>13</v>
      </c>
      <c r="E290" s="133">
        <v>24</v>
      </c>
      <c r="F290" s="133">
        <v>0</v>
      </c>
      <c r="G290" s="133">
        <v>0</v>
      </c>
      <c r="H290" s="133">
        <v>0</v>
      </c>
      <c r="I290" s="133">
        <v>0</v>
      </c>
      <c r="J290" s="133">
        <v>0</v>
      </c>
      <c r="K290">
        <v>42137</v>
      </c>
      <c r="L290" s="133">
        <v>0</v>
      </c>
      <c r="M290" s="133" t="b">
        <f ca="1">IF(TODAY()-Table_Query_from_A_Readiness_19[[#This Row],[PER_DATE]]&gt;=0,TRUE, FALSE)</f>
        <v>0</v>
      </c>
    </row>
    <row r="291" spans="1:13">
      <c r="A291">
        <v>42139</v>
      </c>
      <c r="B291" t="s">
        <v>332</v>
      </c>
      <c r="C291" t="s">
        <v>161</v>
      </c>
      <c r="D291" s="133">
        <v>13</v>
      </c>
      <c r="E291" s="133">
        <v>0</v>
      </c>
      <c r="F291" s="133">
        <v>0</v>
      </c>
      <c r="G291" s="133">
        <v>0</v>
      </c>
      <c r="H291" s="133">
        <v>0</v>
      </c>
      <c r="I291" s="133">
        <v>0</v>
      </c>
      <c r="J291" s="133">
        <v>0</v>
      </c>
      <c r="K291">
        <v>42137</v>
      </c>
      <c r="L291" s="133">
        <v>24</v>
      </c>
      <c r="M291" s="133" t="b">
        <f ca="1">IF(TODAY()-Table_Query_from_A_Readiness_19[[#This Row],[PER_DATE]]&gt;=0,TRUE, FALSE)</f>
        <v>0</v>
      </c>
    </row>
    <row r="292" spans="1:13">
      <c r="A292">
        <v>42139</v>
      </c>
      <c r="B292" t="s">
        <v>332</v>
      </c>
      <c r="C292" t="s">
        <v>165</v>
      </c>
      <c r="D292" s="133">
        <v>13</v>
      </c>
      <c r="E292" s="133">
        <v>24</v>
      </c>
      <c r="F292" s="133">
        <v>0</v>
      </c>
      <c r="G292" s="133">
        <v>0</v>
      </c>
      <c r="H292" s="133">
        <v>0</v>
      </c>
      <c r="I292" s="133">
        <v>0</v>
      </c>
      <c r="J292" s="133">
        <v>0</v>
      </c>
      <c r="K292">
        <v>42137</v>
      </c>
      <c r="L292" s="133">
        <v>0</v>
      </c>
      <c r="M292" s="133" t="b">
        <f ca="1">IF(TODAY()-Table_Query_from_A_Readiness_19[[#This Row],[PER_DATE]]&gt;=0,TRUE, FALSE)</f>
        <v>0</v>
      </c>
    </row>
    <row r="293" spans="1:13">
      <c r="A293">
        <v>42139</v>
      </c>
      <c r="B293" t="s">
        <v>324</v>
      </c>
      <c r="C293" t="s">
        <v>148</v>
      </c>
      <c r="D293" s="133">
        <v>13</v>
      </c>
      <c r="E293" s="133">
        <v>0</v>
      </c>
      <c r="F293" s="133">
        <v>0</v>
      </c>
      <c r="G293" s="133">
        <v>0</v>
      </c>
      <c r="H293" s="133">
        <v>0</v>
      </c>
      <c r="I293" s="133">
        <v>0</v>
      </c>
      <c r="J293" s="133">
        <v>0</v>
      </c>
      <c r="K293">
        <v>42137</v>
      </c>
      <c r="L293" s="133">
        <v>24</v>
      </c>
      <c r="M293" s="133" t="b">
        <f ca="1">IF(TODAY()-Table_Query_from_A_Readiness_19[[#This Row],[PER_DATE]]&gt;=0,TRUE, FALSE)</f>
        <v>0</v>
      </c>
    </row>
    <row r="294" spans="1:13">
      <c r="A294">
        <v>42139</v>
      </c>
      <c r="B294" t="s">
        <v>332</v>
      </c>
      <c r="C294" t="s">
        <v>162</v>
      </c>
      <c r="D294" s="133">
        <v>13</v>
      </c>
      <c r="E294" s="133">
        <v>24</v>
      </c>
      <c r="F294" s="133">
        <v>0</v>
      </c>
      <c r="G294" s="133">
        <v>0</v>
      </c>
      <c r="H294" s="133">
        <v>0</v>
      </c>
      <c r="I294" s="133">
        <v>0</v>
      </c>
      <c r="J294" s="133">
        <v>0</v>
      </c>
      <c r="K294">
        <v>42137</v>
      </c>
      <c r="L294" s="133">
        <v>0</v>
      </c>
      <c r="M294" s="133" t="b">
        <f ca="1">IF(TODAY()-Table_Query_from_A_Readiness_19[[#This Row],[PER_DATE]]&gt;=0,TRUE, FALSE)</f>
        <v>0</v>
      </c>
    </row>
    <row r="295" spans="1:13">
      <c r="A295">
        <v>42139</v>
      </c>
      <c r="B295" t="s">
        <v>332</v>
      </c>
      <c r="C295" t="s">
        <v>163</v>
      </c>
      <c r="D295" s="133">
        <v>13</v>
      </c>
      <c r="E295" s="133">
        <v>24</v>
      </c>
      <c r="F295" s="133">
        <v>0</v>
      </c>
      <c r="G295" s="133">
        <v>0</v>
      </c>
      <c r="H295" s="133">
        <v>0</v>
      </c>
      <c r="I295" s="133">
        <v>0</v>
      </c>
      <c r="J295" s="133">
        <v>0</v>
      </c>
      <c r="K295">
        <v>42137</v>
      </c>
      <c r="L295" s="133">
        <v>0</v>
      </c>
      <c r="M295" s="133" t="b">
        <f ca="1">IF(TODAY()-Table_Query_from_A_Readiness_19[[#This Row],[PER_DATE]]&gt;=0,TRUE, FALSE)</f>
        <v>0</v>
      </c>
    </row>
    <row r="296" spans="1:13">
      <c r="A296">
        <v>42139</v>
      </c>
      <c r="B296" t="s">
        <v>325</v>
      </c>
      <c r="C296" t="s">
        <v>166</v>
      </c>
      <c r="D296" s="133">
        <v>13</v>
      </c>
      <c r="E296" s="133">
        <v>24</v>
      </c>
      <c r="F296" s="133">
        <v>0</v>
      </c>
      <c r="G296" s="133">
        <v>0</v>
      </c>
      <c r="H296" s="133">
        <v>0</v>
      </c>
      <c r="I296" s="133">
        <v>0</v>
      </c>
      <c r="J296" s="133">
        <v>0</v>
      </c>
      <c r="K296">
        <v>42137</v>
      </c>
      <c r="L296" s="133">
        <v>0</v>
      </c>
      <c r="M296" s="133" t="b">
        <f ca="1">IF(TODAY()-Table_Query_from_A_Readiness_19[[#This Row],[PER_DATE]]&gt;=0,TRUE, FALSE)</f>
        <v>0</v>
      </c>
    </row>
    <row r="297" spans="1:13">
      <c r="A297">
        <v>42139</v>
      </c>
      <c r="B297" t="s">
        <v>324</v>
      </c>
      <c r="C297" t="s">
        <v>149</v>
      </c>
      <c r="D297" s="133">
        <v>13</v>
      </c>
      <c r="E297" s="133">
        <v>0</v>
      </c>
      <c r="F297" s="133">
        <v>24</v>
      </c>
      <c r="G297" s="133">
        <v>0</v>
      </c>
      <c r="H297" s="133">
        <v>0</v>
      </c>
      <c r="I297" s="133">
        <v>0</v>
      </c>
      <c r="J297" s="133">
        <v>0</v>
      </c>
      <c r="K297">
        <v>42137</v>
      </c>
      <c r="L297" s="133">
        <v>0</v>
      </c>
      <c r="M297" s="133" t="b">
        <f ca="1">IF(TODAY()-Table_Query_from_A_Readiness_19[[#This Row],[PER_DATE]]&gt;=0,TRUE, FALSE)</f>
        <v>0</v>
      </c>
    </row>
    <row r="298" spans="1:13">
      <c r="A298">
        <v>42139</v>
      </c>
      <c r="B298" t="s">
        <v>332</v>
      </c>
      <c r="C298" t="s">
        <v>150</v>
      </c>
      <c r="D298" s="133">
        <v>13</v>
      </c>
      <c r="E298" s="133">
        <v>24</v>
      </c>
      <c r="F298" s="133">
        <v>0</v>
      </c>
      <c r="G298" s="133">
        <v>0</v>
      </c>
      <c r="H298" s="133">
        <v>0</v>
      </c>
      <c r="I298" s="133">
        <v>0</v>
      </c>
      <c r="J298" s="133">
        <v>0</v>
      </c>
      <c r="K298">
        <v>42137</v>
      </c>
      <c r="L298" s="133">
        <v>0</v>
      </c>
      <c r="M298" s="133" t="b">
        <f ca="1">IF(TODAY()-Table_Query_from_A_Readiness_19[[#This Row],[PER_DATE]]&gt;=0,TRUE, FALSE)</f>
        <v>0</v>
      </c>
    </row>
    <row r="299" spans="1:13">
      <c r="A299">
        <v>42139</v>
      </c>
      <c r="B299" t="s">
        <v>324</v>
      </c>
      <c r="C299" t="s">
        <v>151</v>
      </c>
      <c r="D299" s="133">
        <v>13</v>
      </c>
      <c r="E299" s="133">
        <v>0</v>
      </c>
      <c r="F299" s="133">
        <v>0</v>
      </c>
      <c r="G299" s="133">
        <v>0</v>
      </c>
      <c r="H299" s="133">
        <v>24</v>
      </c>
      <c r="I299" s="133">
        <v>0</v>
      </c>
      <c r="J299" s="133">
        <v>0</v>
      </c>
      <c r="K299">
        <v>42137</v>
      </c>
      <c r="L299" s="133">
        <v>0</v>
      </c>
      <c r="M299" s="133" t="b">
        <f ca="1">IF(TODAY()-Table_Query_from_A_Readiness_19[[#This Row],[PER_DATE]]&gt;=0,TRUE, FALSE)</f>
        <v>0</v>
      </c>
    </row>
    <row r="300" spans="1:13">
      <c r="A300">
        <v>42139</v>
      </c>
      <c r="B300" t="s">
        <v>325</v>
      </c>
      <c r="C300" t="s">
        <v>152</v>
      </c>
      <c r="D300" s="133">
        <v>13</v>
      </c>
      <c r="E300" s="133">
        <v>24</v>
      </c>
      <c r="F300" s="133">
        <v>0</v>
      </c>
      <c r="G300" s="133">
        <v>0</v>
      </c>
      <c r="H300" s="133">
        <v>0</v>
      </c>
      <c r="I300" s="133">
        <v>0</v>
      </c>
      <c r="J300" s="133">
        <v>0</v>
      </c>
      <c r="K300">
        <v>42137</v>
      </c>
      <c r="L300" s="133">
        <v>0</v>
      </c>
      <c r="M300" s="133" t="b">
        <f ca="1">IF(TODAY()-Table_Query_from_A_Readiness_19[[#This Row],[PER_DATE]]&gt;=0,TRUE, FALSE)</f>
        <v>0</v>
      </c>
    </row>
    <row r="301" spans="1:13">
      <c r="A301">
        <v>42139</v>
      </c>
      <c r="B301" t="s">
        <v>332</v>
      </c>
      <c r="C301" t="s">
        <v>145</v>
      </c>
      <c r="D301" s="133">
        <v>13</v>
      </c>
      <c r="E301" s="133">
        <v>24</v>
      </c>
      <c r="F301" s="133">
        <v>0</v>
      </c>
      <c r="G301" s="133">
        <v>0</v>
      </c>
      <c r="H301" s="133">
        <v>0</v>
      </c>
      <c r="I301" s="133">
        <v>0</v>
      </c>
      <c r="J301" s="133">
        <v>0</v>
      </c>
      <c r="K301">
        <v>42137</v>
      </c>
      <c r="L301" s="133">
        <v>0</v>
      </c>
      <c r="M301" s="133" t="b">
        <f ca="1">IF(TODAY()-Table_Query_from_A_Readiness_19[[#This Row],[PER_DATE]]&gt;=0,TRUE, FALSE)</f>
        <v>0</v>
      </c>
    </row>
    <row r="302" spans="1:13">
      <c r="A302">
        <v>42139</v>
      </c>
      <c r="B302" t="s">
        <v>325</v>
      </c>
      <c r="C302" t="s">
        <v>167</v>
      </c>
      <c r="D302" s="133">
        <v>13</v>
      </c>
      <c r="E302" s="133">
        <v>24</v>
      </c>
      <c r="F302" s="133">
        <v>0</v>
      </c>
      <c r="G302" s="133">
        <v>0</v>
      </c>
      <c r="H302" s="133">
        <v>0</v>
      </c>
      <c r="I302" s="133">
        <v>0</v>
      </c>
      <c r="J302" s="133">
        <v>0</v>
      </c>
      <c r="K302">
        <v>42137</v>
      </c>
      <c r="L302" s="133">
        <v>0</v>
      </c>
      <c r="M302" s="133" t="b">
        <f ca="1">IF(TODAY()-Table_Query_from_A_Readiness_19[[#This Row],[PER_DATE]]&gt;=0,TRUE, FALSE)</f>
        <v>0</v>
      </c>
    </row>
    <row r="303" spans="1:13">
      <c r="A303">
        <v>42139</v>
      </c>
      <c r="B303" t="s">
        <v>324</v>
      </c>
      <c r="C303" t="s">
        <v>153</v>
      </c>
      <c r="D303" s="133">
        <v>13</v>
      </c>
      <c r="E303" s="133">
        <v>0</v>
      </c>
      <c r="F303" s="133">
        <v>0</v>
      </c>
      <c r="G303" s="133">
        <v>0</v>
      </c>
      <c r="H303" s="133">
        <v>24</v>
      </c>
      <c r="I303" s="133">
        <v>0</v>
      </c>
      <c r="J303" s="133">
        <v>0</v>
      </c>
      <c r="K303">
        <v>42137</v>
      </c>
      <c r="L303" s="133">
        <v>0</v>
      </c>
      <c r="M303" s="133" t="b">
        <f ca="1">IF(TODAY()-Table_Query_from_A_Readiness_19[[#This Row],[PER_DATE]]&gt;=0,TRUE, FALSE)</f>
        <v>0</v>
      </c>
    </row>
    <row r="304" spans="1:13">
      <c r="A304">
        <v>42139</v>
      </c>
      <c r="B304" t="s">
        <v>325</v>
      </c>
      <c r="C304" t="s">
        <v>154</v>
      </c>
      <c r="D304" s="133">
        <v>13</v>
      </c>
      <c r="E304" s="133">
        <v>24</v>
      </c>
      <c r="F304" s="133">
        <v>0</v>
      </c>
      <c r="G304" s="133">
        <v>0</v>
      </c>
      <c r="H304" s="133">
        <v>0</v>
      </c>
      <c r="I304" s="133">
        <v>0</v>
      </c>
      <c r="J304" s="133">
        <v>0</v>
      </c>
      <c r="K304">
        <v>42137</v>
      </c>
      <c r="L304" s="133">
        <v>0</v>
      </c>
      <c r="M304" s="133" t="b">
        <f ca="1">IF(TODAY()-Table_Query_from_A_Readiness_19[[#This Row],[PER_DATE]]&gt;=0,TRUE, FALSE)</f>
        <v>0</v>
      </c>
    </row>
    <row r="305" spans="1:13">
      <c r="A305">
        <v>42139</v>
      </c>
      <c r="B305" t="s">
        <v>325</v>
      </c>
      <c r="C305" t="s">
        <v>168</v>
      </c>
      <c r="D305" s="133">
        <v>13</v>
      </c>
      <c r="E305" s="133">
        <v>24</v>
      </c>
      <c r="F305" s="133">
        <v>0</v>
      </c>
      <c r="G305" s="133">
        <v>0</v>
      </c>
      <c r="H305" s="133">
        <v>0</v>
      </c>
      <c r="I305" s="133">
        <v>0</v>
      </c>
      <c r="J305" s="133">
        <v>0</v>
      </c>
      <c r="K305">
        <v>42137</v>
      </c>
      <c r="L305" s="133">
        <v>0</v>
      </c>
      <c r="M305" s="133" t="b">
        <f ca="1">IF(TODAY()-Table_Query_from_A_Readiness_19[[#This Row],[PER_DATE]]&gt;=0,TRUE, FALSE)</f>
        <v>0</v>
      </c>
    </row>
    <row r="306" spans="1:13">
      <c r="A306">
        <v>42139</v>
      </c>
      <c r="B306" t="s">
        <v>324</v>
      </c>
      <c r="C306" t="s">
        <v>155</v>
      </c>
      <c r="D306" s="133">
        <v>13</v>
      </c>
      <c r="E306" s="133">
        <v>0</v>
      </c>
      <c r="F306" s="133">
        <v>0</v>
      </c>
      <c r="G306" s="133">
        <v>0</v>
      </c>
      <c r="H306" s="133">
        <v>0</v>
      </c>
      <c r="I306" s="133">
        <v>24</v>
      </c>
      <c r="J306" s="133">
        <v>0</v>
      </c>
      <c r="K306">
        <v>42137</v>
      </c>
      <c r="L306" s="133">
        <v>0</v>
      </c>
      <c r="M306" s="133" t="b">
        <f ca="1">IF(TODAY()-Table_Query_from_A_Readiness_19[[#This Row],[PER_DATE]]&gt;=0,TRUE, FALSE)</f>
        <v>0</v>
      </c>
    </row>
    <row r="307" spans="1:13">
      <c r="A307">
        <v>42139</v>
      </c>
      <c r="B307" t="s">
        <v>324</v>
      </c>
      <c r="C307" t="s">
        <v>156</v>
      </c>
      <c r="D307" s="133">
        <v>13</v>
      </c>
      <c r="E307" s="133">
        <v>0</v>
      </c>
      <c r="F307" s="133">
        <v>24</v>
      </c>
      <c r="G307" s="133">
        <v>0</v>
      </c>
      <c r="H307" s="133">
        <v>0</v>
      </c>
      <c r="I307" s="133">
        <v>0</v>
      </c>
      <c r="J307" s="133">
        <v>0</v>
      </c>
      <c r="K307">
        <v>42137</v>
      </c>
      <c r="L307" s="133">
        <v>0</v>
      </c>
      <c r="M307" s="133" t="b">
        <f ca="1">IF(TODAY()-Table_Query_from_A_Readiness_19[[#This Row],[PER_DATE]]&gt;=0,TRUE, FALSE)</f>
        <v>0</v>
      </c>
    </row>
    <row r="308" spans="1:13">
      <c r="A308">
        <v>42139</v>
      </c>
      <c r="B308" t="s">
        <v>325</v>
      </c>
      <c r="C308" t="s">
        <v>157</v>
      </c>
      <c r="D308" s="133">
        <v>13</v>
      </c>
      <c r="E308" s="133">
        <v>24</v>
      </c>
      <c r="F308" s="133">
        <v>0</v>
      </c>
      <c r="G308" s="133">
        <v>0</v>
      </c>
      <c r="H308" s="133">
        <v>0</v>
      </c>
      <c r="I308" s="133">
        <v>0</v>
      </c>
      <c r="J308" s="133">
        <v>0</v>
      </c>
      <c r="K308">
        <v>42137</v>
      </c>
      <c r="L308" s="133">
        <v>0</v>
      </c>
      <c r="M308" s="133" t="b">
        <f ca="1">IF(TODAY()-Table_Query_from_A_Readiness_19[[#This Row],[PER_DATE]]&gt;=0,TRUE, FALSE)</f>
        <v>0</v>
      </c>
    </row>
    <row r="309" spans="1:13">
      <c r="A309">
        <v>42139</v>
      </c>
      <c r="B309" t="s">
        <v>324</v>
      </c>
      <c r="C309" t="s">
        <v>169</v>
      </c>
      <c r="D309" s="133">
        <v>13</v>
      </c>
      <c r="E309" s="133">
        <v>0</v>
      </c>
      <c r="F309" s="133">
        <v>0</v>
      </c>
      <c r="G309" s="133">
        <v>0</v>
      </c>
      <c r="H309" s="133">
        <v>0</v>
      </c>
      <c r="I309" s="133">
        <v>24</v>
      </c>
      <c r="J309" s="133">
        <v>0</v>
      </c>
      <c r="K309">
        <v>42137</v>
      </c>
      <c r="L309" s="133">
        <v>0</v>
      </c>
      <c r="M309" s="133" t="b">
        <f ca="1">IF(TODAY()-Table_Query_from_A_Readiness_19[[#This Row],[PER_DATE]]&gt;=0,TRUE, FALSE)</f>
        <v>0</v>
      </c>
    </row>
    <row r="310" spans="1:13">
      <c r="A310">
        <v>42139</v>
      </c>
      <c r="B310" t="s">
        <v>332</v>
      </c>
      <c r="C310" t="s">
        <v>170</v>
      </c>
      <c r="D310" s="133">
        <v>13</v>
      </c>
      <c r="E310" s="133">
        <v>24</v>
      </c>
      <c r="F310" s="133">
        <v>0</v>
      </c>
      <c r="G310" s="133">
        <v>0</v>
      </c>
      <c r="H310" s="133">
        <v>0</v>
      </c>
      <c r="I310" s="133">
        <v>0</v>
      </c>
      <c r="J310" s="133">
        <v>0</v>
      </c>
      <c r="K310">
        <v>42137</v>
      </c>
      <c r="L310" s="133">
        <v>0</v>
      </c>
      <c r="M310" s="133" t="b">
        <f ca="1">IF(TODAY()-Table_Query_from_A_Readiness_19[[#This Row],[PER_DATE]]&gt;=0,TRUE, FALSE)</f>
        <v>0</v>
      </c>
    </row>
    <row r="311" spans="1:13">
      <c r="A311">
        <v>42139</v>
      </c>
      <c r="B311" t="s">
        <v>324</v>
      </c>
      <c r="C311" t="s">
        <v>158</v>
      </c>
      <c r="D311" s="133">
        <v>13</v>
      </c>
      <c r="E311" s="133">
        <v>24</v>
      </c>
      <c r="F311" s="133">
        <v>0</v>
      </c>
      <c r="G311" s="133">
        <v>0</v>
      </c>
      <c r="H311" s="133">
        <v>0</v>
      </c>
      <c r="I311" s="133">
        <v>0</v>
      </c>
      <c r="J311" s="133">
        <v>0</v>
      </c>
      <c r="K311">
        <v>42137</v>
      </c>
      <c r="L311" s="133">
        <v>0</v>
      </c>
      <c r="M311" s="133" t="b">
        <f ca="1">IF(TODAY()-Table_Query_from_A_Readiness_19[[#This Row],[PER_DATE]]&gt;=0,TRUE, FALSE)</f>
        <v>0</v>
      </c>
    </row>
    <row r="312" spans="1:13">
      <c r="A312">
        <v>42139</v>
      </c>
      <c r="B312" t="s">
        <v>325</v>
      </c>
      <c r="C312" t="s">
        <v>159</v>
      </c>
      <c r="D312" s="133">
        <v>13</v>
      </c>
      <c r="E312" s="133">
        <v>24</v>
      </c>
      <c r="F312" s="133">
        <v>0</v>
      </c>
      <c r="G312" s="133">
        <v>0</v>
      </c>
      <c r="H312" s="133">
        <v>0</v>
      </c>
      <c r="I312" s="133">
        <v>0</v>
      </c>
      <c r="J312" s="133">
        <v>0</v>
      </c>
      <c r="K312">
        <v>42137</v>
      </c>
      <c r="L312" s="133">
        <v>0</v>
      </c>
      <c r="M312" s="133" t="b">
        <f ca="1">IF(TODAY()-Table_Query_from_A_Readiness_19[[#This Row],[PER_DATE]]&gt;=0,TRUE, FALSE)</f>
        <v>0</v>
      </c>
    </row>
    <row r="313" spans="1:13">
      <c r="A313">
        <v>42139</v>
      </c>
      <c r="B313" t="s">
        <v>325</v>
      </c>
      <c r="C313" t="s">
        <v>160</v>
      </c>
      <c r="D313" s="133">
        <v>13</v>
      </c>
      <c r="E313" s="133">
        <v>24</v>
      </c>
      <c r="F313" s="133">
        <v>0</v>
      </c>
      <c r="G313" s="133">
        <v>0</v>
      </c>
      <c r="H313" s="133">
        <v>0</v>
      </c>
      <c r="I313" s="133">
        <v>0</v>
      </c>
      <c r="J313" s="133">
        <v>0</v>
      </c>
      <c r="K313">
        <v>42137</v>
      </c>
      <c r="L313" s="133">
        <v>0</v>
      </c>
      <c r="M313" s="133" t="b">
        <f ca="1">IF(TODAY()-Table_Query_from_A_Readiness_19[[#This Row],[PER_DATE]]&gt;=0,TRUE, FALSE)</f>
        <v>0</v>
      </c>
    </row>
    <row r="314" spans="1:13">
      <c r="A314">
        <v>42139</v>
      </c>
      <c r="B314" t="s">
        <v>332</v>
      </c>
      <c r="C314" t="s">
        <v>164</v>
      </c>
      <c r="D314" s="133">
        <v>14</v>
      </c>
      <c r="E314" s="133">
        <v>24</v>
      </c>
      <c r="F314" s="133">
        <v>0</v>
      </c>
      <c r="G314" s="133">
        <v>0</v>
      </c>
      <c r="H314" s="133">
        <v>0</v>
      </c>
      <c r="I314" s="133">
        <v>0</v>
      </c>
      <c r="J314" s="133">
        <v>0</v>
      </c>
      <c r="K314">
        <v>42138</v>
      </c>
      <c r="L314" s="133">
        <v>0</v>
      </c>
      <c r="M314" s="133" t="b">
        <f ca="1">IF(TODAY()-Table_Query_from_A_Readiness_19[[#This Row],[PER_DATE]]&gt;=0,TRUE, FALSE)</f>
        <v>0</v>
      </c>
    </row>
    <row r="315" spans="1:13">
      <c r="A315">
        <v>42139</v>
      </c>
      <c r="B315" t="s">
        <v>332</v>
      </c>
      <c r="C315" t="s">
        <v>161</v>
      </c>
      <c r="D315" s="133">
        <v>14</v>
      </c>
      <c r="E315" s="133">
        <v>0</v>
      </c>
      <c r="F315" s="133">
        <v>0</v>
      </c>
      <c r="G315" s="133">
        <v>0</v>
      </c>
      <c r="H315" s="133">
        <v>0</v>
      </c>
      <c r="I315" s="133">
        <v>0</v>
      </c>
      <c r="J315" s="133">
        <v>0</v>
      </c>
      <c r="K315">
        <v>42138</v>
      </c>
      <c r="L315" s="133">
        <v>24</v>
      </c>
      <c r="M315" s="133" t="b">
        <f ca="1">IF(TODAY()-Table_Query_from_A_Readiness_19[[#This Row],[PER_DATE]]&gt;=0,TRUE, FALSE)</f>
        <v>0</v>
      </c>
    </row>
    <row r="316" spans="1:13">
      <c r="A316">
        <v>42139</v>
      </c>
      <c r="B316" t="s">
        <v>332</v>
      </c>
      <c r="C316" t="s">
        <v>165</v>
      </c>
      <c r="D316" s="133">
        <v>14</v>
      </c>
      <c r="E316" s="133">
        <v>24</v>
      </c>
      <c r="F316" s="133">
        <v>0</v>
      </c>
      <c r="G316" s="133">
        <v>0</v>
      </c>
      <c r="H316" s="133">
        <v>0</v>
      </c>
      <c r="I316" s="133">
        <v>0</v>
      </c>
      <c r="J316" s="133">
        <v>0</v>
      </c>
      <c r="K316">
        <v>42138</v>
      </c>
      <c r="L316" s="133">
        <v>0</v>
      </c>
      <c r="M316" s="133" t="b">
        <f ca="1">IF(TODAY()-Table_Query_from_A_Readiness_19[[#This Row],[PER_DATE]]&gt;=0,TRUE, FALSE)</f>
        <v>0</v>
      </c>
    </row>
    <row r="317" spans="1:13">
      <c r="A317">
        <v>42139</v>
      </c>
      <c r="B317" t="s">
        <v>324</v>
      </c>
      <c r="C317" t="s">
        <v>148</v>
      </c>
      <c r="D317" s="133">
        <v>14</v>
      </c>
      <c r="E317" s="133">
        <v>0</v>
      </c>
      <c r="F317" s="133">
        <v>0</v>
      </c>
      <c r="G317" s="133">
        <v>0</v>
      </c>
      <c r="H317" s="133">
        <v>0</v>
      </c>
      <c r="I317" s="133">
        <v>0</v>
      </c>
      <c r="J317" s="133">
        <v>0</v>
      </c>
      <c r="K317">
        <v>42138</v>
      </c>
      <c r="L317" s="133">
        <v>24</v>
      </c>
      <c r="M317" s="133" t="b">
        <f ca="1">IF(TODAY()-Table_Query_from_A_Readiness_19[[#This Row],[PER_DATE]]&gt;=0,TRUE, FALSE)</f>
        <v>0</v>
      </c>
    </row>
    <row r="318" spans="1:13">
      <c r="A318">
        <v>42139</v>
      </c>
      <c r="B318" t="s">
        <v>332</v>
      </c>
      <c r="C318" t="s">
        <v>162</v>
      </c>
      <c r="D318" s="133">
        <v>14</v>
      </c>
      <c r="E318" s="133">
        <v>24</v>
      </c>
      <c r="F318" s="133">
        <v>0</v>
      </c>
      <c r="G318" s="133">
        <v>0</v>
      </c>
      <c r="H318" s="133">
        <v>0</v>
      </c>
      <c r="I318" s="133">
        <v>0</v>
      </c>
      <c r="J318" s="133">
        <v>0</v>
      </c>
      <c r="K318">
        <v>42138</v>
      </c>
      <c r="L318" s="133">
        <v>0</v>
      </c>
      <c r="M318" s="133" t="b">
        <f ca="1">IF(TODAY()-Table_Query_from_A_Readiness_19[[#This Row],[PER_DATE]]&gt;=0,TRUE, FALSE)</f>
        <v>0</v>
      </c>
    </row>
    <row r="319" spans="1:13">
      <c r="A319">
        <v>42139</v>
      </c>
      <c r="B319" t="s">
        <v>332</v>
      </c>
      <c r="C319" t="s">
        <v>163</v>
      </c>
      <c r="D319" s="133">
        <v>14</v>
      </c>
      <c r="E319" s="133">
        <v>24</v>
      </c>
      <c r="F319" s="133">
        <v>0</v>
      </c>
      <c r="G319" s="133">
        <v>0</v>
      </c>
      <c r="H319" s="133">
        <v>0</v>
      </c>
      <c r="I319" s="133">
        <v>0</v>
      </c>
      <c r="J319" s="133">
        <v>0</v>
      </c>
      <c r="K319">
        <v>42138</v>
      </c>
      <c r="L319" s="133">
        <v>0</v>
      </c>
      <c r="M319" s="133" t="b">
        <f ca="1">IF(TODAY()-Table_Query_from_A_Readiness_19[[#This Row],[PER_DATE]]&gt;=0,TRUE, FALSE)</f>
        <v>0</v>
      </c>
    </row>
    <row r="320" spans="1:13">
      <c r="A320">
        <v>42139</v>
      </c>
      <c r="B320" t="s">
        <v>325</v>
      </c>
      <c r="C320" t="s">
        <v>166</v>
      </c>
      <c r="D320" s="133">
        <v>14</v>
      </c>
      <c r="E320" s="133">
        <v>24</v>
      </c>
      <c r="F320" s="133">
        <v>0</v>
      </c>
      <c r="G320" s="133">
        <v>0</v>
      </c>
      <c r="H320" s="133">
        <v>0</v>
      </c>
      <c r="I320" s="133">
        <v>0</v>
      </c>
      <c r="J320" s="133">
        <v>0</v>
      </c>
      <c r="K320">
        <v>42138</v>
      </c>
      <c r="L320" s="133">
        <v>0</v>
      </c>
      <c r="M320" s="133" t="b">
        <f ca="1">IF(TODAY()-Table_Query_from_A_Readiness_19[[#This Row],[PER_DATE]]&gt;=0,TRUE, FALSE)</f>
        <v>0</v>
      </c>
    </row>
    <row r="321" spans="1:13">
      <c r="A321">
        <v>42139</v>
      </c>
      <c r="B321" t="s">
        <v>324</v>
      </c>
      <c r="C321" t="s">
        <v>149</v>
      </c>
      <c r="D321" s="133">
        <v>14</v>
      </c>
      <c r="E321" s="133">
        <v>0</v>
      </c>
      <c r="F321" s="133">
        <v>24</v>
      </c>
      <c r="G321" s="133">
        <v>0</v>
      </c>
      <c r="H321" s="133">
        <v>0</v>
      </c>
      <c r="I321" s="133">
        <v>0</v>
      </c>
      <c r="J321" s="133">
        <v>0</v>
      </c>
      <c r="K321">
        <v>42138</v>
      </c>
      <c r="L321" s="133">
        <v>0</v>
      </c>
      <c r="M321" s="133" t="b">
        <f ca="1">IF(TODAY()-Table_Query_from_A_Readiness_19[[#This Row],[PER_DATE]]&gt;=0,TRUE, FALSE)</f>
        <v>0</v>
      </c>
    </row>
    <row r="322" spans="1:13">
      <c r="A322">
        <v>42139</v>
      </c>
      <c r="B322" t="s">
        <v>332</v>
      </c>
      <c r="C322" t="s">
        <v>150</v>
      </c>
      <c r="D322" s="133">
        <v>14</v>
      </c>
      <c r="E322" s="133">
        <v>24</v>
      </c>
      <c r="F322" s="133">
        <v>0</v>
      </c>
      <c r="G322" s="133">
        <v>0</v>
      </c>
      <c r="H322" s="133">
        <v>0</v>
      </c>
      <c r="I322" s="133">
        <v>0</v>
      </c>
      <c r="J322" s="133">
        <v>0</v>
      </c>
      <c r="K322">
        <v>42138</v>
      </c>
      <c r="L322" s="133">
        <v>0</v>
      </c>
      <c r="M322" s="133" t="b">
        <f ca="1">IF(TODAY()-Table_Query_from_A_Readiness_19[[#This Row],[PER_DATE]]&gt;=0,TRUE, FALSE)</f>
        <v>0</v>
      </c>
    </row>
    <row r="323" spans="1:13">
      <c r="A323">
        <v>42139</v>
      </c>
      <c r="B323" t="s">
        <v>324</v>
      </c>
      <c r="C323" t="s">
        <v>151</v>
      </c>
      <c r="D323" s="133">
        <v>14</v>
      </c>
      <c r="E323" s="133">
        <v>0</v>
      </c>
      <c r="F323" s="133">
        <v>0</v>
      </c>
      <c r="G323" s="133">
        <v>0</v>
      </c>
      <c r="H323" s="133">
        <v>24</v>
      </c>
      <c r="I323" s="133">
        <v>0</v>
      </c>
      <c r="J323" s="133">
        <v>0</v>
      </c>
      <c r="K323">
        <v>42138</v>
      </c>
      <c r="L323" s="133">
        <v>0</v>
      </c>
      <c r="M323" s="133" t="b">
        <f ca="1">IF(TODAY()-Table_Query_from_A_Readiness_19[[#This Row],[PER_DATE]]&gt;=0,TRUE, FALSE)</f>
        <v>0</v>
      </c>
    </row>
    <row r="324" spans="1:13">
      <c r="A324">
        <v>42139</v>
      </c>
      <c r="B324" t="s">
        <v>325</v>
      </c>
      <c r="C324" t="s">
        <v>152</v>
      </c>
      <c r="D324" s="133">
        <v>14</v>
      </c>
      <c r="E324" s="133">
        <v>24</v>
      </c>
      <c r="F324" s="133">
        <v>0</v>
      </c>
      <c r="G324" s="133">
        <v>0</v>
      </c>
      <c r="H324" s="133">
        <v>0</v>
      </c>
      <c r="I324" s="133">
        <v>0</v>
      </c>
      <c r="J324" s="133">
        <v>0</v>
      </c>
      <c r="K324">
        <v>42138</v>
      </c>
      <c r="L324" s="133">
        <v>0</v>
      </c>
      <c r="M324" s="133" t="b">
        <f ca="1">IF(TODAY()-Table_Query_from_A_Readiness_19[[#This Row],[PER_DATE]]&gt;=0,TRUE, FALSE)</f>
        <v>0</v>
      </c>
    </row>
    <row r="325" spans="1:13">
      <c r="A325">
        <v>42139</v>
      </c>
      <c r="B325" t="s">
        <v>332</v>
      </c>
      <c r="C325" t="s">
        <v>145</v>
      </c>
      <c r="D325" s="133">
        <v>14</v>
      </c>
      <c r="E325" s="133">
        <v>24</v>
      </c>
      <c r="F325" s="133">
        <v>0</v>
      </c>
      <c r="G325" s="133">
        <v>0</v>
      </c>
      <c r="H325" s="133">
        <v>0</v>
      </c>
      <c r="I325" s="133">
        <v>0</v>
      </c>
      <c r="J325" s="133">
        <v>0</v>
      </c>
      <c r="K325">
        <v>42138</v>
      </c>
      <c r="L325" s="133">
        <v>0</v>
      </c>
      <c r="M325" s="133" t="b">
        <f ca="1">IF(TODAY()-Table_Query_from_A_Readiness_19[[#This Row],[PER_DATE]]&gt;=0,TRUE, FALSE)</f>
        <v>0</v>
      </c>
    </row>
    <row r="326" spans="1:13">
      <c r="A326">
        <v>42139</v>
      </c>
      <c r="B326" t="s">
        <v>325</v>
      </c>
      <c r="C326" t="s">
        <v>167</v>
      </c>
      <c r="D326" s="133">
        <v>14</v>
      </c>
      <c r="E326" s="133">
        <v>24</v>
      </c>
      <c r="F326" s="133">
        <v>0</v>
      </c>
      <c r="G326" s="133">
        <v>0</v>
      </c>
      <c r="H326" s="133">
        <v>0</v>
      </c>
      <c r="I326" s="133">
        <v>0</v>
      </c>
      <c r="J326" s="133">
        <v>0</v>
      </c>
      <c r="K326">
        <v>42138</v>
      </c>
      <c r="L326" s="133">
        <v>0</v>
      </c>
      <c r="M326" s="133" t="b">
        <f ca="1">IF(TODAY()-Table_Query_from_A_Readiness_19[[#This Row],[PER_DATE]]&gt;=0,TRUE, FALSE)</f>
        <v>0</v>
      </c>
    </row>
    <row r="327" spans="1:13">
      <c r="A327">
        <v>42139</v>
      </c>
      <c r="B327" t="s">
        <v>324</v>
      </c>
      <c r="C327" t="s">
        <v>153</v>
      </c>
      <c r="D327" s="133">
        <v>14</v>
      </c>
      <c r="E327" s="133">
        <v>0</v>
      </c>
      <c r="F327" s="133">
        <v>0</v>
      </c>
      <c r="G327" s="133">
        <v>0</v>
      </c>
      <c r="H327" s="133">
        <v>24</v>
      </c>
      <c r="I327" s="133">
        <v>0</v>
      </c>
      <c r="J327" s="133">
        <v>0</v>
      </c>
      <c r="K327">
        <v>42138</v>
      </c>
      <c r="L327" s="133">
        <v>0</v>
      </c>
      <c r="M327" s="133" t="b">
        <f ca="1">IF(TODAY()-Table_Query_from_A_Readiness_19[[#This Row],[PER_DATE]]&gt;=0,TRUE, FALSE)</f>
        <v>0</v>
      </c>
    </row>
    <row r="328" spans="1:13">
      <c r="A328">
        <v>42139</v>
      </c>
      <c r="B328" t="s">
        <v>325</v>
      </c>
      <c r="C328" t="s">
        <v>154</v>
      </c>
      <c r="D328" s="133">
        <v>14</v>
      </c>
      <c r="E328" s="133">
        <v>24</v>
      </c>
      <c r="F328" s="133">
        <v>0</v>
      </c>
      <c r="G328" s="133">
        <v>0</v>
      </c>
      <c r="H328" s="133">
        <v>0</v>
      </c>
      <c r="I328" s="133">
        <v>0</v>
      </c>
      <c r="J328" s="133">
        <v>0</v>
      </c>
      <c r="K328">
        <v>42138</v>
      </c>
      <c r="L328" s="133">
        <v>0</v>
      </c>
      <c r="M328" s="133" t="b">
        <f ca="1">IF(TODAY()-Table_Query_from_A_Readiness_19[[#This Row],[PER_DATE]]&gt;=0,TRUE, FALSE)</f>
        <v>0</v>
      </c>
    </row>
    <row r="329" spans="1:13">
      <c r="A329">
        <v>42139</v>
      </c>
      <c r="B329" t="s">
        <v>325</v>
      </c>
      <c r="C329" t="s">
        <v>168</v>
      </c>
      <c r="D329" s="133">
        <v>14</v>
      </c>
      <c r="E329" s="133">
        <v>24</v>
      </c>
      <c r="F329" s="133">
        <v>0</v>
      </c>
      <c r="G329" s="133">
        <v>0</v>
      </c>
      <c r="H329" s="133">
        <v>0</v>
      </c>
      <c r="I329" s="133">
        <v>0</v>
      </c>
      <c r="J329" s="133">
        <v>0</v>
      </c>
      <c r="K329">
        <v>42138</v>
      </c>
      <c r="L329" s="133">
        <v>0</v>
      </c>
      <c r="M329" s="133" t="b">
        <f ca="1">IF(TODAY()-Table_Query_from_A_Readiness_19[[#This Row],[PER_DATE]]&gt;=0,TRUE, FALSE)</f>
        <v>0</v>
      </c>
    </row>
    <row r="330" spans="1:13">
      <c r="A330">
        <v>42139</v>
      </c>
      <c r="B330" t="s">
        <v>324</v>
      </c>
      <c r="C330" t="s">
        <v>155</v>
      </c>
      <c r="D330" s="133">
        <v>14</v>
      </c>
      <c r="E330" s="133">
        <v>0</v>
      </c>
      <c r="F330" s="133">
        <v>0</v>
      </c>
      <c r="G330" s="133">
        <v>0</v>
      </c>
      <c r="H330" s="133">
        <v>0</v>
      </c>
      <c r="I330" s="133">
        <v>24</v>
      </c>
      <c r="J330" s="133">
        <v>0</v>
      </c>
      <c r="K330">
        <v>42138</v>
      </c>
      <c r="L330" s="133">
        <v>0</v>
      </c>
      <c r="M330" s="133" t="b">
        <f ca="1">IF(TODAY()-Table_Query_from_A_Readiness_19[[#This Row],[PER_DATE]]&gt;=0,TRUE, FALSE)</f>
        <v>0</v>
      </c>
    </row>
    <row r="331" spans="1:13">
      <c r="A331">
        <v>42139</v>
      </c>
      <c r="B331" t="s">
        <v>324</v>
      </c>
      <c r="C331" t="s">
        <v>156</v>
      </c>
      <c r="D331" s="133">
        <v>14</v>
      </c>
      <c r="E331" s="133">
        <v>0</v>
      </c>
      <c r="F331" s="133">
        <v>24</v>
      </c>
      <c r="G331" s="133">
        <v>0</v>
      </c>
      <c r="H331" s="133">
        <v>0</v>
      </c>
      <c r="I331" s="133">
        <v>0</v>
      </c>
      <c r="J331" s="133">
        <v>0</v>
      </c>
      <c r="K331">
        <v>42138</v>
      </c>
      <c r="L331" s="133">
        <v>0</v>
      </c>
      <c r="M331" s="133" t="b">
        <f ca="1">IF(TODAY()-Table_Query_from_A_Readiness_19[[#This Row],[PER_DATE]]&gt;=0,TRUE, FALSE)</f>
        <v>0</v>
      </c>
    </row>
    <row r="332" spans="1:13">
      <c r="A332">
        <v>42139</v>
      </c>
      <c r="B332" t="s">
        <v>325</v>
      </c>
      <c r="C332" t="s">
        <v>157</v>
      </c>
      <c r="D332" s="133">
        <v>14</v>
      </c>
      <c r="E332" s="133">
        <v>24</v>
      </c>
      <c r="F332" s="133">
        <v>0</v>
      </c>
      <c r="G332" s="133">
        <v>0</v>
      </c>
      <c r="H332" s="133">
        <v>0</v>
      </c>
      <c r="I332" s="133">
        <v>0</v>
      </c>
      <c r="J332" s="133">
        <v>0</v>
      </c>
      <c r="K332">
        <v>42138</v>
      </c>
      <c r="L332" s="133">
        <v>0</v>
      </c>
      <c r="M332" s="133" t="b">
        <f ca="1">IF(TODAY()-Table_Query_from_A_Readiness_19[[#This Row],[PER_DATE]]&gt;=0,TRUE, FALSE)</f>
        <v>0</v>
      </c>
    </row>
    <row r="333" spans="1:13">
      <c r="A333">
        <v>42139</v>
      </c>
      <c r="B333" t="s">
        <v>324</v>
      </c>
      <c r="C333" t="s">
        <v>169</v>
      </c>
      <c r="D333" s="133">
        <v>14</v>
      </c>
      <c r="E333" s="133">
        <v>0</v>
      </c>
      <c r="F333" s="133">
        <v>0</v>
      </c>
      <c r="G333" s="133">
        <v>0</v>
      </c>
      <c r="H333" s="133">
        <v>0</v>
      </c>
      <c r="I333" s="133">
        <v>24</v>
      </c>
      <c r="J333" s="133">
        <v>0</v>
      </c>
      <c r="K333">
        <v>42138</v>
      </c>
      <c r="L333" s="133">
        <v>0</v>
      </c>
      <c r="M333" s="133" t="b">
        <f ca="1">IF(TODAY()-Table_Query_from_A_Readiness_19[[#This Row],[PER_DATE]]&gt;=0,TRUE, FALSE)</f>
        <v>0</v>
      </c>
    </row>
    <row r="334" spans="1:13">
      <c r="A334">
        <v>42139</v>
      </c>
      <c r="B334" t="s">
        <v>332</v>
      </c>
      <c r="C334" t="s">
        <v>170</v>
      </c>
      <c r="D334" s="133">
        <v>14</v>
      </c>
      <c r="E334" s="133">
        <v>24</v>
      </c>
      <c r="F334" s="133">
        <v>0</v>
      </c>
      <c r="G334" s="133">
        <v>0</v>
      </c>
      <c r="H334" s="133">
        <v>0</v>
      </c>
      <c r="I334" s="133">
        <v>0</v>
      </c>
      <c r="J334" s="133">
        <v>0</v>
      </c>
      <c r="K334">
        <v>42138</v>
      </c>
      <c r="L334" s="133">
        <v>0</v>
      </c>
      <c r="M334" s="133" t="b">
        <f ca="1">IF(TODAY()-Table_Query_from_A_Readiness_19[[#This Row],[PER_DATE]]&gt;=0,TRUE, FALSE)</f>
        <v>0</v>
      </c>
    </row>
    <row r="335" spans="1:13">
      <c r="A335">
        <v>42139</v>
      </c>
      <c r="B335" t="s">
        <v>324</v>
      </c>
      <c r="C335" t="s">
        <v>158</v>
      </c>
      <c r="D335" s="133">
        <v>14</v>
      </c>
      <c r="E335" s="133">
        <v>24</v>
      </c>
      <c r="F335" s="133">
        <v>0</v>
      </c>
      <c r="G335" s="133">
        <v>0</v>
      </c>
      <c r="H335" s="133">
        <v>0</v>
      </c>
      <c r="I335" s="133">
        <v>0</v>
      </c>
      <c r="J335" s="133">
        <v>0</v>
      </c>
      <c r="K335">
        <v>42138</v>
      </c>
      <c r="L335" s="133">
        <v>0</v>
      </c>
      <c r="M335" s="133" t="b">
        <f ca="1">IF(TODAY()-Table_Query_from_A_Readiness_19[[#This Row],[PER_DATE]]&gt;=0,TRUE, FALSE)</f>
        <v>0</v>
      </c>
    </row>
    <row r="336" spans="1:13">
      <c r="A336">
        <v>42139</v>
      </c>
      <c r="B336" t="s">
        <v>325</v>
      </c>
      <c r="C336" t="s">
        <v>159</v>
      </c>
      <c r="D336" s="133">
        <v>14</v>
      </c>
      <c r="E336" s="133">
        <v>24</v>
      </c>
      <c r="F336" s="133">
        <v>0</v>
      </c>
      <c r="G336" s="133">
        <v>0</v>
      </c>
      <c r="H336" s="133">
        <v>0</v>
      </c>
      <c r="I336" s="133">
        <v>0</v>
      </c>
      <c r="J336" s="133">
        <v>0</v>
      </c>
      <c r="K336">
        <v>42138</v>
      </c>
      <c r="L336" s="133">
        <v>0</v>
      </c>
      <c r="M336" s="133" t="b">
        <f ca="1">IF(TODAY()-Table_Query_from_A_Readiness_19[[#This Row],[PER_DATE]]&gt;=0,TRUE, FALSE)</f>
        <v>0</v>
      </c>
    </row>
    <row r="337" spans="1:13">
      <c r="A337">
        <v>42139</v>
      </c>
      <c r="B337" t="s">
        <v>325</v>
      </c>
      <c r="C337" t="s">
        <v>160</v>
      </c>
      <c r="D337" s="133">
        <v>14</v>
      </c>
      <c r="E337" s="133">
        <v>24</v>
      </c>
      <c r="F337" s="133">
        <v>0</v>
      </c>
      <c r="G337" s="133">
        <v>0</v>
      </c>
      <c r="H337" s="133">
        <v>0</v>
      </c>
      <c r="I337" s="133">
        <v>0</v>
      </c>
      <c r="J337" s="133">
        <v>0</v>
      </c>
      <c r="K337">
        <v>42138</v>
      </c>
      <c r="L337" s="133">
        <v>0</v>
      </c>
      <c r="M337" s="133" t="b">
        <f ca="1">IF(TODAY()-Table_Query_from_A_Readiness_19[[#This Row],[PER_DATE]]&gt;=0,TRUE, FALSE)</f>
        <v>0</v>
      </c>
    </row>
    <row r="338" spans="1:13">
      <c r="A338">
        <v>42139</v>
      </c>
      <c r="B338" t="s">
        <v>332</v>
      </c>
      <c r="C338" t="s">
        <v>164</v>
      </c>
      <c r="D338" s="133">
        <v>15</v>
      </c>
      <c r="E338" s="133">
        <v>24</v>
      </c>
      <c r="F338" s="133">
        <v>0</v>
      </c>
      <c r="G338" s="133">
        <v>0</v>
      </c>
      <c r="H338" s="133">
        <v>0</v>
      </c>
      <c r="I338" s="133">
        <v>0</v>
      </c>
      <c r="J338" s="133">
        <v>0</v>
      </c>
      <c r="K338">
        <v>42139</v>
      </c>
      <c r="L338" s="133">
        <v>0</v>
      </c>
      <c r="M338" s="133" t="b">
        <f ca="1">IF(TODAY()-Table_Query_from_A_Readiness_19[[#This Row],[PER_DATE]]&gt;=0,TRUE, FALSE)</f>
        <v>0</v>
      </c>
    </row>
    <row r="339" spans="1:13">
      <c r="A339">
        <v>42139</v>
      </c>
      <c r="B339" t="s">
        <v>332</v>
      </c>
      <c r="C339" t="s">
        <v>161</v>
      </c>
      <c r="D339" s="133">
        <v>15</v>
      </c>
      <c r="E339" s="133">
        <v>0</v>
      </c>
      <c r="F339" s="133">
        <v>0</v>
      </c>
      <c r="G339" s="133">
        <v>0</v>
      </c>
      <c r="H339" s="133">
        <v>0</v>
      </c>
      <c r="I339" s="133">
        <v>0</v>
      </c>
      <c r="J339" s="133">
        <v>0</v>
      </c>
      <c r="K339">
        <v>42139</v>
      </c>
      <c r="L339" s="133">
        <v>24</v>
      </c>
      <c r="M339" s="133" t="b">
        <f ca="1">IF(TODAY()-Table_Query_from_A_Readiness_19[[#This Row],[PER_DATE]]&gt;=0,TRUE, FALSE)</f>
        <v>0</v>
      </c>
    </row>
    <row r="340" spans="1:13">
      <c r="A340">
        <v>42139</v>
      </c>
      <c r="B340" t="s">
        <v>332</v>
      </c>
      <c r="C340" t="s">
        <v>165</v>
      </c>
      <c r="D340" s="133">
        <v>15</v>
      </c>
      <c r="E340" s="133">
        <v>24</v>
      </c>
      <c r="F340" s="133">
        <v>0</v>
      </c>
      <c r="G340" s="133">
        <v>0</v>
      </c>
      <c r="H340" s="133">
        <v>0</v>
      </c>
      <c r="I340" s="133">
        <v>0</v>
      </c>
      <c r="J340" s="133">
        <v>0</v>
      </c>
      <c r="K340">
        <v>42139</v>
      </c>
      <c r="L340" s="133">
        <v>0</v>
      </c>
      <c r="M340" s="133" t="b">
        <f ca="1">IF(TODAY()-Table_Query_from_A_Readiness_19[[#This Row],[PER_DATE]]&gt;=0,TRUE, FALSE)</f>
        <v>0</v>
      </c>
    </row>
    <row r="341" spans="1:13">
      <c r="A341">
        <v>42139</v>
      </c>
      <c r="B341" t="s">
        <v>324</v>
      </c>
      <c r="C341" t="s">
        <v>148</v>
      </c>
      <c r="D341" s="133">
        <v>15</v>
      </c>
      <c r="E341" s="133">
        <v>0</v>
      </c>
      <c r="F341" s="133">
        <v>0</v>
      </c>
      <c r="G341" s="133">
        <v>0</v>
      </c>
      <c r="H341" s="133">
        <v>0</v>
      </c>
      <c r="I341" s="133">
        <v>0</v>
      </c>
      <c r="J341" s="133">
        <v>0</v>
      </c>
      <c r="K341">
        <v>42139</v>
      </c>
      <c r="L341" s="133">
        <v>24</v>
      </c>
      <c r="M341" s="133" t="b">
        <f ca="1">IF(TODAY()-Table_Query_from_A_Readiness_19[[#This Row],[PER_DATE]]&gt;=0,TRUE, FALSE)</f>
        <v>0</v>
      </c>
    </row>
    <row r="342" spans="1:13">
      <c r="A342">
        <v>42139</v>
      </c>
      <c r="B342" t="s">
        <v>332</v>
      </c>
      <c r="C342" t="s">
        <v>162</v>
      </c>
      <c r="D342" s="133">
        <v>15</v>
      </c>
      <c r="E342" s="133">
        <v>24</v>
      </c>
      <c r="F342" s="133">
        <v>0</v>
      </c>
      <c r="G342" s="133">
        <v>0</v>
      </c>
      <c r="H342" s="133">
        <v>0</v>
      </c>
      <c r="I342" s="133">
        <v>0</v>
      </c>
      <c r="J342" s="133">
        <v>0</v>
      </c>
      <c r="K342">
        <v>42139</v>
      </c>
      <c r="L342" s="133">
        <v>0</v>
      </c>
      <c r="M342" s="133" t="b">
        <f ca="1">IF(TODAY()-Table_Query_from_A_Readiness_19[[#This Row],[PER_DATE]]&gt;=0,TRUE, FALSE)</f>
        <v>0</v>
      </c>
    </row>
    <row r="343" spans="1:13">
      <c r="A343">
        <v>42139</v>
      </c>
      <c r="B343" t="s">
        <v>332</v>
      </c>
      <c r="C343" t="s">
        <v>163</v>
      </c>
      <c r="D343" s="133">
        <v>15</v>
      </c>
      <c r="E343" s="133">
        <v>24</v>
      </c>
      <c r="F343" s="133">
        <v>0</v>
      </c>
      <c r="G343" s="133">
        <v>0</v>
      </c>
      <c r="H343" s="133">
        <v>0</v>
      </c>
      <c r="I343" s="133">
        <v>0</v>
      </c>
      <c r="J343" s="133">
        <v>0</v>
      </c>
      <c r="K343">
        <v>42139</v>
      </c>
      <c r="L343" s="133">
        <v>0</v>
      </c>
      <c r="M343" s="133" t="b">
        <f ca="1">IF(TODAY()-Table_Query_from_A_Readiness_19[[#This Row],[PER_DATE]]&gt;=0,TRUE, FALSE)</f>
        <v>0</v>
      </c>
    </row>
    <row r="344" spans="1:13">
      <c r="A344">
        <v>42139</v>
      </c>
      <c r="B344" t="s">
        <v>325</v>
      </c>
      <c r="C344" t="s">
        <v>166</v>
      </c>
      <c r="D344" s="133">
        <v>15</v>
      </c>
      <c r="E344" s="133">
        <v>24</v>
      </c>
      <c r="F344" s="133">
        <v>0</v>
      </c>
      <c r="G344" s="133">
        <v>0</v>
      </c>
      <c r="H344" s="133">
        <v>0</v>
      </c>
      <c r="I344" s="133">
        <v>0</v>
      </c>
      <c r="J344" s="133">
        <v>0</v>
      </c>
      <c r="K344">
        <v>42139</v>
      </c>
      <c r="L344" s="133">
        <v>0</v>
      </c>
      <c r="M344" s="133" t="b">
        <f ca="1">IF(TODAY()-Table_Query_from_A_Readiness_19[[#This Row],[PER_DATE]]&gt;=0,TRUE, FALSE)</f>
        <v>0</v>
      </c>
    </row>
    <row r="345" spans="1:13">
      <c r="A345">
        <v>42139</v>
      </c>
      <c r="B345" t="s">
        <v>324</v>
      </c>
      <c r="C345" t="s">
        <v>149</v>
      </c>
      <c r="D345" s="133">
        <v>15</v>
      </c>
      <c r="E345" s="133">
        <v>0</v>
      </c>
      <c r="F345" s="133">
        <v>24</v>
      </c>
      <c r="G345" s="133">
        <v>0</v>
      </c>
      <c r="H345" s="133">
        <v>0</v>
      </c>
      <c r="I345" s="133">
        <v>0</v>
      </c>
      <c r="J345" s="133">
        <v>0</v>
      </c>
      <c r="K345">
        <v>42139</v>
      </c>
      <c r="L345" s="133">
        <v>0</v>
      </c>
      <c r="M345" s="133" t="b">
        <f ca="1">IF(TODAY()-Table_Query_from_A_Readiness_19[[#This Row],[PER_DATE]]&gt;=0,TRUE, FALSE)</f>
        <v>0</v>
      </c>
    </row>
    <row r="346" spans="1:13">
      <c r="A346">
        <v>42139</v>
      </c>
      <c r="B346" t="s">
        <v>332</v>
      </c>
      <c r="C346" t="s">
        <v>150</v>
      </c>
      <c r="D346" s="133">
        <v>15</v>
      </c>
      <c r="E346" s="133">
        <v>24</v>
      </c>
      <c r="F346" s="133">
        <v>0</v>
      </c>
      <c r="G346" s="133">
        <v>0</v>
      </c>
      <c r="H346" s="133">
        <v>0</v>
      </c>
      <c r="I346" s="133">
        <v>0</v>
      </c>
      <c r="J346" s="133">
        <v>0</v>
      </c>
      <c r="K346">
        <v>42139</v>
      </c>
      <c r="L346" s="133">
        <v>0</v>
      </c>
      <c r="M346" s="133" t="b">
        <f ca="1">IF(TODAY()-Table_Query_from_A_Readiness_19[[#This Row],[PER_DATE]]&gt;=0,TRUE, FALSE)</f>
        <v>0</v>
      </c>
    </row>
    <row r="347" spans="1:13">
      <c r="A347">
        <v>42139</v>
      </c>
      <c r="B347" t="s">
        <v>324</v>
      </c>
      <c r="C347" t="s">
        <v>151</v>
      </c>
      <c r="D347" s="133">
        <v>15</v>
      </c>
      <c r="E347" s="133">
        <v>0</v>
      </c>
      <c r="F347" s="133">
        <v>0</v>
      </c>
      <c r="G347" s="133">
        <v>0</v>
      </c>
      <c r="H347" s="133">
        <v>24</v>
      </c>
      <c r="I347" s="133">
        <v>0</v>
      </c>
      <c r="J347" s="133">
        <v>0</v>
      </c>
      <c r="K347">
        <v>42139</v>
      </c>
      <c r="L347" s="133">
        <v>0</v>
      </c>
      <c r="M347" s="133" t="b">
        <f ca="1">IF(TODAY()-Table_Query_from_A_Readiness_19[[#This Row],[PER_DATE]]&gt;=0,TRUE, FALSE)</f>
        <v>0</v>
      </c>
    </row>
    <row r="348" spans="1:13">
      <c r="A348">
        <v>42139</v>
      </c>
      <c r="B348" t="s">
        <v>325</v>
      </c>
      <c r="C348" t="s">
        <v>152</v>
      </c>
      <c r="D348" s="133">
        <v>15</v>
      </c>
      <c r="E348" s="133">
        <v>24</v>
      </c>
      <c r="F348" s="133">
        <v>0</v>
      </c>
      <c r="G348" s="133">
        <v>0</v>
      </c>
      <c r="H348" s="133">
        <v>0</v>
      </c>
      <c r="I348" s="133">
        <v>0</v>
      </c>
      <c r="J348" s="133">
        <v>0</v>
      </c>
      <c r="K348">
        <v>42139</v>
      </c>
      <c r="L348" s="133">
        <v>0</v>
      </c>
      <c r="M348" s="133" t="b">
        <f ca="1">IF(TODAY()-Table_Query_from_A_Readiness_19[[#This Row],[PER_DATE]]&gt;=0,TRUE, FALSE)</f>
        <v>0</v>
      </c>
    </row>
    <row r="349" spans="1:13">
      <c r="A349">
        <v>42139</v>
      </c>
      <c r="B349" t="s">
        <v>332</v>
      </c>
      <c r="C349" t="s">
        <v>145</v>
      </c>
      <c r="D349" s="133">
        <v>15</v>
      </c>
      <c r="E349" s="133">
        <v>24</v>
      </c>
      <c r="F349" s="133">
        <v>0</v>
      </c>
      <c r="G349" s="133">
        <v>0</v>
      </c>
      <c r="H349" s="133">
        <v>0</v>
      </c>
      <c r="I349" s="133">
        <v>0</v>
      </c>
      <c r="J349" s="133">
        <v>0</v>
      </c>
      <c r="K349">
        <v>42139</v>
      </c>
      <c r="L349" s="133">
        <v>0</v>
      </c>
      <c r="M349" s="133" t="b">
        <f ca="1">IF(TODAY()-Table_Query_from_A_Readiness_19[[#This Row],[PER_DATE]]&gt;=0,TRUE, FALSE)</f>
        <v>0</v>
      </c>
    </row>
    <row r="350" spans="1:13">
      <c r="A350">
        <v>42139</v>
      </c>
      <c r="B350" t="s">
        <v>325</v>
      </c>
      <c r="C350" t="s">
        <v>167</v>
      </c>
      <c r="D350" s="133">
        <v>15</v>
      </c>
      <c r="E350" s="133">
        <v>24</v>
      </c>
      <c r="F350" s="133">
        <v>0</v>
      </c>
      <c r="G350" s="133">
        <v>0</v>
      </c>
      <c r="H350" s="133">
        <v>0</v>
      </c>
      <c r="I350" s="133">
        <v>0</v>
      </c>
      <c r="J350" s="133">
        <v>0</v>
      </c>
      <c r="K350">
        <v>42139</v>
      </c>
      <c r="L350" s="133">
        <v>0</v>
      </c>
      <c r="M350" s="133" t="b">
        <f ca="1">IF(TODAY()-Table_Query_from_A_Readiness_19[[#This Row],[PER_DATE]]&gt;=0,TRUE, FALSE)</f>
        <v>0</v>
      </c>
    </row>
    <row r="351" spans="1:13">
      <c r="A351">
        <v>42139</v>
      </c>
      <c r="B351" t="s">
        <v>324</v>
      </c>
      <c r="C351" t="s">
        <v>153</v>
      </c>
      <c r="D351" s="133">
        <v>15</v>
      </c>
      <c r="E351" s="133">
        <v>0</v>
      </c>
      <c r="F351" s="133">
        <v>0</v>
      </c>
      <c r="G351" s="133">
        <v>0</v>
      </c>
      <c r="H351" s="133">
        <v>24</v>
      </c>
      <c r="I351" s="133">
        <v>0</v>
      </c>
      <c r="J351" s="133">
        <v>0</v>
      </c>
      <c r="K351">
        <v>42139</v>
      </c>
      <c r="L351" s="133">
        <v>0</v>
      </c>
      <c r="M351" s="133" t="b">
        <f ca="1">IF(TODAY()-Table_Query_from_A_Readiness_19[[#This Row],[PER_DATE]]&gt;=0,TRUE, FALSE)</f>
        <v>0</v>
      </c>
    </row>
    <row r="352" spans="1:13">
      <c r="A352">
        <v>42139</v>
      </c>
      <c r="B352" t="s">
        <v>325</v>
      </c>
      <c r="C352" t="s">
        <v>154</v>
      </c>
      <c r="D352" s="133">
        <v>15</v>
      </c>
      <c r="E352" s="133">
        <v>24</v>
      </c>
      <c r="F352" s="133">
        <v>0</v>
      </c>
      <c r="G352" s="133">
        <v>0</v>
      </c>
      <c r="H352" s="133">
        <v>0</v>
      </c>
      <c r="I352" s="133">
        <v>0</v>
      </c>
      <c r="J352" s="133">
        <v>0</v>
      </c>
      <c r="K352">
        <v>42139</v>
      </c>
      <c r="L352" s="133">
        <v>0</v>
      </c>
      <c r="M352" s="133" t="b">
        <f ca="1">IF(TODAY()-Table_Query_from_A_Readiness_19[[#This Row],[PER_DATE]]&gt;=0,TRUE, FALSE)</f>
        <v>0</v>
      </c>
    </row>
    <row r="353" spans="1:13">
      <c r="A353">
        <v>42139</v>
      </c>
      <c r="B353" t="s">
        <v>325</v>
      </c>
      <c r="C353" t="s">
        <v>168</v>
      </c>
      <c r="D353" s="133">
        <v>15</v>
      </c>
      <c r="E353" s="133">
        <v>24</v>
      </c>
      <c r="F353" s="133">
        <v>0</v>
      </c>
      <c r="G353" s="133">
        <v>0</v>
      </c>
      <c r="H353" s="133">
        <v>0</v>
      </c>
      <c r="I353" s="133">
        <v>0</v>
      </c>
      <c r="J353" s="133">
        <v>0</v>
      </c>
      <c r="K353">
        <v>42139</v>
      </c>
      <c r="L353" s="133">
        <v>0</v>
      </c>
      <c r="M353" s="133" t="b">
        <f ca="1">IF(TODAY()-Table_Query_from_A_Readiness_19[[#This Row],[PER_DATE]]&gt;=0,TRUE, FALSE)</f>
        <v>0</v>
      </c>
    </row>
    <row r="354" spans="1:13">
      <c r="A354">
        <v>42139</v>
      </c>
      <c r="B354" t="s">
        <v>324</v>
      </c>
      <c r="C354" t="s">
        <v>155</v>
      </c>
      <c r="D354" s="133">
        <v>15</v>
      </c>
      <c r="E354" s="133">
        <v>0</v>
      </c>
      <c r="F354" s="133">
        <v>0</v>
      </c>
      <c r="G354" s="133">
        <v>0</v>
      </c>
      <c r="H354" s="133">
        <v>0</v>
      </c>
      <c r="I354" s="133">
        <v>24</v>
      </c>
      <c r="J354" s="133">
        <v>0</v>
      </c>
      <c r="K354">
        <v>42139</v>
      </c>
      <c r="L354" s="133">
        <v>0</v>
      </c>
      <c r="M354" s="133" t="b">
        <f ca="1">IF(TODAY()-Table_Query_from_A_Readiness_19[[#This Row],[PER_DATE]]&gt;=0,TRUE, FALSE)</f>
        <v>0</v>
      </c>
    </row>
    <row r="355" spans="1:13">
      <c r="A355">
        <v>42139</v>
      </c>
      <c r="B355" t="s">
        <v>324</v>
      </c>
      <c r="C355" t="s">
        <v>156</v>
      </c>
      <c r="D355" s="133">
        <v>15</v>
      </c>
      <c r="E355" s="133">
        <v>0</v>
      </c>
      <c r="F355" s="133">
        <v>24</v>
      </c>
      <c r="G355" s="133">
        <v>0</v>
      </c>
      <c r="H355" s="133">
        <v>0</v>
      </c>
      <c r="I355" s="133">
        <v>0</v>
      </c>
      <c r="J355" s="133">
        <v>0</v>
      </c>
      <c r="K355">
        <v>42139</v>
      </c>
      <c r="L355" s="133">
        <v>0</v>
      </c>
      <c r="M355" s="133" t="b">
        <f ca="1">IF(TODAY()-Table_Query_from_A_Readiness_19[[#This Row],[PER_DATE]]&gt;=0,TRUE, FALSE)</f>
        <v>0</v>
      </c>
    </row>
    <row r="356" spans="1:13">
      <c r="A356">
        <v>42139</v>
      </c>
      <c r="B356" t="s">
        <v>325</v>
      </c>
      <c r="C356" t="s">
        <v>157</v>
      </c>
      <c r="D356" s="133">
        <v>15</v>
      </c>
      <c r="E356" s="133">
        <v>24</v>
      </c>
      <c r="F356" s="133">
        <v>0</v>
      </c>
      <c r="G356" s="133">
        <v>0</v>
      </c>
      <c r="H356" s="133">
        <v>0</v>
      </c>
      <c r="I356" s="133">
        <v>0</v>
      </c>
      <c r="J356" s="133">
        <v>0</v>
      </c>
      <c r="K356">
        <v>42139</v>
      </c>
      <c r="L356" s="133">
        <v>0</v>
      </c>
      <c r="M356" s="133" t="b">
        <f ca="1">IF(TODAY()-Table_Query_from_A_Readiness_19[[#This Row],[PER_DATE]]&gt;=0,TRUE, FALSE)</f>
        <v>0</v>
      </c>
    </row>
    <row r="357" spans="1:13">
      <c r="A357">
        <v>42139</v>
      </c>
      <c r="B357" t="s">
        <v>324</v>
      </c>
      <c r="C357" t="s">
        <v>169</v>
      </c>
      <c r="D357" s="133">
        <v>15</v>
      </c>
      <c r="E357" s="133">
        <v>0</v>
      </c>
      <c r="F357" s="133">
        <v>0</v>
      </c>
      <c r="G357" s="133">
        <v>0</v>
      </c>
      <c r="H357" s="133">
        <v>0</v>
      </c>
      <c r="I357" s="133">
        <v>24</v>
      </c>
      <c r="J357" s="133">
        <v>0</v>
      </c>
      <c r="K357">
        <v>42139</v>
      </c>
      <c r="L357" s="133">
        <v>0</v>
      </c>
      <c r="M357" s="133" t="b">
        <f ca="1">IF(TODAY()-Table_Query_from_A_Readiness_19[[#This Row],[PER_DATE]]&gt;=0,TRUE, FALSE)</f>
        <v>0</v>
      </c>
    </row>
    <row r="358" spans="1:13">
      <c r="A358">
        <v>42139</v>
      </c>
      <c r="B358" t="s">
        <v>332</v>
      </c>
      <c r="C358" t="s">
        <v>170</v>
      </c>
      <c r="D358" s="133">
        <v>15</v>
      </c>
      <c r="E358" s="133">
        <v>24</v>
      </c>
      <c r="F358" s="133">
        <v>0</v>
      </c>
      <c r="G358" s="133">
        <v>0</v>
      </c>
      <c r="H358" s="133">
        <v>0</v>
      </c>
      <c r="I358" s="133">
        <v>0</v>
      </c>
      <c r="J358" s="133">
        <v>0</v>
      </c>
      <c r="K358">
        <v>42139</v>
      </c>
      <c r="L358" s="133">
        <v>0</v>
      </c>
      <c r="M358" s="133" t="b">
        <f ca="1">IF(TODAY()-Table_Query_from_A_Readiness_19[[#This Row],[PER_DATE]]&gt;=0,TRUE, FALSE)</f>
        <v>0</v>
      </c>
    </row>
    <row r="359" spans="1:13">
      <c r="A359">
        <v>42139</v>
      </c>
      <c r="B359" t="s">
        <v>324</v>
      </c>
      <c r="C359" t="s">
        <v>158</v>
      </c>
      <c r="D359" s="133">
        <v>15</v>
      </c>
      <c r="E359" s="133">
        <v>24</v>
      </c>
      <c r="F359" s="133">
        <v>0</v>
      </c>
      <c r="G359" s="133">
        <v>0</v>
      </c>
      <c r="H359" s="133">
        <v>0</v>
      </c>
      <c r="I359" s="133">
        <v>0</v>
      </c>
      <c r="J359" s="133">
        <v>0</v>
      </c>
      <c r="K359">
        <v>42139</v>
      </c>
      <c r="L359" s="133">
        <v>0</v>
      </c>
      <c r="M359" s="133" t="b">
        <f ca="1">IF(TODAY()-Table_Query_from_A_Readiness_19[[#This Row],[PER_DATE]]&gt;=0,TRUE, FALSE)</f>
        <v>0</v>
      </c>
    </row>
    <row r="360" spans="1:13">
      <c r="A360">
        <v>42139</v>
      </c>
      <c r="B360" t="s">
        <v>325</v>
      </c>
      <c r="C360" t="s">
        <v>159</v>
      </c>
      <c r="D360" s="133">
        <v>15</v>
      </c>
      <c r="E360" s="133">
        <v>24</v>
      </c>
      <c r="F360" s="133">
        <v>0</v>
      </c>
      <c r="G360" s="133">
        <v>0</v>
      </c>
      <c r="H360" s="133">
        <v>0</v>
      </c>
      <c r="I360" s="133">
        <v>0</v>
      </c>
      <c r="J360" s="133">
        <v>0</v>
      </c>
      <c r="K360">
        <v>42139</v>
      </c>
      <c r="L360" s="133">
        <v>0</v>
      </c>
      <c r="M360" s="133" t="b">
        <f ca="1">IF(TODAY()-Table_Query_from_A_Readiness_19[[#This Row],[PER_DATE]]&gt;=0,TRUE, FALSE)</f>
        <v>0</v>
      </c>
    </row>
    <row r="361" spans="1:13">
      <c r="A361">
        <v>42139</v>
      </c>
      <c r="B361" t="s">
        <v>325</v>
      </c>
      <c r="C361" t="s">
        <v>160</v>
      </c>
      <c r="D361" s="133">
        <v>15</v>
      </c>
      <c r="E361" s="133">
        <v>24</v>
      </c>
      <c r="F361" s="133">
        <v>0</v>
      </c>
      <c r="G361" s="133">
        <v>0</v>
      </c>
      <c r="H361" s="133">
        <v>0</v>
      </c>
      <c r="I361" s="133">
        <v>0</v>
      </c>
      <c r="J361" s="133">
        <v>0</v>
      </c>
      <c r="K361">
        <v>42139</v>
      </c>
      <c r="L361" s="133">
        <v>0</v>
      </c>
      <c r="M361" s="133" t="b">
        <f ca="1">IF(TODAY()-Table_Query_from_A_Readiness_19[[#This Row],[PER_DATE]]&gt;=0,TRUE, FALSE)</f>
        <v>0</v>
      </c>
    </row>
    <row r="362" spans="1:13">
      <c r="A362">
        <v>42139</v>
      </c>
      <c r="B362" t="s">
        <v>332</v>
      </c>
      <c r="C362" t="s">
        <v>164</v>
      </c>
      <c r="D362" s="133">
        <v>16</v>
      </c>
      <c r="E362" s="133">
        <v>0</v>
      </c>
      <c r="F362" s="133">
        <v>1.2</v>
      </c>
      <c r="G362" s="133">
        <v>0</v>
      </c>
      <c r="H362" s="133">
        <v>0</v>
      </c>
      <c r="I362" s="133">
        <v>22.8</v>
      </c>
      <c r="J362" s="133">
        <v>0</v>
      </c>
      <c r="K362">
        <v>42110</v>
      </c>
      <c r="L362" s="133">
        <v>0</v>
      </c>
      <c r="M362" s="133" t="b">
        <f ca="1">IF(TODAY()-Table_Query_from_A_Readiness_19[[#This Row],[PER_DATE]]&gt;=0,TRUE, FALSE)</f>
        <v>1</v>
      </c>
    </row>
    <row r="363" spans="1:13">
      <c r="A363">
        <v>42139</v>
      </c>
      <c r="B363" t="s">
        <v>332</v>
      </c>
      <c r="C363" t="s">
        <v>161</v>
      </c>
      <c r="D363" s="133">
        <v>16</v>
      </c>
      <c r="E363" s="133">
        <v>0</v>
      </c>
      <c r="F363" s="133">
        <v>0</v>
      </c>
      <c r="G363" s="133">
        <v>0</v>
      </c>
      <c r="H363" s="133">
        <v>0</v>
      </c>
      <c r="I363" s="133">
        <v>0</v>
      </c>
      <c r="J363" s="133">
        <v>0</v>
      </c>
      <c r="K363">
        <v>42110</v>
      </c>
      <c r="L363" s="133">
        <v>24</v>
      </c>
      <c r="M363" s="133" t="b">
        <f ca="1">IF(TODAY()-Table_Query_from_A_Readiness_19[[#This Row],[PER_DATE]]&gt;=0,TRUE, FALSE)</f>
        <v>1</v>
      </c>
    </row>
    <row r="364" spans="1:13">
      <c r="A364">
        <v>42139</v>
      </c>
      <c r="B364" t="s">
        <v>332</v>
      </c>
      <c r="C364" t="s">
        <v>165</v>
      </c>
      <c r="D364" s="133">
        <v>16</v>
      </c>
      <c r="E364" s="133">
        <v>0</v>
      </c>
      <c r="F364" s="133">
        <v>12.4</v>
      </c>
      <c r="G364" s="133">
        <v>0</v>
      </c>
      <c r="H364" s="133">
        <v>11.6</v>
      </c>
      <c r="I364" s="133">
        <v>0</v>
      </c>
      <c r="J364" s="133">
        <v>0</v>
      </c>
      <c r="K364">
        <v>42110</v>
      </c>
      <c r="L364" s="133">
        <v>0</v>
      </c>
      <c r="M364" s="133" t="b">
        <f ca="1">IF(TODAY()-Table_Query_from_A_Readiness_19[[#This Row],[PER_DATE]]&gt;=0,TRUE, FALSE)</f>
        <v>1</v>
      </c>
    </row>
    <row r="365" spans="1:13">
      <c r="A365">
        <v>42139</v>
      </c>
      <c r="B365" t="s">
        <v>324</v>
      </c>
      <c r="C365" t="s">
        <v>148</v>
      </c>
      <c r="D365" s="133">
        <v>16</v>
      </c>
      <c r="E365" s="133">
        <v>0</v>
      </c>
      <c r="F365" s="133">
        <v>21</v>
      </c>
      <c r="G365" s="133">
        <v>0</v>
      </c>
      <c r="H365" s="133">
        <v>3</v>
      </c>
      <c r="I365" s="133">
        <v>0</v>
      </c>
      <c r="J365" s="133">
        <v>3</v>
      </c>
      <c r="K365">
        <v>42110</v>
      </c>
      <c r="L365" s="133">
        <v>0</v>
      </c>
      <c r="M365" s="133" t="b">
        <f ca="1">IF(TODAY()-Table_Query_from_A_Readiness_19[[#This Row],[PER_DATE]]&gt;=0,TRUE, FALSE)</f>
        <v>1</v>
      </c>
    </row>
    <row r="366" spans="1:13">
      <c r="A366">
        <v>42139</v>
      </c>
      <c r="B366" t="s">
        <v>332</v>
      </c>
      <c r="C366" t="s">
        <v>162</v>
      </c>
      <c r="D366" s="133">
        <v>16</v>
      </c>
      <c r="E366" s="133">
        <v>0</v>
      </c>
      <c r="F366" s="133">
        <v>24</v>
      </c>
      <c r="G366" s="133">
        <v>0</v>
      </c>
      <c r="H366" s="133">
        <v>0</v>
      </c>
      <c r="I366" s="133">
        <v>0</v>
      </c>
      <c r="J366" s="133">
        <v>0</v>
      </c>
      <c r="K366">
        <v>42110</v>
      </c>
      <c r="L366" s="133">
        <v>0</v>
      </c>
      <c r="M366" s="133" t="b">
        <f ca="1">IF(TODAY()-Table_Query_from_A_Readiness_19[[#This Row],[PER_DATE]]&gt;=0,TRUE, FALSE)</f>
        <v>1</v>
      </c>
    </row>
    <row r="367" spans="1:13">
      <c r="A367">
        <v>42139</v>
      </c>
      <c r="B367" t="s">
        <v>332</v>
      </c>
      <c r="C367" t="s">
        <v>163</v>
      </c>
      <c r="D367" s="133">
        <v>16</v>
      </c>
      <c r="E367" s="133">
        <v>0</v>
      </c>
      <c r="F367" s="133">
        <v>24</v>
      </c>
      <c r="G367" s="133">
        <v>0</v>
      </c>
      <c r="H367" s="133">
        <v>0</v>
      </c>
      <c r="I367" s="133">
        <v>0</v>
      </c>
      <c r="J367" s="133">
        <v>0</v>
      </c>
      <c r="K367">
        <v>42110</v>
      </c>
      <c r="L367" s="133">
        <v>0</v>
      </c>
      <c r="M367" s="133" t="b">
        <f ca="1">IF(TODAY()-Table_Query_from_A_Readiness_19[[#This Row],[PER_DATE]]&gt;=0,TRUE, FALSE)</f>
        <v>1</v>
      </c>
    </row>
    <row r="368" spans="1:13">
      <c r="A368">
        <v>42139</v>
      </c>
      <c r="B368" t="s">
        <v>325</v>
      </c>
      <c r="C368" t="s">
        <v>166</v>
      </c>
      <c r="D368" s="133">
        <v>16</v>
      </c>
      <c r="E368" s="133">
        <v>0</v>
      </c>
      <c r="F368" s="133">
        <v>0</v>
      </c>
      <c r="G368" s="133">
        <v>0</v>
      </c>
      <c r="H368" s="133">
        <v>24</v>
      </c>
      <c r="I368" s="133">
        <v>0</v>
      </c>
      <c r="J368" s="133">
        <v>0</v>
      </c>
      <c r="K368">
        <v>42110</v>
      </c>
      <c r="L368" s="133">
        <v>0</v>
      </c>
      <c r="M368" s="133" t="b">
        <f ca="1">IF(TODAY()-Table_Query_from_A_Readiness_19[[#This Row],[PER_DATE]]&gt;=0,TRUE, FALSE)</f>
        <v>1</v>
      </c>
    </row>
    <row r="369" spans="1:13">
      <c r="A369">
        <v>42139</v>
      </c>
      <c r="B369" t="s">
        <v>324</v>
      </c>
      <c r="C369" t="s">
        <v>149</v>
      </c>
      <c r="D369" s="133">
        <v>16</v>
      </c>
      <c r="E369" s="133">
        <v>0</v>
      </c>
      <c r="F369" s="133">
        <v>0</v>
      </c>
      <c r="G369" s="133">
        <v>0</v>
      </c>
      <c r="H369" s="133">
        <v>0</v>
      </c>
      <c r="I369" s="133">
        <v>24</v>
      </c>
      <c r="J369" s="133">
        <v>0</v>
      </c>
      <c r="K369">
        <v>42110</v>
      </c>
      <c r="L369" s="133">
        <v>0</v>
      </c>
      <c r="M369" s="133" t="b">
        <f ca="1">IF(TODAY()-Table_Query_from_A_Readiness_19[[#This Row],[PER_DATE]]&gt;=0,TRUE, FALSE)</f>
        <v>1</v>
      </c>
    </row>
    <row r="370" spans="1:13">
      <c r="A370">
        <v>42139</v>
      </c>
      <c r="B370" t="s">
        <v>332</v>
      </c>
      <c r="C370" t="s">
        <v>150</v>
      </c>
      <c r="D370" s="133">
        <v>16</v>
      </c>
      <c r="E370" s="133">
        <v>0</v>
      </c>
      <c r="F370" s="133">
        <v>24</v>
      </c>
      <c r="G370" s="133">
        <v>0</v>
      </c>
      <c r="H370" s="133">
        <v>0</v>
      </c>
      <c r="I370" s="133">
        <v>0</v>
      </c>
      <c r="J370" s="133">
        <v>0</v>
      </c>
      <c r="K370">
        <v>42110</v>
      </c>
      <c r="L370" s="133">
        <v>0</v>
      </c>
      <c r="M370" s="133" t="b">
        <f ca="1">IF(TODAY()-Table_Query_from_A_Readiness_19[[#This Row],[PER_DATE]]&gt;=0,TRUE, FALSE)</f>
        <v>1</v>
      </c>
    </row>
    <row r="371" spans="1:13">
      <c r="A371">
        <v>42139</v>
      </c>
      <c r="B371" t="s">
        <v>324</v>
      </c>
      <c r="C371" t="s">
        <v>151</v>
      </c>
      <c r="D371" s="133">
        <v>16</v>
      </c>
      <c r="E371" s="133">
        <v>0</v>
      </c>
      <c r="F371" s="133">
        <v>0</v>
      </c>
      <c r="G371" s="133">
        <v>0</v>
      </c>
      <c r="H371" s="133">
        <v>24</v>
      </c>
      <c r="I371" s="133">
        <v>0</v>
      </c>
      <c r="J371" s="133">
        <v>0</v>
      </c>
      <c r="K371">
        <v>42110</v>
      </c>
      <c r="L371" s="133">
        <v>0</v>
      </c>
      <c r="M371" s="133" t="b">
        <f ca="1">IF(TODAY()-Table_Query_from_A_Readiness_19[[#This Row],[PER_DATE]]&gt;=0,TRUE, FALSE)</f>
        <v>1</v>
      </c>
    </row>
    <row r="372" spans="1:13">
      <c r="A372">
        <v>42139</v>
      </c>
      <c r="B372" t="s">
        <v>325</v>
      </c>
      <c r="C372" t="s">
        <v>152</v>
      </c>
      <c r="D372" s="133">
        <v>16</v>
      </c>
      <c r="E372" s="133">
        <v>0</v>
      </c>
      <c r="F372" s="133">
        <v>0</v>
      </c>
      <c r="G372" s="133">
        <v>0</v>
      </c>
      <c r="H372" s="133">
        <v>24</v>
      </c>
      <c r="I372" s="133">
        <v>0</v>
      </c>
      <c r="J372" s="133">
        <v>0</v>
      </c>
      <c r="K372">
        <v>42110</v>
      </c>
      <c r="L372" s="133">
        <v>0</v>
      </c>
      <c r="M372" s="133" t="b">
        <f ca="1">IF(TODAY()-Table_Query_from_A_Readiness_19[[#This Row],[PER_DATE]]&gt;=0,TRUE, FALSE)</f>
        <v>1</v>
      </c>
    </row>
    <row r="373" spans="1:13">
      <c r="A373">
        <v>42139</v>
      </c>
      <c r="B373" t="s">
        <v>332</v>
      </c>
      <c r="C373" t="s">
        <v>145</v>
      </c>
      <c r="D373" s="133">
        <v>16</v>
      </c>
      <c r="E373" s="133">
        <v>0</v>
      </c>
      <c r="F373" s="133">
        <v>0</v>
      </c>
      <c r="G373" s="133">
        <v>0</v>
      </c>
      <c r="H373" s="133">
        <v>0</v>
      </c>
      <c r="I373" s="133">
        <v>24</v>
      </c>
      <c r="J373" s="133">
        <v>0</v>
      </c>
      <c r="K373">
        <v>42110</v>
      </c>
      <c r="L373" s="133">
        <v>0</v>
      </c>
      <c r="M373" s="133" t="b">
        <f ca="1">IF(TODAY()-Table_Query_from_A_Readiness_19[[#This Row],[PER_DATE]]&gt;=0,TRUE, FALSE)</f>
        <v>1</v>
      </c>
    </row>
    <row r="374" spans="1:13">
      <c r="A374">
        <v>42139</v>
      </c>
      <c r="B374" t="s">
        <v>325</v>
      </c>
      <c r="C374" t="s">
        <v>167</v>
      </c>
      <c r="D374" s="133">
        <v>16</v>
      </c>
      <c r="E374" s="133">
        <v>0</v>
      </c>
      <c r="F374" s="133">
        <v>0</v>
      </c>
      <c r="G374" s="133">
        <v>0</v>
      </c>
      <c r="H374" s="133">
        <v>0</v>
      </c>
      <c r="I374" s="133">
        <v>24</v>
      </c>
      <c r="J374" s="133">
        <v>0</v>
      </c>
      <c r="K374">
        <v>42110</v>
      </c>
      <c r="L374" s="133">
        <v>0</v>
      </c>
      <c r="M374" s="133" t="b">
        <f ca="1">IF(TODAY()-Table_Query_from_A_Readiness_19[[#This Row],[PER_DATE]]&gt;=0,TRUE, FALSE)</f>
        <v>1</v>
      </c>
    </row>
    <row r="375" spans="1:13">
      <c r="A375">
        <v>42139</v>
      </c>
      <c r="B375" t="s">
        <v>324</v>
      </c>
      <c r="C375" t="s">
        <v>153</v>
      </c>
      <c r="D375" s="133">
        <v>16</v>
      </c>
      <c r="E375" s="133">
        <v>0</v>
      </c>
      <c r="F375" s="133">
        <v>0</v>
      </c>
      <c r="G375" s="133">
        <v>0</v>
      </c>
      <c r="H375" s="133">
        <v>24</v>
      </c>
      <c r="I375" s="133">
        <v>0</v>
      </c>
      <c r="J375" s="133">
        <v>0</v>
      </c>
      <c r="K375">
        <v>42110</v>
      </c>
      <c r="L375" s="133">
        <v>0</v>
      </c>
      <c r="M375" s="133" t="b">
        <f ca="1">IF(TODAY()-Table_Query_from_A_Readiness_19[[#This Row],[PER_DATE]]&gt;=0,TRUE, FALSE)</f>
        <v>1</v>
      </c>
    </row>
    <row r="376" spans="1:13">
      <c r="A376">
        <v>42139</v>
      </c>
      <c r="B376" t="s">
        <v>325</v>
      </c>
      <c r="C376" t="s">
        <v>154</v>
      </c>
      <c r="D376" s="133">
        <v>16</v>
      </c>
      <c r="E376" s="133">
        <v>0</v>
      </c>
      <c r="F376" s="133">
        <v>24</v>
      </c>
      <c r="G376" s="133">
        <v>0</v>
      </c>
      <c r="H376" s="133">
        <v>0</v>
      </c>
      <c r="I376" s="133">
        <v>0</v>
      </c>
      <c r="J376" s="133">
        <v>0</v>
      </c>
      <c r="K376">
        <v>42110</v>
      </c>
      <c r="L376" s="133">
        <v>0</v>
      </c>
      <c r="M376" s="133" t="b">
        <f ca="1">IF(TODAY()-Table_Query_from_A_Readiness_19[[#This Row],[PER_DATE]]&gt;=0,TRUE, FALSE)</f>
        <v>1</v>
      </c>
    </row>
    <row r="377" spans="1:13">
      <c r="A377">
        <v>42139</v>
      </c>
      <c r="B377" t="s">
        <v>325</v>
      </c>
      <c r="C377" t="s">
        <v>168</v>
      </c>
      <c r="D377" s="133">
        <v>16</v>
      </c>
      <c r="E377" s="133">
        <v>0</v>
      </c>
      <c r="F377" s="133">
        <v>24</v>
      </c>
      <c r="G377" s="133">
        <v>0</v>
      </c>
      <c r="H377" s="133">
        <v>0</v>
      </c>
      <c r="I377" s="133">
        <v>0</v>
      </c>
      <c r="J377" s="133">
        <v>0</v>
      </c>
      <c r="K377">
        <v>42110</v>
      </c>
      <c r="L377" s="133">
        <v>0</v>
      </c>
      <c r="M377" s="133" t="b">
        <f ca="1">IF(TODAY()-Table_Query_from_A_Readiness_19[[#This Row],[PER_DATE]]&gt;=0,TRUE, FALSE)</f>
        <v>1</v>
      </c>
    </row>
    <row r="378" spans="1:13">
      <c r="A378">
        <v>42139</v>
      </c>
      <c r="B378" t="s">
        <v>324</v>
      </c>
      <c r="C378" t="s">
        <v>155</v>
      </c>
      <c r="D378" s="133">
        <v>16</v>
      </c>
      <c r="E378" s="133">
        <v>0</v>
      </c>
      <c r="F378" s="133">
        <v>0</v>
      </c>
      <c r="G378" s="133">
        <v>0</v>
      </c>
      <c r="H378" s="133">
        <v>0</v>
      </c>
      <c r="I378" s="133">
        <v>24</v>
      </c>
      <c r="J378" s="133">
        <v>0</v>
      </c>
      <c r="K378">
        <v>42110</v>
      </c>
      <c r="L378" s="133">
        <v>0</v>
      </c>
      <c r="M378" s="133" t="b">
        <f ca="1">IF(TODAY()-Table_Query_from_A_Readiness_19[[#This Row],[PER_DATE]]&gt;=0,TRUE, FALSE)</f>
        <v>1</v>
      </c>
    </row>
    <row r="379" spans="1:13">
      <c r="A379">
        <v>42139</v>
      </c>
      <c r="B379" t="s">
        <v>324</v>
      </c>
      <c r="C379" t="s">
        <v>156</v>
      </c>
      <c r="D379" s="133">
        <v>16</v>
      </c>
      <c r="E379" s="133">
        <v>0</v>
      </c>
      <c r="F379" s="133">
        <v>24</v>
      </c>
      <c r="G379" s="133">
        <v>0</v>
      </c>
      <c r="H379" s="133">
        <v>0</v>
      </c>
      <c r="I379" s="133">
        <v>0</v>
      </c>
      <c r="J379" s="133">
        <v>0</v>
      </c>
      <c r="K379">
        <v>42110</v>
      </c>
      <c r="L379" s="133">
        <v>0</v>
      </c>
      <c r="M379" s="133" t="b">
        <f ca="1">IF(TODAY()-Table_Query_from_A_Readiness_19[[#This Row],[PER_DATE]]&gt;=0,TRUE, FALSE)</f>
        <v>1</v>
      </c>
    </row>
    <row r="380" spans="1:13">
      <c r="A380">
        <v>42139</v>
      </c>
      <c r="B380" t="s">
        <v>325</v>
      </c>
      <c r="C380" t="s">
        <v>157</v>
      </c>
      <c r="D380" s="133">
        <v>16</v>
      </c>
      <c r="E380" s="133">
        <v>0</v>
      </c>
      <c r="F380" s="133">
        <v>24</v>
      </c>
      <c r="G380" s="133">
        <v>0</v>
      </c>
      <c r="H380" s="133">
        <v>0</v>
      </c>
      <c r="I380" s="133">
        <v>0</v>
      </c>
      <c r="J380" s="133">
        <v>0</v>
      </c>
      <c r="K380">
        <v>42110</v>
      </c>
      <c r="L380" s="133">
        <v>0</v>
      </c>
      <c r="M380" s="133" t="b">
        <f ca="1">IF(TODAY()-Table_Query_from_A_Readiness_19[[#This Row],[PER_DATE]]&gt;=0,TRUE, FALSE)</f>
        <v>1</v>
      </c>
    </row>
    <row r="381" spans="1:13">
      <c r="A381">
        <v>42139</v>
      </c>
      <c r="B381" t="s">
        <v>324</v>
      </c>
      <c r="C381" t="s">
        <v>169</v>
      </c>
      <c r="D381" s="133">
        <v>16</v>
      </c>
      <c r="E381" s="133">
        <v>0</v>
      </c>
      <c r="F381" s="133">
        <v>0</v>
      </c>
      <c r="G381" s="133">
        <v>0</v>
      </c>
      <c r="H381" s="133">
        <v>0</v>
      </c>
      <c r="I381" s="133">
        <v>24</v>
      </c>
      <c r="J381" s="133">
        <v>0</v>
      </c>
      <c r="K381">
        <v>42110</v>
      </c>
      <c r="L381" s="133">
        <v>0</v>
      </c>
      <c r="M381" s="133" t="b">
        <f ca="1">IF(TODAY()-Table_Query_from_A_Readiness_19[[#This Row],[PER_DATE]]&gt;=0,TRUE, FALSE)</f>
        <v>1</v>
      </c>
    </row>
    <row r="382" spans="1:13">
      <c r="A382">
        <v>42139</v>
      </c>
      <c r="B382" t="s">
        <v>332</v>
      </c>
      <c r="C382" t="s">
        <v>170</v>
      </c>
      <c r="D382" s="133">
        <v>16</v>
      </c>
      <c r="E382" s="133">
        <v>0</v>
      </c>
      <c r="F382" s="133">
        <v>0</v>
      </c>
      <c r="G382" s="133">
        <v>0</v>
      </c>
      <c r="H382" s="133">
        <v>24</v>
      </c>
      <c r="I382" s="133">
        <v>0</v>
      </c>
      <c r="J382" s="133">
        <v>0</v>
      </c>
      <c r="K382">
        <v>42110</v>
      </c>
      <c r="L382" s="133">
        <v>0</v>
      </c>
      <c r="M382" s="133" t="b">
        <f ca="1">IF(TODAY()-Table_Query_from_A_Readiness_19[[#This Row],[PER_DATE]]&gt;=0,TRUE, FALSE)</f>
        <v>1</v>
      </c>
    </row>
    <row r="383" spans="1:13">
      <c r="A383">
        <v>42139</v>
      </c>
      <c r="B383" t="s">
        <v>324</v>
      </c>
      <c r="C383" t="s">
        <v>158</v>
      </c>
      <c r="D383" s="133">
        <v>16</v>
      </c>
      <c r="E383" s="133">
        <v>0</v>
      </c>
      <c r="F383" s="133">
        <v>24</v>
      </c>
      <c r="G383" s="133">
        <v>0</v>
      </c>
      <c r="H383" s="133">
        <v>0</v>
      </c>
      <c r="I383" s="133">
        <v>0</v>
      </c>
      <c r="J383" s="133">
        <v>0</v>
      </c>
      <c r="K383">
        <v>42110</v>
      </c>
      <c r="L383" s="133">
        <v>0</v>
      </c>
      <c r="M383" s="133" t="b">
        <f ca="1">IF(TODAY()-Table_Query_from_A_Readiness_19[[#This Row],[PER_DATE]]&gt;=0,TRUE, FALSE)</f>
        <v>1</v>
      </c>
    </row>
    <row r="384" spans="1:13">
      <c r="A384">
        <v>42139</v>
      </c>
      <c r="B384" t="s">
        <v>325</v>
      </c>
      <c r="C384" t="s">
        <v>159</v>
      </c>
      <c r="D384" s="133">
        <v>16</v>
      </c>
      <c r="E384" s="133">
        <v>0</v>
      </c>
      <c r="F384" s="133">
        <v>0</v>
      </c>
      <c r="G384" s="133">
        <v>0</v>
      </c>
      <c r="H384" s="133">
        <v>0</v>
      </c>
      <c r="I384" s="133">
        <v>24</v>
      </c>
      <c r="J384" s="133">
        <v>1.5</v>
      </c>
      <c r="K384">
        <v>42110</v>
      </c>
      <c r="L384" s="133">
        <v>0</v>
      </c>
      <c r="M384" s="133" t="b">
        <f ca="1">IF(TODAY()-Table_Query_from_A_Readiness_19[[#This Row],[PER_DATE]]&gt;=0,TRUE, FALSE)</f>
        <v>1</v>
      </c>
    </row>
    <row r="385" spans="1:13">
      <c r="A385">
        <v>42139</v>
      </c>
      <c r="B385" t="s">
        <v>325</v>
      </c>
      <c r="C385" t="s">
        <v>160</v>
      </c>
      <c r="D385" s="133">
        <v>16</v>
      </c>
      <c r="E385" s="133">
        <v>0</v>
      </c>
      <c r="F385" s="133">
        <v>24</v>
      </c>
      <c r="G385" s="133">
        <v>0</v>
      </c>
      <c r="H385" s="133">
        <v>0</v>
      </c>
      <c r="I385" s="133">
        <v>0</v>
      </c>
      <c r="J385" s="133">
        <v>0</v>
      </c>
      <c r="K385">
        <v>42110</v>
      </c>
      <c r="L385" s="133">
        <v>0</v>
      </c>
      <c r="M385" s="133" t="b">
        <f ca="1">IF(TODAY()-Table_Query_from_A_Readiness_19[[#This Row],[PER_DATE]]&gt;=0,TRUE, FALSE)</f>
        <v>1</v>
      </c>
    </row>
    <row r="386" spans="1:13">
      <c r="A386">
        <v>42139</v>
      </c>
      <c r="B386" t="s">
        <v>332</v>
      </c>
      <c r="C386" t="s">
        <v>164</v>
      </c>
      <c r="D386" s="133">
        <v>17</v>
      </c>
      <c r="E386" s="133">
        <v>0</v>
      </c>
      <c r="F386" s="133">
        <v>24</v>
      </c>
      <c r="G386" s="133">
        <v>0</v>
      </c>
      <c r="H386" s="133">
        <v>0</v>
      </c>
      <c r="I386" s="133">
        <v>0</v>
      </c>
      <c r="J386" s="133">
        <v>0</v>
      </c>
      <c r="K386">
        <v>42111</v>
      </c>
      <c r="L386" s="133">
        <v>0</v>
      </c>
      <c r="M386" s="133" t="b">
        <f ca="1">IF(TODAY()-Table_Query_from_A_Readiness_19[[#This Row],[PER_DATE]]&gt;=0,TRUE, FALSE)</f>
        <v>1</v>
      </c>
    </row>
    <row r="387" spans="1:13">
      <c r="A387">
        <v>42139</v>
      </c>
      <c r="B387" t="s">
        <v>332</v>
      </c>
      <c r="C387" t="s">
        <v>161</v>
      </c>
      <c r="D387" s="133">
        <v>17</v>
      </c>
      <c r="E387" s="133">
        <v>0</v>
      </c>
      <c r="F387" s="133">
        <v>0</v>
      </c>
      <c r="G387" s="133">
        <v>0</v>
      </c>
      <c r="H387" s="133">
        <v>0</v>
      </c>
      <c r="I387" s="133">
        <v>0</v>
      </c>
      <c r="J387" s="133">
        <v>0</v>
      </c>
      <c r="K387">
        <v>42111</v>
      </c>
      <c r="L387" s="133">
        <v>24</v>
      </c>
      <c r="M387" s="133" t="b">
        <f ca="1">IF(TODAY()-Table_Query_from_A_Readiness_19[[#This Row],[PER_DATE]]&gt;=0,TRUE, FALSE)</f>
        <v>1</v>
      </c>
    </row>
    <row r="388" spans="1:13">
      <c r="A388">
        <v>42139</v>
      </c>
      <c r="B388" t="s">
        <v>332</v>
      </c>
      <c r="C388" t="s">
        <v>165</v>
      </c>
      <c r="D388" s="133">
        <v>17</v>
      </c>
      <c r="E388" s="133">
        <v>0</v>
      </c>
      <c r="F388" s="133">
        <v>24</v>
      </c>
      <c r="G388" s="133">
        <v>0</v>
      </c>
      <c r="H388" s="133">
        <v>0</v>
      </c>
      <c r="I388" s="133">
        <v>0</v>
      </c>
      <c r="J388" s="133">
        <v>0</v>
      </c>
      <c r="K388">
        <v>42111</v>
      </c>
      <c r="L388" s="133">
        <v>0</v>
      </c>
      <c r="M388" s="133" t="b">
        <f ca="1">IF(TODAY()-Table_Query_from_A_Readiness_19[[#This Row],[PER_DATE]]&gt;=0,TRUE, FALSE)</f>
        <v>1</v>
      </c>
    </row>
    <row r="389" spans="1:13">
      <c r="A389">
        <v>42139</v>
      </c>
      <c r="B389" t="s">
        <v>324</v>
      </c>
      <c r="C389" t="s">
        <v>148</v>
      </c>
      <c r="D389" s="133">
        <v>17</v>
      </c>
      <c r="E389" s="133">
        <v>0</v>
      </c>
      <c r="F389" s="133">
        <v>24</v>
      </c>
      <c r="G389" s="133">
        <v>0</v>
      </c>
      <c r="H389" s="133">
        <v>0</v>
      </c>
      <c r="I389" s="133">
        <v>0</v>
      </c>
      <c r="J389" s="133">
        <v>0</v>
      </c>
      <c r="K389">
        <v>42111</v>
      </c>
      <c r="L389" s="133">
        <v>0</v>
      </c>
      <c r="M389" s="133" t="b">
        <f ca="1">IF(TODAY()-Table_Query_from_A_Readiness_19[[#This Row],[PER_DATE]]&gt;=0,TRUE, FALSE)</f>
        <v>1</v>
      </c>
    </row>
    <row r="390" spans="1:13">
      <c r="A390">
        <v>42139</v>
      </c>
      <c r="B390" t="s">
        <v>332</v>
      </c>
      <c r="C390" t="s">
        <v>162</v>
      </c>
      <c r="D390" s="133">
        <v>17</v>
      </c>
      <c r="E390" s="133">
        <v>0</v>
      </c>
      <c r="F390" s="133">
        <v>24</v>
      </c>
      <c r="G390" s="133">
        <v>0</v>
      </c>
      <c r="H390" s="133">
        <v>0</v>
      </c>
      <c r="I390" s="133">
        <v>0</v>
      </c>
      <c r="J390" s="133">
        <v>0</v>
      </c>
      <c r="K390">
        <v>42111</v>
      </c>
      <c r="L390" s="133">
        <v>0</v>
      </c>
      <c r="M390" s="133" t="b">
        <f ca="1">IF(TODAY()-Table_Query_from_A_Readiness_19[[#This Row],[PER_DATE]]&gt;=0,TRUE, FALSE)</f>
        <v>1</v>
      </c>
    </row>
    <row r="391" spans="1:13">
      <c r="A391">
        <v>42139</v>
      </c>
      <c r="B391" t="s">
        <v>332</v>
      </c>
      <c r="C391" t="s">
        <v>163</v>
      </c>
      <c r="D391" s="133">
        <v>17</v>
      </c>
      <c r="E391" s="133">
        <v>0</v>
      </c>
      <c r="F391" s="133">
        <v>24</v>
      </c>
      <c r="G391" s="133">
        <v>0</v>
      </c>
      <c r="H391" s="133">
        <v>0</v>
      </c>
      <c r="I391" s="133">
        <v>0</v>
      </c>
      <c r="J391" s="133">
        <v>0</v>
      </c>
      <c r="K391">
        <v>42111</v>
      </c>
      <c r="L391" s="133">
        <v>0</v>
      </c>
      <c r="M391" s="133" t="b">
        <f ca="1">IF(TODAY()-Table_Query_from_A_Readiness_19[[#This Row],[PER_DATE]]&gt;=0,TRUE, FALSE)</f>
        <v>1</v>
      </c>
    </row>
    <row r="392" spans="1:13">
      <c r="A392">
        <v>42139</v>
      </c>
      <c r="B392" t="s">
        <v>325</v>
      </c>
      <c r="C392" t="s">
        <v>166</v>
      </c>
      <c r="D392" s="133">
        <v>17</v>
      </c>
      <c r="E392" s="133">
        <v>0</v>
      </c>
      <c r="F392" s="133">
        <v>0</v>
      </c>
      <c r="G392" s="133">
        <v>0</v>
      </c>
      <c r="H392" s="133">
        <v>24</v>
      </c>
      <c r="I392" s="133">
        <v>0</v>
      </c>
      <c r="J392" s="133">
        <v>0</v>
      </c>
      <c r="K392">
        <v>42111</v>
      </c>
      <c r="L392" s="133">
        <v>0</v>
      </c>
      <c r="M392" s="133" t="b">
        <f ca="1">IF(TODAY()-Table_Query_from_A_Readiness_19[[#This Row],[PER_DATE]]&gt;=0,TRUE, FALSE)</f>
        <v>1</v>
      </c>
    </row>
    <row r="393" spans="1:13">
      <c r="A393">
        <v>42139</v>
      </c>
      <c r="B393" t="s">
        <v>324</v>
      </c>
      <c r="C393" t="s">
        <v>149</v>
      </c>
      <c r="D393" s="133">
        <v>17</v>
      </c>
      <c r="E393" s="133">
        <v>0</v>
      </c>
      <c r="F393" s="133">
        <v>12.7</v>
      </c>
      <c r="G393" s="133">
        <v>0</v>
      </c>
      <c r="H393" s="133">
        <v>0</v>
      </c>
      <c r="I393" s="133">
        <v>11.3</v>
      </c>
      <c r="J393" s="133">
        <v>0</v>
      </c>
      <c r="K393">
        <v>42111</v>
      </c>
      <c r="L393" s="133">
        <v>0</v>
      </c>
      <c r="M393" s="133" t="b">
        <f ca="1">IF(TODAY()-Table_Query_from_A_Readiness_19[[#This Row],[PER_DATE]]&gt;=0,TRUE, FALSE)</f>
        <v>1</v>
      </c>
    </row>
    <row r="394" spans="1:13">
      <c r="A394">
        <v>42139</v>
      </c>
      <c r="B394" t="s">
        <v>332</v>
      </c>
      <c r="C394" t="s">
        <v>150</v>
      </c>
      <c r="D394" s="133">
        <v>17</v>
      </c>
      <c r="E394" s="133">
        <v>0</v>
      </c>
      <c r="F394" s="133">
        <v>24</v>
      </c>
      <c r="G394" s="133">
        <v>0</v>
      </c>
      <c r="H394" s="133">
        <v>0</v>
      </c>
      <c r="I394" s="133">
        <v>0</v>
      </c>
      <c r="J394" s="133">
        <v>0</v>
      </c>
      <c r="K394">
        <v>42111</v>
      </c>
      <c r="L394" s="133">
        <v>0</v>
      </c>
      <c r="M394" s="133" t="b">
        <f ca="1">IF(TODAY()-Table_Query_from_A_Readiness_19[[#This Row],[PER_DATE]]&gt;=0,TRUE, FALSE)</f>
        <v>1</v>
      </c>
    </row>
    <row r="395" spans="1:13">
      <c r="A395">
        <v>42139</v>
      </c>
      <c r="B395" t="s">
        <v>324</v>
      </c>
      <c r="C395" t="s">
        <v>151</v>
      </c>
      <c r="D395" s="133">
        <v>17</v>
      </c>
      <c r="E395" s="133">
        <v>0</v>
      </c>
      <c r="F395" s="133">
        <v>0</v>
      </c>
      <c r="G395" s="133">
        <v>0</v>
      </c>
      <c r="H395" s="133">
        <v>24</v>
      </c>
      <c r="I395" s="133">
        <v>0</v>
      </c>
      <c r="J395" s="133">
        <v>0</v>
      </c>
      <c r="K395">
        <v>42111</v>
      </c>
      <c r="L395" s="133">
        <v>0</v>
      </c>
      <c r="M395" s="133" t="b">
        <f ca="1">IF(TODAY()-Table_Query_from_A_Readiness_19[[#This Row],[PER_DATE]]&gt;=0,TRUE, FALSE)</f>
        <v>1</v>
      </c>
    </row>
    <row r="396" spans="1:13">
      <c r="A396">
        <v>42139</v>
      </c>
      <c r="B396" t="s">
        <v>325</v>
      </c>
      <c r="C396" t="s">
        <v>152</v>
      </c>
      <c r="D396" s="133">
        <v>17</v>
      </c>
      <c r="E396" s="133">
        <v>0</v>
      </c>
      <c r="F396" s="133">
        <v>0</v>
      </c>
      <c r="G396" s="133">
        <v>0</v>
      </c>
      <c r="H396" s="133">
        <v>24</v>
      </c>
      <c r="I396" s="133">
        <v>0</v>
      </c>
      <c r="J396" s="133">
        <v>0</v>
      </c>
      <c r="K396">
        <v>42111</v>
      </c>
      <c r="L396" s="133">
        <v>0</v>
      </c>
      <c r="M396" s="133" t="b">
        <f ca="1">IF(TODAY()-Table_Query_from_A_Readiness_19[[#This Row],[PER_DATE]]&gt;=0,TRUE, FALSE)</f>
        <v>1</v>
      </c>
    </row>
    <row r="397" spans="1:13">
      <c r="A397">
        <v>42139</v>
      </c>
      <c r="B397" t="s">
        <v>332</v>
      </c>
      <c r="C397" t="s">
        <v>145</v>
      </c>
      <c r="D397" s="133">
        <v>17</v>
      </c>
      <c r="E397" s="133">
        <v>0</v>
      </c>
      <c r="F397" s="133">
        <v>0</v>
      </c>
      <c r="G397" s="133">
        <v>0</v>
      </c>
      <c r="H397" s="133">
        <v>0</v>
      </c>
      <c r="I397" s="133">
        <v>24</v>
      </c>
      <c r="J397" s="133">
        <v>0</v>
      </c>
      <c r="K397">
        <v>42111</v>
      </c>
      <c r="L397" s="133">
        <v>0</v>
      </c>
      <c r="M397" s="133" t="b">
        <f ca="1">IF(TODAY()-Table_Query_from_A_Readiness_19[[#This Row],[PER_DATE]]&gt;=0,TRUE, FALSE)</f>
        <v>1</v>
      </c>
    </row>
    <row r="398" spans="1:13">
      <c r="A398">
        <v>42139</v>
      </c>
      <c r="B398" t="s">
        <v>325</v>
      </c>
      <c r="C398" t="s">
        <v>167</v>
      </c>
      <c r="D398" s="133">
        <v>17</v>
      </c>
      <c r="E398" s="133">
        <v>0</v>
      </c>
      <c r="F398" s="133">
        <v>0</v>
      </c>
      <c r="G398" s="133">
        <v>0</v>
      </c>
      <c r="H398" s="133">
        <v>0</v>
      </c>
      <c r="I398" s="133">
        <v>24</v>
      </c>
      <c r="J398" s="133">
        <v>0</v>
      </c>
      <c r="K398">
        <v>42111</v>
      </c>
      <c r="L398" s="133">
        <v>0</v>
      </c>
      <c r="M398" s="133" t="b">
        <f ca="1">IF(TODAY()-Table_Query_from_A_Readiness_19[[#This Row],[PER_DATE]]&gt;=0,TRUE, FALSE)</f>
        <v>1</v>
      </c>
    </row>
    <row r="399" spans="1:13">
      <c r="A399">
        <v>42139</v>
      </c>
      <c r="B399" t="s">
        <v>324</v>
      </c>
      <c r="C399" t="s">
        <v>153</v>
      </c>
      <c r="D399" s="133">
        <v>17</v>
      </c>
      <c r="E399" s="133">
        <v>0</v>
      </c>
      <c r="F399" s="133">
        <v>0</v>
      </c>
      <c r="G399" s="133">
        <v>0</v>
      </c>
      <c r="H399" s="133">
        <v>24</v>
      </c>
      <c r="I399" s="133">
        <v>0</v>
      </c>
      <c r="J399" s="133">
        <v>0</v>
      </c>
      <c r="K399">
        <v>42111</v>
      </c>
      <c r="L399" s="133">
        <v>0</v>
      </c>
      <c r="M399" s="133" t="b">
        <f ca="1">IF(TODAY()-Table_Query_from_A_Readiness_19[[#This Row],[PER_DATE]]&gt;=0,TRUE, FALSE)</f>
        <v>1</v>
      </c>
    </row>
    <row r="400" spans="1:13">
      <c r="A400">
        <v>42139</v>
      </c>
      <c r="B400" t="s">
        <v>325</v>
      </c>
      <c r="C400" t="s">
        <v>154</v>
      </c>
      <c r="D400" s="133">
        <v>17</v>
      </c>
      <c r="E400" s="133">
        <v>0</v>
      </c>
      <c r="F400" s="133">
        <v>24</v>
      </c>
      <c r="G400" s="133">
        <v>0</v>
      </c>
      <c r="H400" s="133">
        <v>0</v>
      </c>
      <c r="I400" s="133">
        <v>0</v>
      </c>
      <c r="J400" s="133">
        <v>0</v>
      </c>
      <c r="K400">
        <v>42111</v>
      </c>
      <c r="L400" s="133">
        <v>0</v>
      </c>
      <c r="M400" s="133" t="b">
        <f ca="1">IF(TODAY()-Table_Query_from_A_Readiness_19[[#This Row],[PER_DATE]]&gt;=0,TRUE, FALSE)</f>
        <v>1</v>
      </c>
    </row>
    <row r="401" spans="1:13">
      <c r="A401">
        <v>42139</v>
      </c>
      <c r="B401" t="s">
        <v>325</v>
      </c>
      <c r="C401" t="s">
        <v>168</v>
      </c>
      <c r="D401" s="133">
        <v>17</v>
      </c>
      <c r="E401" s="133">
        <v>0</v>
      </c>
      <c r="F401" s="133">
        <v>24</v>
      </c>
      <c r="G401" s="133">
        <v>0</v>
      </c>
      <c r="H401" s="133">
        <v>0</v>
      </c>
      <c r="I401" s="133">
        <v>0</v>
      </c>
      <c r="J401" s="133">
        <v>0</v>
      </c>
      <c r="K401">
        <v>42111</v>
      </c>
      <c r="L401" s="133">
        <v>0</v>
      </c>
      <c r="M401" s="133" t="b">
        <f ca="1">IF(TODAY()-Table_Query_from_A_Readiness_19[[#This Row],[PER_DATE]]&gt;=0,TRUE, FALSE)</f>
        <v>1</v>
      </c>
    </row>
    <row r="402" spans="1:13">
      <c r="A402">
        <v>42139</v>
      </c>
      <c r="B402" t="s">
        <v>324</v>
      </c>
      <c r="C402" t="s">
        <v>155</v>
      </c>
      <c r="D402" s="133">
        <v>17</v>
      </c>
      <c r="E402" s="133">
        <v>0</v>
      </c>
      <c r="F402" s="133">
        <v>0</v>
      </c>
      <c r="G402" s="133">
        <v>0</v>
      </c>
      <c r="H402" s="133">
        <v>0</v>
      </c>
      <c r="I402" s="133">
        <v>24</v>
      </c>
      <c r="J402" s="133">
        <v>0</v>
      </c>
      <c r="K402">
        <v>42111</v>
      </c>
      <c r="L402" s="133">
        <v>0</v>
      </c>
      <c r="M402" s="133" t="b">
        <f ca="1">IF(TODAY()-Table_Query_from_A_Readiness_19[[#This Row],[PER_DATE]]&gt;=0,TRUE, FALSE)</f>
        <v>1</v>
      </c>
    </row>
    <row r="403" spans="1:13">
      <c r="A403">
        <v>42139</v>
      </c>
      <c r="B403" t="s">
        <v>324</v>
      </c>
      <c r="C403" t="s">
        <v>156</v>
      </c>
      <c r="D403" s="133">
        <v>17</v>
      </c>
      <c r="E403" s="133">
        <v>0</v>
      </c>
      <c r="F403" s="133">
        <v>24</v>
      </c>
      <c r="G403" s="133">
        <v>0</v>
      </c>
      <c r="H403" s="133">
        <v>0</v>
      </c>
      <c r="I403" s="133">
        <v>0</v>
      </c>
      <c r="J403" s="133">
        <v>3.8</v>
      </c>
      <c r="K403">
        <v>42111</v>
      </c>
      <c r="L403" s="133">
        <v>0</v>
      </c>
      <c r="M403" s="133" t="b">
        <f ca="1">IF(TODAY()-Table_Query_from_A_Readiness_19[[#This Row],[PER_DATE]]&gt;=0,TRUE, FALSE)</f>
        <v>1</v>
      </c>
    </row>
    <row r="404" spans="1:13">
      <c r="A404">
        <v>42139</v>
      </c>
      <c r="B404" t="s">
        <v>325</v>
      </c>
      <c r="C404" t="s">
        <v>157</v>
      </c>
      <c r="D404" s="133">
        <v>17</v>
      </c>
      <c r="E404" s="133">
        <v>0</v>
      </c>
      <c r="F404" s="133">
        <v>24</v>
      </c>
      <c r="G404" s="133">
        <v>0</v>
      </c>
      <c r="H404" s="133">
        <v>0</v>
      </c>
      <c r="I404" s="133">
        <v>0</v>
      </c>
      <c r="J404" s="133">
        <v>0</v>
      </c>
      <c r="K404">
        <v>42111</v>
      </c>
      <c r="L404" s="133">
        <v>0</v>
      </c>
      <c r="M404" s="133" t="b">
        <f ca="1">IF(TODAY()-Table_Query_from_A_Readiness_19[[#This Row],[PER_DATE]]&gt;=0,TRUE, FALSE)</f>
        <v>1</v>
      </c>
    </row>
    <row r="405" spans="1:13">
      <c r="A405">
        <v>42139</v>
      </c>
      <c r="B405" t="s">
        <v>324</v>
      </c>
      <c r="C405" t="s">
        <v>169</v>
      </c>
      <c r="D405" s="133">
        <v>17</v>
      </c>
      <c r="E405" s="133">
        <v>0</v>
      </c>
      <c r="F405" s="133">
        <v>0</v>
      </c>
      <c r="G405" s="133">
        <v>0</v>
      </c>
      <c r="H405" s="133">
        <v>0</v>
      </c>
      <c r="I405" s="133">
        <v>24</v>
      </c>
      <c r="J405" s="133">
        <v>0</v>
      </c>
      <c r="K405">
        <v>42111</v>
      </c>
      <c r="L405" s="133">
        <v>0</v>
      </c>
      <c r="M405" s="133" t="b">
        <f ca="1">IF(TODAY()-Table_Query_from_A_Readiness_19[[#This Row],[PER_DATE]]&gt;=0,TRUE, FALSE)</f>
        <v>1</v>
      </c>
    </row>
    <row r="406" spans="1:13">
      <c r="A406">
        <v>42139</v>
      </c>
      <c r="B406" t="s">
        <v>332</v>
      </c>
      <c r="C406" t="s">
        <v>170</v>
      </c>
      <c r="D406" s="133">
        <v>17</v>
      </c>
      <c r="E406" s="133">
        <v>0</v>
      </c>
      <c r="F406" s="133">
        <v>0</v>
      </c>
      <c r="G406" s="133">
        <v>0</v>
      </c>
      <c r="H406" s="133">
        <v>24</v>
      </c>
      <c r="I406" s="133">
        <v>0</v>
      </c>
      <c r="J406" s="133">
        <v>0</v>
      </c>
      <c r="K406">
        <v>42111</v>
      </c>
      <c r="L406" s="133">
        <v>0</v>
      </c>
      <c r="M406" s="133" t="b">
        <f ca="1">IF(TODAY()-Table_Query_from_A_Readiness_19[[#This Row],[PER_DATE]]&gt;=0,TRUE, FALSE)</f>
        <v>1</v>
      </c>
    </row>
    <row r="407" spans="1:13">
      <c r="A407">
        <v>42139</v>
      </c>
      <c r="B407" t="s">
        <v>324</v>
      </c>
      <c r="C407" t="s">
        <v>158</v>
      </c>
      <c r="D407" s="133">
        <v>17</v>
      </c>
      <c r="E407" s="133">
        <v>0</v>
      </c>
      <c r="F407" s="133">
        <v>24</v>
      </c>
      <c r="G407" s="133">
        <v>0</v>
      </c>
      <c r="H407" s="133">
        <v>0</v>
      </c>
      <c r="I407" s="133">
        <v>0</v>
      </c>
      <c r="J407" s="133">
        <v>0</v>
      </c>
      <c r="K407">
        <v>42111</v>
      </c>
      <c r="L407" s="133">
        <v>0</v>
      </c>
      <c r="M407" s="133" t="b">
        <f ca="1">IF(TODAY()-Table_Query_from_A_Readiness_19[[#This Row],[PER_DATE]]&gt;=0,TRUE, FALSE)</f>
        <v>1</v>
      </c>
    </row>
    <row r="408" spans="1:13">
      <c r="A408">
        <v>42139</v>
      </c>
      <c r="B408" t="s">
        <v>325</v>
      </c>
      <c r="C408" t="s">
        <v>159</v>
      </c>
      <c r="D408" s="133">
        <v>17</v>
      </c>
      <c r="E408" s="133">
        <v>0</v>
      </c>
      <c r="F408" s="133">
        <v>8</v>
      </c>
      <c r="G408" s="133">
        <v>0</v>
      </c>
      <c r="H408" s="133">
        <v>0</v>
      </c>
      <c r="I408" s="133">
        <v>16</v>
      </c>
      <c r="J408" s="133">
        <v>0</v>
      </c>
      <c r="K408">
        <v>42111</v>
      </c>
      <c r="L408" s="133">
        <v>0</v>
      </c>
      <c r="M408" s="133" t="b">
        <f ca="1">IF(TODAY()-Table_Query_from_A_Readiness_19[[#This Row],[PER_DATE]]&gt;=0,TRUE, FALSE)</f>
        <v>1</v>
      </c>
    </row>
    <row r="409" spans="1:13">
      <c r="A409">
        <v>42139</v>
      </c>
      <c r="B409" t="s">
        <v>325</v>
      </c>
      <c r="C409" t="s">
        <v>160</v>
      </c>
      <c r="D409" s="133">
        <v>17</v>
      </c>
      <c r="E409" s="133">
        <v>0</v>
      </c>
      <c r="F409" s="133">
        <v>24</v>
      </c>
      <c r="G409" s="133">
        <v>0</v>
      </c>
      <c r="H409" s="133">
        <v>0</v>
      </c>
      <c r="I409" s="133">
        <v>0</v>
      </c>
      <c r="J409" s="133">
        <v>0</v>
      </c>
      <c r="K409">
        <v>42111</v>
      </c>
      <c r="L409" s="133">
        <v>0</v>
      </c>
      <c r="M409" s="133" t="b">
        <f ca="1">IF(TODAY()-Table_Query_from_A_Readiness_19[[#This Row],[PER_DATE]]&gt;=0,TRUE, FALSE)</f>
        <v>1</v>
      </c>
    </row>
    <row r="410" spans="1:13">
      <c r="A410">
        <v>42139</v>
      </c>
      <c r="B410" t="s">
        <v>332</v>
      </c>
      <c r="C410" t="s">
        <v>164</v>
      </c>
      <c r="D410" s="133">
        <v>18</v>
      </c>
      <c r="E410" s="133">
        <v>0</v>
      </c>
      <c r="F410" s="133">
        <v>24</v>
      </c>
      <c r="G410" s="133">
        <v>0</v>
      </c>
      <c r="H410" s="133">
        <v>0</v>
      </c>
      <c r="I410" s="133">
        <v>0</v>
      </c>
      <c r="J410" s="133">
        <v>0</v>
      </c>
      <c r="K410">
        <v>42112</v>
      </c>
      <c r="L410" s="133">
        <v>0</v>
      </c>
      <c r="M410" s="133" t="b">
        <f ca="1">IF(TODAY()-Table_Query_from_A_Readiness_19[[#This Row],[PER_DATE]]&gt;=0,TRUE, FALSE)</f>
        <v>1</v>
      </c>
    </row>
    <row r="411" spans="1:13">
      <c r="A411">
        <v>42139</v>
      </c>
      <c r="B411" t="s">
        <v>332</v>
      </c>
      <c r="C411" t="s">
        <v>161</v>
      </c>
      <c r="D411" s="133">
        <v>18</v>
      </c>
      <c r="E411" s="133">
        <v>0</v>
      </c>
      <c r="F411" s="133">
        <v>0</v>
      </c>
      <c r="G411" s="133">
        <v>0</v>
      </c>
      <c r="H411" s="133">
        <v>0</v>
      </c>
      <c r="I411" s="133">
        <v>0</v>
      </c>
      <c r="J411" s="133">
        <v>0</v>
      </c>
      <c r="K411">
        <v>42112</v>
      </c>
      <c r="L411" s="133">
        <v>24</v>
      </c>
      <c r="M411" s="133" t="b">
        <f ca="1">IF(TODAY()-Table_Query_from_A_Readiness_19[[#This Row],[PER_DATE]]&gt;=0,TRUE, FALSE)</f>
        <v>1</v>
      </c>
    </row>
    <row r="412" spans="1:13">
      <c r="A412">
        <v>42139</v>
      </c>
      <c r="B412" t="s">
        <v>332</v>
      </c>
      <c r="C412" t="s">
        <v>165</v>
      </c>
      <c r="D412" s="133">
        <v>18</v>
      </c>
      <c r="E412" s="133">
        <v>0</v>
      </c>
      <c r="F412" s="133">
        <v>24</v>
      </c>
      <c r="G412" s="133">
        <v>0</v>
      </c>
      <c r="H412" s="133">
        <v>0</v>
      </c>
      <c r="I412" s="133">
        <v>0</v>
      </c>
      <c r="J412" s="133">
        <v>0</v>
      </c>
      <c r="K412">
        <v>42112</v>
      </c>
      <c r="L412" s="133">
        <v>0</v>
      </c>
      <c r="M412" s="133" t="b">
        <f ca="1">IF(TODAY()-Table_Query_from_A_Readiness_19[[#This Row],[PER_DATE]]&gt;=0,TRUE, FALSE)</f>
        <v>1</v>
      </c>
    </row>
    <row r="413" spans="1:13">
      <c r="A413">
        <v>42139</v>
      </c>
      <c r="B413" t="s">
        <v>324</v>
      </c>
      <c r="C413" t="s">
        <v>148</v>
      </c>
      <c r="D413" s="133">
        <v>18</v>
      </c>
      <c r="E413" s="133">
        <v>0</v>
      </c>
      <c r="F413" s="133">
        <v>24</v>
      </c>
      <c r="G413" s="133">
        <v>0</v>
      </c>
      <c r="H413" s="133">
        <v>0</v>
      </c>
      <c r="I413" s="133">
        <v>0</v>
      </c>
      <c r="J413" s="133">
        <v>0</v>
      </c>
      <c r="K413">
        <v>42112</v>
      </c>
      <c r="L413" s="133">
        <v>0</v>
      </c>
      <c r="M413" s="133" t="b">
        <f ca="1">IF(TODAY()-Table_Query_from_A_Readiness_19[[#This Row],[PER_DATE]]&gt;=0,TRUE, FALSE)</f>
        <v>1</v>
      </c>
    </row>
    <row r="414" spans="1:13">
      <c r="A414">
        <v>42139</v>
      </c>
      <c r="B414" t="s">
        <v>332</v>
      </c>
      <c r="C414" t="s">
        <v>162</v>
      </c>
      <c r="D414" s="133">
        <v>18</v>
      </c>
      <c r="E414" s="133">
        <v>0</v>
      </c>
      <c r="F414" s="133">
        <v>24</v>
      </c>
      <c r="G414" s="133">
        <v>0</v>
      </c>
      <c r="H414" s="133">
        <v>0</v>
      </c>
      <c r="I414" s="133">
        <v>0</v>
      </c>
      <c r="J414" s="133">
        <v>0</v>
      </c>
      <c r="K414">
        <v>42112</v>
      </c>
      <c r="L414" s="133">
        <v>0</v>
      </c>
      <c r="M414" s="133" t="b">
        <f ca="1">IF(TODAY()-Table_Query_from_A_Readiness_19[[#This Row],[PER_DATE]]&gt;=0,TRUE, FALSE)</f>
        <v>1</v>
      </c>
    </row>
    <row r="415" spans="1:13">
      <c r="A415">
        <v>42139</v>
      </c>
      <c r="B415" t="s">
        <v>332</v>
      </c>
      <c r="C415" t="s">
        <v>163</v>
      </c>
      <c r="D415" s="133">
        <v>18</v>
      </c>
      <c r="E415" s="133">
        <v>0</v>
      </c>
      <c r="F415" s="133">
        <v>24</v>
      </c>
      <c r="G415" s="133">
        <v>0</v>
      </c>
      <c r="H415" s="133">
        <v>0</v>
      </c>
      <c r="I415" s="133">
        <v>0</v>
      </c>
      <c r="J415" s="133">
        <v>0</v>
      </c>
      <c r="K415">
        <v>42112</v>
      </c>
      <c r="L415" s="133">
        <v>0</v>
      </c>
      <c r="M415" s="133" t="b">
        <f ca="1">IF(TODAY()-Table_Query_from_A_Readiness_19[[#This Row],[PER_DATE]]&gt;=0,TRUE, FALSE)</f>
        <v>1</v>
      </c>
    </row>
    <row r="416" spans="1:13">
      <c r="A416">
        <v>42139</v>
      </c>
      <c r="B416" t="s">
        <v>325</v>
      </c>
      <c r="C416" t="s">
        <v>166</v>
      </c>
      <c r="D416" s="133">
        <v>18</v>
      </c>
      <c r="E416" s="133">
        <v>0</v>
      </c>
      <c r="F416" s="133">
        <v>0</v>
      </c>
      <c r="G416" s="133">
        <v>0</v>
      </c>
      <c r="H416" s="133">
        <v>24</v>
      </c>
      <c r="I416" s="133">
        <v>0</v>
      </c>
      <c r="J416" s="133">
        <v>0</v>
      </c>
      <c r="K416">
        <v>42112</v>
      </c>
      <c r="L416" s="133">
        <v>0</v>
      </c>
      <c r="M416" s="133" t="b">
        <f ca="1">IF(TODAY()-Table_Query_from_A_Readiness_19[[#This Row],[PER_DATE]]&gt;=0,TRUE, FALSE)</f>
        <v>1</v>
      </c>
    </row>
    <row r="417" spans="1:13">
      <c r="A417">
        <v>42139</v>
      </c>
      <c r="B417" t="s">
        <v>324</v>
      </c>
      <c r="C417" t="s">
        <v>149</v>
      </c>
      <c r="D417" s="133">
        <v>18</v>
      </c>
      <c r="E417" s="133">
        <v>0</v>
      </c>
      <c r="F417" s="133">
        <v>24</v>
      </c>
      <c r="G417" s="133">
        <v>0</v>
      </c>
      <c r="H417" s="133">
        <v>0</v>
      </c>
      <c r="I417" s="133">
        <v>0</v>
      </c>
      <c r="J417" s="133">
        <v>0</v>
      </c>
      <c r="K417">
        <v>42112</v>
      </c>
      <c r="L417" s="133">
        <v>0</v>
      </c>
      <c r="M417" s="133" t="b">
        <f ca="1">IF(TODAY()-Table_Query_from_A_Readiness_19[[#This Row],[PER_DATE]]&gt;=0,TRUE, FALSE)</f>
        <v>1</v>
      </c>
    </row>
    <row r="418" spans="1:13">
      <c r="A418">
        <v>42139</v>
      </c>
      <c r="B418" t="s">
        <v>332</v>
      </c>
      <c r="C418" t="s">
        <v>150</v>
      </c>
      <c r="D418" s="133">
        <v>18</v>
      </c>
      <c r="E418" s="133">
        <v>0</v>
      </c>
      <c r="F418" s="133">
        <v>24</v>
      </c>
      <c r="G418" s="133">
        <v>0</v>
      </c>
      <c r="H418" s="133">
        <v>0</v>
      </c>
      <c r="I418" s="133">
        <v>0</v>
      </c>
      <c r="J418" s="133">
        <v>0</v>
      </c>
      <c r="K418">
        <v>42112</v>
      </c>
      <c r="L418" s="133">
        <v>0</v>
      </c>
      <c r="M418" s="133" t="b">
        <f ca="1">IF(TODAY()-Table_Query_from_A_Readiness_19[[#This Row],[PER_DATE]]&gt;=0,TRUE, FALSE)</f>
        <v>1</v>
      </c>
    </row>
    <row r="419" spans="1:13">
      <c r="A419">
        <v>42139</v>
      </c>
      <c r="B419" t="s">
        <v>324</v>
      </c>
      <c r="C419" t="s">
        <v>151</v>
      </c>
      <c r="D419" s="133">
        <v>18</v>
      </c>
      <c r="E419" s="133">
        <v>0</v>
      </c>
      <c r="F419" s="133">
        <v>0</v>
      </c>
      <c r="G419" s="133">
        <v>0</v>
      </c>
      <c r="H419" s="133">
        <v>24</v>
      </c>
      <c r="I419" s="133">
        <v>0</v>
      </c>
      <c r="J419" s="133">
        <v>0</v>
      </c>
      <c r="K419">
        <v>42112</v>
      </c>
      <c r="L419" s="133">
        <v>0</v>
      </c>
      <c r="M419" s="133" t="b">
        <f ca="1">IF(TODAY()-Table_Query_from_A_Readiness_19[[#This Row],[PER_DATE]]&gt;=0,TRUE, FALSE)</f>
        <v>1</v>
      </c>
    </row>
    <row r="420" spans="1:13">
      <c r="A420">
        <v>42139</v>
      </c>
      <c r="B420" t="s">
        <v>325</v>
      </c>
      <c r="C420" t="s">
        <v>152</v>
      </c>
      <c r="D420" s="133">
        <v>18</v>
      </c>
      <c r="E420" s="133">
        <v>0</v>
      </c>
      <c r="F420" s="133">
        <v>0</v>
      </c>
      <c r="G420" s="133">
        <v>0</v>
      </c>
      <c r="H420" s="133">
        <v>24</v>
      </c>
      <c r="I420" s="133">
        <v>0</v>
      </c>
      <c r="J420" s="133">
        <v>0</v>
      </c>
      <c r="K420">
        <v>42112</v>
      </c>
      <c r="L420" s="133">
        <v>0</v>
      </c>
      <c r="M420" s="133" t="b">
        <f ca="1">IF(TODAY()-Table_Query_from_A_Readiness_19[[#This Row],[PER_DATE]]&gt;=0,TRUE, FALSE)</f>
        <v>1</v>
      </c>
    </row>
    <row r="421" spans="1:13">
      <c r="A421">
        <v>42139</v>
      </c>
      <c r="B421" t="s">
        <v>332</v>
      </c>
      <c r="C421" t="s">
        <v>145</v>
      </c>
      <c r="D421" s="133">
        <v>18</v>
      </c>
      <c r="E421" s="133">
        <v>0</v>
      </c>
      <c r="F421" s="133">
        <v>0</v>
      </c>
      <c r="G421" s="133">
        <v>0</v>
      </c>
      <c r="H421" s="133">
        <v>0</v>
      </c>
      <c r="I421" s="133">
        <v>24</v>
      </c>
      <c r="J421" s="133">
        <v>0</v>
      </c>
      <c r="K421">
        <v>42112</v>
      </c>
      <c r="L421" s="133">
        <v>0</v>
      </c>
      <c r="M421" s="133" t="b">
        <f ca="1">IF(TODAY()-Table_Query_from_A_Readiness_19[[#This Row],[PER_DATE]]&gt;=0,TRUE, FALSE)</f>
        <v>1</v>
      </c>
    </row>
    <row r="422" spans="1:13">
      <c r="A422">
        <v>42139</v>
      </c>
      <c r="B422" t="s">
        <v>325</v>
      </c>
      <c r="C422" t="s">
        <v>167</v>
      </c>
      <c r="D422" s="133">
        <v>18</v>
      </c>
      <c r="E422" s="133">
        <v>0</v>
      </c>
      <c r="F422" s="133">
        <v>0</v>
      </c>
      <c r="G422" s="133">
        <v>0</v>
      </c>
      <c r="H422" s="133">
        <v>0</v>
      </c>
      <c r="I422" s="133">
        <v>24</v>
      </c>
      <c r="J422" s="133">
        <v>0</v>
      </c>
      <c r="K422">
        <v>42112</v>
      </c>
      <c r="L422" s="133">
        <v>0</v>
      </c>
      <c r="M422" s="133" t="b">
        <f ca="1">IF(TODAY()-Table_Query_from_A_Readiness_19[[#This Row],[PER_DATE]]&gt;=0,TRUE, FALSE)</f>
        <v>1</v>
      </c>
    </row>
    <row r="423" spans="1:13">
      <c r="A423">
        <v>42139</v>
      </c>
      <c r="B423" t="s">
        <v>324</v>
      </c>
      <c r="C423" t="s">
        <v>153</v>
      </c>
      <c r="D423" s="133">
        <v>18</v>
      </c>
      <c r="E423" s="133">
        <v>0</v>
      </c>
      <c r="F423" s="133">
        <v>0</v>
      </c>
      <c r="G423" s="133">
        <v>0</v>
      </c>
      <c r="H423" s="133">
        <v>24</v>
      </c>
      <c r="I423" s="133">
        <v>0</v>
      </c>
      <c r="J423" s="133">
        <v>0</v>
      </c>
      <c r="K423">
        <v>42112</v>
      </c>
      <c r="L423" s="133">
        <v>0</v>
      </c>
      <c r="M423" s="133" t="b">
        <f ca="1">IF(TODAY()-Table_Query_from_A_Readiness_19[[#This Row],[PER_DATE]]&gt;=0,TRUE, FALSE)</f>
        <v>1</v>
      </c>
    </row>
    <row r="424" spans="1:13">
      <c r="A424">
        <v>42139</v>
      </c>
      <c r="B424" t="s">
        <v>325</v>
      </c>
      <c r="C424" t="s">
        <v>154</v>
      </c>
      <c r="D424" s="133">
        <v>18</v>
      </c>
      <c r="E424" s="133">
        <v>0</v>
      </c>
      <c r="F424" s="133">
        <v>24</v>
      </c>
      <c r="G424" s="133">
        <v>0</v>
      </c>
      <c r="H424" s="133">
        <v>0</v>
      </c>
      <c r="I424" s="133">
        <v>0</v>
      </c>
      <c r="J424" s="133">
        <v>0</v>
      </c>
      <c r="K424">
        <v>42112</v>
      </c>
      <c r="L424" s="133">
        <v>0</v>
      </c>
      <c r="M424" s="133" t="b">
        <f ca="1">IF(TODAY()-Table_Query_from_A_Readiness_19[[#This Row],[PER_DATE]]&gt;=0,TRUE, FALSE)</f>
        <v>1</v>
      </c>
    </row>
    <row r="425" spans="1:13">
      <c r="A425">
        <v>42139</v>
      </c>
      <c r="B425" t="s">
        <v>325</v>
      </c>
      <c r="C425" t="s">
        <v>168</v>
      </c>
      <c r="D425" s="133">
        <v>18</v>
      </c>
      <c r="E425" s="133">
        <v>0</v>
      </c>
      <c r="F425" s="133">
        <v>24</v>
      </c>
      <c r="G425" s="133">
        <v>0</v>
      </c>
      <c r="H425" s="133">
        <v>0</v>
      </c>
      <c r="I425" s="133">
        <v>0</v>
      </c>
      <c r="J425" s="133">
        <v>0</v>
      </c>
      <c r="K425">
        <v>42112</v>
      </c>
      <c r="L425" s="133">
        <v>0</v>
      </c>
      <c r="M425" s="133" t="b">
        <f ca="1">IF(TODAY()-Table_Query_from_A_Readiness_19[[#This Row],[PER_DATE]]&gt;=0,TRUE, FALSE)</f>
        <v>1</v>
      </c>
    </row>
    <row r="426" spans="1:13">
      <c r="A426">
        <v>42139</v>
      </c>
      <c r="B426" t="s">
        <v>324</v>
      </c>
      <c r="C426" t="s">
        <v>155</v>
      </c>
      <c r="D426" s="133">
        <v>18</v>
      </c>
      <c r="E426" s="133">
        <v>0</v>
      </c>
      <c r="F426" s="133">
        <v>0</v>
      </c>
      <c r="G426" s="133">
        <v>0</v>
      </c>
      <c r="H426" s="133">
        <v>0</v>
      </c>
      <c r="I426" s="133">
        <v>24</v>
      </c>
      <c r="J426" s="133">
        <v>0</v>
      </c>
      <c r="K426">
        <v>42112</v>
      </c>
      <c r="L426" s="133">
        <v>0</v>
      </c>
      <c r="M426" s="133" t="b">
        <f ca="1">IF(TODAY()-Table_Query_from_A_Readiness_19[[#This Row],[PER_DATE]]&gt;=0,TRUE, FALSE)</f>
        <v>1</v>
      </c>
    </row>
    <row r="427" spans="1:13">
      <c r="A427">
        <v>42139</v>
      </c>
      <c r="B427" t="s">
        <v>324</v>
      </c>
      <c r="C427" t="s">
        <v>156</v>
      </c>
      <c r="D427" s="133">
        <v>18</v>
      </c>
      <c r="E427" s="133">
        <v>0</v>
      </c>
      <c r="F427" s="133">
        <v>24</v>
      </c>
      <c r="G427" s="133">
        <v>0</v>
      </c>
      <c r="H427" s="133">
        <v>0</v>
      </c>
      <c r="I427" s="133">
        <v>0</v>
      </c>
      <c r="J427" s="133">
        <v>0</v>
      </c>
      <c r="K427">
        <v>42112</v>
      </c>
      <c r="L427" s="133">
        <v>0</v>
      </c>
      <c r="M427" s="133" t="b">
        <f ca="1">IF(TODAY()-Table_Query_from_A_Readiness_19[[#This Row],[PER_DATE]]&gt;=0,TRUE, FALSE)</f>
        <v>1</v>
      </c>
    </row>
    <row r="428" spans="1:13">
      <c r="A428">
        <v>42139</v>
      </c>
      <c r="B428" t="s">
        <v>325</v>
      </c>
      <c r="C428" t="s">
        <v>157</v>
      </c>
      <c r="D428" s="133">
        <v>18</v>
      </c>
      <c r="E428" s="133">
        <v>0</v>
      </c>
      <c r="F428" s="133">
        <v>24</v>
      </c>
      <c r="G428" s="133">
        <v>0</v>
      </c>
      <c r="H428" s="133">
        <v>0</v>
      </c>
      <c r="I428" s="133">
        <v>0</v>
      </c>
      <c r="J428" s="133">
        <v>0</v>
      </c>
      <c r="K428">
        <v>42112</v>
      </c>
      <c r="L428" s="133">
        <v>0</v>
      </c>
      <c r="M428" s="133" t="b">
        <f ca="1">IF(TODAY()-Table_Query_from_A_Readiness_19[[#This Row],[PER_DATE]]&gt;=0,TRUE, FALSE)</f>
        <v>1</v>
      </c>
    </row>
    <row r="429" spans="1:13">
      <c r="A429">
        <v>42139</v>
      </c>
      <c r="B429" t="s">
        <v>324</v>
      </c>
      <c r="C429" t="s">
        <v>169</v>
      </c>
      <c r="D429" s="133">
        <v>18</v>
      </c>
      <c r="E429" s="133">
        <v>0</v>
      </c>
      <c r="F429" s="133">
        <v>0</v>
      </c>
      <c r="G429" s="133">
        <v>0</v>
      </c>
      <c r="H429" s="133">
        <v>0</v>
      </c>
      <c r="I429" s="133">
        <v>24</v>
      </c>
      <c r="J429" s="133">
        <v>0</v>
      </c>
      <c r="K429">
        <v>42112</v>
      </c>
      <c r="L429" s="133">
        <v>0</v>
      </c>
      <c r="M429" s="133" t="b">
        <f ca="1">IF(TODAY()-Table_Query_from_A_Readiness_19[[#This Row],[PER_DATE]]&gt;=0,TRUE, FALSE)</f>
        <v>1</v>
      </c>
    </row>
    <row r="430" spans="1:13">
      <c r="A430">
        <v>42139</v>
      </c>
      <c r="B430" t="s">
        <v>332</v>
      </c>
      <c r="C430" t="s">
        <v>170</v>
      </c>
      <c r="D430" s="133">
        <v>18</v>
      </c>
      <c r="E430" s="133">
        <v>0</v>
      </c>
      <c r="F430" s="133">
        <v>0</v>
      </c>
      <c r="G430" s="133">
        <v>0</v>
      </c>
      <c r="H430" s="133">
        <v>24</v>
      </c>
      <c r="I430" s="133">
        <v>0</v>
      </c>
      <c r="J430" s="133">
        <v>0</v>
      </c>
      <c r="K430">
        <v>42112</v>
      </c>
      <c r="L430" s="133">
        <v>0</v>
      </c>
      <c r="M430" s="133" t="b">
        <f ca="1">IF(TODAY()-Table_Query_from_A_Readiness_19[[#This Row],[PER_DATE]]&gt;=0,TRUE, FALSE)</f>
        <v>1</v>
      </c>
    </row>
    <row r="431" spans="1:13">
      <c r="A431">
        <v>42139</v>
      </c>
      <c r="B431" t="s">
        <v>324</v>
      </c>
      <c r="C431" t="s">
        <v>158</v>
      </c>
      <c r="D431" s="133">
        <v>18</v>
      </c>
      <c r="E431" s="133">
        <v>0</v>
      </c>
      <c r="F431" s="133">
        <v>24</v>
      </c>
      <c r="G431" s="133">
        <v>0</v>
      </c>
      <c r="H431" s="133">
        <v>0</v>
      </c>
      <c r="I431" s="133">
        <v>0</v>
      </c>
      <c r="J431" s="133">
        <v>0</v>
      </c>
      <c r="K431">
        <v>42112</v>
      </c>
      <c r="L431" s="133">
        <v>0</v>
      </c>
      <c r="M431" s="133" t="b">
        <f ca="1">IF(TODAY()-Table_Query_from_A_Readiness_19[[#This Row],[PER_DATE]]&gt;=0,TRUE, FALSE)</f>
        <v>1</v>
      </c>
    </row>
    <row r="432" spans="1:13">
      <c r="A432">
        <v>42139</v>
      </c>
      <c r="B432" t="s">
        <v>325</v>
      </c>
      <c r="C432" t="s">
        <v>159</v>
      </c>
      <c r="D432" s="133">
        <v>18</v>
      </c>
      <c r="E432" s="133">
        <v>0</v>
      </c>
      <c r="F432" s="133">
        <v>24</v>
      </c>
      <c r="G432" s="133">
        <v>0</v>
      </c>
      <c r="H432" s="133">
        <v>0</v>
      </c>
      <c r="I432" s="133">
        <v>0</v>
      </c>
      <c r="J432" s="133">
        <v>0</v>
      </c>
      <c r="K432">
        <v>42112</v>
      </c>
      <c r="L432" s="133">
        <v>0</v>
      </c>
      <c r="M432" s="133" t="b">
        <f ca="1">IF(TODAY()-Table_Query_from_A_Readiness_19[[#This Row],[PER_DATE]]&gt;=0,TRUE, FALSE)</f>
        <v>1</v>
      </c>
    </row>
    <row r="433" spans="1:13">
      <c r="A433">
        <v>42139</v>
      </c>
      <c r="B433" t="s">
        <v>325</v>
      </c>
      <c r="C433" t="s">
        <v>160</v>
      </c>
      <c r="D433" s="133">
        <v>18</v>
      </c>
      <c r="E433" s="133">
        <v>0</v>
      </c>
      <c r="F433" s="133">
        <v>24</v>
      </c>
      <c r="G433" s="133">
        <v>0</v>
      </c>
      <c r="H433" s="133">
        <v>0</v>
      </c>
      <c r="I433" s="133">
        <v>0</v>
      </c>
      <c r="J433" s="133">
        <v>0</v>
      </c>
      <c r="K433">
        <v>42112</v>
      </c>
      <c r="L433" s="133">
        <v>0</v>
      </c>
      <c r="M433" s="133" t="b">
        <f ca="1">IF(TODAY()-Table_Query_from_A_Readiness_19[[#This Row],[PER_DATE]]&gt;=0,TRUE, FALSE)</f>
        <v>1</v>
      </c>
    </row>
    <row r="434" spans="1:13">
      <c r="A434">
        <v>42139</v>
      </c>
      <c r="B434" t="s">
        <v>332</v>
      </c>
      <c r="C434" t="s">
        <v>164</v>
      </c>
      <c r="D434" s="133">
        <v>19</v>
      </c>
      <c r="E434" s="133">
        <v>0</v>
      </c>
      <c r="F434" s="133">
        <v>24</v>
      </c>
      <c r="G434" s="133">
        <v>0</v>
      </c>
      <c r="H434" s="133">
        <v>0</v>
      </c>
      <c r="I434" s="133">
        <v>0</v>
      </c>
      <c r="J434" s="133">
        <v>0</v>
      </c>
      <c r="K434">
        <v>42113</v>
      </c>
      <c r="L434" s="133">
        <v>0</v>
      </c>
      <c r="M434" s="133" t="b">
        <f ca="1">IF(TODAY()-Table_Query_from_A_Readiness_19[[#This Row],[PER_DATE]]&gt;=0,TRUE, FALSE)</f>
        <v>1</v>
      </c>
    </row>
    <row r="435" spans="1:13">
      <c r="A435">
        <v>42139</v>
      </c>
      <c r="B435" t="s">
        <v>332</v>
      </c>
      <c r="C435" t="s">
        <v>161</v>
      </c>
      <c r="D435" s="133">
        <v>19</v>
      </c>
      <c r="E435" s="133">
        <v>0</v>
      </c>
      <c r="F435" s="133">
        <v>0</v>
      </c>
      <c r="G435" s="133">
        <v>0</v>
      </c>
      <c r="H435" s="133">
        <v>0</v>
      </c>
      <c r="I435" s="133">
        <v>0</v>
      </c>
      <c r="J435" s="133">
        <v>0</v>
      </c>
      <c r="K435">
        <v>42113</v>
      </c>
      <c r="L435" s="133">
        <v>24</v>
      </c>
      <c r="M435" s="133" t="b">
        <f ca="1">IF(TODAY()-Table_Query_from_A_Readiness_19[[#This Row],[PER_DATE]]&gt;=0,TRUE, FALSE)</f>
        <v>1</v>
      </c>
    </row>
    <row r="436" spans="1:13">
      <c r="A436">
        <v>42139</v>
      </c>
      <c r="B436" t="s">
        <v>332</v>
      </c>
      <c r="C436" t="s">
        <v>165</v>
      </c>
      <c r="D436" s="133">
        <v>19</v>
      </c>
      <c r="E436" s="133">
        <v>0</v>
      </c>
      <c r="F436" s="133">
        <v>24</v>
      </c>
      <c r="G436" s="133">
        <v>0</v>
      </c>
      <c r="H436" s="133">
        <v>0</v>
      </c>
      <c r="I436" s="133">
        <v>0</v>
      </c>
      <c r="J436" s="133">
        <v>0</v>
      </c>
      <c r="K436">
        <v>42113</v>
      </c>
      <c r="L436" s="133">
        <v>0</v>
      </c>
      <c r="M436" s="133" t="b">
        <f ca="1">IF(TODAY()-Table_Query_from_A_Readiness_19[[#This Row],[PER_DATE]]&gt;=0,TRUE, FALSE)</f>
        <v>1</v>
      </c>
    </row>
    <row r="437" spans="1:13">
      <c r="A437">
        <v>42139</v>
      </c>
      <c r="B437" t="s">
        <v>324</v>
      </c>
      <c r="C437" t="s">
        <v>148</v>
      </c>
      <c r="D437" s="133">
        <v>19</v>
      </c>
      <c r="E437" s="133">
        <v>0</v>
      </c>
      <c r="F437" s="133">
        <v>24</v>
      </c>
      <c r="G437" s="133">
        <v>0</v>
      </c>
      <c r="H437" s="133">
        <v>0</v>
      </c>
      <c r="I437" s="133">
        <v>0</v>
      </c>
      <c r="J437" s="133">
        <v>0</v>
      </c>
      <c r="K437">
        <v>42113</v>
      </c>
      <c r="L437" s="133">
        <v>0</v>
      </c>
      <c r="M437" s="133" t="b">
        <f ca="1">IF(TODAY()-Table_Query_from_A_Readiness_19[[#This Row],[PER_DATE]]&gt;=0,TRUE, FALSE)</f>
        <v>1</v>
      </c>
    </row>
    <row r="438" spans="1:13">
      <c r="A438">
        <v>42139</v>
      </c>
      <c r="B438" t="s">
        <v>332</v>
      </c>
      <c r="C438" t="s">
        <v>162</v>
      </c>
      <c r="D438" s="133">
        <v>19</v>
      </c>
      <c r="E438" s="133">
        <v>0</v>
      </c>
      <c r="F438" s="133">
        <v>24</v>
      </c>
      <c r="G438" s="133">
        <v>0</v>
      </c>
      <c r="H438" s="133">
        <v>0</v>
      </c>
      <c r="I438" s="133">
        <v>0</v>
      </c>
      <c r="J438" s="133">
        <v>0</v>
      </c>
      <c r="K438">
        <v>42113</v>
      </c>
      <c r="L438" s="133">
        <v>0</v>
      </c>
      <c r="M438" s="133" t="b">
        <f ca="1">IF(TODAY()-Table_Query_from_A_Readiness_19[[#This Row],[PER_DATE]]&gt;=0,TRUE, FALSE)</f>
        <v>1</v>
      </c>
    </row>
    <row r="439" spans="1:13">
      <c r="A439">
        <v>42139</v>
      </c>
      <c r="B439" t="s">
        <v>332</v>
      </c>
      <c r="C439" t="s">
        <v>163</v>
      </c>
      <c r="D439" s="133">
        <v>19</v>
      </c>
      <c r="E439" s="133">
        <v>0</v>
      </c>
      <c r="F439" s="133">
        <v>24</v>
      </c>
      <c r="G439" s="133">
        <v>0</v>
      </c>
      <c r="H439" s="133">
        <v>0</v>
      </c>
      <c r="I439" s="133">
        <v>0</v>
      </c>
      <c r="J439" s="133">
        <v>0</v>
      </c>
      <c r="K439">
        <v>42113</v>
      </c>
      <c r="L439" s="133">
        <v>0</v>
      </c>
      <c r="M439" s="133" t="b">
        <f ca="1">IF(TODAY()-Table_Query_from_A_Readiness_19[[#This Row],[PER_DATE]]&gt;=0,TRUE, FALSE)</f>
        <v>1</v>
      </c>
    </row>
    <row r="440" spans="1:13">
      <c r="A440">
        <v>42139</v>
      </c>
      <c r="B440" t="s">
        <v>325</v>
      </c>
      <c r="C440" t="s">
        <v>166</v>
      </c>
      <c r="D440" s="133">
        <v>19</v>
      </c>
      <c r="E440" s="133">
        <v>0</v>
      </c>
      <c r="F440" s="133">
        <v>0</v>
      </c>
      <c r="G440" s="133">
        <v>0</v>
      </c>
      <c r="H440" s="133">
        <v>24</v>
      </c>
      <c r="I440" s="133">
        <v>0</v>
      </c>
      <c r="J440" s="133">
        <v>0</v>
      </c>
      <c r="K440">
        <v>42113</v>
      </c>
      <c r="L440" s="133">
        <v>0</v>
      </c>
      <c r="M440" s="133" t="b">
        <f ca="1">IF(TODAY()-Table_Query_from_A_Readiness_19[[#This Row],[PER_DATE]]&gt;=0,TRUE, FALSE)</f>
        <v>1</v>
      </c>
    </row>
    <row r="441" spans="1:13">
      <c r="A441">
        <v>42139</v>
      </c>
      <c r="B441" t="s">
        <v>324</v>
      </c>
      <c r="C441" t="s">
        <v>149</v>
      </c>
      <c r="D441" s="133">
        <v>19</v>
      </c>
      <c r="E441" s="133">
        <v>0</v>
      </c>
      <c r="F441" s="133">
        <v>24</v>
      </c>
      <c r="G441" s="133">
        <v>0</v>
      </c>
      <c r="H441" s="133">
        <v>0</v>
      </c>
      <c r="I441" s="133">
        <v>0</v>
      </c>
      <c r="J441" s="133">
        <v>0</v>
      </c>
      <c r="K441">
        <v>42113</v>
      </c>
      <c r="L441" s="133">
        <v>0</v>
      </c>
      <c r="M441" s="133" t="b">
        <f ca="1">IF(TODAY()-Table_Query_from_A_Readiness_19[[#This Row],[PER_DATE]]&gt;=0,TRUE, FALSE)</f>
        <v>1</v>
      </c>
    </row>
    <row r="442" spans="1:13">
      <c r="A442">
        <v>42139</v>
      </c>
      <c r="B442" t="s">
        <v>332</v>
      </c>
      <c r="C442" t="s">
        <v>150</v>
      </c>
      <c r="D442" s="133">
        <v>19</v>
      </c>
      <c r="E442" s="133">
        <v>0</v>
      </c>
      <c r="F442" s="133">
        <v>24</v>
      </c>
      <c r="G442" s="133">
        <v>0</v>
      </c>
      <c r="H442" s="133">
        <v>0</v>
      </c>
      <c r="I442" s="133">
        <v>0</v>
      </c>
      <c r="J442" s="133">
        <v>0</v>
      </c>
      <c r="K442">
        <v>42113</v>
      </c>
      <c r="L442" s="133">
        <v>0</v>
      </c>
      <c r="M442" s="133" t="b">
        <f ca="1">IF(TODAY()-Table_Query_from_A_Readiness_19[[#This Row],[PER_DATE]]&gt;=0,TRUE, FALSE)</f>
        <v>1</v>
      </c>
    </row>
    <row r="443" spans="1:13">
      <c r="A443">
        <v>42139</v>
      </c>
      <c r="B443" t="s">
        <v>324</v>
      </c>
      <c r="C443" t="s">
        <v>151</v>
      </c>
      <c r="D443" s="133">
        <v>19</v>
      </c>
      <c r="E443" s="133">
        <v>0</v>
      </c>
      <c r="F443" s="133">
        <v>0</v>
      </c>
      <c r="G443" s="133">
        <v>0</v>
      </c>
      <c r="H443" s="133">
        <v>24</v>
      </c>
      <c r="I443" s="133">
        <v>0</v>
      </c>
      <c r="J443" s="133">
        <v>0</v>
      </c>
      <c r="K443">
        <v>42113</v>
      </c>
      <c r="L443" s="133">
        <v>0</v>
      </c>
      <c r="M443" s="133" t="b">
        <f ca="1">IF(TODAY()-Table_Query_from_A_Readiness_19[[#This Row],[PER_DATE]]&gt;=0,TRUE, FALSE)</f>
        <v>1</v>
      </c>
    </row>
    <row r="444" spans="1:13">
      <c r="A444">
        <v>42139</v>
      </c>
      <c r="B444" t="s">
        <v>325</v>
      </c>
      <c r="C444" t="s">
        <v>152</v>
      </c>
      <c r="D444" s="133">
        <v>19</v>
      </c>
      <c r="E444" s="133">
        <v>0</v>
      </c>
      <c r="F444" s="133">
        <v>0</v>
      </c>
      <c r="G444" s="133">
        <v>0</v>
      </c>
      <c r="H444" s="133">
        <v>24</v>
      </c>
      <c r="I444" s="133">
        <v>0</v>
      </c>
      <c r="J444" s="133">
        <v>0</v>
      </c>
      <c r="K444">
        <v>42113</v>
      </c>
      <c r="L444" s="133">
        <v>0</v>
      </c>
      <c r="M444" s="133" t="b">
        <f ca="1">IF(TODAY()-Table_Query_from_A_Readiness_19[[#This Row],[PER_DATE]]&gt;=0,TRUE, FALSE)</f>
        <v>1</v>
      </c>
    </row>
    <row r="445" spans="1:13">
      <c r="A445">
        <v>42139</v>
      </c>
      <c r="B445" t="s">
        <v>332</v>
      </c>
      <c r="C445" t="s">
        <v>145</v>
      </c>
      <c r="D445" s="133">
        <v>19</v>
      </c>
      <c r="E445" s="133">
        <v>0</v>
      </c>
      <c r="F445" s="133">
        <v>0</v>
      </c>
      <c r="G445" s="133">
        <v>0</v>
      </c>
      <c r="H445" s="133">
        <v>0</v>
      </c>
      <c r="I445" s="133">
        <v>24</v>
      </c>
      <c r="J445" s="133">
        <v>0</v>
      </c>
      <c r="K445">
        <v>42113</v>
      </c>
      <c r="L445" s="133">
        <v>0</v>
      </c>
      <c r="M445" s="133" t="b">
        <f ca="1">IF(TODAY()-Table_Query_from_A_Readiness_19[[#This Row],[PER_DATE]]&gt;=0,TRUE, FALSE)</f>
        <v>1</v>
      </c>
    </row>
    <row r="446" spans="1:13">
      <c r="A446">
        <v>42139</v>
      </c>
      <c r="B446" t="s">
        <v>325</v>
      </c>
      <c r="C446" t="s">
        <v>167</v>
      </c>
      <c r="D446" s="133">
        <v>19</v>
      </c>
      <c r="E446" s="133">
        <v>0</v>
      </c>
      <c r="F446" s="133">
        <v>0</v>
      </c>
      <c r="G446" s="133">
        <v>0</v>
      </c>
      <c r="H446" s="133">
        <v>0</v>
      </c>
      <c r="I446" s="133">
        <v>24</v>
      </c>
      <c r="J446" s="133">
        <v>0</v>
      </c>
      <c r="K446">
        <v>42113</v>
      </c>
      <c r="L446" s="133">
        <v>0</v>
      </c>
      <c r="M446" s="133" t="b">
        <f ca="1">IF(TODAY()-Table_Query_from_A_Readiness_19[[#This Row],[PER_DATE]]&gt;=0,TRUE, FALSE)</f>
        <v>1</v>
      </c>
    </row>
    <row r="447" spans="1:13">
      <c r="A447">
        <v>42139</v>
      </c>
      <c r="B447" t="s">
        <v>324</v>
      </c>
      <c r="C447" t="s">
        <v>153</v>
      </c>
      <c r="D447" s="133">
        <v>19</v>
      </c>
      <c r="E447" s="133">
        <v>0</v>
      </c>
      <c r="F447" s="133">
        <v>0</v>
      </c>
      <c r="G447" s="133">
        <v>0</v>
      </c>
      <c r="H447" s="133">
        <v>24</v>
      </c>
      <c r="I447" s="133">
        <v>0</v>
      </c>
      <c r="J447" s="133">
        <v>0</v>
      </c>
      <c r="K447">
        <v>42113</v>
      </c>
      <c r="L447" s="133">
        <v>0</v>
      </c>
      <c r="M447" s="133" t="b">
        <f ca="1">IF(TODAY()-Table_Query_from_A_Readiness_19[[#This Row],[PER_DATE]]&gt;=0,TRUE, FALSE)</f>
        <v>1</v>
      </c>
    </row>
    <row r="448" spans="1:13">
      <c r="A448">
        <v>42139</v>
      </c>
      <c r="B448" t="s">
        <v>325</v>
      </c>
      <c r="C448" t="s">
        <v>154</v>
      </c>
      <c r="D448" s="133">
        <v>19</v>
      </c>
      <c r="E448" s="133">
        <v>0</v>
      </c>
      <c r="F448" s="133">
        <v>24</v>
      </c>
      <c r="G448" s="133">
        <v>0</v>
      </c>
      <c r="H448" s="133">
        <v>0</v>
      </c>
      <c r="I448" s="133">
        <v>0</v>
      </c>
      <c r="J448" s="133">
        <v>0</v>
      </c>
      <c r="K448">
        <v>42113</v>
      </c>
      <c r="L448" s="133">
        <v>0</v>
      </c>
      <c r="M448" s="133" t="b">
        <f ca="1">IF(TODAY()-Table_Query_from_A_Readiness_19[[#This Row],[PER_DATE]]&gt;=0,TRUE, FALSE)</f>
        <v>1</v>
      </c>
    </row>
    <row r="449" spans="1:13">
      <c r="A449">
        <v>42139</v>
      </c>
      <c r="B449" t="s">
        <v>325</v>
      </c>
      <c r="C449" t="s">
        <v>168</v>
      </c>
      <c r="D449" s="133">
        <v>19</v>
      </c>
      <c r="E449" s="133">
        <v>0</v>
      </c>
      <c r="F449" s="133">
        <v>24</v>
      </c>
      <c r="G449" s="133">
        <v>0</v>
      </c>
      <c r="H449" s="133">
        <v>0</v>
      </c>
      <c r="I449" s="133">
        <v>0</v>
      </c>
      <c r="J449" s="133">
        <v>0</v>
      </c>
      <c r="K449">
        <v>42113</v>
      </c>
      <c r="L449" s="133">
        <v>0</v>
      </c>
      <c r="M449" s="133" t="b">
        <f ca="1">IF(TODAY()-Table_Query_from_A_Readiness_19[[#This Row],[PER_DATE]]&gt;=0,TRUE, FALSE)</f>
        <v>1</v>
      </c>
    </row>
    <row r="450" spans="1:13">
      <c r="A450">
        <v>42139</v>
      </c>
      <c r="B450" t="s">
        <v>324</v>
      </c>
      <c r="C450" t="s">
        <v>155</v>
      </c>
      <c r="D450" s="133">
        <v>19</v>
      </c>
      <c r="E450" s="133">
        <v>0</v>
      </c>
      <c r="F450" s="133">
        <v>0</v>
      </c>
      <c r="G450" s="133">
        <v>0</v>
      </c>
      <c r="H450" s="133">
        <v>0</v>
      </c>
      <c r="I450" s="133">
        <v>24</v>
      </c>
      <c r="J450" s="133">
        <v>0</v>
      </c>
      <c r="K450">
        <v>42113</v>
      </c>
      <c r="L450" s="133">
        <v>0</v>
      </c>
      <c r="M450" s="133" t="b">
        <f ca="1">IF(TODAY()-Table_Query_from_A_Readiness_19[[#This Row],[PER_DATE]]&gt;=0,TRUE, FALSE)</f>
        <v>1</v>
      </c>
    </row>
    <row r="451" spans="1:13">
      <c r="A451">
        <v>42139</v>
      </c>
      <c r="B451" t="s">
        <v>324</v>
      </c>
      <c r="C451" t="s">
        <v>156</v>
      </c>
      <c r="D451" s="133">
        <v>19</v>
      </c>
      <c r="E451" s="133">
        <v>0</v>
      </c>
      <c r="F451" s="133">
        <v>24</v>
      </c>
      <c r="G451" s="133">
        <v>0</v>
      </c>
      <c r="H451" s="133">
        <v>0</v>
      </c>
      <c r="I451" s="133">
        <v>0</v>
      </c>
      <c r="J451" s="133">
        <v>0</v>
      </c>
      <c r="K451">
        <v>42113</v>
      </c>
      <c r="L451" s="133">
        <v>0</v>
      </c>
      <c r="M451" s="133" t="b">
        <f ca="1">IF(TODAY()-Table_Query_from_A_Readiness_19[[#This Row],[PER_DATE]]&gt;=0,TRUE, FALSE)</f>
        <v>1</v>
      </c>
    </row>
    <row r="452" spans="1:13">
      <c r="A452">
        <v>42139</v>
      </c>
      <c r="B452" t="s">
        <v>325</v>
      </c>
      <c r="C452" t="s">
        <v>157</v>
      </c>
      <c r="D452" s="133">
        <v>19</v>
      </c>
      <c r="E452" s="133">
        <v>0</v>
      </c>
      <c r="F452" s="133">
        <v>24</v>
      </c>
      <c r="G452" s="133">
        <v>0</v>
      </c>
      <c r="H452" s="133">
        <v>0</v>
      </c>
      <c r="I452" s="133">
        <v>0</v>
      </c>
      <c r="J452" s="133">
        <v>0</v>
      </c>
      <c r="K452">
        <v>42113</v>
      </c>
      <c r="L452" s="133">
        <v>0</v>
      </c>
      <c r="M452" s="133" t="b">
        <f ca="1">IF(TODAY()-Table_Query_from_A_Readiness_19[[#This Row],[PER_DATE]]&gt;=0,TRUE, FALSE)</f>
        <v>1</v>
      </c>
    </row>
    <row r="453" spans="1:13">
      <c r="A453">
        <v>42139</v>
      </c>
      <c r="B453" t="s">
        <v>324</v>
      </c>
      <c r="C453" t="s">
        <v>169</v>
      </c>
      <c r="D453" s="133">
        <v>19</v>
      </c>
      <c r="E453" s="133">
        <v>0</v>
      </c>
      <c r="F453" s="133">
        <v>0</v>
      </c>
      <c r="G453" s="133">
        <v>0</v>
      </c>
      <c r="H453" s="133">
        <v>0</v>
      </c>
      <c r="I453" s="133">
        <v>24</v>
      </c>
      <c r="J453" s="133">
        <v>0</v>
      </c>
      <c r="K453">
        <v>42113</v>
      </c>
      <c r="L453" s="133">
        <v>0</v>
      </c>
      <c r="M453" s="133" t="b">
        <f ca="1">IF(TODAY()-Table_Query_from_A_Readiness_19[[#This Row],[PER_DATE]]&gt;=0,TRUE, FALSE)</f>
        <v>1</v>
      </c>
    </row>
    <row r="454" spans="1:13">
      <c r="A454">
        <v>42139</v>
      </c>
      <c r="B454" t="s">
        <v>332</v>
      </c>
      <c r="C454" t="s">
        <v>170</v>
      </c>
      <c r="D454" s="133">
        <v>19</v>
      </c>
      <c r="E454" s="133">
        <v>0</v>
      </c>
      <c r="F454" s="133">
        <v>0</v>
      </c>
      <c r="G454" s="133">
        <v>0</v>
      </c>
      <c r="H454" s="133">
        <v>24</v>
      </c>
      <c r="I454" s="133">
        <v>0</v>
      </c>
      <c r="J454" s="133">
        <v>0</v>
      </c>
      <c r="K454">
        <v>42113</v>
      </c>
      <c r="L454" s="133">
        <v>0</v>
      </c>
      <c r="M454" s="133" t="b">
        <f ca="1">IF(TODAY()-Table_Query_from_A_Readiness_19[[#This Row],[PER_DATE]]&gt;=0,TRUE, FALSE)</f>
        <v>1</v>
      </c>
    </row>
    <row r="455" spans="1:13">
      <c r="A455">
        <v>42139</v>
      </c>
      <c r="B455" t="s">
        <v>324</v>
      </c>
      <c r="C455" t="s">
        <v>158</v>
      </c>
      <c r="D455" s="133">
        <v>19</v>
      </c>
      <c r="E455" s="133">
        <v>0</v>
      </c>
      <c r="F455" s="133">
        <v>24</v>
      </c>
      <c r="G455" s="133">
        <v>0</v>
      </c>
      <c r="H455" s="133">
        <v>0</v>
      </c>
      <c r="I455" s="133">
        <v>0</v>
      </c>
      <c r="J455" s="133">
        <v>0</v>
      </c>
      <c r="K455">
        <v>42113</v>
      </c>
      <c r="L455" s="133">
        <v>0</v>
      </c>
      <c r="M455" s="133" t="b">
        <f ca="1">IF(TODAY()-Table_Query_from_A_Readiness_19[[#This Row],[PER_DATE]]&gt;=0,TRUE, FALSE)</f>
        <v>1</v>
      </c>
    </row>
    <row r="456" spans="1:13">
      <c r="A456">
        <v>42139</v>
      </c>
      <c r="B456" t="s">
        <v>325</v>
      </c>
      <c r="C456" t="s">
        <v>159</v>
      </c>
      <c r="D456" s="133">
        <v>19</v>
      </c>
      <c r="E456" s="133">
        <v>0</v>
      </c>
      <c r="F456" s="133">
        <v>24</v>
      </c>
      <c r="G456" s="133">
        <v>0</v>
      </c>
      <c r="H456" s="133">
        <v>0</v>
      </c>
      <c r="I456" s="133">
        <v>0</v>
      </c>
      <c r="J456" s="133">
        <v>0</v>
      </c>
      <c r="K456">
        <v>42113</v>
      </c>
      <c r="L456" s="133">
        <v>0</v>
      </c>
      <c r="M456" s="133" t="b">
        <f ca="1">IF(TODAY()-Table_Query_from_A_Readiness_19[[#This Row],[PER_DATE]]&gt;=0,TRUE, FALSE)</f>
        <v>1</v>
      </c>
    </row>
    <row r="457" spans="1:13">
      <c r="A457">
        <v>42139</v>
      </c>
      <c r="B457" t="s">
        <v>325</v>
      </c>
      <c r="C457" t="s">
        <v>160</v>
      </c>
      <c r="D457" s="133">
        <v>19</v>
      </c>
      <c r="E457" s="133">
        <v>0</v>
      </c>
      <c r="F457" s="133">
        <v>24</v>
      </c>
      <c r="G457" s="133">
        <v>0</v>
      </c>
      <c r="H457" s="133">
        <v>0</v>
      </c>
      <c r="I457" s="133">
        <v>0</v>
      </c>
      <c r="J457" s="133">
        <v>0</v>
      </c>
      <c r="K457">
        <v>42113</v>
      </c>
      <c r="L457" s="133">
        <v>0</v>
      </c>
      <c r="M457" s="133" t="b">
        <f ca="1">IF(TODAY()-Table_Query_from_A_Readiness_19[[#This Row],[PER_DATE]]&gt;=0,TRUE, FALSE)</f>
        <v>1</v>
      </c>
    </row>
    <row r="458" spans="1:13">
      <c r="A458">
        <v>42139</v>
      </c>
      <c r="B458" t="s">
        <v>332</v>
      </c>
      <c r="C458" t="s">
        <v>164</v>
      </c>
      <c r="D458" s="133">
        <v>20</v>
      </c>
      <c r="E458" s="133">
        <v>0</v>
      </c>
      <c r="F458" s="133">
        <v>24</v>
      </c>
      <c r="G458" s="133">
        <v>0</v>
      </c>
      <c r="H458" s="133">
        <v>0</v>
      </c>
      <c r="I458" s="133">
        <v>0</v>
      </c>
      <c r="J458" s="133">
        <v>0</v>
      </c>
      <c r="K458">
        <v>42114</v>
      </c>
      <c r="L458" s="133">
        <v>0</v>
      </c>
      <c r="M458" s="133" t="b">
        <f ca="1">IF(TODAY()-Table_Query_from_A_Readiness_19[[#This Row],[PER_DATE]]&gt;=0,TRUE, FALSE)</f>
        <v>1</v>
      </c>
    </row>
    <row r="459" spans="1:13">
      <c r="A459">
        <v>42139</v>
      </c>
      <c r="B459" t="s">
        <v>332</v>
      </c>
      <c r="C459" t="s">
        <v>161</v>
      </c>
      <c r="D459" s="133">
        <v>20</v>
      </c>
      <c r="E459" s="133">
        <v>0</v>
      </c>
      <c r="F459" s="133">
        <v>0</v>
      </c>
      <c r="G459" s="133">
        <v>0</v>
      </c>
      <c r="H459" s="133">
        <v>0</v>
      </c>
      <c r="I459" s="133">
        <v>0</v>
      </c>
      <c r="J459" s="133">
        <v>0</v>
      </c>
      <c r="K459">
        <v>42114</v>
      </c>
      <c r="L459" s="133">
        <v>24</v>
      </c>
      <c r="M459" s="133" t="b">
        <f ca="1">IF(TODAY()-Table_Query_from_A_Readiness_19[[#This Row],[PER_DATE]]&gt;=0,TRUE, FALSE)</f>
        <v>1</v>
      </c>
    </row>
    <row r="460" spans="1:13">
      <c r="A460">
        <v>42139</v>
      </c>
      <c r="B460" t="s">
        <v>332</v>
      </c>
      <c r="C460" t="s">
        <v>165</v>
      </c>
      <c r="D460" s="133">
        <v>20</v>
      </c>
      <c r="E460" s="133">
        <v>0</v>
      </c>
      <c r="F460" s="133">
        <v>24</v>
      </c>
      <c r="G460" s="133">
        <v>0</v>
      </c>
      <c r="H460" s="133">
        <v>0</v>
      </c>
      <c r="I460" s="133">
        <v>0</v>
      </c>
      <c r="J460" s="133">
        <v>1</v>
      </c>
      <c r="K460">
        <v>42114</v>
      </c>
      <c r="L460" s="133">
        <v>0</v>
      </c>
      <c r="M460" s="133" t="b">
        <f ca="1">IF(TODAY()-Table_Query_from_A_Readiness_19[[#This Row],[PER_DATE]]&gt;=0,TRUE, FALSE)</f>
        <v>1</v>
      </c>
    </row>
    <row r="461" spans="1:13">
      <c r="A461">
        <v>42139</v>
      </c>
      <c r="B461" t="s">
        <v>324</v>
      </c>
      <c r="C461" t="s">
        <v>148</v>
      </c>
      <c r="D461" s="133">
        <v>20</v>
      </c>
      <c r="E461" s="133">
        <v>0</v>
      </c>
      <c r="F461" s="133">
        <v>11.1</v>
      </c>
      <c r="G461" s="133">
        <v>0</v>
      </c>
      <c r="H461" s="133">
        <v>0</v>
      </c>
      <c r="I461" s="133">
        <v>0</v>
      </c>
      <c r="J461" s="133">
        <v>0</v>
      </c>
      <c r="K461">
        <v>42114</v>
      </c>
      <c r="L461" s="133">
        <v>12.9</v>
      </c>
      <c r="M461" s="133" t="b">
        <f ca="1">IF(TODAY()-Table_Query_from_A_Readiness_19[[#This Row],[PER_DATE]]&gt;=0,TRUE, FALSE)</f>
        <v>1</v>
      </c>
    </row>
    <row r="462" spans="1:13">
      <c r="A462">
        <v>42139</v>
      </c>
      <c r="B462" t="s">
        <v>332</v>
      </c>
      <c r="C462" t="s">
        <v>162</v>
      </c>
      <c r="D462" s="133">
        <v>20</v>
      </c>
      <c r="E462" s="133">
        <v>0</v>
      </c>
      <c r="F462" s="133">
        <v>24</v>
      </c>
      <c r="G462" s="133">
        <v>0</v>
      </c>
      <c r="H462" s="133">
        <v>0</v>
      </c>
      <c r="I462" s="133">
        <v>0</v>
      </c>
      <c r="J462" s="133">
        <v>0</v>
      </c>
      <c r="K462">
        <v>42114</v>
      </c>
      <c r="L462" s="133">
        <v>0</v>
      </c>
      <c r="M462" s="133" t="b">
        <f ca="1">IF(TODAY()-Table_Query_from_A_Readiness_19[[#This Row],[PER_DATE]]&gt;=0,TRUE, FALSE)</f>
        <v>1</v>
      </c>
    </row>
    <row r="463" spans="1:13">
      <c r="A463">
        <v>42139</v>
      </c>
      <c r="B463" t="s">
        <v>332</v>
      </c>
      <c r="C463" t="s">
        <v>163</v>
      </c>
      <c r="D463" s="133">
        <v>20</v>
      </c>
      <c r="E463" s="133">
        <v>0</v>
      </c>
      <c r="F463" s="133">
        <v>24</v>
      </c>
      <c r="G463" s="133">
        <v>0</v>
      </c>
      <c r="H463" s="133">
        <v>0</v>
      </c>
      <c r="I463" s="133">
        <v>0</v>
      </c>
      <c r="J463" s="133">
        <v>0</v>
      </c>
      <c r="K463">
        <v>42114</v>
      </c>
      <c r="L463" s="133">
        <v>0</v>
      </c>
      <c r="M463" s="133" t="b">
        <f ca="1">IF(TODAY()-Table_Query_from_A_Readiness_19[[#This Row],[PER_DATE]]&gt;=0,TRUE, FALSE)</f>
        <v>1</v>
      </c>
    </row>
    <row r="464" spans="1:13">
      <c r="A464">
        <v>42139</v>
      </c>
      <c r="B464" t="s">
        <v>325</v>
      </c>
      <c r="C464" t="s">
        <v>166</v>
      </c>
      <c r="D464" s="133">
        <v>20</v>
      </c>
      <c r="E464" s="133">
        <v>0</v>
      </c>
      <c r="F464" s="133">
        <v>0</v>
      </c>
      <c r="G464" s="133">
        <v>0</v>
      </c>
      <c r="H464" s="133">
        <v>24</v>
      </c>
      <c r="I464" s="133">
        <v>0</v>
      </c>
      <c r="J464" s="133">
        <v>0</v>
      </c>
      <c r="K464">
        <v>42114</v>
      </c>
      <c r="L464" s="133">
        <v>0</v>
      </c>
      <c r="M464" s="133" t="b">
        <f ca="1">IF(TODAY()-Table_Query_from_A_Readiness_19[[#This Row],[PER_DATE]]&gt;=0,TRUE, FALSE)</f>
        <v>1</v>
      </c>
    </row>
    <row r="465" spans="1:13">
      <c r="A465">
        <v>42139</v>
      </c>
      <c r="B465" t="s">
        <v>324</v>
      </c>
      <c r="C465" t="s">
        <v>149</v>
      </c>
      <c r="D465" s="133">
        <v>20</v>
      </c>
      <c r="E465" s="133">
        <v>0</v>
      </c>
      <c r="F465" s="133">
        <v>24</v>
      </c>
      <c r="G465" s="133">
        <v>0</v>
      </c>
      <c r="H465" s="133">
        <v>0</v>
      </c>
      <c r="I465" s="133">
        <v>0</v>
      </c>
      <c r="J465" s="133">
        <v>0</v>
      </c>
      <c r="K465">
        <v>42114</v>
      </c>
      <c r="L465" s="133">
        <v>0</v>
      </c>
      <c r="M465" s="133" t="b">
        <f ca="1">IF(TODAY()-Table_Query_from_A_Readiness_19[[#This Row],[PER_DATE]]&gt;=0,TRUE, FALSE)</f>
        <v>1</v>
      </c>
    </row>
    <row r="466" spans="1:13">
      <c r="A466">
        <v>42139</v>
      </c>
      <c r="B466" t="s">
        <v>332</v>
      </c>
      <c r="C466" t="s">
        <v>150</v>
      </c>
      <c r="D466" s="133">
        <v>20</v>
      </c>
      <c r="E466" s="133">
        <v>0</v>
      </c>
      <c r="F466" s="133">
        <v>24</v>
      </c>
      <c r="G466" s="133">
        <v>0</v>
      </c>
      <c r="H466" s="133">
        <v>0</v>
      </c>
      <c r="I466" s="133">
        <v>0</v>
      </c>
      <c r="J466" s="133">
        <v>0</v>
      </c>
      <c r="K466">
        <v>42114</v>
      </c>
      <c r="L466" s="133">
        <v>0</v>
      </c>
      <c r="M466" s="133" t="b">
        <f ca="1">IF(TODAY()-Table_Query_from_A_Readiness_19[[#This Row],[PER_DATE]]&gt;=0,TRUE, FALSE)</f>
        <v>1</v>
      </c>
    </row>
    <row r="467" spans="1:13">
      <c r="A467">
        <v>42139</v>
      </c>
      <c r="B467" t="s">
        <v>324</v>
      </c>
      <c r="C467" t="s">
        <v>151</v>
      </c>
      <c r="D467" s="133">
        <v>20</v>
      </c>
      <c r="E467" s="133">
        <v>0</v>
      </c>
      <c r="F467" s="133">
        <v>0</v>
      </c>
      <c r="G467" s="133">
        <v>0</v>
      </c>
      <c r="H467" s="133">
        <v>24</v>
      </c>
      <c r="I467" s="133">
        <v>0</v>
      </c>
      <c r="J467" s="133">
        <v>0</v>
      </c>
      <c r="K467">
        <v>42114</v>
      </c>
      <c r="L467" s="133">
        <v>0</v>
      </c>
      <c r="M467" s="133" t="b">
        <f ca="1">IF(TODAY()-Table_Query_from_A_Readiness_19[[#This Row],[PER_DATE]]&gt;=0,TRUE, FALSE)</f>
        <v>1</v>
      </c>
    </row>
    <row r="468" spans="1:13">
      <c r="A468">
        <v>42139</v>
      </c>
      <c r="B468" t="s">
        <v>325</v>
      </c>
      <c r="C468" t="s">
        <v>152</v>
      </c>
      <c r="D468" s="133">
        <v>20</v>
      </c>
      <c r="E468" s="133">
        <v>0</v>
      </c>
      <c r="F468" s="133">
        <v>0</v>
      </c>
      <c r="G468" s="133">
        <v>0</v>
      </c>
      <c r="H468" s="133">
        <v>24</v>
      </c>
      <c r="I468" s="133">
        <v>0</v>
      </c>
      <c r="J468" s="133">
        <v>0</v>
      </c>
      <c r="K468">
        <v>42114</v>
      </c>
      <c r="L468" s="133">
        <v>0</v>
      </c>
      <c r="M468" s="133" t="b">
        <f ca="1">IF(TODAY()-Table_Query_from_A_Readiness_19[[#This Row],[PER_DATE]]&gt;=0,TRUE, FALSE)</f>
        <v>1</v>
      </c>
    </row>
    <row r="469" spans="1:13">
      <c r="A469">
        <v>42139</v>
      </c>
      <c r="B469" t="s">
        <v>332</v>
      </c>
      <c r="C469" t="s">
        <v>145</v>
      </c>
      <c r="D469" s="133">
        <v>20</v>
      </c>
      <c r="E469" s="133">
        <v>0</v>
      </c>
      <c r="F469" s="133">
        <v>0</v>
      </c>
      <c r="G469" s="133">
        <v>0</v>
      </c>
      <c r="H469" s="133">
        <v>0</v>
      </c>
      <c r="I469" s="133">
        <v>24</v>
      </c>
      <c r="J469" s="133">
        <v>0</v>
      </c>
      <c r="K469">
        <v>42114</v>
      </c>
      <c r="L469" s="133">
        <v>0</v>
      </c>
      <c r="M469" s="133" t="b">
        <f ca="1">IF(TODAY()-Table_Query_from_A_Readiness_19[[#This Row],[PER_DATE]]&gt;=0,TRUE, FALSE)</f>
        <v>1</v>
      </c>
    </row>
    <row r="470" spans="1:13">
      <c r="A470">
        <v>42139</v>
      </c>
      <c r="B470" t="s">
        <v>325</v>
      </c>
      <c r="C470" t="s">
        <v>167</v>
      </c>
      <c r="D470" s="133">
        <v>20</v>
      </c>
      <c r="E470" s="133">
        <v>0</v>
      </c>
      <c r="F470" s="133">
        <v>0</v>
      </c>
      <c r="G470" s="133">
        <v>0</v>
      </c>
      <c r="H470" s="133">
        <v>0</v>
      </c>
      <c r="I470" s="133">
        <v>24</v>
      </c>
      <c r="J470" s="133">
        <v>0</v>
      </c>
      <c r="K470">
        <v>42114</v>
      </c>
      <c r="L470" s="133">
        <v>0</v>
      </c>
      <c r="M470" s="133" t="b">
        <f ca="1">IF(TODAY()-Table_Query_from_A_Readiness_19[[#This Row],[PER_DATE]]&gt;=0,TRUE, FALSE)</f>
        <v>1</v>
      </c>
    </row>
    <row r="471" spans="1:13">
      <c r="A471">
        <v>42139</v>
      </c>
      <c r="B471" t="s">
        <v>324</v>
      </c>
      <c r="C471" t="s">
        <v>153</v>
      </c>
      <c r="D471" s="133">
        <v>20</v>
      </c>
      <c r="E471" s="133">
        <v>0</v>
      </c>
      <c r="F471" s="133">
        <v>0</v>
      </c>
      <c r="G471" s="133">
        <v>0</v>
      </c>
      <c r="H471" s="133">
        <v>24</v>
      </c>
      <c r="I471" s="133">
        <v>0</v>
      </c>
      <c r="J471" s="133">
        <v>0</v>
      </c>
      <c r="K471">
        <v>42114</v>
      </c>
      <c r="L471" s="133">
        <v>0</v>
      </c>
      <c r="M471" s="133" t="b">
        <f ca="1">IF(TODAY()-Table_Query_from_A_Readiness_19[[#This Row],[PER_DATE]]&gt;=0,TRUE, FALSE)</f>
        <v>1</v>
      </c>
    </row>
    <row r="472" spans="1:13">
      <c r="A472">
        <v>42139</v>
      </c>
      <c r="B472" t="s">
        <v>325</v>
      </c>
      <c r="C472" t="s">
        <v>154</v>
      </c>
      <c r="D472" s="133">
        <v>20</v>
      </c>
      <c r="E472" s="133">
        <v>0</v>
      </c>
      <c r="F472" s="133">
        <v>24</v>
      </c>
      <c r="G472" s="133">
        <v>0</v>
      </c>
      <c r="H472" s="133">
        <v>0</v>
      </c>
      <c r="I472" s="133">
        <v>0</v>
      </c>
      <c r="J472" s="133">
        <v>0</v>
      </c>
      <c r="K472">
        <v>42114</v>
      </c>
      <c r="L472" s="133">
        <v>0</v>
      </c>
      <c r="M472" s="133" t="b">
        <f ca="1">IF(TODAY()-Table_Query_from_A_Readiness_19[[#This Row],[PER_DATE]]&gt;=0,TRUE, FALSE)</f>
        <v>1</v>
      </c>
    </row>
    <row r="473" spans="1:13">
      <c r="A473">
        <v>42139</v>
      </c>
      <c r="B473" t="s">
        <v>325</v>
      </c>
      <c r="C473" t="s">
        <v>168</v>
      </c>
      <c r="D473" s="133">
        <v>20</v>
      </c>
      <c r="E473" s="133">
        <v>0</v>
      </c>
      <c r="F473" s="133">
        <v>24</v>
      </c>
      <c r="G473" s="133">
        <v>0</v>
      </c>
      <c r="H473" s="133">
        <v>0</v>
      </c>
      <c r="I473" s="133">
        <v>0</v>
      </c>
      <c r="J473" s="133">
        <v>0</v>
      </c>
      <c r="K473">
        <v>42114</v>
      </c>
      <c r="L473" s="133">
        <v>0</v>
      </c>
      <c r="M473" s="133" t="b">
        <f ca="1">IF(TODAY()-Table_Query_from_A_Readiness_19[[#This Row],[PER_DATE]]&gt;=0,TRUE, FALSE)</f>
        <v>1</v>
      </c>
    </row>
    <row r="474" spans="1:13">
      <c r="A474">
        <v>42139</v>
      </c>
      <c r="B474" t="s">
        <v>324</v>
      </c>
      <c r="C474" t="s">
        <v>155</v>
      </c>
      <c r="D474" s="133">
        <v>20</v>
      </c>
      <c r="E474" s="133">
        <v>0</v>
      </c>
      <c r="F474" s="133">
        <v>0</v>
      </c>
      <c r="G474" s="133">
        <v>0</v>
      </c>
      <c r="H474" s="133">
        <v>0</v>
      </c>
      <c r="I474" s="133">
        <v>24</v>
      </c>
      <c r="J474" s="133">
        <v>0</v>
      </c>
      <c r="K474">
        <v>42114</v>
      </c>
      <c r="L474" s="133">
        <v>0</v>
      </c>
      <c r="M474" s="133" t="b">
        <f ca="1">IF(TODAY()-Table_Query_from_A_Readiness_19[[#This Row],[PER_DATE]]&gt;=0,TRUE, FALSE)</f>
        <v>1</v>
      </c>
    </row>
    <row r="475" spans="1:13">
      <c r="A475">
        <v>42139</v>
      </c>
      <c r="B475" t="s">
        <v>324</v>
      </c>
      <c r="C475" t="s">
        <v>156</v>
      </c>
      <c r="D475" s="133">
        <v>20</v>
      </c>
      <c r="E475" s="133">
        <v>0</v>
      </c>
      <c r="F475" s="133">
        <v>24</v>
      </c>
      <c r="G475" s="133">
        <v>0</v>
      </c>
      <c r="H475" s="133">
        <v>0</v>
      </c>
      <c r="I475" s="133">
        <v>0</v>
      </c>
      <c r="J475" s="133">
        <v>0</v>
      </c>
      <c r="K475">
        <v>42114</v>
      </c>
      <c r="L475" s="133">
        <v>0</v>
      </c>
      <c r="M475" s="133" t="b">
        <f ca="1">IF(TODAY()-Table_Query_from_A_Readiness_19[[#This Row],[PER_DATE]]&gt;=0,TRUE, FALSE)</f>
        <v>1</v>
      </c>
    </row>
    <row r="476" spans="1:13">
      <c r="A476">
        <v>42139</v>
      </c>
      <c r="B476" t="s">
        <v>325</v>
      </c>
      <c r="C476" t="s">
        <v>157</v>
      </c>
      <c r="D476" s="133">
        <v>20</v>
      </c>
      <c r="E476" s="133">
        <v>0</v>
      </c>
      <c r="F476" s="133">
        <v>24</v>
      </c>
      <c r="G476" s="133">
        <v>0</v>
      </c>
      <c r="H476" s="133">
        <v>0</v>
      </c>
      <c r="I476" s="133">
        <v>0</v>
      </c>
      <c r="J476" s="133">
        <v>0</v>
      </c>
      <c r="K476">
        <v>42114</v>
      </c>
      <c r="L476" s="133">
        <v>0</v>
      </c>
      <c r="M476" s="133" t="b">
        <f ca="1">IF(TODAY()-Table_Query_from_A_Readiness_19[[#This Row],[PER_DATE]]&gt;=0,TRUE, FALSE)</f>
        <v>1</v>
      </c>
    </row>
    <row r="477" spans="1:13">
      <c r="A477">
        <v>42139</v>
      </c>
      <c r="B477" t="s">
        <v>324</v>
      </c>
      <c r="C477" t="s">
        <v>169</v>
      </c>
      <c r="D477" s="133">
        <v>20</v>
      </c>
      <c r="E477" s="133">
        <v>0</v>
      </c>
      <c r="F477" s="133">
        <v>0</v>
      </c>
      <c r="G477" s="133">
        <v>0</v>
      </c>
      <c r="H477" s="133">
        <v>0</v>
      </c>
      <c r="I477" s="133">
        <v>24</v>
      </c>
      <c r="J477" s="133">
        <v>0</v>
      </c>
      <c r="K477">
        <v>42114</v>
      </c>
      <c r="L477" s="133">
        <v>0</v>
      </c>
      <c r="M477" s="133" t="b">
        <f ca="1">IF(TODAY()-Table_Query_from_A_Readiness_19[[#This Row],[PER_DATE]]&gt;=0,TRUE, FALSE)</f>
        <v>1</v>
      </c>
    </row>
    <row r="478" spans="1:13">
      <c r="A478">
        <v>42139</v>
      </c>
      <c r="B478" t="s">
        <v>332</v>
      </c>
      <c r="C478" t="s">
        <v>170</v>
      </c>
      <c r="D478" s="133">
        <v>20</v>
      </c>
      <c r="E478" s="133">
        <v>0</v>
      </c>
      <c r="F478" s="133">
        <v>0</v>
      </c>
      <c r="G478" s="133">
        <v>0</v>
      </c>
      <c r="H478" s="133">
        <v>24</v>
      </c>
      <c r="I478" s="133">
        <v>0</v>
      </c>
      <c r="J478" s="133">
        <v>0</v>
      </c>
      <c r="K478">
        <v>42114</v>
      </c>
      <c r="L478" s="133">
        <v>0</v>
      </c>
      <c r="M478" s="133" t="b">
        <f ca="1">IF(TODAY()-Table_Query_from_A_Readiness_19[[#This Row],[PER_DATE]]&gt;=0,TRUE, FALSE)</f>
        <v>1</v>
      </c>
    </row>
    <row r="479" spans="1:13">
      <c r="A479">
        <v>42139</v>
      </c>
      <c r="B479" t="s">
        <v>324</v>
      </c>
      <c r="C479" t="s">
        <v>158</v>
      </c>
      <c r="D479" s="133">
        <v>20</v>
      </c>
      <c r="E479" s="133">
        <v>0</v>
      </c>
      <c r="F479" s="133">
        <v>24</v>
      </c>
      <c r="G479" s="133">
        <v>0</v>
      </c>
      <c r="H479" s="133">
        <v>0</v>
      </c>
      <c r="I479" s="133">
        <v>0</v>
      </c>
      <c r="J479" s="133">
        <v>0</v>
      </c>
      <c r="K479">
        <v>42114</v>
      </c>
      <c r="L479" s="133">
        <v>0</v>
      </c>
      <c r="M479" s="133" t="b">
        <f ca="1">IF(TODAY()-Table_Query_from_A_Readiness_19[[#This Row],[PER_DATE]]&gt;=0,TRUE, FALSE)</f>
        <v>1</v>
      </c>
    </row>
    <row r="480" spans="1:13">
      <c r="A480">
        <v>42139</v>
      </c>
      <c r="B480" t="s">
        <v>325</v>
      </c>
      <c r="C480" t="s">
        <v>159</v>
      </c>
      <c r="D480" s="133">
        <v>20</v>
      </c>
      <c r="E480" s="133">
        <v>0</v>
      </c>
      <c r="F480" s="133">
        <v>24</v>
      </c>
      <c r="G480" s="133">
        <v>0</v>
      </c>
      <c r="H480" s="133">
        <v>0</v>
      </c>
      <c r="I480" s="133">
        <v>0</v>
      </c>
      <c r="J480" s="133">
        <v>0</v>
      </c>
      <c r="K480">
        <v>42114</v>
      </c>
      <c r="L480" s="133">
        <v>0</v>
      </c>
      <c r="M480" s="133" t="b">
        <f ca="1">IF(TODAY()-Table_Query_from_A_Readiness_19[[#This Row],[PER_DATE]]&gt;=0,TRUE, FALSE)</f>
        <v>1</v>
      </c>
    </row>
    <row r="481" spans="1:13">
      <c r="A481">
        <v>42139</v>
      </c>
      <c r="B481" t="s">
        <v>325</v>
      </c>
      <c r="C481" t="s">
        <v>160</v>
      </c>
      <c r="D481" s="133">
        <v>20</v>
      </c>
      <c r="E481" s="133">
        <v>0</v>
      </c>
      <c r="F481" s="133">
        <v>24</v>
      </c>
      <c r="G481" s="133">
        <v>0</v>
      </c>
      <c r="H481" s="133">
        <v>0</v>
      </c>
      <c r="I481" s="133">
        <v>0</v>
      </c>
      <c r="J481" s="133">
        <v>0</v>
      </c>
      <c r="K481">
        <v>42114</v>
      </c>
      <c r="L481" s="133">
        <v>0</v>
      </c>
      <c r="M481" s="133" t="b">
        <f ca="1">IF(TODAY()-Table_Query_from_A_Readiness_19[[#This Row],[PER_DATE]]&gt;=0,TRUE, FALSE)</f>
        <v>1</v>
      </c>
    </row>
    <row r="482" spans="1:13">
      <c r="A482">
        <v>42139</v>
      </c>
      <c r="B482" t="s">
        <v>332</v>
      </c>
      <c r="C482" t="s">
        <v>164</v>
      </c>
      <c r="D482" s="133">
        <v>21</v>
      </c>
      <c r="E482" s="133">
        <v>0</v>
      </c>
      <c r="F482" s="133">
        <v>24</v>
      </c>
      <c r="G482" s="133">
        <v>0</v>
      </c>
      <c r="H482" s="133">
        <v>0</v>
      </c>
      <c r="I482" s="133">
        <v>0</v>
      </c>
      <c r="J482" s="133">
        <v>0</v>
      </c>
      <c r="K482">
        <v>42115</v>
      </c>
      <c r="L482" s="133">
        <v>0</v>
      </c>
      <c r="M482" s="133" t="b">
        <f ca="1">IF(TODAY()-Table_Query_from_A_Readiness_19[[#This Row],[PER_DATE]]&gt;=0,TRUE, FALSE)</f>
        <v>0</v>
      </c>
    </row>
    <row r="483" spans="1:13">
      <c r="A483">
        <v>42139</v>
      </c>
      <c r="B483" t="s">
        <v>332</v>
      </c>
      <c r="C483" t="s">
        <v>161</v>
      </c>
      <c r="D483" s="133">
        <v>21</v>
      </c>
      <c r="E483" s="133">
        <v>0</v>
      </c>
      <c r="F483" s="133">
        <v>0</v>
      </c>
      <c r="G483" s="133">
        <v>0</v>
      </c>
      <c r="H483" s="133">
        <v>0</v>
      </c>
      <c r="I483" s="133">
        <v>0</v>
      </c>
      <c r="J483" s="133">
        <v>0</v>
      </c>
      <c r="K483">
        <v>42115</v>
      </c>
      <c r="L483" s="133">
        <v>24</v>
      </c>
      <c r="M483" s="133" t="b">
        <f ca="1">IF(TODAY()-Table_Query_from_A_Readiness_19[[#This Row],[PER_DATE]]&gt;=0,TRUE, FALSE)</f>
        <v>0</v>
      </c>
    </row>
    <row r="484" spans="1:13">
      <c r="A484">
        <v>42139</v>
      </c>
      <c r="B484" t="s">
        <v>332</v>
      </c>
      <c r="C484" t="s">
        <v>165</v>
      </c>
      <c r="D484" s="133">
        <v>21</v>
      </c>
      <c r="E484" s="133">
        <v>0</v>
      </c>
      <c r="F484" s="133">
        <v>24</v>
      </c>
      <c r="G484" s="133">
        <v>0</v>
      </c>
      <c r="H484" s="133">
        <v>0</v>
      </c>
      <c r="I484" s="133">
        <v>0</v>
      </c>
      <c r="J484" s="133">
        <v>0</v>
      </c>
      <c r="K484">
        <v>42115</v>
      </c>
      <c r="L484" s="133">
        <v>0</v>
      </c>
      <c r="M484" s="133" t="b">
        <f ca="1">IF(TODAY()-Table_Query_from_A_Readiness_19[[#This Row],[PER_DATE]]&gt;=0,TRUE, FALSE)</f>
        <v>0</v>
      </c>
    </row>
    <row r="485" spans="1:13">
      <c r="A485">
        <v>42139</v>
      </c>
      <c r="B485" t="s">
        <v>324</v>
      </c>
      <c r="C485" t="s">
        <v>148</v>
      </c>
      <c r="D485" s="133">
        <v>21</v>
      </c>
      <c r="E485" s="133">
        <v>0</v>
      </c>
      <c r="F485" s="133">
        <v>0</v>
      </c>
      <c r="G485" s="133">
        <v>0</v>
      </c>
      <c r="H485" s="133">
        <v>0</v>
      </c>
      <c r="I485" s="133">
        <v>0</v>
      </c>
      <c r="J485" s="133">
        <v>0</v>
      </c>
      <c r="K485">
        <v>42115</v>
      </c>
      <c r="L485" s="133">
        <v>24</v>
      </c>
      <c r="M485" s="133" t="b">
        <f ca="1">IF(TODAY()-Table_Query_from_A_Readiness_19[[#This Row],[PER_DATE]]&gt;=0,TRUE, FALSE)</f>
        <v>0</v>
      </c>
    </row>
    <row r="486" spans="1:13">
      <c r="A486">
        <v>42139</v>
      </c>
      <c r="B486" t="s">
        <v>332</v>
      </c>
      <c r="C486" t="s">
        <v>162</v>
      </c>
      <c r="D486" s="133">
        <v>21</v>
      </c>
      <c r="E486" s="133">
        <v>0</v>
      </c>
      <c r="F486" s="133">
        <v>24</v>
      </c>
      <c r="G486" s="133">
        <v>0</v>
      </c>
      <c r="H486" s="133">
        <v>0</v>
      </c>
      <c r="I486" s="133">
        <v>0</v>
      </c>
      <c r="J486" s="133">
        <v>0</v>
      </c>
      <c r="K486">
        <v>42115</v>
      </c>
      <c r="L486" s="133">
        <v>0</v>
      </c>
      <c r="M486" s="133" t="b">
        <f ca="1">IF(TODAY()-Table_Query_from_A_Readiness_19[[#This Row],[PER_DATE]]&gt;=0,TRUE, FALSE)</f>
        <v>0</v>
      </c>
    </row>
    <row r="487" spans="1:13">
      <c r="A487">
        <v>42139</v>
      </c>
      <c r="B487" t="s">
        <v>332</v>
      </c>
      <c r="C487" t="s">
        <v>163</v>
      </c>
      <c r="D487" s="133">
        <v>21</v>
      </c>
      <c r="E487" s="133">
        <v>0</v>
      </c>
      <c r="F487" s="133">
        <v>24</v>
      </c>
      <c r="G487" s="133">
        <v>0</v>
      </c>
      <c r="H487" s="133">
        <v>0</v>
      </c>
      <c r="I487" s="133">
        <v>0</v>
      </c>
      <c r="J487" s="133">
        <v>0</v>
      </c>
      <c r="K487">
        <v>42115</v>
      </c>
      <c r="L487" s="133">
        <v>0</v>
      </c>
      <c r="M487" s="133" t="b">
        <f ca="1">IF(TODAY()-Table_Query_from_A_Readiness_19[[#This Row],[PER_DATE]]&gt;=0,TRUE, FALSE)</f>
        <v>0</v>
      </c>
    </row>
    <row r="488" spans="1:13">
      <c r="A488">
        <v>42139</v>
      </c>
      <c r="B488" t="s">
        <v>325</v>
      </c>
      <c r="C488" t="s">
        <v>166</v>
      </c>
      <c r="D488" s="133">
        <v>21</v>
      </c>
      <c r="E488" s="133">
        <v>0</v>
      </c>
      <c r="F488" s="133">
        <v>0</v>
      </c>
      <c r="G488" s="133">
        <v>0</v>
      </c>
      <c r="H488" s="133">
        <v>24</v>
      </c>
      <c r="I488" s="133">
        <v>0</v>
      </c>
      <c r="J488" s="133">
        <v>0</v>
      </c>
      <c r="K488">
        <v>42115</v>
      </c>
      <c r="L488" s="133">
        <v>0</v>
      </c>
      <c r="M488" s="133" t="b">
        <f ca="1">IF(TODAY()-Table_Query_from_A_Readiness_19[[#This Row],[PER_DATE]]&gt;=0,TRUE, FALSE)</f>
        <v>0</v>
      </c>
    </row>
    <row r="489" spans="1:13">
      <c r="A489">
        <v>42139</v>
      </c>
      <c r="B489" t="s">
        <v>324</v>
      </c>
      <c r="C489" t="s">
        <v>149</v>
      </c>
      <c r="D489" s="133">
        <v>21</v>
      </c>
      <c r="E489" s="133">
        <v>0</v>
      </c>
      <c r="F489" s="133">
        <v>24</v>
      </c>
      <c r="G489" s="133">
        <v>0</v>
      </c>
      <c r="H489" s="133">
        <v>0</v>
      </c>
      <c r="I489" s="133">
        <v>0</v>
      </c>
      <c r="J489" s="133">
        <v>0</v>
      </c>
      <c r="K489">
        <v>42115</v>
      </c>
      <c r="L489" s="133">
        <v>0</v>
      </c>
      <c r="M489" s="133" t="b">
        <f ca="1">IF(TODAY()-Table_Query_from_A_Readiness_19[[#This Row],[PER_DATE]]&gt;=0,TRUE, FALSE)</f>
        <v>0</v>
      </c>
    </row>
    <row r="490" spans="1:13">
      <c r="A490">
        <v>42139</v>
      </c>
      <c r="B490" t="s">
        <v>332</v>
      </c>
      <c r="C490" t="s">
        <v>150</v>
      </c>
      <c r="D490" s="133">
        <v>21</v>
      </c>
      <c r="E490" s="133">
        <v>0</v>
      </c>
      <c r="F490" s="133">
        <v>24</v>
      </c>
      <c r="G490" s="133">
        <v>0</v>
      </c>
      <c r="H490" s="133">
        <v>0</v>
      </c>
      <c r="I490" s="133">
        <v>0</v>
      </c>
      <c r="J490" s="133">
        <v>0</v>
      </c>
      <c r="K490">
        <v>42115</v>
      </c>
      <c r="L490" s="133">
        <v>0</v>
      </c>
      <c r="M490" s="133" t="b">
        <f ca="1">IF(TODAY()-Table_Query_from_A_Readiness_19[[#This Row],[PER_DATE]]&gt;=0,TRUE, FALSE)</f>
        <v>0</v>
      </c>
    </row>
    <row r="491" spans="1:13">
      <c r="A491">
        <v>42139</v>
      </c>
      <c r="B491" t="s">
        <v>324</v>
      </c>
      <c r="C491" t="s">
        <v>151</v>
      </c>
      <c r="D491" s="133">
        <v>21</v>
      </c>
      <c r="E491" s="133">
        <v>0</v>
      </c>
      <c r="F491" s="133">
        <v>0</v>
      </c>
      <c r="G491" s="133">
        <v>0</v>
      </c>
      <c r="H491" s="133">
        <v>24</v>
      </c>
      <c r="I491" s="133">
        <v>0</v>
      </c>
      <c r="J491" s="133">
        <v>0</v>
      </c>
      <c r="K491">
        <v>42115</v>
      </c>
      <c r="L491" s="133">
        <v>0</v>
      </c>
      <c r="M491" s="133" t="b">
        <f ca="1">IF(TODAY()-Table_Query_from_A_Readiness_19[[#This Row],[PER_DATE]]&gt;=0,TRUE, FALSE)</f>
        <v>0</v>
      </c>
    </row>
    <row r="492" spans="1:13">
      <c r="A492">
        <v>42139</v>
      </c>
      <c r="B492" t="s">
        <v>325</v>
      </c>
      <c r="C492" t="s">
        <v>152</v>
      </c>
      <c r="D492" s="133">
        <v>21</v>
      </c>
      <c r="E492" s="133">
        <v>0</v>
      </c>
      <c r="F492" s="133">
        <v>0</v>
      </c>
      <c r="G492" s="133">
        <v>0</v>
      </c>
      <c r="H492" s="133">
        <v>24</v>
      </c>
      <c r="I492" s="133">
        <v>0</v>
      </c>
      <c r="J492" s="133">
        <v>0</v>
      </c>
      <c r="K492">
        <v>42115</v>
      </c>
      <c r="L492" s="133">
        <v>0</v>
      </c>
      <c r="M492" s="133" t="b">
        <f ca="1">IF(TODAY()-Table_Query_from_A_Readiness_19[[#This Row],[PER_DATE]]&gt;=0,TRUE, FALSE)</f>
        <v>0</v>
      </c>
    </row>
    <row r="493" spans="1:13">
      <c r="A493">
        <v>42139</v>
      </c>
      <c r="B493" t="s">
        <v>332</v>
      </c>
      <c r="C493" t="s">
        <v>145</v>
      </c>
      <c r="D493" s="133">
        <v>21</v>
      </c>
      <c r="E493" s="133">
        <v>0</v>
      </c>
      <c r="F493" s="133">
        <v>0</v>
      </c>
      <c r="G493" s="133">
        <v>0</v>
      </c>
      <c r="H493" s="133">
        <v>0</v>
      </c>
      <c r="I493" s="133">
        <v>24</v>
      </c>
      <c r="J493" s="133">
        <v>0</v>
      </c>
      <c r="K493">
        <v>42115</v>
      </c>
      <c r="L493" s="133">
        <v>0</v>
      </c>
      <c r="M493" s="133" t="b">
        <f ca="1">IF(TODAY()-Table_Query_from_A_Readiness_19[[#This Row],[PER_DATE]]&gt;=0,TRUE, FALSE)</f>
        <v>0</v>
      </c>
    </row>
    <row r="494" spans="1:13">
      <c r="A494">
        <v>42139</v>
      </c>
      <c r="B494" t="s">
        <v>325</v>
      </c>
      <c r="C494" t="s">
        <v>167</v>
      </c>
      <c r="D494" s="133">
        <v>21</v>
      </c>
      <c r="E494" s="133">
        <v>0</v>
      </c>
      <c r="F494" s="133">
        <v>0</v>
      </c>
      <c r="G494" s="133">
        <v>0</v>
      </c>
      <c r="H494" s="133">
        <v>0</v>
      </c>
      <c r="I494" s="133">
        <v>24</v>
      </c>
      <c r="J494" s="133">
        <v>0</v>
      </c>
      <c r="K494">
        <v>42115</v>
      </c>
      <c r="L494" s="133">
        <v>0</v>
      </c>
      <c r="M494" s="133" t="b">
        <f ca="1">IF(TODAY()-Table_Query_from_A_Readiness_19[[#This Row],[PER_DATE]]&gt;=0,TRUE, FALSE)</f>
        <v>0</v>
      </c>
    </row>
    <row r="495" spans="1:13">
      <c r="A495">
        <v>42139</v>
      </c>
      <c r="B495" t="s">
        <v>324</v>
      </c>
      <c r="C495" t="s">
        <v>153</v>
      </c>
      <c r="D495" s="133">
        <v>21</v>
      </c>
      <c r="E495" s="133">
        <v>0</v>
      </c>
      <c r="F495" s="133">
        <v>0</v>
      </c>
      <c r="G495" s="133">
        <v>0</v>
      </c>
      <c r="H495" s="133">
        <v>24</v>
      </c>
      <c r="I495" s="133">
        <v>0</v>
      </c>
      <c r="J495" s="133">
        <v>0</v>
      </c>
      <c r="K495">
        <v>42115</v>
      </c>
      <c r="L495" s="133">
        <v>0</v>
      </c>
      <c r="M495" s="133" t="b">
        <f ca="1">IF(TODAY()-Table_Query_from_A_Readiness_19[[#This Row],[PER_DATE]]&gt;=0,TRUE, FALSE)</f>
        <v>0</v>
      </c>
    </row>
    <row r="496" spans="1:13">
      <c r="A496">
        <v>42139</v>
      </c>
      <c r="B496" t="s">
        <v>325</v>
      </c>
      <c r="C496" t="s">
        <v>154</v>
      </c>
      <c r="D496" s="133">
        <v>21</v>
      </c>
      <c r="E496" s="133">
        <v>0</v>
      </c>
      <c r="F496" s="133">
        <v>24</v>
      </c>
      <c r="G496" s="133">
        <v>0</v>
      </c>
      <c r="H496" s="133">
        <v>0</v>
      </c>
      <c r="I496" s="133">
        <v>0</v>
      </c>
      <c r="J496" s="133">
        <v>0</v>
      </c>
      <c r="K496">
        <v>42115</v>
      </c>
      <c r="L496" s="133">
        <v>0</v>
      </c>
      <c r="M496" s="133" t="b">
        <f ca="1">IF(TODAY()-Table_Query_from_A_Readiness_19[[#This Row],[PER_DATE]]&gt;=0,TRUE, FALSE)</f>
        <v>0</v>
      </c>
    </row>
    <row r="497" spans="1:13">
      <c r="A497">
        <v>42139</v>
      </c>
      <c r="B497" t="s">
        <v>325</v>
      </c>
      <c r="C497" t="s">
        <v>168</v>
      </c>
      <c r="D497" s="133">
        <v>21</v>
      </c>
      <c r="E497" s="133">
        <v>0</v>
      </c>
      <c r="F497" s="133">
        <v>24</v>
      </c>
      <c r="G497" s="133">
        <v>0</v>
      </c>
      <c r="H497" s="133">
        <v>0</v>
      </c>
      <c r="I497" s="133">
        <v>0</v>
      </c>
      <c r="J497" s="133">
        <v>0</v>
      </c>
      <c r="K497">
        <v>42115</v>
      </c>
      <c r="L497" s="133">
        <v>0</v>
      </c>
      <c r="M497" s="133" t="b">
        <f ca="1">IF(TODAY()-Table_Query_from_A_Readiness_19[[#This Row],[PER_DATE]]&gt;=0,TRUE, FALSE)</f>
        <v>0</v>
      </c>
    </row>
    <row r="498" spans="1:13">
      <c r="A498">
        <v>42139</v>
      </c>
      <c r="B498" t="s">
        <v>324</v>
      </c>
      <c r="C498" t="s">
        <v>155</v>
      </c>
      <c r="D498" s="133">
        <v>21</v>
      </c>
      <c r="E498" s="133">
        <v>0</v>
      </c>
      <c r="F498" s="133">
        <v>0</v>
      </c>
      <c r="G498" s="133">
        <v>0</v>
      </c>
      <c r="H498" s="133">
        <v>0</v>
      </c>
      <c r="I498" s="133">
        <v>24</v>
      </c>
      <c r="J498" s="133">
        <v>0</v>
      </c>
      <c r="K498">
        <v>42115</v>
      </c>
      <c r="L498" s="133">
        <v>0</v>
      </c>
      <c r="M498" s="133" t="b">
        <f ca="1">IF(TODAY()-Table_Query_from_A_Readiness_19[[#This Row],[PER_DATE]]&gt;=0,TRUE, FALSE)</f>
        <v>0</v>
      </c>
    </row>
    <row r="499" spans="1:13">
      <c r="A499">
        <v>42139</v>
      </c>
      <c r="B499" t="s">
        <v>324</v>
      </c>
      <c r="C499" t="s">
        <v>156</v>
      </c>
      <c r="D499" s="133">
        <v>21</v>
      </c>
      <c r="E499" s="133">
        <v>0</v>
      </c>
      <c r="F499" s="133">
        <v>24</v>
      </c>
      <c r="G499" s="133">
        <v>0</v>
      </c>
      <c r="H499" s="133">
        <v>0</v>
      </c>
      <c r="I499" s="133">
        <v>0</v>
      </c>
      <c r="J499" s="133">
        <v>0</v>
      </c>
      <c r="K499">
        <v>42115</v>
      </c>
      <c r="L499" s="133">
        <v>0</v>
      </c>
      <c r="M499" s="133" t="b">
        <f ca="1">IF(TODAY()-Table_Query_from_A_Readiness_19[[#This Row],[PER_DATE]]&gt;=0,TRUE, FALSE)</f>
        <v>0</v>
      </c>
    </row>
    <row r="500" spans="1:13">
      <c r="A500">
        <v>42139</v>
      </c>
      <c r="B500" t="s">
        <v>325</v>
      </c>
      <c r="C500" t="s">
        <v>157</v>
      </c>
      <c r="D500" s="133">
        <v>21</v>
      </c>
      <c r="E500" s="133">
        <v>0</v>
      </c>
      <c r="F500" s="133">
        <v>24</v>
      </c>
      <c r="G500" s="133">
        <v>0</v>
      </c>
      <c r="H500" s="133">
        <v>0</v>
      </c>
      <c r="I500" s="133">
        <v>0</v>
      </c>
      <c r="J500" s="133">
        <v>0</v>
      </c>
      <c r="K500">
        <v>42115</v>
      </c>
      <c r="L500" s="133">
        <v>0</v>
      </c>
      <c r="M500" s="133" t="b">
        <f ca="1">IF(TODAY()-Table_Query_from_A_Readiness_19[[#This Row],[PER_DATE]]&gt;=0,TRUE, FALSE)</f>
        <v>0</v>
      </c>
    </row>
    <row r="501" spans="1:13">
      <c r="A501">
        <v>42139</v>
      </c>
      <c r="B501" t="s">
        <v>324</v>
      </c>
      <c r="C501" t="s">
        <v>169</v>
      </c>
      <c r="D501" s="133">
        <v>21</v>
      </c>
      <c r="E501" s="133">
        <v>0</v>
      </c>
      <c r="F501" s="133">
        <v>0</v>
      </c>
      <c r="G501" s="133">
        <v>0</v>
      </c>
      <c r="H501" s="133">
        <v>0</v>
      </c>
      <c r="I501" s="133">
        <v>24</v>
      </c>
      <c r="J501" s="133">
        <v>0</v>
      </c>
      <c r="K501">
        <v>42115</v>
      </c>
      <c r="L501" s="133">
        <v>0</v>
      </c>
      <c r="M501" s="133" t="b">
        <f ca="1">IF(TODAY()-Table_Query_from_A_Readiness_19[[#This Row],[PER_DATE]]&gt;=0,TRUE, FALSE)</f>
        <v>0</v>
      </c>
    </row>
    <row r="502" spans="1:13">
      <c r="A502">
        <v>42139</v>
      </c>
      <c r="B502" t="s">
        <v>332</v>
      </c>
      <c r="C502" t="s">
        <v>170</v>
      </c>
      <c r="D502" s="133">
        <v>21</v>
      </c>
      <c r="E502" s="133">
        <v>0</v>
      </c>
      <c r="F502" s="133">
        <v>0</v>
      </c>
      <c r="G502" s="133">
        <v>0</v>
      </c>
      <c r="H502" s="133">
        <v>24</v>
      </c>
      <c r="I502" s="133">
        <v>0</v>
      </c>
      <c r="J502" s="133">
        <v>0</v>
      </c>
      <c r="K502">
        <v>42115</v>
      </c>
      <c r="L502" s="133">
        <v>0</v>
      </c>
      <c r="M502" s="133" t="b">
        <f ca="1">IF(TODAY()-Table_Query_from_A_Readiness_19[[#This Row],[PER_DATE]]&gt;=0,TRUE, FALSE)</f>
        <v>0</v>
      </c>
    </row>
    <row r="503" spans="1:13">
      <c r="A503">
        <v>42139</v>
      </c>
      <c r="B503" t="s">
        <v>324</v>
      </c>
      <c r="C503" t="s">
        <v>158</v>
      </c>
      <c r="D503" s="133">
        <v>21</v>
      </c>
      <c r="E503" s="133">
        <v>0</v>
      </c>
      <c r="F503" s="133">
        <v>24</v>
      </c>
      <c r="G503" s="133">
        <v>0</v>
      </c>
      <c r="H503" s="133">
        <v>0</v>
      </c>
      <c r="I503" s="133">
        <v>0</v>
      </c>
      <c r="J503" s="133">
        <v>0</v>
      </c>
      <c r="K503">
        <v>42115</v>
      </c>
      <c r="L503" s="133">
        <v>0</v>
      </c>
      <c r="M503" s="133" t="b">
        <f ca="1">IF(TODAY()-Table_Query_from_A_Readiness_19[[#This Row],[PER_DATE]]&gt;=0,TRUE, FALSE)</f>
        <v>0</v>
      </c>
    </row>
    <row r="504" spans="1:13">
      <c r="A504">
        <v>42139</v>
      </c>
      <c r="B504" t="s">
        <v>325</v>
      </c>
      <c r="C504" t="s">
        <v>159</v>
      </c>
      <c r="D504" s="133">
        <v>21</v>
      </c>
      <c r="E504" s="133">
        <v>0</v>
      </c>
      <c r="F504" s="133">
        <v>24</v>
      </c>
      <c r="G504" s="133">
        <v>0</v>
      </c>
      <c r="H504" s="133">
        <v>0</v>
      </c>
      <c r="I504" s="133">
        <v>0</v>
      </c>
      <c r="J504" s="133">
        <v>0</v>
      </c>
      <c r="K504">
        <v>42115</v>
      </c>
      <c r="L504" s="133">
        <v>0</v>
      </c>
      <c r="M504" s="133" t="b">
        <f ca="1">IF(TODAY()-Table_Query_from_A_Readiness_19[[#This Row],[PER_DATE]]&gt;=0,TRUE, FALSE)</f>
        <v>0</v>
      </c>
    </row>
    <row r="505" spans="1:13">
      <c r="A505">
        <v>42139</v>
      </c>
      <c r="B505" t="s">
        <v>325</v>
      </c>
      <c r="C505" t="s">
        <v>160</v>
      </c>
      <c r="D505" s="133">
        <v>21</v>
      </c>
      <c r="E505" s="133">
        <v>0</v>
      </c>
      <c r="F505" s="133">
        <v>24</v>
      </c>
      <c r="G505" s="133">
        <v>0</v>
      </c>
      <c r="H505" s="133">
        <v>0</v>
      </c>
      <c r="I505" s="133">
        <v>0</v>
      </c>
      <c r="J505" s="133">
        <v>0</v>
      </c>
      <c r="K505">
        <v>42115</v>
      </c>
      <c r="L505" s="133">
        <v>0</v>
      </c>
      <c r="M505" s="133" t="b">
        <f ca="1">IF(TODAY()-Table_Query_from_A_Readiness_19[[#This Row],[PER_DATE]]&gt;=0,TRUE, FALSE)</f>
        <v>0</v>
      </c>
    </row>
    <row r="506" spans="1:13">
      <c r="A506">
        <v>42139</v>
      </c>
      <c r="B506" t="s">
        <v>332</v>
      </c>
      <c r="C506" t="s">
        <v>164</v>
      </c>
      <c r="D506" s="133">
        <v>22</v>
      </c>
      <c r="E506" s="133">
        <v>0</v>
      </c>
      <c r="F506" s="133">
        <v>24</v>
      </c>
      <c r="G506" s="133">
        <v>0</v>
      </c>
      <c r="H506" s="133">
        <v>0</v>
      </c>
      <c r="I506" s="133">
        <v>0</v>
      </c>
      <c r="J506" s="133">
        <v>0</v>
      </c>
      <c r="K506">
        <v>42116</v>
      </c>
      <c r="L506" s="133">
        <v>0</v>
      </c>
      <c r="M506" s="133" t="b">
        <f ca="1">IF(TODAY()-Table_Query_from_A_Readiness_19[[#This Row],[PER_DATE]]&gt;=0,TRUE, FALSE)</f>
        <v>0</v>
      </c>
    </row>
    <row r="507" spans="1:13">
      <c r="A507">
        <v>42139</v>
      </c>
      <c r="B507" t="s">
        <v>332</v>
      </c>
      <c r="C507" t="s">
        <v>161</v>
      </c>
      <c r="D507" s="133">
        <v>22</v>
      </c>
      <c r="E507" s="133">
        <v>0</v>
      </c>
      <c r="F507" s="133">
        <v>0</v>
      </c>
      <c r="G507" s="133">
        <v>0</v>
      </c>
      <c r="H507" s="133">
        <v>0</v>
      </c>
      <c r="I507" s="133">
        <v>0</v>
      </c>
      <c r="J507" s="133">
        <v>0</v>
      </c>
      <c r="K507">
        <v>42116</v>
      </c>
      <c r="L507" s="133">
        <v>24</v>
      </c>
      <c r="M507" s="133" t="b">
        <f ca="1">IF(TODAY()-Table_Query_from_A_Readiness_19[[#This Row],[PER_DATE]]&gt;=0,TRUE, FALSE)</f>
        <v>0</v>
      </c>
    </row>
    <row r="508" spans="1:13">
      <c r="A508">
        <v>42139</v>
      </c>
      <c r="B508" t="s">
        <v>332</v>
      </c>
      <c r="C508" t="s">
        <v>165</v>
      </c>
      <c r="D508" s="133">
        <v>22</v>
      </c>
      <c r="E508" s="133">
        <v>0</v>
      </c>
      <c r="F508" s="133">
        <v>24</v>
      </c>
      <c r="G508" s="133">
        <v>0</v>
      </c>
      <c r="H508" s="133">
        <v>0</v>
      </c>
      <c r="I508" s="133">
        <v>0</v>
      </c>
      <c r="J508" s="133">
        <v>0</v>
      </c>
      <c r="K508">
        <v>42116</v>
      </c>
      <c r="L508" s="133">
        <v>0</v>
      </c>
      <c r="M508" s="133" t="b">
        <f ca="1">IF(TODAY()-Table_Query_from_A_Readiness_19[[#This Row],[PER_DATE]]&gt;=0,TRUE, FALSE)</f>
        <v>0</v>
      </c>
    </row>
    <row r="509" spans="1:13">
      <c r="A509">
        <v>42139</v>
      </c>
      <c r="B509" t="s">
        <v>324</v>
      </c>
      <c r="C509" t="s">
        <v>148</v>
      </c>
      <c r="D509" s="133">
        <v>22</v>
      </c>
      <c r="E509" s="133">
        <v>0</v>
      </c>
      <c r="F509" s="133">
        <v>0</v>
      </c>
      <c r="G509" s="133">
        <v>0</v>
      </c>
      <c r="H509" s="133">
        <v>0</v>
      </c>
      <c r="I509" s="133">
        <v>0</v>
      </c>
      <c r="J509" s="133">
        <v>0</v>
      </c>
      <c r="K509">
        <v>42116</v>
      </c>
      <c r="L509" s="133">
        <v>24</v>
      </c>
      <c r="M509" s="133" t="b">
        <f ca="1">IF(TODAY()-Table_Query_from_A_Readiness_19[[#This Row],[PER_DATE]]&gt;=0,TRUE, FALSE)</f>
        <v>0</v>
      </c>
    </row>
    <row r="510" spans="1:13">
      <c r="A510">
        <v>42139</v>
      </c>
      <c r="B510" t="s">
        <v>332</v>
      </c>
      <c r="C510" t="s">
        <v>162</v>
      </c>
      <c r="D510" s="133">
        <v>22</v>
      </c>
      <c r="E510" s="133">
        <v>0</v>
      </c>
      <c r="F510" s="133">
        <v>24</v>
      </c>
      <c r="G510" s="133">
        <v>0</v>
      </c>
      <c r="H510" s="133">
        <v>0</v>
      </c>
      <c r="I510" s="133">
        <v>0</v>
      </c>
      <c r="J510" s="133">
        <v>0</v>
      </c>
      <c r="K510">
        <v>42116</v>
      </c>
      <c r="L510" s="133">
        <v>0</v>
      </c>
      <c r="M510" s="133" t="b">
        <f ca="1">IF(TODAY()-Table_Query_from_A_Readiness_19[[#This Row],[PER_DATE]]&gt;=0,TRUE, FALSE)</f>
        <v>0</v>
      </c>
    </row>
    <row r="511" spans="1:13">
      <c r="A511">
        <v>42139</v>
      </c>
      <c r="B511" t="s">
        <v>332</v>
      </c>
      <c r="C511" t="s">
        <v>163</v>
      </c>
      <c r="D511" s="133">
        <v>22</v>
      </c>
      <c r="E511" s="133">
        <v>24</v>
      </c>
      <c r="F511" s="133">
        <v>0</v>
      </c>
      <c r="G511" s="133">
        <v>0</v>
      </c>
      <c r="H511" s="133">
        <v>0</v>
      </c>
      <c r="I511" s="133">
        <v>0</v>
      </c>
      <c r="J511" s="133">
        <v>0</v>
      </c>
      <c r="K511">
        <v>42116</v>
      </c>
      <c r="L511" s="133">
        <v>0</v>
      </c>
      <c r="M511" s="133" t="b">
        <f ca="1">IF(TODAY()-Table_Query_from_A_Readiness_19[[#This Row],[PER_DATE]]&gt;=0,TRUE, FALSE)</f>
        <v>0</v>
      </c>
    </row>
    <row r="512" spans="1:13">
      <c r="A512">
        <v>42139</v>
      </c>
      <c r="B512" t="s">
        <v>325</v>
      </c>
      <c r="C512" t="s">
        <v>166</v>
      </c>
      <c r="D512" s="133">
        <v>22</v>
      </c>
      <c r="E512" s="133">
        <v>24</v>
      </c>
      <c r="F512" s="133">
        <v>0</v>
      </c>
      <c r="G512" s="133">
        <v>0</v>
      </c>
      <c r="H512" s="133">
        <v>0</v>
      </c>
      <c r="I512" s="133">
        <v>0</v>
      </c>
      <c r="J512" s="133">
        <v>0</v>
      </c>
      <c r="K512">
        <v>42116</v>
      </c>
      <c r="L512" s="133">
        <v>0</v>
      </c>
      <c r="M512" s="133" t="b">
        <f ca="1">IF(TODAY()-Table_Query_from_A_Readiness_19[[#This Row],[PER_DATE]]&gt;=0,TRUE, FALSE)</f>
        <v>0</v>
      </c>
    </row>
    <row r="513" spans="1:13">
      <c r="A513">
        <v>42139</v>
      </c>
      <c r="B513" t="s">
        <v>324</v>
      </c>
      <c r="C513" t="s">
        <v>149</v>
      </c>
      <c r="D513" s="133">
        <v>22</v>
      </c>
      <c r="E513" s="133">
        <v>0</v>
      </c>
      <c r="F513" s="133">
        <v>24</v>
      </c>
      <c r="G513" s="133">
        <v>0</v>
      </c>
      <c r="H513" s="133">
        <v>0</v>
      </c>
      <c r="I513" s="133">
        <v>0</v>
      </c>
      <c r="J513" s="133">
        <v>0</v>
      </c>
      <c r="K513">
        <v>42116</v>
      </c>
      <c r="L513" s="133">
        <v>0</v>
      </c>
      <c r="M513" s="133" t="b">
        <f ca="1">IF(TODAY()-Table_Query_from_A_Readiness_19[[#This Row],[PER_DATE]]&gt;=0,TRUE, FALSE)</f>
        <v>0</v>
      </c>
    </row>
    <row r="514" spans="1:13">
      <c r="A514">
        <v>42139</v>
      </c>
      <c r="B514" t="s">
        <v>332</v>
      </c>
      <c r="C514" t="s">
        <v>150</v>
      </c>
      <c r="D514" s="133">
        <v>22</v>
      </c>
      <c r="E514" s="133">
        <v>24</v>
      </c>
      <c r="F514" s="133">
        <v>0</v>
      </c>
      <c r="G514" s="133">
        <v>0</v>
      </c>
      <c r="H514" s="133">
        <v>0</v>
      </c>
      <c r="I514" s="133">
        <v>0</v>
      </c>
      <c r="J514" s="133">
        <v>0</v>
      </c>
      <c r="K514">
        <v>42116</v>
      </c>
      <c r="L514" s="133">
        <v>0</v>
      </c>
      <c r="M514" s="133" t="b">
        <f ca="1">IF(TODAY()-Table_Query_from_A_Readiness_19[[#This Row],[PER_DATE]]&gt;=0,TRUE, FALSE)</f>
        <v>0</v>
      </c>
    </row>
    <row r="515" spans="1:13">
      <c r="A515">
        <v>42139</v>
      </c>
      <c r="B515" t="s">
        <v>324</v>
      </c>
      <c r="C515" t="s">
        <v>151</v>
      </c>
      <c r="D515" s="133">
        <v>22</v>
      </c>
      <c r="E515" s="133">
        <v>0</v>
      </c>
      <c r="F515" s="133">
        <v>0</v>
      </c>
      <c r="G515" s="133">
        <v>0</v>
      </c>
      <c r="H515" s="133">
        <v>24</v>
      </c>
      <c r="I515" s="133">
        <v>0</v>
      </c>
      <c r="J515" s="133">
        <v>0</v>
      </c>
      <c r="K515">
        <v>42116</v>
      </c>
      <c r="L515" s="133">
        <v>0</v>
      </c>
      <c r="M515" s="133" t="b">
        <f ca="1">IF(TODAY()-Table_Query_from_A_Readiness_19[[#This Row],[PER_DATE]]&gt;=0,TRUE, FALSE)</f>
        <v>0</v>
      </c>
    </row>
    <row r="516" spans="1:13">
      <c r="A516">
        <v>42139</v>
      </c>
      <c r="B516" t="s">
        <v>325</v>
      </c>
      <c r="C516" t="s">
        <v>152</v>
      </c>
      <c r="D516" s="133">
        <v>22</v>
      </c>
      <c r="E516" s="133">
        <v>0</v>
      </c>
      <c r="F516" s="133">
        <v>0</v>
      </c>
      <c r="G516" s="133">
        <v>0</v>
      </c>
      <c r="H516" s="133">
        <v>24</v>
      </c>
      <c r="I516" s="133">
        <v>0</v>
      </c>
      <c r="J516" s="133">
        <v>0</v>
      </c>
      <c r="K516">
        <v>42116</v>
      </c>
      <c r="L516" s="133">
        <v>0</v>
      </c>
      <c r="M516" s="133" t="b">
        <f ca="1">IF(TODAY()-Table_Query_from_A_Readiness_19[[#This Row],[PER_DATE]]&gt;=0,TRUE, FALSE)</f>
        <v>0</v>
      </c>
    </row>
    <row r="517" spans="1:13">
      <c r="A517">
        <v>42139</v>
      </c>
      <c r="B517" t="s">
        <v>332</v>
      </c>
      <c r="C517" t="s">
        <v>145</v>
      </c>
      <c r="D517" s="133">
        <v>22</v>
      </c>
      <c r="E517" s="133">
        <v>0</v>
      </c>
      <c r="F517" s="133">
        <v>0</v>
      </c>
      <c r="G517" s="133">
        <v>0</v>
      </c>
      <c r="H517" s="133">
        <v>0</v>
      </c>
      <c r="I517" s="133">
        <v>24</v>
      </c>
      <c r="J517" s="133">
        <v>0</v>
      </c>
      <c r="K517">
        <v>42116</v>
      </c>
      <c r="L517" s="133">
        <v>0</v>
      </c>
      <c r="M517" s="133" t="b">
        <f ca="1">IF(TODAY()-Table_Query_from_A_Readiness_19[[#This Row],[PER_DATE]]&gt;=0,TRUE, FALSE)</f>
        <v>0</v>
      </c>
    </row>
    <row r="518" spans="1:13">
      <c r="A518">
        <v>42139</v>
      </c>
      <c r="B518" t="s">
        <v>325</v>
      </c>
      <c r="C518" t="s">
        <v>167</v>
      </c>
      <c r="D518" s="133">
        <v>22</v>
      </c>
      <c r="E518" s="133">
        <v>0</v>
      </c>
      <c r="F518" s="133">
        <v>0</v>
      </c>
      <c r="G518" s="133">
        <v>0</v>
      </c>
      <c r="H518" s="133">
        <v>0</v>
      </c>
      <c r="I518" s="133">
        <v>24</v>
      </c>
      <c r="J518" s="133">
        <v>0</v>
      </c>
      <c r="K518">
        <v>42116</v>
      </c>
      <c r="L518" s="133">
        <v>0</v>
      </c>
      <c r="M518" s="133" t="b">
        <f ca="1">IF(TODAY()-Table_Query_from_A_Readiness_19[[#This Row],[PER_DATE]]&gt;=0,TRUE, FALSE)</f>
        <v>0</v>
      </c>
    </row>
    <row r="519" spans="1:13">
      <c r="A519">
        <v>42139</v>
      </c>
      <c r="B519" t="s">
        <v>324</v>
      </c>
      <c r="C519" t="s">
        <v>153</v>
      </c>
      <c r="D519" s="133">
        <v>22</v>
      </c>
      <c r="E519" s="133">
        <v>0</v>
      </c>
      <c r="F519" s="133">
        <v>0</v>
      </c>
      <c r="G519" s="133">
        <v>0</v>
      </c>
      <c r="H519" s="133">
        <v>24</v>
      </c>
      <c r="I519" s="133">
        <v>0</v>
      </c>
      <c r="J519" s="133">
        <v>0</v>
      </c>
      <c r="K519">
        <v>42116</v>
      </c>
      <c r="L519" s="133">
        <v>0</v>
      </c>
      <c r="M519" s="133" t="b">
        <f ca="1">IF(TODAY()-Table_Query_from_A_Readiness_19[[#This Row],[PER_DATE]]&gt;=0,TRUE, FALSE)</f>
        <v>0</v>
      </c>
    </row>
    <row r="520" spans="1:13">
      <c r="A520">
        <v>42139</v>
      </c>
      <c r="B520" t="s">
        <v>325</v>
      </c>
      <c r="C520" t="s">
        <v>154</v>
      </c>
      <c r="D520" s="133">
        <v>22</v>
      </c>
      <c r="E520" s="133">
        <v>24</v>
      </c>
      <c r="F520" s="133">
        <v>0</v>
      </c>
      <c r="G520" s="133">
        <v>0</v>
      </c>
      <c r="H520" s="133">
        <v>0</v>
      </c>
      <c r="I520" s="133">
        <v>0</v>
      </c>
      <c r="J520" s="133">
        <v>0</v>
      </c>
      <c r="K520">
        <v>42116</v>
      </c>
      <c r="L520" s="133">
        <v>0</v>
      </c>
      <c r="M520" s="133" t="b">
        <f ca="1">IF(TODAY()-Table_Query_from_A_Readiness_19[[#This Row],[PER_DATE]]&gt;=0,TRUE, FALSE)</f>
        <v>0</v>
      </c>
    </row>
    <row r="521" spans="1:13">
      <c r="A521">
        <v>42139</v>
      </c>
      <c r="B521" t="s">
        <v>325</v>
      </c>
      <c r="C521" t="s">
        <v>168</v>
      </c>
      <c r="D521" s="133">
        <v>22</v>
      </c>
      <c r="E521" s="133">
        <v>24</v>
      </c>
      <c r="F521" s="133">
        <v>0</v>
      </c>
      <c r="G521" s="133">
        <v>0</v>
      </c>
      <c r="H521" s="133">
        <v>0</v>
      </c>
      <c r="I521" s="133">
        <v>0</v>
      </c>
      <c r="J521" s="133">
        <v>0</v>
      </c>
      <c r="K521">
        <v>42116</v>
      </c>
      <c r="L521" s="133">
        <v>0</v>
      </c>
      <c r="M521" s="133" t="b">
        <f ca="1">IF(TODAY()-Table_Query_from_A_Readiness_19[[#This Row],[PER_DATE]]&gt;=0,TRUE, FALSE)</f>
        <v>0</v>
      </c>
    </row>
    <row r="522" spans="1:13">
      <c r="A522">
        <v>42139</v>
      </c>
      <c r="B522" t="s">
        <v>324</v>
      </c>
      <c r="C522" t="s">
        <v>155</v>
      </c>
      <c r="D522" s="133">
        <v>22</v>
      </c>
      <c r="E522" s="133">
        <v>0</v>
      </c>
      <c r="F522" s="133">
        <v>0</v>
      </c>
      <c r="G522" s="133">
        <v>0</v>
      </c>
      <c r="H522" s="133">
        <v>0</v>
      </c>
      <c r="I522" s="133">
        <v>24</v>
      </c>
      <c r="J522" s="133">
        <v>0</v>
      </c>
      <c r="K522">
        <v>42116</v>
      </c>
      <c r="L522" s="133">
        <v>0</v>
      </c>
      <c r="M522" s="133" t="b">
        <f ca="1">IF(TODAY()-Table_Query_from_A_Readiness_19[[#This Row],[PER_DATE]]&gt;=0,TRUE, FALSE)</f>
        <v>0</v>
      </c>
    </row>
    <row r="523" spans="1:13">
      <c r="A523">
        <v>42139</v>
      </c>
      <c r="B523" t="s">
        <v>324</v>
      </c>
      <c r="C523" t="s">
        <v>156</v>
      </c>
      <c r="D523" s="133">
        <v>22</v>
      </c>
      <c r="E523" s="133">
        <v>0</v>
      </c>
      <c r="F523" s="133">
        <v>24</v>
      </c>
      <c r="G523" s="133">
        <v>0</v>
      </c>
      <c r="H523" s="133">
        <v>0</v>
      </c>
      <c r="I523" s="133">
        <v>0</v>
      </c>
      <c r="J523" s="133">
        <v>0</v>
      </c>
      <c r="K523">
        <v>42116</v>
      </c>
      <c r="L523" s="133">
        <v>0</v>
      </c>
      <c r="M523" s="133" t="b">
        <f ca="1">IF(TODAY()-Table_Query_from_A_Readiness_19[[#This Row],[PER_DATE]]&gt;=0,TRUE, FALSE)</f>
        <v>0</v>
      </c>
    </row>
    <row r="524" spans="1:13">
      <c r="A524">
        <v>42139</v>
      </c>
      <c r="B524" t="s">
        <v>325</v>
      </c>
      <c r="C524" t="s">
        <v>157</v>
      </c>
      <c r="D524" s="133">
        <v>22</v>
      </c>
      <c r="E524" s="133">
        <v>0</v>
      </c>
      <c r="F524" s="133">
        <v>24</v>
      </c>
      <c r="G524" s="133">
        <v>0</v>
      </c>
      <c r="H524" s="133">
        <v>0</v>
      </c>
      <c r="I524" s="133">
        <v>0</v>
      </c>
      <c r="J524" s="133">
        <v>0</v>
      </c>
      <c r="K524">
        <v>42116</v>
      </c>
      <c r="L524" s="133">
        <v>0</v>
      </c>
      <c r="M524" s="133" t="b">
        <f ca="1">IF(TODAY()-Table_Query_from_A_Readiness_19[[#This Row],[PER_DATE]]&gt;=0,TRUE, FALSE)</f>
        <v>0</v>
      </c>
    </row>
    <row r="525" spans="1:13">
      <c r="A525">
        <v>42139</v>
      </c>
      <c r="B525" t="s">
        <v>324</v>
      </c>
      <c r="C525" t="s">
        <v>169</v>
      </c>
      <c r="D525" s="133">
        <v>22</v>
      </c>
      <c r="E525" s="133">
        <v>0</v>
      </c>
      <c r="F525" s="133">
        <v>0</v>
      </c>
      <c r="G525" s="133">
        <v>0</v>
      </c>
      <c r="H525" s="133">
        <v>0</v>
      </c>
      <c r="I525" s="133">
        <v>24</v>
      </c>
      <c r="J525" s="133">
        <v>0</v>
      </c>
      <c r="K525">
        <v>42116</v>
      </c>
      <c r="L525" s="133">
        <v>0</v>
      </c>
      <c r="M525" s="133" t="b">
        <f ca="1">IF(TODAY()-Table_Query_from_A_Readiness_19[[#This Row],[PER_DATE]]&gt;=0,TRUE, FALSE)</f>
        <v>0</v>
      </c>
    </row>
    <row r="526" spans="1:13">
      <c r="A526">
        <v>42139</v>
      </c>
      <c r="B526" t="s">
        <v>332</v>
      </c>
      <c r="C526" t="s">
        <v>170</v>
      </c>
      <c r="D526" s="133">
        <v>22</v>
      </c>
      <c r="E526" s="133">
        <v>0</v>
      </c>
      <c r="F526" s="133">
        <v>0</v>
      </c>
      <c r="G526" s="133">
        <v>0</v>
      </c>
      <c r="H526" s="133">
        <v>24</v>
      </c>
      <c r="I526" s="133">
        <v>0</v>
      </c>
      <c r="J526" s="133">
        <v>0</v>
      </c>
      <c r="K526">
        <v>42116</v>
      </c>
      <c r="L526" s="133">
        <v>0</v>
      </c>
      <c r="M526" s="133" t="b">
        <f ca="1">IF(TODAY()-Table_Query_from_A_Readiness_19[[#This Row],[PER_DATE]]&gt;=0,TRUE, FALSE)</f>
        <v>0</v>
      </c>
    </row>
    <row r="527" spans="1:13">
      <c r="A527">
        <v>42139</v>
      </c>
      <c r="B527" t="s">
        <v>324</v>
      </c>
      <c r="C527" t="s">
        <v>158</v>
      </c>
      <c r="D527" s="133">
        <v>22</v>
      </c>
      <c r="E527" s="133">
        <v>0</v>
      </c>
      <c r="F527" s="133">
        <v>24</v>
      </c>
      <c r="G527" s="133">
        <v>0</v>
      </c>
      <c r="H527" s="133">
        <v>0</v>
      </c>
      <c r="I527" s="133">
        <v>0</v>
      </c>
      <c r="J527" s="133">
        <v>0</v>
      </c>
      <c r="K527">
        <v>42116</v>
      </c>
      <c r="L527" s="133">
        <v>0</v>
      </c>
      <c r="M527" s="133" t="b">
        <f ca="1">IF(TODAY()-Table_Query_from_A_Readiness_19[[#This Row],[PER_DATE]]&gt;=0,TRUE, FALSE)</f>
        <v>0</v>
      </c>
    </row>
    <row r="528" spans="1:13">
      <c r="A528">
        <v>42139</v>
      </c>
      <c r="B528" t="s">
        <v>325</v>
      </c>
      <c r="C528" t="s">
        <v>159</v>
      </c>
      <c r="D528" s="133">
        <v>22</v>
      </c>
      <c r="E528" s="133">
        <v>0</v>
      </c>
      <c r="F528" s="133">
        <v>24</v>
      </c>
      <c r="G528" s="133">
        <v>0</v>
      </c>
      <c r="H528" s="133">
        <v>0</v>
      </c>
      <c r="I528" s="133">
        <v>0</v>
      </c>
      <c r="J528" s="133">
        <v>0</v>
      </c>
      <c r="K528">
        <v>42116</v>
      </c>
      <c r="L528" s="133">
        <v>0</v>
      </c>
      <c r="M528" s="133" t="b">
        <f ca="1">IF(TODAY()-Table_Query_from_A_Readiness_19[[#This Row],[PER_DATE]]&gt;=0,TRUE, FALSE)</f>
        <v>0</v>
      </c>
    </row>
    <row r="529" spans="1:13">
      <c r="A529">
        <v>42139</v>
      </c>
      <c r="B529" t="s">
        <v>325</v>
      </c>
      <c r="C529" t="s">
        <v>160</v>
      </c>
      <c r="D529" s="133">
        <v>22</v>
      </c>
      <c r="E529" s="133">
        <v>0</v>
      </c>
      <c r="F529" s="133">
        <v>24</v>
      </c>
      <c r="G529" s="133">
        <v>0</v>
      </c>
      <c r="H529" s="133">
        <v>0</v>
      </c>
      <c r="I529" s="133">
        <v>0</v>
      </c>
      <c r="J529" s="133">
        <v>0</v>
      </c>
      <c r="K529">
        <v>42116</v>
      </c>
      <c r="L529" s="133">
        <v>0</v>
      </c>
      <c r="M529" s="133" t="b">
        <f ca="1">IF(TODAY()-Table_Query_from_A_Readiness_19[[#This Row],[PER_DATE]]&gt;=0,TRUE, FALSE)</f>
        <v>0</v>
      </c>
    </row>
    <row r="530" spans="1:13">
      <c r="A530">
        <v>42139</v>
      </c>
      <c r="B530" t="s">
        <v>332</v>
      </c>
      <c r="C530" t="s">
        <v>164</v>
      </c>
      <c r="D530" s="133">
        <v>23</v>
      </c>
      <c r="E530" s="133">
        <v>0</v>
      </c>
      <c r="F530" s="133">
        <v>24</v>
      </c>
      <c r="G530" s="133">
        <v>0</v>
      </c>
      <c r="H530" s="133">
        <v>0</v>
      </c>
      <c r="I530" s="133">
        <v>0</v>
      </c>
      <c r="J530" s="133">
        <v>0</v>
      </c>
      <c r="K530">
        <v>42117</v>
      </c>
      <c r="L530" s="133">
        <v>0</v>
      </c>
      <c r="M530" s="133" t="b">
        <f ca="1">IF(TODAY()-Table_Query_from_A_Readiness_19[[#This Row],[PER_DATE]]&gt;=0,TRUE, FALSE)</f>
        <v>0</v>
      </c>
    </row>
    <row r="531" spans="1:13">
      <c r="A531">
        <v>42139</v>
      </c>
      <c r="B531" t="s">
        <v>332</v>
      </c>
      <c r="C531" t="s">
        <v>161</v>
      </c>
      <c r="D531" s="133">
        <v>23</v>
      </c>
      <c r="E531" s="133">
        <v>0</v>
      </c>
      <c r="F531" s="133">
        <v>0</v>
      </c>
      <c r="G531" s="133">
        <v>0</v>
      </c>
      <c r="H531" s="133">
        <v>0</v>
      </c>
      <c r="I531" s="133">
        <v>0</v>
      </c>
      <c r="J531" s="133">
        <v>0</v>
      </c>
      <c r="K531">
        <v>42117</v>
      </c>
      <c r="L531" s="133">
        <v>24</v>
      </c>
      <c r="M531" s="133" t="b">
        <f ca="1">IF(TODAY()-Table_Query_from_A_Readiness_19[[#This Row],[PER_DATE]]&gt;=0,TRUE, FALSE)</f>
        <v>0</v>
      </c>
    </row>
    <row r="532" spans="1:13">
      <c r="A532">
        <v>42139</v>
      </c>
      <c r="B532" t="s">
        <v>332</v>
      </c>
      <c r="C532" t="s">
        <v>165</v>
      </c>
      <c r="D532" s="133">
        <v>23</v>
      </c>
      <c r="E532" s="133">
        <v>0</v>
      </c>
      <c r="F532" s="133">
        <v>24</v>
      </c>
      <c r="G532" s="133">
        <v>0</v>
      </c>
      <c r="H532" s="133">
        <v>0</v>
      </c>
      <c r="I532" s="133">
        <v>0</v>
      </c>
      <c r="J532" s="133">
        <v>0</v>
      </c>
      <c r="K532">
        <v>42117</v>
      </c>
      <c r="L532" s="133">
        <v>0</v>
      </c>
      <c r="M532" s="133" t="b">
        <f ca="1">IF(TODAY()-Table_Query_from_A_Readiness_19[[#This Row],[PER_DATE]]&gt;=0,TRUE, FALSE)</f>
        <v>0</v>
      </c>
    </row>
    <row r="533" spans="1:13">
      <c r="A533">
        <v>42139</v>
      </c>
      <c r="B533" t="s">
        <v>324</v>
      </c>
      <c r="C533" t="s">
        <v>148</v>
      </c>
      <c r="D533" s="133">
        <v>23</v>
      </c>
      <c r="E533" s="133">
        <v>0</v>
      </c>
      <c r="F533" s="133">
        <v>0</v>
      </c>
      <c r="G533" s="133">
        <v>0</v>
      </c>
      <c r="H533" s="133">
        <v>0</v>
      </c>
      <c r="I533" s="133">
        <v>0</v>
      </c>
      <c r="J533" s="133">
        <v>0</v>
      </c>
      <c r="K533">
        <v>42117</v>
      </c>
      <c r="L533" s="133">
        <v>24</v>
      </c>
      <c r="M533" s="133" t="b">
        <f ca="1">IF(TODAY()-Table_Query_from_A_Readiness_19[[#This Row],[PER_DATE]]&gt;=0,TRUE, FALSE)</f>
        <v>0</v>
      </c>
    </row>
    <row r="534" spans="1:13">
      <c r="A534">
        <v>42139</v>
      </c>
      <c r="B534" t="s">
        <v>332</v>
      </c>
      <c r="C534" t="s">
        <v>162</v>
      </c>
      <c r="D534" s="133">
        <v>23</v>
      </c>
      <c r="E534" s="133">
        <v>0</v>
      </c>
      <c r="F534" s="133">
        <v>24</v>
      </c>
      <c r="G534" s="133">
        <v>0</v>
      </c>
      <c r="H534" s="133">
        <v>0</v>
      </c>
      <c r="I534" s="133">
        <v>0</v>
      </c>
      <c r="J534" s="133">
        <v>0</v>
      </c>
      <c r="K534">
        <v>42117</v>
      </c>
      <c r="L534" s="133">
        <v>0</v>
      </c>
      <c r="M534" s="133" t="b">
        <f ca="1">IF(TODAY()-Table_Query_from_A_Readiness_19[[#This Row],[PER_DATE]]&gt;=0,TRUE, FALSE)</f>
        <v>0</v>
      </c>
    </row>
    <row r="535" spans="1:13">
      <c r="A535">
        <v>42139</v>
      </c>
      <c r="B535" t="s">
        <v>332</v>
      </c>
      <c r="C535" t="s">
        <v>163</v>
      </c>
      <c r="D535" s="133">
        <v>23</v>
      </c>
      <c r="E535" s="133">
        <v>24</v>
      </c>
      <c r="F535" s="133">
        <v>0</v>
      </c>
      <c r="G535" s="133">
        <v>0</v>
      </c>
      <c r="H535" s="133">
        <v>0</v>
      </c>
      <c r="I535" s="133">
        <v>0</v>
      </c>
      <c r="J535" s="133">
        <v>0</v>
      </c>
      <c r="K535">
        <v>42117</v>
      </c>
      <c r="L535" s="133">
        <v>0</v>
      </c>
      <c r="M535" s="133" t="b">
        <f ca="1">IF(TODAY()-Table_Query_from_A_Readiness_19[[#This Row],[PER_DATE]]&gt;=0,TRUE, FALSE)</f>
        <v>0</v>
      </c>
    </row>
    <row r="536" spans="1:13">
      <c r="A536">
        <v>42139</v>
      </c>
      <c r="B536" t="s">
        <v>325</v>
      </c>
      <c r="C536" t="s">
        <v>166</v>
      </c>
      <c r="D536" s="133">
        <v>23</v>
      </c>
      <c r="E536" s="133">
        <v>24</v>
      </c>
      <c r="F536" s="133">
        <v>0</v>
      </c>
      <c r="G536" s="133">
        <v>0</v>
      </c>
      <c r="H536" s="133">
        <v>0</v>
      </c>
      <c r="I536" s="133">
        <v>0</v>
      </c>
      <c r="J536" s="133">
        <v>0</v>
      </c>
      <c r="K536">
        <v>42117</v>
      </c>
      <c r="L536" s="133">
        <v>0</v>
      </c>
      <c r="M536" s="133" t="b">
        <f ca="1">IF(TODAY()-Table_Query_from_A_Readiness_19[[#This Row],[PER_DATE]]&gt;=0,TRUE, FALSE)</f>
        <v>0</v>
      </c>
    </row>
    <row r="537" spans="1:13">
      <c r="A537">
        <v>42139</v>
      </c>
      <c r="B537" t="s">
        <v>324</v>
      </c>
      <c r="C537" t="s">
        <v>149</v>
      </c>
      <c r="D537" s="133">
        <v>23</v>
      </c>
      <c r="E537" s="133">
        <v>0</v>
      </c>
      <c r="F537" s="133">
        <v>24</v>
      </c>
      <c r="G537" s="133">
        <v>0</v>
      </c>
      <c r="H537" s="133">
        <v>0</v>
      </c>
      <c r="I537" s="133">
        <v>0</v>
      </c>
      <c r="J537" s="133">
        <v>0</v>
      </c>
      <c r="K537">
        <v>42117</v>
      </c>
      <c r="L537" s="133">
        <v>0</v>
      </c>
      <c r="M537" s="133" t="b">
        <f ca="1">IF(TODAY()-Table_Query_from_A_Readiness_19[[#This Row],[PER_DATE]]&gt;=0,TRUE, FALSE)</f>
        <v>0</v>
      </c>
    </row>
    <row r="538" spans="1:13">
      <c r="A538">
        <v>42139</v>
      </c>
      <c r="B538" t="s">
        <v>332</v>
      </c>
      <c r="C538" t="s">
        <v>150</v>
      </c>
      <c r="D538" s="133">
        <v>23</v>
      </c>
      <c r="E538" s="133">
        <v>24</v>
      </c>
      <c r="F538" s="133">
        <v>0</v>
      </c>
      <c r="G538" s="133">
        <v>0</v>
      </c>
      <c r="H538" s="133">
        <v>0</v>
      </c>
      <c r="I538" s="133">
        <v>0</v>
      </c>
      <c r="J538" s="133">
        <v>0</v>
      </c>
      <c r="K538">
        <v>42117</v>
      </c>
      <c r="L538" s="133">
        <v>0</v>
      </c>
      <c r="M538" s="133" t="b">
        <f ca="1">IF(TODAY()-Table_Query_from_A_Readiness_19[[#This Row],[PER_DATE]]&gt;=0,TRUE, FALSE)</f>
        <v>0</v>
      </c>
    </row>
    <row r="539" spans="1:13">
      <c r="A539">
        <v>42139</v>
      </c>
      <c r="B539" t="s">
        <v>324</v>
      </c>
      <c r="C539" t="s">
        <v>151</v>
      </c>
      <c r="D539" s="133">
        <v>23</v>
      </c>
      <c r="E539" s="133">
        <v>0</v>
      </c>
      <c r="F539" s="133">
        <v>0</v>
      </c>
      <c r="G539" s="133">
        <v>0</v>
      </c>
      <c r="H539" s="133">
        <v>24</v>
      </c>
      <c r="I539" s="133">
        <v>0</v>
      </c>
      <c r="J539" s="133">
        <v>0</v>
      </c>
      <c r="K539">
        <v>42117</v>
      </c>
      <c r="L539" s="133">
        <v>0</v>
      </c>
      <c r="M539" s="133" t="b">
        <f ca="1">IF(TODAY()-Table_Query_from_A_Readiness_19[[#This Row],[PER_DATE]]&gt;=0,TRUE, FALSE)</f>
        <v>0</v>
      </c>
    </row>
    <row r="540" spans="1:13">
      <c r="A540">
        <v>42139</v>
      </c>
      <c r="B540" t="s">
        <v>325</v>
      </c>
      <c r="C540" t="s">
        <v>152</v>
      </c>
      <c r="D540" s="133">
        <v>23</v>
      </c>
      <c r="E540" s="133">
        <v>0</v>
      </c>
      <c r="F540" s="133">
        <v>0</v>
      </c>
      <c r="G540" s="133">
        <v>0</v>
      </c>
      <c r="H540" s="133">
        <v>24</v>
      </c>
      <c r="I540" s="133">
        <v>0</v>
      </c>
      <c r="J540" s="133">
        <v>0</v>
      </c>
      <c r="K540">
        <v>42117</v>
      </c>
      <c r="L540" s="133">
        <v>0</v>
      </c>
      <c r="M540" s="133" t="b">
        <f ca="1">IF(TODAY()-Table_Query_from_A_Readiness_19[[#This Row],[PER_DATE]]&gt;=0,TRUE, FALSE)</f>
        <v>0</v>
      </c>
    </row>
    <row r="541" spans="1:13">
      <c r="A541">
        <v>42139</v>
      </c>
      <c r="B541" t="s">
        <v>332</v>
      </c>
      <c r="C541" t="s">
        <v>145</v>
      </c>
      <c r="D541" s="133">
        <v>23</v>
      </c>
      <c r="E541" s="133">
        <v>0</v>
      </c>
      <c r="F541" s="133">
        <v>0</v>
      </c>
      <c r="G541" s="133">
        <v>0</v>
      </c>
      <c r="H541" s="133">
        <v>0</v>
      </c>
      <c r="I541" s="133">
        <v>24</v>
      </c>
      <c r="J541" s="133">
        <v>0</v>
      </c>
      <c r="K541">
        <v>42117</v>
      </c>
      <c r="L541" s="133">
        <v>0</v>
      </c>
      <c r="M541" s="133" t="b">
        <f ca="1">IF(TODAY()-Table_Query_from_A_Readiness_19[[#This Row],[PER_DATE]]&gt;=0,TRUE, FALSE)</f>
        <v>0</v>
      </c>
    </row>
    <row r="542" spans="1:13">
      <c r="A542">
        <v>42139</v>
      </c>
      <c r="B542" t="s">
        <v>325</v>
      </c>
      <c r="C542" t="s">
        <v>167</v>
      </c>
      <c r="D542" s="133">
        <v>23</v>
      </c>
      <c r="E542" s="133">
        <v>0</v>
      </c>
      <c r="F542" s="133">
        <v>0</v>
      </c>
      <c r="G542" s="133">
        <v>0</v>
      </c>
      <c r="H542" s="133">
        <v>0</v>
      </c>
      <c r="I542" s="133">
        <v>24</v>
      </c>
      <c r="J542" s="133">
        <v>0</v>
      </c>
      <c r="K542">
        <v>42117</v>
      </c>
      <c r="L542" s="133">
        <v>0</v>
      </c>
      <c r="M542" s="133" t="b">
        <f ca="1">IF(TODAY()-Table_Query_from_A_Readiness_19[[#This Row],[PER_DATE]]&gt;=0,TRUE, FALSE)</f>
        <v>0</v>
      </c>
    </row>
    <row r="543" spans="1:13">
      <c r="A543">
        <v>42139</v>
      </c>
      <c r="B543" t="s">
        <v>324</v>
      </c>
      <c r="C543" t="s">
        <v>153</v>
      </c>
      <c r="D543" s="133">
        <v>23</v>
      </c>
      <c r="E543" s="133">
        <v>0</v>
      </c>
      <c r="F543" s="133">
        <v>0</v>
      </c>
      <c r="G543" s="133">
        <v>0</v>
      </c>
      <c r="H543" s="133">
        <v>24</v>
      </c>
      <c r="I543" s="133">
        <v>0</v>
      </c>
      <c r="J543" s="133">
        <v>0</v>
      </c>
      <c r="K543">
        <v>42117</v>
      </c>
      <c r="L543" s="133">
        <v>0</v>
      </c>
      <c r="M543" s="133" t="b">
        <f ca="1">IF(TODAY()-Table_Query_from_A_Readiness_19[[#This Row],[PER_DATE]]&gt;=0,TRUE, FALSE)</f>
        <v>0</v>
      </c>
    </row>
    <row r="544" spans="1:13">
      <c r="A544">
        <v>42139</v>
      </c>
      <c r="B544" t="s">
        <v>325</v>
      </c>
      <c r="C544" t="s">
        <v>154</v>
      </c>
      <c r="D544" s="133">
        <v>23</v>
      </c>
      <c r="E544" s="133">
        <v>24</v>
      </c>
      <c r="F544" s="133">
        <v>0</v>
      </c>
      <c r="G544" s="133">
        <v>0</v>
      </c>
      <c r="H544" s="133">
        <v>0</v>
      </c>
      <c r="I544" s="133">
        <v>0</v>
      </c>
      <c r="J544" s="133">
        <v>0</v>
      </c>
      <c r="K544">
        <v>42117</v>
      </c>
      <c r="L544" s="133">
        <v>0</v>
      </c>
      <c r="M544" s="133" t="b">
        <f ca="1">IF(TODAY()-Table_Query_from_A_Readiness_19[[#This Row],[PER_DATE]]&gt;=0,TRUE, FALSE)</f>
        <v>0</v>
      </c>
    </row>
    <row r="545" spans="1:13">
      <c r="A545">
        <v>42139</v>
      </c>
      <c r="B545" t="s">
        <v>325</v>
      </c>
      <c r="C545" t="s">
        <v>168</v>
      </c>
      <c r="D545" s="133">
        <v>23</v>
      </c>
      <c r="E545" s="133">
        <v>24</v>
      </c>
      <c r="F545" s="133">
        <v>0</v>
      </c>
      <c r="G545" s="133">
        <v>0</v>
      </c>
      <c r="H545" s="133">
        <v>0</v>
      </c>
      <c r="I545" s="133">
        <v>0</v>
      </c>
      <c r="J545" s="133">
        <v>0</v>
      </c>
      <c r="K545">
        <v>42117</v>
      </c>
      <c r="L545" s="133">
        <v>0</v>
      </c>
      <c r="M545" s="133" t="b">
        <f ca="1">IF(TODAY()-Table_Query_from_A_Readiness_19[[#This Row],[PER_DATE]]&gt;=0,TRUE, FALSE)</f>
        <v>0</v>
      </c>
    </row>
    <row r="546" spans="1:13">
      <c r="A546">
        <v>42139</v>
      </c>
      <c r="B546" t="s">
        <v>324</v>
      </c>
      <c r="C546" t="s">
        <v>155</v>
      </c>
      <c r="D546" s="133">
        <v>23</v>
      </c>
      <c r="E546" s="133">
        <v>0</v>
      </c>
      <c r="F546" s="133">
        <v>0</v>
      </c>
      <c r="G546" s="133">
        <v>0</v>
      </c>
      <c r="H546" s="133">
        <v>0</v>
      </c>
      <c r="I546" s="133">
        <v>24</v>
      </c>
      <c r="J546" s="133">
        <v>0</v>
      </c>
      <c r="K546">
        <v>42117</v>
      </c>
      <c r="L546" s="133">
        <v>0</v>
      </c>
      <c r="M546" s="133" t="b">
        <f ca="1">IF(TODAY()-Table_Query_from_A_Readiness_19[[#This Row],[PER_DATE]]&gt;=0,TRUE, FALSE)</f>
        <v>0</v>
      </c>
    </row>
    <row r="547" spans="1:13">
      <c r="A547">
        <v>42139</v>
      </c>
      <c r="B547" t="s">
        <v>324</v>
      </c>
      <c r="C547" t="s">
        <v>156</v>
      </c>
      <c r="D547" s="133">
        <v>23</v>
      </c>
      <c r="E547" s="133">
        <v>0</v>
      </c>
      <c r="F547" s="133">
        <v>24</v>
      </c>
      <c r="G547" s="133">
        <v>0</v>
      </c>
      <c r="H547" s="133">
        <v>0</v>
      </c>
      <c r="I547" s="133">
        <v>0</v>
      </c>
      <c r="J547" s="133">
        <v>0</v>
      </c>
      <c r="K547">
        <v>42117</v>
      </c>
      <c r="L547" s="133">
        <v>0</v>
      </c>
      <c r="M547" s="133" t="b">
        <f ca="1">IF(TODAY()-Table_Query_from_A_Readiness_19[[#This Row],[PER_DATE]]&gt;=0,TRUE, FALSE)</f>
        <v>0</v>
      </c>
    </row>
    <row r="548" spans="1:13">
      <c r="A548">
        <v>42139</v>
      </c>
      <c r="B548" t="s">
        <v>325</v>
      </c>
      <c r="C548" t="s">
        <v>157</v>
      </c>
      <c r="D548" s="133">
        <v>23</v>
      </c>
      <c r="E548" s="133">
        <v>0</v>
      </c>
      <c r="F548" s="133">
        <v>24</v>
      </c>
      <c r="G548" s="133">
        <v>0</v>
      </c>
      <c r="H548" s="133">
        <v>0</v>
      </c>
      <c r="I548" s="133">
        <v>0</v>
      </c>
      <c r="J548" s="133">
        <v>0</v>
      </c>
      <c r="K548">
        <v>42117</v>
      </c>
      <c r="L548" s="133">
        <v>0</v>
      </c>
      <c r="M548" s="133" t="b">
        <f ca="1">IF(TODAY()-Table_Query_from_A_Readiness_19[[#This Row],[PER_DATE]]&gt;=0,TRUE, FALSE)</f>
        <v>0</v>
      </c>
    </row>
    <row r="549" spans="1:13">
      <c r="A549">
        <v>42139</v>
      </c>
      <c r="B549" t="s">
        <v>324</v>
      </c>
      <c r="C549" t="s">
        <v>169</v>
      </c>
      <c r="D549" s="133">
        <v>23</v>
      </c>
      <c r="E549" s="133">
        <v>0</v>
      </c>
      <c r="F549" s="133">
        <v>0</v>
      </c>
      <c r="G549" s="133">
        <v>0</v>
      </c>
      <c r="H549" s="133">
        <v>0</v>
      </c>
      <c r="I549" s="133">
        <v>24</v>
      </c>
      <c r="J549" s="133">
        <v>0</v>
      </c>
      <c r="K549">
        <v>42117</v>
      </c>
      <c r="L549" s="133">
        <v>0</v>
      </c>
      <c r="M549" s="133" t="b">
        <f ca="1">IF(TODAY()-Table_Query_from_A_Readiness_19[[#This Row],[PER_DATE]]&gt;=0,TRUE, FALSE)</f>
        <v>0</v>
      </c>
    </row>
    <row r="550" spans="1:13">
      <c r="A550">
        <v>42139</v>
      </c>
      <c r="B550" t="s">
        <v>332</v>
      </c>
      <c r="C550" t="s">
        <v>170</v>
      </c>
      <c r="D550" s="133">
        <v>23</v>
      </c>
      <c r="E550" s="133">
        <v>0</v>
      </c>
      <c r="F550" s="133">
        <v>0</v>
      </c>
      <c r="G550" s="133">
        <v>0</v>
      </c>
      <c r="H550" s="133">
        <v>24</v>
      </c>
      <c r="I550" s="133">
        <v>0</v>
      </c>
      <c r="J550" s="133">
        <v>0</v>
      </c>
      <c r="K550">
        <v>42117</v>
      </c>
      <c r="L550" s="133">
        <v>0</v>
      </c>
      <c r="M550" s="133" t="b">
        <f ca="1">IF(TODAY()-Table_Query_from_A_Readiness_19[[#This Row],[PER_DATE]]&gt;=0,TRUE, FALSE)</f>
        <v>0</v>
      </c>
    </row>
    <row r="551" spans="1:13">
      <c r="A551">
        <v>42139</v>
      </c>
      <c r="B551" t="s">
        <v>324</v>
      </c>
      <c r="C551" t="s">
        <v>158</v>
      </c>
      <c r="D551" s="133">
        <v>23</v>
      </c>
      <c r="E551" s="133">
        <v>0</v>
      </c>
      <c r="F551" s="133">
        <v>24</v>
      </c>
      <c r="G551" s="133">
        <v>0</v>
      </c>
      <c r="H551" s="133">
        <v>0</v>
      </c>
      <c r="I551" s="133">
        <v>0</v>
      </c>
      <c r="J551" s="133">
        <v>0</v>
      </c>
      <c r="K551">
        <v>42117</v>
      </c>
      <c r="L551" s="133">
        <v>0</v>
      </c>
      <c r="M551" s="133" t="b">
        <f ca="1">IF(TODAY()-Table_Query_from_A_Readiness_19[[#This Row],[PER_DATE]]&gt;=0,TRUE, FALSE)</f>
        <v>0</v>
      </c>
    </row>
    <row r="552" spans="1:13">
      <c r="A552">
        <v>42139</v>
      </c>
      <c r="B552" t="s">
        <v>325</v>
      </c>
      <c r="C552" t="s">
        <v>159</v>
      </c>
      <c r="D552" s="133">
        <v>23</v>
      </c>
      <c r="E552" s="133">
        <v>0</v>
      </c>
      <c r="F552" s="133">
        <v>24</v>
      </c>
      <c r="G552" s="133">
        <v>0</v>
      </c>
      <c r="H552" s="133">
        <v>0</v>
      </c>
      <c r="I552" s="133">
        <v>0</v>
      </c>
      <c r="J552" s="133">
        <v>0</v>
      </c>
      <c r="K552">
        <v>42117</v>
      </c>
      <c r="L552" s="133">
        <v>0</v>
      </c>
      <c r="M552" s="133" t="b">
        <f ca="1">IF(TODAY()-Table_Query_from_A_Readiness_19[[#This Row],[PER_DATE]]&gt;=0,TRUE, FALSE)</f>
        <v>0</v>
      </c>
    </row>
    <row r="553" spans="1:13">
      <c r="A553">
        <v>42139</v>
      </c>
      <c r="B553" t="s">
        <v>325</v>
      </c>
      <c r="C553" t="s">
        <v>160</v>
      </c>
      <c r="D553" s="133">
        <v>23</v>
      </c>
      <c r="E553" s="133">
        <v>0</v>
      </c>
      <c r="F553" s="133">
        <v>24</v>
      </c>
      <c r="G553" s="133">
        <v>0</v>
      </c>
      <c r="H553" s="133">
        <v>0</v>
      </c>
      <c r="I553" s="133">
        <v>0</v>
      </c>
      <c r="J553" s="133">
        <v>0</v>
      </c>
      <c r="K553">
        <v>42117</v>
      </c>
      <c r="L553" s="133">
        <v>0</v>
      </c>
      <c r="M553" s="133" t="b">
        <f ca="1">IF(TODAY()-Table_Query_from_A_Readiness_19[[#This Row],[PER_DATE]]&gt;=0,TRUE, FALSE)</f>
        <v>0</v>
      </c>
    </row>
    <row r="554" spans="1:13">
      <c r="A554">
        <v>42139</v>
      </c>
      <c r="B554" t="s">
        <v>332</v>
      </c>
      <c r="C554" t="s">
        <v>164</v>
      </c>
      <c r="D554" s="133">
        <v>24</v>
      </c>
      <c r="E554" s="133">
        <v>0</v>
      </c>
      <c r="F554" s="133">
        <v>24</v>
      </c>
      <c r="G554" s="133">
        <v>0</v>
      </c>
      <c r="H554" s="133">
        <v>0</v>
      </c>
      <c r="I554" s="133">
        <v>0</v>
      </c>
      <c r="J554" s="133">
        <v>0</v>
      </c>
      <c r="K554">
        <v>42118</v>
      </c>
      <c r="L554" s="133">
        <v>0</v>
      </c>
      <c r="M554" s="133" t="b">
        <f ca="1">IF(TODAY()-Table_Query_from_A_Readiness_19[[#This Row],[PER_DATE]]&gt;=0,TRUE, FALSE)</f>
        <v>0</v>
      </c>
    </row>
    <row r="555" spans="1:13">
      <c r="A555">
        <v>42139</v>
      </c>
      <c r="B555" t="s">
        <v>332</v>
      </c>
      <c r="C555" t="s">
        <v>161</v>
      </c>
      <c r="D555" s="133">
        <v>24</v>
      </c>
      <c r="E555" s="133">
        <v>0</v>
      </c>
      <c r="F555" s="133">
        <v>0</v>
      </c>
      <c r="G555" s="133">
        <v>0</v>
      </c>
      <c r="H555" s="133">
        <v>0</v>
      </c>
      <c r="I555" s="133">
        <v>0</v>
      </c>
      <c r="J555" s="133">
        <v>0</v>
      </c>
      <c r="K555">
        <v>42118</v>
      </c>
      <c r="L555" s="133">
        <v>24</v>
      </c>
      <c r="M555" s="133" t="b">
        <f ca="1">IF(TODAY()-Table_Query_from_A_Readiness_19[[#This Row],[PER_DATE]]&gt;=0,TRUE, FALSE)</f>
        <v>0</v>
      </c>
    </row>
    <row r="556" spans="1:13">
      <c r="A556">
        <v>42139</v>
      </c>
      <c r="B556" t="s">
        <v>332</v>
      </c>
      <c r="C556" t="s">
        <v>165</v>
      </c>
      <c r="D556" s="133">
        <v>24</v>
      </c>
      <c r="E556" s="133">
        <v>0</v>
      </c>
      <c r="F556" s="133">
        <v>24</v>
      </c>
      <c r="G556" s="133">
        <v>0</v>
      </c>
      <c r="H556" s="133">
        <v>0</v>
      </c>
      <c r="I556" s="133">
        <v>0</v>
      </c>
      <c r="J556" s="133">
        <v>0</v>
      </c>
      <c r="K556">
        <v>42118</v>
      </c>
      <c r="L556" s="133">
        <v>0</v>
      </c>
      <c r="M556" s="133" t="b">
        <f ca="1">IF(TODAY()-Table_Query_from_A_Readiness_19[[#This Row],[PER_DATE]]&gt;=0,TRUE, FALSE)</f>
        <v>0</v>
      </c>
    </row>
    <row r="557" spans="1:13">
      <c r="A557">
        <v>42139</v>
      </c>
      <c r="B557" t="s">
        <v>324</v>
      </c>
      <c r="C557" t="s">
        <v>148</v>
      </c>
      <c r="D557" s="133">
        <v>24</v>
      </c>
      <c r="E557" s="133">
        <v>0</v>
      </c>
      <c r="F557" s="133">
        <v>0</v>
      </c>
      <c r="G557" s="133">
        <v>0</v>
      </c>
      <c r="H557" s="133">
        <v>0</v>
      </c>
      <c r="I557" s="133">
        <v>0</v>
      </c>
      <c r="J557" s="133">
        <v>0</v>
      </c>
      <c r="K557">
        <v>42118</v>
      </c>
      <c r="L557" s="133">
        <v>24</v>
      </c>
      <c r="M557" s="133" t="b">
        <f ca="1">IF(TODAY()-Table_Query_from_A_Readiness_19[[#This Row],[PER_DATE]]&gt;=0,TRUE, FALSE)</f>
        <v>0</v>
      </c>
    </row>
    <row r="558" spans="1:13">
      <c r="A558">
        <v>42139</v>
      </c>
      <c r="B558" t="s">
        <v>332</v>
      </c>
      <c r="C558" t="s">
        <v>162</v>
      </c>
      <c r="D558" s="133">
        <v>24</v>
      </c>
      <c r="E558" s="133">
        <v>0</v>
      </c>
      <c r="F558" s="133">
        <v>24</v>
      </c>
      <c r="G558" s="133">
        <v>0</v>
      </c>
      <c r="H558" s="133">
        <v>0</v>
      </c>
      <c r="I558" s="133">
        <v>0</v>
      </c>
      <c r="J558" s="133">
        <v>0</v>
      </c>
      <c r="K558">
        <v>42118</v>
      </c>
      <c r="L558" s="133">
        <v>0</v>
      </c>
      <c r="M558" s="133" t="b">
        <f ca="1">IF(TODAY()-Table_Query_from_A_Readiness_19[[#This Row],[PER_DATE]]&gt;=0,TRUE, FALSE)</f>
        <v>0</v>
      </c>
    </row>
    <row r="559" spans="1:13">
      <c r="A559">
        <v>42139</v>
      </c>
      <c r="B559" t="s">
        <v>332</v>
      </c>
      <c r="C559" t="s">
        <v>163</v>
      </c>
      <c r="D559" s="133">
        <v>24</v>
      </c>
      <c r="E559" s="133">
        <v>24</v>
      </c>
      <c r="F559" s="133">
        <v>0</v>
      </c>
      <c r="G559" s="133">
        <v>0</v>
      </c>
      <c r="H559" s="133">
        <v>0</v>
      </c>
      <c r="I559" s="133">
        <v>0</v>
      </c>
      <c r="J559" s="133">
        <v>0</v>
      </c>
      <c r="K559">
        <v>42118</v>
      </c>
      <c r="L559" s="133">
        <v>0</v>
      </c>
      <c r="M559" s="133" t="b">
        <f ca="1">IF(TODAY()-Table_Query_from_A_Readiness_19[[#This Row],[PER_DATE]]&gt;=0,TRUE, FALSE)</f>
        <v>0</v>
      </c>
    </row>
    <row r="560" spans="1:13">
      <c r="A560">
        <v>42139</v>
      </c>
      <c r="B560" t="s">
        <v>325</v>
      </c>
      <c r="C560" t="s">
        <v>166</v>
      </c>
      <c r="D560" s="133">
        <v>24</v>
      </c>
      <c r="E560" s="133">
        <v>24</v>
      </c>
      <c r="F560" s="133">
        <v>0</v>
      </c>
      <c r="G560" s="133">
        <v>0</v>
      </c>
      <c r="H560" s="133">
        <v>0</v>
      </c>
      <c r="I560" s="133">
        <v>0</v>
      </c>
      <c r="J560" s="133">
        <v>0</v>
      </c>
      <c r="K560">
        <v>42118</v>
      </c>
      <c r="L560" s="133">
        <v>0</v>
      </c>
      <c r="M560" s="133" t="b">
        <f ca="1">IF(TODAY()-Table_Query_from_A_Readiness_19[[#This Row],[PER_DATE]]&gt;=0,TRUE, FALSE)</f>
        <v>0</v>
      </c>
    </row>
    <row r="561" spans="1:13">
      <c r="A561">
        <v>42139</v>
      </c>
      <c r="B561" t="s">
        <v>324</v>
      </c>
      <c r="C561" t="s">
        <v>149</v>
      </c>
      <c r="D561" s="133">
        <v>24</v>
      </c>
      <c r="E561" s="133">
        <v>0</v>
      </c>
      <c r="F561" s="133">
        <v>24</v>
      </c>
      <c r="G561" s="133">
        <v>0</v>
      </c>
      <c r="H561" s="133">
        <v>0</v>
      </c>
      <c r="I561" s="133">
        <v>0</v>
      </c>
      <c r="J561" s="133">
        <v>0</v>
      </c>
      <c r="K561">
        <v>42118</v>
      </c>
      <c r="L561" s="133">
        <v>0</v>
      </c>
      <c r="M561" s="133" t="b">
        <f ca="1">IF(TODAY()-Table_Query_from_A_Readiness_19[[#This Row],[PER_DATE]]&gt;=0,TRUE, FALSE)</f>
        <v>0</v>
      </c>
    </row>
    <row r="562" spans="1:13">
      <c r="A562">
        <v>42139</v>
      </c>
      <c r="B562" t="s">
        <v>332</v>
      </c>
      <c r="C562" t="s">
        <v>150</v>
      </c>
      <c r="D562" s="133">
        <v>24</v>
      </c>
      <c r="E562" s="133">
        <v>24</v>
      </c>
      <c r="F562" s="133">
        <v>0</v>
      </c>
      <c r="G562" s="133">
        <v>0</v>
      </c>
      <c r="H562" s="133">
        <v>0</v>
      </c>
      <c r="I562" s="133">
        <v>0</v>
      </c>
      <c r="J562" s="133">
        <v>0</v>
      </c>
      <c r="K562">
        <v>42118</v>
      </c>
      <c r="L562" s="133">
        <v>0</v>
      </c>
      <c r="M562" s="133" t="b">
        <f ca="1">IF(TODAY()-Table_Query_from_A_Readiness_19[[#This Row],[PER_DATE]]&gt;=0,TRUE, FALSE)</f>
        <v>0</v>
      </c>
    </row>
    <row r="563" spans="1:13">
      <c r="A563">
        <v>42139</v>
      </c>
      <c r="B563" t="s">
        <v>324</v>
      </c>
      <c r="C563" t="s">
        <v>151</v>
      </c>
      <c r="D563" s="133">
        <v>24</v>
      </c>
      <c r="E563" s="133">
        <v>0</v>
      </c>
      <c r="F563" s="133">
        <v>0</v>
      </c>
      <c r="G563" s="133">
        <v>0</v>
      </c>
      <c r="H563" s="133">
        <v>24</v>
      </c>
      <c r="I563" s="133">
        <v>0</v>
      </c>
      <c r="J563" s="133">
        <v>0</v>
      </c>
      <c r="K563">
        <v>42118</v>
      </c>
      <c r="L563" s="133">
        <v>0</v>
      </c>
      <c r="M563" s="133" t="b">
        <f ca="1">IF(TODAY()-Table_Query_from_A_Readiness_19[[#This Row],[PER_DATE]]&gt;=0,TRUE, FALSE)</f>
        <v>0</v>
      </c>
    </row>
    <row r="564" spans="1:13">
      <c r="A564">
        <v>42139</v>
      </c>
      <c r="B564" t="s">
        <v>325</v>
      </c>
      <c r="C564" t="s">
        <v>152</v>
      </c>
      <c r="D564" s="133">
        <v>24</v>
      </c>
      <c r="E564" s="133">
        <v>0</v>
      </c>
      <c r="F564" s="133">
        <v>0</v>
      </c>
      <c r="G564" s="133">
        <v>0</v>
      </c>
      <c r="H564" s="133">
        <v>24</v>
      </c>
      <c r="I564" s="133">
        <v>0</v>
      </c>
      <c r="J564" s="133">
        <v>0</v>
      </c>
      <c r="K564">
        <v>42118</v>
      </c>
      <c r="L564" s="133">
        <v>0</v>
      </c>
      <c r="M564" s="133" t="b">
        <f ca="1">IF(TODAY()-Table_Query_from_A_Readiness_19[[#This Row],[PER_DATE]]&gt;=0,TRUE, FALSE)</f>
        <v>0</v>
      </c>
    </row>
    <row r="565" spans="1:13">
      <c r="A565">
        <v>42139</v>
      </c>
      <c r="B565" t="s">
        <v>332</v>
      </c>
      <c r="C565" t="s">
        <v>145</v>
      </c>
      <c r="D565" s="133">
        <v>24</v>
      </c>
      <c r="E565" s="133">
        <v>0</v>
      </c>
      <c r="F565" s="133">
        <v>0</v>
      </c>
      <c r="G565" s="133">
        <v>0</v>
      </c>
      <c r="H565" s="133">
        <v>0</v>
      </c>
      <c r="I565" s="133">
        <v>24</v>
      </c>
      <c r="J565" s="133">
        <v>0</v>
      </c>
      <c r="K565">
        <v>42118</v>
      </c>
      <c r="L565" s="133">
        <v>0</v>
      </c>
      <c r="M565" s="133" t="b">
        <f ca="1">IF(TODAY()-Table_Query_from_A_Readiness_19[[#This Row],[PER_DATE]]&gt;=0,TRUE, FALSE)</f>
        <v>0</v>
      </c>
    </row>
    <row r="566" spans="1:13">
      <c r="A566">
        <v>42139</v>
      </c>
      <c r="B566" t="s">
        <v>325</v>
      </c>
      <c r="C566" t="s">
        <v>167</v>
      </c>
      <c r="D566" s="133">
        <v>24</v>
      </c>
      <c r="E566" s="133">
        <v>0</v>
      </c>
      <c r="F566" s="133">
        <v>0</v>
      </c>
      <c r="G566" s="133">
        <v>0</v>
      </c>
      <c r="H566" s="133">
        <v>0</v>
      </c>
      <c r="I566" s="133">
        <v>24</v>
      </c>
      <c r="J566" s="133">
        <v>0</v>
      </c>
      <c r="K566">
        <v>42118</v>
      </c>
      <c r="L566" s="133">
        <v>0</v>
      </c>
      <c r="M566" s="133" t="b">
        <f ca="1">IF(TODAY()-Table_Query_from_A_Readiness_19[[#This Row],[PER_DATE]]&gt;=0,TRUE, FALSE)</f>
        <v>0</v>
      </c>
    </row>
    <row r="567" spans="1:13">
      <c r="A567">
        <v>42139</v>
      </c>
      <c r="B567" t="s">
        <v>324</v>
      </c>
      <c r="C567" t="s">
        <v>153</v>
      </c>
      <c r="D567" s="133">
        <v>24</v>
      </c>
      <c r="E567" s="133">
        <v>0</v>
      </c>
      <c r="F567" s="133">
        <v>0</v>
      </c>
      <c r="G567" s="133">
        <v>0</v>
      </c>
      <c r="H567" s="133">
        <v>24</v>
      </c>
      <c r="I567" s="133">
        <v>0</v>
      </c>
      <c r="J567" s="133">
        <v>0</v>
      </c>
      <c r="K567">
        <v>42118</v>
      </c>
      <c r="L567" s="133">
        <v>0</v>
      </c>
      <c r="M567" s="133" t="b">
        <f ca="1">IF(TODAY()-Table_Query_from_A_Readiness_19[[#This Row],[PER_DATE]]&gt;=0,TRUE, FALSE)</f>
        <v>0</v>
      </c>
    </row>
    <row r="568" spans="1:13">
      <c r="A568">
        <v>42139</v>
      </c>
      <c r="B568" t="s">
        <v>325</v>
      </c>
      <c r="C568" t="s">
        <v>154</v>
      </c>
      <c r="D568" s="133">
        <v>24</v>
      </c>
      <c r="E568" s="133">
        <v>24</v>
      </c>
      <c r="F568" s="133">
        <v>0</v>
      </c>
      <c r="G568" s="133">
        <v>0</v>
      </c>
      <c r="H568" s="133">
        <v>0</v>
      </c>
      <c r="I568" s="133">
        <v>0</v>
      </c>
      <c r="J568" s="133">
        <v>0</v>
      </c>
      <c r="K568">
        <v>42118</v>
      </c>
      <c r="L568" s="133">
        <v>0</v>
      </c>
      <c r="M568" s="133" t="b">
        <f ca="1">IF(TODAY()-Table_Query_from_A_Readiness_19[[#This Row],[PER_DATE]]&gt;=0,TRUE, FALSE)</f>
        <v>0</v>
      </c>
    </row>
    <row r="569" spans="1:13">
      <c r="A569">
        <v>42139</v>
      </c>
      <c r="B569" t="s">
        <v>325</v>
      </c>
      <c r="C569" t="s">
        <v>168</v>
      </c>
      <c r="D569" s="133">
        <v>24</v>
      </c>
      <c r="E569" s="133">
        <v>24</v>
      </c>
      <c r="F569" s="133">
        <v>0</v>
      </c>
      <c r="G569" s="133">
        <v>0</v>
      </c>
      <c r="H569" s="133">
        <v>0</v>
      </c>
      <c r="I569" s="133">
        <v>0</v>
      </c>
      <c r="J569" s="133">
        <v>0</v>
      </c>
      <c r="K569">
        <v>42118</v>
      </c>
      <c r="L569" s="133">
        <v>0</v>
      </c>
      <c r="M569" s="133" t="b">
        <f ca="1">IF(TODAY()-Table_Query_from_A_Readiness_19[[#This Row],[PER_DATE]]&gt;=0,TRUE, FALSE)</f>
        <v>0</v>
      </c>
    </row>
    <row r="570" spans="1:13">
      <c r="A570">
        <v>42139</v>
      </c>
      <c r="B570" t="s">
        <v>324</v>
      </c>
      <c r="C570" t="s">
        <v>155</v>
      </c>
      <c r="D570" s="133">
        <v>24</v>
      </c>
      <c r="E570" s="133">
        <v>0</v>
      </c>
      <c r="F570" s="133">
        <v>0</v>
      </c>
      <c r="G570" s="133">
        <v>0</v>
      </c>
      <c r="H570" s="133">
        <v>0</v>
      </c>
      <c r="I570" s="133">
        <v>24</v>
      </c>
      <c r="J570" s="133">
        <v>0</v>
      </c>
      <c r="K570">
        <v>42118</v>
      </c>
      <c r="L570" s="133">
        <v>0</v>
      </c>
      <c r="M570" s="133" t="b">
        <f ca="1">IF(TODAY()-Table_Query_from_A_Readiness_19[[#This Row],[PER_DATE]]&gt;=0,TRUE, FALSE)</f>
        <v>0</v>
      </c>
    </row>
    <row r="571" spans="1:13">
      <c r="A571">
        <v>42139</v>
      </c>
      <c r="B571" t="s">
        <v>324</v>
      </c>
      <c r="C571" t="s">
        <v>156</v>
      </c>
      <c r="D571" s="133">
        <v>24</v>
      </c>
      <c r="E571" s="133">
        <v>0</v>
      </c>
      <c r="F571" s="133">
        <v>24</v>
      </c>
      <c r="G571" s="133">
        <v>0</v>
      </c>
      <c r="H571" s="133">
        <v>0</v>
      </c>
      <c r="I571" s="133">
        <v>0</v>
      </c>
      <c r="J571" s="133">
        <v>0</v>
      </c>
      <c r="K571">
        <v>42118</v>
      </c>
      <c r="L571" s="133">
        <v>0</v>
      </c>
      <c r="M571" s="133" t="b">
        <f ca="1">IF(TODAY()-Table_Query_from_A_Readiness_19[[#This Row],[PER_DATE]]&gt;=0,TRUE, FALSE)</f>
        <v>0</v>
      </c>
    </row>
    <row r="572" spans="1:13">
      <c r="A572">
        <v>42139</v>
      </c>
      <c r="B572" t="s">
        <v>325</v>
      </c>
      <c r="C572" t="s">
        <v>157</v>
      </c>
      <c r="D572" s="133">
        <v>24</v>
      </c>
      <c r="E572" s="133">
        <v>0</v>
      </c>
      <c r="F572" s="133">
        <v>24</v>
      </c>
      <c r="G572" s="133">
        <v>0</v>
      </c>
      <c r="H572" s="133">
        <v>0</v>
      </c>
      <c r="I572" s="133">
        <v>0</v>
      </c>
      <c r="J572" s="133">
        <v>0</v>
      </c>
      <c r="K572">
        <v>42118</v>
      </c>
      <c r="L572" s="133">
        <v>0</v>
      </c>
      <c r="M572" s="133" t="b">
        <f ca="1">IF(TODAY()-Table_Query_from_A_Readiness_19[[#This Row],[PER_DATE]]&gt;=0,TRUE, FALSE)</f>
        <v>0</v>
      </c>
    </row>
    <row r="573" spans="1:13">
      <c r="A573">
        <v>42139</v>
      </c>
      <c r="B573" t="s">
        <v>324</v>
      </c>
      <c r="C573" t="s">
        <v>169</v>
      </c>
      <c r="D573" s="133">
        <v>24</v>
      </c>
      <c r="E573" s="133">
        <v>0</v>
      </c>
      <c r="F573" s="133">
        <v>0</v>
      </c>
      <c r="G573" s="133">
        <v>0</v>
      </c>
      <c r="H573" s="133">
        <v>0</v>
      </c>
      <c r="I573" s="133">
        <v>24</v>
      </c>
      <c r="J573" s="133">
        <v>0</v>
      </c>
      <c r="K573">
        <v>42118</v>
      </c>
      <c r="L573" s="133">
        <v>0</v>
      </c>
      <c r="M573" s="133" t="b">
        <f ca="1">IF(TODAY()-Table_Query_from_A_Readiness_19[[#This Row],[PER_DATE]]&gt;=0,TRUE, FALSE)</f>
        <v>0</v>
      </c>
    </row>
    <row r="574" spans="1:13">
      <c r="A574">
        <v>42139</v>
      </c>
      <c r="B574" t="s">
        <v>332</v>
      </c>
      <c r="C574" t="s">
        <v>170</v>
      </c>
      <c r="D574" s="133">
        <v>24</v>
      </c>
      <c r="E574" s="133">
        <v>0</v>
      </c>
      <c r="F574" s="133">
        <v>0</v>
      </c>
      <c r="G574" s="133">
        <v>0</v>
      </c>
      <c r="H574" s="133">
        <v>24</v>
      </c>
      <c r="I574" s="133">
        <v>0</v>
      </c>
      <c r="J574" s="133">
        <v>0</v>
      </c>
      <c r="K574">
        <v>42118</v>
      </c>
      <c r="L574" s="133">
        <v>0</v>
      </c>
      <c r="M574" s="133" t="b">
        <f ca="1">IF(TODAY()-Table_Query_from_A_Readiness_19[[#This Row],[PER_DATE]]&gt;=0,TRUE, FALSE)</f>
        <v>0</v>
      </c>
    </row>
    <row r="575" spans="1:13">
      <c r="A575">
        <v>42139</v>
      </c>
      <c r="B575" t="s">
        <v>324</v>
      </c>
      <c r="C575" t="s">
        <v>158</v>
      </c>
      <c r="D575" s="133">
        <v>24</v>
      </c>
      <c r="E575" s="133">
        <v>0</v>
      </c>
      <c r="F575" s="133">
        <v>24</v>
      </c>
      <c r="G575" s="133">
        <v>0</v>
      </c>
      <c r="H575" s="133">
        <v>0</v>
      </c>
      <c r="I575" s="133">
        <v>0</v>
      </c>
      <c r="J575" s="133">
        <v>0</v>
      </c>
      <c r="K575">
        <v>42118</v>
      </c>
      <c r="L575" s="133">
        <v>0</v>
      </c>
      <c r="M575" s="133" t="b">
        <f ca="1">IF(TODAY()-Table_Query_from_A_Readiness_19[[#This Row],[PER_DATE]]&gt;=0,TRUE, FALSE)</f>
        <v>0</v>
      </c>
    </row>
    <row r="576" spans="1:13">
      <c r="A576">
        <v>42139</v>
      </c>
      <c r="B576" t="s">
        <v>325</v>
      </c>
      <c r="C576" t="s">
        <v>159</v>
      </c>
      <c r="D576" s="133">
        <v>24</v>
      </c>
      <c r="E576" s="133">
        <v>0</v>
      </c>
      <c r="F576" s="133">
        <v>24</v>
      </c>
      <c r="G576" s="133">
        <v>0</v>
      </c>
      <c r="H576" s="133">
        <v>0</v>
      </c>
      <c r="I576" s="133">
        <v>0</v>
      </c>
      <c r="J576" s="133">
        <v>0</v>
      </c>
      <c r="K576">
        <v>42118</v>
      </c>
      <c r="L576" s="133">
        <v>0</v>
      </c>
      <c r="M576" s="133" t="b">
        <f ca="1">IF(TODAY()-Table_Query_from_A_Readiness_19[[#This Row],[PER_DATE]]&gt;=0,TRUE, FALSE)</f>
        <v>0</v>
      </c>
    </row>
    <row r="577" spans="1:13">
      <c r="A577">
        <v>42139</v>
      </c>
      <c r="B577" t="s">
        <v>325</v>
      </c>
      <c r="C577" t="s">
        <v>160</v>
      </c>
      <c r="D577" s="133">
        <v>24</v>
      </c>
      <c r="E577" s="133">
        <v>0</v>
      </c>
      <c r="F577" s="133">
        <v>24</v>
      </c>
      <c r="G577" s="133">
        <v>0</v>
      </c>
      <c r="H577" s="133">
        <v>0</v>
      </c>
      <c r="I577" s="133">
        <v>0</v>
      </c>
      <c r="J577" s="133">
        <v>0</v>
      </c>
      <c r="K577">
        <v>42118</v>
      </c>
      <c r="L577" s="133">
        <v>0</v>
      </c>
      <c r="M577" s="133" t="b">
        <f ca="1">IF(TODAY()-Table_Query_from_A_Readiness_19[[#This Row],[PER_DATE]]&gt;=0,TRUE, FALSE)</f>
        <v>0</v>
      </c>
    </row>
    <row r="578" spans="1:13">
      <c r="A578">
        <v>42139</v>
      </c>
      <c r="B578" t="s">
        <v>332</v>
      </c>
      <c r="C578" t="s">
        <v>164</v>
      </c>
      <c r="D578" s="133">
        <v>25</v>
      </c>
      <c r="E578" s="133">
        <v>0</v>
      </c>
      <c r="F578" s="133">
        <v>24</v>
      </c>
      <c r="G578" s="133">
        <v>0</v>
      </c>
      <c r="H578" s="133">
        <v>0</v>
      </c>
      <c r="I578" s="133">
        <v>0</v>
      </c>
      <c r="J578" s="133">
        <v>0</v>
      </c>
      <c r="K578">
        <v>42119</v>
      </c>
      <c r="L578" s="133">
        <v>0</v>
      </c>
      <c r="M578" s="133" t="b">
        <f ca="1">IF(TODAY()-Table_Query_from_A_Readiness_19[[#This Row],[PER_DATE]]&gt;=0,TRUE, FALSE)</f>
        <v>0</v>
      </c>
    </row>
    <row r="579" spans="1:13">
      <c r="A579">
        <v>42139</v>
      </c>
      <c r="B579" t="s">
        <v>332</v>
      </c>
      <c r="C579" t="s">
        <v>161</v>
      </c>
      <c r="D579" s="133">
        <v>25</v>
      </c>
      <c r="E579" s="133">
        <v>0</v>
      </c>
      <c r="F579" s="133">
        <v>0</v>
      </c>
      <c r="G579" s="133">
        <v>0</v>
      </c>
      <c r="H579" s="133">
        <v>0</v>
      </c>
      <c r="I579" s="133">
        <v>0</v>
      </c>
      <c r="J579" s="133">
        <v>0</v>
      </c>
      <c r="K579">
        <v>42119</v>
      </c>
      <c r="L579" s="133">
        <v>24</v>
      </c>
      <c r="M579" s="133" t="b">
        <f ca="1">IF(TODAY()-Table_Query_from_A_Readiness_19[[#This Row],[PER_DATE]]&gt;=0,TRUE, FALSE)</f>
        <v>0</v>
      </c>
    </row>
    <row r="580" spans="1:13">
      <c r="A580">
        <v>42139</v>
      </c>
      <c r="B580" t="s">
        <v>332</v>
      </c>
      <c r="C580" t="s">
        <v>165</v>
      </c>
      <c r="D580" s="133">
        <v>25</v>
      </c>
      <c r="E580" s="133">
        <v>0</v>
      </c>
      <c r="F580" s="133">
        <v>24</v>
      </c>
      <c r="G580" s="133">
        <v>0</v>
      </c>
      <c r="H580" s="133">
        <v>0</v>
      </c>
      <c r="I580" s="133">
        <v>0</v>
      </c>
      <c r="J580" s="133">
        <v>0</v>
      </c>
      <c r="K580">
        <v>42119</v>
      </c>
      <c r="L580" s="133">
        <v>0</v>
      </c>
      <c r="M580" s="133" t="b">
        <f ca="1">IF(TODAY()-Table_Query_from_A_Readiness_19[[#This Row],[PER_DATE]]&gt;=0,TRUE, FALSE)</f>
        <v>0</v>
      </c>
    </row>
    <row r="581" spans="1:13">
      <c r="A581">
        <v>42139</v>
      </c>
      <c r="B581" t="s">
        <v>324</v>
      </c>
      <c r="C581" t="s">
        <v>148</v>
      </c>
      <c r="D581" s="133">
        <v>25</v>
      </c>
      <c r="E581" s="133">
        <v>0</v>
      </c>
      <c r="F581" s="133">
        <v>0</v>
      </c>
      <c r="G581" s="133">
        <v>0</v>
      </c>
      <c r="H581" s="133">
        <v>0</v>
      </c>
      <c r="I581" s="133">
        <v>0</v>
      </c>
      <c r="J581" s="133">
        <v>0</v>
      </c>
      <c r="K581">
        <v>42119</v>
      </c>
      <c r="L581" s="133">
        <v>24</v>
      </c>
      <c r="M581" s="133" t="b">
        <f ca="1">IF(TODAY()-Table_Query_from_A_Readiness_19[[#This Row],[PER_DATE]]&gt;=0,TRUE, FALSE)</f>
        <v>0</v>
      </c>
    </row>
    <row r="582" spans="1:13">
      <c r="A582">
        <v>42139</v>
      </c>
      <c r="B582" t="s">
        <v>332</v>
      </c>
      <c r="C582" t="s">
        <v>162</v>
      </c>
      <c r="D582" s="133">
        <v>25</v>
      </c>
      <c r="E582" s="133">
        <v>0</v>
      </c>
      <c r="F582" s="133">
        <v>24</v>
      </c>
      <c r="G582" s="133">
        <v>0</v>
      </c>
      <c r="H582" s="133">
        <v>0</v>
      </c>
      <c r="I582" s="133">
        <v>0</v>
      </c>
      <c r="J582" s="133">
        <v>0</v>
      </c>
      <c r="K582">
        <v>42119</v>
      </c>
      <c r="L582" s="133">
        <v>0</v>
      </c>
      <c r="M582" s="133" t="b">
        <f ca="1">IF(TODAY()-Table_Query_from_A_Readiness_19[[#This Row],[PER_DATE]]&gt;=0,TRUE, FALSE)</f>
        <v>0</v>
      </c>
    </row>
    <row r="583" spans="1:13">
      <c r="A583">
        <v>42139</v>
      </c>
      <c r="B583" t="s">
        <v>332</v>
      </c>
      <c r="C583" t="s">
        <v>163</v>
      </c>
      <c r="D583" s="133">
        <v>25</v>
      </c>
      <c r="E583" s="133">
        <v>24</v>
      </c>
      <c r="F583" s="133">
        <v>0</v>
      </c>
      <c r="G583" s="133">
        <v>0</v>
      </c>
      <c r="H583" s="133">
        <v>0</v>
      </c>
      <c r="I583" s="133">
        <v>0</v>
      </c>
      <c r="J583" s="133">
        <v>0</v>
      </c>
      <c r="K583">
        <v>42119</v>
      </c>
      <c r="L583" s="133">
        <v>0</v>
      </c>
      <c r="M583" s="133" t="b">
        <f ca="1">IF(TODAY()-Table_Query_from_A_Readiness_19[[#This Row],[PER_DATE]]&gt;=0,TRUE, FALSE)</f>
        <v>0</v>
      </c>
    </row>
    <row r="584" spans="1:13">
      <c r="A584">
        <v>42139</v>
      </c>
      <c r="B584" t="s">
        <v>325</v>
      </c>
      <c r="C584" t="s">
        <v>166</v>
      </c>
      <c r="D584" s="133">
        <v>25</v>
      </c>
      <c r="E584" s="133">
        <v>24</v>
      </c>
      <c r="F584" s="133">
        <v>0</v>
      </c>
      <c r="G584" s="133">
        <v>0</v>
      </c>
      <c r="H584" s="133">
        <v>0</v>
      </c>
      <c r="I584" s="133">
        <v>0</v>
      </c>
      <c r="J584" s="133">
        <v>0</v>
      </c>
      <c r="K584">
        <v>42119</v>
      </c>
      <c r="L584" s="133">
        <v>0</v>
      </c>
      <c r="M584" s="133" t="b">
        <f ca="1">IF(TODAY()-Table_Query_from_A_Readiness_19[[#This Row],[PER_DATE]]&gt;=0,TRUE, FALSE)</f>
        <v>0</v>
      </c>
    </row>
    <row r="585" spans="1:13">
      <c r="A585">
        <v>42139</v>
      </c>
      <c r="B585" t="s">
        <v>324</v>
      </c>
      <c r="C585" t="s">
        <v>149</v>
      </c>
      <c r="D585" s="133">
        <v>25</v>
      </c>
      <c r="E585" s="133">
        <v>0</v>
      </c>
      <c r="F585" s="133">
        <v>24</v>
      </c>
      <c r="G585" s="133">
        <v>0</v>
      </c>
      <c r="H585" s="133">
        <v>0</v>
      </c>
      <c r="I585" s="133">
        <v>0</v>
      </c>
      <c r="J585" s="133">
        <v>0</v>
      </c>
      <c r="K585">
        <v>42119</v>
      </c>
      <c r="L585" s="133">
        <v>0</v>
      </c>
      <c r="M585" s="133" t="b">
        <f ca="1">IF(TODAY()-Table_Query_from_A_Readiness_19[[#This Row],[PER_DATE]]&gt;=0,TRUE, FALSE)</f>
        <v>0</v>
      </c>
    </row>
    <row r="586" spans="1:13">
      <c r="A586">
        <v>42139</v>
      </c>
      <c r="B586" t="s">
        <v>332</v>
      </c>
      <c r="C586" t="s">
        <v>150</v>
      </c>
      <c r="D586" s="133">
        <v>25</v>
      </c>
      <c r="E586" s="133">
        <v>24</v>
      </c>
      <c r="F586" s="133">
        <v>0</v>
      </c>
      <c r="G586" s="133">
        <v>0</v>
      </c>
      <c r="H586" s="133">
        <v>0</v>
      </c>
      <c r="I586" s="133">
        <v>0</v>
      </c>
      <c r="J586" s="133">
        <v>0</v>
      </c>
      <c r="K586">
        <v>42119</v>
      </c>
      <c r="L586" s="133">
        <v>0</v>
      </c>
      <c r="M586" s="133" t="b">
        <f ca="1">IF(TODAY()-Table_Query_from_A_Readiness_19[[#This Row],[PER_DATE]]&gt;=0,TRUE, FALSE)</f>
        <v>0</v>
      </c>
    </row>
    <row r="587" spans="1:13">
      <c r="A587">
        <v>42139</v>
      </c>
      <c r="B587" t="s">
        <v>324</v>
      </c>
      <c r="C587" t="s">
        <v>151</v>
      </c>
      <c r="D587" s="133">
        <v>25</v>
      </c>
      <c r="E587" s="133">
        <v>0</v>
      </c>
      <c r="F587" s="133">
        <v>0</v>
      </c>
      <c r="G587" s="133">
        <v>0</v>
      </c>
      <c r="H587" s="133">
        <v>24</v>
      </c>
      <c r="I587" s="133">
        <v>0</v>
      </c>
      <c r="J587" s="133">
        <v>0</v>
      </c>
      <c r="K587">
        <v>42119</v>
      </c>
      <c r="L587" s="133">
        <v>0</v>
      </c>
      <c r="M587" s="133" t="b">
        <f ca="1">IF(TODAY()-Table_Query_from_A_Readiness_19[[#This Row],[PER_DATE]]&gt;=0,TRUE, FALSE)</f>
        <v>0</v>
      </c>
    </row>
    <row r="588" spans="1:13">
      <c r="A588">
        <v>42139</v>
      </c>
      <c r="B588" t="s">
        <v>325</v>
      </c>
      <c r="C588" t="s">
        <v>152</v>
      </c>
      <c r="D588" s="133">
        <v>25</v>
      </c>
      <c r="E588" s="133">
        <v>0</v>
      </c>
      <c r="F588" s="133">
        <v>0</v>
      </c>
      <c r="G588" s="133">
        <v>0</v>
      </c>
      <c r="H588" s="133">
        <v>24</v>
      </c>
      <c r="I588" s="133">
        <v>0</v>
      </c>
      <c r="J588" s="133">
        <v>0</v>
      </c>
      <c r="K588">
        <v>42119</v>
      </c>
      <c r="L588" s="133">
        <v>0</v>
      </c>
      <c r="M588" s="133" t="b">
        <f ca="1">IF(TODAY()-Table_Query_from_A_Readiness_19[[#This Row],[PER_DATE]]&gt;=0,TRUE, FALSE)</f>
        <v>0</v>
      </c>
    </row>
    <row r="589" spans="1:13">
      <c r="A589">
        <v>42139</v>
      </c>
      <c r="B589" t="s">
        <v>332</v>
      </c>
      <c r="C589" t="s">
        <v>145</v>
      </c>
      <c r="D589" s="133">
        <v>25</v>
      </c>
      <c r="E589" s="133">
        <v>0</v>
      </c>
      <c r="F589" s="133">
        <v>0</v>
      </c>
      <c r="G589" s="133">
        <v>0</v>
      </c>
      <c r="H589" s="133">
        <v>0</v>
      </c>
      <c r="I589" s="133">
        <v>24</v>
      </c>
      <c r="J589" s="133">
        <v>0</v>
      </c>
      <c r="K589">
        <v>42119</v>
      </c>
      <c r="L589" s="133">
        <v>0</v>
      </c>
      <c r="M589" s="133" t="b">
        <f ca="1">IF(TODAY()-Table_Query_from_A_Readiness_19[[#This Row],[PER_DATE]]&gt;=0,TRUE, FALSE)</f>
        <v>0</v>
      </c>
    </row>
    <row r="590" spans="1:13">
      <c r="A590">
        <v>42139</v>
      </c>
      <c r="B590" t="s">
        <v>325</v>
      </c>
      <c r="C590" t="s">
        <v>167</v>
      </c>
      <c r="D590" s="133">
        <v>25</v>
      </c>
      <c r="E590" s="133">
        <v>0</v>
      </c>
      <c r="F590" s="133">
        <v>0</v>
      </c>
      <c r="G590" s="133">
        <v>0</v>
      </c>
      <c r="H590" s="133">
        <v>0</v>
      </c>
      <c r="I590" s="133">
        <v>24</v>
      </c>
      <c r="J590" s="133">
        <v>0</v>
      </c>
      <c r="K590">
        <v>42119</v>
      </c>
      <c r="L590" s="133">
        <v>0</v>
      </c>
      <c r="M590" s="133" t="b">
        <f ca="1">IF(TODAY()-Table_Query_from_A_Readiness_19[[#This Row],[PER_DATE]]&gt;=0,TRUE, FALSE)</f>
        <v>0</v>
      </c>
    </row>
    <row r="591" spans="1:13">
      <c r="A591">
        <v>42139</v>
      </c>
      <c r="B591" t="s">
        <v>324</v>
      </c>
      <c r="C591" t="s">
        <v>153</v>
      </c>
      <c r="D591" s="133">
        <v>25</v>
      </c>
      <c r="E591" s="133">
        <v>0</v>
      </c>
      <c r="F591" s="133">
        <v>0</v>
      </c>
      <c r="G591" s="133">
        <v>0</v>
      </c>
      <c r="H591" s="133">
        <v>24</v>
      </c>
      <c r="I591" s="133">
        <v>0</v>
      </c>
      <c r="J591" s="133">
        <v>0</v>
      </c>
      <c r="K591">
        <v>42119</v>
      </c>
      <c r="L591" s="133">
        <v>0</v>
      </c>
      <c r="M591" s="133" t="b">
        <f ca="1">IF(TODAY()-Table_Query_from_A_Readiness_19[[#This Row],[PER_DATE]]&gt;=0,TRUE, FALSE)</f>
        <v>0</v>
      </c>
    </row>
    <row r="592" spans="1:13">
      <c r="A592">
        <v>42139</v>
      </c>
      <c r="B592" t="s">
        <v>325</v>
      </c>
      <c r="C592" t="s">
        <v>154</v>
      </c>
      <c r="D592" s="133">
        <v>25</v>
      </c>
      <c r="E592" s="133">
        <v>24</v>
      </c>
      <c r="F592" s="133">
        <v>0</v>
      </c>
      <c r="G592" s="133">
        <v>0</v>
      </c>
      <c r="H592" s="133">
        <v>0</v>
      </c>
      <c r="I592" s="133">
        <v>0</v>
      </c>
      <c r="J592" s="133">
        <v>0</v>
      </c>
      <c r="K592">
        <v>42119</v>
      </c>
      <c r="L592" s="133">
        <v>0</v>
      </c>
      <c r="M592" s="133" t="b">
        <f ca="1">IF(TODAY()-Table_Query_from_A_Readiness_19[[#This Row],[PER_DATE]]&gt;=0,TRUE, FALSE)</f>
        <v>0</v>
      </c>
    </row>
    <row r="593" spans="1:13">
      <c r="A593">
        <v>42139</v>
      </c>
      <c r="B593" t="s">
        <v>325</v>
      </c>
      <c r="C593" t="s">
        <v>168</v>
      </c>
      <c r="D593" s="133">
        <v>25</v>
      </c>
      <c r="E593" s="133">
        <v>24</v>
      </c>
      <c r="F593" s="133">
        <v>0</v>
      </c>
      <c r="G593" s="133">
        <v>0</v>
      </c>
      <c r="H593" s="133">
        <v>0</v>
      </c>
      <c r="I593" s="133">
        <v>0</v>
      </c>
      <c r="J593" s="133">
        <v>0</v>
      </c>
      <c r="K593">
        <v>42119</v>
      </c>
      <c r="L593" s="133">
        <v>0</v>
      </c>
      <c r="M593" s="133" t="b">
        <f ca="1">IF(TODAY()-Table_Query_from_A_Readiness_19[[#This Row],[PER_DATE]]&gt;=0,TRUE, FALSE)</f>
        <v>0</v>
      </c>
    </row>
    <row r="594" spans="1:13">
      <c r="A594">
        <v>42139</v>
      </c>
      <c r="B594" t="s">
        <v>324</v>
      </c>
      <c r="C594" t="s">
        <v>155</v>
      </c>
      <c r="D594" s="133">
        <v>25</v>
      </c>
      <c r="E594" s="133">
        <v>0</v>
      </c>
      <c r="F594" s="133">
        <v>0</v>
      </c>
      <c r="G594" s="133">
        <v>0</v>
      </c>
      <c r="H594" s="133">
        <v>0</v>
      </c>
      <c r="I594" s="133">
        <v>24</v>
      </c>
      <c r="J594" s="133">
        <v>0</v>
      </c>
      <c r="K594">
        <v>42119</v>
      </c>
      <c r="L594" s="133">
        <v>0</v>
      </c>
      <c r="M594" s="133" t="b">
        <f ca="1">IF(TODAY()-Table_Query_from_A_Readiness_19[[#This Row],[PER_DATE]]&gt;=0,TRUE, FALSE)</f>
        <v>0</v>
      </c>
    </row>
    <row r="595" spans="1:13">
      <c r="A595">
        <v>42139</v>
      </c>
      <c r="B595" t="s">
        <v>324</v>
      </c>
      <c r="C595" t="s">
        <v>156</v>
      </c>
      <c r="D595" s="133">
        <v>25</v>
      </c>
      <c r="E595" s="133">
        <v>0</v>
      </c>
      <c r="F595" s="133">
        <v>24</v>
      </c>
      <c r="G595" s="133">
        <v>0</v>
      </c>
      <c r="H595" s="133">
        <v>0</v>
      </c>
      <c r="I595" s="133">
        <v>0</v>
      </c>
      <c r="J595" s="133">
        <v>0</v>
      </c>
      <c r="K595">
        <v>42119</v>
      </c>
      <c r="L595" s="133">
        <v>0</v>
      </c>
      <c r="M595" s="133" t="b">
        <f ca="1">IF(TODAY()-Table_Query_from_A_Readiness_19[[#This Row],[PER_DATE]]&gt;=0,TRUE, FALSE)</f>
        <v>0</v>
      </c>
    </row>
    <row r="596" spans="1:13">
      <c r="A596">
        <v>42139</v>
      </c>
      <c r="B596" t="s">
        <v>325</v>
      </c>
      <c r="C596" t="s">
        <v>157</v>
      </c>
      <c r="D596" s="133">
        <v>25</v>
      </c>
      <c r="E596" s="133">
        <v>0</v>
      </c>
      <c r="F596" s="133">
        <v>24</v>
      </c>
      <c r="G596" s="133">
        <v>0</v>
      </c>
      <c r="H596" s="133">
        <v>0</v>
      </c>
      <c r="I596" s="133">
        <v>0</v>
      </c>
      <c r="J596" s="133">
        <v>0</v>
      </c>
      <c r="K596">
        <v>42119</v>
      </c>
      <c r="L596" s="133">
        <v>0</v>
      </c>
      <c r="M596" s="133" t="b">
        <f ca="1">IF(TODAY()-Table_Query_from_A_Readiness_19[[#This Row],[PER_DATE]]&gt;=0,TRUE, FALSE)</f>
        <v>0</v>
      </c>
    </row>
    <row r="597" spans="1:13">
      <c r="A597">
        <v>42139</v>
      </c>
      <c r="B597" t="s">
        <v>324</v>
      </c>
      <c r="C597" t="s">
        <v>169</v>
      </c>
      <c r="D597" s="133">
        <v>25</v>
      </c>
      <c r="E597" s="133">
        <v>0</v>
      </c>
      <c r="F597" s="133">
        <v>0</v>
      </c>
      <c r="G597" s="133">
        <v>0</v>
      </c>
      <c r="H597" s="133">
        <v>0</v>
      </c>
      <c r="I597" s="133">
        <v>24</v>
      </c>
      <c r="J597" s="133">
        <v>0</v>
      </c>
      <c r="K597">
        <v>42119</v>
      </c>
      <c r="L597" s="133">
        <v>0</v>
      </c>
      <c r="M597" s="133" t="b">
        <f ca="1">IF(TODAY()-Table_Query_from_A_Readiness_19[[#This Row],[PER_DATE]]&gt;=0,TRUE, FALSE)</f>
        <v>0</v>
      </c>
    </row>
    <row r="598" spans="1:13">
      <c r="A598">
        <v>42139</v>
      </c>
      <c r="B598" t="s">
        <v>332</v>
      </c>
      <c r="C598" t="s">
        <v>170</v>
      </c>
      <c r="D598" s="133">
        <v>25</v>
      </c>
      <c r="E598" s="133">
        <v>0</v>
      </c>
      <c r="F598" s="133">
        <v>0</v>
      </c>
      <c r="G598" s="133">
        <v>0</v>
      </c>
      <c r="H598" s="133">
        <v>24</v>
      </c>
      <c r="I598" s="133">
        <v>0</v>
      </c>
      <c r="J598" s="133">
        <v>0</v>
      </c>
      <c r="K598">
        <v>42119</v>
      </c>
      <c r="L598" s="133">
        <v>0</v>
      </c>
      <c r="M598" s="133" t="b">
        <f ca="1">IF(TODAY()-Table_Query_from_A_Readiness_19[[#This Row],[PER_DATE]]&gt;=0,TRUE, FALSE)</f>
        <v>0</v>
      </c>
    </row>
    <row r="599" spans="1:13">
      <c r="A599">
        <v>42139</v>
      </c>
      <c r="B599" t="s">
        <v>324</v>
      </c>
      <c r="C599" t="s">
        <v>158</v>
      </c>
      <c r="D599" s="133">
        <v>25</v>
      </c>
      <c r="E599" s="133">
        <v>0</v>
      </c>
      <c r="F599" s="133">
        <v>24</v>
      </c>
      <c r="G599" s="133">
        <v>0</v>
      </c>
      <c r="H599" s="133">
        <v>0</v>
      </c>
      <c r="I599" s="133">
        <v>0</v>
      </c>
      <c r="J599" s="133">
        <v>0</v>
      </c>
      <c r="K599">
        <v>42119</v>
      </c>
      <c r="L599" s="133">
        <v>0</v>
      </c>
      <c r="M599" s="133" t="b">
        <f ca="1">IF(TODAY()-Table_Query_from_A_Readiness_19[[#This Row],[PER_DATE]]&gt;=0,TRUE, FALSE)</f>
        <v>0</v>
      </c>
    </row>
    <row r="600" spans="1:13">
      <c r="A600">
        <v>42139</v>
      </c>
      <c r="B600" t="s">
        <v>325</v>
      </c>
      <c r="C600" t="s">
        <v>159</v>
      </c>
      <c r="D600" s="133">
        <v>25</v>
      </c>
      <c r="E600" s="133">
        <v>0</v>
      </c>
      <c r="F600" s="133">
        <v>24</v>
      </c>
      <c r="G600" s="133">
        <v>0</v>
      </c>
      <c r="H600" s="133">
        <v>0</v>
      </c>
      <c r="I600" s="133">
        <v>0</v>
      </c>
      <c r="J600" s="133">
        <v>0</v>
      </c>
      <c r="K600">
        <v>42119</v>
      </c>
      <c r="L600" s="133">
        <v>0</v>
      </c>
      <c r="M600" s="133" t="b">
        <f ca="1">IF(TODAY()-Table_Query_from_A_Readiness_19[[#This Row],[PER_DATE]]&gt;=0,TRUE, FALSE)</f>
        <v>0</v>
      </c>
    </row>
    <row r="601" spans="1:13">
      <c r="A601">
        <v>42139</v>
      </c>
      <c r="B601" t="s">
        <v>325</v>
      </c>
      <c r="C601" t="s">
        <v>160</v>
      </c>
      <c r="D601" s="133">
        <v>25</v>
      </c>
      <c r="E601" s="133">
        <v>0</v>
      </c>
      <c r="F601" s="133">
        <v>24</v>
      </c>
      <c r="G601" s="133">
        <v>0</v>
      </c>
      <c r="H601" s="133">
        <v>0</v>
      </c>
      <c r="I601" s="133">
        <v>0</v>
      </c>
      <c r="J601" s="133">
        <v>0</v>
      </c>
      <c r="K601">
        <v>42119</v>
      </c>
      <c r="L601" s="133">
        <v>0</v>
      </c>
      <c r="M601" s="133" t="b">
        <f ca="1">IF(TODAY()-Table_Query_from_A_Readiness_19[[#This Row],[PER_DATE]]&gt;=0,TRUE, FALSE)</f>
        <v>0</v>
      </c>
    </row>
    <row r="602" spans="1:13">
      <c r="A602">
        <v>42139</v>
      </c>
      <c r="B602" t="s">
        <v>332</v>
      </c>
      <c r="C602" t="s">
        <v>164</v>
      </c>
      <c r="D602" s="133">
        <v>26</v>
      </c>
      <c r="E602" s="133">
        <v>0</v>
      </c>
      <c r="F602" s="133">
        <v>24</v>
      </c>
      <c r="G602" s="133">
        <v>0</v>
      </c>
      <c r="H602" s="133">
        <v>0</v>
      </c>
      <c r="I602" s="133">
        <v>0</v>
      </c>
      <c r="J602" s="133">
        <v>0</v>
      </c>
      <c r="K602">
        <v>42120</v>
      </c>
      <c r="L602" s="133">
        <v>0</v>
      </c>
      <c r="M602" s="133" t="b">
        <f ca="1">IF(TODAY()-Table_Query_from_A_Readiness_19[[#This Row],[PER_DATE]]&gt;=0,TRUE, FALSE)</f>
        <v>0</v>
      </c>
    </row>
    <row r="603" spans="1:13">
      <c r="A603">
        <v>42139</v>
      </c>
      <c r="B603" t="s">
        <v>332</v>
      </c>
      <c r="C603" t="s">
        <v>161</v>
      </c>
      <c r="D603" s="133">
        <v>26</v>
      </c>
      <c r="E603" s="133">
        <v>0</v>
      </c>
      <c r="F603" s="133">
        <v>0</v>
      </c>
      <c r="G603" s="133">
        <v>0</v>
      </c>
      <c r="H603" s="133">
        <v>0</v>
      </c>
      <c r="I603" s="133">
        <v>0</v>
      </c>
      <c r="J603" s="133">
        <v>0</v>
      </c>
      <c r="K603">
        <v>42120</v>
      </c>
      <c r="L603" s="133">
        <v>24</v>
      </c>
      <c r="M603" s="133" t="b">
        <f ca="1">IF(TODAY()-Table_Query_from_A_Readiness_19[[#This Row],[PER_DATE]]&gt;=0,TRUE, FALSE)</f>
        <v>0</v>
      </c>
    </row>
    <row r="604" spans="1:13">
      <c r="A604">
        <v>42139</v>
      </c>
      <c r="B604" t="s">
        <v>332</v>
      </c>
      <c r="C604" t="s">
        <v>165</v>
      </c>
      <c r="D604" s="133">
        <v>26</v>
      </c>
      <c r="E604" s="133">
        <v>0</v>
      </c>
      <c r="F604" s="133">
        <v>24</v>
      </c>
      <c r="G604" s="133">
        <v>0</v>
      </c>
      <c r="H604" s="133">
        <v>0</v>
      </c>
      <c r="I604" s="133">
        <v>0</v>
      </c>
      <c r="J604" s="133">
        <v>0</v>
      </c>
      <c r="K604">
        <v>42120</v>
      </c>
      <c r="L604" s="133">
        <v>0</v>
      </c>
      <c r="M604" s="133" t="b">
        <f ca="1">IF(TODAY()-Table_Query_from_A_Readiness_19[[#This Row],[PER_DATE]]&gt;=0,TRUE, FALSE)</f>
        <v>0</v>
      </c>
    </row>
    <row r="605" spans="1:13">
      <c r="A605">
        <v>42139</v>
      </c>
      <c r="B605" t="s">
        <v>324</v>
      </c>
      <c r="C605" t="s">
        <v>148</v>
      </c>
      <c r="D605" s="133">
        <v>26</v>
      </c>
      <c r="E605" s="133">
        <v>0</v>
      </c>
      <c r="F605" s="133">
        <v>0</v>
      </c>
      <c r="G605" s="133">
        <v>0</v>
      </c>
      <c r="H605" s="133">
        <v>0</v>
      </c>
      <c r="I605" s="133">
        <v>0</v>
      </c>
      <c r="J605" s="133">
        <v>0</v>
      </c>
      <c r="K605">
        <v>42120</v>
      </c>
      <c r="L605" s="133">
        <v>24</v>
      </c>
      <c r="M605" s="133" t="b">
        <f ca="1">IF(TODAY()-Table_Query_from_A_Readiness_19[[#This Row],[PER_DATE]]&gt;=0,TRUE, FALSE)</f>
        <v>0</v>
      </c>
    </row>
    <row r="606" spans="1:13">
      <c r="A606">
        <v>42139</v>
      </c>
      <c r="B606" t="s">
        <v>332</v>
      </c>
      <c r="C606" t="s">
        <v>162</v>
      </c>
      <c r="D606" s="133">
        <v>26</v>
      </c>
      <c r="E606" s="133">
        <v>0</v>
      </c>
      <c r="F606" s="133">
        <v>24</v>
      </c>
      <c r="G606" s="133">
        <v>0</v>
      </c>
      <c r="H606" s="133">
        <v>0</v>
      </c>
      <c r="I606" s="133">
        <v>0</v>
      </c>
      <c r="J606" s="133">
        <v>0</v>
      </c>
      <c r="K606">
        <v>42120</v>
      </c>
      <c r="L606" s="133">
        <v>0</v>
      </c>
      <c r="M606" s="133" t="b">
        <f ca="1">IF(TODAY()-Table_Query_from_A_Readiness_19[[#This Row],[PER_DATE]]&gt;=0,TRUE, FALSE)</f>
        <v>0</v>
      </c>
    </row>
    <row r="607" spans="1:13">
      <c r="A607">
        <v>42139</v>
      </c>
      <c r="B607" t="s">
        <v>332</v>
      </c>
      <c r="C607" t="s">
        <v>163</v>
      </c>
      <c r="D607" s="133">
        <v>26</v>
      </c>
      <c r="E607" s="133">
        <v>24</v>
      </c>
      <c r="F607" s="133">
        <v>0</v>
      </c>
      <c r="G607" s="133">
        <v>0</v>
      </c>
      <c r="H607" s="133">
        <v>0</v>
      </c>
      <c r="I607" s="133">
        <v>0</v>
      </c>
      <c r="J607" s="133">
        <v>0</v>
      </c>
      <c r="K607">
        <v>42120</v>
      </c>
      <c r="L607" s="133">
        <v>0</v>
      </c>
      <c r="M607" s="133" t="b">
        <f ca="1">IF(TODAY()-Table_Query_from_A_Readiness_19[[#This Row],[PER_DATE]]&gt;=0,TRUE, FALSE)</f>
        <v>0</v>
      </c>
    </row>
    <row r="608" spans="1:13">
      <c r="A608">
        <v>42139</v>
      </c>
      <c r="B608" t="s">
        <v>325</v>
      </c>
      <c r="C608" t="s">
        <v>166</v>
      </c>
      <c r="D608" s="133">
        <v>26</v>
      </c>
      <c r="E608" s="133">
        <v>24</v>
      </c>
      <c r="F608" s="133">
        <v>0</v>
      </c>
      <c r="G608" s="133">
        <v>0</v>
      </c>
      <c r="H608" s="133">
        <v>0</v>
      </c>
      <c r="I608" s="133">
        <v>0</v>
      </c>
      <c r="J608" s="133">
        <v>0</v>
      </c>
      <c r="K608">
        <v>42120</v>
      </c>
      <c r="L608" s="133">
        <v>0</v>
      </c>
      <c r="M608" s="133" t="b">
        <f ca="1">IF(TODAY()-Table_Query_from_A_Readiness_19[[#This Row],[PER_DATE]]&gt;=0,TRUE, FALSE)</f>
        <v>0</v>
      </c>
    </row>
    <row r="609" spans="1:13">
      <c r="A609">
        <v>42139</v>
      </c>
      <c r="B609" t="s">
        <v>324</v>
      </c>
      <c r="C609" t="s">
        <v>149</v>
      </c>
      <c r="D609" s="133">
        <v>26</v>
      </c>
      <c r="E609" s="133">
        <v>0</v>
      </c>
      <c r="F609" s="133">
        <v>24</v>
      </c>
      <c r="G609" s="133">
        <v>0</v>
      </c>
      <c r="H609" s="133">
        <v>0</v>
      </c>
      <c r="I609" s="133">
        <v>0</v>
      </c>
      <c r="J609" s="133">
        <v>0</v>
      </c>
      <c r="K609">
        <v>42120</v>
      </c>
      <c r="L609" s="133">
        <v>0</v>
      </c>
      <c r="M609" s="133" t="b">
        <f ca="1">IF(TODAY()-Table_Query_from_A_Readiness_19[[#This Row],[PER_DATE]]&gt;=0,TRUE, FALSE)</f>
        <v>0</v>
      </c>
    </row>
    <row r="610" spans="1:13">
      <c r="A610">
        <v>42139</v>
      </c>
      <c r="B610" t="s">
        <v>332</v>
      </c>
      <c r="C610" t="s">
        <v>150</v>
      </c>
      <c r="D610" s="133">
        <v>26</v>
      </c>
      <c r="E610" s="133">
        <v>24</v>
      </c>
      <c r="F610" s="133">
        <v>0</v>
      </c>
      <c r="G610" s="133">
        <v>0</v>
      </c>
      <c r="H610" s="133">
        <v>0</v>
      </c>
      <c r="I610" s="133">
        <v>0</v>
      </c>
      <c r="J610" s="133">
        <v>0</v>
      </c>
      <c r="K610">
        <v>42120</v>
      </c>
      <c r="L610" s="133">
        <v>0</v>
      </c>
      <c r="M610" s="133" t="b">
        <f ca="1">IF(TODAY()-Table_Query_from_A_Readiness_19[[#This Row],[PER_DATE]]&gt;=0,TRUE, FALSE)</f>
        <v>0</v>
      </c>
    </row>
    <row r="611" spans="1:13">
      <c r="A611">
        <v>42139</v>
      </c>
      <c r="B611" t="s">
        <v>324</v>
      </c>
      <c r="C611" t="s">
        <v>151</v>
      </c>
      <c r="D611" s="133">
        <v>26</v>
      </c>
      <c r="E611" s="133">
        <v>0</v>
      </c>
      <c r="F611" s="133">
        <v>0</v>
      </c>
      <c r="G611" s="133">
        <v>0</v>
      </c>
      <c r="H611" s="133">
        <v>24</v>
      </c>
      <c r="I611" s="133">
        <v>0</v>
      </c>
      <c r="J611" s="133">
        <v>0</v>
      </c>
      <c r="K611">
        <v>42120</v>
      </c>
      <c r="L611" s="133">
        <v>0</v>
      </c>
      <c r="M611" s="133" t="b">
        <f ca="1">IF(TODAY()-Table_Query_from_A_Readiness_19[[#This Row],[PER_DATE]]&gt;=0,TRUE, FALSE)</f>
        <v>0</v>
      </c>
    </row>
    <row r="612" spans="1:13">
      <c r="A612">
        <v>42139</v>
      </c>
      <c r="B612" t="s">
        <v>325</v>
      </c>
      <c r="C612" t="s">
        <v>152</v>
      </c>
      <c r="D612" s="133">
        <v>26</v>
      </c>
      <c r="E612" s="133">
        <v>0</v>
      </c>
      <c r="F612" s="133">
        <v>0</v>
      </c>
      <c r="G612" s="133">
        <v>0</v>
      </c>
      <c r="H612" s="133">
        <v>24</v>
      </c>
      <c r="I612" s="133">
        <v>0</v>
      </c>
      <c r="J612" s="133">
        <v>0</v>
      </c>
      <c r="K612">
        <v>42120</v>
      </c>
      <c r="L612" s="133">
        <v>0</v>
      </c>
      <c r="M612" s="133" t="b">
        <f ca="1">IF(TODAY()-Table_Query_from_A_Readiness_19[[#This Row],[PER_DATE]]&gt;=0,TRUE, FALSE)</f>
        <v>0</v>
      </c>
    </row>
    <row r="613" spans="1:13">
      <c r="A613">
        <v>42139</v>
      </c>
      <c r="B613" t="s">
        <v>332</v>
      </c>
      <c r="C613" t="s">
        <v>145</v>
      </c>
      <c r="D613" s="133">
        <v>26</v>
      </c>
      <c r="E613" s="133">
        <v>0</v>
      </c>
      <c r="F613" s="133">
        <v>0</v>
      </c>
      <c r="G613" s="133">
        <v>0</v>
      </c>
      <c r="H613" s="133">
        <v>0</v>
      </c>
      <c r="I613" s="133">
        <v>24</v>
      </c>
      <c r="J613" s="133">
        <v>0</v>
      </c>
      <c r="K613">
        <v>42120</v>
      </c>
      <c r="L613" s="133">
        <v>0</v>
      </c>
      <c r="M613" s="133" t="b">
        <f ca="1">IF(TODAY()-Table_Query_from_A_Readiness_19[[#This Row],[PER_DATE]]&gt;=0,TRUE, FALSE)</f>
        <v>0</v>
      </c>
    </row>
    <row r="614" spans="1:13">
      <c r="A614">
        <v>42139</v>
      </c>
      <c r="B614" t="s">
        <v>325</v>
      </c>
      <c r="C614" t="s">
        <v>167</v>
      </c>
      <c r="D614" s="133">
        <v>26</v>
      </c>
      <c r="E614" s="133">
        <v>0</v>
      </c>
      <c r="F614" s="133">
        <v>0</v>
      </c>
      <c r="G614" s="133">
        <v>0</v>
      </c>
      <c r="H614" s="133">
        <v>0</v>
      </c>
      <c r="I614" s="133">
        <v>24</v>
      </c>
      <c r="J614" s="133">
        <v>0</v>
      </c>
      <c r="K614">
        <v>42120</v>
      </c>
      <c r="L614" s="133">
        <v>0</v>
      </c>
      <c r="M614" s="133" t="b">
        <f ca="1">IF(TODAY()-Table_Query_from_A_Readiness_19[[#This Row],[PER_DATE]]&gt;=0,TRUE, FALSE)</f>
        <v>0</v>
      </c>
    </row>
    <row r="615" spans="1:13">
      <c r="A615">
        <v>42139</v>
      </c>
      <c r="B615" t="s">
        <v>324</v>
      </c>
      <c r="C615" t="s">
        <v>153</v>
      </c>
      <c r="D615" s="133">
        <v>26</v>
      </c>
      <c r="E615" s="133">
        <v>0</v>
      </c>
      <c r="F615" s="133">
        <v>0</v>
      </c>
      <c r="G615" s="133">
        <v>0</v>
      </c>
      <c r="H615" s="133">
        <v>24</v>
      </c>
      <c r="I615" s="133">
        <v>0</v>
      </c>
      <c r="J615" s="133">
        <v>0</v>
      </c>
      <c r="K615">
        <v>42120</v>
      </c>
      <c r="L615" s="133">
        <v>0</v>
      </c>
      <c r="M615" s="133" t="b">
        <f ca="1">IF(TODAY()-Table_Query_from_A_Readiness_19[[#This Row],[PER_DATE]]&gt;=0,TRUE, FALSE)</f>
        <v>0</v>
      </c>
    </row>
    <row r="616" spans="1:13">
      <c r="A616">
        <v>42139</v>
      </c>
      <c r="B616" t="s">
        <v>325</v>
      </c>
      <c r="C616" t="s">
        <v>154</v>
      </c>
      <c r="D616" s="133">
        <v>26</v>
      </c>
      <c r="E616" s="133">
        <v>24</v>
      </c>
      <c r="F616" s="133">
        <v>0</v>
      </c>
      <c r="G616" s="133">
        <v>0</v>
      </c>
      <c r="H616" s="133">
        <v>0</v>
      </c>
      <c r="I616" s="133">
        <v>0</v>
      </c>
      <c r="J616" s="133">
        <v>0</v>
      </c>
      <c r="K616">
        <v>42120</v>
      </c>
      <c r="L616" s="133">
        <v>0</v>
      </c>
      <c r="M616" s="133" t="b">
        <f ca="1">IF(TODAY()-Table_Query_from_A_Readiness_19[[#This Row],[PER_DATE]]&gt;=0,TRUE, FALSE)</f>
        <v>0</v>
      </c>
    </row>
    <row r="617" spans="1:13">
      <c r="A617">
        <v>42139</v>
      </c>
      <c r="B617" t="s">
        <v>325</v>
      </c>
      <c r="C617" t="s">
        <v>168</v>
      </c>
      <c r="D617" s="133">
        <v>26</v>
      </c>
      <c r="E617" s="133">
        <v>24</v>
      </c>
      <c r="F617" s="133">
        <v>0</v>
      </c>
      <c r="G617" s="133">
        <v>0</v>
      </c>
      <c r="H617" s="133">
        <v>0</v>
      </c>
      <c r="I617" s="133">
        <v>0</v>
      </c>
      <c r="J617" s="133">
        <v>0</v>
      </c>
      <c r="K617">
        <v>42120</v>
      </c>
      <c r="L617" s="133">
        <v>0</v>
      </c>
      <c r="M617" s="133" t="b">
        <f ca="1">IF(TODAY()-Table_Query_from_A_Readiness_19[[#This Row],[PER_DATE]]&gt;=0,TRUE, FALSE)</f>
        <v>0</v>
      </c>
    </row>
    <row r="618" spans="1:13">
      <c r="A618">
        <v>42139</v>
      </c>
      <c r="B618" t="s">
        <v>324</v>
      </c>
      <c r="C618" t="s">
        <v>155</v>
      </c>
      <c r="D618" s="133">
        <v>26</v>
      </c>
      <c r="E618" s="133">
        <v>0</v>
      </c>
      <c r="F618" s="133">
        <v>0</v>
      </c>
      <c r="G618" s="133">
        <v>0</v>
      </c>
      <c r="H618" s="133">
        <v>0</v>
      </c>
      <c r="I618" s="133">
        <v>24</v>
      </c>
      <c r="J618" s="133">
        <v>0</v>
      </c>
      <c r="K618">
        <v>42120</v>
      </c>
      <c r="L618" s="133">
        <v>0</v>
      </c>
      <c r="M618" s="133" t="b">
        <f ca="1">IF(TODAY()-Table_Query_from_A_Readiness_19[[#This Row],[PER_DATE]]&gt;=0,TRUE, FALSE)</f>
        <v>0</v>
      </c>
    </row>
    <row r="619" spans="1:13">
      <c r="A619">
        <v>42139</v>
      </c>
      <c r="B619" t="s">
        <v>324</v>
      </c>
      <c r="C619" t="s">
        <v>156</v>
      </c>
      <c r="D619" s="133">
        <v>26</v>
      </c>
      <c r="E619" s="133">
        <v>0</v>
      </c>
      <c r="F619" s="133">
        <v>24</v>
      </c>
      <c r="G619" s="133">
        <v>0</v>
      </c>
      <c r="H619" s="133">
        <v>0</v>
      </c>
      <c r="I619" s="133">
        <v>0</v>
      </c>
      <c r="J619" s="133">
        <v>0</v>
      </c>
      <c r="K619">
        <v>42120</v>
      </c>
      <c r="L619" s="133">
        <v>0</v>
      </c>
      <c r="M619" s="133" t="b">
        <f ca="1">IF(TODAY()-Table_Query_from_A_Readiness_19[[#This Row],[PER_DATE]]&gt;=0,TRUE, FALSE)</f>
        <v>0</v>
      </c>
    </row>
    <row r="620" spans="1:13">
      <c r="A620">
        <v>42139</v>
      </c>
      <c r="B620" t="s">
        <v>325</v>
      </c>
      <c r="C620" t="s">
        <v>157</v>
      </c>
      <c r="D620" s="133">
        <v>26</v>
      </c>
      <c r="E620" s="133">
        <v>0</v>
      </c>
      <c r="F620" s="133">
        <v>24</v>
      </c>
      <c r="G620" s="133">
        <v>0</v>
      </c>
      <c r="H620" s="133">
        <v>0</v>
      </c>
      <c r="I620" s="133">
        <v>0</v>
      </c>
      <c r="J620" s="133">
        <v>0</v>
      </c>
      <c r="K620">
        <v>42120</v>
      </c>
      <c r="L620" s="133">
        <v>0</v>
      </c>
      <c r="M620" s="133" t="b">
        <f ca="1">IF(TODAY()-Table_Query_from_A_Readiness_19[[#This Row],[PER_DATE]]&gt;=0,TRUE, FALSE)</f>
        <v>0</v>
      </c>
    </row>
    <row r="621" spans="1:13">
      <c r="A621">
        <v>42139</v>
      </c>
      <c r="B621" t="s">
        <v>324</v>
      </c>
      <c r="C621" t="s">
        <v>169</v>
      </c>
      <c r="D621" s="133">
        <v>26</v>
      </c>
      <c r="E621" s="133">
        <v>0</v>
      </c>
      <c r="F621" s="133">
        <v>0</v>
      </c>
      <c r="G621" s="133">
        <v>0</v>
      </c>
      <c r="H621" s="133">
        <v>0</v>
      </c>
      <c r="I621" s="133">
        <v>24</v>
      </c>
      <c r="J621" s="133">
        <v>0</v>
      </c>
      <c r="K621">
        <v>42120</v>
      </c>
      <c r="L621" s="133">
        <v>0</v>
      </c>
      <c r="M621" s="133" t="b">
        <f ca="1">IF(TODAY()-Table_Query_from_A_Readiness_19[[#This Row],[PER_DATE]]&gt;=0,TRUE, FALSE)</f>
        <v>0</v>
      </c>
    </row>
    <row r="622" spans="1:13">
      <c r="A622">
        <v>42139</v>
      </c>
      <c r="B622" t="s">
        <v>332</v>
      </c>
      <c r="C622" t="s">
        <v>170</v>
      </c>
      <c r="D622" s="133">
        <v>26</v>
      </c>
      <c r="E622" s="133">
        <v>0</v>
      </c>
      <c r="F622" s="133">
        <v>0</v>
      </c>
      <c r="G622" s="133">
        <v>0</v>
      </c>
      <c r="H622" s="133">
        <v>24</v>
      </c>
      <c r="I622" s="133">
        <v>0</v>
      </c>
      <c r="J622" s="133">
        <v>0</v>
      </c>
      <c r="K622">
        <v>42120</v>
      </c>
      <c r="L622" s="133">
        <v>0</v>
      </c>
      <c r="M622" s="133" t="b">
        <f ca="1">IF(TODAY()-Table_Query_from_A_Readiness_19[[#This Row],[PER_DATE]]&gt;=0,TRUE, FALSE)</f>
        <v>0</v>
      </c>
    </row>
    <row r="623" spans="1:13">
      <c r="A623">
        <v>42139</v>
      </c>
      <c r="B623" t="s">
        <v>324</v>
      </c>
      <c r="C623" t="s">
        <v>158</v>
      </c>
      <c r="D623" s="133">
        <v>26</v>
      </c>
      <c r="E623" s="133">
        <v>0</v>
      </c>
      <c r="F623" s="133">
        <v>24</v>
      </c>
      <c r="G623" s="133">
        <v>0</v>
      </c>
      <c r="H623" s="133">
        <v>0</v>
      </c>
      <c r="I623" s="133">
        <v>0</v>
      </c>
      <c r="J623" s="133">
        <v>0</v>
      </c>
      <c r="K623">
        <v>42120</v>
      </c>
      <c r="L623" s="133">
        <v>0</v>
      </c>
      <c r="M623" s="133" t="b">
        <f ca="1">IF(TODAY()-Table_Query_from_A_Readiness_19[[#This Row],[PER_DATE]]&gt;=0,TRUE, FALSE)</f>
        <v>0</v>
      </c>
    </row>
    <row r="624" spans="1:13">
      <c r="A624">
        <v>42139</v>
      </c>
      <c r="B624" t="s">
        <v>325</v>
      </c>
      <c r="C624" t="s">
        <v>159</v>
      </c>
      <c r="D624" s="133">
        <v>26</v>
      </c>
      <c r="E624" s="133">
        <v>0</v>
      </c>
      <c r="F624" s="133">
        <v>24</v>
      </c>
      <c r="G624" s="133">
        <v>0</v>
      </c>
      <c r="H624" s="133">
        <v>0</v>
      </c>
      <c r="I624" s="133">
        <v>0</v>
      </c>
      <c r="J624" s="133">
        <v>0</v>
      </c>
      <c r="K624">
        <v>42120</v>
      </c>
      <c r="L624" s="133">
        <v>0</v>
      </c>
      <c r="M624" s="133" t="b">
        <f ca="1">IF(TODAY()-Table_Query_from_A_Readiness_19[[#This Row],[PER_DATE]]&gt;=0,TRUE, FALSE)</f>
        <v>0</v>
      </c>
    </row>
    <row r="625" spans="1:13">
      <c r="A625">
        <v>42139</v>
      </c>
      <c r="B625" t="s">
        <v>325</v>
      </c>
      <c r="C625" t="s">
        <v>160</v>
      </c>
      <c r="D625" s="133">
        <v>26</v>
      </c>
      <c r="E625" s="133">
        <v>0</v>
      </c>
      <c r="F625" s="133">
        <v>24</v>
      </c>
      <c r="G625" s="133">
        <v>0</v>
      </c>
      <c r="H625" s="133">
        <v>0</v>
      </c>
      <c r="I625" s="133">
        <v>0</v>
      </c>
      <c r="J625" s="133">
        <v>0</v>
      </c>
      <c r="K625">
        <v>42120</v>
      </c>
      <c r="L625" s="133">
        <v>0</v>
      </c>
      <c r="M625" s="133" t="b">
        <f ca="1">IF(TODAY()-Table_Query_from_A_Readiness_19[[#This Row],[PER_DATE]]&gt;=0,TRUE, FALSE)</f>
        <v>0</v>
      </c>
    </row>
    <row r="626" spans="1:13">
      <c r="A626">
        <v>42139</v>
      </c>
      <c r="B626" t="s">
        <v>332</v>
      </c>
      <c r="C626" t="s">
        <v>164</v>
      </c>
      <c r="D626" s="133">
        <v>27</v>
      </c>
      <c r="E626" s="133">
        <v>0</v>
      </c>
      <c r="F626" s="133">
        <v>24</v>
      </c>
      <c r="G626" s="133">
        <v>0</v>
      </c>
      <c r="H626" s="133">
        <v>0</v>
      </c>
      <c r="I626" s="133">
        <v>0</v>
      </c>
      <c r="J626" s="133">
        <v>0</v>
      </c>
      <c r="K626">
        <v>42121</v>
      </c>
      <c r="L626" s="133">
        <v>0</v>
      </c>
      <c r="M626" s="133" t="b">
        <f ca="1">IF(TODAY()-Table_Query_from_A_Readiness_19[[#This Row],[PER_DATE]]&gt;=0,TRUE, FALSE)</f>
        <v>0</v>
      </c>
    </row>
    <row r="627" spans="1:13">
      <c r="A627">
        <v>42139</v>
      </c>
      <c r="B627" t="s">
        <v>332</v>
      </c>
      <c r="C627" t="s">
        <v>161</v>
      </c>
      <c r="D627" s="133">
        <v>27</v>
      </c>
      <c r="E627" s="133">
        <v>0</v>
      </c>
      <c r="F627" s="133">
        <v>0</v>
      </c>
      <c r="G627" s="133">
        <v>0</v>
      </c>
      <c r="H627" s="133">
        <v>0</v>
      </c>
      <c r="I627" s="133">
        <v>0</v>
      </c>
      <c r="J627" s="133">
        <v>0</v>
      </c>
      <c r="K627">
        <v>42121</v>
      </c>
      <c r="L627" s="133">
        <v>24</v>
      </c>
      <c r="M627" s="133" t="b">
        <f ca="1">IF(TODAY()-Table_Query_from_A_Readiness_19[[#This Row],[PER_DATE]]&gt;=0,TRUE, FALSE)</f>
        <v>0</v>
      </c>
    </row>
    <row r="628" spans="1:13">
      <c r="A628">
        <v>42139</v>
      </c>
      <c r="B628" t="s">
        <v>332</v>
      </c>
      <c r="C628" t="s">
        <v>165</v>
      </c>
      <c r="D628" s="133">
        <v>27</v>
      </c>
      <c r="E628" s="133">
        <v>0</v>
      </c>
      <c r="F628" s="133">
        <v>24</v>
      </c>
      <c r="G628" s="133">
        <v>0</v>
      </c>
      <c r="H628" s="133">
        <v>0</v>
      </c>
      <c r="I628" s="133">
        <v>0</v>
      </c>
      <c r="J628" s="133">
        <v>0</v>
      </c>
      <c r="K628">
        <v>42121</v>
      </c>
      <c r="L628" s="133">
        <v>0</v>
      </c>
      <c r="M628" s="133" t="b">
        <f ca="1">IF(TODAY()-Table_Query_from_A_Readiness_19[[#This Row],[PER_DATE]]&gt;=0,TRUE, FALSE)</f>
        <v>0</v>
      </c>
    </row>
    <row r="629" spans="1:13">
      <c r="A629">
        <v>42139</v>
      </c>
      <c r="B629" t="s">
        <v>324</v>
      </c>
      <c r="C629" t="s">
        <v>148</v>
      </c>
      <c r="D629" s="133">
        <v>27</v>
      </c>
      <c r="E629" s="133">
        <v>0</v>
      </c>
      <c r="F629" s="133">
        <v>0</v>
      </c>
      <c r="G629" s="133">
        <v>0</v>
      </c>
      <c r="H629" s="133">
        <v>0</v>
      </c>
      <c r="I629" s="133">
        <v>0</v>
      </c>
      <c r="J629" s="133">
        <v>0</v>
      </c>
      <c r="K629">
        <v>42121</v>
      </c>
      <c r="L629" s="133">
        <v>24</v>
      </c>
      <c r="M629" s="133" t="b">
        <f ca="1">IF(TODAY()-Table_Query_from_A_Readiness_19[[#This Row],[PER_DATE]]&gt;=0,TRUE, FALSE)</f>
        <v>0</v>
      </c>
    </row>
    <row r="630" spans="1:13">
      <c r="A630">
        <v>42139</v>
      </c>
      <c r="B630" t="s">
        <v>332</v>
      </c>
      <c r="C630" t="s">
        <v>162</v>
      </c>
      <c r="D630" s="133">
        <v>27</v>
      </c>
      <c r="E630" s="133">
        <v>0</v>
      </c>
      <c r="F630" s="133">
        <v>24</v>
      </c>
      <c r="G630" s="133">
        <v>0</v>
      </c>
      <c r="H630" s="133">
        <v>0</v>
      </c>
      <c r="I630" s="133">
        <v>0</v>
      </c>
      <c r="J630" s="133">
        <v>0</v>
      </c>
      <c r="K630">
        <v>42121</v>
      </c>
      <c r="L630" s="133">
        <v>0</v>
      </c>
      <c r="M630" s="133" t="b">
        <f ca="1">IF(TODAY()-Table_Query_from_A_Readiness_19[[#This Row],[PER_DATE]]&gt;=0,TRUE, FALSE)</f>
        <v>0</v>
      </c>
    </row>
    <row r="631" spans="1:13">
      <c r="A631">
        <v>42139</v>
      </c>
      <c r="B631" t="s">
        <v>332</v>
      </c>
      <c r="C631" t="s">
        <v>163</v>
      </c>
      <c r="D631" s="133">
        <v>27</v>
      </c>
      <c r="E631" s="133">
        <v>24</v>
      </c>
      <c r="F631" s="133">
        <v>0</v>
      </c>
      <c r="G631" s="133">
        <v>0</v>
      </c>
      <c r="H631" s="133">
        <v>0</v>
      </c>
      <c r="I631" s="133">
        <v>0</v>
      </c>
      <c r="J631" s="133">
        <v>0</v>
      </c>
      <c r="K631">
        <v>42121</v>
      </c>
      <c r="L631" s="133">
        <v>0</v>
      </c>
      <c r="M631" s="133" t="b">
        <f ca="1">IF(TODAY()-Table_Query_from_A_Readiness_19[[#This Row],[PER_DATE]]&gt;=0,TRUE, FALSE)</f>
        <v>0</v>
      </c>
    </row>
    <row r="632" spans="1:13">
      <c r="A632">
        <v>42139</v>
      </c>
      <c r="B632" t="s">
        <v>325</v>
      </c>
      <c r="C632" t="s">
        <v>166</v>
      </c>
      <c r="D632" s="133">
        <v>27</v>
      </c>
      <c r="E632" s="133">
        <v>24</v>
      </c>
      <c r="F632" s="133">
        <v>0</v>
      </c>
      <c r="G632" s="133">
        <v>0</v>
      </c>
      <c r="H632" s="133">
        <v>0</v>
      </c>
      <c r="I632" s="133">
        <v>0</v>
      </c>
      <c r="J632" s="133">
        <v>0</v>
      </c>
      <c r="K632">
        <v>42121</v>
      </c>
      <c r="L632" s="133">
        <v>0</v>
      </c>
      <c r="M632" s="133" t="b">
        <f ca="1">IF(TODAY()-Table_Query_from_A_Readiness_19[[#This Row],[PER_DATE]]&gt;=0,TRUE, FALSE)</f>
        <v>0</v>
      </c>
    </row>
    <row r="633" spans="1:13">
      <c r="A633">
        <v>42139</v>
      </c>
      <c r="B633" t="s">
        <v>324</v>
      </c>
      <c r="C633" t="s">
        <v>149</v>
      </c>
      <c r="D633" s="133">
        <v>27</v>
      </c>
      <c r="E633" s="133">
        <v>0</v>
      </c>
      <c r="F633" s="133">
        <v>24</v>
      </c>
      <c r="G633" s="133">
        <v>0</v>
      </c>
      <c r="H633" s="133">
        <v>0</v>
      </c>
      <c r="I633" s="133">
        <v>0</v>
      </c>
      <c r="J633" s="133">
        <v>0</v>
      </c>
      <c r="K633">
        <v>42121</v>
      </c>
      <c r="L633" s="133">
        <v>0</v>
      </c>
      <c r="M633" s="133" t="b">
        <f ca="1">IF(TODAY()-Table_Query_from_A_Readiness_19[[#This Row],[PER_DATE]]&gt;=0,TRUE, FALSE)</f>
        <v>0</v>
      </c>
    </row>
    <row r="634" spans="1:13">
      <c r="A634">
        <v>42139</v>
      </c>
      <c r="B634" t="s">
        <v>332</v>
      </c>
      <c r="C634" t="s">
        <v>150</v>
      </c>
      <c r="D634" s="133">
        <v>27</v>
      </c>
      <c r="E634" s="133">
        <v>24</v>
      </c>
      <c r="F634" s="133">
        <v>0</v>
      </c>
      <c r="G634" s="133">
        <v>0</v>
      </c>
      <c r="H634" s="133">
        <v>0</v>
      </c>
      <c r="I634" s="133">
        <v>0</v>
      </c>
      <c r="J634" s="133">
        <v>0</v>
      </c>
      <c r="K634">
        <v>42121</v>
      </c>
      <c r="L634" s="133">
        <v>0</v>
      </c>
      <c r="M634" s="133" t="b">
        <f ca="1">IF(TODAY()-Table_Query_from_A_Readiness_19[[#This Row],[PER_DATE]]&gt;=0,TRUE, FALSE)</f>
        <v>0</v>
      </c>
    </row>
    <row r="635" spans="1:13">
      <c r="A635">
        <v>42139</v>
      </c>
      <c r="B635" t="s">
        <v>324</v>
      </c>
      <c r="C635" t="s">
        <v>151</v>
      </c>
      <c r="D635" s="133">
        <v>27</v>
      </c>
      <c r="E635" s="133">
        <v>0</v>
      </c>
      <c r="F635" s="133">
        <v>0</v>
      </c>
      <c r="G635" s="133">
        <v>0</v>
      </c>
      <c r="H635" s="133">
        <v>24</v>
      </c>
      <c r="I635" s="133">
        <v>0</v>
      </c>
      <c r="J635" s="133">
        <v>0</v>
      </c>
      <c r="K635">
        <v>42121</v>
      </c>
      <c r="L635" s="133">
        <v>0</v>
      </c>
      <c r="M635" s="133" t="b">
        <f ca="1">IF(TODAY()-Table_Query_from_A_Readiness_19[[#This Row],[PER_DATE]]&gt;=0,TRUE, FALSE)</f>
        <v>0</v>
      </c>
    </row>
    <row r="636" spans="1:13">
      <c r="A636">
        <v>42139</v>
      </c>
      <c r="B636" t="s">
        <v>325</v>
      </c>
      <c r="C636" t="s">
        <v>152</v>
      </c>
      <c r="D636" s="133">
        <v>27</v>
      </c>
      <c r="E636" s="133">
        <v>0</v>
      </c>
      <c r="F636" s="133">
        <v>0</v>
      </c>
      <c r="G636" s="133">
        <v>0</v>
      </c>
      <c r="H636" s="133">
        <v>24</v>
      </c>
      <c r="I636" s="133">
        <v>0</v>
      </c>
      <c r="J636" s="133">
        <v>0</v>
      </c>
      <c r="K636">
        <v>42121</v>
      </c>
      <c r="L636" s="133">
        <v>0</v>
      </c>
      <c r="M636" s="133" t="b">
        <f ca="1">IF(TODAY()-Table_Query_from_A_Readiness_19[[#This Row],[PER_DATE]]&gt;=0,TRUE, FALSE)</f>
        <v>0</v>
      </c>
    </row>
    <row r="637" spans="1:13">
      <c r="A637">
        <v>42139</v>
      </c>
      <c r="B637" t="s">
        <v>332</v>
      </c>
      <c r="C637" t="s">
        <v>145</v>
      </c>
      <c r="D637" s="133">
        <v>27</v>
      </c>
      <c r="E637" s="133">
        <v>0</v>
      </c>
      <c r="F637" s="133">
        <v>0</v>
      </c>
      <c r="G637" s="133">
        <v>0</v>
      </c>
      <c r="H637" s="133">
        <v>0</v>
      </c>
      <c r="I637" s="133">
        <v>24</v>
      </c>
      <c r="J637" s="133">
        <v>0</v>
      </c>
      <c r="K637">
        <v>42121</v>
      </c>
      <c r="L637" s="133">
        <v>0</v>
      </c>
      <c r="M637" s="133" t="b">
        <f ca="1">IF(TODAY()-Table_Query_from_A_Readiness_19[[#This Row],[PER_DATE]]&gt;=0,TRUE, FALSE)</f>
        <v>0</v>
      </c>
    </row>
    <row r="638" spans="1:13">
      <c r="A638">
        <v>42139</v>
      </c>
      <c r="B638" t="s">
        <v>325</v>
      </c>
      <c r="C638" t="s">
        <v>167</v>
      </c>
      <c r="D638" s="133">
        <v>27</v>
      </c>
      <c r="E638" s="133">
        <v>0</v>
      </c>
      <c r="F638" s="133">
        <v>0</v>
      </c>
      <c r="G638" s="133">
        <v>0</v>
      </c>
      <c r="H638" s="133">
        <v>0</v>
      </c>
      <c r="I638" s="133">
        <v>24</v>
      </c>
      <c r="J638" s="133">
        <v>0</v>
      </c>
      <c r="K638">
        <v>42121</v>
      </c>
      <c r="L638" s="133">
        <v>0</v>
      </c>
      <c r="M638" s="133" t="b">
        <f ca="1">IF(TODAY()-Table_Query_from_A_Readiness_19[[#This Row],[PER_DATE]]&gt;=0,TRUE, FALSE)</f>
        <v>0</v>
      </c>
    </row>
    <row r="639" spans="1:13">
      <c r="A639">
        <v>42139</v>
      </c>
      <c r="B639" t="s">
        <v>324</v>
      </c>
      <c r="C639" t="s">
        <v>153</v>
      </c>
      <c r="D639" s="133">
        <v>27</v>
      </c>
      <c r="E639" s="133">
        <v>0</v>
      </c>
      <c r="F639" s="133">
        <v>0</v>
      </c>
      <c r="G639" s="133">
        <v>0</v>
      </c>
      <c r="H639" s="133">
        <v>24</v>
      </c>
      <c r="I639" s="133">
        <v>0</v>
      </c>
      <c r="J639" s="133">
        <v>0</v>
      </c>
      <c r="K639">
        <v>42121</v>
      </c>
      <c r="L639" s="133">
        <v>0</v>
      </c>
      <c r="M639" s="133" t="b">
        <f ca="1">IF(TODAY()-Table_Query_from_A_Readiness_19[[#This Row],[PER_DATE]]&gt;=0,TRUE, FALSE)</f>
        <v>0</v>
      </c>
    </row>
    <row r="640" spans="1:13">
      <c r="A640">
        <v>42139</v>
      </c>
      <c r="B640" t="s">
        <v>325</v>
      </c>
      <c r="C640" t="s">
        <v>154</v>
      </c>
      <c r="D640" s="133">
        <v>27</v>
      </c>
      <c r="E640" s="133">
        <v>24</v>
      </c>
      <c r="F640" s="133">
        <v>0</v>
      </c>
      <c r="G640" s="133">
        <v>0</v>
      </c>
      <c r="H640" s="133">
        <v>0</v>
      </c>
      <c r="I640" s="133">
        <v>0</v>
      </c>
      <c r="J640" s="133">
        <v>0</v>
      </c>
      <c r="K640">
        <v>42121</v>
      </c>
      <c r="L640" s="133">
        <v>0</v>
      </c>
      <c r="M640" s="133" t="b">
        <f ca="1">IF(TODAY()-Table_Query_from_A_Readiness_19[[#This Row],[PER_DATE]]&gt;=0,TRUE, FALSE)</f>
        <v>0</v>
      </c>
    </row>
    <row r="641" spans="1:13">
      <c r="A641">
        <v>42139</v>
      </c>
      <c r="B641" t="s">
        <v>325</v>
      </c>
      <c r="C641" t="s">
        <v>168</v>
      </c>
      <c r="D641" s="133">
        <v>27</v>
      </c>
      <c r="E641" s="133">
        <v>24</v>
      </c>
      <c r="F641" s="133">
        <v>0</v>
      </c>
      <c r="G641" s="133">
        <v>0</v>
      </c>
      <c r="H641" s="133">
        <v>0</v>
      </c>
      <c r="I641" s="133">
        <v>0</v>
      </c>
      <c r="J641" s="133">
        <v>0</v>
      </c>
      <c r="K641">
        <v>42121</v>
      </c>
      <c r="L641" s="133">
        <v>0</v>
      </c>
      <c r="M641" s="133" t="b">
        <f ca="1">IF(TODAY()-Table_Query_from_A_Readiness_19[[#This Row],[PER_DATE]]&gt;=0,TRUE, FALSE)</f>
        <v>0</v>
      </c>
    </row>
    <row r="642" spans="1:13">
      <c r="A642">
        <v>42139</v>
      </c>
      <c r="B642" t="s">
        <v>324</v>
      </c>
      <c r="C642" t="s">
        <v>155</v>
      </c>
      <c r="D642" s="133">
        <v>27</v>
      </c>
      <c r="E642" s="133">
        <v>0</v>
      </c>
      <c r="F642" s="133">
        <v>0</v>
      </c>
      <c r="G642" s="133">
        <v>0</v>
      </c>
      <c r="H642" s="133">
        <v>0</v>
      </c>
      <c r="I642" s="133">
        <v>24</v>
      </c>
      <c r="J642" s="133">
        <v>0</v>
      </c>
      <c r="K642">
        <v>42121</v>
      </c>
      <c r="L642" s="133">
        <v>0</v>
      </c>
      <c r="M642" s="133" t="b">
        <f ca="1">IF(TODAY()-Table_Query_from_A_Readiness_19[[#This Row],[PER_DATE]]&gt;=0,TRUE, FALSE)</f>
        <v>0</v>
      </c>
    </row>
    <row r="643" spans="1:13">
      <c r="A643">
        <v>42139</v>
      </c>
      <c r="B643" t="s">
        <v>324</v>
      </c>
      <c r="C643" t="s">
        <v>156</v>
      </c>
      <c r="D643" s="133">
        <v>27</v>
      </c>
      <c r="E643" s="133">
        <v>0</v>
      </c>
      <c r="F643" s="133">
        <v>24</v>
      </c>
      <c r="G643" s="133">
        <v>0</v>
      </c>
      <c r="H643" s="133">
        <v>0</v>
      </c>
      <c r="I643" s="133">
        <v>0</v>
      </c>
      <c r="J643" s="133">
        <v>0</v>
      </c>
      <c r="K643">
        <v>42121</v>
      </c>
      <c r="L643" s="133">
        <v>0</v>
      </c>
      <c r="M643" s="133" t="b">
        <f ca="1">IF(TODAY()-Table_Query_from_A_Readiness_19[[#This Row],[PER_DATE]]&gt;=0,TRUE, FALSE)</f>
        <v>0</v>
      </c>
    </row>
    <row r="644" spans="1:13">
      <c r="A644">
        <v>42139</v>
      </c>
      <c r="B644" t="s">
        <v>325</v>
      </c>
      <c r="C644" t="s">
        <v>157</v>
      </c>
      <c r="D644" s="133">
        <v>27</v>
      </c>
      <c r="E644" s="133">
        <v>0</v>
      </c>
      <c r="F644" s="133">
        <v>24</v>
      </c>
      <c r="G644" s="133">
        <v>0</v>
      </c>
      <c r="H644" s="133">
        <v>0</v>
      </c>
      <c r="I644" s="133">
        <v>0</v>
      </c>
      <c r="J644" s="133">
        <v>0</v>
      </c>
      <c r="K644">
        <v>42121</v>
      </c>
      <c r="L644" s="133">
        <v>0</v>
      </c>
      <c r="M644" s="133" t="b">
        <f ca="1">IF(TODAY()-Table_Query_from_A_Readiness_19[[#This Row],[PER_DATE]]&gt;=0,TRUE, FALSE)</f>
        <v>0</v>
      </c>
    </row>
    <row r="645" spans="1:13">
      <c r="A645">
        <v>42139</v>
      </c>
      <c r="B645" t="s">
        <v>324</v>
      </c>
      <c r="C645" t="s">
        <v>169</v>
      </c>
      <c r="D645" s="133">
        <v>27</v>
      </c>
      <c r="E645" s="133">
        <v>0</v>
      </c>
      <c r="F645" s="133">
        <v>0</v>
      </c>
      <c r="G645" s="133">
        <v>0</v>
      </c>
      <c r="H645" s="133">
        <v>0</v>
      </c>
      <c r="I645" s="133">
        <v>24</v>
      </c>
      <c r="J645" s="133">
        <v>0</v>
      </c>
      <c r="K645">
        <v>42121</v>
      </c>
      <c r="L645" s="133">
        <v>0</v>
      </c>
      <c r="M645" s="133" t="b">
        <f ca="1">IF(TODAY()-Table_Query_from_A_Readiness_19[[#This Row],[PER_DATE]]&gt;=0,TRUE, FALSE)</f>
        <v>0</v>
      </c>
    </row>
    <row r="646" spans="1:13">
      <c r="A646">
        <v>42139</v>
      </c>
      <c r="B646" t="s">
        <v>332</v>
      </c>
      <c r="C646" t="s">
        <v>170</v>
      </c>
      <c r="D646" s="133">
        <v>27</v>
      </c>
      <c r="E646" s="133">
        <v>0</v>
      </c>
      <c r="F646" s="133">
        <v>0</v>
      </c>
      <c r="G646" s="133">
        <v>0</v>
      </c>
      <c r="H646" s="133">
        <v>24</v>
      </c>
      <c r="I646" s="133">
        <v>0</v>
      </c>
      <c r="J646" s="133">
        <v>0</v>
      </c>
      <c r="K646">
        <v>42121</v>
      </c>
      <c r="L646" s="133">
        <v>0</v>
      </c>
      <c r="M646" s="133" t="b">
        <f ca="1">IF(TODAY()-Table_Query_from_A_Readiness_19[[#This Row],[PER_DATE]]&gt;=0,TRUE, FALSE)</f>
        <v>0</v>
      </c>
    </row>
    <row r="647" spans="1:13">
      <c r="A647">
        <v>42139</v>
      </c>
      <c r="B647" t="s">
        <v>324</v>
      </c>
      <c r="C647" t="s">
        <v>158</v>
      </c>
      <c r="D647" s="133">
        <v>27</v>
      </c>
      <c r="E647" s="133">
        <v>0</v>
      </c>
      <c r="F647" s="133">
        <v>24</v>
      </c>
      <c r="G647" s="133">
        <v>0</v>
      </c>
      <c r="H647" s="133">
        <v>0</v>
      </c>
      <c r="I647" s="133">
        <v>0</v>
      </c>
      <c r="J647" s="133">
        <v>0</v>
      </c>
      <c r="K647">
        <v>42121</v>
      </c>
      <c r="L647" s="133">
        <v>0</v>
      </c>
      <c r="M647" s="133" t="b">
        <f ca="1">IF(TODAY()-Table_Query_from_A_Readiness_19[[#This Row],[PER_DATE]]&gt;=0,TRUE, FALSE)</f>
        <v>0</v>
      </c>
    </row>
    <row r="648" spans="1:13">
      <c r="A648">
        <v>42139</v>
      </c>
      <c r="B648" t="s">
        <v>325</v>
      </c>
      <c r="C648" t="s">
        <v>159</v>
      </c>
      <c r="D648" s="133">
        <v>27</v>
      </c>
      <c r="E648" s="133">
        <v>0</v>
      </c>
      <c r="F648" s="133">
        <v>24</v>
      </c>
      <c r="G648" s="133">
        <v>0</v>
      </c>
      <c r="H648" s="133">
        <v>0</v>
      </c>
      <c r="I648" s="133">
        <v>0</v>
      </c>
      <c r="J648" s="133">
        <v>0</v>
      </c>
      <c r="K648">
        <v>42121</v>
      </c>
      <c r="L648" s="133">
        <v>0</v>
      </c>
      <c r="M648" s="133" t="b">
        <f ca="1">IF(TODAY()-Table_Query_from_A_Readiness_19[[#This Row],[PER_DATE]]&gt;=0,TRUE, FALSE)</f>
        <v>0</v>
      </c>
    </row>
    <row r="649" spans="1:13">
      <c r="A649">
        <v>42139</v>
      </c>
      <c r="B649" t="s">
        <v>325</v>
      </c>
      <c r="C649" t="s">
        <v>160</v>
      </c>
      <c r="D649" s="133">
        <v>27</v>
      </c>
      <c r="E649" s="133">
        <v>0</v>
      </c>
      <c r="F649" s="133">
        <v>24</v>
      </c>
      <c r="G649" s="133">
        <v>0</v>
      </c>
      <c r="H649" s="133">
        <v>0</v>
      </c>
      <c r="I649" s="133">
        <v>0</v>
      </c>
      <c r="J649" s="133">
        <v>0</v>
      </c>
      <c r="K649">
        <v>42121</v>
      </c>
      <c r="L649" s="133">
        <v>0</v>
      </c>
      <c r="M649" s="133" t="b">
        <f ca="1">IF(TODAY()-Table_Query_from_A_Readiness_19[[#This Row],[PER_DATE]]&gt;=0,TRUE, FALSE)</f>
        <v>0</v>
      </c>
    </row>
    <row r="650" spans="1:13">
      <c r="A650">
        <v>42139</v>
      </c>
      <c r="B650" t="s">
        <v>332</v>
      </c>
      <c r="C650" t="s">
        <v>164</v>
      </c>
      <c r="D650" s="133">
        <v>28</v>
      </c>
      <c r="E650" s="133">
        <v>0</v>
      </c>
      <c r="F650" s="133">
        <v>24</v>
      </c>
      <c r="G650" s="133">
        <v>0</v>
      </c>
      <c r="H650" s="133">
        <v>0</v>
      </c>
      <c r="I650" s="133">
        <v>0</v>
      </c>
      <c r="J650" s="133">
        <v>0</v>
      </c>
      <c r="K650">
        <v>42122</v>
      </c>
      <c r="L650" s="133">
        <v>0</v>
      </c>
      <c r="M650" s="133" t="b">
        <f ca="1">IF(TODAY()-Table_Query_from_A_Readiness_19[[#This Row],[PER_DATE]]&gt;=0,TRUE, FALSE)</f>
        <v>0</v>
      </c>
    </row>
    <row r="651" spans="1:13">
      <c r="A651">
        <v>42139</v>
      </c>
      <c r="B651" t="s">
        <v>332</v>
      </c>
      <c r="C651" t="s">
        <v>161</v>
      </c>
      <c r="D651" s="133">
        <v>28</v>
      </c>
      <c r="E651" s="133">
        <v>0</v>
      </c>
      <c r="F651" s="133">
        <v>0</v>
      </c>
      <c r="G651" s="133">
        <v>0</v>
      </c>
      <c r="H651" s="133">
        <v>0</v>
      </c>
      <c r="I651" s="133">
        <v>0</v>
      </c>
      <c r="J651" s="133">
        <v>0</v>
      </c>
      <c r="K651">
        <v>42122</v>
      </c>
      <c r="L651" s="133">
        <v>24</v>
      </c>
      <c r="M651" s="133" t="b">
        <f ca="1">IF(TODAY()-Table_Query_from_A_Readiness_19[[#This Row],[PER_DATE]]&gt;=0,TRUE, FALSE)</f>
        <v>0</v>
      </c>
    </row>
    <row r="652" spans="1:13">
      <c r="A652">
        <v>42139</v>
      </c>
      <c r="B652" t="s">
        <v>332</v>
      </c>
      <c r="C652" t="s">
        <v>165</v>
      </c>
      <c r="D652" s="133">
        <v>28</v>
      </c>
      <c r="E652" s="133">
        <v>0</v>
      </c>
      <c r="F652" s="133">
        <v>24</v>
      </c>
      <c r="G652" s="133">
        <v>0</v>
      </c>
      <c r="H652" s="133">
        <v>0</v>
      </c>
      <c r="I652" s="133">
        <v>0</v>
      </c>
      <c r="J652" s="133">
        <v>0</v>
      </c>
      <c r="K652">
        <v>42122</v>
      </c>
      <c r="L652" s="133">
        <v>0</v>
      </c>
      <c r="M652" s="133" t="b">
        <f ca="1">IF(TODAY()-Table_Query_from_A_Readiness_19[[#This Row],[PER_DATE]]&gt;=0,TRUE, FALSE)</f>
        <v>0</v>
      </c>
    </row>
    <row r="653" spans="1:13">
      <c r="A653">
        <v>42139</v>
      </c>
      <c r="B653" t="s">
        <v>324</v>
      </c>
      <c r="C653" t="s">
        <v>148</v>
      </c>
      <c r="D653" s="133">
        <v>28</v>
      </c>
      <c r="E653" s="133">
        <v>0</v>
      </c>
      <c r="F653" s="133">
        <v>0</v>
      </c>
      <c r="G653" s="133">
        <v>0</v>
      </c>
      <c r="H653" s="133">
        <v>0</v>
      </c>
      <c r="I653" s="133">
        <v>0</v>
      </c>
      <c r="J653" s="133">
        <v>0</v>
      </c>
      <c r="K653">
        <v>42122</v>
      </c>
      <c r="L653" s="133">
        <v>24</v>
      </c>
      <c r="M653" s="133" t="b">
        <f ca="1">IF(TODAY()-Table_Query_from_A_Readiness_19[[#This Row],[PER_DATE]]&gt;=0,TRUE, FALSE)</f>
        <v>0</v>
      </c>
    </row>
    <row r="654" spans="1:13">
      <c r="A654">
        <v>42139</v>
      </c>
      <c r="B654" t="s">
        <v>332</v>
      </c>
      <c r="C654" t="s">
        <v>162</v>
      </c>
      <c r="D654" s="133">
        <v>28</v>
      </c>
      <c r="E654" s="133">
        <v>0</v>
      </c>
      <c r="F654" s="133">
        <v>24</v>
      </c>
      <c r="G654" s="133">
        <v>0</v>
      </c>
      <c r="H654" s="133">
        <v>0</v>
      </c>
      <c r="I654" s="133">
        <v>0</v>
      </c>
      <c r="J654" s="133">
        <v>0</v>
      </c>
      <c r="K654">
        <v>42122</v>
      </c>
      <c r="L654" s="133">
        <v>0</v>
      </c>
      <c r="M654" s="133" t="b">
        <f ca="1">IF(TODAY()-Table_Query_from_A_Readiness_19[[#This Row],[PER_DATE]]&gt;=0,TRUE, FALSE)</f>
        <v>0</v>
      </c>
    </row>
    <row r="655" spans="1:13">
      <c r="A655">
        <v>42139</v>
      </c>
      <c r="B655" t="s">
        <v>332</v>
      </c>
      <c r="C655" t="s">
        <v>163</v>
      </c>
      <c r="D655" s="133">
        <v>28</v>
      </c>
      <c r="E655" s="133">
        <v>24</v>
      </c>
      <c r="F655" s="133">
        <v>0</v>
      </c>
      <c r="G655" s="133">
        <v>0</v>
      </c>
      <c r="H655" s="133">
        <v>0</v>
      </c>
      <c r="I655" s="133">
        <v>0</v>
      </c>
      <c r="J655" s="133">
        <v>0</v>
      </c>
      <c r="K655">
        <v>42122</v>
      </c>
      <c r="L655" s="133">
        <v>0</v>
      </c>
      <c r="M655" s="133" t="b">
        <f ca="1">IF(TODAY()-Table_Query_from_A_Readiness_19[[#This Row],[PER_DATE]]&gt;=0,TRUE, FALSE)</f>
        <v>0</v>
      </c>
    </row>
    <row r="656" spans="1:13">
      <c r="A656">
        <v>42139</v>
      </c>
      <c r="B656" t="s">
        <v>325</v>
      </c>
      <c r="C656" t="s">
        <v>166</v>
      </c>
      <c r="D656" s="133">
        <v>28</v>
      </c>
      <c r="E656" s="133">
        <v>24</v>
      </c>
      <c r="F656" s="133">
        <v>0</v>
      </c>
      <c r="G656" s="133">
        <v>0</v>
      </c>
      <c r="H656" s="133">
        <v>0</v>
      </c>
      <c r="I656" s="133">
        <v>0</v>
      </c>
      <c r="J656" s="133">
        <v>0</v>
      </c>
      <c r="K656">
        <v>42122</v>
      </c>
      <c r="L656" s="133">
        <v>0</v>
      </c>
      <c r="M656" s="133" t="b">
        <f ca="1">IF(TODAY()-Table_Query_from_A_Readiness_19[[#This Row],[PER_DATE]]&gt;=0,TRUE, FALSE)</f>
        <v>0</v>
      </c>
    </row>
    <row r="657" spans="1:13">
      <c r="A657">
        <v>42139</v>
      </c>
      <c r="B657" t="s">
        <v>324</v>
      </c>
      <c r="C657" t="s">
        <v>149</v>
      </c>
      <c r="D657" s="133">
        <v>28</v>
      </c>
      <c r="E657" s="133">
        <v>0</v>
      </c>
      <c r="F657" s="133">
        <v>24</v>
      </c>
      <c r="G657" s="133">
        <v>0</v>
      </c>
      <c r="H657" s="133">
        <v>0</v>
      </c>
      <c r="I657" s="133">
        <v>0</v>
      </c>
      <c r="J657" s="133">
        <v>0</v>
      </c>
      <c r="K657">
        <v>42122</v>
      </c>
      <c r="L657" s="133">
        <v>0</v>
      </c>
      <c r="M657" s="133" t="b">
        <f ca="1">IF(TODAY()-Table_Query_from_A_Readiness_19[[#This Row],[PER_DATE]]&gt;=0,TRUE, FALSE)</f>
        <v>0</v>
      </c>
    </row>
    <row r="658" spans="1:13">
      <c r="A658">
        <v>42139</v>
      </c>
      <c r="B658" t="s">
        <v>332</v>
      </c>
      <c r="C658" t="s">
        <v>150</v>
      </c>
      <c r="D658" s="133">
        <v>28</v>
      </c>
      <c r="E658" s="133">
        <v>24</v>
      </c>
      <c r="F658" s="133">
        <v>0</v>
      </c>
      <c r="G658" s="133">
        <v>0</v>
      </c>
      <c r="H658" s="133">
        <v>0</v>
      </c>
      <c r="I658" s="133">
        <v>0</v>
      </c>
      <c r="J658" s="133">
        <v>0</v>
      </c>
      <c r="K658">
        <v>42122</v>
      </c>
      <c r="L658" s="133">
        <v>0</v>
      </c>
      <c r="M658" s="133" t="b">
        <f ca="1">IF(TODAY()-Table_Query_from_A_Readiness_19[[#This Row],[PER_DATE]]&gt;=0,TRUE, FALSE)</f>
        <v>0</v>
      </c>
    </row>
    <row r="659" spans="1:13">
      <c r="A659">
        <v>42139</v>
      </c>
      <c r="B659" t="s">
        <v>324</v>
      </c>
      <c r="C659" t="s">
        <v>151</v>
      </c>
      <c r="D659" s="133">
        <v>28</v>
      </c>
      <c r="E659" s="133">
        <v>0</v>
      </c>
      <c r="F659" s="133">
        <v>0</v>
      </c>
      <c r="G659" s="133">
        <v>0</v>
      </c>
      <c r="H659" s="133">
        <v>24</v>
      </c>
      <c r="I659" s="133">
        <v>0</v>
      </c>
      <c r="J659" s="133">
        <v>0</v>
      </c>
      <c r="K659">
        <v>42122</v>
      </c>
      <c r="L659" s="133">
        <v>0</v>
      </c>
      <c r="M659" s="133" t="b">
        <f ca="1">IF(TODAY()-Table_Query_from_A_Readiness_19[[#This Row],[PER_DATE]]&gt;=0,TRUE, FALSE)</f>
        <v>0</v>
      </c>
    </row>
    <row r="660" spans="1:13">
      <c r="A660">
        <v>42139</v>
      </c>
      <c r="B660" t="s">
        <v>325</v>
      </c>
      <c r="C660" t="s">
        <v>152</v>
      </c>
      <c r="D660" s="133">
        <v>28</v>
      </c>
      <c r="E660" s="133">
        <v>0</v>
      </c>
      <c r="F660" s="133">
        <v>0</v>
      </c>
      <c r="G660" s="133">
        <v>0</v>
      </c>
      <c r="H660" s="133">
        <v>24</v>
      </c>
      <c r="I660" s="133">
        <v>0</v>
      </c>
      <c r="J660" s="133">
        <v>0</v>
      </c>
      <c r="K660">
        <v>42122</v>
      </c>
      <c r="L660" s="133">
        <v>0</v>
      </c>
      <c r="M660" s="133" t="b">
        <f ca="1">IF(TODAY()-Table_Query_from_A_Readiness_19[[#This Row],[PER_DATE]]&gt;=0,TRUE, FALSE)</f>
        <v>0</v>
      </c>
    </row>
    <row r="661" spans="1:13">
      <c r="A661">
        <v>42139</v>
      </c>
      <c r="B661" t="s">
        <v>332</v>
      </c>
      <c r="C661" t="s">
        <v>145</v>
      </c>
      <c r="D661" s="133">
        <v>28</v>
      </c>
      <c r="E661" s="133">
        <v>0</v>
      </c>
      <c r="F661" s="133">
        <v>0</v>
      </c>
      <c r="G661" s="133">
        <v>0</v>
      </c>
      <c r="H661" s="133">
        <v>0</v>
      </c>
      <c r="I661" s="133">
        <v>24</v>
      </c>
      <c r="J661" s="133">
        <v>0</v>
      </c>
      <c r="K661">
        <v>42122</v>
      </c>
      <c r="L661" s="133">
        <v>0</v>
      </c>
      <c r="M661" s="133" t="b">
        <f ca="1">IF(TODAY()-Table_Query_from_A_Readiness_19[[#This Row],[PER_DATE]]&gt;=0,TRUE, FALSE)</f>
        <v>0</v>
      </c>
    </row>
    <row r="662" spans="1:13">
      <c r="A662">
        <v>42139</v>
      </c>
      <c r="B662" t="s">
        <v>325</v>
      </c>
      <c r="C662" t="s">
        <v>167</v>
      </c>
      <c r="D662" s="133">
        <v>28</v>
      </c>
      <c r="E662" s="133">
        <v>0</v>
      </c>
      <c r="F662" s="133">
        <v>0</v>
      </c>
      <c r="G662" s="133">
        <v>0</v>
      </c>
      <c r="H662" s="133">
        <v>0</v>
      </c>
      <c r="I662" s="133">
        <v>24</v>
      </c>
      <c r="J662" s="133">
        <v>0</v>
      </c>
      <c r="K662">
        <v>42122</v>
      </c>
      <c r="L662" s="133">
        <v>0</v>
      </c>
      <c r="M662" s="133" t="b">
        <f ca="1">IF(TODAY()-Table_Query_from_A_Readiness_19[[#This Row],[PER_DATE]]&gt;=0,TRUE, FALSE)</f>
        <v>0</v>
      </c>
    </row>
    <row r="663" spans="1:13">
      <c r="A663">
        <v>42139</v>
      </c>
      <c r="B663" t="s">
        <v>324</v>
      </c>
      <c r="C663" t="s">
        <v>153</v>
      </c>
      <c r="D663" s="133">
        <v>28</v>
      </c>
      <c r="E663" s="133">
        <v>0</v>
      </c>
      <c r="F663" s="133">
        <v>0</v>
      </c>
      <c r="G663" s="133">
        <v>0</v>
      </c>
      <c r="H663" s="133">
        <v>24</v>
      </c>
      <c r="I663" s="133">
        <v>0</v>
      </c>
      <c r="J663" s="133">
        <v>0</v>
      </c>
      <c r="K663">
        <v>42122</v>
      </c>
      <c r="L663" s="133">
        <v>0</v>
      </c>
      <c r="M663" s="133" t="b">
        <f ca="1">IF(TODAY()-Table_Query_from_A_Readiness_19[[#This Row],[PER_DATE]]&gt;=0,TRUE, FALSE)</f>
        <v>0</v>
      </c>
    </row>
    <row r="664" spans="1:13">
      <c r="A664">
        <v>42139</v>
      </c>
      <c r="B664" t="s">
        <v>325</v>
      </c>
      <c r="C664" t="s">
        <v>154</v>
      </c>
      <c r="D664" s="133">
        <v>28</v>
      </c>
      <c r="E664" s="133">
        <v>24</v>
      </c>
      <c r="F664" s="133">
        <v>0</v>
      </c>
      <c r="G664" s="133">
        <v>0</v>
      </c>
      <c r="H664" s="133">
        <v>0</v>
      </c>
      <c r="I664" s="133">
        <v>0</v>
      </c>
      <c r="J664" s="133">
        <v>0</v>
      </c>
      <c r="K664">
        <v>42122</v>
      </c>
      <c r="L664" s="133">
        <v>0</v>
      </c>
      <c r="M664" s="133" t="b">
        <f ca="1">IF(TODAY()-Table_Query_from_A_Readiness_19[[#This Row],[PER_DATE]]&gt;=0,TRUE, FALSE)</f>
        <v>0</v>
      </c>
    </row>
    <row r="665" spans="1:13">
      <c r="A665">
        <v>42139</v>
      </c>
      <c r="B665" t="s">
        <v>325</v>
      </c>
      <c r="C665" t="s">
        <v>168</v>
      </c>
      <c r="D665" s="133">
        <v>28</v>
      </c>
      <c r="E665" s="133">
        <v>24</v>
      </c>
      <c r="F665" s="133">
        <v>0</v>
      </c>
      <c r="G665" s="133">
        <v>0</v>
      </c>
      <c r="H665" s="133">
        <v>0</v>
      </c>
      <c r="I665" s="133">
        <v>0</v>
      </c>
      <c r="J665" s="133">
        <v>0</v>
      </c>
      <c r="K665">
        <v>42122</v>
      </c>
      <c r="L665" s="133">
        <v>0</v>
      </c>
      <c r="M665" s="133" t="b">
        <f ca="1">IF(TODAY()-Table_Query_from_A_Readiness_19[[#This Row],[PER_DATE]]&gt;=0,TRUE, FALSE)</f>
        <v>0</v>
      </c>
    </row>
    <row r="666" spans="1:13">
      <c r="A666">
        <v>42139</v>
      </c>
      <c r="B666" t="s">
        <v>324</v>
      </c>
      <c r="C666" t="s">
        <v>155</v>
      </c>
      <c r="D666" s="133">
        <v>28</v>
      </c>
      <c r="E666" s="133">
        <v>0</v>
      </c>
      <c r="F666" s="133">
        <v>0</v>
      </c>
      <c r="G666" s="133">
        <v>0</v>
      </c>
      <c r="H666" s="133">
        <v>0</v>
      </c>
      <c r="I666" s="133">
        <v>24</v>
      </c>
      <c r="J666" s="133">
        <v>0</v>
      </c>
      <c r="K666">
        <v>42122</v>
      </c>
      <c r="L666" s="133">
        <v>0</v>
      </c>
      <c r="M666" s="133" t="b">
        <f ca="1">IF(TODAY()-Table_Query_from_A_Readiness_19[[#This Row],[PER_DATE]]&gt;=0,TRUE, FALSE)</f>
        <v>0</v>
      </c>
    </row>
    <row r="667" spans="1:13">
      <c r="A667">
        <v>42139</v>
      </c>
      <c r="B667" t="s">
        <v>324</v>
      </c>
      <c r="C667" t="s">
        <v>156</v>
      </c>
      <c r="D667" s="133">
        <v>28</v>
      </c>
      <c r="E667" s="133">
        <v>0</v>
      </c>
      <c r="F667" s="133">
        <v>24</v>
      </c>
      <c r="G667" s="133">
        <v>0</v>
      </c>
      <c r="H667" s="133">
        <v>0</v>
      </c>
      <c r="I667" s="133">
        <v>0</v>
      </c>
      <c r="J667" s="133">
        <v>0</v>
      </c>
      <c r="K667">
        <v>42122</v>
      </c>
      <c r="L667" s="133">
        <v>0</v>
      </c>
      <c r="M667" s="133" t="b">
        <f ca="1">IF(TODAY()-Table_Query_from_A_Readiness_19[[#This Row],[PER_DATE]]&gt;=0,TRUE, FALSE)</f>
        <v>0</v>
      </c>
    </row>
    <row r="668" spans="1:13">
      <c r="A668">
        <v>42139</v>
      </c>
      <c r="B668" t="s">
        <v>325</v>
      </c>
      <c r="C668" t="s">
        <v>157</v>
      </c>
      <c r="D668" s="133">
        <v>28</v>
      </c>
      <c r="E668" s="133">
        <v>0</v>
      </c>
      <c r="F668" s="133">
        <v>24</v>
      </c>
      <c r="G668" s="133">
        <v>0</v>
      </c>
      <c r="H668" s="133">
        <v>0</v>
      </c>
      <c r="I668" s="133">
        <v>0</v>
      </c>
      <c r="J668" s="133">
        <v>0</v>
      </c>
      <c r="K668">
        <v>42122</v>
      </c>
      <c r="L668" s="133">
        <v>0</v>
      </c>
      <c r="M668" s="133" t="b">
        <f ca="1">IF(TODAY()-Table_Query_from_A_Readiness_19[[#This Row],[PER_DATE]]&gt;=0,TRUE, FALSE)</f>
        <v>0</v>
      </c>
    </row>
    <row r="669" spans="1:13">
      <c r="A669">
        <v>42139</v>
      </c>
      <c r="B669" t="s">
        <v>324</v>
      </c>
      <c r="C669" t="s">
        <v>169</v>
      </c>
      <c r="D669" s="133">
        <v>28</v>
      </c>
      <c r="E669" s="133">
        <v>0</v>
      </c>
      <c r="F669" s="133">
        <v>0</v>
      </c>
      <c r="G669" s="133">
        <v>0</v>
      </c>
      <c r="H669" s="133">
        <v>0</v>
      </c>
      <c r="I669" s="133">
        <v>24</v>
      </c>
      <c r="J669" s="133">
        <v>0</v>
      </c>
      <c r="K669">
        <v>42122</v>
      </c>
      <c r="L669" s="133">
        <v>0</v>
      </c>
      <c r="M669" s="133" t="b">
        <f ca="1">IF(TODAY()-Table_Query_from_A_Readiness_19[[#This Row],[PER_DATE]]&gt;=0,TRUE, FALSE)</f>
        <v>0</v>
      </c>
    </row>
    <row r="670" spans="1:13">
      <c r="A670">
        <v>42139</v>
      </c>
      <c r="B670" t="s">
        <v>332</v>
      </c>
      <c r="C670" t="s">
        <v>170</v>
      </c>
      <c r="D670" s="133">
        <v>28</v>
      </c>
      <c r="E670" s="133">
        <v>0</v>
      </c>
      <c r="F670" s="133">
        <v>0</v>
      </c>
      <c r="G670" s="133">
        <v>0</v>
      </c>
      <c r="H670" s="133">
        <v>24</v>
      </c>
      <c r="I670" s="133">
        <v>0</v>
      </c>
      <c r="J670" s="133">
        <v>0</v>
      </c>
      <c r="K670">
        <v>42122</v>
      </c>
      <c r="L670" s="133">
        <v>0</v>
      </c>
      <c r="M670" s="133" t="b">
        <f ca="1">IF(TODAY()-Table_Query_from_A_Readiness_19[[#This Row],[PER_DATE]]&gt;=0,TRUE, FALSE)</f>
        <v>0</v>
      </c>
    </row>
    <row r="671" spans="1:13">
      <c r="A671">
        <v>42139</v>
      </c>
      <c r="B671" t="s">
        <v>324</v>
      </c>
      <c r="C671" t="s">
        <v>158</v>
      </c>
      <c r="D671" s="133">
        <v>28</v>
      </c>
      <c r="E671" s="133">
        <v>0</v>
      </c>
      <c r="F671" s="133">
        <v>24</v>
      </c>
      <c r="G671" s="133">
        <v>0</v>
      </c>
      <c r="H671" s="133">
        <v>0</v>
      </c>
      <c r="I671" s="133">
        <v>0</v>
      </c>
      <c r="J671" s="133">
        <v>0</v>
      </c>
      <c r="K671">
        <v>42122</v>
      </c>
      <c r="L671" s="133">
        <v>0</v>
      </c>
      <c r="M671" s="133" t="b">
        <f ca="1">IF(TODAY()-Table_Query_from_A_Readiness_19[[#This Row],[PER_DATE]]&gt;=0,TRUE, FALSE)</f>
        <v>0</v>
      </c>
    </row>
    <row r="672" spans="1:13">
      <c r="A672">
        <v>42139</v>
      </c>
      <c r="B672" t="s">
        <v>325</v>
      </c>
      <c r="C672" t="s">
        <v>159</v>
      </c>
      <c r="D672" s="133">
        <v>28</v>
      </c>
      <c r="E672" s="133">
        <v>0</v>
      </c>
      <c r="F672" s="133">
        <v>24</v>
      </c>
      <c r="G672" s="133">
        <v>0</v>
      </c>
      <c r="H672" s="133">
        <v>0</v>
      </c>
      <c r="I672" s="133">
        <v>0</v>
      </c>
      <c r="J672" s="133">
        <v>0</v>
      </c>
      <c r="K672">
        <v>42122</v>
      </c>
      <c r="L672" s="133">
        <v>0</v>
      </c>
      <c r="M672" s="133" t="b">
        <f ca="1">IF(TODAY()-Table_Query_from_A_Readiness_19[[#This Row],[PER_DATE]]&gt;=0,TRUE, FALSE)</f>
        <v>0</v>
      </c>
    </row>
    <row r="673" spans="1:13">
      <c r="A673">
        <v>42139</v>
      </c>
      <c r="B673" t="s">
        <v>325</v>
      </c>
      <c r="C673" t="s">
        <v>160</v>
      </c>
      <c r="D673" s="133">
        <v>28</v>
      </c>
      <c r="E673" s="133">
        <v>0</v>
      </c>
      <c r="F673" s="133">
        <v>24</v>
      </c>
      <c r="G673" s="133">
        <v>0</v>
      </c>
      <c r="H673" s="133">
        <v>0</v>
      </c>
      <c r="I673" s="133">
        <v>0</v>
      </c>
      <c r="J673" s="133">
        <v>0</v>
      </c>
      <c r="K673">
        <v>42122</v>
      </c>
      <c r="L673" s="133">
        <v>0</v>
      </c>
      <c r="M673" s="133" t="b">
        <f ca="1">IF(TODAY()-Table_Query_from_A_Readiness_19[[#This Row],[PER_DATE]]&gt;=0,TRUE, FALSE)</f>
        <v>0</v>
      </c>
    </row>
    <row r="674" spans="1:13">
      <c r="A674">
        <v>42139</v>
      </c>
      <c r="B674" t="s">
        <v>332</v>
      </c>
      <c r="C674" t="s">
        <v>164</v>
      </c>
      <c r="D674" s="133">
        <v>29</v>
      </c>
      <c r="E674" s="133">
        <v>0</v>
      </c>
      <c r="F674" s="133">
        <v>24</v>
      </c>
      <c r="G674" s="133">
        <v>0</v>
      </c>
      <c r="H674" s="133">
        <v>0</v>
      </c>
      <c r="I674" s="133">
        <v>0</v>
      </c>
      <c r="J674" s="133">
        <v>0</v>
      </c>
      <c r="K674">
        <v>42123</v>
      </c>
      <c r="L674" s="133">
        <v>0</v>
      </c>
      <c r="M674" s="133" t="b">
        <f ca="1">IF(TODAY()-Table_Query_from_A_Readiness_19[[#This Row],[PER_DATE]]&gt;=0,TRUE, FALSE)</f>
        <v>0</v>
      </c>
    </row>
    <row r="675" spans="1:13">
      <c r="A675">
        <v>42139</v>
      </c>
      <c r="B675" t="s">
        <v>332</v>
      </c>
      <c r="C675" t="s">
        <v>161</v>
      </c>
      <c r="D675" s="133">
        <v>29</v>
      </c>
      <c r="E675" s="133">
        <v>0</v>
      </c>
      <c r="F675" s="133">
        <v>0</v>
      </c>
      <c r="G675" s="133">
        <v>0</v>
      </c>
      <c r="H675" s="133">
        <v>0</v>
      </c>
      <c r="I675" s="133">
        <v>0</v>
      </c>
      <c r="J675" s="133">
        <v>0</v>
      </c>
      <c r="K675">
        <v>42123</v>
      </c>
      <c r="L675" s="133">
        <v>24</v>
      </c>
      <c r="M675" s="133" t="b">
        <f ca="1">IF(TODAY()-Table_Query_from_A_Readiness_19[[#This Row],[PER_DATE]]&gt;=0,TRUE, FALSE)</f>
        <v>0</v>
      </c>
    </row>
    <row r="676" spans="1:13">
      <c r="A676">
        <v>42139</v>
      </c>
      <c r="B676" t="s">
        <v>332</v>
      </c>
      <c r="C676" t="s">
        <v>165</v>
      </c>
      <c r="D676" s="133">
        <v>29</v>
      </c>
      <c r="E676" s="133">
        <v>24</v>
      </c>
      <c r="F676" s="133">
        <v>0</v>
      </c>
      <c r="G676" s="133">
        <v>0</v>
      </c>
      <c r="H676" s="133">
        <v>0</v>
      </c>
      <c r="I676" s="133">
        <v>0</v>
      </c>
      <c r="J676" s="133">
        <v>0</v>
      </c>
      <c r="K676">
        <v>42123</v>
      </c>
      <c r="L676" s="133">
        <v>0</v>
      </c>
      <c r="M676" s="133" t="b">
        <f ca="1">IF(TODAY()-Table_Query_from_A_Readiness_19[[#This Row],[PER_DATE]]&gt;=0,TRUE, FALSE)</f>
        <v>0</v>
      </c>
    </row>
    <row r="677" spans="1:13">
      <c r="A677">
        <v>42139</v>
      </c>
      <c r="B677" t="s">
        <v>324</v>
      </c>
      <c r="C677" t="s">
        <v>148</v>
      </c>
      <c r="D677" s="133">
        <v>29</v>
      </c>
      <c r="E677" s="133">
        <v>0</v>
      </c>
      <c r="F677" s="133">
        <v>0</v>
      </c>
      <c r="G677" s="133">
        <v>0</v>
      </c>
      <c r="H677" s="133">
        <v>0</v>
      </c>
      <c r="I677" s="133">
        <v>0</v>
      </c>
      <c r="J677" s="133">
        <v>0</v>
      </c>
      <c r="K677">
        <v>42123</v>
      </c>
      <c r="L677" s="133">
        <v>24</v>
      </c>
      <c r="M677" s="133" t="b">
        <f ca="1">IF(TODAY()-Table_Query_from_A_Readiness_19[[#This Row],[PER_DATE]]&gt;=0,TRUE, FALSE)</f>
        <v>0</v>
      </c>
    </row>
    <row r="678" spans="1:13">
      <c r="A678">
        <v>42139</v>
      </c>
      <c r="B678" t="s">
        <v>332</v>
      </c>
      <c r="C678" t="s">
        <v>162</v>
      </c>
      <c r="D678" s="133">
        <v>29</v>
      </c>
      <c r="E678" s="133">
        <v>0</v>
      </c>
      <c r="F678" s="133">
        <v>24</v>
      </c>
      <c r="G678" s="133">
        <v>0</v>
      </c>
      <c r="H678" s="133">
        <v>0</v>
      </c>
      <c r="I678" s="133">
        <v>0</v>
      </c>
      <c r="J678" s="133">
        <v>0</v>
      </c>
      <c r="K678">
        <v>42123</v>
      </c>
      <c r="L678" s="133">
        <v>0</v>
      </c>
      <c r="M678" s="133" t="b">
        <f ca="1">IF(TODAY()-Table_Query_from_A_Readiness_19[[#This Row],[PER_DATE]]&gt;=0,TRUE, FALSE)</f>
        <v>0</v>
      </c>
    </row>
    <row r="679" spans="1:13">
      <c r="A679">
        <v>42139</v>
      </c>
      <c r="B679" t="s">
        <v>332</v>
      </c>
      <c r="C679" t="s">
        <v>163</v>
      </c>
      <c r="D679" s="133">
        <v>29</v>
      </c>
      <c r="E679" s="133">
        <v>24</v>
      </c>
      <c r="F679" s="133">
        <v>0</v>
      </c>
      <c r="G679" s="133">
        <v>0</v>
      </c>
      <c r="H679" s="133">
        <v>0</v>
      </c>
      <c r="I679" s="133">
        <v>0</v>
      </c>
      <c r="J679" s="133">
        <v>0</v>
      </c>
      <c r="K679">
        <v>42123</v>
      </c>
      <c r="L679" s="133">
        <v>0</v>
      </c>
      <c r="M679" s="133" t="b">
        <f ca="1">IF(TODAY()-Table_Query_from_A_Readiness_19[[#This Row],[PER_DATE]]&gt;=0,TRUE, FALSE)</f>
        <v>0</v>
      </c>
    </row>
    <row r="680" spans="1:13">
      <c r="A680">
        <v>42139</v>
      </c>
      <c r="B680" t="s">
        <v>325</v>
      </c>
      <c r="C680" t="s">
        <v>166</v>
      </c>
      <c r="D680" s="133">
        <v>29</v>
      </c>
      <c r="E680" s="133">
        <v>24</v>
      </c>
      <c r="F680" s="133">
        <v>0</v>
      </c>
      <c r="G680" s="133">
        <v>0</v>
      </c>
      <c r="H680" s="133">
        <v>0</v>
      </c>
      <c r="I680" s="133">
        <v>0</v>
      </c>
      <c r="J680" s="133">
        <v>0</v>
      </c>
      <c r="K680">
        <v>42123</v>
      </c>
      <c r="L680" s="133">
        <v>0</v>
      </c>
      <c r="M680" s="133" t="b">
        <f ca="1">IF(TODAY()-Table_Query_from_A_Readiness_19[[#This Row],[PER_DATE]]&gt;=0,TRUE, FALSE)</f>
        <v>0</v>
      </c>
    </row>
    <row r="681" spans="1:13">
      <c r="A681">
        <v>42139</v>
      </c>
      <c r="B681" t="s">
        <v>324</v>
      </c>
      <c r="C681" t="s">
        <v>149</v>
      </c>
      <c r="D681" s="133">
        <v>29</v>
      </c>
      <c r="E681" s="133">
        <v>0</v>
      </c>
      <c r="F681" s="133">
        <v>24</v>
      </c>
      <c r="G681" s="133">
        <v>0</v>
      </c>
      <c r="H681" s="133">
        <v>0</v>
      </c>
      <c r="I681" s="133">
        <v>0</v>
      </c>
      <c r="J681" s="133">
        <v>0</v>
      </c>
      <c r="K681">
        <v>42123</v>
      </c>
      <c r="L681" s="133">
        <v>0</v>
      </c>
      <c r="M681" s="133" t="b">
        <f ca="1">IF(TODAY()-Table_Query_from_A_Readiness_19[[#This Row],[PER_DATE]]&gt;=0,TRUE, FALSE)</f>
        <v>0</v>
      </c>
    </row>
    <row r="682" spans="1:13">
      <c r="A682">
        <v>42139</v>
      </c>
      <c r="B682" t="s">
        <v>332</v>
      </c>
      <c r="C682" t="s">
        <v>150</v>
      </c>
      <c r="D682" s="133">
        <v>29</v>
      </c>
      <c r="E682" s="133">
        <v>24</v>
      </c>
      <c r="F682" s="133">
        <v>0</v>
      </c>
      <c r="G682" s="133">
        <v>0</v>
      </c>
      <c r="H682" s="133">
        <v>0</v>
      </c>
      <c r="I682" s="133">
        <v>0</v>
      </c>
      <c r="J682" s="133">
        <v>0</v>
      </c>
      <c r="K682">
        <v>42123</v>
      </c>
      <c r="L682" s="133">
        <v>0</v>
      </c>
      <c r="M682" s="133" t="b">
        <f ca="1">IF(TODAY()-Table_Query_from_A_Readiness_19[[#This Row],[PER_DATE]]&gt;=0,TRUE, FALSE)</f>
        <v>0</v>
      </c>
    </row>
    <row r="683" spans="1:13">
      <c r="A683">
        <v>42139</v>
      </c>
      <c r="B683" t="s">
        <v>324</v>
      </c>
      <c r="C683" t="s">
        <v>151</v>
      </c>
      <c r="D683" s="133">
        <v>29</v>
      </c>
      <c r="E683" s="133">
        <v>0</v>
      </c>
      <c r="F683" s="133">
        <v>0</v>
      </c>
      <c r="G683" s="133">
        <v>0</v>
      </c>
      <c r="H683" s="133">
        <v>24</v>
      </c>
      <c r="I683" s="133">
        <v>0</v>
      </c>
      <c r="J683" s="133">
        <v>0</v>
      </c>
      <c r="K683">
        <v>42123</v>
      </c>
      <c r="L683" s="133">
        <v>0</v>
      </c>
      <c r="M683" s="133" t="b">
        <f ca="1">IF(TODAY()-Table_Query_from_A_Readiness_19[[#This Row],[PER_DATE]]&gt;=0,TRUE, FALSE)</f>
        <v>0</v>
      </c>
    </row>
    <row r="684" spans="1:13">
      <c r="A684">
        <v>42139</v>
      </c>
      <c r="B684" t="s">
        <v>325</v>
      </c>
      <c r="C684" t="s">
        <v>152</v>
      </c>
      <c r="D684" s="133">
        <v>29</v>
      </c>
      <c r="E684" s="133">
        <v>24</v>
      </c>
      <c r="F684" s="133">
        <v>0</v>
      </c>
      <c r="G684" s="133">
        <v>0</v>
      </c>
      <c r="H684" s="133">
        <v>0</v>
      </c>
      <c r="I684" s="133">
        <v>0</v>
      </c>
      <c r="J684" s="133">
        <v>0</v>
      </c>
      <c r="K684">
        <v>42123</v>
      </c>
      <c r="L684" s="133">
        <v>0</v>
      </c>
      <c r="M684" s="133" t="b">
        <f ca="1">IF(TODAY()-Table_Query_from_A_Readiness_19[[#This Row],[PER_DATE]]&gt;=0,TRUE, FALSE)</f>
        <v>0</v>
      </c>
    </row>
    <row r="685" spans="1:13">
      <c r="A685">
        <v>42139</v>
      </c>
      <c r="B685" t="s">
        <v>332</v>
      </c>
      <c r="C685" t="s">
        <v>145</v>
      </c>
      <c r="D685" s="133">
        <v>29</v>
      </c>
      <c r="E685" s="133">
        <v>24</v>
      </c>
      <c r="F685" s="133">
        <v>0</v>
      </c>
      <c r="G685" s="133">
        <v>0</v>
      </c>
      <c r="H685" s="133">
        <v>0</v>
      </c>
      <c r="I685" s="133">
        <v>0</v>
      </c>
      <c r="J685" s="133">
        <v>0</v>
      </c>
      <c r="K685">
        <v>42123</v>
      </c>
      <c r="L685" s="133">
        <v>0</v>
      </c>
      <c r="M685" s="133" t="b">
        <f ca="1">IF(TODAY()-Table_Query_from_A_Readiness_19[[#This Row],[PER_DATE]]&gt;=0,TRUE, FALSE)</f>
        <v>0</v>
      </c>
    </row>
    <row r="686" spans="1:13">
      <c r="A686">
        <v>42139</v>
      </c>
      <c r="B686" t="s">
        <v>325</v>
      </c>
      <c r="C686" t="s">
        <v>167</v>
      </c>
      <c r="D686" s="133">
        <v>29</v>
      </c>
      <c r="E686" s="133">
        <v>24</v>
      </c>
      <c r="F686" s="133">
        <v>0</v>
      </c>
      <c r="G686" s="133">
        <v>0</v>
      </c>
      <c r="H686" s="133">
        <v>0</v>
      </c>
      <c r="I686" s="133">
        <v>0</v>
      </c>
      <c r="J686" s="133">
        <v>0</v>
      </c>
      <c r="K686">
        <v>42123</v>
      </c>
      <c r="L686" s="133">
        <v>0</v>
      </c>
      <c r="M686" s="133" t="b">
        <f ca="1">IF(TODAY()-Table_Query_from_A_Readiness_19[[#This Row],[PER_DATE]]&gt;=0,TRUE, FALSE)</f>
        <v>0</v>
      </c>
    </row>
    <row r="687" spans="1:13">
      <c r="A687">
        <v>42139</v>
      </c>
      <c r="B687" t="s">
        <v>324</v>
      </c>
      <c r="C687" t="s">
        <v>153</v>
      </c>
      <c r="D687" s="133">
        <v>29</v>
      </c>
      <c r="E687" s="133">
        <v>0</v>
      </c>
      <c r="F687" s="133">
        <v>0</v>
      </c>
      <c r="G687" s="133">
        <v>0</v>
      </c>
      <c r="H687" s="133">
        <v>24</v>
      </c>
      <c r="I687" s="133">
        <v>0</v>
      </c>
      <c r="J687" s="133">
        <v>0</v>
      </c>
      <c r="K687">
        <v>42123</v>
      </c>
      <c r="L687" s="133">
        <v>0</v>
      </c>
      <c r="M687" s="133" t="b">
        <f ca="1">IF(TODAY()-Table_Query_from_A_Readiness_19[[#This Row],[PER_DATE]]&gt;=0,TRUE, FALSE)</f>
        <v>0</v>
      </c>
    </row>
    <row r="688" spans="1:13">
      <c r="A688">
        <v>42139</v>
      </c>
      <c r="B688" t="s">
        <v>325</v>
      </c>
      <c r="C688" t="s">
        <v>154</v>
      </c>
      <c r="D688" s="133">
        <v>29</v>
      </c>
      <c r="E688" s="133">
        <v>24</v>
      </c>
      <c r="F688" s="133">
        <v>0</v>
      </c>
      <c r="G688" s="133">
        <v>0</v>
      </c>
      <c r="H688" s="133">
        <v>0</v>
      </c>
      <c r="I688" s="133">
        <v>0</v>
      </c>
      <c r="J688" s="133">
        <v>0</v>
      </c>
      <c r="K688">
        <v>42123</v>
      </c>
      <c r="L688" s="133">
        <v>0</v>
      </c>
      <c r="M688" s="133" t="b">
        <f ca="1">IF(TODAY()-Table_Query_from_A_Readiness_19[[#This Row],[PER_DATE]]&gt;=0,TRUE, FALSE)</f>
        <v>0</v>
      </c>
    </row>
    <row r="689" spans="1:13">
      <c r="A689">
        <v>42139</v>
      </c>
      <c r="B689" t="s">
        <v>325</v>
      </c>
      <c r="C689" t="s">
        <v>168</v>
      </c>
      <c r="D689" s="133">
        <v>29</v>
      </c>
      <c r="E689" s="133">
        <v>24</v>
      </c>
      <c r="F689" s="133">
        <v>0</v>
      </c>
      <c r="G689" s="133">
        <v>0</v>
      </c>
      <c r="H689" s="133">
        <v>0</v>
      </c>
      <c r="I689" s="133">
        <v>0</v>
      </c>
      <c r="J689" s="133">
        <v>0</v>
      </c>
      <c r="K689">
        <v>42123</v>
      </c>
      <c r="L689" s="133">
        <v>0</v>
      </c>
      <c r="M689" s="133" t="b">
        <f ca="1">IF(TODAY()-Table_Query_from_A_Readiness_19[[#This Row],[PER_DATE]]&gt;=0,TRUE, FALSE)</f>
        <v>0</v>
      </c>
    </row>
    <row r="690" spans="1:13">
      <c r="A690">
        <v>42139</v>
      </c>
      <c r="B690" t="s">
        <v>324</v>
      </c>
      <c r="C690" t="s">
        <v>155</v>
      </c>
      <c r="D690" s="133">
        <v>29</v>
      </c>
      <c r="E690" s="133">
        <v>0</v>
      </c>
      <c r="F690" s="133">
        <v>0</v>
      </c>
      <c r="G690" s="133">
        <v>0</v>
      </c>
      <c r="H690" s="133">
        <v>0</v>
      </c>
      <c r="I690" s="133">
        <v>24</v>
      </c>
      <c r="J690" s="133">
        <v>0</v>
      </c>
      <c r="K690">
        <v>42123</v>
      </c>
      <c r="L690" s="133">
        <v>0</v>
      </c>
      <c r="M690" s="133" t="b">
        <f ca="1">IF(TODAY()-Table_Query_from_A_Readiness_19[[#This Row],[PER_DATE]]&gt;=0,TRUE, FALSE)</f>
        <v>0</v>
      </c>
    </row>
    <row r="691" spans="1:13">
      <c r="A691">
        <v>42139</v>
      </c>
      <c r="B691" t="s">
        <v>324</v>
      </c>
      <c r="C691" t="s">
        <v>156</v>
      </c>
      <c r="D691" s="133">
        <v>29</v>
      </c>
      <c r="E691" s="133">
        <v>0</v>
      </c>
      <c r="F691" s="133">
        <v>24</v>
      </c>
      <c r="G691" s="133">
        <v>0</v>
      </c>
      <c r="H691" s="133">
        <v>0</v>
      </c>
      <c r="I691" s="133">
        <v>0</v>
      </c>
      <c r="J691" s="133">
        <v>0</v>
      </c>
      <c r="K691">
        <v>42123</v>
      </c>
      <c r="L691" s="133">
        <v>0</v>
      </c>
      <c r="M691" s="133" t="b">
        <f ca="1">IF(TODAY()-Table_Query_from_A_Readiness_19[[#This Row],[PER_DATE]]&gt;=0,TRUE, FALSE)</f>
        <v>0</v>
      </c>
    </row>
    <row r="692" spans="1:13">
      <c r="A692">
        <v>42139</v>
      </c>
      <c r="B692" t="s">
        <v>325</v>
      </c>
      <c r="C692" t="s">
        <v>157</v>
      </c>
      <c r="D692" s="133">
        <v>29</v>
      </c>
      <c r="E692" s="133">
        <v>0</v>
      </c>
      <c r="F692" s="133">
        <v>24</v>
      </c>
      <c r="G692" s="133">
        <v>0</v>
      </c>
      <c r="H692" s="133">
        <v>0</v>
      </c>
      <c r="I692" s="133">
        <v>0</v>
      </c>
      <c r="J692" s="133">
        <v>0</v>
      </c>
      <c r="K692">
        <v>42123</v>
      </c>
      <c r="L692" s="133">
        <v>0</v>
      </c>
      <c r="M692" s="133" t="b">
        <f ca="1">IF(TODAY()-Table_Query_from_A_Readiness_19[[#This Row],[PER_DATE]]&gt;=0,TRUE, FALSE)</f>
        <v>0</v>
      </c>
    </row>
    <row r="693" spans="1:13">
      <c r="A693">
        <v>42139</v>
      </c>
      <c r="B693" t="s">
        <v>324</v>
      </c>
      <c r="C693" t="s">
        <v>169</v>
      </c>
      <c r="D693" s="133">
        <v>29</v>
      </c>
      <c r="E693" s="133">
        <v>0</v>
      </c>
      <c r="F693" s="133">
        <v>0</v>
      </c>
      <c r="G693" s="133">
        <v>0</v>
      </c>
      <c r="H693" s="133">
        <v>0</v>
      </c>
      <c r="I693" s="133">
        <v>24</v>
      </c>
      <c r="J693" s="133">
        <v>0</v>
      </c>
      <c r="K693">
        <v>42123</v>
      </c>
      <c r="L693" s="133">
        <v>0</v>
      </c>
      <c r="M693" s="133" t="b">
        <f ca="1">IF(TODAY()-Table_Query_from_A_Readiness_19[[#This Row],[PER_DATE]]&gt;=0,TRUE, FALSE)</f>
        <v>0</v>
      </c>
    </row>
    <row r="694" spans="1:13">
      <c r="A694">
        <v>42139</v>
      </c>
      <c r="B694" t="s">
        <v>332</v>
      </c>
      <c r="C694" t="s">
        <v>170</v>
      </c>
      <c r="D694" s="133">
        <v>29</v>
      </c>
      <c r="E694" s="133">
        <v>24</v>
      </c>
      <c r="F694" s="133">
        <v>0</v>
      </c>
      <c r="G694" s="133">
        <v>0</v>
      </c>
      <c r="H694" s="133">
        <v>0</v>
      </c>
      <c r="I694" s="133">
        <v>0</v>
      </c>
      <c r="J694" s="133">
        <v>0</v>
      </c>
      <c r="K694">
        <v>42123</v>
      </c>
      <c r="L694" s="133">
        <v>0</v>
      </c>
      <c r="M694" s="133" t="b">
        <f ca="1">IF(TODAY()-Table_Query_from_A_Readiness_19[[#This Row],[PER_DATE]]&gt;=0,TRUE, FALSE)</f>
        <v>0</v>
      </c>
    </row>
    <row r="695" spans="1:13">
      <c r="A695">
        <v>42139</v>
      </c>
      <c r="B695" t="s">
        <v>324</v>
      </c>
      <c r="C695" t="s">
        <v>158</v>
      </c>
      <c r="D695" s="133">
        <v>29</v>
      </c>
      <c r="E695" s="133">
        <v>24</v>
      </c>
      <c r="F695" s="133">
        <v>0</v>
      </c>
      <c r="G695" s="133">
        <v>0</v>
      </c>
      <c r="H695" s="133">
        <v>0</v>
      </c>
      <c r="I695" s="133">
        <v>0</v>
      </c>
      <c r="J695" s="133">
        <v>0</v>
      </c>
      <c r="K695">
        <v>42123</v>
      </c>
      <c r="L695" s="133">
        <v>0</v>
      </c>
      <c r="M695" s="133" t="b">
        <f ca="1">IF(TODAY()-Table_Query_from_A_Readiness_19[[#This Row],[PER_DATE]]&gt;=0,TRUE, FALSE)</f>
        <v>0</v>
      </c>
    </row>
    <row r="696" spans="1:13">
      <c r="A696">
        <v>42139</v>
      </c>
      <c r="B696" t="s">
        <v>325</v>
      </c>
      <c r="C696" t="s">
        <v>159</v>
      </c>
      <c r="D696" s="133">
        <v>29</v>
      </c>
      <c r="E696" s="133">
        <v>24</v>
      </c>
      <c r="F696" s="133">
        <v>0</v>
      </c>
      <c r="G696" s="133">
        <v>0</v>
      </c>
      <c r="H696" s="133">
        <v>0</v>
      </c>
      <c r="I696" s="133">
        <v>0</v>
      </c>
      <c r="J696" s="133">
        <v>0</v>
      </c>
      <c r="K696">
        <v>42123</v>
      </c>
      <c r="L696" s="133">
        <v>0</v>
      </c>
      <c r="M696" s="133" t="b">
        <f ca="1">IF(TODAY()-Table_Query_from_A_Readiness_19[[#This Row],[PER_DATE]]&gt;=0,TRUE, FALSE)</f>
        <v>0</v>
      </c>
    </row>
    <row r="697" spans="1:13">
      <c r="A697">
        <v>42139</v>
      </c>
      <c r="B697" t="s">
        <v>325</v>
      </c>
      <c r="C697" t="s">
        <v>160</v>
      </c>
      <c r="D697" s="133">
        <v>29</v>
      </c>
      <c r="E697" s="133">
        <v>24</v>
      </c>
      <c r="F697" s="133">
        <v>0</v>
      </c>
      <c r="G697" s="133">
        <v>0</v>
      </c>
      <c r="H697" s="133">
        <v>0</v>
      </c>
      <c r="I697" s="133">
        <v>0</v>
      </c>
      <c r="J697" s="133">
        <v>0</v>
      </c>
      <c r="K697">
        <v>42123</v>
      </c>
      <c r="L697" s="133">
        <v>0</v>
      </c>
      <c r="M697" s="133" t="b">
        <f ca="1">IF(TODAY()-Table_Query_from_A_Readiness_19[[#This Row],[PER_DATE]]&gt;=0,TRUE, FALSE)</f>
        <v>0</v>
      </c>
    </row>
    <row r="698" spans="1:13">
      <c r="A698">
        <v>42139</v>
      </c>
      <c r="B698" t="s">
        <v>332</v>
      </c>
      <c r="C698" t="s">
        <v>164</v>
      </c>
      <c r="D698" s="133">
        <v>30</v>
      </c>
      <c r="E698" s="133">
        <v>0</v>
      </c>
      <c r="F698" s="133">
        <v>24</v>
      </c>
      <c r="G698" s="133">
        <v>0</v>
      </c>
      <c r="H698" s="133">
        <v>0</v>
      </c>
      <c r="I698" s="133">
        <v>0</v>
      </c>
      <c r="J698" s="133">
        <v>0</v>
      </c>
      <c r="K698">
        <v>42124</v>
      </c>
      <c r="L698" s="133">
        <v>0</v>
      </c>
      <c r="M698" s="133" t="b">
        <f ca="1">IF(TODAY()-Table_Query_from_A_Readiness_19[[#This Row],[PER_DATE]]&gt;=0,TRUE, FALSE)</f>
        <v>0</v>
      </c>
    </row>
    <row r="699" spans="1:13">
      <c r="A699">
        <v>42139</v>
      </c>
      <c r="B699" t="s">
        <v>332</v>
      </c>
      <c r="C699" t="s">
        <v>161</v>
      </c>
      <c r="D699" s="133">
        <v>30</v>
      </c>
      <c r="E699" s="133">
        <v>0</v>
      </c>
      <c r="F699" s="133">
        <v>0</v>
      </c>
      <c r="G699" s="133">
        <v>0</v>
      </c>
      <c r="H699" s="133">
        <v>0</v>
      </c>
      <c r="I699" s="133">
        <v>0</v>
      </c>
      <c r="J699" s="133">
        <v>0</v>
      </c>
      <c r="K699">
        <v>42124</v>
      </c>
      <c r="L699" s="133">
        <v>24</v>
      </c>
      <c r="M699" s="133" t="b">
        <f ca="1">IF(TODAY()-Table_Query_from_A_Readiness_19[[#This Row],[PER_DATE]]&gt;=0,TRUE, FALSE)</f>
        <v>0</v>
      </c>
    </row>
    <row r="700" spans="1:13">
      <c r="A700">
        <v>42139</v>
      </c>
      <c r="B700" t="s">
        <v>332</v>
      </c>
      <c r="C700" t="s">
        <v>165</v>
      </c>
      <c r="D700" s="133">
        <v>30</v>
      </c>
      <c r="E700" s="133">
        <v>24</v>
      </c>
      <c r="F700" s="133">
        <v>0</v>
      </c>
      <c r="G700" s="133">
        <v>0</v>
      </c>
      <c r="H700" s="133">
        <v>0</v>
      </c>
      <c r="I700" s="133">
        <v>0</v>
      </c>
      <c r="J700" s="133">
        <v>0</v>
      </c>
      <c r="K700">
        <v>42124</v>
      </c>
      <c r="L700" s="133">
        <v>0</v>
      </c>
      <c r="M700" s="133" t="b">
        <f ca="1">IF(TODAY()-Table_Query_from_A_Readiness_19[[#This Row],[PER_DATE]]&gt;=0,TRUE, FALSE)</f>
        <v>0</v>
      </c>
    </row>
    <row r="701" spans="1:13">
      <c r="A701">
        <v>42139</v>
      </c>
      <c r="B701" t="s">
        <v>324</v>
      </c>
      <c r="C701" t="s">
        <v>148</v>
      </c>
      <c r="D701" s="133">
        <v>30</v>
      </c>
      <c r="E701" s="133">
        <v>0</v>
      </c>
      <c r="F701" s="133">
        <v>0</v>
      </c>
      <c r="G701" s="133">
        <v>0</v>
      </c>
      <c r="H701" s="133">
        <v>0</v>
      </c>
      <c r="I701" s="133">
        <v>0</v>
      </c>
      <c r="J701" s="133">
        <v>0</v>
      </c>
      <c r="K701">
        <v>42124</v>
      </c>
      <c r="L701" s="133">
        <v>24</v>
      </c>
      <c r="M701" s="133" t="b">
        <f ca="1">IF(TODAY()-Table_Query_from_A_Readiness_19[[#This Row],[PER_DATE]]&gt;=0,TRUE, FALSE)</f>
        <v>0</v>
      </c>
    </row>
    <row r="702" spans="1:13">
      <c r="A702">
        <v>42139</v>
      </c>
      <c r="B702" t="s">
        <v>332</v>
      </c>
      <c r="C702" t="s">
        <v>162</v>
      </c>
      <c r="D702" s="133">
        <v>30</v>
      </c>
      <c r="E702" s="133">
        <v>0</v>
      </c>
      <c r="F702" s="133">
        <v>24</v>
      </c>
      <c r="G702" s="133">
        <v>0</v>
      </c>
      <c r="H702" s="133">
        <v>0</v>
      </c>
      <c r="I702" s="133">
        <v>0</v>
      </c>
      <c r="J702" s="133">
        <v>0</v>
      </c>
      <c r="K702">
        <v>42124</v>
      </c>
      <c r="L702" s="133">
        <v>0</v>
      </c>
      <c r="M702" s="133" t="b">
        <f ca="1">IF(TODAY()-Table_Query_from_A_Readiness_19[[#This Row],[PER_DATE]]&gt;=0,TRUE, FALSE)</f>
        <v>0</v>
      </c>
    </row>
    <row r="703" spans="1:13">
      <c r="A703">
        <v>42139</v>
      </c>
      <c r="B703" t="s">
        <v>332</v>
      </c>
      <c r="C703" t="s">
        <v>163</v>
      </c>
      <c r="D703" s="133">
        <v>30</v>
      </c>
      <c r="E703" s="133">
        <v>24</v>
      </c>
      <c r="F703" s="133">
        <v>0</v>
      </c>
      <c r="G703" s="133">
        <v>0</v>
      </c>
      <c r="H703" s="133">
        <v>0</v>
      </c>
      <c r="I703" s="133">
        <v>0</v>
      </c>
      <c r="J703" s="133">
        <v>0</v>
      </c>
      <c r="K703">
        <v>42124</v>
      </c>
      <c r="L703" s="133">
        <v>0</v>
      </c>
      <c r="M703" s="133" t="b">
        <f ca="1">IF(TODAY()-Table_Query_from_A_Readiness_19[[#This Row],[PER_DATE]]&gt;=0,TRUE, FALSE)</f>
        <v>0</v>
      </c>
    </row>
    <row r="704" spans="1:13">
      <c r="A704">
        <v>42139</v>
      </c>
      <c r="B704" t="s">
        <v>325</v>
      </c>
      <c r="C704" t="s">
        <v>166</v>
      </c>
      <c r="D704" s="133">
        <v>30</v>
      </c>
      <c r="E704" s="133">
        <v>24</v>
      </c>
      <c r="F704" s="133">
        <v>0</v>
      </c>
      <c r="G704" s="133">
        <v>0</v>
      </c>
      <c r="H704" s="133">
        <v>0</v>
      </c>
      <c r="I704" s="133">
        <v>0</v>
      </c>
      <c r="J704" s="133">
        <v>0</v>
      </c>
      <c r="K704">
        <v>42124</v>
      </c>
      <c r="L704" s="133">
        <v>0</v>
      </c>
      <c r="M704" s="133" t="b">
        <f ca="1">IF(TODAY()-Table_Query_from_A_Readiness_19[[#This Row],[PER_DATE]]&gt;=0,TRUE, FALSE)</f>
        <v>0</v>
      </c>
    </row>
    <row r="705" spans="1:13">
      <c r="A705">
        <v>42139</v>
      </c>
      <c r="B705" t="s">
        <v>324</v>
      </c>
      <c r="C705" t="s">
        <v>149</v>
      </c>
      <c r="D705" s="133">
        <v>30</v>
      </c>
      <c r="E705" s="133">
        <v>0</v>
      </c>
      <c r="F705" s="133">
        <v>24</v>
      </c>
      <c r="G705" s="133">
        <v>0</v>
      </c>
      <c r="H705" s="133">
        <v>0</v>
      </c>
      <c r="I705" s="133">
        <v>0</v>
      </c>
      <c r="J705" s="133">
        <v>0</v>
      </c>
      <c r="K705">
        <v>42124</v>
      </c>
      <c r="L705" s="133">
        <v>0</v>
      </c>
      <c r="M705" s="133" t="b">
        <f ca="1">IF(TODAY()-Table_Query_from_A_Readiness_19[[#This Row],[PER_DATE]]&gt;=0,TRUE, FALSE)</f>
        <v>0</v>
      </c>
    </row>
    <row r="706" spans="1:13">
      <c r="A706">
        <v>42139</v>
      </c>
      <c r="B706" t="s">
        <v>332</v>
      </c>
      <c r="C706" t="s">
        <v>150</v>
      </c>
      <c r="D706" s="133">
        <v>30</v>
      </c>
      <c r="E706" s="133">
        <v>24</v>
      </c>
      <c r="F706" s="133">
        <v>0</v>
      </c>
      <c r="G706" s="133">
        <v>0</v>
      </c>
      <c r="H706" s="133">
        <v>0</v>
      </c>
      <c r="I706" s="133">
        <v>0</v>
      </c>
      <c r="J706" s="133">
        <v>0</v>
      </c>
      <c r="K706">
        <v>42124</v>
      </c>
      <c r="L706" s="133">
        <v>0</v>
      </c>
      <c r="M706" s="133" t="b">
        <f ca="1">IF(TODAY()-Table_Query_from_A_Readiness_19[[#This Row],[PER_DATE]]&gt;=0,TRUE, FALSE)</f>
        <v>0</v>
      </c>
    </row>
    <row r="707" spans="1:13">
      <c r="A707">
        <v>42139</v>
      </c>
      <c r="B707" t="s">
        <v>324</v>
      </c>
      <c r="C707" t="s">
        <v>151</v>
      </c>
      <c r="D707" s="133">
        <v>30</v>
      </c>
      <c r="E707" s="133">
        <v>0</v>
      </c>
      <c r="F707" s="133">
        <v>0</v>
      </c>
      <c r="G707" s="133">
        <v>0</v>
      </c>
      <c r="H707" s="133">
        <v>24</v>
      </c>
      <c r="I707" s="133">
        <v>0</v>
      </c>
      <c r="J707" s="133">
        <v>0</v>
      </c>
      <c r="K707">
        <v>42124</v>
      </c>
      <c r="L707" s="133">
        <v>0</v>
      </c>
      <c r="M707" s="133" t="b">
        <f ca="1">IF(TODAY()-Table_Query_from_A_Readiness_19[[#This Row],[PER_DATE]]&gt;=0,TRUE, FALSE)</f>
        <v>0</v>
      </c>
    </row>
    <row r="708" spans="1:13">
      <c r="A708">
        <v>42139</v>
      </c>
      <c r="B708" t="s">
        <v>325</v>
      </c>
      <c r="C708" t="s">
        <v>152</v>
      </c>
      <c r="D708" s="133">
        <v>30</v>
      </c>
      <c r="E708" s="133">
        <v>24</v>
      </c>
      <c r="F708" s="133">
        <v>0</v>
      </c>
      <c r="G708" s="133">
        <v>0</v>
      </c>
      <c r="H708" s="133">
        <v>0</v>
      </c>
      <c r="I708" s="133">
        <v>0</v>
      </c>
      <c r="J708" s="133">
        <v>0</v>
      </c>
      <c r="K708">
        <v>42124</v>
      </c>
      <c r="L708" s="133">
        <v>0</v>
      </c>
      <c r="M708" s="133" t="b">
        <f ca="1">IF(TODAY()-Table_Query_from_A_Readiness_19[[#This Row],[PER_DATE]]&gt;=0,TRUE, FALSE)</f>
        <v>0</v>
      </c>
    </row>
    <row r="709" spans="1:13">
      <c r="A709">
        <v>42139</v>
      </c>
      <c r="B709" t="s">
        <v>332</v>
      </c>
      <c r="C709" t="s">
        <v>145</v>
      </c>
      <c r="D709" s="133">
        <v>30</v>
      </c>
      <c r="E709" s="133">
        <v>24</v>
      </c>
      <c r="F709" s="133">
        <v>0</v>
      </c>
      <c r="G709" s="133">
        <v>0</v>
      </c>
      <c r="H709" s="133">
        <v>0</v>
      </c>
      <c r="I709" s="133">
        <v>0</v>
      </c>
      <c r="J709" s="133">
        <v>0</v>
      </c>
      <c r="K709">
        <v>42124</v>
      </c>
      <c r="L709" s="133">
        <v>0</v>
      </c>
      <c r="M709" s="133" t="b">
        <f ca="1">IF(TODAY()-Table_Query_from_A_Readiness_19[[#This Row],[PER_DATE]]&gt;=0,TRUE, FALSE)</f>
        <v>0</v>
      </c>
    </row>
    <row r="710" spans="1:13">
      <c r="A710">
        <v>42139</v>
      </c>
      <c r="B710" t="s">
        <v>325</v>
      </c>
      <c r="C710" t="s">
        <v>167</v>
      </c>
      <c r="D710" s="133">
        <v>30</v>
      </c>
      <c r="E710" s="133">
        <v>24</v>
      </c>
      <c r="F710" s="133">
        <v>0</v>
      </c>
      <c r="G710" s="133">
        <v>0</v>
      </c>
      <c r="H710" s="133">
        <v>0</v>
      </c>
      <c r="I710" s="133">
        <v>0</v>
      </c>
      <c r="J710" s="133">
        <v>0</v>
      </c>
      <c r="K710">
        <v>42124</v>
      </c>
      <c r="L710" s="133">
        <v>0</v>
      </c>
      <c r="M710" s="133" t="b">
        <f ca="1">IF(TODAY()-Table_Query_from_A_Readiness_19[[#This Row],[PER_DATE]]&gt;=0,TRUE, FALSE)</f>
        <v>0</v>
      </c>
    </row>
    <row r="711" spans="1:13">
      <c r="A711">
        <v>42139</v>
      </c>
      <c r="B711" t="s">
        <v>324</v>
      </c>
      <c r="C711" t="s">
        <v>153</v>
      </c>
      <c r="D711" s="133">
        <v>30</v>
      </c>
      <c r="E711" s="133">
        <v>0</v>
      </c>
      <c r="F711" s="133">
        <v>0</v>
      </c>
      <c r="G711" s="133">
        <v>0</v>
      </c>
      <c r="H711" s="133">
        <v>24</v>
      </c>
      <c r="I711" s="133">
        <v>0</v>
      </c>
      <c r="J711" s="133">
        <v>0</v>
      </c>
      <c r="K711">
        <v>42124</v>
      </c>
      <c r="L711" s="133">
        <v>0</v>
      </c>
      <c r="M711" s="133" t="b">
        <f ca="1">IF(TODAY()-Table_Query_from_A_Readiness_19[[#This Row],[PER_DATE]]&gt;=0,TRUE, FALSE)</f>
        <v>0</v>
      </c>
    </row>
    <row r="712" spans="1:13">
      <c r="A712">
        <v>42139</v>
      </c>
      <c r="B712" t="s">
        <v>325</v>
      </c>
      <c r="C712" t="s">
        <v>154</v>
      </c>
      <c r="D712" s="133">
        <v>30</v>
      </c>
      <c r="E712" s="133">
        <v>24</v>
      </c>
      <c r="F712" s="133">
        <v>0</v>
      </c>
      <c r="G712" s="133">
        <v>0</v>
      </c>
      <c r="H712" s="133">
        <v>0</v>
      </c>
      <c r="I712" s="133">
        <v>0</v>
      </c>
      <c r="J712" s="133">
        <v>0</v>
      </c>
      <c r="K712">
        <v>42124</v>
      </c>
      <c r="L712" s="133">
        <v>0</v>
      </c>
      <c r="M712" s="133" t="b">
        <f ca="1">IF(TODAY()-Table_Query_from_A_Readiness_19[[#This Row],[PER_DATE]]&gt;=0,TRUE, FALSE)</f>
        <v>0</v>
      </c>
    </row>
    <row r="713" spans="1:13">
      <c r="A713">
        <v>42139</v>
      </c>
      <c r="B713" t="s">
        <v>325</v>
      </c>
      <c r="C713" t="s">
        <v>168</v>
      </c>
      <c r="D713" s="133">
        <v>30</v>
      </c>
      <c r="E713" s="133">
        <v>24</v>
      </c>
      <c r="F713" s="133">
        <v>0</v>
      </c>
      <c r="G713" s="133">
        <v>0</v>
      </c>
      <c r="H713" s="133">
        <v>0</v>
      </c>
      <c r="I713" s="133">
        <v>0</v>
      </c>
      <c r="J713" s="133">
        <v>0</v>
      </c>
      <c r="K713">
        <v>42124</v>
      </c>
      <c r="L713" s="133">
        <v>0</v>
      </c>
      <c r="M713" s="133" t="b">
        <f ca="1">IF(TODAY()-Table_Query_from_A_Readiness_19[[#This Row],[PER_DATE]]&gt;=0,TRUE, FALSE)</f>
        <v>0</v>
      </c>
    </row>
    <row r="714" spans="1:13">
      <c r="A714">
        <v>42139</v>
      </c>
      <c r="B714" t="s">
        <v>324</v>
      </c>
      <c r="C714" t="s">
        <v>155</v>
      </c>
      <c r="D714" s="133">
        <v>30</v>
      </c>
      <c r="E714" s="133">
        <v>0</v>
      </c>
      <c r="F714" s="133">
        <v>0</v>
      </c>
      <c r="G714" s="133">
        <v>0</v>
      </c>
      <c r="H714" s="133">
        <v>0</v>
      </c>
      <c r="I714" s="133">
        <v>24</v>
      </c>
      <c r="J714" s="133">
        <v>0</v>
      </c>
      <c r="K714">
        <v>42124</v>
      </c>
      <c r="L714" s="133">
        <v>0</v>
      </c>
      <c r="M714" s="133" t="b">
        <f ca="1">IF(TODAY()-Table_Query_from_A_Readiness_19[[#This Row],[PER_DATE]]&gt;=0,TRUE, FALSE)</f>
        <v>0</v>
      </c>
    </row>
    <row r="715" spans="1:13">
      <c r="A715">
        <v>42139</v>
      </c>
      <c r="B715" t="s">
        <v>324</v>
      </c>
      <c r="C715" t="s">
        <v>156</v>
      </c>
      <c r="D715" s="133">
        <v>30</v>
      </c>
      <c r="E715" s="133">
        <v>0</v>
      </c>
      <c r="F715" s="133">
        <v>24</v>
      </c>
      <c r="G715" s="133">
        <v>0</v>
      </c>
      <c r="H715" s="133">
        <v>0</v>
      </c>
      <c r="I715" s="133">
        <v>0</v>
      </c>
      <c r="J715" s="133">
        <v>0</v>
      </c>
      <c r="K715">
        <v>42124</v>
      </c>
      <c r="L715" s="133">
        <v>0</v>
      </c>
      <c r="M715" s="133" t="b">
        <f ca="1">IF(TODAY()-Table_Query_from_A_Readiness_19[[#This Row],[PER_DATE]]&gt;=0,TRUE, FALSE)</f>
        <v>0</v>
      </c>
    </row>
    <row r="716" spans="1:13">
      <c r="A716">
        <v>42139</v>
      </c>
      <c r="B716" t="s">
        <v>325</v>
      </c>
      <c r="C716" t="s">
        <v>157</v>
      </c>
      <c r="D716" s="133">
        <v>30</v>
      </c>
      <c r="E716" s="133">
        <v>0</v>
      </c>
      <c r="F716" s="133">
        <v>24</v>
      </c>
      <c r="G716" s="133">
        <v>0</v>
      </c>
      <c r="H716" s="133">
        <v>0</v>
      </c>
      <c r="I716" s="133">
        <v>0</v>
      </c>
      <c r="J716" s="133">
        <v>0</v>
      </c>
      <c r="K716">
        <v>42124</v>
      </c>
      <c r="L716" s="133">
        <v>0</v>
      </c>
      <c r="M716" s="133" t="b">
        <f ca="1">IF(TODAY()-Table_Query_from_A_Readiness_19[[#This Row],[PER_DATE]]&gt;=0,TRUE, FALSE)</f>
        <v>0</v>
      </c>
    </row>
    <row r="717" spans="1:13">
      <c r="A717">
        <v>42139</v>
      </c>
      <c r="B717" t="s">
        <v>324</v>
      </c>
      <c r="C717" t="s">
        <v>169</v>
      </c>
      <c r="D717" s="133">
        <v>30</v>
      </c>
      <c r="E717" s="133">
        <v>0</v>
      </c>
      <c r="F717" s="133">
        <v>0</v>
      </c>
      <c r="G717" s="133">
        <v>0</v>
      </c>
      <c r="H717" s="133">
        <v>0</v>
      </c>
      <c r="I717" s="133">
        <v>24</v>
      </c>
      <c r="J717" s="133">
        <v>0</v>
      </c>
      <c r="K717">
        <v>42124</v>
      </c>
      <c r="L717" s="133">
        <v>0</v>
      </c>
      <c r="M717" s="133" t="b">
        <f ca="1">IF(TODAY()-Table_Query_from_A_Readiness_19[[#This Row],[PER_DATE]]&gt;=0,TRUE, FALSE)</f>
        <v>0</v>
      </c>
    </row>
    <row r="718" spans="1:13">
      <c r="A718">
        <v>42139</v>
      </c>
      <c r="B718" t="s">
        <v>332</v>
      </c>
      <c r="C718" t="s">
        <v>170</v>
      </c>
      <c r="D718" s="133">
        <v>30</v>
      </c>
      <c r="E718" s="133">
        <v>24</v>
      </c>
      <c r="F718" s="133">
        <v>0</v>
      </c>
      <c r="G718" s="133">
        <v>0</v>
      </c>
      <c r="H718" s="133">
        <v>0</v>
      </c>
      <c r="I718" s="133">
        <v>0</v>
      </c>
      <c r="J718" s="133">
        <v>0</v>
      </c>
      <c r="K718">
        <v>42124</v>
      </c>
      <c r="L718" s="133">
        <v>0</v>
      </c>
      <c r="M718" s="133" t="b">
        <f ca="1">IF(TODAY()-Table_Query_from_A_Readiness_19[[#This Row],[PER_DATE]]&gt;=0,TRUE, FALSE)</f>
        <v>0</v>
      </c>
    </row>
    <row r="719" spans="1:13">
      <c r="A719">
        <v>42139</v>
      </c>
      <c r="B719" t="s">
        <v>324</v>
      </c>
      <c r="C719" t="s">
        <v>158</v>
      </c>
      <c r="D719" s="133">
        <v>30</v>
      </c>
      <c r="E719" s="133">
        <v>24</v>
      </c>
      <c r="F719" s="133">
        <v>0</v>
      </c>
      <c r="G719" s="133">
        <v>0</v>
      </c>
      <c r="H719" s="133">
        <v>0</v>
      </c>
      <c r="I719" s="133">
        <v>0</v>
      </c>
      <c r="J719" s="133">
        <v>0</v>
      </c>
      <c r="K719">
        <v>42124</v>
      </c>
      <c r="L719" s="133">
        <v>0</v>
      </c>
      <c r="M719" s="133" t="b">
        <f ca="1">IF(TODAY()-Table_Query_from_A_Readiness_19[[#This Row],[PER_DATE]]&gt;=0,TRUE, FALSE)</f>
        <v>0</v>
      </c>
    </row>
    <row r="720" spans="1:13">
      <c r="A720">
        <v>42139</v>
      </c>
      <c r="B720" t="s">
        <v>325</v>
      </c>
      <c r="C720" t="s">
        <v>159</v>
      </c>
      <c r="D720" s="133">
        <v>30</v>
      </c>
      <c r="E720" s="133">
        <v>24</v>
      </c>
      <c r="F720" s="133">
        <v>0</v>
      </c>
      <c r="G720" s="133">
        <v>0</v>
      </c>
      <c r="H720" s="133">
        <v>0</v>
      </c>
      <c r="I720" s="133">
        <v>0</v>
      </c>
      <c r="J720" s="133">
        <v>0</v>
      </c>
      <c r="K720">
        <v>42124</v>
      </c>
      <c r="L720" s="133">
        <v>0</v>
      </c>
      <c r="M720" s="133" t="b">
        <f ca="1">IF(TODAY()-Table_Query_from_A_Readiness_19[[#This Row],[PER_DATE]]&gt;=0,TRUE, FALSE)</f>
        <v>0</v>
      </c>
    </row>
    <row r="721" spans="1:13">
      <c r="A721">
        <v>42139</v>
      </c>
      <c r="B721" t="s">
        <v>325</v>
      </c>
      <c r="C721" t="s">
        <v>160</v>
      </c>
      <c r="D721" s="133">
        <v>30</v>
      </c>
      <c r="E721" s="133">
        <v>24</v>
      </c>
      <c r="F721" s="133">
        <v>0</v>
      </c>
      <c r="G721" s="133">
        <v>0</v>
      </c>
      <c r="H721" s="133">
        <v>0</v>
      </c>
      <c r="I721" s="133">
        <v>0</v>
      </c>
      <c r="J721" s="133">
        <v>0</v>
      </c>
      <c r="K721">
        <v>42124</v>
      </c>
      <c r="L721" s="133">
        <v>0</v>
      </c>
      <c r="M721" s="133" t="b">
        <f ca="1">IF(TODAY()-Table_Query_from_A_Readiness_19[[#This Row],[PER_DATE]]&gt;=0,TRUE, FALSE)</f>
        <v>0</v>
      </c>
    </row>
    <row r="724" spans="1:13">
      <c r="E724" s="133">
        <f ca="1">SUMIF(Table_Query_from_A_Readiness_19[Past], TRUE, Table_Query_from_A_Readiness_19[FMC])</f>
        <v>0</v>
      </c>
      <c r="F724" s="133">
        <f ca="1">SUMIF(Table_Query_from_A_Readiness_19[Past], TRUE, Table_Query_from_A_Readiness_19[PMCS])</f>
        <v>1554.4</v>
      </c>
      <c r="G724" s="133">
        <f ca="1">SUMIF(Table_Query_from_A_Readiness_19[Past], TRUE,Table_Query_from_A_Readiness_19[PMCM])</f>
        <v>0</v>
      </c>
      <c r="H724" s="133">
        <f ca="1">SUMIF(Table_Query_from_A_Readiness_19[Past], TRUE, Table_Query_from_A_Readiness_19[NMCS])</f>
        <v>614.6</v>
      </c>
      <c r="I724" s="133">
        <f ca="1">SUMIF(Table_Query_from_A_Readiness_19[Past], TRUE, Table_Query_from_A_Readiness_19[NMCM_UNIT])</f>
        <v>578.1</v>
      </c>
      <c r="J724" s="133">
        <f ca="1">SUMIF(Table_Query_from_A_Readiness_19[Past],TRUE,Table_Query_from_A_Readiness_19[FLY_HOURS])</f>
        <v>9.3000000000000007</v>
      </c>
      <c r="L724" s="133">
        <f ca="1">SUMIF(Table_Query_from_A_Readiness_19[Past], TRUE, Table_Query_from_A_Readiness_19[NMCM_DEP])</f>
        <v>132.9</v>
      </c>
    </row>
    <row r="726" spans="1:13">
      <c r="E726" s="133">
        <f ca="1">SUM(E724:I724,L724)</f>
        <v>2880</v>
      </c>
    </row>
  </sheetData>
  <pageMargins left="0.7" right="0.7" top="0.75" bottom="0.75" header="0.3" footer="0.3"/>
  <tableParts count="1">
    <tablePart r:id="rId1"/>
  </tableParts>
</worksheet>
</file>

<file path=xl/worksheets/sheet13.xml><?xml version="1.0" encoding="utf-8"?>
<worksheet xmlns="http://schemas.openxmlformats.org/spreadsheetml/2006/main" xmlns:r="http://schemas.openxmlformats.org/officeDocument/2006/relationships">
  <sheetPr codeName="Sheet12"/>
  <dimension ref="A1:M246"/>
  <sheetViews>
    <sheetView topLeftCell="A5" workbookViewId="0">
      <selection activeCell="I18" sqref="I18"/>
    </sheetView>
  </sheetViews>
  <sheetFormatPr defaultRowHeight="15"/>
  <cols>
    <col min="1" max="1" width="17.5703125" customWidth="1"/>
    <col min="2" max="2" width="8.5703125" customWidth="1"/>
    <col min="3" max="3" width="7.7109375" bestFit="1" customWidth="1"/>
    <col min="4" max="4" width="7" style="133" bestFit="1" customWidth="1"/>
    <col min="5" max="5" width="7.28515625" style="133" bestFit="1" customWidth="1"/>
    <col min="6" max="6" width="8.42578125" style="133" bestFit="1" customWidth="1"/>
    <col min="7" max="7" width="9.28515625" style="133" bestFit="1" customWidth="1"/>
    <col min="8" max="8" width="8.7109375" style="133" bestFit="1" customWidth="1"/>
    <col min="9" max="9" width="15" style="133" bestFit="1" customWidth="1"/>
    <col min="10" max="10" width="13.5703125" style="133" bestFit="1" customWidth="1"/>
    <col min="11" max="11" width="12.140625" bestFit="1" customWidth="1"/>
    <col min="12" max="12" width="14" style="133" customWidth="1"/>
    <col min="13" max="13" width="7" customWidth="1"/>
  </cols>
  <sheetData>
    <row r="1" spans="1:13">
      <c r="A1" t="s">
        <v>322</v>
      </c>
      <c r="B1" t="s">
        <v>323</v>
      </c>
      <c r="C1" t="s">
        <v>137</v>
      </c>
      <c r="D1" s="133" t="s">
        <v>179</v>
      </c>
      <c r="E1" s="133" t="s">
        <v>16</v>
      </c>
      <c r="F1" s="133" t="s">
        <v>23</v>
      </c>
      <c r="G1" s="133" t="s">
        <v>22</v>
      </c>
      <c r="H1" s="133" t="s">
        <v>65</v>
      </c>
      <c r="I1" s="133" t="s">
        <v>182</v>
      </c>
      <c r="J1" s="133" t="s">
        <v>183</v>
      </c>
      <c r="K1" t="s">
        <v>195</v>
      </c>
      <c r="L1" s="133" t="s">
        <v>180</v>
      </c>
      <c r="M1" t="s">
        <v>331</v>
      </c>
    </row>
    <row r="2" spans="1:13">
      <c r="A2">
        <v>42139</v>
      </c>
      <c r="B2" t="s">
        <v>325</v>
      </c>
      <c r="C2" t="s">
        <v>166</v>
      </c>
      <c r="D2" s="133">
        <v>1</v>
      </c>
      <c r="E2" s="133">
        <v>24</v>
      </c>
      <c r="F2" s="133">
        <v>0</v>
      </c>
      <c r="G2" s="133">
        <v>0</v>
      </c>
      <c r="H2" s="133">
        <v>0</v>
      </c>
      <c r="I2" s="133">
        <v>0</v>
      </c>
      <c r="J2" s="133">
        <v>0</v>
      </c>
      <c r="K2">
        <v>42125</v>
      </c>
      <c r="L2" s="133">
        <v>0</v>
      </c>
      <c r="M2" t="b">
        <f ca="1">IF(TODAY()-Table_Query_from_A_Readiness4[[#This Row],[PER_DATE]]&gt;=0,TRUE, FALSE)</f>
        <v>0</v>
      </c>
    </row>
    <row r="3" spans="1:13">
      <c r="A3">
        <v>42139</v>
      </c>
      <c r="B3" t="s">
        <v>325</v>
      </c>
      <c r="C3" t="s">
        <v>152</v>
      </c>
      <c r="D3" s="133">
        <v>1</v>
      </c>
      <c r="E3" s="133">
        <v>24</v>
      </c>
      <c r="F3" s="133">
        <v>0</v>
      </c>
      <c r="G3" s="133">
        <v>0</v>
      </c>
      <c r="H3" s="133">
        <v>0</v>
      </c>
      <c r="I3" s="133">
        <v>0</v>
      </c>
      <c r="J3" s="133">
        <v>0</v>
      </c>
      <c r="K3">
        <v>42125</v>
      </c>
      <c r="L3" s="133">
        <v>0</v>
      </c>
      <c r="M3" t="b">
        <f ca="1">IF(TODAY()-Table_Query_from_A_Readiness4[[#This Row],[PER_DATE]]&gt;=0,TRUE, FALSE)</f>
        <v>0</v>
      </c>
    </row>
    <row r="4" spans="1:13">
      <c r="A4">
        <v>42139</v>
      </c>
      <c r="B4" t="s">
        <v>325</v>
      </c>
      <c r="C4" t="s">
        <v>167</v>
      </c>
      <c r="D4" s="133">
        <v>1</v>
      </c>
      <c r="E4" s="133">
        <v>24</v>
      </c>
      <c r="F4" s="133">
        <v>0</v>
      </c>
      <c r="G4" s="133">
        <v>0</v>
      </c>
      <c r="H4" s="133">
        <v>0</v>
      </c>
      <c r="I4" s="133">
        <v>0</v>
      </c>
      <c r="J4" s="133">
        <v>0</v>
      </c>
      <c r="K4">
        <v>42125</v>
      </c>
      <c r="L4" s="133">
        <v>0</v>
      </c>
      <c r="M4" t="b">
        <f ca="1">IF(TODAY()-Table_Query_from_A_Readiness4[[#This Row],[PER_DATE]]&gt;=0,TRUE, FALSE)</f>
        <v>0</v>
      </c>
    </row>
    <row r="5" spans="1:13">
      <c r="A5">
        <v>42139</v>
      </c>
      <c r="B5" t="s">
        <v>325</v>
      </c>
      <c r="C5" t="s">
        <v>154</v>
      </c>
      <c r="D5" s="133">
        <v>1</v>
      </c>
      <c r="E5" s="133">
        <v>24</v>
      </c>
      <c r="F5" s="133">
        <v>0</v>
      </c>
      <c r="G5" s="133">
        <v>0</v>
      </c>
      <c r="H5" s="133">
        <v>0</v>
      </c>
      <c r="I5" s="133">
        <v>0</v>
      </c>
      <c r="J5" s="133">
        <v>0</v>
      </c>
      <c r="K5">
        <v>42125</v>
      </c>
      <c r="L5" s="133">
        <v>0</v>
      </c>
      <c r="M5" t="b">
        <f ca="1">IF(TODAY()-Table_Query_from_A_Readiness4[[#This Row],[PER_DATE]]&gt;=0,TRUE, FALSE)</f>
        <v>0</v>
      </c>
    </row>
    <row r="6" spans="1:13">
      <c r="A6">
        <v>42139</v>
      </c>
      <c r="B6" t="s">
        <v>325</v>
      </c>
      <c r="C6" t="s">
        <v>168</v>
      </c>
      <c r="D6" s="133">
        <v>1</v>
      </c>
      <c r="E6" s="133">
        <v>24</v>
      </c>
      <c r="F6" s="133">
        <v>0</v>
      </c>
      <c r="G6" s="133">
        <v>0</v>
      </c>
      <c r="H6" s="133">
        <v>0</v>
      </c>
      <c r="I6" s="133">
        <v>0</v>
      </c>
      <c r="J6" s="133">
        <v>0</v>
      </c>
      <c r="K6">
        <v>42125</v>
      </c>
      <c r="L6" s="133">
        <v>0</v>
      </c>
      <c r="M6" t="b">
        <f ca="1">IF(TODAY()-Table_Query_from_A_Readiness4[[#This Row],[PER_DATE]]&gt;=0,TRUE, FALSE)</f>
        <v>0</v>
      </c>
    </row>
    <row r="7" spans="1:13">
      <c r="A7">
        <v>42139</v>
      </c>
      <c r="B7" t="s">
        <v>325</v>
      </c>
      <c r="C7" t="s">
        <v>157</v>
      </c>
      <c r="D7" s="133">
        <v>1</v>
      </c>
      <c r="E7" s="133">
        <v>24</v>
      </c>
      <c r="F7" s="133">
        <v>0</v>
      </c>
      <c r="G7" s="133">
        <v>0</v>
      </c>
      <c r="H7" s="133">
        <v>0</v>
      </c>
      <c r="I7" s="133">
        <v>0</v>
      </c>
      <c r="J7" s="133">
        <v>0</v>
      </c>
      <c r="K7">
        <v>42125</v>
      </c>
      <c r="L7" s="133">
        <v>0</v>
      </c>
      <c r="M7" t="b">
        <f ca="1">IF(TODAY()-Table_Query_from_A_Readiness4[[#This Row],[PER_DATE]]&gt;=0,TRUE, FALSE)</f>
        <v>0</v>
      </c>
    </row>
    <row r="8" spans="1:13">
      <c r="A8">
        <v>42139</v>
      </c>
      <c r="B8" t="s">
        <v>325</v>
      </c>
      <c r="C8" t="s">
        <v>159</v>
      </c>
      <c r="D8" s="133">
        <v>1</v>
      </c>
      <c r="E8" s="133">
        <v>24</v>
      </c>
      <c r="F8" s="133">
        <v>0</v>
      </c>
      <c r="G8" s="133">
        <v>0</v>
      </c>
      <c r="H8" s="133">
        <v>0</v>
      </c>
      <c r="I8" s="133">
        <v>0</v>
      </c>
      <c r="J8" s="133">
        <v>0</v>
      </c>
      <c r="K8">
        <v>42125</v>
      </c>
      <c r="L8" s="133">
        <v>0</v>
      </c>
      <c r="M8" t="b">
        <f ca="1">IF(TODAY()-Table_Query_from_A_Readiness4[[#This Row],[PER_DATE]]&gt;=0,TRUE, FALSE)</f>
        <v>0</v>
      </c>
    </row>
    <row r="9" spans="1:13">
      <c r="A9">
        <v>42139</v>
      </c>
      <c r="B9" t="s">
        <v>325</v>
      </c>
      <c r="C9" t="s">
        <v>160</v>
      </c>
      <c r="D9" s="133">
        <v>1</v>
      </c>
      <c r="E9" s="133">
        <v>24</v>
      </c>
      <c r="F9" s="133">
        <v>0</v>
      </c>
      <c r="G9" s="133">
        <v>0</v>
      </c>
      <c r="H9" s="133">
        <v>0</v>
      </c>
      <c r="I9" s="133">
        <v>0</v>
      </c>
      <c r="J9" s="133">
        <v>0</v>
      </c>
      <c r="K9">
        <v>42125</v>
      </c>
      <c r="L9" s="133">
        <v>0</v>
      </c>
      <c r="M9" t="b">
        <f ca="1">IF(TODAY()-Table_Query_from_A_Readiness4[[#This Row],[PER_DATE]]&gt;=0,TRUE, FALSE)</f>
        <v>0</v>
      </c>
    </row>
    <row r="10" spans="1:13">
      <c r="A10">
        <v>42139</v>
      </c>
      <c r="B10" t="s">
        <v>325</v>
      </c>
      <c r="C10" t="s">
        <v>166</v>
      </c>
      <c r="D10" s="133">
        <v>2</v>
      </c>
      <c r="E10" s="133">
        <v>24</v>
      </c>
      <c r="F10" s="133">
        <v>0</v>
      </c>
      <c r="G10" s="133">
        <v>0</v>
      </c>
      <c r="H10" s="133">
        <v>0</v>
      </c>
      <c r="I10" s="133">
        <v>0</v>
      </c>
      <c r="J10" s="133">
        <v>0</v>
      </c>
      <c r="K10">
        <v>42126</v>
      </c>
      <c r="L10" s="133">
        <v>0</v>
      </c>
      <c r="M10" t="b">
        <f ca="1">IF(TODAY()-Table_Query_from_A_Readiness4[[#This Row],[PER_DATE]]&gt;=0,TRUE, FALSE)</f>
        <v>0</v>
      </c>
    </row>
    <row r="11" spans="1:13">
      <c r="A11">
        <v>42139</v>
      </c>
      <c r="B11" t="s">
        <v>325</v>
      </c>
      <c r="C11" t="s">
        <v>152</v>
      </c>
      <c r="D11" s="133">
        <v>2</v>
      </c>
      <c r="E11" s="133">
        <v>24</v>
      </c>
      <c r="F11" s="133">
        <v>0</v>
      </c>
      <c r="G11" s="133">
        <v>0</v>
      </c>
      <c r="H11" s="133">
        <v>0</v>
      </c>
      <c r="I11" s="133">
        <v>0</v>
      </c>
      <c r="J11" s="133">
        <v>0</v>
      </c>
      <c r="K11">
        <v>42126</v>
      </c>
      <c r="L11" s="133">
        <v>0</v>
      </c>
      <c r="M11" t="b">
        <f ca="1">IF(TODAY()-Table_Query_from_A_Readiness4[[#This Row],[PER_DATE]]&gt;=0,TRUE, FALSE)</f>
        <v>0</v>
      </c>
    </row>
    <row r="12" spans="1:13">
      <c r="A12">
        <v>42139</v>
      </c>
      <c r="B12" t="s">
        <v>325</v>
      </c>
      <c r="C12" t="s">
        <v>167</v>
      </c>
      <c r="D12" s="133">
        <v>2</v>
      </c>
      <c r="E12" s="133">
        <v>24</v>
      </c>
      <c r="F12" s="133">
        <v>0</v>
      </c>
      <c r="G12" s="133">
        <v>0</v>
      </c>
      <c r="H12" s="133">
        <v>0</v>
      </c>
      <c r="I12" s="133">
        <v>0</v>
      </c>
      <c r="J12" s="133">
        <v>0</v>
      </c>
      <c r="K12">
        <v>42126</v>
      </c>
      <c r="L12" s="133">
        <v>0</v>
      </c>
      <c r="M12" t="b">
        <f ca="1">IF(TODAY()-Table_Query_from_A_Readiness4[[#This Row],[PER_DATE]]&gt;=0,TRUE, FALSE)</f>
        <v>0</v>
      </c>
    </row>
    <row r="13" spans="1:13">
      <c r="A13">
        <v>42139</v>
      </c>
      <c r="B13" t="s">
        <v>325</v>
      </c>
      <c r="C13" t="s">
        <v>154</v>
      </c>
      <c r="D13" s="133">
        <v>2</v>
      </c>
      <c r="E13" s="133">
        <v>24</v>
      </c>
      <c r="F13" s="133">
        <v>0</v>
      </c>
      <c r="G13" s="133">
        <v>0</v>
      </c>
      <c r="H13" s="133">
        <v>0</v>
      </c>
      <c r="I13" s="133">
        <v>0</v>
      </c>
      <c r="J13" s="133">
        <v>0</v>
      </c>
      <c r="K13">
        <v>42126</v>
      </c>
      <c r="L13" s="133">
        <v>0</v>
      </c>
      <c r="M13" t="b">
        <f ca="1">IF(TODAY()-Table_Query_from_A_Readiness4[[#This Row],[PER_DATE]]&gt;=0,TRUE, FALSE)</f>
        <v>0</v>
      </c>
    </row>
    <row r="14" spans="1:13">
      <c r="A14">
        <v>42139</v>
      </c>
      <c r="B14" t="s">
        <v>325</v>
      </c>
      <c r="C14" t="s">
        <v>168</v>
      </c>
      <c r="D14" s="133">
        <v>2</v>
      </c>
      <c r="E14" s="133">
        <v>24</v>
      </c>
      <c r="F14" s="133">
        <v>0</v>
      </c>
      <c r="G14" s="133">
        <v>0</v>
      </c>
      <c r="H14" s="133">
        <v>0</v>
      </c>
      <c r="I14" s="133">
        <v>0</v>
      </c>
      <c r="J14" s="133">
        <v>0</v>
      </c>
      <c r="K14">
        <v>42126</v>
      </c>
      <c r="L14" s="133">
        <v>0</v>
      </c>
      <c r="M14" t="b">
        <f ca="1">IF(TODAY()-Table_Query_from_A_Readiness4[[#This Row],[PER_DATE]]&gt;=0,TRUE, FALSE)</f>
        <v>0</v>
      </c>
    </row>
    <row r="15" spans="1:13">
      <c r="A15">
        <v>42139</v>
      </c>
      <c r="B15" t="s">
        <v>325</v>
      </c>
      <c r="C15" t="s">
        <v>157</v>
      </c>
      <c r="D15" s="133">
        <v>2</v>
      </c>
      <c r="E15" s="133">
        <v>24</v>
      </c>
      <c r="F15" s="133">
        <v>0</v>
      </c>
      <c r="G15" s="133">
        <v>0</v>
      </c>
      <c r="H15" s="133">
        <v>0</v>
      </c>
      <c r="I15" s="133">
        <v>0</v>
      </c>
      <c r="J15" s="133">
        <v>0</v>
      </c>
      <c r="K15">
        <v>42126</v>
      </c>
      <c r="L15" s="133">
        <v>0</v>
      </c>
      <c r="M15" t="b">
        <f ca="1">IF(TODAY()-Table_Query_from_A_Readiness4[[#This Row],[PER_DATE]]&gt;=0,TRUE, FALSE)</f>
        <v>0</v>
      </c>
    </row>
    <row r="16" spans="1:13">
      <c r="A16">
        <v>42139</v>
      </c>
      <c r="B16" t="s">
        <v>325</v>
      </c>
      <c r="C16" t="s">
        <v>159</v>
      </c>
      <c r="D16" s="133">
        <v>2</v>
      </c>
      <c r="E16" s="133">
        <v>24</v>
      </c>
      <c r="F16" s="133">
        <v>0</v>
      </c>
      <c r="G16" s="133">
        <v>0</v>
      </c>
      <c r="H16" s="133">
        <v>0</v>
      </c>
      <c r="I16" s="133">
        <v>0</v>
      </c>
      <c r="J16" s="133">
        <v>0</v>
      </c>
      <c r="K16">
        <v>42126</v>
      </c>
      <c r="L16" s="133">
        <v>0</v>
      </c>
      <c r="M16" t="b">
        <f ca="1">IF(TODAY()-Table_Query_from_A_Readiness4[[#This Row],[PER_DATE]]&gt;=0,TRUE, FALSE)</f>
        <v>0</v>
      </c>
    </row>
    <row r="17" spans="1:13">
      <c r="A17">
        <v>42139</v>
      </c>
      <c r="B17" t="s">
        <v>325</v>
      </c>
      <c r="C17" t="s">
        <v>160</v>
      </c>
      <c r="D17" s="133">
        <v>2</v>
      </c>
      <c r="E17" s="133">
        <v>24</v>
      </c>
      <c r="F17" s="133">
        <v>0</v>
      </c>
      <c r="G17" s="133">
        <v>0</v>
      </c>
      <c r="H17" s="133">
        <v>0</v>
      </c>
      <c r="I17" s="133">
        <v>0</v>
      </c>
      <c r="J17" s="133">
        <v>0</v>
      </c>
      <c r="K17">
        <v>42126</v>
      </c>
      <c r="L17" s="133">
        <v>0</v>
      </c>
      <c r="M17" t="b">
        <f ca="1">IF(TODAY()-Table_Query_from_A_Readiness4[[#This Row],[PER_DATE]]&gt;=0,TRUE, FALSE)</f>
        <v>0</v>
      </c>
    </row>
    <row r="18" spans="1:13">
      <c r="A18">
        <v>42139</v>
      </c>
      <c r="B18" t="s">
        <v>325</v>
      </c>
      <c r="C18" t="s">
        <v>166</v>
      </c>
      <c r="D18" s="133">
        <v>3</v>
      </c>
      <c r="E18" s="133">
        <v>24</v>
      </c>
      <c r="F18" s="133">
        <v>0</v>
      </c>
      <c r="G18" s="133">
        <v>0</v>
      </c>
      <c r="H18" s="133">
        <v>0</v>
      </c>
      <c r="I18" s="133">
        <v>0</v>
      </c>
      <c r="J18" s="133">
        <v>0</v>
      </c>
      <c r="K18">
        <v>42127</v>
      </c>
      <c r="L18" s="133">
        <v>0</v>
      </c>
      <c r="M18" t="b">
        <f ca="1">IF(TODAY()-Table_Query_from_A_Readiness4[[#This Row],[PER_DATE]]&gt;=0,TRUE, FALSE)</f>
        <v>0</v>
      </c>
    </row>
    <row r="19" spans="1:13">
      <c r="A19">
        <v>42139</v>
      </c>
      <c r="B19" t="s">
        <v>325</v>
      </c>
      <c r="C19" t="s">
        <v>152</v>
      </c>
      <c r="D19" s="133">
        <v>3</v>
      </c>
      <c r="E19" s="133">
        <v>24</v>
      </c>
      <c r="F19" s="133">
        <v>0</v>
      </c>
      <c r="G19" s="133">
        <v>0</v>
      </c>
      <c r="H19" s="133">
        <v>0</v>
      </c>
      <c r="I19" s="133">
        <v>0</v>
      </c>
      <c r="J19" s="133">
        <v>0</v>
      </c>
      <c r="K19">
        <v>42127</v>
      </c>
      <c r="L19" s="133">
        <v>0</v>
      </c>
      <c r="M19" t="b">
        <f ca="1">IF(TODAY()-Table_Query_from_A_Readiness4[[#This Row],[PER_DATE]]&gt;=0,TRUE, FALSE)</f>
        <v>0</v>
      </c>
    </row>
    <row r="20" spans="1:13">
      <c r="A20">
        <v>42139</v>
      </c>
      <c r="B20" t="s">
        <v>325</v>
      </c>
      <c r="C20" t="s">
        <v>167</v>
      </c>
      <c r="D20" s="133">
        <v>3</v>
      </c>
      <c r="E20" s="133">
        <v>24</v>
      </c>
      <c r="F20" s="133">
        <v>0</v>
      </c>
      <c r="G20" s="133">
        <v>0</v>
      </c>
      <c r="H20" s="133">
        <v>0</v>
      </c>
      <c r="I20" s="133">
        <v>0</v>
      </c>
      <c r="J20" s="133">
        <v>0</v>
      </c>
      <c r="K20">
        <v>42127</v>
      </c>
      <c r="L20" s="133">
        <v>0</v>
      </c>
      <c r="M20" t="b">
        <f ca="1">IF(TODAY()-Table_Query_from_A_Readiness4[[#This Row],[PER_DATE]]&gt;=0,TRUE, FALSE)</f>
        <v>0</v>
      </c>
    </row>
    <row r="21" spans="1:13">
      <c r="A21">
        <v>42139</v>
      </c>
      <c r="B21" t="s">
        <v>325</v>
      </c>
      <c r="C21" t="s">
        <v>154</v>
      </c>
      <c r="D21" s="133">
        <v>3</v>
      </c>
      <c r="E21" s="133">
        <v>24</v>
      </c>
      <c r="F21" s="133">
        <v>0</v>
      </c>
      <c r="G21" s="133">
        <v>0</v>
      </c>
      <c r="H21" s="133">
        <v>0</v>
      </c>
      <c r="I21" s="133">
        <v>0</v>
      </c>
      <c r="J21" s="133">
        <v>0</v>
      </c>
      <c r="K21">
        <v>42127</v>
      </c>
      <c r="L21" s="133">
        <v>0</v>
      </c>
      <c r="M21" t="b">
        <f ca="1">IF(TODAY()-Table_Query_from_A_Readiness4[[#This Row],[PER_DATE]]&gt;=0,TRUE, FALSE)</f>
        <v>0</v>
      </c>
    </row>
    <row r="22" spans="1:13">
      <c r="A22">
        <v>42139</v>
      </c>
      <c r="B22" t="s">
        <v>325</v>
      </c>
      <c r="C22" t="s">
        <v>168</v>
      </c>
      <c r="D22" s="133">
        <v>3</v>
      </c>
      <c r="E22" s="133">
        <v>24</v>
      </c>
      <c r="F22" s="133">
        <v>0</v>
      </c>
      <c r="G22" s="133">
        <v>0</v>
      </c>
      <c r="H22" s="133">
        <v>0</v>
      </c>
      <c r="I22" s="133">
        <v>0</v>
      </c>
      <c r="J22" s="133">
        <v>0</v>
      </c>
      <c r="K22">
        <v>42127</v>
      </c>
      <c r="L22" s="133">
        <v>0</v>
      </c>
      <c r="M22" t="b">
        <f ca="1">IF(TODAY()-Table_Query_from_A_Readiness4[[#This Row],[PER_DATE]]&gt;=0,TRUE, FALSE)</f>
        <v>0</v>
      </c>
    </row>
    <row r="23" spans="1:13">
      <c r="A23">
        <v>42139</v>
      </c>
      <c r="B23" t="s">
        <v>325</v>
      </c>
      <c r="C23" t="s">
        <v>157</v>
      </c>
      <c r="D23" s="133">
        <v>3</v>
      </c>
      <c r="E23" s="133">
        <v>24</v>
      </c>
      <c r="F23" s="133">
        <v>0</v>
      </c>
      <c r="G23" s="133">
        <v>0</v>
      </c>
      <c r="H23" s="133">
        <v>0</v>
      </c>
      <c r="I23" s="133">
        <v>0</v>
      </c>
      <c r="J23" s="133">
        <v>0</v>
      </c>
      <c r="K23">
        <v>42127</v>
      </c>
      <c r="L23" s="133">
        <v>0</v>
      </c>
      <c r="M23" t="b">
        <f ca="1">IF(TODAY()-Table_Query_from_A_Readiness4[[#This Row],[PER_DATE]]&gt;=0,TRUE, FALSE)</f>
        <v>0</v>
      </c>
    </row>
    <row r="24" spans="1:13">
      <c r="A24">
        <v>42139</v>
      </c>
      <c r="B24" t="s">
        <v>325</v>
      </c>
      <c r="C24" t="s">
        <v>159</v>
      </c>
      <c r="D24" s="133">
        <v>3</v>
      </c>
      <c r="E24" s="133">
        <v>24</v>
      </c>
      <c r="F24" s="133">
        <v>0</v>
      </c>
      <c r="G24" s="133">
        <v>0</v>
      </c>
      <c r="H24" s="133">
        <v>0</v>
      </c>
      <c r="I24" s="133">
        <v>0</v>
      </c>
      <c r="J24" s="133">
        <v>0</v>
      </c>
      <c r="K24">
        <v>42127</v>
      </c>
      <c r="L24" s="133">
        <v>0</v>
      </c>
      <c r="M24" t="b">
        <f ca="1">IF(TODAY()-Table_Query_from_A_Readiness4[[#This Row],[PER_DATE]]&gt;=0,TRUE, FALSE)</f>
        <v>0</v>
      </c>
    </row>
    <row r="25" spans="1:13">
      <c r="A25">
        <v>42139</v>
      </c>
      <c r="B25" t="s">
        <v>325</v>
      </c>
      <c r="C25" t="s">
        <v>160</v>
      </c>
      <c r="D25" s="133">
        <v>3</v>
      </c>
      <c r="E25" s="133">
        <v>24</v>
      </c>
      <c r="F25" s="133">
        <v>0</v>
      </c>
      <c r="G25" s="133">
        <v>0</v>
      </c>
      <c r="H25" s="133">
        <v>0</v>
      </c>
      <c r="I25" s="133">
        <v>0</v>
      </c>
      <c r="J25" s="133">
        <v>0</v>
      </c>
      <c r="K25">
        <v>42127</v>
      </c>
      <c r="L25" s="133">
        <v>0</v>
      </c>
      <c r="M25" t="b">
        <f ca="1">IF(TODAY()-Table_Query_from_A_Readiness4[[#This Row],[PER_DATE]]&gt;=0,TRUE, FALSE)</f>
        <v>0</v>
      </c>
    </row>
    <row r="26" spans="1:13">
      <c r="A26">
        <v>42139</v>
      </c>
      <c r="B26" t="s">
        <v>325</v>
      </c>
      <c r="C26" t="s">
        <v>166</v>
      </c>
      <c r="D26" s="133">
        <v>4</v>
      </c>
      <c r="E26" s="133">
        <v>24</v>
      </c>
      <c r="F26" s="133">
        <v>0</v>
      </c>
      <c r="G26" s="133">
        <v>0</v>
      </c>
      <c r="H26" s="133">
        <v>0</v>
      </c>
      <c r="I26" s="133">
        <v>0</v>
      </c>
      <c r="J26" s="133">
        <v>0</v>
      </c>
      <c r="K26">
        <v>42128</v>
      </c>
      <c r="L26" s="133">
        <v>0</v>
      </c>
      <c r="M26" t="b">
        <f ca="1">IF(TODAY()-Table_Query_from_A_Readiness4[[#This Row],[PER_DATE]]&gt;=0,TRUE, FALSE)</f>
        <v>0</v>
      </c>
    </row>
    <row r="27" spans="1:13">
      <c r="A27">
        <v>42139</v>
      </c>
      <c r="B27" t="s">
        <v>325</v>
      </c>
      <c r="C27" t="s">
        <v>152</v>
      </c>
      <c r="D27" s="133">
        <v>4</v>
      </c>
      <c r="E27" s="133">
        <v>24</v>
      </c>
      <c r="F27" s="133">
        <v>0</v>
      </c>
      <c r="G27" s="133">
        <v>0</v>
      </c>
      <c r="H27" s="133">
        <v>0</v>
      </c>
      <c r="I27" s="133">
        <v>0</v>
      </c>
      <c r="J27" s="133">
        <v>0</v>
      </c>
      <c r="K27">
        <v>42128</v>
      </c>
      <c r="L27" s="133">
        <v>0</v>
      </c>
      <c r="M27" t="b">
        <f ca="1">IF(TODAY()-Table_Query_from_A_Readiness4[[#This Row],[PER_DATE]]&gt;=0,TRUE, FALSE)</f>
        <v>0</v>
      </c>
    </row>
    <row r="28" spans="1:13">
      <c r="A28">
        <v>42139</v>
      </c>
      <c r="B28" t="s">
        <v>325</v>
      </c>
      <c r="C28" t="s">
        <v>167</v>
      </c>
      <c r="D28" s="133">
        <v>4</v>
      </c>
      <c r="E28" s="133">
        <v>24</v>
      </c>
      <c r="F28" s="133">
        <v>0</v>
      </c>
      <c r="G28" s="133">
        <v>0</v>
      </c>
      <c r="H28" s="133">
        <v>0</v>
      </c>
      <c r="I28" s="133">
        <v>0</v>
      </c>
      <c r="J28" s="133">
        <v>0</v>
      </c>
      <c r="K28">
        <v>42128</v>
      </c>
      <c r="L28" s="133">
        <v>0</v>
      </c>
      <c r="M28" t="b">
        <f ca="1">IF(TODAY()-Table_Query_from_A_Readiness4[[#This Row],[PER_DATE]]&gt;=0,TRUE, FALSE)</f>
        <v>0</v>
      </c>
    </row>
    <row r="29" spans="1:13">
      <c r="A29">
        <v>42139</v>
      </c>
      <c r="B29" t="s">
        <v>325</v>
      </c>
      <c r="C29" t="s">
        <v>154</v>
      </c>
      <c r="D29" s="133">
        <v>4</v>
      </c>
      <c r="E29" s="133">
        <v>24</v>
      </c>
      <c r="F29" s="133">
        <v>0</v>
      </c>
      <c r="G29" s="133">
        <v>0</v>
      </c>
      <c r="H29" s="133">
        <v>0</v>
      </c>
      <c r="I29" s="133">
        <v>0</v>
      </c>
      <c r="J29" s="133">
        <v>0</v>
      </c>
      <c r="K29">
        <v>42128</v>
      </c>
      <c r="L29" s="133">
        <v>0</v>
      </c>
      <c r="M29" t="b">
        <f ca="1">IF(TODAY()-Table_Query_from_A_Readiness4[[#This Row],[PER_DATE]]&gt;=0,TRUE, FALSE)</f>
        <v>0</v>
      </c>
    </row>
    <row r="30" spans="1:13">
      <c r="A30">
        <v>42139</v>
      </c>
      <c r="B30" t="s">
        <v>325</v>
      </c>
      <c r="C30" t="s">
        <v>168</v>
      </c>
      <c r="D30" s="133">
        <v>4</v>
      </c>
      <c r="E30" s="133">
        <v>24</v>
      </c>
      <c r="F30" s="133">
        <v>0</v>
      </c>
      <c r="G30" s="133">
        <v>0</v>
      </c>
      <c r="H30" s="133">
        <v>0</v>
      </c>
      <c r="I30" s="133">
        <v>0</v>
      </c>
      <c r="J30" s="133">
        <v>0</v>
      </c>
      <c r="K30">
        <v>42128</v>
      </c>
      <c r="L30" s="133">
        <v>0</v>
      </c>
      <c r="M30" t="b">
        <f ca="1">IF(TODAY()-Table_Query_from_A_Readiness4[[#This Row],[PER_DATE]]&gt;=0,TRUE, FALSE)</f>
        <v>0</v>
      </c>
    </row>
    <row r="31" spans="1:13">
      <c r="A31">
        <v>42139</v>
      </c>
      <c r="B31" t="s">
        <v>325</v>
      </c>
      <c r="C31" t="s">
        <v>157</v>
      </c>
      <c r="D31" s="133">
        <v>4</v>
      </c>
      <c r="E31" s="133">
        <v>24</v>
      </c>
      <c r="F31" s="133">
        <v>0</v>
      </c>
      <c r="G31" s="133">
        <v>0</v>
      </c>
      <c r="H31" s="133">
        <v>0</v>
      </c>
      <c r="I31" s="133">
        <v>0</v>
      </c>
      <c r="J31" s="133">
        <v>0</v>
      </c>
      <c r="K31">
        <v>42128</v>
      </c>
      <c r="L31" s="133">
        <v>0</v>
      </c>
      <c r="M31" t="b">
        <f ca="1">IF(TODAY()-Table_Query_from_A_Readiness4[[#This Row],[PER_DATE]]&gt;=0,TRUE, FALSE)</f>
        <v>0</v>
      </c>
    </row>
    <row r="32" spans="1:13">
      <c r="A32">
        <v>42139</v>
      </c>
      <c r="B32" t="s">
        <v>325</v>
      </c>
      <c r="C32" t="s">
        <v>159</v>
      </c>
      <c r="D32" s="133">
        <v>4</v>
      </c>
      <c r="E32" s="133">
        <v>24</v>
      </c>
      <c r="F32" s="133">
        <v>0</v>
      </c>
      <c r="G32" s="133">
        <v>0</v>
      </c>
      <c r="H32" s="133">
        <v>0</v>
      </c>
      <c r="I32" s="133">
        <v>0</v>
      </c>
      <c r="J32" s="133">
        <v>0</v>
      </c>
      <c r="K32">
        <v>42128</v>
      </c>
      <c r="L32" s="133">
        <v>0</v>
      </c>
      <c r="M32" t="b">
        <f ca="1">IF(TODAY()-Table_Query_from_A_Readiness4[[#This Row],[PER_DATE]]&gt;=0,TRUE, FALSE)</f>
        <v>0</v>
      </c>
    </row>
    <row r="33" spans="1:13">
      <c r="A33">
        <v>42139</v>
      </c>
      <c r="B33" t="s">
        <v>325</v>
      </c>
      <c r="C33" t="s">
        <v>160</v>
      </c>
      <c r="D33" s="133">
        <v>4</v>
      </c>
      <c r="E33" s="133">
        <v>24</v>
      </c>
      <c r="F33" s="133">
        <v>0</v>
      </c>
      <c r="G33" s="133">
        <v>0</v>
      </c>
      <c r="H33" s="133">
        <v>0</v>
      </c>
      <c r="I33" s="133">
        <v>0</v>
      </c>
      <c r="J33" s="133">
        <v>0</v>
      </c>
      <c r="K33">
        <v>42128</v>
      </c>
      <c r="L33" s="133">
        <v>0</v>
      </c>
      <c r="M33" t="b">
        <f ca="1">IF(TODAY()-Table_Query_from_A_Readiness4[[#This Row],[PER_DATE]]&gt;=0,TRUE, FALSE)</f>
        <v>0</v>
      </c>
    </row>
    <row r="34" spans="1:13">
      <c r="A34">
        <v>42139</v>
      </c>
      <c r="B34" t="s">
        <v>325</v>
      </c>
      <c r="C34" t="s">
        <v>166</v>
      </c>
      <c r="D34" s="133">
        <v>5</v>
      </c>
      <c r="E34" s="133">
        <v>24</v>
      </c>
      <c r="F34" s="133">
        <v>0</v>
      </c>
      <c r="G34" s="133">
        <v>0</v>
      </c>
      <c r="H34" s="133">
        <v>0</v>
      </c>
      <c r="I34" s="133">
        <v>0</v>
      </c>
      <c r="J34" s="133">
        <v>0</v>
      </c>
      <c r="K34">
        <v>42129</v>
      </c>
      <c r="L34" s="133">
        <v>0</v>
      </c>
      <c r="M34" t="b">
        <f ca="1">IF(TODAY()-Table_Query_from_A_Readiness4[[#This Row],[PER_DATE]]&gt;=0,TRUE, FALSE)</f>
        <v>0</v>
      </c>
    </row>
    <row r="35" spans="1:13">
      <c r="A35">
        <v>42139</v>
      </c>
      <c r="B35" t="s">
        <v>325</v>
      </c>
      <c r="C35" t="s">
        <v>152</v>
      </c>
      <c r="D35" s="133">
        <v>5</v>
      </c>
      <c r="E35" s="133">
        <v>24</v>
      </c>
      <c r="F35" s="133">
        <v>0</v>
      </c>
      <c r="G35" s="133">
        <v>0</v>
      </c>
      <c r="H35" s="133">
        <v>0</v>
      </c>
      <c r="I35" s="133">
        <v>0</v>
      </c>
      <c r="J35" s="133">
        <v>0</v>
      </c>
      <c r="K35">
        <v>42129</v>
      </c>
      <c r="L35" s="133">
        <v>0</v>
      </c>
      <c r="M35" t="b">
        <f ca="1">IF(TODAY()-Table_Query_from_A_Readiness4[[#This Row],[PER_DATE]]&gt;=0,TRUE, FALSE)</f>
        <v>0</v>
      </c>
    </row>
    <row r="36" spans="1:13">
      <c r="A36">
        <v>42139</v>
      </c>
      <c r="B36" t="s">
        <v>325</v>
      </c>
      <c r="C36" t="s">
        <v>167</v>
      </c>
      <c r="D36" s="133">
        <v>5</v>
      </c>
      <c r="E36" s="133">
        <v>24</v>
      </c>
      <c r="F36" s="133">
        <v>0</v>
      </c>
      <c r="G36" s="133">
        <v>0</v>
      </c>
      <c r="H36" s="133">
        <v>0</v>
      </c>
      <c r="I36" s="133">
        <v>0</v>
      </c>
      <c r="J36" s="133">
        <v>0</v>
      </c>
      <c r="K36">
        <v>42129</v>
      </c>
      <c r="L36" s="133">
        <v>0</v>
      </c>
      <c r="M36" t="b">
        <f ca="1">IF(TODAY()-Table_Query_from_A_Readiness4[[#This Row],[PER_DATE]]&gt;=0,TRUE, FALSE)</f>
        <v>0</v>
      </c>
    </row>
    <row r="37" spans="1:13">
      <c r="A37">
        <v>42139</v>
      </c>
      <c r="B37" t="s">
        <v>325</v>
      </c>
      <c r="C37" t="s">
        <v>154</v>
      </c>
      <c r="D37" s="133">
        <v>5</v>
      </c>
      <c r="E37" s="133">
        <v>24</v>
      </c>
      <c r="F37" s="133">
        <v>0</v>
      </c>
      <c r="G37" s="133">
        <v>0</v>
      </c>
      <c r="H37" s="133">
        <v>0</v>
      </c>
      <c r="I37" s="133">
        <v>0</v>
      </c>
      <c r="J37" s="133">
        <v>0</v>
      </c>
      <c r="K37">
        <v>42129</v>
      </c>
      <c r="L37" s="133">
        <v>0</v>
      </c>
      <c r="M37" t="b">
        <f ca="1">IF(TODAY()-Table_Query_from_A_Readiness4[[#This Row],[PER_DATE]]&gt;=0,TRUE, FALSE)</f>
        <v>0</v>
      </c>
    </row>
    <row r="38" spans="1:13">
      <c r="A38">
        <v>42139</v>
      </c>
      <c r="B38" t="s">
        <v>325</v>
      </c>
      <c r="C38" t="s">
        <v>168</v>
      </c>
      <c r="D38" s="133">
        <v>5</v>
      </c>
      <c r="E38" s="133">
        <v>24</v>
      </c>
      <c r="F38" s="133">
        <v>0</v>
      </c>
      <c r="G38" s="133">
        <v>0</v>
      </c>
      <c r="H38" s="133">
        <v>0</v>
      </c>
      <c r="I38" s="133">
        <v>0</v>
      </c>
      <c r="J38" s="133">
        <v>0</v>
      </c>
      <c r="K38">
        <v>42129</v>
      </c>
      <c r="L38" s="133">
        <v>0</v>
      </c>
      <c r="M38" t="b">
        <f ca="1">IF(TODAY()-Table_Query_from_A_Readiness4[[#This Row],[PER_DATE]]&gt;=0,TRUE, FALSE)</f>
        <v>0</v>
      </c>
    </row>
    <row r="39" spans="1:13">
      <c r="A39">
        <v>42139</v>
      </c>
      <c r="B39" t="s">
        <v>325</v>
      </c>
      <c r="C39" t="s">
        <v>157</v>
      </c>
      <c r="D39" s="133">
        <v>5</v>
      </c>
      <c r="E39" s="133">
        <v>24</v>
      </c>
      <c r="F39" s="133">
        <v>0</v>
      </c>
      <c r="G39" s="133">
        <v>0</v>
      </c>
      <c r="H39" s="133">
        <v>0</v>
      </c>
      <c r="I39" s="133">
        <v>0</v>
      </c>
      <c r="J39" s="133">
        <v>0</v>
      </c>
      <c r="K39">
        <v>42129</v>
      </c>
      <c r="L39" s="133">
        <v>0</v>
      </c>
      <c r="M39" t="b">
        <f ca="1">IF(TODAY()-Table_Query_from_A_Readiness4[[#This Row],[PER_DATE]]&gt;=0,TRUE, FALSE)</f>
        <v>0</v>
      </c>
    </row>
    <row r="40" spans="1:13">
      <c r="A40">
        <v>42139</v>
      </c>
      <c r="B40" t="s">
        <v>325</v>
      </c>
      <c r="C40" t="s">
        <v>159</v>
      </c>
      <c r="D40" s="133">
        <v>5</v>
      </c>
      <c r="E40" s="133">
        <v>24</v>
      </c>
      <c r="F40" s="133">
        <v>0</v>
      </c>
      <c r="G40" s="133">
        <v>0</v>
      </c>
      <c r="H40" s="133">
        <v>0</v>
      </c>
      <c r="I40" s="133">
        <v>0</v>
      </c>
      <c r="J40" s="133">
        <v>0</v>
      </c>
      <c r="K40">
        <v>42129</v>
      </c>
      <c r="L40" s="133">
        <v>0</v>
      </c>
      <c r="M40" t="b">
        <f ca="1">IF(TODAY()-Table_Query_from_A_Readiness4[[#This Row],[PER_DATE]]&gt;=0,TRUE, FALSE)</f>
        <v>0</v>
      </c>
    </row>
    <row r="41" spans="1:13">
      <c r="A41">
        <v>42139</v>
      </c>
      <c r="B41" t="s">
        <v>325</v>
      </c>
      <c r="C41" t="s">
        <v>160</v>
      </c>
      <c r="D41" s="133">
        <v>5</v>
      </c>
      <c r="E41" s="133">
        <v>24</v>
      </c>
      <c r="F41" s="133">
        <v>0</v>
      </c>
      <c r="G41" s="133">
        <v>0</v>
      </c>
      <c r="H41" s="133">
        <v>0</v>
      </c>
      <c r="I41" s="133">
        <v>0</v>
      </c>
      <c r="J41" s="133">
        <v>0</v>
      </c>
      <c r="K41">
        <v>42129</v>
      </c>
      <c r="L41" s="133">
        <v>0</v>
      </c>
      <c r="M41" t="b">
        <f ca="1">IF(TODAY()-Table_Query_from_A_Readiness4[[#This Row],[PER_DATE]]&gt;=0,TRUE, FALSE)</f>
        <v>0</v>
      </c>
    </row>
    <row r="42" spans="1:13">
      <c r="A42">
        <v>42139</v>
      </c>
      <c r="B42" t="s">
        <v>325</v>
      </c>
      <c r="C42" t="s">
        <v>166</v>
      </c>
      <c r="D42" s="133">
        <v>6</v>
      </c>
      <c r="E42" s="133">
        <v>24</v>
      </c>
      <c r="F42" s="133">
        <v>0</v>
      </c>
      <c r="G42" s="133">
        <v>0</v>
      </c>
      <c r="H42" s="133">
        <v>0</v>
      </c>
      <c r="I42" s="133">
        <v>0</v>
      </c>
      <c r="J42" s="133">
        <v>0</v>
      </c>
      <c r="K42">
        <v>42130</v>
      </c>
      <c r="L42" s="133">
        <v>0</v>
      </c>
      <c r="M42" t="b">
        <f ca="1">IF(TODAY()-Table_Query_from_A_Readiness4[[#This Row],[PER_DATE]]&gt;=0,TRUE, FALSE)</f>
        <v>0</v>
      </c>
    </row>
    <row r="43" spans="1:13">
      <c r="A43">
        <v>42139</v>
      </c>
      <c r="B43" t="s">
        <v>325</v>
      </c>
      <c r="C43" t="s">
        <v>152</v>
      </c>
      <c r="D43" s="133">
        <v>6</v>
      </c>
      <c r="E43" s="133">
        <v>24</v>
      </c>
      <c r="F43" s="133">
        <v>0</v>
      </c>
      <c r="G43" s="133">
        <v>0</v>
      </c>
      <c r="H43" s="133">
        <v>0</v>
      </c>
      <c r="I43" s="133">
        <v>0</v>
      </c>
      <c r="J43" s="133">
        <v>0</v>
      </c>
      <c r="K43">
        <v>42130</v>
      </c>
      <c r="L43" s="133">
        <v>0</v>
      </c>
      <c r="M43" t="b">
        <f ca="1">IF(TODAY()-Table_Query_from_A_Readiness4[[#This Row],[PER_DATE]]&gt;=0,TRUE, FALSE)</f>
        <v>0</v>
      </c>
    </row>
    <row r="44" spans="1:13">
      <c r="A44">
        <v>42139</v>
      </c>
      <c r="B44" t="s">
        <v>325</v>
      </c>
      <c r="C44" t="s">
        <v>167</v>
      </c>
      <c r="D44" s="133">
        <v>6</v>
      </c>
      <c r="E44" s="133">
        <v>24</v>
      </c>
      <c r="F44" s="133">
        <v>0</v>
      </c>
      <c r="G44" s="133">
        <v>0</v>
      </c>
      <c r="H44" s="133">
        <v>0</v>
      </c>
      <c r="I44" s="133">
        <v>0</v>
      </c>
      <c r="J44" s="133">
        <v>0</v>
      </c>
      <c r="K44">
        <v>42130</v>
      </c>
      <c r="L44" s="133">
        <v>0</v>
      </c>
      <c r="M44" t="b">
        <f ca="1">IF(TODAY()-Table_Query_from_A_Readiness4[[#This Row],[PER_DATE]]&gt;=0,TRUE, FALSE)</f>
        <v>0</v>
      </c>
    </row>
    <row r="45" spans="1:13">
      <c r="A45">
        <v>42139</v>
      </c>
      <c r="B45" t="s">
        <v>325</v>
      </c>
      <c r="C45" t="s">
        <v>154</v>
      </c>
      <c r="D45" s="133">
        <v>6</v>
      </c>
      <c r="E45" s="133">
        <v>24</v>
      </c>
      <c r="F45" s="133">
        <v>0</v>
      </c>
      <c r="G45" s="133">
        <v>0</v>
      </c>
      <c r="H45" s="133">
        <v>0</v>
      </c>
      <c r="I45" s="133">
        <v>0</v>
      </c>
      <c r="J45" s="133">
        <v>0</v>
      </c>
      <c r="K45">
        <v>42130</v>
      </c>
      <c r="L45" s="133">
        <v>0</v>
      </c>
      <c r="M45" t="b">
        <f ca="1">IF(TODAY()-Table_Query_from_A_Readiness4[[#This Row],[PER_DATE]]&gt;=0,TRUE, FALSE)</f>
        <v>0</v>
      </c>
    </row>
    <row r="46" spans="1:13">
      <c r="A46">
        <v>42139</v>
      </c>
      <c r="B46" t="s">
        <v>325</v>
      </c>
      <c r="C46" t="s">
        <v>168</v>
      </c>
      <c r="D46" s="133">
        <v>6</v>
      </c>
      <c r="E46" s="133">
        <v>24</v>
      </c>
      <c r="F46" s="133">
        <v>0</v>
      </c>
      <c r="G46" s="133">
        <v>0</v>
      </c>
      <c r="H46" s="133">
        <v>0</v>
      </c>
      <c r="I46" s="133">
        <v>0</v>
      </c>
      <c r="J46" s="133">
        <v>0</v>
      </c>
      <c r="K46">
        <v>42130</v>
      </c>
      <c r="L46" s="133">
        <v>0</v>
      </c>
      <c r="M46" t="b">
        <f ca="1">IF(TODAY()-Table_Query_from_A_Readiness4[[#This Row],[PER_DATE]]&gt;=0,TRUE, FALSE)</f>
        <v>0</v>
      </c>
    </row>
    <row r="47" spans="1:13">
      <c r="A47">
        <v>42139</v>
      </c>
      <c r="B47" t="s">
        <v>325</v>
      </c>
      <c r="C47" t="s">
        <v>157</v>
      </c>
      <c r="D47" s="133">
        <v>6</v>
      </c>
      <c r="E47" s="133">
        <v>24</v>
      </c>
      <c r="F47" s="133">
        <v>0</v>
      </c>
      <c r="G47" s="133">
        <v>0</v>
      </c>
      <c r="H47" s="133">
        <v>0</v>
      </c>
      <c r="I47" s="133">
        <v>0</v>
      </c>
      <c r="J47" s="133">
        <v>0</v>
      </c>
      <c r="K47">
        <v>42130</v>
      </c>
      <c r="L47" s="133">
        <v>0</v>
      </c>
      <c r="M47" t="b">
        <f ca="1">IF(TODAY()-Table_Query_from_A_Readiness4[[#This Row],[PER_DATE]]&gt;=0,TRUE, FALSE)</f>
        <v>0</v>
      </c>
    </row>
    <row r="48" spans="1:13">
      <c r="A48">
        <v>42139</v>
      </c>
      <c r="B48" t="s">
        <v>325</v>
      </c>
      <c r="C48" t="s">
        <v>159</v>
      </c>
      <c r="D48" s="133">
        <v>6</v>
      </c>
      <c r="E48" s="133">
        <v>24</v>
      </c>
      <c r="F48" s="133">
        <v>0</v>
      </c>
      <c r="G48" s="133">
        <v>0</v>
      </c>
      <c r="H48" s="133">
        <v>0</v>
      </c>
      <c r="I48" s="133">
        <v>0</v>
      </c>
      <c r="J48" s="133">
        <v>0</v>
      </c>
      <c r="K48">
        <v>42130</v>
      </c>
      <c r="L48" s="133">
        <v>0</v>
      </c>
      <c r="M48" t="b">
        <f ca="1">IF(TODAY()-Table_Query_from_A_Readiness4[[#This Row],[PER_DATE]]&gt;=0,TRUE, FALSE)</f>
        <v>0</v>
      </c>
    </row>
    <row r="49" spans="1:13">
      <c r="A49">
        <v>42139</v>
      </c>
      <c r="B49" t="s">
        <v>325</v>
      </c>
      <c r="C49" t="s">
        <v>160</v>
      </c>
      <c r="D49" s="133">
        <v>6</v>
      </c>
      <c r="E49" s="133">
        <v>24</v>
      </c>
      <c r="F49" s="133">
        <v>0</v>
      </c>
      <c r="G49" s="133">
        <v>0</v>
      </c>
      <c r="H49" s="133">
        <v>0</v>
      </c>
      <c r="I49" s="133">
        <v>0</v>
      </c>
      <c r="J49" s="133">
        <v>0</v>
      </c>
      <c r="K49">
        <v>42130</v>
      </c>
      <c r="L49" s="133">
        <v>0</v>
      </c>
      <c r="M49" t="b">
        <f ca="1">IF(TODAY()-Table_Query_from_A_Readiness4[[#This Row],[PER_DATE]]&gt;=0,TRUE, FALSE)</f>
        <v>0</v>
      </c>
    </row>
    <row r="50" spans="1:13">
      <c r="A50">
        <v>42139</v>
      </c>
      <c r="B50" t="s">
        <v>325</v>
      </c>
      <c r="C50" t="s">
        <v>166</v>
      </c>
      <c r="D50" s="133">
        <v>7</v>
      </c>
      <c r="E50" s="133">
        <v>24</v>
      </c>
      <c r="F50" s="133">
        <v>0</v>
      </c>
      <c r="G50" s="133">
        <v>0</v>
      </c>
      <c r="H50" s="133">
        <v>0</v>
      </c>
      <c r="I50" s="133">
        <v>0</v>
      </c>
      <c r="J50" s="133">
        <v>0</v>
      </c>
      <c r="K50">
        <v>42131</v>
      </c>
      <c r="L50" s="133">
        <v>0</v>
      </c>
      <c r="M50" t="b">
        <f ca="1">IF(TODAY()-Table_Query_from_A_Readiness4[[#This Row],[PER_DATE]]&gt;=0,TRUE, FALSE)</f>
        <v>0</v>
      </c>
    </row>
    <row r="51" spans="1:13">
      <c r="A51">
        <v>42139</v>
      </c>
      <c r="B51" t="s">
        <v>325</v>
      </c>
      <c r="C51" t="s">
        <v>152</v>
      </c>
      <c r="D51" s="133">
        <v>7</v>
      </c>
      <c r="E51" s="133">
        <v>24</v>
      </c>
      <c r="F51" s="133">
        <v>0</v>
      </c>
      <c r="G51" s="133">
        <v>0</v>
      </c>
      <c r="H51" s="133">
        <v>0</v>
      </c>
      <c r="I51" s="133">
        <v>0</v>
      </c>
      <c r="J51" s="133">
        <v>0</v>
      </c>
      <c r="K51">
        <v>42131</v>
      </c>
      <c r="L51" s="133">
        <v>0</v>
      </c>
      <c r="M51" t="b">
        <f ca="1">IF(TODAY()-Table_Query_from_A_Readiness4[[#This Row],[PER_DATE]]&gt;=0,TRUE, FALSE)</f>
        <v>0</v>
      </c>
    </row>
    <row r="52" spans="1:13">
      <c r="A52">
        <v>42139</v>
      </c>
      <c r="B52" t="s">
        <v>325</v>
      </c>
      <c r="C52" t="s">
        <v>167</v>
      </c>
      <c r="D52" s="133">
        <v>7</v>
      </c>
      <c r="E52" s="133">
        <v>24</v>
      </c>
      <c r="F52" s="133">
        <v>0</v>
      </c>
      <c r="G52" s="133">
        <v>0</v>
      </c>
      <c r="H52" s="133">
        <v>0</v>
      </c>
      <c r="I52" s="133">
        <v>0</v>
      </c>
      <c r="J52" s="133">
        <v>0</v>
      </c>
      <c r="K52">
        <v>42131</v>
      </c>
      <c r="L52" s="133">
        <v>0</v>
      </c>
      <c r="M52" t="b">
        <f ca="1">IF(TODAY()-Table_Query_from_A_Readiness4[[#This Row],[PER_DATE]]&gt;=0,TRUE, FALSE)</f>
        <v>0</v>
      </c>
    </row>
    <row r="53" spans="1:13">
      <c r="A53">
        <v>42139</v>
      </c>
      <c r="B53" t="s">
        <v>325</v>
      </c>
      <c r="C53" t="s">
        <v>154</v>
      </c>
      <c r="D53" s="133">
        <v>7</v>
      </c>
      <c r="E53" s="133">
        <v>24</v>
      </c>
      <c r="F53" s="133">
        <v>0</v>
      </c>
      <c r="G53" s="133">
        <v>0</v>
      </c>
      <c r="H53" s="133">
        <v>0</v>
      </c>
      <c r="I53" s="133">
        <v>0</v>
      </c>
      <c r="J53" s="133">
        <v>0</v>
      </c>
      <c r="K53">
        <v>42131</v>
      </c>
      <c r="L53" s="133">
        <v>0</v>
      </c>
      <c r="M53" t="b">
        <f ca="1">IF(TODAY()-Table_Query_from_A_Readiness4[[#This Row],[PER_DATE]]&gt;=0,TRUE, FALSE)</f>
        <v>0</v>
      </c>
    </row>
    <row r="54" spans="1:13">
      <c r="A54">
        <v>42139</v>
      </c>
      <c r="B54" t="s">
        <v>325</v>
      </c>
      <c r="C54" t="s">
        <v>168</v>
      </c>
      <c r="D54" s="133">
        <v>7</v>
      </c>
      <c r="E54" s="133">
        <v>24</v>
      </c>
      <c r="F54" s="133">
        <v>0</v>
      </c>
      <c r="G54" s="133">
        <v>0</v>
      </c>
      <c r="H54" s="133">
        <v>0</v>
      </c>
      <c r="I54" s="133">
        <v>0</v>
      </c>
      <c r="J54" s="133">
        <v>0</v>
      </c>
      <c r="K54">
        <v>42131</v>
      </c>
      <c r="L54" s="133">
        <v>0</v>
      </c>
      <c r="M54" t="b">
        <f ca="1">IF(TODAY()-Table_Query_from_A_Readiness4[[#This Row],[PER_DATE]]&gt;=0,TRUE, FALSE)</f>
        <v>0</v>
      </c>
    </row>
    <row r="55" spans="1:13">
      <c r="A55">
        <v>42139</v>
      </c>
      <c r="B55" t="s">
        <v>325</v>
      </c>
      <c r="C55" t="s">
        <v>157</v>
      </c>
      <c r="D55" s="133">
        <v>7</v>
      </c>
      <c r="E55" s="133">
        <v>24</v>
      </c>
      <c r="F55" s="133">
        <v>0</v>
      </c>
      <c r="G55" s="133">
        <v>0</v>
      </c>
      <c r="H55" s="133">
        <v>0</v>
      </c>
      <c r="I55" s="133">
        <v>0</v>
      </c>
      <c r="J55" s="133">
        <v>0</v>
      </c>
      <c r="K55">
        <v>42131</v>
      </c>
      <c r="L55" s="133">
        <v>0</v>
      </c>
      <c r="M55" t="b">
        <f ca="1">IF(TODAY()-Table_Query_from_A_Readiness4[[#This Row],[PER_DATE]]&gt;=0,TRUE, FALSE)</f>
        <v>0</v>
      </c>
    </row>
    <row r="56" spans="1:13">
      <c r="A56">
        <v>42139</v>
      </c>
      <c r="B56" t="s">
        <v>325</v>
      </c>
      <c r="C56" t="s">
        <v>159</v>
      </c>
      <c r="D56" s="133">
        <v>7</v>
      </c>
      <c r="E56" s="133">
        <v>24</v>
      </c>
      <c r="F56" s="133">
        <v>0</v>
      </c>
      <c r="G56" s="133">
        <v>0</v>
      </c>
      <c r="H56" s="133">
        <v>0</v>
      </c>
      <c r="I56" s="133">
        <v>0</v>
      </c>
      <c r="J56" s="133">
        <v>0</v>
      </c>
      <c r="K56">
        <v>42131</v>
      </c>
      <c r="L56" s="133">
        <v>0</v>
      </c>
      <c r="M56" t="b">
        <f ca="1">IF(TODAY()-Table_Query_from_A_Readiness4[[#This Row],[PER_DATE]]&gt;=0,TRUE, FALSE)</f>
        <v>0</v>
      </c>
    </row>
    <row r="57" spans="1:13">
      <c r="A57">
        <v>42139</v>
      </c>
      <c r="B57" t="s">
        <v>325</v>
      </c>
      <c r="C57" t="s">
        <v>160</v>
      </c>
      <c r="D57" s="133">
        <v>7</v>
      </c>
      <c r="E57" s="133">
        <v>24</v>
      </c>
      <c r="F57" s="133">
        <v>0</v>
      </c>
      <c r="G57" s="133">
        <v>0</v>
      </c>
      <c r="H57" s="133">
        <v>0</v>
      </c>
      <c r="I57" s="133">
        <v>0</v>
      </c>
      <c r="J57" s="133">
        <v>0</v>
      </c>
      <c r="K57">
        <v>42131</v>
      </c>
      <c r="L57" s="133">
        <v>0</v>
      </c>
      <c r="M57" t="b">
        <f ca="1">IF(TODAY()-Table_Query_from_A_Readiness4[[#This Row],[PER_DATE]]&gt;=0,TRUE, FALSE)</f>
        <v>0</v>
      </c>
    </row>
    <row r="58" spans="1:13">
      <c r="A58">
        <v>42139</v>
      </c>
      <c r="B58" t="s">
        <v>325</v>
      </c>
      <c r="C58" t="s">
        <v>166</v>
      </c>
      <c r="D58" s="133">
        <v>8</v>
      </c>
      <c r="E58" s="133">
        <v>24</v>
      </c>
      <c r="F58" s="133">
        <v>0</v>
      </c>
      <c r="G58" s="133">
        <v>0</v>
      </c>
      <c r="H58" s="133">
        <v>0</v>
      </c>
      <c r="I58" s="133">
        <v>0</v>
      </c>
      <c r="J58" s="133">
        <v>0</v>
      </c>
      <c r="K58">
        <v>42132</v>
      </c>
      <c r="L58" s="133">
        <v>0</v>
      </c>
      <c r="M58" t="b">
        <f ca="1">IF(TODAY()-Table_Query_from_A_Readiness4[[#This Row],[PER_DATE]]&gt;=0,TRUE, FALSE)</f>
        <v>0</v>
      </c>
    </row>
    <row r="59" spans="1:13">
      <c r="A59">
        <v>42139</v>
      </c>
      <c r="B59" t="s">
        <v>325</v>
      </c>
      <c r="C59" t="s">
        <v>152</v>
      </c>
      <c r="D59" s="133">
        <v>8</v>
      </c>
      <c r="E59" s="133">
        <v>24</v>
      </c>
      <c r="F59" s="133">
        <v>0</v>
      </c>
      <c r="G59" s="133">
        <v>0</v>
      </c>
      <c r="H59" s="133">
        <v>0</v>
      </c>
      <c r="I59" s="133">
        <v>0</v>
      </c>
      <c r="J59" s="133">
        <v>0</v>
      </c>
      <c r="K59">
        <v>42132</v>
      </c>
      <c r="L59" s="133">
        <v>0</v>
      </c>
      <c r="M59" t="b">
        <f ca="1">IF(TODAY()-Table_Query_from_A_Readiness4[[#This Row],[PER_DATE]]&gt;=0,TRUE, FALSE)</f>
        <v>0</v>
      </c>
    </row>
    <row r="60" spans="1:13">
      <c r="A60">
        <v>42139</v>
      </c>
      <c r="B60" t="s">
        <v>325</v>
      </c>
      <c r="C60" t="s">
        <v>167</v>
      </c>
      <c r="D60" s="133">
        <v>8</v>
      </c>
      <c r="E60" s="133">
        <v>24</v>
      </c>
      <c r="F60" s="133">
        <v>0</v>
      </c>
      <c r="G60" s="133">
        <v>0</v>
      </c>
      <c r="H60" s="133">
        <v>0</v>
      </c>
      <c r="I60" s="133">
        <v>0</v>
      </c>
      <c r="J60" s="133">
        <v>0</v>
      </c>
      <c r="K60">
        <v>42132</v>
      </c>
      <c r="L60" s="133">
        <v>0</v>
      </c>
      <c r="M60" t="b">
        <f ca="1">IF(TODAY()-Table_Query_from_A_Readiness4[[#This Row],[PER_DATE]]&gt;=0,TRUE, FALSE)</f>
        <v>0</v>
      </c>
    </row>
    <row r="61" spans="1:13">
      <c r="A61">
        <v>42139</v>
      </c>
      <c r="B61" t="s">
        <v>325</v>
      </c>
      <c r="C61" t="s">
        <v>154</v>
      </c>
      <c r="D61" s="133">
        <v>8</v>
      </c>
      <c r="E61" s="133">
        <v>24</v>
      </c>
      <c r="F61" s="133">
        <v>0</v>
      </c>
      <c r="G61" s="133">
        <v>0</v>
      </c>
      <c r="H61" s="133">
        <v>0</v>
      </c>
      <c r="I61" s="133">
        <v>0</v>
      </c>
      <c r="J61" s="133">
        <v>0</v>
      </c>
      <c r="K61">
        <v>42132</v>
      </c>
      <c r="L61" s="133">
        <v>0</v>
      </c>
      <c r="M61" t="b">
        <f ca="1">IF(TODAY()-Table_Query_from_A_Readiness4[[#This Row],[PER_DATE]]&gt;=0,TRUE, FALSE)</f>
        <v>0</v>
      </c>
    </row>
    <row r="62" spans="1:13">
      <c r="A62">
        <v>42139</v>
      </c>
      <c r="B62" t="s">
        <v>325</v>
      </c>
      <c r="C62" t="s">
        <v>168</v>
      </c>
      <c r="D62" s="133">
        <v>8</v>
      </c>
      <c r="E62" s="133">
        <v>24</v>
      </c>
      <c r="F62" s="133">
        <v>0</v>
      </c>
      <c r="G62" s="133">
        <v>0</v>
      </c>
      <c r="H62" s="133">
        <v>0</v>
      </c>
      <c r="I62" s="133">
        <v>0</v>
      </c>
      <c r="J62" s="133">
        <v>0</v>
      </c>
      <c r="K62">
        <v>42132</v>
      </c>
      <c r="L62" s="133">
        <v>0</v>
      </c>
      <c r="M62" t="b">
        <f ca="1">IF(TODAY()-Table_Query_from_A_Readiness4[[#This Row],[PER_DATE]]&gt;=0,TRUE, FALSE)</f>
        <v>0</v>
      </c>
    </row>
    <row r="63" spans="1:13">
      <c r="A63">
        <v>42139</v>
      </c>
      <c r="B63" t="s">
        <v>325</v>
      </c>
      <c r="C63" t="s">
        <v>157</v>
      </c>
      <c r="D63" s="133">
        <v>8</v>
      </c>
      <c r="E63" s="133">
        <v>24</v>
      </c>
      <c r="F63" s="133">
        <v>0</v>
      </c>
      <c r="G63" s="133">
        <v>0</v>
      </c>
      <c r="H63" s="133">
        <v>0</v>
      </c>
      <c r="I63" s="133">
        <v>0</v>
      </c>
      <c r="J63" s="133">
        <v>0</v>
      </c>
      <c r="K63">
        <v>42132</v>
      </c>
      <c r="L63" s="133">
        <v>0</v>
      </c>
      <c r="M63" t="b">
        <f ca="1">IF(TODAY()-Table_Query_from_A_Readiness4[[#This Row],[PER_DATE]]&gt;=0,TRUE, FALSE)</f>
        <v>0</v>
      </c>
    </row>
    <row r="64" spans="1:13">
      <c r="A64">
        <v>42139</v>
      </c>
      <c r="B64" t="s">
        <v>325</v>
      </c>
      <c r="C64" t="s">
        <v>159</v>
      </c>
      <c r="D64" s="133">
        <v>8</v>
      </c>
      <c r="E64" s="133">
        <v>24</v>
      </c>
      <c r="F64" s="133">
        <v>0</v>
      </c>
      <c r="G64" s="133">
        <v>0</v>
      </c>
      <c r="H64" s="133">
        <v>0</v>
      </c>
      <c r="I64" s="133">
        <v>0</v>
      </c>
      <c r="J64" s="133">
        <v>0</v>
      </c>
      <c r="K64">
        <v>42132</v>
      </c>
      <c r="L64" s="133">
        <v>0</v>
      </c>
      <c r="M64" t="b">
        <f ca="1">IF(TODAY()-Table_Query_from_A_Readiness4[[#This Row],[PER_DATE]]&gt;=0,TRUE, FALSE)</f>
        <v>0</v>
      </c>
    </row>
    <row r="65" spans="1:13">
      <c r="A65">
        <v>42139</v>
      </c>
      <c r="B65" t="s">
        <v>325</v>
      </c>
      <c r="C65" t="s">
        <v>160</v>
      </c>
      <c r="D65" s="133">
        <v>8</v>
      </c>
      <c r="E65" s="133">
        <v>24</v>
      </c>
      <c r="F65" s="133">
        <v>0</v>
      </c>
      <c r="G65" s="133">
        <v>0</v>
      </c>
      <c r="H65" s="133">
        <v>0</v>
      </c>
      <c r="I65" s="133">
        <v>0</v>
      </c>
      <c r="J65" s="133">
        <v>0</v>
      </c>
      <c r="K65">
        <v>42132</v>
      </c>
      <c r="L65" s="133">
        <v>0</v>
      </c>
      <c r="M65" t="b">
        <f ca="1">IF(TODAY()-Table_Query_from_A_Readiness4[[#This Row],[PER_DATE]]&gt;=0,TRUE, FALSE)</f>
        <v>0</v>
      </c>
    </row>
    <row r="66" spans="1:13">
      <c r="A66">
        <v>42139</v>
      </c>
      <c r="B66" t="s">
        <v>325</v>
      </c>
      <c r="C66" t="s">
        <v>166</v>
      </c>
      <c r="D66" s="133">
        <v>9</v>
      </c>
      <c r="E66" s="133">
        <v>24</v>
      </c>
      <c r="F66" s="133">
        <v>0</v>
      </c>
      <c r="G66" s="133">
        <v>0</v>
      </c>
      <c r="H66" s="133">
        <v>0</v>
      </c>
      <c r="I66" s="133">
        <v>0</v>
      </c>
      <c r="J66" s="133">
        <v>0</v>
      </c>
      <c r="K66">
        <v>42133</v>
      </c>
      <c r="L66" s="133">
        <v>0</v>
      </c>
      <c r="M66" t="b">
        <f ca="1">IF(TODAY()-Table_Query_from_A_Readiness4[[#This Row],[PER_DATE]]&gt;=0,TRUE, FALSE)</f>
        <v>0</v>
      </c>
    </row>
    <row r="67" spans="1:13">
      <c r="A67">
        <v>42139</v>
      </c>
      <c r="B67" t="s">
        <v>325</v>
      </c>
      <c r="C67" t="s">
        <v>152</v>
      </c>
      <c r="D67" s="133">
        <v>9</v>
      </c>
      <c r="E67" s="133">
        <v>24</v>
      </c>
      <c r="F67" s="133">
        <v>0</v>
      </c>
      <c r="G67" s="133">
        <v>0</v>
      </c>
      <c r="H67" s="133">
        <v>0</v>
      </c>
      <c r="I67" s="133">
        <v>0</v>
      </c>
      <c r="J67" s="133">
        <v>0</v>
      </c>
      <c r="K67">
        <v>42133</v>
      </c>
      <c r="L67" s="133">
        <v>0</v>
      </c>
      <c r="M67" t="b">
        <f ca="1">IF(TODAY()-Table_Query_from_A_Readiness4[[#This Row],[PER_DATE]]&gt;=0,TRUE, FALSE)</f>
        <v>0</v>
      </c>
    </row>
    <row r="68" spans="1:13">
      <c r="A68">
        <v>42139</v>
      </c>
      <c r="B68" t="s">
        <v>325</v>
      </c>
      <c r="C68" t="s">
        <v>167</v>
      </c>
      <c r="D68" s="133">
        <v>9</v>
      </c>
      <c r="E68" s="133">
        <v>24</v>
      </c>
      <c r="F68" s="133">
        <v>0</v>
      </c>
      <c r="G68" s="133">
        <v>0</v>
      </c>
      <c r="H68" s="133">
        <v>0</v>
      </c>
      <c r="I68" s="133">
        <v>0</v>
      </c>
      <c r="J68" s="133">
        <v>0</v>
      </c>
      <c r="K68">
        <v>42133</v>
      </c>
      <c r="L68" s="133">
        <v>0</v>
      </c>
      <c r="M68" t="b">
        <f ca="1">IF(TODAY()-Table_Query_from_A_Readiness4[[#This Row],[PER_DATE]]&gt;=0,TRUE, FALSE)</f>
        <v>0</v>
      </c>
    </row>
    <row r="69" spans="1:13">
      <c r="A69">
        <v>42139</v>
      </c>
      <c r="B69" t="s">
        <v>325</v>
      </c>
      <c r="C69" t="s">
        <v>154</v>
      </c>
      <c r="D69" s="133">
        <v>9</v>
      </c>
      <c r="E69" s="133">
        <v>24</v>
      </c>
      <c r="F69" s="133">
        <v>0</v>
      </c>
      <c r="G69" s="133">
        <v>0</v>
      </c>
      <c r="H69" s="133">
        <v>0</v>
      </c>
      <c r="I69" s="133">
        <v>0</v>
      </c>
      <c r="J69" s="133">
        <v>0</v>
      </c>
      <c r="K69">
        <v>42133</v>
      </c>
      <c r="L69" s="133">
        <v>0</v>
      </c>
      <c r="M69" t="b">
        <f ca="1">IF(TODAY()-Table_Query_from_A_Readiness4[[#This Row],[PER_DATE]]&gt;=0,TRUE, FALSE)</f>
        <v>0</v>
      </c>
    </row>
    <row r="70" spans="1:13">
      <c r="A70">
        <v>42139</v>
      </c>
      <c r="B70" t="s">
        <v>325</v>
      </c>
      <c r="C70" t="s">
        <v>168</v>
      </c>
      <c r="D70" s="133">
        <v>9</v>
      </c>
      <c r="E70" s="133">
        <v>24</v>
      </c>
      <c r="F70" s="133">
        <v>0</v>
      </c>
      <c r="G70" s="133">
        <v>0</v>
      </c>
      <c r="H70" s="133">
        <v>0</v>
      </c>
      <c r="I70" s="133">
        <v>0</v>
      </c>
      <c r="J70" s="133">
        <v>0</v>
      </c>
      <c r="K70">
        <v>42133</v>
      </c>
      <c r="L70" s="133">
        <v>0</v>
      </c>
      <c r="M70" t="b">
        <f ca="1">IF(TODAY()-Table_Query_from_A_Readiness4[[#This Row],[PER_DATE]]&gt;=0,TRUE, FALSE)</f>
        <v>0</v>
      </c>
    </row>
    <row r="71" spans="1:13">
      <c r="A71">
        <v>42139</v>
      </c>
      <c r="B71" t="s">
        <v>325</v>
      </c>
      <c r="C71" t="s">
        <v>157</v>
      </c>
      <c r="D71" s="133">
        <v>9</v>
      </c>
      <c r="E71" s="133">
        <v>24</v>
      </c>
      <c r="F71" s="133">
        <v>0</v>
      </c>
      <c r="G71" s="133">
        <v>0</v>
      </c>
      <c r="H71" s="133">
        <v>0</v>
      </c>
      <c r="I71" s="133">
        <v>0</v>
      </c>
      <c r="J71" s="133">
        <v>0</v>
      </c>
      <c r="K71">
        <v>42133</v>
      </c>
      <c r="L71" s="133">
        <v>0</v>
      </c>
      <c r="M71" t="b">
        <f ca="1">IF(TODAY()-Table_Query_from_A_Readiness4[[#This Row],[PER_DATE]]&gt;=0,TRUE, FALSE)</f>
        <v>0</v>
      </c>
    </row>
    <row r="72" spans="1:13">
      <c r="A72">
        <v>42139</v>
      </c>
      <c r="B72" t="s">
        <v>325</v>
      </c>
      <c r="C72" t="s">
        <v>159</v>
      </c>
      <c r="D72" s="133">
        <v>9</v>
      </c>
      <c r="E72" s="133">
        <v>24</v>
      </c>
      <c r="F72" s="133">
        <v>0</v>
      </c>
      <c r="G72" s="133">
        <v>0</v>
      </c>
      <c r="H72" s="133">
        <v>0</v>
      </c>
      <c r="I72" s="133">
        <v>0</v>
      </c>
      <c r="J72" s="133">
        <v>0</v>
      </c>
      <c r="K72">
        <v>42133</v>
      </c>
      <c r="L72" s="133">
        <v>0</v>
      </c>
      <c r="M72" t="b">
        <f ca="1">IF(TODAY()-Table_Query_from_A_Readiness4[[#This Row],[PER_DATE]]&gt;=0,TRUE, FALSE)</f>
        <v>0</v>
      </c>
    </row>
    <row r="73" spans="1:13">
      <c r="A73">
        <v>42139</v>
      </c>
      <c r="B73" t="s">
        <v>325</v>
      </c>
      <c r="C73" t="s">
        <v>160</v>
      </c>
      <c r="D73" s="133">
        <v>9</v>
      </c>
      <c r="E73" s="133">
        <v>24</v>
      </c>
      <c r="F73" s="133">
        <v>0</v>
      </c>
      <c r="G73" s="133">
        <v>0</v>
      </c>
      <c r="H73" s="133">
        <v>0</v>
      </c>
      <c r="I73" s="133">
        <v>0</v>
      </c>
      <c r="J73" s="133">
        <v>0</v>
      </c>
      <c r="K73">
        <v>42133</v>
      </c>
      <c r="L73" s="133">
        <v>0</v>
      </c>
      <c r="M73" t="b">
        <f ca="1">IF(TODAY()-Table_Query_from_A_Readiness4[[#This Row],[PER_DATE]]&gt;=0,TRUE, FALSE)</f>
        <v>0</v>
      </c>
    </row>
    <row r="74" spans="1:13">
      <c r="A74">
        <v>42139</v>
      </c>
      <c r="B74" t="s">
        <v>325</v>
      </c>
      <c r="C74" t="s">
        <v>166</v>
      </c>
      <c r="D74" s="133">
        <v>10</v>
      </c>
      <c r="E74" s="133">
        <v>24</v>
      </c>
      <c r="F74" s="133">
        <v>0</v>
      </c>
      <c r="G74" s="133">
        <v>0</v>
      </c>
      <c r="H74" s="133">
        <v>0</v>
      </c>
      <c r="I74" s="133">
        <v>0</v>
      </c>
      <c r="J74" s="133">
        <v>0</v>
      </c>
      <c r="K74">
        <v>42134</v>
      </c>
      <c r="L74" s="133">
        <v>0</v>
      </c>
      <c r="M74" t="b">
        <f ca="1">IF(TODAY()-Table_Query_from_A_Readiness4[[#This Row],[PER_DATE]]&gt;=0,TRUE, FALSE)</f>
        <v>0</v>
      </c>
    </row>
    <row r="75" spans="1:13">
      <c r="A75">
        <v>42139</v>
      </c>
      <c r="B75" t="s">
        <v>325</v>
      </c>
      <c r="C75" t="s">
        <v>152</v>
      </c>
      <c r="D75" s="133">
        <v>10</v>
      </c>
      <c r="E75" s="133">
        <v>24</v>
      </c>
      <c r="F75" s="133">
        <v>0</v>
      </c>
      <c r="G75" s="133">
        <v>0</v>
      </c>
      <c r="H75" s="133">
        <v>0</v>
      </c>
      <c r="I75" s="133">
        <v>0</v>
      </c>
      <c r="J75" s="133">
        <v>0</v>
      </c>
      <c r="K75">
        <v>42134</v>
      </c>
      <c r="L75" s="133">
        <v>0</v>
      </c>
      <c r="M75" t="b">
        <f ca="1">IF(TODAY()-Table_Query_from_A_Readiness4[[#This Row],[PER_DATE]]&gt;=0,TRUE, FALSE)</f>
        <v>0</v>
      </c>
    </row>
    <row r="76" spans="1:13">
      <c r="A76">
        <v>42139</v>
      </c>
      <c r="B76" t="s">
        <v>325</v>
      </c>
      <c r="C76" t="s">
        <v>167</v>
      </c>
      <c r="D76" s="133">
        <v>10</v>
      </c>
      <c r="E76" s="133">
        <v>24</v>
      </c>
      <c r="F76" s="133">
        <v>0</v>
      </c>
      <c r="G76" s="133">
        <v>0</v>
      </c>
      <c r="H76" s="133">
        <v>0</v>
      </c>
      <c r="I76" s="133">
        <v>0</v>
      </c>
      <c r="J76" s="133">
        <v>0</v>
      </c>
      <c r="K76">
        <v>42134</v>
      </c>
      <c r="L76" s="133">
        <v>0</v>
      </c>
      <c r="M76" t="b">
        <f ca="1">IF(TODAY()-Table_Query_from_A_Readiness4[[#This Row],[PER_DATE]]&gt;=0,TRUE, FALSE)</f>
        <v>0</v>
      </c>
    </row>
    <row r="77" spans="1:13">
      <c r="A77">
        <v>42139</v>
      </c>
      <c r="B77" t="s">
        <v>325</v>
      </c>
      <c r="C77" t="s">
        <v>154</v>
      </c>
      <c r="D77" s="133">
        <v>10</v>
      </c>
      <c r="E77" s="133">
        <v>24</v>
      </c>
      <c r="F77" s="133">
        <v>0</v>
      </c>
      <c r="G77" s="133">
        <v>0</v>
      </c>
      <c r="H77" s="133">
        <v>0</v>
      </c>
      <c r="I77" s="133">
        <v>0</v>
      </c>
      <c r="J77" s="133">
        <v>0</v>
      </c>
      <c r="K77">
        <v>42134</v>
      </c>
      <c r="L77" s="133">
        <v>0</v>
      </c>
      <c r="M77" t="b">
        <f ca="1">IF(TODAY()-Table_Query_from_A_Readiness4[[#This Row],[PER_DATE]]&gt;=0,TRUE, FALSE)</f>
        <v>0</v>
      </c>
    </row>
    <row r="78" spans="1:13">
      <c r="A78">
        <v>42139</v>
      </c>
      <c r="B78" t="s">
        <v>325</v>
      </c>
      <c r="C78" t="s">
        <v>168</v>
      </c>
      <c r="D78" s="133">
        <v>10</v>
      </c>
      <c r="E78" s="133">
        <v>24</v>
      </c>
      <c r="F78" s="133">
        <v>0</v>
      </c>
      <c r="G78" s="133">
        <v>0</v>
      </c>
      <c r="H78" s="133">
        <v>0</v>
      </c>
      <c r="I78" s="133">
        <v>0</v>
      </c>
      <c r="J78" s="133">
        <v>0</v>
      </c>
      <c r="K78">
        <v>42134</v>
      </c>
      <c r="L78" s="133">
        <v>0</v>
      </c>
      <c r="M78" t="b">
        <f ca="1">IF(TODAY()-Table_Query_from_A_Readiness4[[#This Row],[PER_DATE]]&gt;=0,TRUE, FALSE)</f>
        <v>0</v>
      </c>
    </row>
    <row r="79" spans="1:13">
      <c r="A79">
        <v>42139</v>
      </c>
      <c r="B79" t="s">
        <v>325</v>
      </c>
      <c r="C79" t="s">
        <v>157</v>
      </c>
      <c r="D79" s="133">
        <v>10</v>
      </c>
      <c r="E79" s="133">
        <v>24</v>
      </c>
      <c r="F79" s="133">
        <v>0</v>
      </c>
      <c r="G79" s="133">
        <v>0</v>
      </c>
      <c r="H79" s="133">
        <v>0</v>
      </c>
      <c r="I79" s="133">
        <v>0</v>
      </c>
      <c r="J79" s="133">
        <v>0</v>
      </c>
      <c r="K79">
        <v>42134</v>
      </c>
      <c r="L79" s="133">
        <v>0</v>
      </c>
      <c r="M79" t="b">
        <f ca="1">IF(TODAY()-Table_Query_from_A_Readiness4[[#This Row],[PER_DATE]]&gt;=0,TRUE, FALSE)</f>
        <v>0</v>
      </c>
    </row>
    <row r="80" spans="1:13">
      <c r="A80">
        <v>42139</v>
      </c>
      <c r="B80" t="s">
        <v>325</v>
      </c>
      <c r="C80" t="s">
        <v>159</v>
      </c>
      <c r="D80" s="133">
        <v>10</v>
      </c>
      <c r="E80" s="133">
        <v>24</v>
      </c>
      <c r="F80" s="133">
        <v>0</v>
      </c>
      <c r="G80" s="133">
        <v>0</v>
      </c>
      <c r="H80" s="133">
        <v>0</v>
      </c>
      <c r="I80" s="133">
        <v>0</v>
      </c>
      <c r="J80" s="133">
        <v>0</v>
      </c>
      <c r="K80">
        <v>42134</v>
      </c>
      <c r="L80" s="133">
        <v>0</v>
      </c>
      <c r="M80" t="b">
        <f ca="1">IF(TODAY()-Table_Query_from_A_Readiness4[[#This Row],[PER_DATE]]&gt;=0,TRUE, FALSE)</f>
        <v>0</v>
      </c>
    </row>
    <row r="81" spans="1:13">
      <c r="A81">
        <v>42139</v>
      </c>
      <c r="B81" t="s">
        <v>325</v>
      </c>
      <c r="C81" t="s">
        <v>160</v>
      </c>
      <c r="D81" s="133">
        <v>10</v>
      </c>
      <c r="E81" s="133">
        <v>24</v>
      </c>
      <c r="F81" s="133">
        <v>0</v>
      </c>
      <c r="G81" s="133">
        <v>0</v>
      </c>
      <c r="H81" s="133">
        <v>0</v>
      </c>
      <c r="I81" s="133">
        <v>0</v>
      </c>
      <c r="J81" s="133">
        <v>0</v>
      </c>
      <c r="K81">
        <v>42134</v>
      </c>
      <c r="L81" s="133">
        <v>0</v>
      </c>
      <c r="M81" t="b">
        <f ca="1">IF(TODAY()-Table_Query_from_A_Readiness4[[#This Row],[PER_DATE]]&gt;=0,TRUE, FALSE)</f>
        <v>0</v>
      </c>
    </row>
    <row r="82" spans="1:13">
      <c r="A82">
        <v>42139</v>
      </c>
      <c r="B82" t="s">
        <v>325</v>
      </c>
      <c r="C82" t="s">
        <v>166</v>
      </c>
      <c r="D82" s="133">
        <v>11</v>
      </c>
      <c r="E82" s="133">
        <v>24</v>
      </c>
      <c r="F82" s="133">
        <v>0</v>
      </c>
      <c r="G82" s="133">
        <v>0</v>
      </c>
      <c r="H82" s="133">
        <v>0</v>
      </c>
      <c r="I82" s="133">
        <v>0</v>
      </c>
      <c r="J82" s="133">
        <v>0</v>
      </c>
      <c r="K82">
        <v>42135</v>
      </c>
      <c r="L82" s="133">
        <v>0</v>
      </c>
      <c r="M82" t="b">
        <f ca="1">IF(TODAY()-Table_Query_from_A_Readiness4[[#This Row],[PER_DATE]]&gt;=0,TRUE, FALSE)</f>
        <v>0</v>
      </c>
    </row>
    <row r="83" spans="1:13">
      <c r="A83">
        <v>42139</v>
      </c>
      <c r="B83" t="s">
        <v>325</v>
      </c>
      <c r="C83" t="s">
        <v>152</v>
      </c>
      <c r="D83" s="133">
        <v>11</v>
      </c>
      <c r="E83" s="133">
        <v>24</v>
      </c>
      <c r="F83" s="133">
        <v>0</v>
      </c>
      <c r="G83" s="133">
        <v>0</v>
      </c>
      <c r="H83" s="133">
        <v>0</v>
      </c>
      <c r="I83" s="133">
        <v>0</v>
      </c>
      <c r="J83" s="133">
        <v>0</v>
      </c>
      <c r="K83">
        <v>42135</v>
      </c>
      <c r="L83" s="133">
        <v>0</v>
      </c>
      <c r="M83" t="b">
        <f ca="1">IF(TODAY()-Table_Query_from_A_Readiness4[[#This Row],[PER_DATE]]&gt;=0,TRUE, FALSE)</f>
        <v>0</v>
      </c>
    </row>
    <row r="84" spans="1:13">
      <c r="A84">
        <v>42139</v>
      </c>
      <c r="B84" t="s">
        <v>325</v>
      </c>
      <c r="C84" t="s">
        <v>167</v>
      </c>
      <c r="D84" s="133">
        <v>11</v>
      </c>
      <c r="E84" s="133">
        <v>24</v>
      </c>
      <c r="F84" s="133">
        <v>0</v>
      </c>
      <c r="G84" s="133">
        <v>0</v>
      </c>
      <c r="H84" s="133">
        <v>0</v>
      </c>
      <c r="I84" s="133">
        <v>0</v>
      </c>
      <c r="J84" s="133">
        <v>0</v>
      </c>
      <c r="K84">
        <v>42135</v>
      </c>
      <c r="L84" s="133">
        <v>0</v>
      </c>
      <c r="M84" t="b">
        <f ca="1">IF(TODAY()-Table_Query_from_A_Readiness4[[#This Row],[PER_DATE]]&gt;=0,TRUE, FALSE)</f>
        <v>0</v>
      </c>
    </row>
    <row r="85" spans="1:13">
      <c r="A85">
        <v>42139</v>
      </c>
      <c r="B85" t="s">
        <v>325</v>
      </c>
      <c r="C85" t="s">
        <v>154</v>
      </c>
      <c r="D85" s="133">
        <v>11</v>
      </c>
      <c r="E85" s="133">
        <v>24</v>
      </c>
      <c r="F85" s="133">
        <v>0</v>
      </c>
      <c r="G85" s="133">
        <v>0</v>
      </c>
      <c r="H85" s="133">
        <v>0</v>
      </c>
      <c r="I85" s="133">
        <v>0</v>
      </c>
      <c r="J85" s="133">
        <v>0</v>
      </c>
      <c r="K85">
        <v>42135</v>
      </c>
      <c r="L85" s="133">
        <v>0</v>
      </c>
      <c r="M85" t="b">
        <f ca="1">IF(TODAY()-Table_Query_from_A_Readiness4[[#This Row],[PER_DATE]]&gt;=0,TRUE, FALSE)</f>
        <v>0</v>
      </c>
    </row>
    <row r="86" spans="1:13">
      <c r="A86">
        <v>42139</v>
      </c>
      <c r="B86" t="s">
        <v>325</v>
      </c>
      <c r="C86" t="s">
        <v>168</v>
      </c>
      <c r="D86" s="133">
        <v>11</v>
      </c>
      <c r="E86" s="133">
        <v>24</v>
      </c>
      <c r="F86" s="133">
        <v>0</v>
      </c>
      <c r="G86" s="133">
        <v>0</v>
      </c>
      <c r="H86" s="133">
        <v>0</v>
      </c>
      <c r="I86" s="133">
        <v>0</v>
      </c>
      <c r="J86" s="133">
        <v>0</v>
      </c>
      <c r="K86">
        <v>42135</v>
      </c>
      <c r="L86" s="133">
        <v>0</v>
      </c>
      <c r="M86" t="b">
        <f ca="1">IF(TODAY()-Table_Query_from_A_Readiness4[[#This Row],[PER_DATE]]&gt;=0,TRUE, FALSE)</f>
        <v>0</v>
      </c>
    </row>
    <row r="87" spans="1:13">
      <c r="A87">
        <v>42139</v>
      </c>
      <c r="B87" t="s">
        <v>325</v>
      </c>
      <c r="C87" t="s">
        <v>157</v>
      </c>
      <c r="D87" s="133">
        <v>11</v>
      </c>
      <c r="E87" s="133">
        <v>24</v>
      </c>
      <c r="F87" s="133">
        <v>0</v>
      </c>
      <c r="G87" s="133">
        <v>0</v>
      </c>
      <c r="H87" s="133">
        <v>0</v>
      </c>
      <c r="I87" s="133">
        <v>0</v>
      </c>
      <c r="J87" s="133">
        <v>0</v>
      </c>
      <c r="K87">
        <v>42135</v>
      </c>
      <c r="L87" s="133">
        <v>0</v>
      </c>
      <c r="M87" t="b">
        <f ca="1">IF(TODAY()-Table_Query_from_A_Readiness4[[#This Row],[PER_DATE]]&gt;=0,TRUE, FALSE)</f>
        <v>0</v>
      </c>
    </row>
    <row r="88" spans="1:13">
      <c r="A88">
        <v>42139</v>
      </c>
      <c r="B88" t="s">
        <v>325</v>
      </c>
      <c r="C88" t="s">
        <v>159</v>
      </c>
      <c r="D88" s="133">
        <v>11</v>
      </c>
      <c r="E88" s="133">
        <v>24</v>
      </c>
      <c r="F88" s="133">
        <v>0</v>
      </c>
      <c r="G88" s="133">
        <v>0</v>
      </c>
      <c r="H88" s="133">
        <v>0</v>
      </c>
      <c r="I88" s="133">
        <v>0</v>
      </c>
      <c r="J88" s="133">
        <v>0</v>
      </c>
      <c r="K88">
        <v>42135</v>
      </c>
      <c r="L88" s="133">
        <v>0</v>
      </c>
      <c r="M88" t="b">
        <f ca="1">IF(TODAY()-Table_Query_from_A_Readiness4[[#This Row],[PER_DATE]]&gt;=0,TRUE, FALSE)</f>
        <v>0</v>
      </c>
    </row>
    <row r="89" spans="1:13">
      <c r="A89">
        <v>42139</v>
      </c>
      <c r="B89" t="s">
        <v>325</v>
      </c>
      <c r="C89" t="s">
        <v>160</v>
      </c>
      <c r="D89" s="133">
        <v>11</v>
      </c>
      <c r="E89" s="133">
        <v>24</v>
      </c>
      <c r="F89" s="133">
        <v>0</v>
      </c>
      <c r="G89" s="133">
        <v>0</v>
      </c>
      <c r="H89" s="133">
        <v>0</v>
      </c>
      <c r="I89" s="133">
        <v>0</v>
      </c>
      <c r="J89" s="133">
        <v>0</v>
      </c>
      <c r="K89">
        <v>42135</v>
      </c>
      <c r="L89" s="133">
        <v>0</v>
      </c>
      <c r="M89" t="b">
        <f ca="1">IF(TODAY()-Table_Query_from_A_Readiness4[[#This Row],[PER_DATE]]&gt;=0,TRUE, FALSE)</f>
        <v>0</v>
      </c>
    </row>
    <row r="90" spans="1:13">
      <c r="A90">
        <v>42139</v>
      </c>
      <c r="B90" t="s">
        <v>325</v>
      </c>
      <c r="C90" t="s">
        <v>166</v>
      </c>
      <c r="D90" s="133">
        <v>12</v>
      </c>
      <c r="E90" s="133">
        <v>24</v>
      </c>
      <c r="F90" s="133">
        <v>0</v>
      </c>
      <c r="G90" s="133">
        <v>0</v>
      </c>
      <c r="H90" s="133">
        <v>0</v>
      </c>
      <c r="I90" s="133">
        <v>0</v>
      </c>
      <c r="J90" s="133">
        <v>0</v>
      </c>
      <c r="K90">
        <v>42136</v>
      </c>
      <c r="L90" s="133">
        <v>0</v>
      </c>
      <c r="M90" t="b">
        <f ca="1">IF(TODAY()-Table_Query_from_A_Readiness4[[#This Row],[PER_DATE]]&gt;=0,TRUE, FALSE)</f>
        <v>0</v>
      </c>
    </row>
    <row r="91" spans="1:13">
      <c r="A91">
        <v>42139</v>
      </c>
      <c r="B91" t="s">
        <v>325</v>
      </c>
      <c r="C91" t="s">
        <v>152</v>
      </c>
      <c r="D91" s="133">
        <v>12</v>
      </c>
      <c r="E91" s="133">
        <v>24</v>
      </c>
      <c r="F91" s="133">
        <v>0</v>
      </c>
      <c r="G91" s="133">
        <v>0</v>
      </c>
      <c r="H91" s="133">
        <v>0</v>
      </c>
      <c r="I91" s="133">
        <v>0</v>
      </c>
      <c r="J91" s="133">
        <v>0</v>
      </c>
      <c r="K91">
        <v>42136</v>
      </c>
      <c r="L91" s="133">
        <v>0</v>
      </c>
      <c r="M91" t="b">
        <f ca="1">IF(TODAY()-Table_Query_from_A_Readiness4[[#This Row],[PER_DATE]]&gt;=0,TRUE, FALSE)</f>
        <v>0</v>
      </c>
    </row>
    <row r="92" spans="1:13">
      <c r="A92">
        <v>42139</v>
      </c>
      <c r="B92" t="s">
        <v>325</v>
      </c>
      <c r="C92" t="s">
        <v>167</v>
      </c>
      <c r="D92" s="133">
        <v>12</v>
      </c>
      <c r="E92" s="133">
        <v>24</v>
      </c>
      <c r="F92" s="133">
        <v>0</v>
      </c>
      <c r="G92" s="133">
        <v>0</v>
      </c>
      <c r="H92" s="133">
        <v>0</v>
      </c>
      <c r="I92" s="133">
        <v>0</v>
      </c>
      <c r="J92" s="133">
        <v>0</v>
      </c>
      <c r="K92">
        <v>42136</v>
      </c>
      <c r="L92" s="133">
        <v>0</v>
      </c>
      <c r="M92" t="b">
        <f ca="1">IF(TODAY()-Table_Query_from_A_Readiness4[[#This Row],[PER_DATE]]&gt;=0,TRUE, FALSE)</f>
        <v>0</v>
      </c>
    </row>
    <row r="93" spans="1:13">
      <c r="A93">
        <v>42139</v>
      </c>
      <c r="B93" t="s">
        <v>325</v>
      </c>
      <c r="C93" t="s">
        <v>154</v>
      </c>
      <c r="D93" s="133">
        <v>12</v>
      </c>
      <c r="E93" s="133">
        <v>24</v>
      </c>
      <c r="F93" s="133">
        <v>0</v>
      </c>
      <c r="G93" s="133">
        <v>0</v>
      </c>
      <c r="H93" s="133">
        <v>0</v>
      </c>
      <c r="I93" s="133">
        <v>0</v>
      </c>
      <c r="J93" s="133">
        <v>0</v>
      </c>
      <c r="K93">
        <v>42136</v>
      </c>
      <c r="L93" s="133">
        <v>0</v>
      </c>
      <c r="M93" t="b">
        <f ca="1">IF(TODAY()-Table_Query_from_A_Readiness4[[#This Row],[PER_DATE]]&gt;=0,TRUE, FALSE)</f>
        <v>0</v>
      </c>
    </row>
    <row r="94" spans="1:13">
      <c r="A94">
        <v>42139</v>
      </c>
      <c r="B94" t="s">
        <v>325</v>
      </c>
      <c r="C94" t="s">
        <v>168</v>
      </c>
      <c r="D94" s="133">
        <v>12</v>
      </c>
      <c r="E94" s="133">
        <v>24</v>
      </c>
      <c r="F94" s="133">
        <v>0</v>
      </c>
      <c r="G94" s="133">
        <v>0</v>
      </c>
      <c r="H94" s="133">
        <v>0</v>
      </c>
      <c r="I94" s="133">
        <v>0</v>
      </c>
      <c r="J94" s="133">
        <v>0</v>
      </c>
      <c r="K94">
        <v>42136</v>
      </c>
      <c r="L94" s="133">
        <v>0</v>
      </c>
      <c r="M94" t="b">
        <f ca="1">IF(TODAY()-Table_Query_from_A_Readiness4[[#This Row],[PER_DATE]]&gt;=0,TRUE, FALSE)</f>
        <v>0</v>
      </c>
    </row>
    <row r="95" spans="1:13">
      <c r="A95">
        <v>42139</v>
      </c>
      <c r="B95" t="s">
        <v>325</v>
      </c>
      <c r="C95" t="s">
        <v>157</v>
      </c>
      <c r="D95" s="133">
        <v>12</v>
      </c>
      <c r="E95" s="133">
        <v>24</v>
      </c>
      <c r="F95" s="133">
        <v>0</v>
      </c>
      <c r="G95" s="133">
        <v>0</v>
      </c>
      <c r="H95" s="133">
        <v>0</v>
      </c>
      <c r="I95" s="133">
        <v>0</v>
      </c>
      <c r="J95" s="133">
        <v>0</v>
      </c>
      <c r="K95">
        <v>42136</v>
      </c>
      <c r="L95" s="133">
        <v>0</v>
      </c>
      <c r="M95" t="b">
        <f ca="1">IF(TODAY()-Table_Query_from_A_Readiness4[[#This Row],[PER_DATE]]&gt;=0,TRUE, FALSE)</f>
        <v>0</v>
      </c>
    </row>
    <row r="96" spans="1:13">
      <c r="A96">
        <v>42139</v>
      </c>
      <c r="B96" t="s">
        <v>325</v>
      </c>
      <c r="C96" t="s">
        <v>159</v>
      </c>
      <c r="D96" s="133">
        <v>12</v>
      </c>
      <c r="E96" s="133">
        <v>24</v>
      </c>
      <c r="F96" s="133">
        <v>0</v>
      </c>
      <c r="G96" s="133">
        <v>0</v>
      </c>
      <c r="H96" s="133">
        <v>0</v>
      </c>
      <c r="I96" s="133">
        <v>0</v>
      </c>
      <c r="J96" s="133">
        <v>0</v>
      </c>
      <c r="K96">
        <v>42136</v>
      </c>
      <c r="L96" s="133">
        <v>0</v>
      </c>
      <c r="M96" t="b">
        <f ca="1">IF(TODAY()-Table_Query_from_A_Readiness4[[#This Row],[PER_DATE]]&gt;=0,TRUE, FALSE)</f>
        <v>0</v>
      </c>
    </row>
    <row r="97" spans="1:13">
      <c r="A97">
        <v>42139</v>
      </c>
      <c r="B97" t="s">
        <v>325</v>
      </c>
      <c r="C97" t="s">
        <v>160</v>
      </c>
      <c r="D97" s="133">
        <v>12</v>
      </c>
      <c r="E97" s="133">
        <v>24</v>
      </c>
      <c r="F97" s="133">
        <v>0</v>
      </c>
      <c r="G97" s="133">
        <v>0</v>
      </c>
      <c r="H97" s="133">
        <v>0</v>
      </c>
      <c r="I97" s="133">
        <v>0</v>
      </c>
      <c r="J97" s="133">
        <v>0</v>
      </c>
      <c r="K97">
        <v>42136</v>
      </c>
      <c r="L97" s="133">
        <v>0</v>
      </c>
      <c r="M97" t="b">
        <f ca="1">IF(TODAY()-Table_Query_from_A_Readiness4[[#This Row],[PER_DATE]]&gt;=0,TRUE, FALSE)</f>
        <v>0</v>
      </c>
    </row>
    <row r="98" spans="1:13">
      <c r="A98">
        <v>42139</v>
      </c>
      <c r="B98" t="s">
        <v>325</v>
      </c>
      <c r="C98" t="s">
        <v>166</v>
      </c>
      <c r="D98" s="133">
        <v>13</v>
      </c>
      <c r="E98" s="133">
        <v>24</v>
      </c>
      <c r="F98" s="133">
        <v>0</v>
      </c>
      <c r="G98" s="133">
        <v>0</v>
      </c>
      <c r="H98" s="133">
        <v>0</v>
      </c>
      <c r="I98" s="133">
        <v>0</v>
      </c>
      <c r="J98" s="133">
        <v>0</v>
      </c>
      <c r="K98">
        <v>42137</v>
      </c>
      <c r="L98" s="133">
        <v>0</v>
      </c>
      <c r="M98" t="b">
        <f ca="1">IF(TODAY()-Table_Query_from_A_Readiness4[[#This Row],[PER_DATE]]&gt;=0,TRUE, FALSE)</f>
        <v>0</v>
      </c>
    </row>
    <row r="99" spans="1:13">
      <c r="A99">
        <v>42139</v>
      </c>
      <c r="B99" t="s">
        <v>325</v>
      </c>
      <c r="C99" t="s">
        <v>152</v>
      </c>
      <c r="D99" s="133">
        <v>13</v>
      </c>
      <c r="E99" s="133">
        <v>24</v>
      </c>
      <c r="F99" s="133">
        <v>0</v>
      </c>
      <c r="G99" s="133">
        <v>0</v>
      </c>
      <c r="H99" s="133">
        <v>0</v>
      </c>
      <c r="I99" s="133">
        <v>0</v>
      </c>
      <c r="J99" s="133">
        <v>0</v>
      </c>
      <c r="K99">
        <v>42137</v>
      </c>
      <c r="L99" s="133">
        <v>0</v>
      </c>
      <c r="M99" t="b">
        <f ca="1">IF(TODAY()-Table_Query_from_A_Readiness4[[#This Row],[PER_DATE]]&gt;=0,TRUE, FALSE)</f>
        <v>0</v>
      </c>
    </row>
    <row r="100" spans="1:13">
      <c r="A100">
        <v>42139</v>
      </c>
      <c r="B100" t="s">
        <v>325</v>
      </c>
      <c r="C100" t="s">
        <v>167</v>
      </c>
      <c r="D100" s="133">
        <v>13</v>
      </c>
      <c r="E100" s="133">
        <v>24</v>
      </c>
      <c r="F100" s="133">
        <v>0</v>
      </c>
      <c r="G100" s="133">
        <v>0</v>
      </c>
      <c r="H100" s="133">
        <v>0</v>
      </c>
      <c r="I100" s="133">
        <v>0</v>
      </c>
      <c r="J100" s="133">
        <v>0</v>
      </c>
      <c r="K100">
        <v>42137</v>
      </c>
      <c r="L100" s="133">
        <v>0</v>
      </c>
      <c r="M100" t="b">
        <f ca="1">IF(TODAY()-Table_Query_from_A_Readiness4[[#This Row],[PER_DATE]]&gt;=0,TRUE, FALSE)</f>
        <v>0</v>
      </c>
    </row>
    <row r="101" spans="1:13">
      <c r="A101">
        <v>42139</v>
      </c>
      <c r="B101" t="s">
        <v>325</v>
      </c>
      <c r="C101" t="s">
        <v>154</v>
      </c>
      <c r="D101" s="133">
        <v>13</v>
      </c>
      <c r="E101" s="133">
        <v>24</v>
      </c>
      <c r="F101" s="133">
        <v>0</v>
      </c>
      <c r="G101" s="133">
        <v>0</v>
      </c>
      <c r="H101" s="133">
        <v>0</v>
      </c>
      <c r="I101" s="133">
        <v>0</v>
      </c>
      <c r="J101" s="133">
        <v>0</v>
      </c>
      <c r="K101">
        <v>42137</v>
      </c>
      <c r="L101" s="133">
        <v>0</v>
      </c>
      <c r="M101" t="b">
        <f ca="1">IF(TODAY()-Table_Query_from_A_Readiness4[[#This Row],[PER_DATE]]&gt;=0,TRUE, FALSE)</f>
        <v>0</v>
      </c>
    </row>
    <row r="102" spans="1:13">
      <c r="A102">
        <v>42139</v>
      </c>
      <c r="B102" t="s">
        <v>325</v>
      </c>
      <c r="C102" t="s">
        <v>168</v>
      </c>
      <c r="D102" s="133">
        <v>13</v>
      </c>
      <c r="E102" s="133">
        <v>24</v>
      </c>
      <c r="F102" s="133">
        <v>0</v>
      </c>
      <c r="G102" s="133">
        <v>0</v>
      </c>
      <c r="H102" s="133">
        <v>0</v>
      </c>
      <c r="I102" s="133">
        <v>0</v>
      </c>
      <c r="J102" s="133">
        <v>0</v>
      </c>
      <c r="K102">
        <v>42137</v>
      </c>
      <c r="L102" s="133">
        <v>0</v>
      </c>
      <c r="M102" t="b">
        <f ca="1">IF(TODAY()-Table_Query_from_A_Readiness4[[#This Row],[PER_DATE]]&gt;=0,TRUE, FALSE)</f>
        <v>0</v>
      </c>
    </row>
    <row r="103" spans="1:13">
      <c r="A103">
        <v>42139</v>
      </c>
      <c r="B103" t="s">
        <v>325</v>
      </c>
      <c r="C103" t="s">
        <v>157</v>
      </c>
      <c r="D103" s="133">
        <v>13</v>
      </c>
      <c r="E103" s="133">
        <v>24</v>
      </c>
      <c r="F103" s="133">
        <v>0</v>
      </c>
      <c r="G103" s="133">
        <v>0</v>
      </c>
      <c r="H103" s="133">
        <v>0</v>
      </c>
      <c r="I103" s="133">
        <v>0</v>
      </c>
      <c r="J103" s="133">
        <v>0</v>
      </c>
      <c r="K103">
        <v>42137</v>
      </c>
      <c r="L103" s="133">
        <v>0</v>
      </c>
      <c r="M103" t="b">
        <f ca="1">IF(TODAY()-Table_Query_from_A_Readiness4[[#This Row],[PER_DATE]]&gt;=0,TRUE, FALSE)</f>
        <v>0</v>
      </c>
    </row>
    <row r="104" spans="1:13">
      <c r="A104">
        <v>42139</v>
      </c>
      <c r="B104" t="s">
        <v>325</v>
      </c>
      <c r="C104" t="s">
        <v>159</v>
      </c>
      <c r="D104" s="133">
        <v>13</v>
      </c>
      <c r="E104" s="133">
        <v>24</v>
      </c>
      <c r="F104" s="133">
        <v>0</v>
      </c>
      <c r="G104" s="133">
        <v>0</v>
      </c>
      <c r="H104" s="133">
        <v>0</v>
      </c>
      <c r="I104" s="133">
        <v>0</v>
      </c>
      <c r="J104" s="133">
        <v>0</v>
      </c>
      <c r="K104">
        <v>42137</v>
      </c>
      <c r="L104" s="133">
        <v>0</v>
      </c>
      <c r="M104" t="b">
        <f ca="1">IF(TODAY()-Table_Query_from_A_Readiness4[[#This Row],[PER_DATE]]&gt;=0,TRUE, FALSE)</f>
        <v>0</v>
      </c>
    </row>
    <row r="105" spans="1:13">
      <c r="A105">
        <v>42139</v>
      </c>
      <c r="B105" t="s">
        <v>325</v>
      </c>
      <c r="C105" t="s">
        <v>160</v>
      </c>
      <c r="D105" s="133">
        <v>13</v>
      </c>
      <c r="E105" s="133">
        <v>24</v>
      </c>
      <c r="F105" s="133">
        <v>0</v>
      </c>
      <c r="G105" s="133">
        <v>0</v>
      </c>
      <c r="H105" s="133">
        <v>0</v>
      </c>
      <c r="I105" s="133">
        <v>0</v>
      </c>
      <c r="J105" s="133">
        <v>0</v>
      </c>
      <c r="K105">
        <v>42137</v>
      </c>
      <c r="L105" s="133">
        <v>0</v>
      </c>
      <c r="M105" t="b">
        <f ca="1">IF(TODAY()-Table_Query_from_A_Readiness4[[#This Row],[PER_DATE]]&gt;=0,TRUE, FALSE)</f>
        <v>0</v>
      </c>
    </row>
    <row r="106" spans="1:13">
      <c r="A106">
        <v>42139</v>
      </c>
      <c r="B106" t="s">
        <v>325</v>
      </c>
      <c r="C106" t="s">
        <v>166</v>
      </c>
      <c r="D106" s="133">
        <v>14</v>
      </c>
      <c r="E106" s="133">
        <v>24</v>
      </c>
      <c r="F106" s="133">
        <v>0</v>
      </c>
      <c r="G106" s="133">
        <v>0</v>
      </c>
      <c r="H106" s="133">
        <v>0</v>
      </c>
      <c r="I106" s="133">
        <v>0</v>
      </c>
      <c r="J106" s="133">
        <v>0</v>
      </c>
      <c r="K106">
        <v>42138</v>
      </c>
      <c r="L106" s="133">
        <v>0</v>
      </c>
      <c r="M106" t="b">
        <f ca="1">IF(TODAY()-Table_Query_from_A_Readiness4[[#This Row],[PER_DATE]]&gt;=0,TRUE, FALSE)</f>
        <v>0</v>
      </c>
    </row>
    <row r="107" spans="1:13">
      <c r="A107">
        <v>42139</v>
      </c>
      <c r="B107" t="s">
        <v>325</v>
      </c>
      <c r="C107" t="s">
        <v>152</v>
      </c>
      <c r="D107" s="133">
        <v>14</v>
      </c>
      <c r="E107" s="133">
        <v>24</v>
      </c>
      <c r="F107" s="133">
        <v>0</v>
      </c>
      <c r="G107" s="133">
        <v>0</v>
      </c>
      <c r="H107" s="133">
        <v>0</v>
      </c>
      <c r="I107" s="133">
        <v>0</v>
      </c>
      <c r="J107" s="133">
        <v>0</v>
      </c>
      <c r="K107">
        <v>42138</v>
      </c>
      <c r="L107" s="133">
        <v>0</v>
      </c>
      <c r="M107" t="b">
        <f ca="1">IF(TODAY()-Table_Query_from_A_Readiness4[[#This Row],[PER_DATE]]&gt;=0,TRUE, FALSE)</f>
        <v>0</v>
      </c>
    </row>
    <row r="108" spans="1:13">
      <c r="A108">
        <v>42139</v>
      </c>
      <c r="B108" t="s">
        <v>325</v>
      </c>
      <c r="C108" t="s">
        <v>167</v>
      </c>
      <c r="D108" s="133">
        <v>14</v>
      </c>
      <c r="E108" s="133">
        <v>24</v>
      </c>
      <c r="F108" s="133">
        <v>0</v>
      </c>
      <c r="G108" s="133">
        <v>0</v>
      </c>
      <c r="H108" s="133">
        <v>0</v>
      </c>
      <c r="I108" s="133">
        <v>0</v>
      </c>
      <c r="J108" s="133">
        <v>0</v>
      </c>
      <c r="K108">
        <v>42138</v>
      </c>
      <c r="L108" s="133">
        <v>0</v>
      </c>
      <c r="M108" t="b">
        <f ca="1">IF(TODAY()-Table_Query_from_A_Readiness4[[#This Row],[PER_DATE]]&gt;=0,TRUE, FALSE)</f>
        <v>0</v>
      </c>
    </row>
    <row r="109" spans="1:13">
      <c r="A109">
        <v>42139</v>
      </c>
      <c r="B109" t="s">
        <v>325</v>
      </c>
      <c r="C109" t="s">
        <v>154</v>
      </c>
      <c r="D109" s="133">
        <v>14</v>
      </c>
      <c r="E109" s="133">
        <v>24</v>
      </c>
      <c r="F109" s="133">
        <v>0</v>
      </c>
      <c r="G109" s="133">
        <v>0</v>
      </c>
      <c r="H109" s="133">
        <v>0</v>
      </c>
      <c r="I109" s="133">
        <v>0</v>
      </c>
      <c r="J109" s="133">
        <v>0</v>
      </c>
      <c r="K109">
        <v>42138</v>
      </c>
      <c r="L109" s="133">
        <v>0</v>
      </c>
      <c r="M109" t="b">
        <f ca="1">IF(TODAY()-Table_Query_from_A_Readiness4[[#This Row],[PER_DATE]]&gt;=0,TRUE, FALSE)</f>
        <v>0</v>
      </c>
    </row>
    <row r="110" spans="1:13">
      <c r="A110">
        <v>42139</v>
      </c>
      <c r="B110" t="s">
        <v>325</v>
      </c>
      <c r="C110" t="s">
        <v>168</v>
      </c>
      <c r="D110" s="133">
        <v>14</v>
      </c>
      <c r="E110" s="133">
        <v>24</v>
      </c>
      <c r="F110" s="133">
        <v>0</v>
      </c>
      <c r="G110" s="133">
        <v>0</v>
      </c>
      <c r="H110" s="133">
        <v>0</v>
      </c>
      <c r="I110" s="133">
        <v>0</v>
      </c>
      <c r="J110" s="133">
        <v>0</v>
      </c>
      <c r="K110">
        <v>42138</v>
      </c>
      <c r="L110" s="133">
        <v>0</v>
      </c>
      <c r="M110" t="b">
        <f ca="1">IF(TODAY()-Table_Query_from_A_Readiness4[[#This Row],[PER_DATE]]&gt;=0,TRUE, FALSE)</f>
        <v>0</v>
      </c>
    </row>
    <row r="111" spans="1:13">
      <c r="A111">
        <v>42139</v>
      </c>
      <c r="B111" t="s">
        <v>325</v>
      </c>
      <c r="C111" t="s">
        <v>157</v>
      </c>
      <c r="D111" s="133">
        <v>14</v>
      </c>
      <c r="E111" s="133">
        <v>24</v>
      </c>
      <c r="F111" s="133">
        <v>0</v>
      </c>
      <c r="G111" s="133">
        <v>0</v>
      </c>
      <c r="H111" s="133">
        <v>0</v>
      </c>
      <c r="I111" s="133">
        <v>0</v>
      </c>
      <c r="J111" s="133">
        <v>0</v>
      </c>
      <c r="K111">
        <v>42138</v>
      </c>
      <c r="L111" s="133">
        <v>0</v>
      </c>
      <c r="M111" t="b">
        <f ca="1">IF(TODAY()-Table_Query_from_A_Readiness4[[#This Row],[PER_DATE]]&gt;=0,TRUE, FALSE)</f>
        <v>0</v>
      </c>
    </row>
    <row r="112" spans="1:13">
      <c r="A112">
        <v>42139</v>
      </c>
      <c r="B112" t="s">
        <v>325</v>
      </c>
      <c r="C112" t="s">
        <v>159</v>
      </c>
      <c r="D112" s="133">
        <v>14</v>
      </c>
      <c r="E112" s="133">
        <v>24</v>
      </c>
      <c r="F112" s="133">
        <v>0</v>
      </c>
      <c r="G112" s="133">
        <v>0</v>
      </c>
      <c r="H112" s="133">
        <v>0</v>
      </c>
      <c r="I112" s="133">
        <v>0</v>
      </c>
      <c r="J112" s="133">
        <v>0</v>
      </c>
      <c r="K112">
        <v>42138</v>
      </c>
      <c r="L112" s="133">
        <v>0</v>
      </c>
      <c r="M112" t="b">
        <f ca="1">IF(TODAY()-Table_Query_from_A_Readiness4[[#This Row],[PER_DATE]]&gt;=0,TRUE, FALSE)</f>
        <v>0</v>
      </c>
    </row>
    <row r="113" spans="1:13">
      <c r="A113">
        <v>42139</v>
      </c>
      <c r="B113" t="s">
        <v>325</v>
      </c>
      <c r="C113" t="s">
        <v>160</v>
      </c>
      <c r="D113" s="133">
        <v>14</v>
      </c>
      <c r="E113" s="133">
        <v>24</v>
      </c>
      <c r="F113" s="133">
        <v>0</v>
      </c>
      <c r="G113" s="133">
        <v>0</v>
      </c>
      <c r="H113" s="133">
        <v>0</v>
      </c>
      <c r="I113" s="133">
        <v>0</v>
      </c>
      <c r="J113" s="133">
        <v>0</v>
      </c>
      <c r="K113">
        <v>42138</v>
      </c>
      <c r="L113" s="133">
        <v>0</v>
      </c>
      <c r="M113" t="b">
        <f ca="1">IF(TODAY()-Table_Query_from_A_Readiness4[[#This Row],[PER_DATE]]&gt;=0,TRUE, FALSE)</f>
        <v>0</v>
      </c>
    </row>
    <row r="114" spans="1:13">
      <c r="A114">
        <v>42139</v>
      </c>
      <c r="B114" t="s">
        <v>325</v>
      </c>
      <c r="C114" t="s">
        <v>166</v>
      </c>
      <c r="D114" s="133">
        <v>15</v>
      </c>
      <c r="E114" s="133">
        <v>24</v>
      </c>
      <c r="F114" s="133">
        <v>0</v>
      </c>
      <c r="G114" s="133">
        <v>0</v>
      </c>
      <c r="H114" s="133">
        <v>0</v>
      </c>
      <c r="I114" s="133">
        <v>0</v>
      </c>
      <c r="J114" s="133">
        <v>0</v>
      </c>
      <c r="K114">
        <v>42139</v>
      </c>
      <c r="L114" s="133">
        <v>0</v>
      </c>
      <c r="M114" t="b">
        <f ca="1">IF(TODAY()-Table_Query_from_A_Readiness4[[#This Row],[PER_DATE]]&gt;=0,TRUE, FALSE)</f>
        <v>0</v>
      </c>
    </row>
    <row r="115" spans="1:13">
      <c r="A115">
        <v>42139</v>
      </c>
      <c r="B115" t="s">
        <v>325</v>
      </c>
      <c r="C115" t="s">
        <v>152</v>
      </c>
      <c r="D115" s="133">
        <v>15</v>
      </c>
      <c r="E115" s="133">
        <v>24</v>
      </c>
      <c r="F115" s="133">
        <v>0</v>
      </c>
      <c r="G115" s="133">
        <v>0</v>
      </c>
      <c r="H115" s="133">
        <v>0</v>
      </c>
      <c r="I115" s="133">
        <v>0</v>
      </c>
      <c r="J115" s="133">
        <v>0</v>
      </c>
      <c r="K115">
        <v>42139</v>
      </c>
      <c r="L115" s="133">
        <v>0</v>
      </c>
      <c r="M115" t="b">
        <f ca="1">IF(TODAY()-Table_Query_from_A_Readiness4[[#This Row],[PER_DATE]]&gt;=0,TRUE, FALSE)</f>
        <v>0</v>
      </c>
    </row>
    <row r="116" spans="1:13">
      <c r="A116">
        <v>42139</v>
      </c>
      <c r="B116" t="s">
        <v>325</v>
      </c>
      <c r="C116" t="s">
        <v>167</v>
      </c>
      <c r="D116" s="133">
        <v>15</v>
      </c>
      <c r="E116" s="133">
        <v>24</v>
      </c>
      <c r="F116" s="133">
        <v>0</v>
      </c>
      <c r="G116" s="133">
        <v>0</v>
      </c>
      <c r="H116" s="133">
        <v>0</v>
      </c>
      <c r="I116" s="133">
        <v>0</v>
      </c>
      <c r="J116" s="133">
        <v>0</v>
      </c>
      <c r="K116">
        <v>42139</v>
      </c>
      <c r="L116" s="133">
        <v>0</v>
      </c>
      <c r="M116" t="b">
        <f ca="1">IF(TODAY()-Table_Query_from_A_Readiness4[[#This Row],[PER_DATE]]&gt;=0,TRUE, FALSE)</f>
        <v>0</v>
      </c>
    </row>
    <row r="117" spans="1:13">
      <c r="A117">
        <v>42139</v>
      </c>
      <c r="B117" t="s">
        <v>325</v>
      </c>
      <c r="C117" t="s">
        <v>154</v>
      </c>
      <c r="D117" s="133">
        <v>15</v>
      </c>
      <c r="E117" s="133">
        <v>24</v>
      </c>
      <c r="F117" s="133">
        <v>0</v>
      </c>
      <c r="G117" s="133">
        <v>0</v>
      </c>
      <c r="H117" s="133">
        <v>0</v>
      </c>
      <c r="I117" s="133">
        <v>0</v>
      </c>
      <c r="J117" s="133">
        <v>0</v>
      </c>
      <c r="K117">
        <v>42139</v>
      </c>
      <c r="L117" s="133">
        <v>0</v>
      </c>
      <c r="M117" t="b">
        <f ca="1">IF(TODAY()-Table_Query_from_A_Readiness4[[#This Row],[PER_DATE]]&gt;=0,TRUE, FALSE)</f>
        <v>0</v>
      </c>
    </row>
    <row r="118" spans="1:13">
      <c r="A118">
        <v>42139</v>
      </c>
      <c r="B118" t="s">
        <v>325</v>
      </c>
      <c r="C118" t="s">
        <v>168</v>
      </c>
      <c r="D118" s="133">
        <v>15</v>
      </c>
      <c r="E118" s="133">
        <v>24</v>
      </c>
      <c r="F118" s="133">
        <v>0</v>
      </c>
      <c r="G118" s="133">
        <v>0</v>
      </c>
      <c r="H118" s="133">
        <v>0</v>
      </c>
      <c r="I118" s="133">
        <v>0</v>
      </c>
      <c r="J118" s="133">
        <v>0</v>
      </c>
      <c r="K118">
        <v>42139</v>
      </c>
      <c r="L118" s="133">
        <v>0</v>
      </c>
      <c r="M118" t="b">
        <f ca="1">IF(TODAY()-Table_Query_from_A_Readiness4[[#This Row],[PER_DATE]]&gt;=0,TRUE, FALSE)</f>
        <v>0</v>
      </c>
    </row>
    <row r="119" spans="1:13">
      <c r="A119">
        <v>42139</v>
      </c>
      <c r="B119" t="s">
        <v>325</v>
      </c>
      <c r="C119" t="s">
        <v>157</v>
      </c>
      <c r="D119" s="133">
        <v>15</v>
      </c>
      <c r="E119" s="133">
        <v>24</v>
      </c>
      <c r="F119" s="133">
        <v>0</v>
      </c>
      <c r="G119" s="133">
        <v>0</v>
      </c>
      <c r="H119" s="133">
        <v>0</v>
      </c>
      <c r="I119" s="133">
        <v>0</v>
      </c>
      <c r="J119" s="133">
        <v>0</v>
      </c>
      <c r="K119">
        <v>42139</v>
      </c>
      <c r="L119" s="133">
        <v>0</v>
      </c>
      <c r="M119" t="b">
        <f ca="1">IF(TODAY()-Table_Query_from_A_Readiness4[[#This Row],[PER_DATE]]&gt;=0,TRUE, FALSE)</f>
        <v>0</v>
      </c>
    </row>
    <row r="120" spans="1:13">
      <c r="A120">
        <v>42139</v>
      </c>
      <c r="B120" t="s">
        <v>325</v>
      </c>
      <c r="C120" t="s">
        <v>159</v>
      </c>
      <c r="D120" s="133">
        <v>15</v>
      </c>
      <c r="E120" s="133">
        <v>24</v>
      </c>
      <c r="F120" s="133">
        <v>0</v>
      </c>
      <c r="G120" s="133">
        <v>0</v>
      </c>
      <c r="H120" s="133">
        <v>0</v>
      </c>
      <c r="I120" s="133">
        <v>0</v>
      </c>
      <c r="J120" s="133">
        <v>0</v>
      </c>
      <c r="K120">
        <v>42139</v>
      </c>
      <c r="L120" s="133">
        <v>0</v>
      </c>
      <c r="M120" t="b">
        <f ca="1">IF(TODAY()-Table_Query_from_A_Readiness4[[#This Row],[PER_DATE]]&gt;=0,TRUE, FALSE)</f>
        <v>0</v>
      </c>
    </row>
    <row r="121" spans="1:13">
      <c r="A121">
        <v>42139</v>
      </c>
      <c r="B121" t="s">
        <v>325</v>
      </c>
      <c r="C121" t="s">
        <v>160</v>
      </c>
      <c r="D121" s="133">
        <v>15</v>
      </c>
      <c r="E121" s="133">
        <v>24</v>
      </c>
      <c r="F121" s="133">
        <v>0</v>
      </c>
      <c r="G121" s="133">
        <v>0</v>
      </c>
      <c r="H121" s="133">
        <v>0</v>
      </c>
      <c r="I121" s="133">
        <v>0</v>
      </c>
      <c r="J121" s="133">
        <v>0</v>
      </c>
      <c r="K121">
        <v>42139</v>
      </c>
      <c r="L121" s="133">
        <v>0</v>
      </c>
      <c r="M121" t="b">
        <f ca="1">IF(TODAY()-Table_Query_from_A_Readiness4[[#This Row],[PER_DATE]]&gt;=0,TRUE, FALSE)</f>
        <v>0</v>
      </c>
    </row>
    <row r="122" spans="1:13">
      <c r="A122">
        <v>42139</v>
      </c>
      <c r="B122" t="s">
        <v>325</v>
      </c>
      <c r="C122" t="s">
        <v>166</v>
      </c>
      <c r="D122" s="133">
        <v>16</v>
      </c>
      <c r="E122" s="133">
        <v>0</v>
      </c>
      <c r="F122" s="133">
        <v>0</v>
      </c>
      <c r="G122" s="133">
        <v>0</v>
      </c>
      <c r="H122" s="133">
        <v>24</v>
      </c>
      <c r="I122" s="133">
        <v>0</v>
      </c>
      <c r="J122" s="133">
        <v>0</v>
      </c>
      <c r="K122">
        <v>42110</v>
      </c>
      <c r="L122" s="133">
        <v>0</v>
      </c>
      <c r="M122" t="b">
        <f ca="1">IF(TODAY()-Table_Query_from_A_Readiness4[[#This Row],[PER_DATE]]&gt;=0,TRUE, FALSE)</f>
        <v>1</v>
      </c>
    </row>
    <row r="123" spans="1:13">
      <c r="A123">
        <v>42139</v>
      </c>
      <c r="B123" t="s">
        <v>325</v>
      </c>
      <c r="C123" t="s">
        <v>152</v>
      </c>
      <c r="D123" s="133">
        <v>16</v>
      </c>
      <c r="E123" s="133">
        <v>0</v>
      </c>
      <c r="F123" s="133">
        <v>0</v>
      </c>
      <c r="G123" s="133">
        <v>0</v>
      </c>
      <c r="H123" s="133">
        <v>24</v>
      </c>
      <c r="I123" s="133">
        <v>0</v>
      </c>
      <c r="J123" s="133">
        <v>0</v>
      </c>
      <c r="K123">
        <v>42110</v>
      </c>
      <c r="L123" s="133">
        <v>0</v>
      </c>
      <c r="M123" t="b">
        <f ca="1">IF(TODAY()-Table_Query_from_A_Readiness4[[#This Row],[PER_DATE]]&gt;=0,TRUE, FALSE)</f>
        <v>1</v>
      </c>
    </row>
    <row r="124" spans="1:13">
      <c r="A124">
        <v>42139</v>
      </c>
      <c r="B124" t="s">
        <v>325</v>
      </c>
      <c r="C124" t="s">
        <v>167</v>
      </c>
      <c r="D124" s="133">
        <v>16</v>
      </c>
      <c r="E124" s="133">
        <v>0</v>
      </c>
      <c r="F124" s="133">
        <v>0</v>
      </c>
      <c r="G124" s="133">
        <v>0</v>
      </c>
      <c r="H124" s="133">
        <v>0</v>
      </c>
      <c r="I124" s="133">
        <v>24</v>
      </c>
      <c r="J124" s="133">
        <v>0</v>
      </c>
      <c r="K124">
        <v>42110</v>
      </c>
      <c r="L124" s="133">
        <v>0</v>
      </c>
      <c r="M124" t="b">
        <f ca="1">IF(TODAY()-Table_Query_from_A_Readiness4[[#This Row],[PER_DATE]]&gt;=0,TRUE, FALSE)</f>
        <v>1</v>
      </c>
    </row>
    <row r="125" spans="1:13">
      <c r="A125">
        <v>42139</v>
      </c>
      <c r="B125" t="s">
        <v>325</v>
      </c>
      <c r="C125" t="s">
        <v>154</v>
      </c>
      <c r="D125" s="133">
        <v>16</v>
      </c>
      <c r="E125" s="133">
        <v>0</v>
      </c>
      <c r="F125" s="133">
        <v>24</v>
      </c>
      <c r="G125" s="133">
        <v>0</v>
      </c>
      <c r="H125" s="133">
        <v>0</v>
      </c>
      <c r="I125" s="133">
        <v>0</v>
      </c>
      <c r="J125" s="133">
        <v>0</v>
      </c>
      <c r="K125">
        <v>42110</v>
      </c>
      <c r="L125" s="133">
        <v>0</v>
      </c>
      <c r="M125" t="b">
        <f ca="1">IF(TODAY()-Table_Query_from_A_Readiness4[[#This Row],[PER_DATE]]&gt;=0,TRUE, FALSE)</f>
        <v>1</v>
      </c>
    </row>
    <row r="126" spans="1:13">
      <c r="A126">
        <v>42139</v>
      </c>
      <c r="B126" t="s">
        <v>325</v>
      </c>
      <c r="C126" t="s">
        <v>168</v>
      </c>
      <c r="D126" s="133">
        <v>16</v>
      </c>
      <c r="E126" s="133">
        <v>0</v>
      </c>
      <c r="F126" s="133">
        <v>24</v>
      </c>
      <c r="G126" s="133">
        <v>0</v>
      </c>
      <c r="H126" s="133">
        <v>0</v>
      </c>
      <c r="I126" s="133">
        <v>0</v>
      </c>
      <c r="J126" s="133">
        <v>0</v>
      </c>
      <c r="K126">
        <v>42110</v>
      </c>
      <c r="L126" s="133">
        <v>0</v>
      </c>
      <c r="M126" t="b">
        <f ca="1">IF(TODAY()-Table_Query_from_A_Readiness4[[#This Row],[PER_DATE]]&gt;=0,TRUE, FALSE)</f>
        <v>1</v>
      </c>
    </row>
    <row r="127" spans="1:13">
      <c r="A127">
        <v>42139</v>
      </c>
      <c r="B127" t="s">
        <v>325</v>
      </c>
      <c r="C127" t="s">
        <v>157</v>
      </c>
      <c r="D127" s="133">
        <v>16</v>
      </c>
      <c r="E127" s="133">
        <v>0</v>
      </c>
      <c r="F127" s="133">
        <v>24</v>
      </c>
      <c r="G127" s="133">
        <v>0</v>
      </c>
      <c r="H127" s="133">
        <v>0</v>
      </c>
      <c r="I127" s="133">
        <v>0</v>
      </c>
      <c r="J127" s="133">
        <v>0</v>
      </c>
      <c r="K127">
        <v>42110</v>
      </c>
      <c r="L127" s="133">
        <v>0</v>
      </c>
      <c r="M127" t="b">
        <f ca="1">IF(TODAY()-Table_Query_from_A_Readiness4[[#This Row],[PER_DATE]]&gt;=0,TRUE, FALSE)</f>
        <v>1</v>
      </c>
    </row>
    <row r="128" spans="1:13">
      <c r="A128">
        <v>42139</v>
      </c>
      <c r="B128" t="s">
        <v>325</v>
      </c>
      <c r="C128" t="s">
        <v>159</v>
      </c>
      <c r="D128" s="133">
        <v>16</v>
      </c>
      <c r="E128" s="133">
        <v>0</v>
      </c>
      <c r="F128" s="133">
        <v>0</v>
      </c>
      <c r="G128" s="133">
        <v>0</v>
      </c>
      <c r="H128" s="133">
        <v>0</v>
      </c>
      <c r="I128" s="133">
        <v>24</v>
      </c>
      <c r="J128" s="133">
        <v>1.5</v>
      </c>
      <c r="K128">
        <v>42110</v>
      </c>
      <c r="L128" s="133">
        <v>0</v>
      </c>
      <c r="M128" t="b">
        <f ca="1">IF(TODAY()-Table_Query_from_A_Readiness4[[#This Row],[PER_DATE]]&gt;=0,TRUE, FALSE)</f>
        <v>1</v>
      </c>
    </row>
    <row r="129" spans="1:13">
      <c r="A129">
        <v>42139</v>
      </c>
      <c r="B129" t="s">
        <v>325</v>
      </c>
      <c r="C129" t="s">
        <v>160</v>
      </c>
      <c r="D129" s="133">
        <v>16</v>
      </c>
      <c r="E129" s="133">
        <v>0</v>
      </c>
      <c r="F129" s="133">
        <v>24</v>
      </c>
      <c r="G129" s="133">
        <v>0</v>
      </c>
      <c r="H129" s="133">
        <v>0</v>
      </c>
      <c r="I129" s="133">
        <v>0</v>
      </c>
      <c r="J129" s="133">
        <v>0</v>
      </c>
      <c r="K129">
        <v>42110</v>
      </c>
      <c r="L129" s="133">
        <v>0</v>
      </c>
      <c r="M129" t="b">
        <f ca="1">IF(TODAY()-Table_Query_from_A_Readiness4[[#This Row],[PER_DATE]]&gt;=0,TRUE, FALSE)</f>
        <v>1</v>
      </c>
    </row>
    <row r="130" spans="1:13">
      <c r="A130">
        <v>42139</v>
      </c>
      <c r="B130" t="s">
        <v>325</v>
      </c>
      <c r="C130" t="s">
        <v>166</v>
      </c>
      <c r="D130" s="133">
        <v>17</v>
      </c>
      <c r="E130" s="133">
        <v>0</v>
      </c>
      <c r="F130" s="133">
        <v>0</v>
      </c>
      <c r="G130" s="133">
        <v>0</v>
      </c>
      <c r="H130" s="133">
        <v>24</v>
      </c>
      <c r="I130" s="133">
        <v>0</v>
      </c>
      <c r="J130" s="133">
        <v>0</v>
      </c>
      <c r="K130">
        <v>42111</v>
      </c>
      <c r="L130" s="133">
        <v>0</v>
      </c>
      <c r="M130" t="b">
        <f ca="1">IF(TODAY()-Table_Query_from_A_Readiness4[[#This Row],[PER_DATE]]&gt;=0,TRUE, FALSE)</f>
        <v>1</v>
      </c>
    </row>
    <row r="131" spans="1:13">
      <c r="A131">
        <v>42139</v>
      </c>
      <c r="B131" t="s">
        <v>325</v>
      </c>
      <c r="C131" t="s">
        <v>152</v>
      </c>
      <c r="D131" s="133">
        <v>17</v>
      </c>
      <c r="E131" s="133">
        <v>0</v>
      </c>
      <c r="F131" s="133">
        <v>0</v>
      </c>
      <c r="G131" s="133">
        <v>0</v>
      </c>
      <c r="H131" s="133">
        <v>24</v>
      </c>
      <c r="I131" s="133">
        <v>0</v>
      </c>
      <c r="J131" s="133">
        <v>0</v>
      </c>
      <c r="K131">
        <v>42111</v>
      </c>
      <c r="L131" s="133">
        <v>0</v>
      </c>
      <c r="M131" t="b">
        <f ca="1">IF(TODAY()-Table_Query_from_A_Readiness4[[#This Row],[PER_DATE]]&gt;=0,TRUE, FALSE)</f>
        <v>1</v>
      </c>
    </row>
    <row r="132" spans="1:13">
      <c r="A132">
        <v>42139</v>
      </c>
      <c r="B132" t="s">
        <v>325</v>
      </c>
      <c r="C132" t="s">
        <v>167</v>
      </c>
      <c r="D132" s="133">
        <v>17</v>
      </c>
      <c r="E132" s="133">
        <v>0</v>
      </c>
      <c r="F132" s="133">
        <v>0</v>
      </c>
      <c r="G132" s="133">
        <v>0</v>
      </c>
      <c r="H132" s="133">
        <v>0</v>
      </c>
      <c r="I132" s="133">
        <v>24</v>
      </c>
      <c r="J132" s="133">
        <v>0</v>
      </c>
      <c r="K132">
        <v>42111</v>
      </c>
      <c r="L132" s="133">
        <v>0</v>
      </c>
      <c r="M132" t="b">
        <f ca="1">IF(TODAY()-Table_Query_from_A_Readiness4[[#This Row],[PER_DATE]]&gt;=0,TRUE, FALSE)</f>
        <v>1</v>
      </c>
    </row>
    <row r="133" spans="1:13">
      <c r="A133">
        <v>42139</v>
      </c>
      <c r="B133" t="s">
        <v>325</v>
      </c>
      <c r="C133" t="s">
        <v>154</v>
      </c>
      <c r="D133" s="133">
        <v>17</v>
      </c>
      <c r="E133" s="133">
        <v>0</v>
      </c>
      <c r="F133" s="133">
        <v>24</v>
      </c>
      <c r="G133" s="133">
        <v>0</v>
      </c>
      <c r="H133" s="133">
        <v>0</v>
      </c>
      <c r="I133" s="133">
        <v>0</v>
      </c>
      <c r="J133" s="133">
        <v>0</v>
      </c>
      <c r="K133">
        <v>42111</v>
      </c>
      <c r="L133" s="133">
        <v>0</v>
      </c>
      <c r="M133" t="b">
        <f ca="1">IF(TODAY()-Table_Query_from_A_Readiness4[[#This Row],[PER_DATE]]&gt;=0,TRUE, FALSE)</f>
        <v>1</v>
      </c>
    </row>
    <row r="134" spans="1:13">
      <c r="A134">
        <v>42139</v>
      </c>
      <c r="B134" t="s">
        <v>325</v>
      </c>
      <c r="C134" t="s">
        <v>168</v>
      </c>
      <c r="D134" s="133">
        <v>17</v>
      </c>
      <c r="E134" s="133">
        <v>0</v>
      </c>
      <c r="F134" s="133">
        <v>24</v>
      </c>
      <c r="G134" s="133">
        <v>0</v>
      </c>
      <c r="H134" s="133">
        <v>0</v>
      </c>
      <c r="I134" s="133">
        <v>0</v>
      </c>
      <c r="J134" s="133">
        <v>0</v>
      </c>
      <c r="K134">
        <v>42111</v>
      </c>
      <c r="L134" s="133">
        <v>0</v>
      </c>
      <c r="M134" t="b">
        <f ca="1">IF(TODAY()-Table_Query_from_A_Readiness4[[#This Row],[PER_DATE]]&gt;=0,TRUE, FALSE)</f>
        <v>1</v>
      </c>
    </row>
    <row r="135" spans="1:13">
      <c r="A135">
        <v>42139</v>
      </c>
      <c r="B135" t="s">
        <v>325</v>
      </c>
      <c r="C135" t="s">
        <v>157</v>
      </c>
      <c r="D135" s="133">
        <v>17</v>
      </c>
      <c r="E135" s="133">
        <v>0</v>
      </c>
      <c r="F135" s="133">
        <v>24</v>
      </c>
      <c r="G135" s="133">
        <v>0</v>
      </c>
      <c r="H135" s="133">
        <v>0</v>
      </c>
      <c r="I135" s="133">
        <v>0</v>
      </c>
      <c r="J135" s="133">
        <v>0</v>
      </c>
      <c r="K135">
        <v>42111</v>
      </c>
      <c r="L135" s="133">
        <v>0</v>
      </c>
      <c r="M135" t="b">
        <f ca="1">IF(TODAY()-Table_Query_from_A_Readiness4[[#This Row],[PER_DATE]]&gt;=0,TRUE, FALSE)</f>
        <v>1</v>
      </c>
    </row>
    <row r="136" spans="1:13">
      <c r="A136">
        <v>42139</v>
      </c>
      <c r="B136" t="s">
        <v>325</v>
      </c>
      <c r="C136" t="s">
        <v>159</v>
      </c>
      <c r="D136" s="133">
        <v>17</v>
      </c>
      <c r="E136" s="133">
        <v>0</v>
      </c>
      <c r="F136" s="133">
        <v>8</v>
      </c>
      <c r="G136" s="133">
        <v>0</v>
      </c>
      <c r="H136" s="133">
        <v>0</v>
      </c>
      <c r="I136" s="133">
        <v>16</v>
      </c>
      <c r="J136" s="133">
        <v>0</v>
      </c>
      <c r="K136">
        <v>42111</v>
      </c>
      <c r="L136" s="133">
        <v>0</v>
      </c>
      <c r="M136" t="b">
        <f ca="1">IF(TODAY()-Table_Query_from_A_Readiness4[[#This Row],[PER_DATE]]&gt;=0,TRUE, FALSE)</f>
        <v>1</v>
      </c>
    </row>
    <row r="137" spans="1:13">
      <c r="A137">
        <v>42139</v>
      </c>
      <c r="B137" t="s">
        <v>325</v>
      </c>
      <c r="C137" t="s">
        <v>160</v>
      </c>
      <c r="D137" s="133">
        <v>17</v>
      </c>
      <c r="E137" s="133">
        <v>0</v>
      </c>
      <c r="F137" s="133">
        <v>24</v>
      </c>
      <c r="G137" s="133">
        <v>0</v>
      </c>
      <c r="H137" s="133">
        <v>0</v>
      </c>
      <c r="I137" s="133">
        <v>0</v>
      </c>
      <c r="J137" s="133">
        <v>0</v>
      </c>
      <c r="K137">
        <v>42111</v>
      </c>
      <c r="L137" s="133">
        <v>0</v>
      </c>
      <c r="M137" t="b">
        <f ca="1">IF(TODAY()-Table_Query_from_A_Readiness4[[#This Row],[PER_DATE]]&gt;=0,TRUE, FALSE)</f>
        <v>1</v>
      </c>
    </row>
    <row r="138" spans="1:13">
      <c r="A138">
        <v>42139</v>
      </c>
      <c r="B138" t="s">
        <v>325</v>
      </c>
      <c r="C138" t="s">
        <v>166</v>
      </c>
      <c r="D138" s="133">
        <v>18</v>
      </c>
      <c r="E138" s="133">
        <v>0</v>
      </c>
      <c r="F138" s="133">
        <v>0</v>
      </c>
      <c r="G138" s="133">
        <v>0</v>
      </c>
      <c r="H138" s="133">
        <v>24</v>
      </c>
      <c r="I138" s="133">
        <v>0</v>
      </c>
      <c r="J138" s="133">
        <v>0</v>
      </c>
      <c r="K138">
        <v>42112</v>
      </c>
      <c r="L138" s="133">
        <v>0</v>
      </c>
      <c r="M138" t="b">
        <f ca="1">IF(TODAY()-Table_Query_from_A_Readiness4[[#This Row],[PER_DATE]]&gt;=0,TRUE, FALSE)</f>
        <v>1</v>
      </c>
    </row>
    <row r="139" spans="1:13">
      <c r="A139">
        <v>42139</v>
      </c>
      <c r="B139" t="s">
        <v>325</v>
      </c>
      <c r="C139" t="s">
        <v>152</v>
      </c>
      <c r="D139" s="133">
        <v>18</v>
      </c>
      <c r="E139" s="133">
        <v>0</v>
      </c>
      <c r="F139" s="133">
        <v>0</v>
      </c>
      <c r="G139" s="133">
        <v>0</v>
      </c>
      <c r="H139" s="133">
        <v>24</v>
      </c>
      <c r="I139" s="133">
        <v>0</v>
      </c>
      <c r="J139" s="133">
        <v>0</v>
      </c>
      <c r="K139">
        <v>42112</v>
      </c>
      <c r="L139" s="133">
        <v>0</v>
      </c>
      <c r="M139" t="b">
        <f ca="1">IF(TODAY()-Table_Query_from_A_Readiness4[[#This Row],[PER_DATE]]&gt;=0,TRUE, FALSE)</f>
        <v>1</v>
      </c>
    </row>
    <row r="140" spans="1:13">
      <c r="A140">
        <v>42139</v>
      </c>
      <c r="B140" t="s">
        <v>325</v>
      </c>
      <c r="C140" t="s">
        <v>167</v>
      </c>
      <c r="D140" s="133">
        <v>18</v>
      </c>
      <c r="E140" s="133">
        <v>0</v>
      </c>
      <c r="F140" s="133">
        <v>0</v>
      </c>
      <c r="G140" s="133">
        <v>0</v>
      </c>
      <c r="H140" s="133">
        <v>0</v>
      </c>
      <c r="I140" s="133">
        <v>24</v>
      </c>
      <c r="J140" s="133">
        <v>0</v>
      </c>
      <c r="K140">
        <v>42112</v>
      </c>
      <c r="L140" s="133">
        <v>0</v>
      </c>
      <c r="M140" t="b">
        <f ca="1">IF(TODAY()-Table_Query_from_A_Readiness4[[#This Row],[PER_DATE]]&gt;=0,TRUE, FALSE)</f>
        <v>1</v>
      </c>
    </row>
    <row r="141" spans="1:13">
      <c r="A141">
        <v>42139</v>
      </c>
      <c r="B141" t="s">
        <v>325</v>
      </c>
      <c r="C141" t="s">
        <v>154</v>
      </c>
      <c r="D141" s="133">
        <v>18</v>
      </c>
      <c r="E141" s="133">
        <v>0</v>
      </c>
      <c r="F141" s="133">
        <v>24</v>
      </c>
      <c r="G141" s="133">
        <v>0</v>
      </c>
      <c r="H141" s="133">
        <v>0</v>
      </c>
      <c r="I141" s="133">
        <v>0</v>
      </c>
      <c r="J141" s="133">
        <v>0</v>
      </c>
      <c r="K141">
        <v>42112</v>
      </c>
      <c r="L141" s="133">
        <v>0</v>
      </c>
      <c r="M141" t="b">
        <f ca="1">IF(TODAY()-Table_Query_from_A_Readiness4[[#This Row],[PER_DATE]]&gt;=0,TRUE, FALSE)</f>
        <v>1</v>
      </c>
    </row>
    <row r="142" spans="1:13">
      <c r="A142">
        <v>42139</v>
      </c>
      <c r="B142" t="s">
        <v>325</v>
      </c>
      <c r="C142" t="s">
        <v>168</v>
      </c>
      <c r="D142" s="133">
        <v>18</v>
      </c>
      <c r="E142" s="133">
        <v>0</v>
      </c>
      <c r="F142" s="133">
        <v>24</v>
      </c>
      <c r="G142" s="133">
        <v>0</v>
      </c>
      <c r="H142" s="133">
        <v>0</v>
      </c>
      <c r="I142" s="133">
        <v>0</v>
      </c>
      <c r="J142" s="133">
        <v>0</v>
      </c>
      <c r="K142">
        <v>42112</v>
      </c>
      <c r="L142" s="133">
        <v>0</v>
      </c>
      <c r="M142" t="b">
        <f ca="1">IF(TODAY()-Table_Query_from_A_Readiness4[[#This Row],[PER_DATE]]&gt;=0,TRUE, FALSE)</f>
        <v>1</v>
      </c>
    </row>
    <row r="143" spans="1:13">
      <c r="A143">
        <v>42139</v>
      </c>
      <c r="B143" t="s">
        <v>325</v>
      </c>
      <c r="C143" t="s">
        <v>157</v>
      </c>
      <c r="D143" s="133">
        <v>18</v>
      </c>
      <c r="E143" s="133">
        <v>0</v>
      </c>
      <c r="F143" s="133">
        <v>24</v>
      </c>
      <c r="G143" s="133">
        <v>0</v>
      </c>
      <c r="H143" s="133">
        <v>0</v>
      </c>
      <c r="I143" s="133">
        <v>0</v>
      </c>
      <c r="J143" s="133">
        <v>0</v>
      </c>
      <c r="K143">
        <v>42112</v>
      </c>
      <c r="L143" s="133">
        <v>0</v>
      </c>
      <c r="M143" t="b">
        <f ca="1">IF(TODAY()-Table_Query_from_A_Readiness4[[#This Row],[PER_DATE]]&gt;=0,TRUE, FALSE)</f>
        <v>1</v>
      </c>
    </row>
    <row r="144" spans="1:13">
      <c r="A144">
        <v>42139</v>
      </c>
      <c r="B144" t="s">
        <v>325</v>
      </c>
      <c r="C144" t="s">
        <v>159</v>
      </c>
      <c r="D144" s="133">
        <v>18</v>
      </c>
      <c r="E144" s="133">
        <v>0</v>
      </c>
      <c r="F144" s="133">
        <v>24</v>
      </c>
      <c r="G144" s="133">
        <v>0</v>
      </c>
      <c r="H144" s="133">
        <v>0</v>
      </c>
      <c r="I144" s="133">
        <v>0</v>
      </c>
      <c r="J144" s="133">
        <v>0</v>
      </c>
      <c r="K144">
        <v>42112</v>
      </c>
      <c r="L144" s="133">
        <v>0</v>
      </c>
      <c r="M144" t="b">
        <f ca="1">IF(TODAY()-Table_Query_from_A_Readiness4[[#This Row],[PER_DATE]]&gt;=0,TRUE, FALSE)</f>
        <v>1</v>
      </c>
    </row>
    <row r="145" spans="1:13">
      <c r="A145">
        <v>42139</v>
      </c>
      <c r="B145" t="s">
        <v>325</v>
      </c>
      <c r="C145" t="s">
        <v>160</v>
      </c>
      <c r="D145" s="133">
        <v>18</v>
      </c>
      <c r="E145" s="133">
        <v>0</v>
      </c>
      <c r="F145" s="133">
        <v>24</v>
      </c>
      <c r="G145" s="133">
        <v>0</v>
      </c>
      <c r="H145" s="133">
        <v>0</v>
      </c>
      <c r="I145" s="133">
        <v>0</v>
      </c>
      <c r="J145" s="133">
        <v>0</v>
      </c>
      <c r="K145">
        <v>42112</v>
      </c>
      <c r="L145" s="133">
        <v>0</v>
      </c>
      <c r="M145" t="b">
        <f ca="1">IF(TODAY()-Table_Query_from_A_Readiness4[[#This Row],[PER_DATE]]&gt;=0,TRUE, FALSE)</f>
        <v>1</v>
      </c>
    </row>
    <row r="146" spans="1:13">
      <c r="A146">
        <v>42139</v>
      </c>
      <c r="B146" t="s">
        <v>325</v>
      </c>
      <c r="C146" t="s">
        <v>166</v>
      </c>
      <c r="D146" s="133">
        <v>19</v>
      </c>
      <c r="E146" s="133">
        <v>0</v>
      </c>
      <c r="F146" s="133">
        <v>0</v>
      </c>
      <c r="G146" s="133">
        <v>0</v>
      </c>
      <c r="H146" s="133">
        <v>24</v>
      </c>
      <c r="I146" s="133">
        <v>0</v>
      </c>
      <c r="J146" s="133">
        <v>0</v>
      </c>
      <c r="K146">
        <v>42113</v>
      </c>
      <c r="L146" s="133">
        <v>0</v>
      </c>
      <c r="M146" t="b">
        <f ca="1">IF(TODAY()-Table_Query_from_A_Readiness4[[#This Row],[PER_DATE]]&gt;=0,TRUE, FALSE)</f>
        <v>1</v>
      </c>
    </row>
    <row r="147" spans="1:13">
      <c r="A147">
        <v>42139</v>
      </c>
      <c r="B147" t="s">
        <v>325</v>
      </c>
      <c r="C147" t="s">
        <v>152</v>
      </c>
      <c r="D147" s="133">
        <v>19</v>
      </c>
      <c r="E147" s="133">
        <v>0</v>
      </c>
      <c r="F147" s="133">
        <v>0</v>
      </c>
      <c r="G147" s="133">
        <v>0</v>
      </c>
      <c r="H147" s="133">
        <v>24</v>
      </c>
      <c r="I147" s="133">
        <v>0</v>
      </c>
      <c r="J147" s="133">
        <v>0</v>
      </c>
      <c r="K147">
        <v>42113</v>
      </c>
      <c r="L147" s="133">
        <v>0</v>
      </c>
      <c r="M147" t="b">
        <f ca="1">IF(TODAY()-Table_Query_from_A_Readiness4[[#This Row],[PER_DATE]]&gt;=0,TRUE, FALSE)</f>
        <v>1</v>
      </c>
    </row>
    <row r="148" spans="1:13">
      <c r="A148">
        <v>42139</v>
      </c>
      <c r="B148" t="s">
        <v>325</v>
      </c>
      <c r="C148" t="s">
        <v>167</v>
      </c>
      <c r="D148" s="133">
        <v>19</v>
      </c>
      <c r="E148" s="133">
        <v>0</v>
      </c>
      <c r="F148" s="133">
        <v>0</v>
      </c>
      <c r="G148" s="133">
        <v>0</v>
      </c>
      <c r="H148" s="133">
        <v>0</v>
      </c>
      <c r="I148" s="133">
        <v>24</v>
      </c>
      <c r="J148" s="133">
        <v>0</v>
      </c>
      <c r="K148">
        <v>42113</v>
      </c>
      <c r="L148" s="133">
        <v>0</v>
      </c>
      <c r="M148" t="b">
        <f ca="1">IF(TODAY()-Table_Query_from_A_Readiness4[[#This Row],[PER_DATE]]&gt;=0,TRUE, FALSE)</f>
        <v>1</v>
      </c>
    </row>
    <row r="149" spans="1:13">
      <c r="A149">
        <v>42139</v>
      </c>
      <c r="B149" t="s">
        <v>325</v>
      </c>
      <c r="C149" t="s">
        <v>154</v>
      </c>
      <c r="D149" s="133">
        <v>19</v>
      </c>
      <c r="E149" s="133">
        <v>0</v>
      </c>
      <c r="F149" s="133">
        <v>24</v>
      </c>
      <c r="G149" s="133">
        <v>0</v>
      </c>
      <c r="H149" s="133">
        <v>0</v>
      </c>
      <c r="I149" s="133">
        <v>0</v>
      </c>
      <c r="J149" s="133">
        <v>0</v>
      </c>
      <c r="K149">
        <v>42113</v>
      </c>
      <c r="L149" s="133">
        <v>0</v>
      </c>
      <c r="M149" t="b">
        <f ca="1">IF(TODAY()-Table_Query_from_A_Readiness4[[#This Row],[PER_DATE]]&gt;=0,TRUE, FALSE)</f>
        <v>1</v>
      </c>
    </row>
    <row r="150" spans="1:13">
      <c r="A150">
        <v>42139</v>
      </c>
      <c r="B150" t="s">
        <v>325</v>
      </c>
      <c r="C150" t="s">
        <v>168</v>
      </c>
      <c r="D150" s="133">
        <v>19</v>
      </c>
      <c r="E150" s="133">
        <v>0</v>
      </c>
      <c r="F150" s="133">
        <v>24</v>
      </c>
      <c r="G150" s="133">
        <v>0</v>
      </c>
      <c r="H150" s="133">
        <v>0</v>
      </c>
      <c r="I150" s="133">
        <v>0</v>
      </c>
      <c r="J150" s="133">
        <v>0</v>
      </c>
      <c r="K150">
        <v>42113</v>
      </c>
      <c r="L150" s="133">
        <v>0</v>
      </c>
      <c r="M150" t="b">
        <f ca="1">IF(TODAY()-Table_Query_from_A_Readiness4[[#This Row],[PER_DATE]]&gt;=0,TRUE, FALSE)</f>
        <v>1</v>
      </c>
    </row>
    <row r="151" spans="1:13">
      <c r="A151">
        <v>42139</v>
      </c>
      <c r="B151" t="s">
        <v>325</v>
      </c>
      <c r="C151" t="s">
        <v>157</v>
      </c>
      <c r="D151" s="133">
        <v>19</v>
      </c>
      <c r="E151" s="133">
        <v>0</v>
      </c>
      <c r="F151" s="133">
        <v>24</v>
      </c>
      <c r="G151" s="133">
        <v>0</v>
      </c>
      <c r="H151" s="133">
        <v>0</v>
      </c>
      <c r="I151" s="133">
        <v>0</v>
      </c>
      <c r="J151" s="133">
        <v>0</v>
      </c>
      <c r="K151">
        <v>42113</v>
      </c>
      <c r="L151" s="133">
        <v>0</v>
      </c>
      <c r="M151" t="b">
        <f ca="1">IF(TODAY()-Table_Query_from_A_Readiness4[[#This Row],[PER_DATE]]&gt;=0,TRUE, FALSE)</f>
        <v>1</v>
      </c>
    </row>
    <row r="152" spans="1:13">
      <c r="A152">
        <v>42139</v>
      </c>
      <c r="B152" t="s">
        <v>325</v>
      </c>
      <c r="C152" t="s">
        <v>159</v>
      </c>
      <c r="D152" s="133">
        <v>19</v>
      </c>
      <c r="E152" s="133">
        <v>0</v>
      </c>
      <c r="F152" s="133">
        <v>24</v>
      </c>
      <c r="G152" s="133">
        <v>0</v>
      </c>
      <c r="H152" s="133">
        <v>0</v>
      </c>
      <c r="I152" s="133">
        <v>0</v>
      </c>
      <c r="J152" s="133">
        <v>0</v>
      </c>
      <c r="K152">
        <v>42113</v>
      </c>
      <c r="L152" s="133">
        <v>0</v>
      </c>
      <c r="M152" t="b">
        <f ca="1">IF(TODAY()-Table_Query_from_A_Readiness4[[#This Row],[PER_DATE]]&gt;=0,TRUE, FALSE)</f>
        <v>1</v>
      </c>
    </row>
    <row r="153" spans="1:13">
      <c r="A153">
        <v>42139</v>
      </c>
      <c r="B153" t="s">
        <v>325</v>
      </c>
      <c r="C153" t="s">
        <v>160</v>
      </c>
      <c r="D153" s="133">
        <v>19</v>
      </c>
      <c r="E153" s="133">
        <v>0</v>
      </c>
      <c r="F153" s="133">
        <v>24</v>
      </c>
      <c r="G153" s="133">
        <v>0</v>
      </c>
      <c r="H153" s="133">
        <v>0</v>
      </c>
      <c r="I153" s="133">
        <v>0</v>
      </c>
      <c r="J153" s="133">
        <v>0</v>
      </c>
      <c r="K153">
        <v>42113</v>
      </c>
      <c r="L153" s="133">
        <v>0</v>
      </c>
      <c r="M153" t="b">
        <f ca="1">IF(TODAY()-Table_Query_from_A_Readiness4[[#This Row],[PER_DATE]]&gt;=0,TRUE, FALSE)</f>
        <v>1</v>
      </c>
    </row>
    <row r="154" spans="1:13">
      <c r="A154">
        <v>42139</v>
      </c>
      <c r="B154" t="s">
        <v>325</v>
      </c>
      <c r="C154" t="s">
        <v>166</v>
      </c>
      <c r="D154" s="133">
        <v>20</v>
      </c>
      <c r="E154" s="133">
        <v>0</v>
      </c>
      <c r="F154" s="133">
        <v>0</v>
      </c>
      <c r="G154" s="133">
        <v>0</v>
      </c>
      <c r="H154" s="133">
        <v>24</v>
      </c>
      <c r="I154" s="133">
        <v>0</v>
      </c>
      <c r="J154" s="133">
        <v>0</v>
      </c>
      <c r="K154">
        <v>42114</v>
      </c>
      <c r="L154" s="133">
        <v>0</v>
      </c>
      <c r="M154" t="b">
        <f ca="1">IF(TODAY()-Table_Query_from_A_Readiness4[[#This Row],[PER_DATE]]&gt;=0,TRUE, FALSE)</f>
        <v>1</v>
      </c>
    </row>
    <row r="155" spans="1:13">
      <c r="A155">
        <v>42139</v>
      </c>
      <c r="B155" t="s">
        <v>325</v>
      </c>
      <c r="C155" t="s">
        <v>152</v>
      </c>
      <c r="D155" s="133">
        <v>20</v>
      </c>
      <c r="E155" s="133">
        <v>0</v>
      </c>
      <c r="F155" s="133">
        <v>0</v>
      </c>
      <c r="G155" s="133">
        <v>0</v>
      </c>
      <c r="H155" s="133">
        <v>24</v>
      </c>
      <c r="I155" s="133">
        <v>0</v>
      </c>
      <c r="J155" s="133">
        <v>0</v>
      </c>
      <c r="K155">
        <v>42114</v>
      </c>
      <c r="L155" s="133">
        <v>0</v>
      </c>
      <c r="M155" t="b">
        <f ca="1">IF(TODAY()-Table_Query_from_A_Readiness4[[#This Row],[PER_DATE]]&gt;=0,TRUE, FALSE)</f>
        <v>1</v>
      </c>
    </row>
    <row r="156" spans="1:13">
      <c r="A156">
        <v>42139</v>
      </c>
      <c r="B156" t="s">
        <v>325</v>
      </c>
      <c r="C156" t="s">
        <v>167</v>
      </c>
      <c r="D156" s="133">
        <v>20</v>
      </c>
      <c r="E156" s="133">
        <v>0</v>
      </c>
      <c r="F156" s="133">
        <v>0</v>
      </c>
      <c r="G156" s="133">
        <v>0</v>
      </c>
      <c r="H156" s="133">
        <v>0</v>
      </c>
      <c r="I156" s="133">
        <v>24</v>
      </c>
      <c r="J156" s="133">
        <v>0</v>
      </c>
      <c r="K156">
        <v>42114</v>
      </c>
      <c r="L156" s="133">
        <v>0</v>
      </c>
      <c r="M156" t="b">
        <f ca="1">IF(TODAY()-Table_Query_from_A_Readiness4[[#This Row],[PER_DATE]]&gt;=0,TRUE, FALSE)</f>
        <v>1</v>
      </c>
    </row>
    <row r="157" spans="1:13">
      <c r="A157">
        <v>42139</v>
      </c>
      <c r="B157" t="s">
        <v>325</v>
      </c>
      <c r="C157" t="s">
        <v>154</v>
      </c>
      <c r="D157" s="133">
        <v>20</v>
      </c>
      <c r="E157" s="133">
        <v>0</v>
      </c>
      <c r="F157" s="133">
        <v>24</v>
      </c>
      <c r="G157" s="133">
        <v>0</v>
      </c>
      <c r="H157" s="133">
        <v>0</v>
      </c>
      <c r="I157" s="133">
        <v>0</v>
      </c>
      <c r="J157" s="133">
        <v>0</v>
      </c>
      <c r="K157">
        <v>42114</v>
      </c>
      <c r="L157" s="133">
        <v>0</v>
      </c>
      <c r="M157" t="b">
        <f ca="1">IF(TODAY()-Table_Query_from_A_Readiness4[[#This Row],[PER_DATE]]&gt;=0,TRUE, FALSE)</f>
        <v>1</v>
      </c>
    </row>
    <row r="158" spans="1:13">
      <c r="A158">
        <v>42139</v>
      </c>
      <c r="B158" t="s">
        <v>325</v>
      </c>
      <c r="C158" t="s">
        <v>168</v>
      </c>
      <c r="D158" s="133">
        <v>20</v>
      </c>
      <c r="E158" s="133">
        <v>0</v>
      </c>
      <c r="F158" s="133">
        <v>24</v>
      </c>
      <c r="G158" s="133">
        <v>0</v>
      </c>
      <c r="H158" s="133">
        <v>0</v>
      </c>
      <c r="I158" s="133">
        <v>0</v>
      </c>
      <c r="J158" s="133">
        <v>0</v>
      </c>
      <c r="K158">
        <v>42114</v>
      </c>
      <c r="L158" s="133">
        <v>0</v>
      </c>
      <c r="M158" t="b">
        <f ca="1">IF(TODAY()-Table_Query_from_A_Readiness4[[#This Row],[PER_DATE]]&gt;=0,TRUE, FALSE)</f>
        <v>1</v>
      </c>
    </row>
    <row r="159" spans="1:13">
      <c r="A159">
        <v>42139</v>
      </c>
      <c r="B159" t="s">
        <v>325</v>
      </c>
      <c r="C159" t="s">
        <v>157</v>
      </c>
      <c r="D159" s="133">
        <v>20</v>
      </c>
      <c r="E159" s="133">
        <v>0</v>
      </c>
      <c r="F159" s="133">
        <v>24</v>
      </c>
      <c r="G159" s="133">
        <v>0</v>
      </c>
      <c r="H159" s="133">
        <v>0</v>
      </c>
      <c r="I159" s="133">
        <v>0</v>
      </c>
      <c r="J159" s="133">
        <v>0</v>
      </c>
      <c r="K159">
        <v>42114</v>
      </c>
      <c r="L159" s="133">
        <v>0</v>
      </c>
      <c r="M159" t="b">
        <f ca="1">IF(TODAY()-Table_Query_from_A_Readiness4[[#This Row],[PER_DATE]]&gt;=0,TRUE, FALSE)</f>
        <v>1</v>
      </c>
    </row>
    <row r="160" spans="1:13">
      <c r="A160">
        <v>42139</v>
      </c>
      <c r="B160" t="s">
        <v>325</v>
      </c>
      <c r="C160" t="s">
        <v>159</v>
      </c>
      <c r="D160" s="133">
        <v>20</v>
      </c>
      <c r="E160" s="133">
        <v>0</v>
      </c>
      <c r="F160" s="133">
        <v>24</v>
      </c>
      <c r="G160" s="133">
        <v>0</v>
      </c>
      <c r="H160" s="133">
        <v>0</v>
      </c>
      <c r="I160" s="133">
        <v>0</v>
      </c>
      <c r="J160" s="133">
        <v>0</v>
      </c>
      <c r="K160">
        <v>42114</v>
      </c>
      <c r="L160" s="133">
        <v>0</v>
      </c>
      <c r="M160" t="b">
        <f ca="1">IF(TODAY()-Table_Query_from_A_Readiness4[[#This Row],[PER_DATE]]&gt;=0,TRUE, FALSE)</f>
        <v>1</v>
      </c>
    </row>
    <row r="161" spans="1:13">
      <c r="A161">
        <v>42139</v>
      </c>
      <c r="B161" t="s">
        <v>325</v>
      </c>
      <c r="C161" t="s">
        <v>160</v>
      </c>
      <c r="D161" s="133">
        <v>20</v>
      </c>
      <c r="E161" s="133">
        <v>0</v>
      </c>
      <c r="F161" s="133">
        <v>24</v>
      </c>
      <c r="G161" s="133">
        <v>0</v>
      </c>
      <c r="H161" s="133">
        <v>0</v>
      </c>
      <c r="I161" s="133">
        <v>0</v>
      </c>
      <c r="J161" s="133">
        <v>0</v>
      </c>
      <c r="K161">
        <v>42114</v>
      </c>
      <c r="L161" s="133">
        <v>0</v>
      </c>
      <c r="M161" t="b">
        <f ca="1">IF(TODAY()-Table_Query_from_A_Readiness4[[#This Row],[PER_DATE]]&gt;=0,TRUE, FALSE)</f>
        <v>1</v>
      </c>
    </row>
    <row r="162" spans="1:13">
      <c r="A162">
        <v>42139</v>
      </c>
      <c r="B162" t="s">
        <v>325</v>
      </c>
      <c r="C162" t="s">
        <v>166</v>
      </c>
      <c r="D162" s="133">
        <v>21</v>
      </c>
      <c r="E162" s="133">
        <v>0</v>
      </c>
      <c r="F162" s="133">
        <v>0</v>
      </c>
      <c r="G162" s="133">
        <v>0</v>
      </c>
      <c r="H162" s="133">
        <v>24</v>
      </c>
      <c r="I162" s="133">
        <v>0</v>
      </c>
      <c r="J162" s="133">
        <v>0</v>
      </c>
      <c r="K162">
        <v>42115</v>
      </c>
      <c r="L162" s="133">
        <v>0</v>
      </c>
      <c r="M162" t="b">
        <f ca="1">IF(TODAY()-Table_Query_from_A_Readiness4[[#This Row],[PER_DATE]]&gt;=0,TRUE, FALSE)</f>
        <v>0</v>
      </c>
    </row>
    <row r="163" spans="1:13">
      <c r="A163">
        <v>42139</v>
      </c>
      <c r="B163" t="s">
        <v>325</v>
      </c>
      <c r="C163" t="s">
        <v>152</v>
      </c>
      <c r="D163" s="133">
        <v>21</v>
      </c>
      <c r="E163" s="133">
        <v>0</v>
      </c>
      <c r="F163" s="133">
        <v>0</v>
      </c>
      <c r="G163" s="133">
        <v>0</v>
      </c>
      <c r="H163" s="133">
        <v>24</v>
      </c>
      <c r="I163" s="133">
        <v>0</v>
      </c>
      <c r="J163" s="133">
        <v>0</v>
      </c>
      <c r="K163">
        <v>42115</v>
      </c>
      <c r="L163" s="133">
        <v>0</v>
      </c>
      <c r="M163" t="b">
        <f ca="1">IF(TODAY()-Table_Query_from_A_Readiness4[[#This Row],[PER_DATE]]&gt;=0,TRUE, FALSE)</f>
        <v>0</v>
      </c>
    </row>
    <row r="164" spans="1:13">
      <c r="A164">
        <v>42139</v>
      </c>
      <c r="B164" t="s">
        <v>325</v>
      </c>
      <c r="C164" t="s">
        <v>167</v>
      </c>
      <c r="D164" s="133">
        <v>21</v>
      </c>
      <c r="E164" s="133">
        <v>0</v>
      </c>
      <c r="F164" s="133">
        <v>0</v>
      </c>
      <c r="G164" s="133">
        <v>0</v>
      </c>
      <c r="H164" s="133">
        <v>0</v>
      </c>
      <c r="I164" s="133">
        <v>24</v>
      </c>
      <c r="J164" s="133">
        <v>0</v>
      </c>
      <c r="K164">
        <v>42115</v>
      </c>
      <c r="L164" s="133">
        <v>0</v>
      </c>
      <c r="M164" t="b">
        <f ca="1">IF(TODAY()-Table_Query_from_A_Readiness4[[#This Row],[PER_DATE]]&gt;=0,TRUE, FALSE)</f>
        <v>0</v>
      </c>
    </row>
    <row r="165" spans="1:13">
      <c r="A165">
        <v>42139</v>
      </c>
      <c r="B165" t="s">
        <v>325</v>
      </c>
      <c r="C165" t="s">
        <v>154</v>
      </c>
      <c r="D165" s="133">
        <v>21</v>
      </c>
      <c r="E165" s="133">
        <v>0</v>
      </c>
      <c r="F165" s="133">
        <v>24</v>
      </c>
      <c r="G165" s="133">
        <v>0</v>
      </c>
      <c r="H165" s="133">
        <v>0</v>
      </c>
      <c r="I165" s="133">
        <v>0</v>
      </c>
      <c r="J165" s="133">
        <v>0</v>
      </c>
      <c r="K165">
        <v>42115</v>
      </c>
      <c r="L165" s="133">
        <v>0</v>
      </c>
      <c r="M165" t="b">
        <f ca="1">IF(TODAY()-Table_Query_from_A_Readiness4[[#This Row],[PER_DATE]]&gt;=0,TRUE, FALSE)</f>
        <v>0</v>
      </c>
    </row>
    <row r="166" spans="1:13">
      <c r="A166">
        <v>42139</v>
      </c>
      <c r="B166" t="s">
        <v>325</v>
      </c>
      <c r="C166" t="s">
        <v>168</v>
      </c>
      <c r="D166" s="133">
        <v>21</v>
      </c>
      <c r="E166" s="133">
        <v>0</v>
      </c>
      <c r="F166" s="133">
        <v>24</v>
      </c>
      <c r="G166" s="133">
        <v>0</v>
      </c>
      <c r="H166" s="133">
        <v>0</v>
      </c>
      <c r="I166" s="133">
        <v>0</v>
      </c>
      <c r="J166" s="133">
        <v>0</v>
      </c>
      <c r="K166">
        <v>42115</v>
      </c>
      <c r="L166" s="133">
        <v>0</v>
      </c>
      <c r="M166" t="b">
        <f ca="1">IF(TODAY()-Table_Query_from_A_Readiness4[[#This Row],[PER_DATE]]&gt;=0,TRUE, FALSE)</f>
        <v>0</v>
      </c>
    </row>
    <row r="167" spans="1:13">
      <c r="A167">
        <v>42139</v>
      </c>
      <c r="B167" t="s">
        <v>325</v>
      </c>
      <c r="C167" t="s">
        <v>157</v>
      </c>
      <c r="D167" s="133">
        <v>21</v>
      </c>
      <c r="E167" s="133">
        <v>0</v>
      </c>
      <c r="F167" s="133">
        <v>24</v>
      </c>
      <c r="G167" s="133">
        <v>0</v>
      </c>
      <c r="H167" s="133">
        <v>0</v>
      </c>
      <c r="I167" s="133">
        <v>0</v>
      </c>
      <c r="J167" s="133">
        <v>0</v>
      </c>
      <c r="K167">
        <v>42115</v>
      </c>
      <c r="L167" s="133">
        <v>0</v>
      </c>
      <c r="M167" t="b">
        <f ca="1">IF(TODAY()-Table_Query_from_A_Readiness4[[#This Row],[PER_DATE]]&gt;=0,TRUE, FALSE)</f>
        <v>0</v>
      </c>
    </row>
    <row r="168" spans="1:13">
      <c r="A168">
        <v>42139</v>
      </c>
      <c r="B168" t="s">
        <v>325</v>
      </c>
      <c r="C168" t="s">
        <v>159</v>
      </c>
      <c r="D168" s="133">
        <v>21</v>
      </c>
      <c r="E168" s="133">
        <v>0</v>
      </c>
      <c r="F168" s="133">
        <v>24</v>
      </c>
      <c r="G168" s="133">
        <v>0</v>
      </c>
      <c r="H168" s="133">
        <v>0</v>
      </c>
      <c r="I168" s="133">
        <v>0</v>
      </c>
      <c r="J168" s="133">
        <v>0</v>
      </c>
      <c r="K168">
        <v>42115</v>
      </c>
      <c r="L168" s="133">
        <v>0</v>
      </c>
      <c r="M168" t="b">
        <f ca="1">IF(TODAY()-Table_Query_from_A_Readiness4[[#This Row],[PER_DATE]]&gt;=0,TRUE, FALSE)</f>
        <v>0</v>
      </c>
    </row>
    <row r="169" spans="1:13">
      <c r="A169">
        <v>42139</v>
      </c>
      <c r="B169" t="s">
        <v>325</v>
      </c>
      <c r="C169" t="s">
        <v>160</v>
      </c>
      <c r="D169" s="133">
        <v>21</v>
      </c>
      <c r="E169" s="133">
        <v>0</v>
      </c>
      <c r="F169" s="133">
        <v>24</v>
      </c>
      <c r="G169" s="133">
        <v>0</v>
      </c>
      <c r="H169" s="133">
        <v>0</v>
      </c>
      <c r="I169" s="133">
        <v>0</v>
      </c>
      <c r="J169" s="133">
        <v>0</v>
      </c>
      <c r="K169">
        <v>42115</v>
      </c>
      <c r="L169" s="133">
        <v>0</v>
      </c>
      <c r="M169" t="b">
        <f ca="1">IF(TODAY()-Table_Query_from_A_Readiness4[[#This Row],[PER_DATE]]&gt;=0,TRUE, FALSE)</f>
        <v>0</v>
      </c>
    </row>
    <row r="170" spans="1:13">
      <c r="A170">
        <v>42139</v>
      </c>
      <c r="B170" t="s">
        <v>325</v>
      </c>
      <c r="C170" t="s">
        <v>166</v>
      </c>
      <c r="D170" s="133">
        <v>22</v>
      </c>
      <c r="E170" s="133">
        <v>24</v>
      </c>
      <c r="F170" s="133">
        <v>0</v>
      </c>
      <c r="G170" s="133">
        <v>0</v>
      </c>
      <c r="H170" s="133">
        <v>0</v>
      </c>
      <c r="I170" s="133">
        <v>0</v>
      </c>
      <c r="J170" s="133">
        <v>0</v>
      </c>
      <c r="K170">
        <v>42116</v>
      </c>
      <c r="L170" s="133">
        <v>0</v>
      </c>
      <c r="M170" t="b">
        <f ca="1">IF(TODAY()-Table_Query_from_A_Readiness4[[#This Row],[PER_DATE]]&gt;=0,TRUE, FALSE)</f>
        <v>0</v>
      </c>
    </row>
    <row r="171" spans="1:13">
      <c r="A171">
        <v>42139</v>
      </c>
      <c r="B171" t="s">
        <v>325</v>
      </c>
      <c r="C171" t="s">
        <v>152</v>
      </c>
      <c r="D171" s="133">
        <v>22</v>
      </c>
      <c r="E171" s="133">
        <v>0</v>
      </c>
      <c r="F171" s="133">
        <v>0</v>
      </c>
      <c r="G171" s="133">
        <v>0</v>
      </c>
      <c r="H171" s="133">
        <v>24</v>
      </c>
      <c r="I171" s="133">
        <v>0</v>
      </c>
      <c r="J171" s="133">
        <v>0</v>
      </c>
      <c r="K171">
        <v>42116</v>
      </c>
      <c r="L171" s="133">
        <v>0</v>
      </c>
      <c r="M171" t="b">
        <f ca="1">IF(TODAY()-Table_Query_from_A_Readiness4[[#This Row],[PER_DATE]]&gt;=0,TRUE, FALSE)</f>
        <v>0</v>
      </c>
    </row>
    <row r="172" spans="1:13">
      <c r="A172">
        <v>42139</v>
      </c>
      <c r="B172" t="s">
        <v>325</v>
      </c>
      <c r="C172" t="s">
        <v>167</v>
      </c>
      <c r="D172" s="133">
        <v>22</v>
      </c>
      <c r="E172" s="133">
        <v>0</v>
      </c>
      <c r="F172" s="133">
        <v>0</v>
      </c>
      <c r="G172" s="133">
        <v>0</v>
      </c>
      <c r="H172" s="133">
        <v>0</v>
      </c>
      <c r="I172" s="133">
        <v>24</v>
      </c>
      <c r="J172" s="133">
        <v>0</v>
      </c>
      <c r="K172">
        <v>42116</v>
      </c>
      <c r="L172" s="133">
        <v>0</v>
      </c>
      <c r="M172" t="b">
        <f ca="1">IF(TODAY()-Table_Query_from_A_Readiness4[[#This Row],[PER_DATE]]&gt;=0,TRUE, FALSE)</f>
        <v>0</v>
      </c>
    </row>
    <row r="173" spans="1:13">
      <c r="A173">
        <v>42139</v>
      </c>
      <c r="B173" t="s">
        <v>325</v>
      </c>
      <c r="C173" t="s">
        <v>154</v>
      </c>
      <c r="D173" s="133">
        <v>22</v>
      </c>
      <c r="E173" s="133">
        <v>24</v>
      </c>
      <c r="F173" s="133">
        <v>0</v>
      </c>
      <c r="G173" s="133">
        <v>0</v>
      </c>
      <c r="H173" s="133">
        <v>0</v>
      </c>
      <c r="I173" s="133">
        <v>0</v>
      </c>
      <c r="J173" s="133">
        <v>0</v>
      </c>
      <c r="K173">
        <v>42116</v>
      </c>
      <c r="L173" s="133">
        <v>0</v>
      </c>
      <c r="M173" t="b">
        <f ca="1">IF(TODAY()-Table_Query_from_A_Readiness4[[#This Row],[PER_DATE]]&gt;=0,TRUE, FALSE)</f>
        <v>0</v>
      </c>
    </row>
    <row r="174" spans="1:13">
      <c r="A174">
        <v>42139</v>
      </c>
      <c r="B174" t="s">
        <v>325</v>
      </c>
      <c r="C174" t="s">
        <v>168</v>
      </c>
      <c r="D174" s="133">
        <v>22</v>
      </c>
      <c r="E174" s="133">
        <v>24</v>
      </c>
      <c r="F174" s="133">
        <v>0</v>
      </c>
      <c r="G174" s="133">
        <v>0</v>
      </c>
      <c r="H174" s="133">
        <v>0</v>
      </c>
      <c r="I174" s="133">
        <v>0</v>
      </c>
      <c r="J174" s="133">
        <v>0</v>
      </c>
      <c r="K174">
        <v>42116</v>
      </c>
      <c r="L174" s="133">
        <v>0</v>
      </c>
      <c r="M174" t="b">
        <f ca="1">IF(TODAY()-Table_Query_from_A_Readiness4[[#This Row],[PER_DATE]]&gt;=0,TRUE, FALSE)</f>
        <v>0</v>
      </c>
    </row>
    <row r="175" spans="1:13">
      <c r="A175">
        <v>42139</v>
      </c>
      <c r="B175" t="s">
        <v>325</v>
      </c>
      <c r="C175" t="s">
        <v>157</v>
      </c>
      <c r="D175" s="133">
        <v>22</v>
      </c>
      <c r="E175" s="133">
        <v>0</v>
      </c>
      <c r="F175" s="133">
        <v>24</v>
      </c>
      <c r="G175" s="133">
        <v>0</v>
      </c>
      <c r="H175" s="133">
        <v>0</v>
      </c>
      <c r="I175" s="133">
        <v>0</v>
      </c>
      <c r="J175" s="133">
        <v>0</v>
      </c>
      <c r="K175">
        <v>42116</v>
      </c>
      <c r="L175" s="133">
        <v>0</v>
      </c>
      <c r="M175" t="b">
        <f ca="1">IF(TODAY()-Table_Query_from_A_Readiness4[[#This Row],[PER_DATE]]&gt;=0,TRUE, FALSE)</f>
        <v>0</v>
      </c>
    </row>
    <row r="176" spans="1:13">
      <c r="A176">
        <v>42139</v>
      </c>
      <c r="B176" t="s">
        <v>325</v>
      </c>
      <c r="C176" t="s">
        <v>159</v>
      </c>
      <c r="D176" s="133">
        <v>22</v>
      </c>
      <c r="E176" s="133">
        <v>0</v>
      </c>
      <c r="F176" s="133">
        <v>24</v>
      </c>
      <c r="G176" s="133">
        <v>0</v>
      </c>
      <c r="H176" s="133">
        <v>0</v>
      </c>
      <c r="I176" s="133">
        <v>0</v>
      </c>
      <c r="J176" s="133">
        <v>0</v>
      </c>
      <c r="K176">
        <v>42116</v>
      </c>
      <c r="L176" s="133">
        <v>0</v>
      </c>
      <c r="M176" t="b">
        <f ca="1">IF(TODAY()-Table_Query_from_A_Readiness4[[#This Row],[PER_DATE]]&gt;=0,TRUE, FALSE)</f>
        <v>0</v>
      </c>
    </row>
    <row r="177" spans="1:13">
      <c r="A177">
        <v>42139</v>
      </c>
      <c r="B177" t="s">
        <v>325</v>
      </c>
      <c r="C177" t="s">
        <v>160</v>
      </c>
      <c r="D177" s="133">
        <v>22</v>
      </c>
      <c r="E177" s="133">
        <v>0</v>
      </c>
      <c r="F177" s="133">
        <v>24</v>
      </c>
      <c r="G177" s="133">
        <v>0</v>
      </c>
      <c r="H177" s="133">
        <v>0</v>
      </c>
      <c r="I177" s="133">
        <v>0</v>
      </c>
      <c r="J177" s="133">
        <v>0</v>
      </c>
      <c r="K177">
        <v>42116</v>
      </c>
      <c r="L177" s="133">
        <v>0</v>
      </c>
      <c r="M177" t="b">
        <f ca="1">IF(TODAY()-Table_Query_from_A_Readiness4[[#This Row],[PER_DATE]]&gt;=0,TRUE, FALSE)</f>
        <v>0</v>
      </c>
    </row>
    <row r="178" spans="1:13">
      <c r="A178">
        <v>42139</v>
      </c>
      <c r="B178" t="s">
        <v>325</v>
      </c>
      <c r="C178" t="s">
        <v>166</v>
      </c>
      <c r="D178" s="133">
        <v>23</v>
      </c>
      <c r="E178" s="133">
        <v>24</v>
      </c>
      <c r="F178" s="133">
        <v>0</v>
      </c>
      <c r="G178" s="133">
        <v>0</v>
      </c>
      <c r="H178" s="133">
        <v>0</v>
      </c>
      <c r="I178" s="133">
        <v>0</v>
      </c>
      <c r="J178" s="133">
        <v>0</v>
      </c>
      <c r="K178">
        <v>42117</v>
      </c>
      <c r="L178" s="133">
        <v>0</v>
      </c>
      <c r="M178" t="b">
        <f ca="1">IF(TODAY()-Table_Query_from_A_Readiness4[[#This Row],[PER_DATE]]&gt;=0,TRUE, FALSE)</f>
        <v>0</v>
      </c>
    </row>
    <row r="179" spans="1:13">
      <c r="A179">
        <v>42139</v>
      </c>
      <c r="B179" t="s">
        <v>325</v>
      </c>
      <c r="C179" t="s">
        <v>152</v>
      </c>
      <c r="D179" s="133">
        <v>23</v>
      </c>
      <c r="E179" s="133">
        <v>0</v>
      </c>
      <c r="F179" s="133">
        <v>0</v>
      </c>
      <c r="G179" s="133">
        <v>0</v>
      </c>
      <c r="H179" s="133">
        <v>24</v>
      </c>
      <c r="I179" s="133">
        <v>0</v>
      </c>
      <c r="J179" s="133">
        <v>0</v>
      </c>
      <c r="K179">
        <v>42117</v>
      </c>
      <c r="L179" s="133">
        <v>0</v>
      </c>
      <c r="M179" t="b">
        <f ca="1">IF(TODAY()-Table_Query_from_A_Readiness4[[#This Row],[PER_DATE]]&gt;=0,TRUE, FALSE)</f>
        <v>0</v>
      </c>
    </row>
    <row r="180" spans="1:13">
      <c r="A180">
        <v>42139</v>
      </c>
      <c r="B180" t="s">
        <v>325</v>
      </c>
      <c r="C180" t="s">
        <v>167</v>
      </c>
      <c r="D180" s="133">
        <v>23</v>
      </c>
      <c r="E180" s="133">
        <v>0</v>
      </c>
      <c r="F180" s="133">
        <v>0</v>
      </c>
      <c r="G180" s="133">
        <v>0</v>
      </c>
      <c r="H180" s="133">
        <v>0</v>
      </c>
      <c r="I180" s="133">
        <v>24</v>
      </c>
      <c r="J180" s="133">
        <v>0</v>
      </c>
      <c r="K180">
        <v>42117</v>
      </c>
      <c r="L180" s="133">
        <v>0</v>
      </c>
      <c r="M180" t="b">
        <f ca="1">IF(TODAY()-Table_Query_from_A_Readiness4[[#This Row],[PER_DATE]]&gt;=0,TRUE, FALSE)</f>
        <v>0</v>
      </c>
    </row>
    <row r="181" spans="1:13">
      <c r="A181">
        <v>42139</v>
      </c>
      <c r="B181" t="s">
        <v>325</v>
      </c>
      <c r="C181" t="s">
        <v>154</v>
      </c>
      <c r="D181" s="133">
        <v>23</v>
      </c>
      <c r="E181" s="133">
        <v>24</v>
      </c>
      <c r="F181" s="133">
        <v>0</v>
      </c>
      <c r="G181" s="133">
        <v>0</v>
      </c>
      <c r="H181" s="133">
        <v>0</v>
      </c>
      <c r="I181" s="133">
        <v>0</v>
      </c>
      <c r="J181" s="133">
        <v>0</v>
      </c>
      <c r="K181">
        <v>42117</v>
      </c>
      <c r="L181" s="133">
        <v>0</v>
      </c>
      <c r="M181" t="b">
        <f ca="1">IF(TODAY()-Table_Query_from_A_Readiness4[[#This Row],[PER_DATE]]&gt;=0,TRUE, FALSE)</f>
        <v>0</v>
      </c>
    </row>
    <row r="182" spans="1:13">
      <c r="A182">
        <v>42139</v>
      </c>
      <c r="B182" t="s">
        <v>325</v>
      </c>
      <c r="C182" t="s">
        <v>168</v>
      </c>
      <c r="D182" s="133">
        <v>23</v>
      </c>
      <c r="E182" s="133">
        <v>24</v>
      </c>
      <c r="F182" s="133">
        <v>0</v>
      </c>
      <c r="G182" s="133">
        <v>0</v>
      </c>
      <c r="H182" s="133">
        <v>0</v>
      </c>
      <c r="I182" s="133">
        <v>0</v>
      </c>
      <c r="J182" s="133">
        <v>0</v>
      </c>
      <c r="K182">
        <v>42117</v>
      </c>
      <c r="L182" s="133">
        <v>0</v>
      </c>
      <c r="M182" t="b">
        <f ca="1">IF(TODAY()-Table_Query_from_A_Readiness4[[#This Row],[PER_DATE]]&gt;=0,TRUE, FALSE)</f>
        <v>0</v>
      </c>
    </row>
    <row r="183" spans="1:13">
      <c r="A183">
        <v>42139</v>
      </c>
      <c r="B183" t="s">
        <v>325</v>
      </c>
      <c r="C183" t="s">
        <v>157</v>
      </c>
      <c r="D183" s="133">
        <v>23</v>
      </c>
      <c r="E183" s="133">
        <v>0</v>
      </c>
      <c r="F183" s="133">
        <v>24</v>
      </c>
      <c r="G183" s="133">
        <v>0</v>
      </c>
      <c r="H183" s="133">
        <v>0</v>
      </c>
      <c r="I183" s="133">
        <v>0</v>
      </c>
      <c r="J183" s="133">
        <v>0</v>
      </c>
      <c r="K183">
        <v>42117</v>
      </c>
      <c r="L183" s="133">
        <v>0</v>
      </c>
      <c r="M183" t="b">
        <f ca="1">IF(TODAY()-Table_Query_from_A_Readiness4[[#This Row],[PER_DATE]]&gt;=0,TRUE, FALSE)</f>
        <v>0</v>
      </c>
    </row>
    <row r="184" spans="1:13">
      <c r="A184">
        <v>42139</v>
      </c>
      <c r="B184" t="s">
        <v>325</v>
      </c>
      <c r="C184" t="s">
        <v>159</v>
      </c>
      <c r="D184" s="133">
        <v>23</v>
      </c>
      <c r="E184" s="133">
        <v>0</v>
      </c>
      <c r="F184" s="133">
        <v>24</v>
      </c>
      <c r="G184" s="133">
        <v>0</v>
      </c>
      <c r="H184" s="133">
        <v>0</v>
      </c>
      <c r="I184" s="133">
        <v>0</v>
      </c>
      <c r="J184" s="133">
        <v>0</v>
      </c>
      <c r="K184">
        <v>42117</v>
      </c>
      <c r="L184" s="133">
        <v>0</v>
      </c>
      <c r="M184" t="b">
        <f ca="1">IF(TODAY()-Table_Query_from_A_Readiness4[[#This Row],[PER_DATE]]&gt;=0,TRUE, FALSE)</f>
        <v>0</v>
      </c>
    </row>
    <row r="185" spans="1:13">
      <c r="A185">
        <v>42139</v>
      </c>
      <c r="B185" t="s">
        <v>325</v>
      </c>
      <c r="C185" t="s">
        <v>160</v>
      </c>
      <c r="D185" s="133">
        <v>23</v>
      </c>
      <c r="E185" s="133">
        <v>0</v>
      </c>
      <c r="F185" s="133">
        <v>24</v>
      </c>
      <c r="G185" s="133">
        <v>0</v>
      </c>
      <c r="H185" s="133">
        <v>0</v>
      </c>
      <c r="I185" s="133">
        <v>0</v>
      </c>
      <c r="J185" s="133">
        <v>0</v>
      </c>
      <c r="K185">
        <v>42117</v>
      </c>
      <c r="L185" s="133">
        <v>0</v>
      </c>
      <c r="M185" t="b">
        <f ca="1">IF(TODAY()-Table_Query_from_A_Readiness4[[#This Row],[PER_DATE]]&gt;=0,TRUE, FALSE)</f>
        <v>0</v>
      </c>
    </row>
    <row r="186" spans="1:13">
      <c r="A186">
        <v>42139</v>
      </c>
      <c r="B186" t="s">
        <v>325</v>
      </c>
      <c r="C186" t="s">
        <v>166</v>
      </c>
      <c r="D186" s="133">
        <v>24</v>
      </c>
      <c r="E186" s="133">
        <v>24</v>
      </c>
      <c r="F186" s="133">
        <v>0</v>
      </c>
      <c r="G186" s="133">
        <v>0</v>
      </c>
      <c r="H186" s="133">
        <v>0</v>
      </c>
      <c r="I186" s="133">
        <v>0</v>
      </c>
      <c r="J186" s="133">
        <v>0</v>
      </c>
      <c r="K186">
        <v>42118</v>
      </c>
      <c r="L186" s="133">
        <v>0</v>
      </c>
      <c r="M186" t="b">
        <f ca="1">IF(TODAY()-Table_Query_from_A_Readiness4[[#This Row],[PER_DATE]]&gt;=0,TRUE, FALSE)</f>
        <v>0</v>
      </c>
    </row>
    <row r="187" spans="1:13">
      <c r="A187">
        <v>42139</v>
      </c>
      <c r="B187" t="s">
        <v>325</v>
      </c>
      <c r="C187" t="s">
        <v>152</v>
      </c>
      <c r="D187" s="133">
        <v>24</v>
      </c>
      <c r="E187" s="133">
        <v>0</v>
      </c>
      <c r="F187" s="133">
        <v>0</v>
      </c>
      <c r="G187" s="133">
        <v>0</v>
      </c>
      <c r="H187" s="133">
        <v>24</v>
      </c>
      <c r="I187" s="133">
        <v>0</v>
      </c>
      <c r="J187" s="133">
        <v>0</v>
      </c>
      <c r="K187">
        <v>42118</v>
      </c>
      <c r="L187" s="133">
        <v>0</v>
      </c>
      <c r="M187" t="b">
        <f ca="1">IF(TODAY()-Table_Query_from_A_Readiness4[[#This Row],[PER_DATE]]&gt;=0,TRUE, FALSE)</f>
        <v>0</v>
      </c>
    </row>
    <row r="188" spans="1:13">
      <c r="A188">
        <v>42139</v>
      </c>
      <c r="B188" t="s">
        <v>325</v>
      </c>
      <c r="C188" t="s">
        <v>167</v>
      </c>
      <c r="D188" s="133">
        <v>24</v>
      </c>
      <c r="E188" s="133">
        <v>0</v>
      </c>
      <c r="F188" s="133">
        <v>0</v>
      </c>
      <c r="G188" s="133">
        <v>0</v>
      </c>
      <c r="H188" s="133">
        <v>0</v>
      </c>
      <c r="I188" s="133">
        <v>24</v>
      </c>
      <c r="J188" s="133">
        <v>0</v>
      </c>
      <c r="K188">
        <v>42118</v>
      </c>
      <c r="L188" s="133">
        <v>0</v>
      </c>
      <c r="M188" t="b">
        <f ca="1">IF(TODAY()-Table_Query_from_A_Readiness4[[#This Row],[PER_DATE]]&gt;=0,TRUE, FALSE)</f>
        <v>0</v>
      </c>
    </row>
    <row r="189" spans="1:13">
      <c r="A189">
        <v>42139</v>
      </c>
      <c r="B189" t="s">
        <v>325</v>
      </c>
      <c r="C189" t="s">
        <v>154</v>
      </c>
      <c r="D189" s="133">
        <v>24</v>
      </c>
      <c r="E189" s="133">
        <v>24</v>
      </c>
      <c r="F189" s="133">
        <v>0</v>
      </c>
      <c r="G189" s="133">
        <v>0</v>
      </c>
      <c r="H189" s="133">
        <v>0</v>
      </c>
      <c r="I189" s="133">
        <v>0</v>
      </c>
      <c r="J189" s="133">
        <v>0</v>
      </c>
      <c r="K189">
        <v>42118</v>
      </c>
      <c r="L189" s="133">
        <v>0</v>
      </c>
      <c r="M189" t="b">
        <f ca="1">IF(TODAY()-Table_Query_from_A_Readiness4[[#This Row],[PER_DATE]]&gt;=0,TRUE, FALSE)</f>
        <v>0</v>
      </c>
    </row>
    <row r="190" spans="1:13">
      <c r="A190">
        <v>42139</v>
      </c>
      <c r="B190" t="s">
        <v>325</v>
      </c>
      <c r="C190" t="s">
        <v>168</v>
      </c>
      <c r="D190" s="133">
        <v>24</v>
      </c>
      <c r="E190" s="133">
        <v>24</v>
      </c>
      <c r="F190" s="133">
        <v>0</v>
      </c>
      <c r="G190" s="133">
        <v>0</v>
      </c>
      <c r="H190" s="133">
        <v>0</v>
      </c>
      <c r="I190" s="133">
        <v>0</v>
      </c>
      <c r="J190" s="133">
        <v>0</v>
      </c>
      <c r="K190">
        <v>42118</v>
      </c>
      <c r="L190" s="133">
        <v>0</v>
      </c>
      <c r="M190" t="b">
        <f ca="1">IF(TODAY()-Table_Query_from_A_Readiness4[[#This Row],[PER_DATE]]&gt;=0,TRUE, FALSE)</f>
        <v>0</v>
      </c>
    </row>
    <row r="191" spans="1:13">
      <c r="A191">
        <v>42139</v>
      </c>
      <c r="B191" t="s">
        <v>325</v>
      </c>
      <c r="C191" t="s">
        <v>157</v>
      </c>
      <c r="D191" s="133">
        <v>24</v>
      </c>
      <c r="E191" s="133">
        <v>0</v>
      </c>
      <c r="F191" s="133">
        <v>24</v>
      </c>
      <c r="G191" s="133">
        <v>0</v>
      </c>
      <c r="H191" s="133">
        <v>0</v>
      </c>
      <c r="I191" s="133">
        <v>0</v>
      </c>
      <c r="J191" s="133">
        <v>0</v>
      </c>
      <c r="K191">
        <v>42118</v>
      </c>
      <c r="L191" s="133">
        <v>0</v>
      </c>
      <c r="M191" t="b">
        <f ca="1">IF(TODAY()-Table_Query_from_A_Readiness4[[#This Row],[PER_DATE]]&gt;=0,TRUE, FALSE)</f>
        <v>0</v>
      </c>
    </row>
    <row r="192" spans="1:13">
      <c r="A192">
        <v>42139</v>
      </c>
      <c r="B192" t="s">
        <v>325</v>
      </c>
      <c r="C192" t="s">
        <v>159</v>
      </c>
      <c r="D192" s="133">
        <v>24</v>
      </c>
      <c r="E192" s="133">
        <v>0</v>
      </c>
      <c r="F192" s="133">
        <v>24</v>
      </c>
      <c r="G192" s="133">
        <v>0</v>
      </c>
      <c r="H192" s="133">
        <v>0</v>
      </c>
      <c r="I192" s="133">
        <v>0</v>
      </c>
      <c r="J192" s="133">
        <v>0</v>
      </c>
      <c r="K192">
        <v>42118</v>
      </c>
      <c r="L192" s="133">
        <v>0</v>
      </c>
      <c r="M192" t="b">
        <f ca="1">IF(TODAY()-Table_Query_from_A_Readiness4[[#This Row],[PER_DATE]]&gt;=0,TRUE, FALSE)</f>
        <v>0</v>
      </c>
    </row>
    <row r="193" spans="1:13">
      <c r="A193">
        <v>42139</v>
      </c>
      <c r="B193" t="s">
        <v>325</v>
      </c>
      <c r="C193" t="s">
        <v>160</v>
      </c>
      <c r="D193" s="133">
        <v>24</v>
      </c>
      <c r="E193" s="133">
        <v>0</v>
      </c>
      <c r="F193" s="133">
        <v>24</v>
      </c>
      <c r="G193" s="133">
        <v>0</v>
      </c>
      <c r="H193" s="133">
        <v>0</v>
      </c>
      <c r="I193" s="133">
        <v>0</v>
      </c>
      <c r="J193" s="133">
        <v>0</v>
      </c>
      <c r="K193">
        <v>42118</v>
      </c>
      <c r="L193" s="133">
        <v>0</v>
      </c>
      <c r="M193" t="b">
        <f ca="1">IF(TODAY()-Table_Query_from_A_Readiness4[[#This Row],[PER_DATE]]&gt;=0,TRUE, FALSE)</f>
        <v>0</v>
      </c>
    </row>
    <row r="194" spans="1:13">
      <c r="A194">
        <v>42139</v>
      </c>
      <c r="B194" t="s">
        <v>325</v>
      </c>
      <c r="C194" t="s">
        <v>166</v>
      </c>
      <c r="D194" s="133">
        <v>25</v>
      </c>
      <c r="E194" s="133">
        <v>24</v>
      </c>
      <c r="F194" s="133">
        <v>0</v>
      </c>
      <c r="G194" s="133">
        <v>0</v>
      </c>
      <c r="H194" s="133">
        <v>0</v>
      </c>
      <c r="I194" s="133">
        <v>0</v>
      </c>
      <c r="J194" s="133">
        <v>0</v>
      </c>
      <c r="K194">
        <v>42119</v>
      </c>
      <c r="L194" s="133">
        <v>0</v>
      </c>
      <c r="M194" t="b">
        <f ca="1">IF(TODAY()-Table_Query_from_A_Readiness4[[#This Row],[PER_DATE]]&gt;=0,TRUE, FALSE)</f>
        <v>0</v>
      </c>
    </row>
    <row r="195" spans="1:13">
      <c r="A195">
        <v>42139</v>
      </c>
      <c r="B195" t="s">
        <v>325</v>
      </c>
      <c r="C195" t="s">
        <v>152</v>
      </c>
      <c r="D195" s="133">
        <v>25</v>
      </c>
      <c r="E195" s="133">
        <v>0</v>
      </c>
      <c r="F195" s="133">
        <v>0</v>
      </c>
      <c r="G195" s="133">
        <v>0</v>
      </c>
      <c r="H195" s="133">
        <v>24</v>
      </c>
      <c r="I195" s="133">
        <v>0</v>
      </c>
      <c r="J195" s="133">
        <v>0</v>
      </c>
      <c r="K195">
        <v>42119</v>
      </c>
      <c r="L195" s="133">
        <v>0</v>
      </c>
      <c r="M195" t="b">
        <f ca="1">IF(TODAY()-Table_Query_from_A_Readiness4[[#This Row],[PER_DATE]]&gt;=0,TRUE, FALSE)</f>
        <v>0</v>
      </c>
    </row>
    <row r="196" spans="1:13">
      <c r="A196">
        <v>42139</v>
      </c>
      <c r="B196" t="s">
        <v>325</v>
      </c>
      <c r="C196" t="s">
        <v>167</v>
      </c>
      <c r="D196" s="133">
        <v>25</v>
      </c>
      <c r="E196" s="133">
        <v>0</v>
      </c>
      <c r="F196" s="133">
        <v>0</v>
      </c>
      <c r="G196" s="133">
        <v>0</v>
      </c>
      <c r="H196" s="133">
        <v>0</v>
      </c>
      <c r="I196" s="133">
        <v>24</v>
      </c>
      <c r="J196" s="133">
        <v>0</v>
      </c>
      <c r="K196">
        <v>42119</v>
      </c>
      <c r="L196" s="133">
        <v>0</v>
      </c>
      <c r="M196" t="b">
        <f ca="1">IF(TODAY()-Table_Query_from_A_Readiness4[[#This Row],[PER_DATE]]&gt;=0,TRUE, FALSE)</f>
        <v>0</v>
      </c>
    </row>
    <row r="197" spans="1:13">
      <c r="A197">
        <v>42139</v>
      </c>
      <c r="B197" t="s">
        <v>325</v>
      </c>
      <c r="C197" t="s">
        <v>154</v>
      </c>
      <c r="D197" s="133">
        <v>25</v>
      </c>
      <c r="E197" s="133">
        <v>24</v>
      </c>
      <c r="F197" s="133">
        <v>0</v>
      </c>
      <c r="G197" s="133">
        <v>0</v>
      </c>
      <c r="H197" s="133">
        <v>0</v>
      </c>
      <c r="I197" s="133">
        <v>0</v>
      </c>
      <c r="J197" s="133">
        <v>0</v>
      </c>
      <c r="K197">
        <v>42119</v>
      </c>
      <c r="L197" s="133">
        <v>0</v>
      </c>
      <c r="M197" t="b">
        <f ca="1">IF(TODAY()-Table_Query_from_A_Readiness4[[#This Row],[PER_DATE]]&gt;=0,TRUE, FALSE)</f>
        <v>0</v>
      </c>
    </row>
    <row r="198" spans="1:13">
      <c r="A198">
        <v>42139</v>
      </c>
      <c r="B198" t="s">
        <v>325</v>
      </c>
      <c r="C198" t="s">
        <v>168</v>
      </c>
      <c r="D198" s="133">
        <v>25</v>
      </c>
      <c r="E198" s="133">
        <v>24</v>
      </c>
      <c r="F198" s="133">
        <v>0</v>
      </c>
      <c r="G198" s="133">
        <v>0</v>
      </c>
      <c r="H198" s="133">
        <v>0</v>
      </c>
      <c r="I198" s="133">
        <v>0</v>
      </c>
      <c r="J198" s="133">
        <v>0</v>
      </c>
      <c r="K198">
        <v>42119</v>
      </c>
      <c r="L198" s="133">
        <v>0</v>
      </c>
      <c r="M198" t="b">
        <f ca="1">IF(TODAY()-Table_Query_from_A_Readiness4[[#This Row],[PER_DATE]]&gt;=0,TRUE, FALSE)</f>
        <v>0</v>
      </c>
    </row>
    <row r="199" spans="1:13">
      <c r="A199">
        <v>42139</v>
      </c>
      <c r="B199" t="s">
        <v>325</v>
      </c>
      <c r="C199" t="s">
        <v>157</v>
      </c>
      <c r="D199" s="133">
        <v>25</v>
      </c>
      <c r="E199" s="133">
        <v>0</v>
      </c>
      <c r="F199" s="133">
        <v>24</v>
      </c>
      <c r="G199" s="133">
        <v>0</v>
      </c>
      <c r="H199" s="133">
        <v>0</v>
      </c>
      <c r="I199" s="133">
        <v>0</v>
      </c>
      <c r="J199" s="133">
        <v>0</v>
      </c>
      <c r="K199">
        <v>42119</v>
      </c>
      <c r="L199" s="133">
        <v>0</v>
      </c>
      <c r="M199" t="b">
        <f ca="1">IF(TODAY()-Table_Query_from_A_Readiness4[[#This Row],[PER_DATE]]&gt;=0,TRUE, FALSE)</f>
        <v>0</v>
      </c>
    </row>
    <row r="200" spans="1:13">
      <c r="A200">
        <v>42139</v>
      </c>
      <c r="B200" t="s">
        <v>325</v>
      </c>
      <c r="C200" t="s">
        <v>159</v>
      </c>
      <c r="D200" s="133">
        <v>25</v>
      </c>
      <c r="E200" s="133">
        <v>0</v>
      </c>
      <c r="F200" s="133">
        <v>24</v>
      </c>
      <c r="G200" s="133">
        <v>0</v>
      </c>
      <c r="H200" s="133">
        <v>0</v>
      </c>
      <c r="I200" s="133">
        <v>0</v>
      </c>
      <c r="J200" s="133">
        <v>0</v>
      </c>
      <c r="K200">
        <v>42119</v>
      </c>
      <c r="L200" s="133">
        <v>0</v>
      </c>
      <c r="M200" t="b">
        <f ca="1">IF(TODAY()-Table_Query_from_A_Readiness4[[#This Row],[PER_DATE]]&gt;=0,TRUE, FALSE)</f>
        <v>0</v>
      </c>
    </row>
    <row r="201" spans="1:13">
      <c r="A201">
        <v>42139</v>
      </c>
      <c r="B201" t="s">
        <v>325</v>
      </c>
      <c r="C201" t="s">
        <v>160</v>
      </c>
      <c r="D201" s="133">
        <v>25</v>
      </c>
      <c r="E201" s="133">
        <v>0</v>
      </c>
      <c r="F201" s="133">
        <v>24</v>
      </c>
      <c r="G201" s="133">
        <v>0</v>
      </c>
      <c r="H201" s="133">
        <v>0</v>
      </c>
      <c r="I201" s="133">
        <v>0</v>
      </c>
      <c r="J201" s="133">
        <v>0</v>
      </c>
      <c r="K201">
        <v>42119</v>
      </c>
      <c r="L201" s="133">
        <v>0</v>
      </c>
      <c r="M201" t="b">
        <f ca="1">IF(TODAY()-Table_Query_from_A_Readiness4[[#This Row],[PER_DATE]]&gt;=0,TRUE, FALSE)</f>
        <v>0</v>
      </c>
    </row>
    <row r="202" spans="1:13">
      <c r="A202">
        <v>42139</v>
      </c>
      <c r="B202" t="s">
        <v>325</v>
      </c>
      <c r="C202" t="s">
        <v>166</v>
      </c>
      <c r="D202" s="133">
        <v>26</v>
      </c>
      <c r="E202" s="133">
        <v>24</v>
      </c>
      <c r="F202" s="133">
        <v>0</v>
      </c>
      <c r="G202" s="133">
        <v>0</v>
      </c>
      <c r="H202" s="133">
        <v>0</v>
      </c>
      <c r="I202" s="133">
        <v>0</v>
      </c>
      <c r="J202" s="133">
        <v>0</v>
      </c>
      <c r="K202">
        <v>42120</v>
      </c>
      <c r="L202" s="133">
        <v>0</v>
      </c>
      <c r="M202" t="b">
        <f ca="1">IF(TODAY()-Table_Query_from_A_Readiness4[[#This Row],[PER_DATE]]&gt;=0,TRUE, FALSE)</f>
        <v>0</v>
      </c>
    </row>
    <row r="203" spans="1:13">
      <c r="A203">
        <v>42139</v>
      </c>
      <c r="B203" t="s">
        <v>325</v>
      </c>
      <c r="C203" t="s">
        <v>152</v>
      </c>
      <c r="D203" s="133">
        <v>26</v>
      </c>
      <c r="E203" s="133">
        <v>0</v>
      </c>
      <c r="F203" s="133">
        <v>0</v>
      </c>
      <c r="G203" s="133">
        <v>0</v>
      </c>
      <c r="H203" s="133">
        <v>24</v>
      </c>
      <c r="I203" s="133">
        <v>0</v>
      </c>
      <c r="J203" s="133">
        <v>0</v>
      </c>
      <c r="K203">
        <v>42120</v>
      </c>
      <c r="L203" s="133">
        <v>0</v>
      </c>
      <c r="M203" t="b">
        <f ca="1">IF(TODAY()-Table_Query_from_A_Readiness4[[#This Row],[PER_DATE]]&gt;=0,TRUE, FALSE)</f>
        <v>0</v>
      </c>
    </row>
    <row r="204" spans="1:13">
      <c r="A204">
        <v>42139</v>
      </c>
      <c r="B204" t="s">
        <v>325</v>
      </c>
      <c r="C204" t="s">
        <v>167</v>
      </c>
      <c r="D204" s="133">
        <v>26</v>
      </c>
      <c r="E204" s="133">
        <v>0</v>
      </c>
      <c r="F204" s="133">
        <v>0</v>
      </c>
      <c r="G204" s="133">
        <v>0</v>
      </c>
      <c r="H204" s="133">
        <v>0</v>
      </c>
      <c r="I204" s="133">
        <v>24</v>
      </c>
      <c r="J204" s="133">
        <v>0</v>
      </c>
      <c r="K204">
        <v>42120</v>
      </c>
      <c r="L204" s="133">
        <v>0</v>
      </c>
      <c r="M204" t="b">
        <f ca="1">IF(TODAY()-Table_Query_from_A_Readiness4[[#This Row],[PER_DATE]]&gt;=0,TRUE, FALSE)</f>
        <v>0</v>
      </c>
    </row>
    <row r="205" spans="1:13">
      <c r="A205">
        <v>42139</v>
      </c>
      <c r="B205" t="s">
        <v>325</v>
      </c>
      <c r="C205" t="s">
        <v>154</v>
      </c>
      <c r="D205" s="133">
        <v>26</v>
      </c>
      <c r="E205" s="133">
        <v>24</v>
      </c>
      <c r="F205" s="133">
        <v>0</v>
      </c>
      <c r="G205" s="133">
        <v>0</v>
      </c>
      <c r="H205" s="133">
        <v>0</v>
      </c>
      <c r="I205" s="133">
        <v>0</v>
      </c>
      <c r="J205" s="133">
        <v>0</v>
      </c>
      <c r="K205">
        <v>42120</v>
      </c>
      <c r="L205" s="133">
        <v>0</v>
      </c>
      <c r="M205" t="b">
        <f ca="1">IF(TODAY()-Table_Query_from_A_Readiness4[[#This Row],[PER_DATE]]&gt;=0,TRUE, FALSE)</f>
        <v>0</v>
      </c>
    </row>
    <row r="206" spans="1:13">
      <c r="A206">
        <v>42139</v>
      </c>
      <c r="B206" t="s">
        <v>325</v>
      </c>
      <c r="C206" t="s">
        <v>168</v>
      </c>
      <c r="D206" s="133">
        <v>26</v>
      </c>
      <c r="E206" s="133">
        <v>24</v>
      </c>
      <c r="F206" s="133">
        <v>0</v>
      </c>
      <c r="G206" s="133">
        <v>0</v>
      </c>
      <c r="H206" s="133">
        <v>0</v>
      </c>
      <c r="I206" s="133">
        <v>0</v>
      </c>
      <c r="J206" s="133">
        <v>0</v>
      </c>
      <c r="K206">
        <v>42120</v>
      </c>
      <c r="L206" s="133">
        <v>0</v>
      </c>
      <c r="M206" t="b">
        <f ca="1">IF(TODAY()-Table_Query_from_A_Readiness4[[#This Row],[PER_DATE]]&gt;=0,TRUE, FALSE)</f>
        <v>0</v>
      </c>
    </row>
    <row r="207" spans="1:13">
      <c r="A207">
        <v>42139</v>
      </c>
      <c r="B207" t="s">
        <v>325</v>
      </c>
      <c r="C207" t="s">
        <v>157</v>
      </c>
      <c r="D207" s="133">
        <v>26</v>
      </c>
      <c r="E207" s="133">
        <v>0</v>
      </c>
      <c r="F207" s="133">
        <v>24</v>
      </c>
      <c r="G207" s="133">
        <v>0</v>
      </c>
      <c r="H207" s="133">
        <v>0</v>
      </c>
      <c r="I207" s="133">
        <v>0</v>
      </c>
      <c r="J207" s="133">
        <v>0</v>
      </c>
      <c r="K207">
        <v>42120</v>
      </c>
      <c r="L207" s="133">
        <v>0</v>
      </c>
      <c r="M207" t="b">
        <f ca="1">IF(TODAY()-Table_Query_from_A_Readiness4[[#This Row],[PER_DATE]]&gt;=0,TRUE, FALSE)</f>
        <v>0</v>
      </c>
    </row>
    <row r="208" spans="1:13">
      <c r="A208">
        <v>42139</v>
      </c>
      <c r="B208" t="s">
        <v>325</v>
      </c>
      <c r="C208" t="s">
        <v>159</v>
      </c>
      <c r="D208" s="133">
        <v>26</v>
      </c>
      <c r="E208" s="133">
        <v>0</v>
      </c>
      <c r="F208" s="133">
        <v>24</v>
      </c>
      <c r="G208" s="133">
        <v>0</v>
      </c>
      <c r="H208" s="133">
        <v>0</v>
      </c>
      <c r="I208" s="133">
        <v>0</v>
      </c>
      <c r="J208" s="133">
        <v>0</v>
      </c>
      <c r="K208">
        <v>42120</v>
      </c>
      <c r="L208" s="133">
        <v>0</v>
      </c>
      <c r="M208" t="b">
        <f ca="1">IF(TODAY()-Table_Query_from_A_Readiness4[[#This Row],[PER_DATE]]&gt;=0,TRUE, FALSE)</f>
        <v>0</v>
      </c>
    </row>
    <row r="209" spans="1:13">
      <c r="A209">
        <v>42139</v>
      </c>
      <c r="B209" t="s">
        <v>325</v>
      </c>
      <c r="C209" t="s">
        <v>160</v>
      </c>
      <c r="D209" s="133">
        <v>26</v>
      </c>
      <c r="E209" s="133">
        <v>0</v>
      </c>
      <c r="F209" s="133">
        <v>24</v>
      </c>
      <c r="G209" s="133">
        <v>0</v>
      </c>
      <c r="H209" s="133">
        <v>0</v>
      </c>
      <c r="I209" s="133">
        <v>0</v>
      </c>
      <c r="J209" s="133">
        <v>0</v>
      </c>
      <c r="K209">
        <v>42120</v>
      </c>
      <c r="L209" s="133">
        <v>0</v>
      </c>
      <c r="M209" t="b">
        <f ca="1">IF(TODAY()-Table_Query_from_A_Readiness4[[#This Row],[PER_DATE]]&gt;=0,TRUE, FALSE)</f>
        <v>0</v>
      </c>
    </row>
    <row r="210" spans="1:13">
      <c r="A210">
        <v>42139</v>
      </c>
      <c r="B210" t="s">
        <v>325</v>
      </c>
      <c r="C210" t="s">
        <v>166</v>
      </c>
      <c r="D210" s="133">
        <v>27</v>
      </c>
      <c r="E210" s="133">
        <v>24</v>
      </c>
      <c r="F210" s="133">
        <v>0</v>
      </c>
      <c r="G210" s="133">
        <v>0</v>
      </c>
      <c r="H210" s="133">
        <v>0</v>
      </c>
      <c r="I210" s="133">
        <v>0</v>
      </c>
      <c r="J210" s="133">
        <v>0</v>
      </c>
      <c r="K210">
        <v>42121</v>
      </c>
      <c r="L210" s="133">
        <v>0</v>
      </c>
      <c r="M210" t="b">
        <f ca="1">IF(TODAY()-Table_Query_from_A_Readiness4[[#This Row],[PER_DATE]]&gt;=0,TRUE, FALSE)</f>
        <v>0</v>
      </c>
    </row>
    <row r="211" spans="1:13">
      <c r="A211">
        <v>42139</v>
      </c>
      <c r="B211" t="s">
        <v>325</v>
      </c>
      <c r="C211" t="s">
        <v>152</v>
      </c>
      <c r="D211" s="133">
        <v>27</v>
      </c>
      <c r="E211" s="133">
        <v>0</v>
      </c>
      <c r="F211" s="133">
        <v>0</v>
      </c>
      <c r="G211" s="133">
        <v>0</v>
      </c>
      <c r="H211" s="133">
        <v>24</v>
      </c>
      <c r="I211" s="133">
        <v>0</v>
      </c>
      <c r="J211" s="133">
        <v>0</v>
      </c>
      <c r="K211">
        <v>42121</v>
      </c>
      <c r="L211" s="133">
        <v>0</v>
      </c>
      <c r="M211" t="b">
        <f ca="1">IF(TODAY()-Table_Query_from_A_Readiness4[[#This Row],[PER_DATE]]&gt;=0,TRUE, FALSE)</f>
        <v>0</v>
      </c>
    </row>
    <row r="212" spans="1:13">
      <c r="A212">
        <v>42139</v>
      </c>
      <c r="B212" t="s">
        <v>325</v>
      </c>
      <c r="C212" t="s">
        <v>167</v>
      </c>
      <c r="D212" s="133">
        <v>27</v>
      </c>
      <c r="E212" s="133">
        <v>0</v>
      </c>
      <c r="F212" s="133">
        <v>0</v>
      </c>
      <c r="G212" s="133">
        <v>0</v>
      </c>
      <c r="H212" s="133">
        <v>0</v>
      </c>
      <c r="I212" s="133">
        <v>24</v>
      </c>
      <c r="J212" s="133">
        <v>0</v>
      </c>
      <c r="K212">
        <v>42121</v>
      </c>
      <c r="L212" s="133">
        <v>0</v>
      </c>
      <c r="M212" t="b">
        <f ca="1">IF(TODAY()-Table_Query_from_A_Readiness4[[#This Row],[PER_DATE]]&gt;=0,TRUE, FALSE)</f>
        <v>0</v>
      </c>
    </row>
    <row r="213" spans="1:13">
      <c r="A213">
        <v>42139</v>
      </c>
      <c r="B213" t="s">
        <v>325</v>
      </c>
      <c r="C213" t="s">
        <v>154</v>
      </c>
      <c r="D213" s="133">
        <v>27</v>
      </c>
      <c r="E213" s="133">
        <v>24</v>
      </c>
      <c r="F213" s="133">
        <v>0</v>
      </c>
      <c r="G213" s="133">
        <v>0</v>
      </c>
      <c r="H213" s="133">
        <v>0</v>
      </c>
      <c r="I213" s="133">
        <v>0</v>
      </c>
      <c r="J213" s="133">
        <v>0</v>
      </c>
      <c r="K213">
        <v>42121</v>
      </c>
      <c r="L213" s="133">
        <v>0</v>
      </c>
      <c r="M213" t="b">
        <f ca="1">IF(TODAY()-Table_Query_from_A_Readiness4[[#This Row],[PER_DATE]]&gt;=0,TRUE, FALSE)</f>
        <v>0</v>
      </c>
    </row>
    <row r="214" spans="1:13">
      <c r="A214">
        <v>42139</v>
      </c>
      <c r="B214" t="s">
        <v>325</v>
      </c>
      <c r="C214" t="s">
        <v>168</v>
      </c>
      <c r="D214" s="133">
        <v>27</v>
      </c>
      <c r="E214" s="133">
        <v>24</v>
      </c>
      <c r="F214" s="133">
        <v>0</v>
      </c>
      <c r="G214" s="133">
        <v>0</v>
      </c>
      <c r="H214" s="133">
        <v>0</v>
      </c>
      <c r="I214" s="133">
        <v>0</v>
      </c>
      <c r="J214" s="133">
        <v>0</v>
      </c>
      <c r="K214">
        <v>42121</v>
      </c>
      <c r="L214" s="133">
        <v>0</v>
      </c>
      <c r="M214" t="b">
        <f ca="1">IF(TODAY()-Table_Query_from_A_Readiness4[[#This Row],[PER_DATE]]&gt;=0,TRUE, FALSE)</f>
        <v>0</v>
      </c>
    </row>
    <row r="215" spans="1:13">
      <c r="A215">
        <v>42139</v>
      </c>
      <c r="B215" t="s">
        <v>325</v>
      </c>
      <c r="C215" t="s">
        <v>157</v>
      </c>
      <c r="D215" s="133">
        <v>27</v>
      </c>
      <c r="E215" s="133">
        <v>0</v>
      </c>
      <c r="F215" s="133">
        <v>24</v>
      </c>
      <c r="G215" s="133">
        <v>0</v>
      </c>
      <c r="H215" s="133">
        <v>0</v>
      </c>
      <c r="I215" s="133">
        <v>0</v>
      </c>
      <c r="J215" s="133">
        <v>0</v>
      </c>
      <c r="K215">
        <v>42121</v>
      </c>
      <c r="L215" s="133">
        <v>0</v>
      </c>
      <c r="M215" t="b">
        <f ca="1">IF(TODAY()-Table_Query_from_A_Readiness4[[#This Row],[PER_DATE]]&gt;=0,TRUE, FALSE)</f>
        <v>0</v>
      </c>
    </row>
    <row r="216" spans="1:13">
      <c r="A216">
        <v>42139</v>
      </c>
      <c r="B216" t="s">
        <v>325</v>
      </c>
      <c r="C216" t="s">
        <v>159</v>
      </c>
      <c r="D216" s="133">
        <v>27</v>
      </c>
      <c r="E216" s="133">
        <v>0</v>
      </c>
      <c r="F216" s="133">
        <v>24</v>
      </c>
      <c r="G216" s="133">
        <v>0</v>
      </c>
      <c r="H216" s="133">
        <v>0</v>
      </c>
      <c r="I216" s="133">
        <v>0</v>
      </c>
      <c r="J216" s="133">
        <v>0</v>
      </c>
      <c r="K216">
        <v>42121</v>
      </c>
      <c r="L216" s="133">
        <v>0</v>
      </c>
      <c r="M216" t="b">
        <f ca="1">IF(TODAY()-Table_Query_from_A_Readiness4[[#This Row],[PER_DATE]]&gt;=0,TRUE, FALSE)</f>
        <v>0</v>
      </c>
    </row>
    <row r="217" spans="1:13">
      <c r="A217">
        <v>42139</v>
      </c>
      <c r="B217" t="s">
        <v>325</v>
      </c>
      <c r="C217" t="s">
        <v>160</v>
      </c>
      <c r="D217" s="133">
        <v>27</v>
      </c>
      <c r="E217" s="133">
        <v>0</v>
      </c>
      <c r="F217" s="133">
        <v>24</v>
      </c>
      <c r="G217" s="133">
        <v>0</v>
      </c>
      <c r="H217" s="133">
        <v>0</v>
      </c>
      <c r="I217" s="133">
        <v>0</v>
      </c>
      <c r="J217" s="133">
        <v>0</v>
      </c>
      <c r="K217">
        <v>42121</v>
      </c>
      <c r="L217" s="133">
        <v>0</v>
      </c>
      <c r="M217" t="b">
        <f ca="1">IF(TODAY()-Table_Query_from_A_Readiness4[[#This Row],[PER_DATE]]&gt;=0,TRUE, FALSE)</f>
        <v>0</v>
      </c>
    </row>
    <row r="218" spans="1:13">
      <c r="A218">
        <v>42139</v>
      </c>
      <c r="B218" t="s">
        <v>325</v>
      </c>
      <c r="C218" t="s">
        <v>166</v>
      </c>
      <c r="D218" s="133">
        <v>28</v>
      </c>
      <c r="E218" s="133">
        <v>24</v>
      </c>
      <c r="F218" s="133">
        <v>0</v>
      </c>
      <c r="G218" s="133">
        <v>0</v>
      </c>
      <c r="H218" s="133">
        <v>0</v>
      </c>
      <c r="I218" s="133">
        <v>0</v>
      </c>
      <c r="J218" s="133">
        <v>0</v>
      </c>
      <c r="K218">
        <v>42122</v>
      </c>
      <c r="L218" s="133">
        <v>0</v>
      </c>
      <c r="M218" t="b">
        <f ca="1">IF(TODAY()-Table_Query_from_A_Readiness4[[#This Row],[PER_DATE]]&gt;=0,TRUE, FALSE)</f>
        <v>0</v>
      </c>
    </row>
    <row r="219" spans="1:13">
      <c r="A219">
        <v>42139</v>
      </c>
      <c r="B219" t="s">
        <v>325</v>
      </c>
      <c r="C219" t="s">
        <v>152</v>
      </c>
      <c r="D219" s="133">
        <v>28</v>
      </c>
      <c r="E219" s="133">
        <v>0</v>
      </c>
      <c r="F219" s="133">
        <v>0</v>
      </c>
      <c r="G219" s="133">
        <v>0</v>
      </c>
      <c r="H219" s="133">
        <v>24</v>
      </c>
      <c r="I219" s="133">
        <v>0</v>
      </c>
      <c r="J219" s="133">
        <v>0</v>
      </c>
      <c r="K219">
        <v>42122</v>
      </c>
      <c r="L219" s="133">
        <v>0</v>
      </c>
      <c r="M219" t="b">
        <f ca="1">IF(TODAY()-Table_Query_from_A_Readiness4[[#This Row],[PER_DATE]]&gt;=0,TRUE, FALSE)</f>
        <v>0</v>
      </c>
    </row>
    <row r="220" spans="1:13">
      <c r="A220">
        <v>42139</v>
      </c>
      <c r="B220" t="s">
        <v>325</v>
      </c>
      <c r="C220" t="s">
        <v>167</v>
      </c>
      <c r="D220" s="133">
        <v>28</v>
      </c>
      <c r="E220" s="133">
        <v>0</v>
      </c>
      <c r="F220" s="133">
        <v>0</v>
      </c>
      <c r="G220" s="133">
        <v>0</v>
      </c>
      <c r="H220" s="133">
        <v>0</v>
      </c>
      <c r="I220" s="133">
        <v>24</v>
      </c>
      <c r="J220" s="133">
        <v>0</v>
      </c>
      <c r="K220">
        <v>42122</v>
      </c>
      <c r="L220" s="133">
        <v>0</v>
      </c>
      <c r="M220" t="b">
        <f ca="1">IF(TODAY()-Table_Query_from_A_Readiness4[[#This Row],[PER_DATE]]&gt;=0,TRUE, FALSE)</f>
        <v>0</v>
      </c>
    </row>
    <row r="221" spans="1:13">
      <c r="A221">
        <v>42139</v>
      </c>
      <c r="B221" t="s">
        <v>325</v>
      </c>
      <c r="C221" t="s">
        <v>154</v>
      </c>
      <c r="D221" s="133">
        <v>28</v>
      </c>
      <c r="E221" s="133">
        <v>24</v>
      </c>
      <c r="F221" s="133">
        <v>0</v>
      </c>
      <c r="G221" s="133">
        <v>0</v>
      </c>
      <c r="H221" s="133">
        <v>0</v>
      </c>
      <c r="I221" s="133">
        <v>0</v>
      </c>
      <c r="J221" s="133">
        <v>0</v>
      </c>
      <c r="K221">
        <v>42122</v>
      </c>
      <c r="L221" s="133">
        <v>0</v>
      </c>
      <c r="M221" t="b">
        <f ca="1">IF(TODAY()-Table_Query_from_A_Readiness4[[#This Row],[PER_DATE]]&gt;=0,TRUE, FALSE)</f>
        <v>0</v>
      </c>
    </row>
    <row r="222" spans="1:13">
      <c r="A222">
        <v>42139</v>
      </c>
      <c r="B222" t="s">
        <v>325</v>
      </c>
      <c r="C222" t="s">
        <v>168</v>
      </c>
      <c r="D222" s="133">
        <v>28</v>
      </c>
      <c r="E222" s="133">
        <v>24</v>
      </c>
      <c r="F222" s="133">
        <v>0</v>
      </c>
      <c r="G222" s="133">
        <v>0</v>
      </c>
      <c r="H222" s="133">
        <v>0</v>
      </c>
      <c r="I222" s="133">
        <v>0</v>
      </c>
      <c r="J222" s="133">
        <v>0</v>
      </c>
      <c r="K222">
        <v>42122</v>
      </c>
      <c r="L222" s="133">
        <v>0</v>
      </c>
      <c r="M222" t="b">
        <f ca="1">IF(TODAY()-Table_Query_from_A_Readiness4[[#This Row],[PER_DATE]]&gt;=0,TRUE, FALSE)</f>
        <v>0</v>
      </c>
    </row>
    <row r="223" spans="1:13">
      <c r="A223">
        <v>42139</v>
      </c>
      <c r="B223" t="s">
        <v>325</v>
      </c>
      <c r="C223" t="s">
        <v>157</v>
      </c>
      <c r="D223" s="133">
        <v>28</v>
      </c>
      <c r="E223" s="133">
        <v>0</v>
      </c>
      <c r="F223" s="133">
        <v>24</v>
      </c>
      <c r="G223" s="133">
        <v>0</v>
      </c>
      <c r="H223" s="133">
        <v>0</v>
      </c>
      <c r="I223" s="133">
        <v>0</v>
      </c>
      <c r="J223" s="133">
        <v>0</v>
      </c>
      <c r="K223">
        <v>42122</v>
      </c>
      <c r="L223" s="133">
        <v>0</v>
      </c>
      <c r="M223" t="b">
        <f ca="1">IF(TODAY()-Table_Query_from_A_Readiness4[[#This Row],[PER_DATE]]&gt;=0,TRUE, FALSE)</f>
        <v>0</v>
      </c>
    </row>
    <row r="224" spans="1:13">
      <c r="A224">
        <v>42139</v>
      </c>
      <c r="B224" t="s">
        <v>325</v>
      </c>
      <c r="C224" t="s">
        <v>159</v>
      </c>
      <c r="D224" s="133">
        <v>28</v>
      </c>
      <c r="E224" s="133">
        <v>0</v>
      </c>
      <c r="F224" s="133">
        <v>24</v>
      </c>
      <c r="G224" s="133">
        <v>0</v>
      </c>
      <c r="H224" s="133">
        <v>0</v>
      </c>
      <c r="I224" s="133">
        <v>0</v>
      </c>
      <c r="J224" s="133">
        <v>0</v>
      </c>
      <c r="K224">
        <v>42122</v>
      </c>
      <c r="L224" s="133">
        <v>0</v>
      </c>
      <c r="M224" t="b">
        <f ca="1">IF(TODAY()-Table_Query_from_A_Readiness4[[#This Row],[PER_DATE]]&gt;=0,TRUE, FALSE)</f>
        <v>0</v>
      </c>
    </row>
    <row r="225" spans="1:13">
      <c r="A225">
        <v>42139</v>
      </c>
      <c r="B225" t="s">
        <v>325</v>
      </c>
      <c r="C225" t="s">
        <v>160</v>
      </c>
      <c r="D225" s="133">
        <v>28</v>
      </c>
      <c r="E225" s="133">
        <v>0</v>
      </c>
      <c r="F225" s="133">
        <v>24</v>
      </c>
      <c r="G225" s="133">
        <v>0</v>
      </c>
      <c r="H225" s="133">
        <v>0</v>
      </c>
      <c r="I225" s="133">
        <v>0</v>
      </c>
      <c r="J225" s="133">
        <v>0</v>
      </c>
      <c r="K225">
        <v>42122</v>
      </c>
      <c r="L225" s="133">
        <v>0</v>
      </c>
      <c r="M225" t="b">
        <f ca="1">IF(TODAY()-Table_Query_from_A_Readiness4[[#This Row],[PER_DATE]]&gt;=0,TRUE, FALSE)</f>
        <v>0</v>
      </c>
    </row>
    <row r="226" spans="1:13">
      <c r="A226">
        <v>42139</v>
      </c>
      <c r="B226" t="s">
        <v>325</v>
      </c>
      <c r="C226" t="s">
        <v>166</v>
      </c>
      <c r="D226" s="133">
        <v>29</v>
      </c>
      <c r="E226" s="133">
        <v>24</v>
      </c>
      <c r="F226" s="133">
        <v>0</v>
      </c>
      <c r="G226" s="133">
        <v>0</v>
      </c>
      <c r="H226" s="133">
        <v>0</v>
      </c>
      <c r="I226" s="133">
        <v>0</v>
      </c>
      <c r="J226" s="133">
        <v>0</v>
      </c>
      <c r="K226">
        <v>42123</v>
      </c>
      <c r="L226" s="133">
        <v>0</v>
      </c>
      <c r="M226" s="244" t="b">
        <f ca="1">IF(TODAY()-Table_Query_from_A_Readiness4[[#This Row],[PER_DATE]]&gt;=0,TRUE, FALSE)</f>
        <v>0</v>
      </c>
    </row>
    <row r="227" spans="1:13">
      <c r="A227">
        <v>42139</v>
      </c>
      <c r="B227" t="s">
        <v>325</v>
      </c>
      <c r="C227" t="s">
        <v>152</v>
      </c>
      <c r="D227" s="133">
        <v>29</v>
      </c>
      <c r="E227" s="133">
        <v>24</v>
      </c>
      <c r="F227" s="133">
        <v>0</v>
      </c>
      <c r="G227" s="133">
        <v>0</v>
      </c>
      <c r="H227" s="133">
        <v>0</v>
      </c>
      <c r="I227" s="133">
        <v>0</v>
      </c>
      <c r="J227" s="133">
        <v>0</v>
      </c>
      <c r="K227">
        <v>42123</v>
      </c>
      <c r="L227" s="133">
        <v>0</v>
      </c>
      <c r="M227" s="244" t="b">
        <f ca="1">IF(TODAY()-Table_Query_from_A_Readiness4[[#This Row],[PER_DATE]]&gt;=0,TRUE, FALSE)</f>
        <v>0</v>
      </c>
    </row>
    <row r="228" spans="1:13">
      <c r="A228">
        <v>42139</v>
      </c>
      <c r="B228" t="s">
        <v>325</v>
      </c>
      <c r="C228" t="s">
        <v>167</v>
      </c>
      <c r="D228" s="133">
        <v>29</v>
      </c>
      <c r="E228" s="133">
        <v>24</v>
      </c>
      <c r="F228" s="133">
        <v>0</v>
      </c>
      <c r="G228" s="133">
        <v>0</v>
      </c>
      <c r="H228" s="133">
        <v>0</v>
      </c>
      <c r="I228" s="133">
        <v>0</v>
      </c>
      <c r="J228" s="133">
        <v>0</v>
      </c>
      <c r="K228">
        <v>42123</v>
      </c>
      <c r="L228" s="133">
        <v>0</v>
      </c>
      <c r="M228" s="244" t="b">
        <f ca="1">IF(TODAY()-Table_Query_from_A_Readiness4[[#This Row],[PER_DATE]]&gt;=0,TRUE, FALSE)</f>
        <v>0</v>
      </c>
    </row>
    <row r="229" spans="1:13">
      <c r="A229">
        <v>42139</v>
      </c>
      <c r="B229" t="s">
        <v>325</v>
      </c>
      <c r="C229" t="s">
        <v>154</v>
      </c>
      <c r="D229" s="133">
        <v>29</v>
      </c>
      <c r="E229" s="133">
        <v>24</v>
      </c>
      <c r="F229" s="133">
        <v>0</v>
      </c>
      <c r="G229" s="133">
        <v>0</v>
      </c>
      <c r="H229" s="133">
        <v>0</v>
      </c>
      <c r="I229" s="133">
        <v>0</v>
      </c>
      <c r="J229" s="133">
        <v>0</v>
      </c>
      <c r="K229">
        <v>42123</v>
      </c>
      <c r="L229" s="133">
        <v>0</v>
      </c>
      <c r="M229" s="244" t="b">
        <f ca="1">IF(TODAY()-Table_Query_from_A_Readiness4[[#This Row],[PER_DATE]]&gt;=0,TRUE, FALSE)</f>
        <v>0</v>
      </c>
    </row>
    <row r="230" spans="1:13">
      <c r="A230">
        <v>42139</v>
      </c>
      <c r="B230" t="s">
        <v>325</v>
      </c>
      <c r="C230" t="s">
        <v>168</v>
      </c>
      <c r="D230" s="133">
        <v>29</v>
      </c>
      <c r="E230" s="133">
        <v>24</v>
      </c>
      <c r="F230" s="133">
        <v>0</v>
      </c>
      <c r="G230" s="133">
        <v>0</v>
      </c>
      <c r="H230" s="133">
        <v>0</v>
      </c>
      <c r="I230" s="133">
        <v>0</v>
      </c>
      <c r="J230" s="133">
        <v>0</v>
      </c>
      <c r="K230">
        <v>42123</v>
      </c>
      <c r="L230" s="133">
        <v>0</v>
      </c>
      <c r="M230" s="244" t="b">
        <f ca="1">IF(TODAY()-Table_Query_from_A_Readiness4[[#This Row],[PER_DATE]]&gt;=0,TRUE, FALSE)</f>
        <v>0</v>
      </c>
    </row>
    <row r="231" spans="1:13">
      <c r="A231">
        <v>42139</v>
      </c>
      <c r="B231" t="s">
        <v>325</v>
      </c>
      <c r="C231" t="s">
        <v>157</v>
      </c>
      <c r="D231" s="133">
        <v>29</v>
      </c>
      <c r="E231" s="133">
        <v>0</v>
      </c>
      <c r="F231" s="133">
        <v>24</v>
      </c>
      <c r="G231" s="133">
        <v>0</v>
      </c>
      <c r="H231" s="133">
        <v>0</v>
      </c>
      <c r="I231" s="133">
        <v>0</v>
      </c>
      <c r="J231" s="133">
        <v>0</v>
      </c>
      <c r="K231">
        <v>42123</v>
      </c>
      <c r="L231" s="133">
        <v>0</v>
      </c>
      <c r="M231" s="244" t="b">
        <f ca="1">IF(TODAY()-Table_Query_from_A_Readiness4[[#This Row],[PER_DATE]]&gt;=0,TRUE, FALSE)</f>
        <v>0</v>
      </c>
    </row>
    <row r="232" spans="1:13">
      <c r="A232">
        <v>42139</v>
      </c>
      <c r="B232" t="s">
        <v>325</v>
      </c>
      <c r="C232" t="s">
        <v>159</v>
      </c>
      <c r="D232" s="133">
        <v>29</v>
      </c>
      <c r="E232" s="133">
        <v>24</v>
      </c>
      <c r="F232" s="133">
        <v>0</v>
      </c>
      <c r="G232" s="133">
        <v>0</v>
      </c>
      <c r="H232" s="133">
        <v>0</v>
      </c>
      <c r="I232" s="133">
        <v>0</v>
      </c>
      <c r="J232" s="133">
        <v>0</v>
      </c>
      <c r="K232">
        <v>42123</v>
      </c>
      <c r="L232" s="133">
        <v>0</v>
      </c>
      <c r="M232" s="244" t="b">
        <f ca="1">IF(TODAY()-Table_Query_from_A_Readiness4[[#This Row],[PER_DATE]]&gt;=0,TRUE, FALSE)</f>
        <v>0</v>
      </c>
    </row>
    <row r="233" spans="1:13">
      <c r="A233">
        <v>42139</v>
      </c>
      <c r="B233" t="s">
        <v>325</v>
      </c>
      <c r="C233" t="s">
        <v>160</v>
      </c>
      <c r="D233" s="133">
        <v>29</v>
      </c>
      <c r="E233" s="133">
        <v>24</v>
      </c>
      <c r="F233" s="133">
        <v>0</v>
      </c>
      <c r="G233" s="133">
        <v>0</v>
      </c>
      <c r="H233" s="133">
        <v>0</v>
      </c>
      <c r="I233" s="133">
        <v>0</v>
      </c>
      <c r="J233" s="133">
        <v>0</v>
      </c>
      <c r="K233">
        <v>42123</v>
      </c>
      <c r="L233" s="133">
        <v>0</v>
      </c>
      <c r="M233" s="244" t="b">
        <f ca="1">IF(TODAY()-Table_Query_from_A_Readiness4[[#This Row],[PER_DATE]]&gt;=0,TRUE, FALSE)</f>
        <v>0</v>
      </c>
    </row>
    <row r="234" spans="1:13">
      <c r="A234">
        <v>42139</v>
      </c>
      <c r="B234" t="s">
        <v>325</v>
      </c>
      <c r="C234" t="s">
        <v>166</v>
      </c>
      <c r="D234" s="133">
        <v>30</v>
      </c>
      <c r="E234" s="133">
        <v>24</v>
      </c>
      <c r="F234" s="133">
        <v>0</v>
      </c>
      <c r="G234" s="133">
        <v>0</v>
      </c>
      <c r="H234" s="133">
        <v>0</v>
      </c>
      <c r="I234" s="133">
        <v>0</v>
      </c>
      <c r="J234" s="133">
        <v>0</v>
      </c>
      <c r="K234">
        <v>42124</v>
      </c>
      <c r="L234" s="133">
        <v>0</v>
      </c>
      <c r="M234" s="244" t="b">
        <f ca="1">IF(TODAY()-Table_Query_from_A_Readiness4[[#This Row],[PER_DATE]]&gt;=0,TRUE, FALSE)</f>
        <v>0</v>
      </c>
    </row>
    <row r="235" spans="1:13">
      <c r="A235">
        <v>42139</v>
      </c>
      <c r="B235" t="s">
        <v>325</v>
      </c>
      <c r="C235" t="s">
        <v>152</v>
      </c>
      <c r="D235" s="133">
        <v>30</v>
      </c>
      <c r="E235" s="133">
        <v>24</v>
      </c>
      <c r="F235" s="133">
        <v>0</v>
      </c>
      <c r="G235" s="133">
        <v>0</v>
      </c>
      <c r="H235" s="133">
        <v>0</v>
      </c>
      <c r="I235" s="133">
        <v>0</v>
      </c>
      <c r="J235" s="133">
        <v>0</v>
      </c>
      <c r="K235">
        <v>42124</v>
      </c>
      <c r="L235" s="133">
        <v>0</v>
      </c>
      <c r="M235" s="244" t="b">
        <f ca="1">IF(TODAY()-Table_Query_from_A_Readiness4[[#This Row],[PER_DATE]]&gt;=0,TRUE, FALSE)</f>
        <v>0</v>
      </c>
    </row>
    <row r="236" spans="1:13">
      <c r="A236">
        <v>42139</v>
      </c>
      <c r="B236" t="s">
        <v>325</v>
      </c>
      <c r="C236" t="s">
        <v>167</v>
      </c>
      <c r="D236" s="133">
        <v>30</v>
      </c>
      <c r="E236" s="133">
        <v>24</v>
      </c>
      <c r="F236" s="133">
        <v>0</v>
      </c>
      <c r="G236" s="133">
        <v>0</v>
      </c>
      <c r="H236" s="133">
        <v>0</v>
      </c>
      <c r="I236" s="133">
        <v>0</v>
      </c>
      <c r="J236" s="133">
        <v>0</v>
      </c>
      <c r="K236">
        <v>42124</v>
      </c>
      <c r="L236" s="133">
        <v>0</v>
      </c>
      <c r="M236" s="244" t="b">
        <f ca="1">IF(TODAY()-Table_Query_from_A_Readiness4[[#This Row],[PER_DATE]]&gt;=0,TRUE, FALSE)</f>
        <v>0</v>
      </c>
    </row>
    <row r="237" spans="1:13">
      <c r="A237">
        <v>42139</v>
      </c>
      <c r="B237" t="s">
        <v>325</v>
      </c>
      <c r="C237" t="s">
        <v>154</v>
      </c>
      <c r="D237" s="133">
        <v>30</v>
      </c>
      <c r="E237" s="133">
        <v>24</v>
      </c>
      <c r="F237" s="133">
        <v>0</v>
      </c>
      <c r="G237" s="133">
        <v>0</v>
      </c>
      <c r="H237" s="133">
        <v>0</v>
      </c>
      <c r="I237" s="133">
        <v>0</v>
      </c>
      <c r="J237" s="133">
        <v>0</v>
      </c>
      <c r="K237">
        <v>42124</v>
      </c>
      <c r="L237" s="133">
        <v>0</v>
      </c>
      <c r="M237" s="244" t="b">
        <f ca="1">IF(TODAY()-Table_Query_from_A_Readiness4[[#This Row],[PER_DATE]]&gt;=0,TRUE, FALSE)</f>
        <v>0</v>
      </c>
    </row>
    <row r="238" spans="1:13">
      <c r="A238">
        <v>42139</v>
      </c>
      <c r="B238" t="s">
        <v>325</v>
      </c>
      <c r="C238" t="s">
        <v>168</v>
      </c>
      <c r="D238" s="133">
        <v>30</v>
      </c>
      <c r="E238" s="133">
        <v>24</v>
      </c>
      <c r="F238" s="133">
        <v>0</v>
      </c>
      <c r="G238" s="133">
        <v>0</v>
      </c>
      <c r="H238" s="133">
        <v>0</v>
      </c>
      <c r="I238" s="133">
        <v>0</v>
      </c>
      <c r="J238" s="133">
        <v>0</v>
      </c>
      <c r="K238">
        <v>42124</v>
      </c>
      <c r="L238" s="133">
        <v>0</v>
      </c>
      <c r="M238" s="244" t="b">
        <f ca="1">IF(TODAY()-Table_Query_from_A_Readiness4[[#This Row],[PER_DATE]]&gt;=0,TRUE, FALSE)</f>
        <v>0</v>
      </c>
    </row>
    <row r="239" spans="1:13">
      <c r="A239">
        <v>42139</v>
      </c>
      <c r="B239" t="s">
        <v>325</v>
      </c>
      <c r="C239" t="s">
        <v>157</v>
      </c>
      <c r="D239" s="133">
        <v>30</v>
      </c>
      <c r="E239" s="133">
        <v>0</v>
      </c>
      <c r="F239" s="133">
        <v>24</v>
      </c>
      <c r="G239" s="133">
        <v>0</v>
      </c>
      <c r="H239" s="133">
        <v>0</v>
      </c>
      <c r="I239" s="133">
        <v>0</v>
      </c>
      <c r="J239" s="133">
        <v>0</v>
      </c>
      <c r="K239">
        <v>42124</v>
      </c>
      <c r="L239" s="133">
        <v>0</v>
      </c>
      <c r="M239" s="244" t="b">
        <f ca="1">IF(TODAY()-Table_Query_from_A_Readiness4[[#This Row],[PER_DATE]]&gt;=0,TRUE, FALSE)</f>
        <v>0</v>
      </c>
    </row>
    <row r="240" spans="1:13">
      <c r="A240">
        <v>42139</v>
      </c>
      <c r="B240" t="s">
        <v>325</v>
      </c>
      <c r="C240" t="s">
        <v>159</v>
      </c>
      <c r="D240" s="133">
        <v>30</v>
      </c>
      <c r="E240" s="133">
        <v>24</v>
      </c>
      <c r="F240" s="133">
        <v>0</v>
      </c>
      <c r="G240" s="133">
        <v>0</v>
      </c>
      <c r="H240" s="133">
        <v>0</v>
      </c>
      <c r="I240" s="133">
        <v>0</v>
      </c>
      <c r="J240" s="133">
        <v>0</v>
      </c>
      <c r="K240">
        <v>42124</v>
      </c>
      <c r="L240" s="133">
        <v>0</v>
      </c>
      <c r="M240" s="244" t="b">
        <f ca="1">IF(TODAY()-Table_Query_from_A_Readiness4[[#This Row],[PER_DATE]]&gt;=0,TRUE, FALSE)</f>
        <v>0</v>
      </c>
    </row>
    <row r="241" spans="1:13">
      <c r="A241">
        <v>42139</v>
      </c>
      <c r="B241" t="s">
        <v>325</v>
      </c>
      <c r="C241" t="s">
        <v>160</v>
      </c>
      <c r="D241" s="133">
        <v>30</v>
      </c>
      <c r="E241" s="133">
        <v>24</v>
      </c>
      <c r="F241" s="133">
        <v>0</v>
      </c>
      <c r="G241" s="133">
        <v>0</v>
      </c>
      <c r="H241" s="133">
        <v>0</v>
      </c>
      <c r="I241" s="133">
        <v>0</v>
      </c>
      <c r="J241" s="133">
        <v>0</v>
      </c>
      <c r="K241">
        <v>42124</v>
      </c>
      <c r="L241" s="133">
        <v>0</v>
      </c>
      <c r="M241" s="244" t="b">
        <f ca="1">IF(TODAY()-Table_Query_from_A_Readiness4[[#This Row],[PER_DATE]]&gt;=0,TRUE, FALSE)</f>
        <v>0</v>
      </c>
    </row>
    <row r="244" spans="1:13">
      <c r="E244" s="133">
        <f ca="1">SUMIF(Table_Query_from_A_Readiness4[[#All],[Past]],TRUE,Table_Query_from_A_Readiness4[[#All],[FMC]])</f>
        <v>0</v>
      </c>
      <c r="F244" s="133">
        <f ca="1">SUMIF(Table_Query_from_A_Readiness4[[#All],[Past]],TRUE,Table_Query_from_A_Readiness4[[#All],[PMCS]])</f>
        <v>560</v>
      </c>
      <c r="G244" s="133">
        <f ca="1">SUMIF(Table_Query_from_A_Readiness4[[#All],[Past]],TRUE,Table_Query_from_A_Readiness4[[#All],[PMCM]])</f>
        <v>0</v>
      </c>
      <c r="H244" s="133">
        <f ca="1">SUMIF(Table_Query_from_A_Readiness4[[#All],[Past]], TRUE, Table_Query_from_A_Readiness4[[#All],[NMCS]])</f>
        <v>240</v>
      </c>
      <c r="I244" s="133">
        <f ca="1">SUMIF(Table_Query_from_A_Readiness4[[#All],[Past]],TRUE,Table_Query_from_A_Readiness4[[#All],[NMCM_UNIT]])</f>
        <v>160</v>
      </c>
      <c r="J244" s="133">
        <f>SUM(Table_Query_from_A_Readiness4[[#All],[FLY_HOURS]])</f>
        <v>1.5</v>
      </c>
      <c r="L244" s="133">
        <f ca="1">SUMIF(Table_Query_from_A_Readiness4[[#All],[Past]],TRUE,Table_Query_from_A_Readiness4[[#All],[NMCM_DEP]])</f>
        <v>0</v>
      </c>
    </row>
    <row r="246" spans="1:13">
      <c r="E246" s="133">
        <f ca="1">SUM(E244:I244,L244)</f>
        <v>960</v>
      </c>
    </row>
  </sheetData>
  <pageMargins left="0.7" right="0.7" top="0.75" bottom="0.75" header="0.3" footer="0.3"/>
  <tableParts count="1">
    <tablePart r:id="rId1"/>
  </tableParts>
</worksheet>
</file>

<file path=xl/worksheets/sheet14.xml><?xml version="1.0" encoding="utf-8"?>
<worksheet xmlns="http://schemas.openxmlformats.org/spreadsheetml/2006/main" xmlns:r="http://schemas.openxmlformats.org/officeDocument/2006/relationships">
  <sheetPr codeName="Sheet13"/>
  <dimension ref="A1:M246"/>
  <sheetViews>
    <sheetView workbookViewId="0">
      <selection activeCell="F11" sqref="F11"/>
    </sheetView>
  </sheetViews>
  <sheetFormatPr defaultRowHeight="15"/>
  <cols>
    <col min="1" max="1" width="17.5703125" customWidth="1"/>
    <col min="2" max="2" width="8.5703125" customWidth="1"/>
    <col min="3" max="3" width="7.7109375" bestFit="1" customWidth="1"/>
    <col min="4" max="4" width="7" style="133" bestFit="1" customWidth="1"/>
    <col min="5" max="5" width="7.28515625" style="133" bestFit="1" customWidth="1"/>
    <col min="6" max="6" width="8.42578125" style="133" bestFit="1" customWidth="1"/>
    <col min="7" max="7" width="9.28515625" style="133" bestFit="1" customWidth="1"/>
    <col min="8" max="8" width="8.7109375" style="133" bestFit="1" customWidth="1"/>
    <col min="9" max="9" width="15" style="133" bestFit="1" customWidth="1"/>
    <col min="10" max="10" width="13.5703125" style="133" bestFit="1" customWidth="1"/>
    <col min="11" max="11" width="12.140625" bestFit="1" customWidth="1"/>
    <col min="12" max="12" width="14" style="133" customWidth="1"/>
    <col min="13" max="13" width="7" customWidth="1"/>
  </cols>
  <sheetData>
    <row r="1" spans="1:13">
      <c r="A1" t="s">
        <v>322</v>
      </c>
      <c r="B1" t="s">
        <v>323</v>
      </c>
      <c r="C1" t="s">
        <v>137</v>
      </c>
      <c r="D1" s="133" t="s">
        <v>179</v>
      </c>
      <c r="E1" s="133" t="s">
        <v>16</v>
      </c>
      <c r="F1" s="133" t="s">
        <v>23</v>
      </c>
      <c r="G1" s="133" t="s">
        <v>22</v>
      </c>
      <c r="H1" s="133" t="s">
        <v>65</v>
      </c>
      <c r="I1" s="133" t="s">
        <v>182</v>
      </c>
      <c r="J1" s="133" t="s">
        <v>183</v>
      </c>
      <c r="K1" t="s">
        <v>195</v>
      </c>
      <c r="L1" s="133" t="s">
        <v>180</v>
      </c>
      <c r="M1" t="s">
        <v>331</v>
      </c>
    </row>
    <row r="2" spans="1:13">
      <c r="A2">
        <v>42139</v>
      </c>
      <c r="B2" t="s">
        <v>332</v>
      </c>
      <c r="C2" t="s">
        <v>164</v>
      </c>
      <c r="D2" s="133">
        <v>1</v>
      </c>
      <c r="E2" s="133">
        <v>24</v>
      </c>
      <c r="F2" s="133">
        <v>0</v>
      </c>
      <c r="G2" s="133">
        <v>0</v>
      </c>
      <c r="H2" s="133">
        <v>0</v>
      </c>
      <c r="I2" s="133">
        <v>0</v>
      </c>
      <c r="J2" s="133">
        <v>0</v>
      </c>
      <c r="K2">
        <v>42125</v>
      </c>
      <c r="L2" s="133">
        <v>0</v>
      </c>
      <c r="M2" t="b">
        <f ca="1">IF(TODAY()-Table_Query_from_A_Readiness45[[#This Row],[PER_DATE]]&gt;=0,TRUE, FALSE)</f>
        <v>0</v>
      </c>
    </row>
    <row r="3" spans="1:13">
      <c r="A3">
        <v>42139</v>
      </c>
      <c r="B3" t="s">
        <v>332</v>
      </c>
      <c r="C3" t="s">
        <v>161</v>
      </c>
      <c r="D3" s="133">
        <v>1</v>
      </c>
      <c r="E3" s="133">
        <v>0</v>
      </c>
      <c r="F3" s="133">
        <v>0</v>
      </c>
      <c r="G3" s="133">
        <v>0</v>
      </c>
      <c r="H3" s="133">
        <v>0</v>
      </c>
      <c r="I3" s="133">
        <v>0</v>
      </c>
      <c r="J3" s="133">
        <v>0</v>
      </c>
      <c r="K3">
        <v>42125</v>
      </c>
      <c r="L3" s="133">
        <v>24</v>
      </c>
      <c r="M3" t="b">
        <f ca="1">IF(TODAY()-Table_Query_from_A_Readiness45[[#This Row],[PER_DATE]]&gt;=0,TRUE, FALSE)</f>
        <v>0</v>
      </c>
    </row>
    <row r="4" spans="1:13">
      <c r="A4">
        <v>42139</v>
      </c>
      <c r="B4" t="s">
        <v>332</v>
      </c>
      <c r="C4" t="s">
        <v>165</v>
      </c>
      <c r="D4" s="133">
        <v>1</v>
      </c>
      <c r="E4" s="133">
        <v>24</v>
      </c>
      <c r="F4" s="133">
        <v>0</v>
      </c>
      <c r="G4" s="133">
        <v>0</v>
      </c>
      <c r="H4" s="133">
        <v>0</v>
      </c>
      <c r="I4" s="133">
        <v>0</v>
      </c>
      <c r="J4" s="133">
        <v>0</v>
      </c>
      <c r="K4">
        <v>42125</v>
      </c>
      <c r="L4" s="133">
        <v>0</v>
      </c>
      <c r="M4" t="b">
        <f ca="1">IF(TODAY()-Table_Query_from_A_Readiness45[[#This Row],[PER_DATE]]&gt;=0,TRUE, FALSE)</f>
        <v>0</v>
      </c>
    </row>
    <row r="5" spans="1:13">
      <c r="A5">
        <v>42139</v>
      </c>
      <c r="B5" t="s">
        <v>332</v>
      </c>
      <c r="C5" t="s">
        <v>162</v>
      </c>
      <c r="D5" s="133">
        <v>1</v>
      </c>
      <c r="E5" s="133">
        <v>24</v>
      </c>
      <c r="F5" s="133">
        <v>0</v>
      </c>
      <c r="G5" s="133">
        <v>0</v>
      </c>
      <c r="H5" s="133">
        <v>0</v>
      </c>
      <c r="I5" s="133">
        <v>0</v>
      </c>
      <c r="J5" s="133">
        <v>0</v>
      </c>
      <c r="K5">
        <v>42125</v>
      </c>
      <c r="L5" s="133">
        <v>0</v>
      </c>
      <c r="M5" t="b">
        <f ca="1">IF(TODAY()-Table_Query_from_A_Readiness45[[#This Row],[PER_DATE]]&gt;=0,TRUE, FALSE)</f>
        <v>0</v>
      </c>
    </row>
    <row r="6" spans="1:13">
      <c r="A6">
        <v>42139</v>
      </c>
      <c r="B6" t="s">
        <v>332</v>
      </c>
      <c r="C6" t="s">
        <v>163</v>
      </c>
      <c r="D6" s="133">
        <v>1</v>
      </c>
      <c r="E6" s="133">
        <v>24</v>
      </c>
      <c r="F6" s="133">
        <v>0</v>
      </c>
      <c r="G6" s="133">
        <v>0</v>
      </c>
      <c r="H6" s="133">
        <v>0</v>
      </c>
      <c r="I6" s="133">
        <v>0</v>
      </c>
      <c r="J6" s="133">
        <v>0</v>
      </c>
      <c r="K6">
        <v>42125</v>
      </c>
      <c r="L6" s="133">
        <v>0</v>
      </c>
      <c r="M6" t="b">
        <f ca="1">IF(TODAY()-Table_Query_from_A_Readiness45[[#This Row],[PER_DATE]]&gt;=0,TRUE, FALSE)</f>
        <v>0</v>
      </c>
    </row>
    <row r="7" spans="1:13">
      <c r="A7">
        <v>42139</v>
      </c>
      <c r="B7" t="s">
        <v>332</v>
      </c>
      <c r="C7" t="s">
        <v>150</v>
      </c>
      <c r="D7" s="133">
        <v>1</v>
      </c>
      <c r="E7" s="133">
        <v>24</v>
      </c>
      <c r="F7" s="133">
        <v>0</v>
      </c>
      <c r="G7" s="133">
        <v>0</v>
      </c>
      <c r="H7" s="133">
        <v>0</v>
      </c>
      <c r="I7" s="133">
        <v>0</v>
      </c>
      <c r="J7" s="133">
        <v>0</v>
      </c>
      <c r="K7">
        <v>42125</v>
      </c>
      <c r="L7" s="133">
        <v>0</v>
      </c>
      <c r="M7" t="b">
        <f ca="1">IF(TODAY()-Table_Query_from_A_Readiness45[[#This Row],[PER_DATE]]&gt;=0,TRUE, FALSE)</f>
        <v>0</v>
      </c>
    </row>
    <row r="8" spans="1:13">
      <c r="A8">
        <v>42139</v>
      </c>
      <c r="B8" t="s">
        <v>332</v>
      </c>
      <c r="C8" t="s">
        <v>145</v>
      </c>
      <c r="D8" s="133">
        <v>1</v>
      </c>
      <c r="E8" s="133">
        <v>24</v>
      </c>
      <c r="F8" s="133">
        <v>0</v>
      </c>
      <c r="G8" s="133">
        <v>0</v>
      </c>
      <c r="H8" s="133">
        <v>0</v>
      </c>
      <c r="I8" s="133">
        <v>0</v>
      </c>
      <c r="J8" s="133">
        <v>0</v>
      </c>
      <c r="K8">
        <v>42125</v>
      </c>
      <c r="L8" s="133">
        <v>0</v>
      </c>
      <c r="M8" t="b">
        <f ca="1">IF(TODAY()-Table_Query_from_A_Readiness45[[#This Row],[PER_DATE]]&gt;=0,TRUE, FALSE)</f>
        <v>0</v>
      </c>
    </row>
    <row r="9" spans="1:13">
      <c r="A9">
        <v>42139</v>
      </c>
      <c r="B9" t="s">
        <v>332</v>
      </c>
      <c r="C9" t="s">
        <v>170</v>
      </c>
      <c r="D9" s="133">
        <v>1</v>
      </c>
      <c r="E9" s="133">
        <v>24</v>
      </c>
      <c r="F9" s="133">
        <v>0</v>
      </c>
      <c r="G9" s="133">
        <v>0</v>
      </c>
      <c r="H9" s="133">
        <v>0</v>
      </c>
      <c r="I9" s="133">
        <v>0</v>
      </c>
      <c r="J9" s="133">
        <v>0</v>
      </c>
      <c r="K9">
        <v>42125</v>
      </c>
      <c r="L9" s="133">
        <v>0</v>
      </c>
      <c r="M9" t="b">
        <f ca="1">IF(TODAY()-Table_Query_from_A_Readiness45[[#This Row],[PER_DATE]]&gt;=0,TRUE, FALSE)</f>
        <v>0</v>
      </c>
    </row>
    <row r="10" spans="1:13">
      <c r="A10">
        <v>42139</v>
      </c>
      <c r="B10" t="s">
        <v>332</v>
      </c>
      <c r="C10" t="s">
        <v>164</v>
      </c>
      <c r="D10" s="133">
        <v>2</v>
      </c>
      <c r="E10" s="133">
        <v>24</v>
      </c>
      <c r="F10" s="133">
        <v>0</v>
      </c>
      <c r="G10" s="133">
        <v>0</v>
      </c>
      <c r="H10" s="133">
        <v>0</v>
      </c>
      <c r="I10" s="133">
        <v>0</v>
      </c>
      <c r="J10" s="133">
        <v>0</v>
      </c>
      <c r="K10">
        <v>42126</v>
      </c>
      <c r="L10" s="133">
        <v>0</v>
      </c>
      <c r="M10" t="b">
        <f ca="1">IF(TODAY()-Table_Query_from_A_Readiness45[[#This Row],[PER_DATE]]&gt;=0,TRUE, FALSE)</f>
        <v>0</v>
      </c>
    </row>
    <row r="11" spans="1:13">
      <c r="A11">
        <v>42139</v>
      </c>
      <c r="B11" t="s">
        <v>332</v>
      </c>
      <c r="C11" t="s">
        <v>161</v>
      </c>
      <c r="D11" s="133">
        <v>2</v>
      </c>
      <c r="E11" s="133">
        <v>0</v>
      </c>
      <c r="F11" s="133">
        <v>0</v>
      </c>
      <c r="G11" s="133">
        <v>0</v>
      </c>
      <c r="H11" s="133">
        <v>0</v>
      </c>
      <c r="I11" s="133">
        <v>0</v>
      </c>
      <c r="J11" s="133">
        <v>0</v>
      </c>
      <c r="K11">
        <v>42126</v>
      </c>
      <c r="L11" s="133">
        <v>24</v>
      </c>
      <c r="M11" t="b">
        <f ca="1">IF(TODAY()-Table_Query_from_A_Readiness45[[#This Row],[PER_DATE]]&gt;=0,TRUE, FALSE)</f>
        <v>0</v>
      </c>
    </row>
    <row r="12" spans="1:13">
      <c r="A12">
        <v>42139</v>
      </c>
      <c r="B12" t="s">
        <v>332</v>
      </c>
      <c r="C12" t="s">
        <v>165</v>
      </c>
      <c r="D12" s="133">
        <v>2</v>
      </c>
      <c r="E12" s="133">
        <v>24</v>
      </c>
      <c r="F12" s="133">
        <v>0</v>
      </c>
      <c r="G12" s="133">
        <v>0</v>
      </c>
      <c r="H12" s="133">
        <v>0</v>
      </c>
      <c r="I12" s="133">
        <v>0</v>
      </c>
      <c r="J12" s="133">
        <v>0</v>
      </c>
      <c r="K12">
        <v>42126</v>
      </c>
      <c r="L12" s="133">
        <v>0</v>
      </c>
      <c r="M12" t="b">
        <f ca="1">IF(TODAY()-Table_Query_from_A_Readiness45[[#This Row],[PER_DATE]]&gt;=0,TRUE, FALSE)</f>
        <v>0</v>
      </c>
    </row>
    <row r="13" spans="1:13">
      <c r="A13">
        <v>42139</v>
      </c>
      <c r="B13" t="s">
        <v>332</v>
      </c>
      <c r="C13" t="s">
        <v>162</v>
      </c>
      <c r="D13" s="133">
        <v>2</v>
      </c>
      <c r="E13" s="133">
        <v>24</v>
      </c>
      <c r="F13" s="133">
        <v>0</v>
      </c>
      <c r="G13" s="133">
        <v>0</v>
      </c>
      <c r="H13" s="133">
        <v>0</v>
      </c>
      <c r="I13" s="133">
        <v>0</v>
      </c>
      <c r="J13" s="133">
        <v>0</v>
      </c>
      <c r="K13">
        <v>42126</v>
      </c>
      <c r="L13" s="133">
        <v>0</v>
      </c>
      <c r="M13" t="b">
        <f ca="1">IF(TODAY()-Table_Query_from_A_Readiness45[[#This Row],[PER_DATE]]&gt;=0,TRUE, FALSE)</f>
        <v>0</v>
      </c>
    </row>
    <row r="14" spans="1:13">
      <c r="A14">
        <v>42139</v>
      </c>
      <c r="B14" t="s">
        <v>332</v>
      </c>
      <c r="C14" t="s">
        <v>163</v>
      </c>
      <c r="D14" s="133">
        <v>2</v>
      </c>
      <c r="E14" s="133">
        <v>24</v>
      </c>
      <c r="F14" s="133">
        <v>0</v>
      </c>
      <c r="G14" s="133">
        <v>0</v>
      </c>
      <c r="H14" s="133">
        <v>0</v>
      </c>
      <c r="I14" s="133">
        <v>0</v>
      </c>
      <c r="J14" s="133">
        <v>0</v>
      </c>
      <c r="K14">
        <v>42126</v>
      </c>
      <c r="L14" s="133">
        <v>0</v>
      </c>
      <c r="M14" t="b">
        <f ca="1">IF(TODAY()-Table_Query_from_A_Readiness45[[#This Row],[PER_DATE]]&gt;=0,TRUE, FALSE)</f>
        <v>0</v>
      </c>
    </row>
    <row r="15" spans="1:13">
      <c r="A15">
        <v>42139</v>
      </c>
      <c r="B15" t="s">
        <v>332</v>
      </c>
      <c r="C15" t="s">
        <v>150</v>
      </c>
      <c r="D15" s="133">
        <v>2</v>
      </c>
      <c r="E15" s="133">
        <v>24</v>
      </c>
      <c r="F15" s="133">
        <v>0</v>
      </c>
      <c r="G15" s="133">
        <v>0</v>
      </c>
      <c r="H15" s="133">
        <v>0</v>
      </c>
      <c r="I15" s="133">
        <v>0</v>
      </c>
      <c r="J15" s="133">
        <v>0</v>
      </c>
      <c r="K15">
        <v>42126</v>
      </c>
      <c r="L15" s="133">
        <v>0</v>
      </c>
      <c r="M15" t="b">
        <f ca="1">IF(TODAY()-Table_Query_from_A_Readiness45[[#This Row],[PER_DATE]]&gt;=0,TRUE, FALSE)</f>
        <v>0</v>
      </c>
    </row>
    <row r="16" spans="1:13">
      <c r="A16">
        <v>42139</v>
      </c>
      <c r="B16" t="s">
        <v>332</v>
      </c>
      <c r="C16" t="s">
        <v>145</v>
      </c>
      <c r="D16" s="133">
        <v>2</v>
      </c>
      <c r="E16" s="133">
        <v>24</v>
      </c>
      <c r="F16" s="133">
        <v>0</v>
      </c>
      <c r="G16" s="133">
        <v>0</v>
      </c>
      <c r="H16" s="133">
        <v>0</v>
      </c>
      <c r="I16" s="133">
        <v>0</v>
      </c>
      <c r="J16" s="133">
        <v>0</v>
      </c>
      <c r="K16">
        <v>42126</v>
      </c>
      <c r="L16" s="133">
        <v>0</v>
      </c>
      <c r="M16" t="b">
        <f ca="1">IF(TODAY()-Table_Query_from_A_Readiness45[[#This Row],[PER_DATE]]&gt;=0,TRUE, FALSE)</f>
        <v>0</v>
      </c>
    </row>
    <row r="17" spans="1:13">
      <c r="A17">
        <v>42139</v>
      </c>
      <c r="B17" t="s">
        <v>332</v>
      </c>
      <c r="C17" t="s">
        <v>170</v>
      </c>
      <c r="D17" s="133">
        <v>2</v>
      </c>
      <c r="E17" s="133">
        <v>24</v>
      </c>
      <c r="F17" s="133">
        <v>0</v>
      </c>
      <c r="G17" s="133">
        <v>0</v>
      </c>
      <c r="H17" s="133">
        <v>0</v>
      </c>
      <c r="I17" s="133">
        <v>0</v>
      </c>
      <c r="J17" s="133">
        <v>0</v>
      </c>
      <c r="K17">
        <v>42126</v>
      </c>
      <c r="L17" s="133">
        <v>0</v>
      </c>
      <c r="M17" t="b">
        <f ca="1">IF(TODAY()-Table_Query_from_A_Readiness45[[#This Row],[PER_DATE]]&gt;=0,TRUE, FALSE)</f>
        <v>0</v>
      </c>
    </row>
    <row r="18" spans="1:13">
      <c r="A18">
        <v>42139</v>
      </c>
      <c r="B18" t="s">
        <v>332</v>
      </c>
      <c r="C18" t="s">
        <v>164</v>
      </c>
      <c r="D18" s="133">
        <v>3</v>
      </c>
      <c r="E18" s="133">
        <v>24</v>
      </c>
      <c r="F18" s="133">
        <v>0</v>
      </c>
      <c r="G18" s="133">
        <v>0</v>
      </c>
      <c r="H18" s="133">
        <v>0</v>
      </c>
      <c r="I18" s="133">
        <v>0</v>
      </c>
      <c r="J18" s="133">
        <v>0</v>
      </c>
      <c r="K18">
        <v>42127</v>
      </c>
      <c r="L18" s="133">
        <v>0</v>
      </c>
      <c r="M18" t="b">
        <f ca="1">IF(TODAY()-Table_Query_from_A_Readiness45[[#This Row],[PER_DATE]]&gt;=0,TRUE, FALSE)</f>
        <v>0</v>
      </c>
    </row>
    <row r="19" spans="1:13">
      <c r="A19">
        <v>42139</v>
      </c>
      <c r="B19" t="s">
        <v>332</v>
      </c>
      <c r="C19" t="s">
        <v>161</v>
      </c>
      <c r="D19" s="133">
        <v>3</v>
      </c>
      <c r="E19" s="133">
        <v>0</v>
      </c>
      <c r="F19" s="133">
        <v>0</v>
      </c>
      <c r="G19" s="133">
        <v>0</v>
      </c>
      <c r="H19" s="133">
        <v>0</v>
      </c>
      <c r="I19" s="133">
        <v>0</v>
      </c>
      <c r="J19" s="133">
        <v>0</v>
      </c>
      <c r="K19">
        <v>42127</v>
      </c>
      <c r="L19" s="133">
        <v>24</v>
      </c>
      <c r="M19" t="b">
        <f ca="1">IF(TODAY()-Table_Query_from_A_Readiness45[[#This Row],[PER_DATE]]&gt;=0,TRUE, FALSE)</f>
        <v>0</v>
      </c>
    </row>
    <row r="20" spans="1:13">
      <c r="A20">
        <v>42139</v>
      </c>
      <c r="B20" t="s">
        <v>332</v>
      </c>
      <c r="C20" t="s">
        <v>165</v>
      </c>
      <c r="D20" s="133">
        <v>3</v>
      </c>
      <c r="E20" s="133">
        <v>24</v>
      </c>
      <c r="F20" s="133">
        <v>0</v>
      </c>
      <c r="G20" s="133">
        <v>0</v>
      </c>
      <c r="H20" s="133">
        <v>0</v>
      </c>
      <c r="I20" s="133">
        <v>0</v>
      </c>
      <c r="J20" s="133">
        <v>0</v>
      </c>
      <c r="K20">
        <v>42127</v>
      </c>
      <c r="L20" s="133">
        <v>0</v>
      </c>
      <c r="M20" t="b">
        <f ca="1">IF(TODAY()-Table_Query_from_A_Readiness45[[#This Row],[PER_DATE]]&gt;=0,TRUE, FALSE)</f>
        <v>0</v>
      </c>
    </row>
    <row r="21" spans="1:13">
      <c r="A21">
        <v>42139</v>
      </c>
      <c r="B21" t="s">
        <v>332</v>
      </c>
      <c r="C21" t="s">
        <v>162</v>
      </c>
      <c r="D21" s="133">
        <v>3</v>
      </c>
      <c r="E21" s="133">
        <v>24</v>
      </c>
      <c r="F21" s="133">
        <v>0</v>
      </c>
      <c r="G21" s="133">
        <v>0</v>
      </c>
      <c r="H21" s="133">
        <v>0</v>
      </c>
      <c r="I21" s="133">
        <v>0</v>
      </c>
      <c r="J21" s="133">
        <v>0</v>
      </c>
      <c r="K21">
        <v>42127</v>
      </c>
      <c r="L21" s="133">
        <v>0</v>
      </c>
      <c r="M21" t="b">
        <f ca="1">IF(TODAY()-Table_Query_from_A_Readiness45[[#This Row],[PER_DATE]]&gt;=0,TRUE, FALSE)</f>
        <v>0</v>
      </c>
    </row>
    <row r="22" spans="1:13">
      <c r="A22">
        <v>42139</v>
      </c>
      <c r="B22" t="s">
        <v>332</v>
      </c>
      <c r="C22" t="s">
        <v>163</v>
      </c>
      <c r="D22" s="133">
        <v>3</v>
      </c>
      <c r="E22" s="133">
        <v>24</v>
      </c>
      <c r="F22" s="133">
        <v>0</v>
      </c>
      <c r="G22" s="133">
        <v>0</v>
      </c>
      <c r="H22" s="133">
        <v>0</v>
      </c>
      <c r="I22" s="133">
        <v>0</v>
      </c>
      <c r="J22" s="133">
        <v>0</v>
      </c>
      <c r="K22">
        <v>42127</v>
      </c>
      <c r="L22" s="133">
        <v>0</v>
      </c>
      <c r="M22" t="b">
        <f ca="1">IF(TODAY()-Table_Query_from_A_Readiness45[[#This Row],[PER_DATE]]&gt;=0,TRUE, FALSE)</f>
        <v>0</v>
      </c>
    </row>
    <row r="23" spans="1:13">
      <c r="A23">
        <v>42139</v>
      </c>
      <c r="B23" t="s">
        <v>332</v>
      </c>
      <c r="C23" t="s">
        <v>150</v>
      </c>
      <c r="D23" s="133">
        <v>3</v>
      </c>
      <c r="E23" s="133">
        <v>24</v>
      </c>
      <c r="F23" s="133">
        <v>0</v>
      </c>
      <c r="G23" s="133">
        <v>0</v>
      </c>
      <c r="H23" s="133">
        <v>0</v>
      </c>
      <c r="I23" s="133">
        <v>0</v>
      </c>
      <c r="J23" s="133">
        <v>0</v>
      </c>
      <c r="K23">
        <v>42127</v>
      </c>
      <c r="L23" s="133">
        <v>0</v>
      </c>
      <c r="M23" t="b">
        <f ca="1">IF(TODAY()-Table_Query_from_A_Readiness45[[#This Row],[PER_DATE]]&gt;=0,TRUE, FALSE)</f>
        <v>0</v>
      </c>
    </row>
    <row r="24" spans="1:13">
      <c r="A24">
        <v>42139</v>
      </c>
      <c r="B24" t="s">
        <v>332</v>
      </c>
      <c r="C24" t="s">
        <v>145</v>
      </c>
      <c r="D24" s="133">
        <v>3</v>
      </c>
      <c r="E24" s="133">
        <v>24</v>
      </c>
      <c r="F24" s="133">
        <v>0</v>
      </c>
      <c r="G24" s="133">
        <v>0</v>
      </c>
      <c r="H24" s="133">
        <v>0</v>
      </c>
      <c r="I24" s="133">
        <v>0</v>
      </c>
      <c r="J24" s="133">
        <v>0</v>
      </c>
      <c r="K24">
        <v>42127</v>
      </c>
      <c r="L24" s="133">
        <v>0</v>
      </c>
      <c r="M24" t="b">
        <f ca="1">IF(TODAY()-Table_Query_from_A_Readiness45[[#This Row],[PER_DATE]]&gt;=0,TRUE, FALSE)</f>
        <v>0</v>
      </c>
    </row>
    <row r="25" spans="1:13">
      <c r="A25">
        <v>42139</v>
      </c>
      <c r="B25" t="s">
        <v>332</v>
      </c>
      <c r="C25" t="s">
        <v>170</v>
      </c>
      <c r="D25" s="133">
        <v>3</v>
      </c>
      <c r="E25" s="133">
        <v>24</v>
      </c>
      <c r="F25" s="133">
        <v>0</v>
      </c>
      <c r="G25" s="133">
        <v>0</v>
      </c>
      <c r="H25" s="133">
        <v>0</v>
      </c>
      <c r="I25" s="133">
        <v>0</v>
      </c>
      <c r="J25" s="133">
        <v>0</v>
      </c>
      <c r="K25">
        <v>42127</v>
      </c>
      <c r="L25" s="133">
        <v>0</v>
      </c>
      <c r="M25" t="b">
        <f ca="1">IF(TODAY()-Table_Query_from_A_Readiness45[[#This Row],[PER_DATE]]&gt;=0,TRUE, FALSE)</f>
        <v>0</v>
      </c>
    </row>
    <row r="26" spans="1:13">
      <c r="A26">
        <v>42139</v>
      </c>
      <c r="B26" t="s">
        <v>332</v>
      </c>
      <c r="C26" t="s">
        <v>164</v>
      </c>
      <c r="D26" s="133">
        <v>4</v>
      </c>
      <c r="E26" s="133">
        <v>24</v>
      </c>
      <c r="F26" s="133">
        <v>0</v>
      </c>
      <c r="G26" s="133">
        <v>0</v>
      </c>
      <c r="H26" s="133">
        <v>0</v>
      </c>
      <c r="I26" s="133">
        <v>0</v>
      </c>
      <c r="J26" s="133">
        <v>0</v>
      </c>
      <c r="K26">
        <v>42128</v>
      </c>
      <c r="L26" s="133">
        <v>0</v>
      </c>
      <c r="M26" t="b">
        <f ca="1">IF(TODAY()-Table_Query_from_A_Readiness45[[#This Row],[PER_DATE]]&gt;=0,TRUE, FALSE)</f>
        <v>0</v>
      </c>
    </row>
    <row r="27" spans="1:13">
      <c r="A27">
        <v>42139</v>
      </c>
      <c r="B27" t="s">
        <v>332</v>
      </c>
      <c r="C27" t="s">
        <v>161</v>
      </c>
      <c r="D27" s="133">
        <v>4</v>
      </c>
      <c r="E27" s="133">
        <v>0</v>
      </c>
      <c r="F27" s="133">
        <v>0</v>
      </c>
      <c r="G27" s="133">
        <v>0</v>
      </c>
      <c r="H27" s="133">
        <v>0</v>
      </c>
      <c r="I27" s="133">
        <v>0</v>
      </c>
      <c r="J27" s="133">
        <v>0</v>
      </c>
      <c r="K27">
        <v>42128</v>
      </c>
      <c r="L27" s="133">
        <v>24</v>
      </c>
      <c r="M27" t="b">
        <f ca="1">IF(TODAY()-Table_Query_from_A_Readiness45[[#This Row],[PER_DATE]]&gt;=0,TRUE, FALSE)</f>
        <v>0</v>
      </c>
    </row>
    <row r="28" spans="1:13">
      <c r="A28">
        <v>42139</v>
      </c>
      <c r="B28" t="s">
        <v>332</v>
      </c>
      <c r="C28" t="s">
        <v>165</v>
      </c>
      <c r="D28" s="133">
        <v>4</v>
      </c>
      <c r="E28" s="133">
        <v>24</v>
      </c>
      <c r="F28" s="133">
        <v>0</v>
      </c>
      <c r="G28" s="133">
        <v>0</v>
      </c>
      <c r="H28" s="133">
        <v>0</v>
      </c>
      <c r="I28" s="133">
        <v>0</v>
      </c>
      <c r="J28" s="133">
        <v>0</v>
      </c>
      <c r="K28">
        <v>42128</v>
      </c>
      <c r="L28" s="133">
        <v>0</v>
      </c>
      <c r="M28" t="b">
        <f ca="1">IF(TODAY()-Table_Query_from_A_Readiness45[[#This Row],[PER_DATE]]&gt;=0,TRUE, FALSE)</f>
        <v>0</v>
      </c>
    </row>
    <row r="29" spans="1:13">
      <c r="A29">
        <v>42139</v>
      </c>
      <c r="B29" t="s">
        <v>332</v>
      </c>
      <c r="C29" t="s">
        <v>162</v>
      </c>
      <c r="D29" s="133">
        <v>4</v>
      </c>
      <c r="E29" s="133">
        <v>24</v>
      </c>
      <c r="F29" s="133">
        <v>0</v>
      </c>
      <c r="G29" s="133">
        <v>0</v>
      </c>
      <c r="H29" s="133">
        <v>0</v>
      </c>
      <c r="I29" s="133">
        <v>0</v>
      </c>
      <c r="J29" s="133">
        <v>0</v>
      </c>
      <c r="K29">
        <v>42128</v>
      </c>
      <c r="L29" s="133">
        <v>0</v>
      </c>
      <c r="M29" t="b">
        <f ca="1">IF(TODAY()-Table_Query_from_A_Readiness45[[#This Row],[PER_DATE]]&gt;=0,TRUE, FALSE)</f>
        <v>0</v>
      </c>
    </row>
    <row r="30" spans="1:13">
      <c r="A30">
        <v>42139</v>
      </c>
      <c r="B30" t="s">
        <v>332</v>
      </c>
      <c r="C30" t="s">
        <v>163</v>
      </c>
      <c r="D30" s="133">
        <v>4</v>
      </c>
      <c r="E30" s="133">
        <v>24</v>
      </c>
      <c r="F30" s="133">
        <v>0</v>
      </c>
      <c r="G30" s="133">
        <v>0</v>
      </c>
      <c r="H30" s="133">
        <v>0</v>
      </c>
      <c r="I30" s="133">
        <v>0</v>
      </c>
      <c r="J30" s="133">
        <v>0</v>
      </c>
      <c r="K30">
        <v>42128</v>
      </c>
      <c r="L30" s="133">
        <v>0</v>
      </c>
      <c r="M30" t="b">
        <f ca="1">IF(TODAY()-Table_Query_from_A_Readiness45[[#This Row],[PER_DATE]]&gt;=0,TRUE, FALSE)</f>
        <v>0</v>
      </c>
    </row>
    <row r="31" spans="1:13">
      <c r="A31">
        <v>42139</v>
      </c>
      <c r="B31" t="s">
        <v>332</v>
      </c>
      <c r="C31" t="s">
        <v>150</v>
      </c>
      <c r="D31" s="133">
        <v>4</v>
      </c>
      <c r="E31" s="133">
        <v>24</v>
      </c>
      <c r="F31" s="133">
        <v>0</v>
      </c>
      <c r="G31" s="133">
        <v>0</v>
      </c>
      <c r="H31" s="133">
        <v>0</v>
      </c>
      <c r="I31" s="133">
        <v>0</v>
      </c>
      <c r="J31" s="133">
        <v>0</v>
      </c>
      <c r="K31">
        <v>42128</v>
      </c>
      <c r="L31" s="133">
        <v>0</v>
      </c>
      <c r="M31" t="b">
        <f ca="1">IF(TODAY()-Table_Query_from_A_Readiness45[[#This Row],[PER_DATE]]&gt;=0,TRUE, FALSE)</f>
        <v>0</v>
      </c>
    </row>
    <row r="32" spans="1:13">
      <c r="A32">
        <v>42139</v>
      </c>
      <c r="B32" t="s">
        <v>332</v>
      </c>
      <c r="C32" t="s">
        <v>145</v>
      </c>
      <c r="D32" s="133">
        <v>4</v>
      </c>
      <c r="E32" s="133">
        <v>24</v>
      </c>
      <c r="F32" s="133">
        <v>0</v>
      </c>
      <c r="G32" s="133">
        <v>0</v>
      </c>
      <c r="H32" s="133">
        <v>0</v>
      </c>
      <c r="I32" s="133">
        <v>0</v>
      </c>
      <c r="J32" s="133">
        <v>0</v>
      </c>
      <c r="K32">
        <v>42128</v>
      </c>
      <c r="L32" s="133">
        <v>0</v>
      </c>
      <c r="M32" t="b">
        <f ca="1">IF(TODAY()-Table_Query_from_A_Readiness45[[#This Row],[PER_DATE]]&gt;=0,TRUE, FALSE)</f>
        <v>0</v>
      </c>
    </row>
    <row r="33" spans="1:13">
      <c r="A33">
        <v>42139</v>
      </c>
      <c r="B33" t="s">
        <v>332</v>
      </c>
      <c r="C33" t="s">
        <v>170</v>
      </c>
      <c r="D33" s="133">
        <v>4</v>
      </c>
      <c r="E33" s="133">
        <v>24</v>
      </c>
      <c r="F33" s="133">
        <v>0</v>
      </c>
      <c r="G33" s="133">
        <v>0</v>
      </c>
      <c r="H33" s="133">
        <v>0</v>
      </c>
      <c r="I33" s="133">
        <v>0</v>
      </c>
      <c r="J33" s="133">
        <v>0</v>
      </c>
      <c r="K33">
        <v>42128</v>
      </c>
      <c r="L33" s="133">
        <v>0</v>
      </c>
      <c r="M33" t="b">
        <f ca="1">IF(TODAY()-Table_Query_from_A_Readiness45[[#This Row],[PER_DATE]]&gt;=0,TRUE, FALSE)</f>
        <v>0</v>
      </c>
    </row>
    <row r="34" spans="1:13">
      <c r="A34">
        <v>42139</v>
      </c>
      <c r="B34" t="s">
        <v>332</v>
      </c>
      <c r="C34" t="s">
        <v>164</v>
      </c>
      <c r="D34" s="133">
        <v>5</v>
      </c>
      <c r="E34" s="133">
        <v>24</v>
      </c>
      <c r="F34" s="133">
        <v>0</v>
      </c>
      <c r="G34" s="133">
        <v>0</v>
      </c>
      <c r="H34" s="133">
        <v>0</v>
      </c>
      <c r="I34" s="133">
        <v>0</v>
      </c>
      <c r="J34" s="133">
        <v>0</v>
      </c>
      <c r="K34">
        <v>42129</v>
      </c>
      <c r="L34" s="133">
        <v>0</v>
      </c>
      <c r="M34" t="b">
        <f ca="1">IF(TODAY()-Table_Query_from_A_Readiness45[[#This Row],[PER_DATE]]&gt;=0,TRUE, FALSE)</f>
        <v>0</v>
      </c>
    </row>
    <row r="35" spans="1:13">
      <c r="A35">
        <v>42139</v>
      </c>
      <c r="B35" t="s">
        <v>332</v>
      </c>
      <c r="C35" t="s">
        <v>161</v>
      </c>
      <c r="D35" s="133">
        <v>5</v>
      </c>
      <c r="E35" s="133">
        <v>0</v>
      </c>
      <c r="F35" s="133">
        <v>0</v>
      </c>
      <c r="G35" s="133">
        <v>0</v>
      </c>
      <c r="H35" s="133">
        <v>0</v>
      </c>
      <c r="I35" s="133">
        <v>0</v>
      </c>
      <c r="J35" s="133">
        <v>0</v>
      </c>
      <c r="K35">
        <v>42129</v>
      </c>
      <c r="L35" s="133">
        <v>24</v>
      </c>
      <c r="M35" t="b">
        <f ca="1">IF(TODAY()-Table_Query_from_A_Readiness45[[#This Row],[PER_DATE]]&gt;=0,TRUE, FALSE)</f>
        <v>0</v>
      </c>
    </row>
    <row r="36" spans="1:13">
      <c r="A36">
        <v>42139</v>
      </c>
      <c r="B36" t="s">
        <v>332</v>
      </c>
      <c r="C36" t="s">
        <v>165</v>
      </c>
      <c r="D36" s="133">
        <v>5</v>
      </c>
      <c r="E36" s="133">
        <v>24</v>
      </c>
      <c r="F36" s="133">
        <v>0</v>
      </c>
      <c r="G36" s="133">
        <v>0</v>
      </c>
      <c r="H36" s="133">
        <v>0</v>
      </c>
      <c r="I36" s="133">
        <v>0</v>
      </c>
      <c r="J36" s="133">
        <v>0</v>
      </c>
      <c r="K36">
        <v>42129</v>
      </c>
      <c r="L36" s="133">
        <v>0</v>
      </c>
      <c r="M36" t="b">
        <f ca="1">IF(TODAY()-Table_Query_from_A_Readiness45[[#This Row],[PER_DATE]]&gt;=0,TRUE, FALSE)</f>
        <v>0</v>
      </c>
    </row>
    <row r="37" spans="1:13">
      <c r="A37">
        <v>42139</v>
      </c>
      <c r="B37" t="s">
        <v>332</v>
      </c>
      <c r="C37" t="s">
        <v>162</v>
      </c>
      <c r="D37" s="133">
        <v>5</v>
      </c>
      <c r="E37" s="133">
        <v>24</v>
      </c>
      <c r="F37" s="133">
        <v>0</v>
      </c>
      <c r="G37" s="133">
        <v>0</v>
      </c>
      <c r="H37" s="133">
        <v>0</v>
      </c>
      <c r="I37" s="133">
        <v>0</v>
      </c>
      <c r="J37" s="133">
        <v>0</v>
      </c>
      <c r="K37">
        <v>42129</v>
      </c>
      <c r="L37" s="133">
        <v>0</v>
      </c>
      <c r="M37" t="b">
        <f ca="1">IF(TODAY()-Table_Query_from_A_Readiness45[[#This Row],[PER_DATE]]&gt;=0,TRUE, FALSE)</f>
        <v>0</v>
      </c>
    </row>
    <row r="38" spans="1:13">
      <c r="A38">
        <v>42139</v>
      </c>
      <c r="B38" t="s">
        <v>332</v>
      </c>
      <c r="C38" t="s">
        <v>163</v>
      </c>
      <c r="D38" s="133">
        <v>5</v>
      </c>
      <c r="E38" s="133">
        <v>24</v>
      </c>
      <c r="F38" s="133">
        <v>0</v>
      </c>
      <c r="G38" s="133">
        <v>0</v>
      </c>
      <c r="H38" s="133">
        <v>0</v>
      </c>
      <c r="I38" s="133">
        <v>0</v>
      </c>
      <c r="J38" s="133">
        <v>0</v>
      </c>
      <c r="K38">
        <v>42129</v>
      </c>
      <c r="L38" s="133">
        <v>0</v>
      </c>
      <c r="M38" t="b">
        <f ca="1">IF(TODAY()-Table_Query_from_A_Readiness45[[#This Row],[PER_DATE]]&gt;=0,TRUE, FALSE)</f>
        <v>0</v>
      </c>
    </row>
    <row r="39" spans="1:13">
      <c r="A39">
        <v>42139</v>
      </c>
      <c r="B39" t="s">
        <v>332</v>
      </c>
      <c r="C39" t="s">
        <v>150</v>
      </c>
      <c r="D39" s="133">
        <v>5</v>
      </c>
      <c r="E39" s="133">
        <v>24</v>
      </c>
      <c r="F39" s="133">
        <v>0</v>
      </c>
      <c r="G39" s="133">
        <v>0</v>
      </c>
      <c r="H39" s="133">
        <v>0</v>
      </c>
      <c r="I39" s="133">
        <v>0</v>
      </c>
      <c r="J39" s="133">
        <v>0</v>
      </c>
      <c r="K39">
        <v>42129</v>
      </c>
      <c r="L39" s="133">
        <v>0</v>
      </c>
      <c r="M39" t="b">
        <f ca="1">IF(TODAY()-Table_Query_from_A_Readiness45[[#This Row],[PER_DATE]]&gt;=0,TRUE, FALSE)</f>
        <v>0</v>
      </c>
    </row>
    <row r="40" spans="1:13">
      <c r="A40">
        <v>42139</v>
      </c>
      <c r="B40" t="s">
        <v>332</v>
      </c>
      <c r="C40" t="s">
        <v>145</v>
      </c>
      <c r="D40" s="133">
        <v>5</v>
      </c>
      <c r="E40" s="133">
        <v>24</v>
      </c>
      <c r="F40" s="133">
        <v>0</v>
      </c>
      <c r="G40" s="133">
        <v>0</v>
      </c>
      <c r="H40" s="133">
        <v>0</v>
      </c>
      <c r="I40" s="133">
        <v>0</v>
      </c>
      <c r="J40" s="133">
        <v>0</v>
      </c>
      <c r="K40">
        <v>42129</v>
      </c>
      <c r="L40" s="133">
        <v>0</v>
      </c>
      <c r="M40" t="b">
        <f ca="1">IF(TODAY()-Table_Query_from_A_Readiness45[[#This Row],[PER_DATE]]&gt;=0,TRUE, FALSE)</f>
        <v>0</v>
      </c>
    </row>
    <row r="41" spans="1:13">
      <c r="A41">
        <v>42139</v>
      </c>
      <c r="B41" t="s">
        <v>332</v>
      </c>
      <c r="C41" t="s">
        <v>170</v>
      </c>
      <c r="D41" s="133">
        <v>5</v>
      </c>
      <c r="E41" s="133">
        <v>24</v>
      </c>
      <c r="F41" s="133">
        <v>0</v>
      </c>
      <c r="G41" s="133">
        <v>0</v>
      </c>
      <c r="H41" s="133">
        <v>0</v>
      </c>
      <c r="I41" s="133">
        <v>0</v>
      </c>
      <c r="J41" s="133">
        <v>0</v>
      </c>
      <c r="K41">
        <v>42129</v>
      </c>
      <c r="L41" s="133">
        <v>0</v>
      </c>
      <c r="M41" t="b">
        <f ca="1">IF(TODAY()-Table_Query_from_A_Readiness45[[#This Row],[PER_DATE]]&gt;=0,TRUE, FALSE)</f>
        <v>0</v>
      </c>
    </row>
    <row r="42" spans="1:13">
      <c r="A42">
        <v>42139</v>
      </c>
      <c r="B42" t="s">
        <v>332</v>
      </c>
      <c r="C42" t="s">
        <v>164</v>
      </c>
      <c r="D42" s="133">
        <v>6</v>
      </c>
      <c r="E42" s="133">
        <v>24</v>
      </c>
      <c r="F42" s="133">
        <v>0</v>
      </c>
      <c r="G42" s="133">
        <v>0</v>
      </c>
      <c r="H42" s="133">
        <v>0</v>
      </c>
      <c r="I42" s="133">
        <v>0</v>
      </c>
      <c r="J42" s="133">
        <v>0</v>
      </c>
      <c r="K42">
        <v>42130</v>
      </c>
      <c r="L42" s="133">
        <v>0</v>
      </c>
      <c r="M42" t="b">
        <f ca="1">IF(TODAY()-Table_Query_from_A_Readiness45[[#This Row],[PER_DATE]]&gt;=0,TRUE, FALSE)</f>
        <v>0</v>
      </c>
    </row>
    <row r="43" spans="1:13">
      <c r="A43">
        <v>42139</v>
      </c>
      <c r="B43" t="s">
        <v>332</v>
      </c>
      <c r="C43" t="s">
        <v>161</v>
      </c>
      <c r="D43" s="133">
        <v>6</v>
      </c>
      <c r="E43" s="133">
        <v>0</v>
      </c>
      <c r="F43" s="133">
        <v>0</v>
      </c>
      <c r="G43" s="133">
        <v>0</v>
      </c>
      <c r="H43" s="133">
        <v>0</v>
      </c>
      <c r="I43" s="133">
        <v>0</v>
      </c>
      <c r="J43" s="133">
        <v>0</v>
      </c>
      <c r="K43">
        <v>42130</v>
      </c>
      <c r="L43" s="133">
        <v>24</v>
      </c>
      <c r="M43" t="b">
        <f ca="1">IF(TODAY()-Table_Query_from_A_Readiness45[[#This Row],[PER_DATE]]&gt;=0,TRUE, FALSE)</f>
        <v>0</v>
      </c>
    </row>
    <row r="44" spans="1:13">
      <c r="A44">
        <v>42139</v>
      </c>
      <c r="B44" t="s">
        <v>332</v>
      </c>
      <c r="C44" t="s">
        <v>165</v>
      </c>
      <c r="D44" s="133">
        <v>6</v>
      </c>
      <c r="E44" s="133">
        <v>24</v>
      </c>
      <c r="F44" s="133">
        <v>0</v>
      </c>
      <c r="G44" s="133">
        <v>0</v>
      </c>
      <c r="H44" s="133">
        <v>0</v>
      </c>
      <c r="I44" s="133">
        <v>0</v>
      </c>
      <c r="J44" s="133">
        <v>0</v>
      </c>
      <c r="K44">
        <v>42130</v>
      </c>
      <c r="L44" s="133">
        <v>0</v>
      </c>
      <c r="M44" t="b">
        <f ca="1">IF(TODAY()-Table_Query_from_A_Readiness45[[#This Row],[PER_DATE]]&gt;=0,TRUE, FALSE)</f>
        <v>0</v>
      </c>
    </row>
    <row r="45" spans="1:13">
      <c r="A45">
        <v>42139</v>
      </c>
      <c r="B45" t="s">
        <v>332</v>
      </c>
      <c r="C45" t="s">
        <v>162</v>
      </c>
      <c r="D45" s="133">
        <v>6</v>
      </c>
      <c r="E45" s="133">
        <v>24</v>
      </c>
      <c r="F45" s="133">
        <v>0</v>
      </c>
      <c r="G45" s="133">
        <v>0</v>
      </c>
      <c r="H45" s="133">
        <v>0</v>
      </c>
      <c r="I45" s="133">
        <v>0</v>
      </c>
      <c r="J45" s="133">
        <v>0</v>
      </c>
      <c r="K45">
        <v>42130</v>
      </c>
      <c r="L45" s="133">
        <v>0</v>
      </c>
      <c r="M45" t="b">
        <f ca="1">IF(TODAY()-Table_Query_from_A_Readiness45[[#This Row],[PER_DATE]]&gt;=0,TRUE, FALSE)</f>
        <v>0</v>
      </c>
    </row>
    <row r="46" spans="1:13">
      <c r="A46">
        <v>42139</v>
      </c>
      <c r="B46" t="s">
        <v>332</v>
      </c>
      <c r="C46" t="s">
        <v>163</v>
      </c>
      <c r="D46" s="133">
        <v>6</v>
      </c>
      <c r="E46" s="133">
        <v>24</v>
      </c>
      <c r="F46" s="133">
        <v>0</v>
      </c>
      <c r="G46" s="133">
        <v>0</v>
      </c>
      <c r="H46" s="133">
        <v>0</v>
      </c>
      <c r="I46" s="133">
        <v>0</v>
      </c>
      <c r="J46" s="133">
        <v>0</v>
      </c>
      <c r="K46">
        <v>42130</v>
      </c>
      <c r="L46" s="133">
        <v>0</v>
      </c>
      <c r="M46" t="b">
        <f ca="1">IF(TODAY()-Table_Query_from_A_Readiness45[[#This Row],[PER_DATE]]&gt;=0,TRUE, FALSE)</f>
        <v>0</v>
      </c>
    </row>
    <row r="47" spans="1:13">
      <c r="A47">
        <v>42139</v>
      </c>
      <c r="B47" t="s">
        <v>332</v>
      </c>
      <c r="C47" t="s">
        <v>150</v>
      </c>
      <c r="D47" s="133">
        <v>6</v>
      </c>
      <c r="E47" s="133">
        <v>24</v>
      </c>
      <c r="F47" s="133">
        <v>0</v>
      </c>
      <c r="G47" s="133">
        <v>0</v>
      </c>
      <c r="H47" s="133">
        <v>0</v>
      </c>
      <c r="I47" s="133">
        <v>0</v>
      </c>
      <c r="J47" s="133">
        <v>0</v>
      </c>
      <c r="K47">
        <v>42130</v>
      </c>
      <c r="L47" s="133">
        <v>0</v>
      </c>
      <c r="M47" t="b">
        <f ca="1">IF(TODAY()-Table_Query_from_A_Readiness45[[#This Row],[PER_DATE]]&gt;=0,TRUE, FALSE)</f>
        <v>0</v>
      </c>
    </row>
    <row r="48" spans="1:13">
      <c r="A48">
        <v>42139</v>
      </c>
      <c r="B48" t="s">
        <v>332</v>
      </c>
      <c r="C48" t="s">
        <v>145</v>
      </c>
      <c r="D48" s="133">
        <v>6</v>
      </c>
      <c r="E48" s="133">
        <v>24</v>
      </c>
      <c r="F48" s="133">
        <v>0</v>
      </c>
      <c r="G48" s="133">
        <v>0</v>
      </c>
      <c r="H48" s="133">
        <v>0</v>
      </c>
      <c r="I48" s="133">
        <v>0</v>
      </c>
      <c r="J48" s="133">
        <v>0</v>
      </c>
      <c r="K48">
        <v>42130</v>
      </c>
      <c r="L48" s="133">
        <v>0</v>
      </c>
      <c r="M48" t="b">
        <f ca="1">IF(TODAY()-Table_Query_from_A_Readiness45[[#This Row],[PER_DATE]]&gt;=0,TRUE, FALSE)</f>
        <v>0</v>
      </c>
    </row>
    <row r="49" spans="1:13">
      <c r="A49">
        <v>42139</v>
      </c>
      <c r="B49" t="s">
        <v>332</v>
      </c>
      <c r="C49" t="s">
        <v>170</v>
      </c>
      <c r="D49" s="133">
        <v>6</v>
      </c>
      <c r="E49" s="133">
        <v>24</v>
      </c>
      <c r="F49" s="133">
        <v>0</v>
      </c>
      <c r="G49" s="133">
        <v>0</v>
      </c>
      <c r="H49" s="133">
        <v>0</v>
      </c>
      <c r="I49" s="133">
        <v>0</v>
      </c>
      <c r="J49" s="133">
        <v>0</v>
      </c>
      <c r="K49">
        <v>42130</v>
      </c>
      <c r="L49" s="133">
        <v>0</v>
      </c>
      <c r="M49" t="b">
        <f ca="1">IF(TODAY()-Table_Query_from_A_Readiness45[[#This Row],[PER_DATE]]&gt;=0,TRUE, FALSE)</f>
        <v>0</v>
      </c>
    </row>
    <row r="50" spans="1:13">
      <c r="A50">
        <v>42139</v>
      </c>
      <c r="B50" t="s">
        <v>332</v>
      </c>
      <c r="C50" t="s">
        <v>164</v>
      </c>
      <c r="D50" s="133">
        <v>7</v>
      </c>
      <c r="E50" s="133">
        <v>24</v>
      </c>
      <c r="F50" s="133">
        <v>0</v>
      </c>
      <c r="G50" s="133">
        <v>0</v>
      </c>
      <c r="H50" s="133">
        <v>0</v>
      </c>
      <c r="I50" s="133">
        <v>0</v>
      </c>
      <c r="J50" s="133">
        <v>0</v>
      </c>
      <c r="K50">
        <v>42131</v>
      </c>
      <c r="L50" s="133">
        <v>0</v>
      </c>
      <c r="M50" t="b">
        <f ca="1">IF(TODAY()-Table_Query_from_A_Readiness45[[#This Row],[PER_DATE]]&gt;=0,TRUE, FALSE)</f>
        <v>0</v>
      </c>
    </row>
    <row r="51" spans="1:13">
      <c r="A51">
        <v>42139</v>
      </c>
      <c r="B51" t="s">
        <v>332</v>
      </c>
      <c r="C51" t="s">
        <v>161</v>
      </c>
      <c r="D51" s="133">
        <v>7</v>
      </c>
      <c r="E51" s="133">
        <v>0</v>
      </c>
      <c r="F51" s="133">
        <v>0</v>
      </c>
      <c r="G51" s="133">
        <v>0</v>
      </c>
      <c r="H51" s="133">
        <v>0</v>
      </c>
      <c r="I51" s="133">
        <v>0</v>
      </c>
      <c r="J51" s="133">
        <v>0</v>
      </c>
      <c r="K51">
        <v>42131</v>
      </c>
      <c r="L51" s="133">
        <v>24</v>
      </c>
      <c r="M51" t="b">
        <f ca="1">IF(TODAY()-Table_Query_from_A_Readiness45[[#This Row],[PER_DATE]]&gt;=0,TRUE, FALSE)</f>
        <v>0</v>
      </c>
    </row>
    <row r="52" spans="1:13">
      <c r="A52">
        <v>42139</v>
      </c>
      <c r="B52" t="s">
        <v>332</v>
      </c>
      <c r="C52" t="s">
        <v>165</v>
      </c>
      <c r="D52" s="133">
        <v>7</v>
      </c>
      <c r="E52" s="133">
        <v>24</v>
      </c>
      <c r="F52" s="133">
        <v>0</v>
      </c>
      <c r="G52" s="133">
        <v>0</v>
      </c>
      <c r="H52" s="133">
        <v>0</v>
      </c>
      <c r="I52" s="133">
        <v>0</v>
      </c>
      <c r="J52" s="133">
        <v>0</v>
      </c>
      <c r="K52">
        <v>42131</v>
      </c>
      <c r="L52" s="133">
        <v>0</v>
      </c>
      <c r="M52" t="b">
        <f ca="1">IF(TODAY()-Table_Query_from_A_Readiness45[[#This Row],[PER_DATE]]&gt;=0,TRUE, FALSE)</f>
        <v>0</v>
      </c>
    </row>
    <row r="53" spans="1:13">
      <c r="A53">
        <v>42139</v>
      </c>
      <c r="B53" t="s">
        <v>332</v>
      </c>
      <c r="C53" t="s">
        <v>162</v>
      </c>
      <c r="D53" s="133">
        <v>7</v>
      </c>
      <c r="E53" s="133">
        <v>24</v>
      </c>
      <c r="F53" s="133">
        <v>0</v>
      </c>
      <c r="G53" s="133">
        <v>0</v>
      </c>
      <c r="H53" s="133">
        <v>0</v>
      </c>
      <c r="I53" s="133">
        <v>0</v>
      </c>
      <c r="J53" s="133">
        <v>0</v>
      </c>
      <c r="K53">
        <v>42131</v>
      </c>
      <c r="L53" s="133">
        <v>0</v>
      </c>
      <c r="M53" t="b">
        <f ca="1">IF(TODAY()-Table_Query_from_A_Readiness45[[#This Row],[PER_DATE]]&gt;=0,TRUE, FALSE)</f>
        <v>0</v>
      </c>
    </row>
    <row r="54" spans="1:13">
      <c r="A54">
        <v>42139</v>
      </c>
      <c r="B54" t="s">
        <v>332</v>
      </c>
      <c r="C54" t="s">
        <v>163</v>
      </c>
      <c r="D54" s="133">
        <v>7</v>
      </c>
      <c r="E54" s="133">
        <v>24</v>
      </c>
      <c r="F54" s="133">
        <v>0</v>
      </c>
      <c r="G54" s="133">
        <v>0</v>
      </c>
      <c r="H54" s="133">
        <v>0</v>
      </c>
      <c r="I54" s="133">
        <v>0</v>
      </c>
      <c r="J54" s="133">
        <v>0</v>
      </c>
      <c r="K54">
        <v>42131</v>
      </c>
      <c r="L54" s="133">
        <v>0</v>
      </c>
      <c r="M54" t="b">
        <f ca="1">IF(TODAY()-Table_Query_from_A_Readiness45[[#This Row],[PER_DATE]]&gt;=0,TRUE, FALSE)</f>
        <v>0</v>
      </c>
    </row>
    <row r="55" spans="1:13">
      <c r="A55">
        <v>42139</v>
      </c>
      <c r="B55" t="s">
        <v>332</v>
      </c>
      <c r="C55" t="s">
        <v>150</v>
      </c>
      <c r="D55" s="133">
        <v>7</v>
      </c>
      <c r="E55" s="133">
        <v>24</v>
      </c>
      <c r="F55" s="133">
        <v>0</v>
      </c>
      <c r="G55" s="133">
        <v>0</v>
      </c>
      <c r="H55" s="133">
        <v>0</v>
      </c>
      <c r="I55" s="133">
        <v>0</v>
      </c>
      <c r="J55" s="133">
        <v>0</v>
      </c>
      <c r="K55">
        <v>42131</v>
      </c>
      <c r="L55" s="133">
        <v>0</v>
      </c>
      <c r="M55" t="b">
        <f ca="1">IF(TODAY()-Table_Query_from_A_Readiness45[[#This Row],[PER_DATE]]&gt;=0,TRUE, FALSE)</f>
        <v>0</v>
      </c>
    </row>
    <row r="56" spans="1:13">
      <c r="A56">
        <v>42139</v>
      </c>
      <c r="B56" t="s">
        <v>332</v>
      </c>
      <c r="C56" t="s">
        <v>145</v>
      </c>
      <c r="D56" s="133">
        <v>7</v>
      </c>
      <c r="E56" s="133">
        <v>24</v>
      </c>
      <c r="F56" s="133">
        <v>0</v>
      </c>
      <c r="G56" s="133">
        <v>0</v>
      </c>
      <c r="H56" s="133">
        <v>0</v>
      </c>
      <c r="I56" s="133">
        <v>0</v>
      </c>
      <c r="J56" s="133">
        <v>0</v>
      </c>
      <c r="K56">
        <v>42131</v>
      </c>
      <c r="L56" s="133">
        <v>0</v>
      </c>
      <c r="M56" t="b">
        <f ca="1">IF(TODAY()-Table_Query_from_A_Readiness45[[#This Row],[PER_DATE]]&gt;=0,TRUE, FALSE)</f>
        <v>0</v>
      </c>
    </row>
    <row r="57" spans="1:13">
      <c r="A57">
        <v>42139</v>
      </c>
      <c r="B57" t="s">
        <v>332</v>
      </c>
      <c r="C57" t="s">
        <v>170</v>
      </c>
      <c r="D57" s="133">
        <v>7</v>
      </c>
      <c r="E57" s="133">
        <v>24</v>
      </c>
      <c r="F57" s="133">
        <v>0</v>
      </c>
      <c r="G57" s="133">
        <v>0</v>
      </c>
      <c r="H57" s="133">
        <v>0</v>
      </c>
      <c r="I57" s="133">
        <v>0</v>
      </c>
      <c r="J57" s="133">
        <v>0</v>
      </c>
      <c r="K57">
        <v>42131</v>
      </c>
      <c r="L57" s="133">
        <v>0</v>
      </c>
      <c r="M57" t="b">
        <f ca="1">IF(TODAY()-Table_Query_from_A_Readiness45[[#This Row],[PER_DATE]]&gt;=0,TRUE, FALSE)</f>
        <v>0</v>
      </c>
    </row>
    <row r="58" spans="1:13">
      <c r="A58">
        <v>42139</v>
      </c>
      <c r="B58" t="s">
        <v>332</v>
      </c>
      <c r="C58" t="s">
        <v>164</v>
      </c>
      <c r="D58" s="133">
        <v>8</v>
      </c>
      <c r="E58" s="133">
        <v>24</v>
      </c>
      <c r="F58" s="133">
        <v>0</v>
      </c>
      <c r="G58" s="133">
        <v>0</v>
      </c>
      <c r="H58" s="133">
        <v>0</v>
      </c>
      <c r="I58" s="133">
        <v>0</v>
      </c>
      <c r="J58" s="133">
        <v>0</v>
      </c>
      <c r="K58">
        <v>42132</v>
      </c>
      <c r="L58" s="133">
        <v>0</v>
      </c>
      <c r="M58" t="b">
        <f ca="1">IF(TODAY()-Table_Query_from_A_Readiness45[[#This Row],[PER_DATE]]&gt;=0,TRUE, FALSE)</f>
        <v>0</v>
      </c>
    </row>
    <row r="59" spans="1:13">
      <c r="A59">
        <v>42139</v>
      </c>
      <c r="B59" t="s">
        <v>332</v>
      </c>
      <c r="C59" t="s">
        <v>161</v>
      </c>
      <c r="D59" s="133">
        <v>8</v>
      </c>
      <c r="E59" s="133">
        <v>0</v>
      </c>
      <c r="F59" s="133">
        <v>0</v>
      </c>
      <c r="G59" s="133">
        <v>0</v>
      </c>
      <c r="H59" s="133">
        <v>0</v>
      </c>
      <c r="I59" s="133">
        <v>0</v>
      </c>
      <c r="J59" s="133">
        <v>0</v>
      </c>
      <c r="K59">
        <v>42132</v>
      </c>
      <c r="L59" s="133">
        <v>24</v>
      </c>
      <c r="M59" t="b">
        <f ca="1">IF(TODAY()-Table_Query_from_A_Readiness45[[#This Row],[PER_DATE]]&gt;=0,TRUE, FALSE)</f>
        <v>0</v>
      </c>
    </row>
    <row r="60" spans="1:13">
      <c r="A60">
        <v>42139</v>
      </c>
      <c r="B60" t="s">
        <v>332</v>
      </c>
      <c r="C60" t="s">
        <v>165</v>
      </c>
      <c r="D60" s="133">
        <v>8</v>
      </c>
      <c r="E60" s="133">
        <v>24</v>
      </c>
      <c r="F60" s="133">
        <v>0</v>
      </c>
      <c r="G60" s="133">
        <v>0</v>
      </c>
      <c r="H60" s="133">
        <v>0</v>
      </c>
      <c r="I60" s="133">
        <v>0</v>
      </c>
      <c r="J60" s="133">
        <v>0</v>
      </c>
      <c r="K60">
        <v>42132</v>
      </c>
      <c r="L60" s="133">
        <v>0</v>
      </c>
      <c r="M60" t="b">
        <f ca="1">IF(TODAY()-Table_Query_from_A_Readiness45[[#This Row],[PER_DATE]]&gt;=0,TRUE, FALSE)</f>
        <v>0</v>
      </c>
    </row>
    <row r="61" spans="1:13">
      <c r="A61">
        <v>42139</v>
      </c>
      <c r="B61" t="s">
        <v>332</v>
      </c>
      <c r="C61" t="s">
        <v>162</v>
      </c>
      <c r="D61" s="133">
        <v>8</v>
      </c>
      <c r="E61" s="133">
        <v>24</v>
      </c>
      <c r="F61" s="133">
        <v>0</v>
      </c>
      <c r="G61" s="133">
        <v>0</v>
      </c>
      <c r="H61" s="133">
        <v>0</v>
      </c>
      <c r="I61" s="133">
        <v>0</v>
      </c>
      <c r="J61" s="133">
        <v>0</v>
      </c>
      <c r="K61">
        <v>42132</v>
      </c>
      <c r="L61" s="133">
        <v>0</v>
      </c>
      <c r="M61" t="b">
        <f ca="1">IF(TODAY()-Table_Query_from_A_Readiness45[[#This Row],[PER_DATE]]&gt;=0,TRUE, FALSE)</f>
        <v>0</v>
      </c>
    </row>
    <row r="62" spans="1:13">
      <c r="A62">
        <v>42139</v>
      </c>
      <c r="B62" t="s">
        <v>332</v>
      </c>
      <c r="C62" t="s">
        <v>163</v>
      </c>
      <c r="D62" s="133">
        <v>8</v>
      </c>
      <c r="E62" s="133">
        <v>24</v>
      </c>
      <c r="F62" s="133">
        <v>0</v>
      </c>
      <c r="G62" s="133">
        <v>0</v>
      </c>
      <c r="H62" s="133">
        <v>0</v>
      </c>
      <c r="I62" s="133">
        <v>0</v>
      </c>
      <c r="J62" s="133">
        <v>0</v>
      </c>
      <c r="K62">
        <v>42132</v>
      </c>
      <c r="L62" s="133">
        <v>0</v>
      </c>
      <c r="M62" t="b">
        <f ca="1">IF(TODAY()-Table_Query_from_A_Readiness45[[#This Row],[PER_DATE]]&gt;=0,TRUE, FALSE)</f>
        <v>0</v>
      </c>
    </row>
    <row r="63" spans="1:13">
      <c r="A63">
        <v>42139</v>
      </c>
      <c r="B63" t="s">
        <v>332</v>
      </c>
      <c r="C63" t="s">
        <v>150</v>
      </c>
      <c r="D63" s="133">
        <v>8</v>
      </c>
      <c r="E63" s="133">
        <v>24</v>
      </c>
      <c r="F63" s="133">
        <v>0</v>
      </c>
      <c r="G63" s="133">
        <v>0</v>
      </c>
      <c r="H63" s="133">
        <v>0</v>
      </c>
      <c r="I63" s="133">
        <v>0</v>
      </c>
      <c r="J63" s="133">
        <v>0</v>
      </c>
      <c r="K63">
        <v>42132</v>
      </c>
      <c r="L63" s="133">
        <v>0</v>
      </c>
      <c r="M63" t="b">
        <f ca="1">IF(TODAY()-Table_Query_from_A_Readiness45[[#This Row],[PER_DATE]]&gt;=0,TRUE, FALSE)</f>
        <v>0</v>
      </c>
    </row>
    <row r="64" spans="1:13">
      <c r="A64">
        <v>42139</v>
      </c>
      <c r="B64" t="s">
        <v>332</v>
      </c>
      <c r="C64" t="s">
        <v>145</v>
      </c>
      <c r="D64" s="133">
        <v>8</v>
      </c>
      <c r="E64" s="133">
        <v>24</v>
      </c>
      <c r="F64" s="133">
        <v>0</v>
      </c>
      <c r="G64" s="133">
        <v>0</v>
      </c>
      <c r="H64" s="133">
        <v>0</v>
      </c>
      <c r="I64" s="133">
        <v>0</v>
      </c>
      <c r="J64" s="133">
        <v>0</v>
      </c>
      <c r="K64">
        <v>42132</v>
      </c>
      <c r="L64" s="133">
        <v>0</v>
      </c>
      <c r="M64" t="b">
        <f ca="1">IF(TODAY()-Table_Query_from_A_Readiness45[[#This Row],[PER_DATE]]&gt;=0,TRUE, FALSE)</f>
        <v>0</v>
      </c>
    </row>
    <row r="65" spans="1:13">
      <c r="A65">
        <v>42139</v>
      </c>
      <c r="B65" t="s">
        <v>332</v>
      </c>
      <c r="C65" t="s">
        <v>170</v>
      </c>
      <c r="D65" s="133">
        <v>8</v>
      </c>
      <c r="E65" s="133">
        <v>24</v>
      </c>
      <c r="F65" s="133">
        <v>0</v>
      </c>
      <c r="G65" s="133">
        <v>0</v>
      </c>
      <c r="H65" s="133">
        <v>0</v>
      </c>
      <c r="I65" s="133">
        <v>0</v>
      </c>
      <c r="J65" s="133">
        <v>0</v>
      </c>
      <c r="K65">
        <v>42132</v>
      </c>
      <c r="L65" s="133">
        <v>0</v>
      </c>
      <c r="M65" t="b">
        <f ca="1">IF(TODAY()-Table_Query_from_A_Readiness45[[#This Row],[PER_DATE]]&gt;=0,TRUE, FALSE)</f>
        <v>0</v>
      </c>
    </row>
    <row r="66" spans="1:13">
      <c r="A66">
        <v>42139</v>
      </c>
      <c r="B66" t="s">
        <v>332</v>
      </c>
      <c r="C66" t="s">
        <v>164</v>
      </c>
      <c r="D66" s="133">
        <v>9</v>
      </c>
      <c r="E66" s="133">
        <v>24</v>
      </c>
      <c r="F66" s="133">
        <v>0</v>
      </c>
      <c r="G66" s="133">
        <v>0</v>
      </c>
      <c r="H66" s="133">
        <v>0</v>
      </c>
      <c r="I66" s="133">
        <v>0</v>
      </c>
      <c r="J66" s="133">
        <v>0</v>
      </c>
      <c r="K66">
        <v>42133</v>
      </c>
      <c r="L66" s="133">
        <v>0</v>
      </c>
      <c r="M66" t="b">
        <f ca="1">IF(TODAY()-Table_Query_from_A_Readiness45[[#This Row],[PER_DATE]]&gt;=0,TRUE, FALSE)</f>
        <v>0</v>
      </c>
    </row>
    <row r="67" spans="1:13">
      <c r="A67">
        <v>42139</v>
      </c>
      <c r="B67" t="s">
        <v>332</v>
      </c>
      <c r="C67" t="s">
        <v>161</v>
      </c>
      <c r="D67" s="133">
        <v>9</v>
      </c>
      <c r="E67" s="133">
        <v>0</v>
      </c>
      <c r="F67" s="133">
        <v>0</v>
      </c>
      <c r="G67" s="133">
        <v>0</v>
      </c>
      <c r="H67" s="133">
        <v>0</v>
      </c>
      <c r="I67" s="133">
        <v>0</v>
      </c>
      <c r="J67" s="133">
        <v>0</v>
      </c>
      <c r="K67">
        <v>42133</v>
      </c>
      <c r="L67" s="133">
        <v>24</v>
      </c>
      <c r="M67" t="b">
        <f ca="1">IF(TODAY()-Table_Query_from_A_Readiness45[[#This Row],[PER_DATE]]&gt;=0,TRUE, FALSE)</f>
        <v>0</v>
      </c>
    </row>
    <row r="68" spans="1:13">
      <c r="A68">
        <v>42139</v>
      </c>
      <c r="B68" t="s">
        <v>332</v>
      </c>
      <c r="C68" t="s">
        <v>165</v>
      </c>
      <c r="D68" s="133">
        <v>9</v>
      </c>
      <c r="E68" s="133">
        <v>24</v>
      </c>
      <c r="F68" s="133">
        <v>0</v>
      </c>
      <c r="G68" s="133">
        <v>0</v>
      </c>
      <c r="H68" s="133">
        <v>0</v>
      </c>
      <c r="I68" s="133">
        <v>0</v>
      </c>
      <c r="J68" s="133">
        <v>0</v>
      </c>
      <c r="K68">
        <v>42133</v>
      </c>
      <c r="L68" s="133">
        <v>0</v>
      </c>
      <c r="M68" t="b">
        <f ca="1">IF(TODAY()-Table_Query_from_A_Readiness45[[#This Row],[PER_DATE]]&gt;=0,TRUE, FALSE)</f>
        <v>0</v>
      </c>
    </row>
    <row r="69" spans="1:13">
      <c r="A69">
        <v>42139</v>
      </c>
      <c r="B69" t="s">
        <v>332</v>
      </c>
      <c r="C69" t="s">
        <v>162</v>
      </c>
      <c r="D69" s="133">
        <v>9</v>
      </c>
      <c r="E69" s="133">
        <v>24</v>
      </c>
      <c r="F69" s="133">
        <v>0</v>
      </c>
      <c r="G69" s="133">
        <v>0</v>
      </c>
      <c r="H69" s="133">
        <v>0</v>
      </c>
      <c r="I69" s="133">
        <v>0</v>
      </c>
      <c r="J69" s="133">
        <v>0</v>
      </c>
      <c r="K69">
        <v>42133</v>
      </c>
      <c r="L69" s="133">
        <v>0</v>
      </c>
      <c r="M69" t="b">
        <f ca="1">IF(TODAY()-Table_Query_from_A_Readiness45[[#This Row],[PER_DATE]]&gt;=0,TRUE, FALSE)</f>
        <v>0</v>
      </c>
    </row>
    <row r="70" spans="1:13">
      <c r="A70">
        <v>42139</v>
      </c>
      <c r="B70" t="s">
        <v>332</v>
      </c>
      <c r="C70" t="s">
        <v>163</v>
      </c>
      <c r="D70" s="133">
        <v>9</v>
      </c>
      <c r="E70" s="133">
        <v>24</v>
      </c>
      <c r="F70" s="133">
        <v>0</v>
      </c>
      <c r="G70" s="133">
        <v>0</v>
      </c>
      <c r="H70" s="133">
        <v>0</v>
      </c>
      <c r="I70" s="133">
        <v>0</v>
      </c>
      <c r="J70" s="133">
        <v>0</v>
      </c>
      <c r="K70">
        <v>42133</v>
      </c>
      <c r="L70" s="133">
        <v>0</v>
      </c>
      <c r="M70" t="b">
        <f ca="1">IF(TODAY()-Table_Query_from_A_Readiness45[[#This Row],[PER_DATE]]&gt;=0,TRUE, FALSE)</f>
        <v>0</v>
      </c>
    </row>
    <row r="71" spans="1:13">
      <c r="A71">
        <v>42139</v>
      </c>
      <c r="B71" t="s">
        <v>332</v>
      </c>
      <c r="C71" t="s">
        <v>150</v>
      </c>
      <c r="D71" s="133">
        <v>9</v>
      </c>
      <c r="E71" s="133">
        <v>24</v>
      </c>
      <c r="F71" s="133">
        <v>0</v>
      </c>
      <c r="G71" s="133">
        <v>0</v>
      </c>
      <c r="H71" s="133">
        <v>0</v>
      </c>
      <c r="I71" s="133">
        <v>0</v>
      </c>
      <c r="J71" s="133">
        <v>0</v>
      </c>
      <c r="K71">
        <v>42133</v>
      </c>
      <c r="L71" s="133">
        <v>0</v>
      </c>
      <c r="M71" t="b">
        <f ca="1">IF(TODAY()-Table_Query_from_A_Readiness45[[#This Row],[PER_DATE]]&gt;=0,TRUE, FALSE)</f>
        <v>0</v>
      </c>
    </row>
    <row r="72" spans="1:13">
      <c r="A72">
        <v>42139</v>
      </c>
      <c r="B72" t="s">
        <v>332</v>
      </c>
      <c r="C72" t="s">
        <v>145</v>
      </c>
      <c r="D72" s="133">
        <v>9</v>
      </c>
      <c r="E72" s="133">
        <v>24</v>
      </c>
      <c r="F72" s="133">
        <v>0</v>
      </c>
      <c r="G72" s="133">
        <v>0</v>
      </c>
      <c r="H72" s="133">
        <v>0</v>
      </c>
      <c r="I72" s="133">
        <v>0</v>
      </c>
      <c r="J72" s="133">
        <v>0</v>
      </c>
      <c r="K72">
        <v>42133</v>
      </c>
      <c r="L72" s="133">
        <v>0</v>
      </c>
      <c r="M72" t="b">
        <f ca="1">IF(TODAY()-Table_Query_from_A_Readiness45[[#This Row],[PER_DATE]]&gt;=0,TRUE, FALSE)</f>
        <v>0</v>
      </c>
    </row>
    <row r="73" spans="1:13">
      <c r="A73">
        <v>42139</v>
      </c>
      <c r="B73" t="s">
        <v>332</v>
      </c>
      <c r="C73" t="s">
        <v>170</v>
      </c>
      <c r="D73" s="133">
        <v>9</v>
      </c>
      <c r="E73" s="133">
        <v>24</v>
      </c>
      <c r="F73" s="133">
        <v>0</v>
      </c>
      <c r="G73" s="133">
        <v>0</v>
      </c>
      <c r="H73" s="133">
        <v>0</v>
      </c>
      <c r="I73" s="133">
        <v>0</v>
      </c>
      <c r="J73" s="133">
        <v>0</v>
      </c>
      <c r="K73">
        <v>42133</v>
      </c>
      <c r="L73" s="133">
        <v>0</v>
      </c>
      <c r="M73" t="b">
        <f ca="1">IF(TODAY()-Table_Query_from_A_Readiness45[[#This Row],[PER_DATE]]&gt;=0,TRUE, FALSE)</f>
        <v>0</v>
      </c>
    </row>
    <row r="74" spans="1:13">
      <c r="A74">
        <v>42139</v>
      </c>
      <c r="B74" t="s">
        <v>332</v>
      </c>
      <c r="C74" t="s">
        <v>164</v>
      </c>
      <c r="D74" s="133">
        <v>10</v>
      </c>
      <c r="E74" s="133">
        <v>24</v>
      </c>
      <c r="F74" s="133">
        <v>0</v>
      </c>
      <c r="G74" s="133">
        <v>0</v>
      </c>
      <c r="H74" s="133">
        <v>0</v>
      </c>
      <c r="I74" s="133">
        <v>0</v>
      </c>
      <c r="J74" s="133">
        <v>0</v>
      </c>
      <c r="K74">
        <v>42134</v>
      </c>
      <c r="L74" s="133">
        <v>0</v>
      </c>
      <c r="M74" t="b">
        <f ca="1">IF(TODAY()-Table_Query_from_A_Readiness45[[#This Row],[PER_DATE]]&gt;=0,TRUE, FALSE)</f>
        <v>0</v>
      </c>
    </row>
    <row r="75" spans="1:13">
      <c r="A75">
        <v>42139</v>
      </c>
      <c r="B75" t="s">
        <v>332</v>
      </c>
      <c r="C75" t="s">
        <v>161</v>
      </c>
      <c r="D75" s="133">
        <v>10</v>
      </c>
      <c r="E75" s="133">
        <v>0</v>
      </c>
      <c r="F75" s="133">
        <v>0</v>
      </c>
      <c r="G75" s="133">
        <v>0</v>
      </c>
      <c r="H75" s="133">
        <v>0</v>
      </c>
      <c r="I75" s="133">
        <v>0</v>
      </c>
      <c r="J75" s="133">
        <v>0</v>
      </c>
      <c r="K75">
        <v>42134</v>
      </c>
      <c r="L75" s="133">
        <v>24</v>
      </c>
      <c r="M75" t="b">
        <f ca="1">IF(TODAY()-Table_Query_from_A_Readiness45[[#This Row],[PER_DATE]]&gt;=0,TRUE, FALSE)</f>
        <v>0</v>
      </c>
    </row>
    <row r="76" spans="1:13">
      <c r="A76">
        <v>42139</v>
      </c>
      <c r="B76" t="s">
        <v>332</v>
      </c>
      <c r="C76" t="s">
        <v>165</v>
      </c>
      <c r="D76" s="133">
        <v>10</v>
      </c>
      <c r="E76" s="133">
        <v>24</v>
      </c>
      <c r="F76" s="133">
        <v>0</v>
      </c>
      <c r="G76" s="133">
        <v>0</v>
      </c>
      <c r="H76" s="133">
        <v>0</v>
      </c>
      <c r="I76" s="133">
        <v>0</v>
      </c>
      <c r="J76" s="133">
        <v>0</v>
      </c>
      <c r="K76">
        <v>42134</v>
      </c>
      <c r="L76" s="133">
        <v>0</v>
      </c>
      <c r="M76" t="b">
        <f ca="1">IF(TODAY()-Table_Query_from_A_Readiness45[[#This Row],[PER_DATE]]&gt;=0,TRUE, FALSE)</f>
        <v>0</v>
      </c>
    </row>
    <row r="77" spans="1:13">
      <c r="A77">
        <v>42139</v>
      </c>
      <c r="B77" t="s">
        <v>332</v>
      </c>
      <c r="C77" t="s">
        <v>162</v>
      </c>
      <c r="D77" s="133">
        <v>10</v>
      </c>
      <c r="E77" s="133">
        <v>24</v>
      </c>
      <c r="F77" s="133">
        <v>0</v>
      </c>
      <c r="G77" s="133">
        <v>0</v>
      </c>
      <c r="H77" s="133">
        <v>0</v>
      </c>
      <c r="I77" s="133">
        <v>0</v>
      </c>
      <c r="J77" s="133">
        <v>0</v>
      </c>
      <c r="K77">
        <v>42134</v>
      </c>
      <c r="L77" s="133">
        <v>0</v>
      </c>
      <c r="M77" t="b">
        <f ca="1">IF(TODAY()-Table_Query_from_A_Readiness45[[#This Row],[PER_DATE]]&gt;=0,TRUE, FALSE)</f>
        <v>0</v>
      </c>
    </row>
    <row r="78" spans="1:13">
      <c r="A78">
        <v>42139</v>
      </c>
      <c r="B78" t="s">
        <v>332</v>
      </c>
      <c r="C78" t="s">
        <v>163</v>
      </c>
      <c r="D78" s="133">
        <v>10</v>
      </c>
      <c r="E78" s="133">
        <v>24</v>
      </c>
      <c r="F78" s="133">
        <v>0</v>
      </c>
      <c r="G78" s="133">
        <v>0</v>
      </c>
      <c r="H78" s="133">
        <v>0</v>
      </c>
      <c r="I78" s="133">
        <v>0</v>
      </c>
      <c r="J78" s="133">
        <v>0</v>
      </c>
      <c r="K78">
        <v>42134</v>
      </c>
      <c r="L78" s="133">
        <v>0</v>
      </c>
      <c r="M78" t="b">
        <f ca="1">IF(TODAY()-Table_Query_from_A_Readiness45[[#This Row],[PER_DATE]]&gt;=0,TRUE, FALSE)</f>
        <v>0</v>
      </c>
    </row>
    <row r="79" spans="1:13">
      <c r="A79">
        <v>42139</v>
      </c>
      <c r="B79" t="s">
        <v>332</v>
      </c>
      <c r="C79" t="s">
        <v>150</v>
      </c>
      <c r="D79" s="133">
        <v>10</v>
      </c>
      <c r="E79" s="133">
        <v>24</v>
      </c>
      <c r="F79" s="133">
        <v>0</v>
      </c>
      <c r="G79" s="133">
        <v>0</v>
      </c>
      <c r="H79" s="133">
        <v>0</v>
      </c>
      <c r="I79" s="133">
        <v>0</v>
      </c>
      <c r="J79" s="133">
        <v>0</v>
      </c>
      <c r="K79">
        <v>42134</v>
      </c>
      <c r="L79" s="133">
        <v>0</v>
      </c>
      <c r="M79" t="b">
        <f ca="1">IF(TODAY()-Table_Query_from_A_Readiness45[[#This Row],[PER_DATE]]&gt;=0,TRUE, FALSE)</f>
        <v>0</v>
      </c>
    </row>
    <row r="80" spans="1:13">
      <c r="A80">
        <v>42139</v>
      </c>
      <c r="B80" t="s">
        <v>332</v>
      </c>
      <c r="C80" t="s">
        <v>145</v>
      </c>
      <c r="D80" s="133">
        <v>10</v>
      </c>
      <c r="E80" s="133">
        <v>24</v>
      </c>
      <c r="F80" s="133">
        <v>0</v>
      </c>
      <c r="G80" s="133">
        <v>0</v>
      </c>
      <c r="H80" s="133">
        <v>0</v>
      </c>
      <c r="I80" s="133">
        <v>0</v>
      </c>
      <c r="J80" s="133">
        <v>0</v>
      </c>
      <c r="K80">
        <v>42134</v>
      </c>
      <c r="L80" s="133">
        <v>0</v>
      </c>
      <c r="M80" t="b">
        <f ca="1">IF(TODAY()-Table_Query_from_A_Readiness45[[#This Row],[PER_DATE]]&gt;=0,TRUE, FALSE)</f>
        <v>0</v>
      </c>
    </row>
    <row r="81" spans="1:13">
      <c r="A81">
        <v>42139</v>
      </c>
      <c r="B81" t="s">
        <v>332</v>
      </c>
      <c r="C81" t="s">
        <v>170</v>
      </c>
      <c r="D81" s="133">
        <v>10</v>
      </c>
      <c r="E81" s="133">
        <v>24</v>
      </c>
      <c r="F81" s="133">
        <v>0</v>
      </c>
      <c r="G81" s="133">
        <v>0</v>
      </c>
      <c r="H81" s="133">
        <v>0</v>
      </c>
      <c r="I81" s="133">
        <v>0</v>
      </c>
      <c r="J81" s="133">
        <v>0</v>
      </c>
      <c r="K81">
        <v>42134</v>
      </c>
      <c r="L81" s="133">
        <v>0</v>
      </c>
      <c r="M81" t="b">
        <f ca="1">IF(TODAY()-Table_Query_from_A_Readiness45[[#This Row],[PER_DATE]]&gt;=0,TRUE, FALSE)</f>
        <v>0</v>
      </c>
    </row>
    <row r="82" spans="1:13">
      <c r="A82">
        <v>42139</v>
      </c>
      <c r="B82" t="s">
        <v>332</v>
      </c>
      <c r="C82" t="s">
        <v>164</v>
      </c>
      <c r="D82" s="133">
        <v>11</v>
      </c>
      <c r="E82" s="133">
        <v>24</v>
      </c>
      <c r="F82" s="133">
        <v>0</v>
      </c>
      <c r="G82" s="133">
        <v>0</v>
      </c>
      <c r="H82" s="133">
        <v>0</v>
      </c>
      <c r="I82" s="133">
        <v>0</v>
      </c>
      <c r="J82" s="133">
        <v>0</v>
      </c>
      <c r="K82">
        <v>42135</v>
      </c>
      <c r="L82" s="133">
        <v>0</v>
      </c>
      <c r="M82" t="b">
        <f ca="1">IF(TODAY()-Table_Query_from_A_Readiness45[[#This Row],[PER_DATE]]&gt;=0,TRUE, FALSE)</f>
        <v>0</v>
      </c>
    </row>
    <row r="83" spans="1:13">
      <c r="A83">
        <v>42139</v>
      </c>
      <c r="B83" t="s">
        <v>332</v>
      </c>
      <c r="C83" t="s">
        <v>161</v>
      </c>
      <c r="D83" s="133">
        <v>11</v>
      </c>
      <c r="E83" s="133">
        <v>0</v>
      </c>
      <c r="F83" s="133">
        <v>0</v>
      </c>
      <c r="G83" s="133">
        <v>0</v>
      </c>
      <c r="H83" s="133">
        <v>0</v>
      </c>
      <c r="I83" s="133">
        <v>0</v>
      </c>
      <c r="J83" s="133">
        <v>0</v>
      </c>
      <c r="K83">
        <v>42135</v>
      </c>
      <c r="L83" s="133">
        <v>24</v>
      </c>
      <c r="M83" t="b">
        <f ca="1">IF(TODAY()-Table_Query_from_A_Readiness45[[#This Row],[PER_DATE]]&gt;=0,TRUE, FALSE)</f>
        <v>0</v>
      </c>
    </row>
    <row r="84" spans="1:13">
      <c r="A84">
        <v>42139</v>
      </c>
      <c r="B84" t="s">
        <v>332</v>
      </c>
      <c r="C84" t="s">
        <v>165</v>
      </c>
      <c r="D84" s="133">
        <v>11</v>
      </c>
      <c r="E84" s="133">
        <v>24</v>
      </c>
      <c r="F84" s="133">
        <v>0</v>
      </c>
      <c r="G84" s="133">
        <v>0</v>
      </c>
      <c r="H84" s="133">
        <v>0</v>
      </c>
      <c r="I84" s="133">
        <v>0</v>
      </c>
      <c r="J84" s="133">
        <v>0</v>
      </c>
      <c r="K84">
        <v>42135</v>
      </c>
      <c r="L84" s="133">
        <v>0</v>
      </c>
      <c r="M84" t="b">
        <f ca="1">IF(TODAY()-Table_Query_from_A_Readiness45[[#This Row],[PER_DATE]]&gt;=0,TRUE, FALSE)</f>
        <v>0</v>
      </c>
    </row>
    <row r="85" spans="1:13">
      <c r="A85">
        <v>42139</v>
      </c>
      <c r="B85" t="s">
        <v>332</v>
      </c>
      <c r="C85" t="s">
        <v>162</v>
      </c>
      <c r="D85" s="133">
        <v>11</v>
      </c>
      <c r="E85" s="133">
        <v>24</v>
      </c>
      <c r="F85" s="133">
        <v>0</v>
      </c>
      <c r="G85" s="133">
        <v>0</v>
      </c>
      <c r="H85" s="133">
        <v>0</v>
      </c>
      <c r="I85" s="133">
        <v>0</v>
      </c>
      <c r="J85" s="133">
        <v>0</v>
      </c>
      <c r="K85">
        <v>42135</v>
      </c>
      <c r="L85" s="133">
        <v>0</v>
      </c>
      <c r="M85" t="b">
        <f ca="1">IF(TODAY()-Table_Query_from_A_Readiness45[[#This Row],[PER_DATE]]&gt;=0,TRUE, FALSE)</f>
        <v>0</v>
      </c>
    </row>
    <row r="86" spans="1:13">
      <c r="A86">
        <v>42139</v>
      </c>
      <c r="B86" t="s">
        <v>332</v>
      </c>
      <c r="C86" t="s">
        <v>163</v>
      </c>
      <c r="D86" s="133">
        <v>11</v>
      </c>
      <c r="E86" s="133">
        <v>24</v>
      </c>
      <c r="F86" s="133">
        <v>0</v>
      </c>
      <c r="G86" s="133">
        <v>0</v>
      </c>
      <c r="H86" s="133">
        <v>0</v>
      </c>
      <c r="I86" s="133">
        <v>0</v>
      </c>
      <c r="J86" s="133">
        <v>0</v>
      </c>
      <c r="K86">
        <v>42135</v>
      </c>
      <c r="L86" s="133">
        <v>0</v>
      </c>
      <c r="M86" t="b">
        <f ca="1">IF(TODAY()-Table_Query_from_A_Readiness45[[#This Row],[PER_DATE]]&gt;=0,TRUE, FALSE)</f>
        <v>0</v>
      </c>
    </row>
    <row r="87" spans="1:13">
      <c r="A87">
        <v>42139</v>
      </c>
      <c r="B87" t="s">
        <v>332</v>
      </c>
      <c r="C87" t="s">
        <v>150</v>
      </c>
      <c r="D87" s="133">
        <v>11</v>
      </c>
      <c r="E87" s="133">
        <v>24</v>
      </c>
      <c r="F87" s="133">
        <v>0</v>
      </c>
      <c r="G87" s="133">
        <v>0</v>
      </c>
      <c r="H87" s="133">
        <v>0</v>
      </c>
      <c r="I87" s="133">
        <v>0</v>
      </c>
      <c r="J87" s="133">
        <v>0</v>
      </c>
      <c r="K87">
        <v>42135</v>
      </c>
      <c r="L87" s="133">
        <v>0</v>
      </c>
      <c r="M87" t="b">
        <f ca="1">IF(TODAY()-Table_Query_from_A_Readiness45[[#This Row],[PER_DATE]]&gt;=0,TRUE, FALSE)</f>
        <v>0</v>
      </c>
    </row>
    <row r="88" spans="1:13">
      <c r="A88">
        <v>42139</v>
      </c>
      <c r="B88" t="s">
        <v>332</v>
      </c>
      <c r="C88" t="s">
        <v>145</v>
      </c>
      <c r="D88" s="133">
        <v>11</v>
      </c>
      <c r="E88" s="133">
        <v>24</v>
      </c>
      <c r="F88" s="133">
        <v>0</v>
      </c>
      <c r="G88" s="133">
        <v>0</v>
      </c>
      <c r="H88" s="133">
        <v>0</v>
      </c>
      <c r="I88" s="133">
        <v>0</v>
      </c>
      <c r="J88" s="133">
        <v>0</v>
      </c>
      <c r="K88">
        <v>42135</v>
      </c>
      <c r="L88" s="133">
        <v>0</v>
      </c>
      <c r="M88" t="b">
        <f ca="1">IF(TODAY()-Table_Query_from_A_Readiness45[[#This Row],[PER_DATE]]&gt;=0,TRUE, FALSE)</f>
        <v>0</v>
      </c>
    </row>
    <row r="89" spans="1:13">
      <c r="A89">
        <v>42139</v>
      </c>
      <c r="B89" t="s">
        <v>332</v>
      </c>
      <c r="C89" t="s">
        <v>170</v>
      </c>
      <c r="D89" s="133">
        <v>11</v>
      </c>
      <c r="E89" s="133">
        <v>24</v>
      </c>
      <c r="F89" s="133">
        <v>0</v>
      </c>
      <c r="G89" s="133">
        <v>0</v>
      </c>
      <c r="H89" s="133">
        <v>0</v>
      </c>
      <c r="I89" s="133">
        <v>0</v>
      </c>
      <c r="J89" s="133">
        <v>0</v>
      </c>
      <c r="K89">
        <v>42135</v>
      </c>
      <c r="L89" s="133">
        <v>0</v>
      </c>
      <c r="M89" t="b">
        <f ca="1">IF(TODAY()-Table_Query_from_A_Readiness45[[#This Row],[PER_DATE]]&gt;=0,TRUE, FALSE)</f>
        <v>0</v>
      </c>
    </row>
    <row r="90" spans="1:13">
      <c r="A90">
        <v>42139</v>
      </c>
      <c r="B90" t="s">
        <v>332</v>
      </c>
      <c r="C90" t="s">
        <v>164</v>
      </c>
      <c r="D90" s="133">
        <v>12</v>
      </c>
      <c r="E90" s="133">
        <v>24</v>
      </c>
      <c r="F90" s="133">
        <v>0</v>
      </c>
      <c r="G90" s="133">
        <v>0</v>
      </c>
      <c r="H90" s="133">
        <v>0</v>
      </c>
      <c r="I90" s="133">
        <v>0</v>
      </c>
      <c r="J90" s="133">
        <v>0</v>
      </c>
      <c r="K90">
        <v>42136</v>
      </c>
      <c r="L90" s="133">
        <v>0</v>
      </c>
      <c r="M90" t="b">
        <f ca="1">IF(TODAY()-Table_Query_from_A_Readiness45[[#This Row],[PER_DATE]]&gt;=0,TRUE, FALSE)</f>
        <v>0</v>
      </c>
    </row>
    <row r="91" spans="1:13">
      <c r="A91">
        <v>42139</v>
      </c>
      <c r="B91" t="s">
        <v>332</v>
      </c>
      <c r="C91" t="s">
        <v>161</v>
      </c>
      <c r="D91" s="133">
        <v>12</v>
      </c>
      <c r="E91" s="133">
        <v>0</v>
      </c>
      <c r="F91" s="133">
        <v>0</v>
      </c>
      <c r="G91" s="133">
        <v>0</v>
      </c>
      <c r="H91" s="133">
        <v>0</v>
      </c>
      <c r="I91" s="133">
        <v>0</v>
      </c>
      <c r="J91" s="133">
        <v>0</v>
      </c>
      <c r="K91">
        <v>42136</v>
      </c>
      <c r="L91" s="133">
        <v>24</v>
      </c>
      <c r="M91" t="b">
        <f ca="1">IF(TODAY()-Table_Query_from_A_Readiness45[[#This Row],[PER_DATE]]&gt;=0,TRUE, FALSE)</f>
        <v>0</v>
      </c>
    </row>
    <row r="92" spans="1:13">
      <c r="A92">
        <v>42139</v>
      </c>
      <c r="B92" t="s">
        <v>332</v>
      </c>
      <c r="C92" t="s">
        <v>165</v>
      </c>
      <c r="D92" s="133">
        <v>12</v>
      </c>
      <c r="E92" s="133">
        <v>24</v>
      </c>
      <c r="F92" s="133">
        <v>0</v>
      </c>
      <c r="G92" s="133">
        <v>0</v>
      </c>
      <c r="H92" s="133">
        <v>0</v>
      </c>
      <c r="I92" s="133">
        <v>0</v>
      </c>
      <c r="J92" s="133">
        <v>0</v>
      </c>
      <c r="K92">
        <v>42136</v>
      </c>
      <c r="L92" s="133">
        <v>0</v>
      </c>
      <c r="M92" t="b">
        <f ca="1">IF(TODAY()-Table_Query_from_A_Readiness45[[#This Row],[PER_DATE]]&gt;=0,TRUE, FALSE)</f>
        <v>0</v>
      </c>
    </row>
    <row r="93" spans="1:13">
      <c r="A93">
        <v>42139</v>
      </c>
      <c r="B93" t="s">
        <v>332</v>
      </c>
      <c r="C93" t="s">
        <v>162</v>
      </c>
      <c r="D93" s="133">
        <v>12</v>
      </c>
      <c r="E93" s="133">
        <v>24</v>
      </c>
      <c r="F93" s="133">
        <v>0</v>
      </c>
      <c r="G93" s="133">
        <v>0</v>
      </c>
      <c r="H93" s="133">
        <v>0</v>
      </c>
      <c r="I93" s="133">
        <v>0</v>
      </c>
      <c r="J93" s="133">
        <v>0</v>
      </c>
      <c r="K93">
        <v>42136</v>
      </c>
      <c r="L93" s="133">
        <v>0</v>
      </c>
      <c r="M93" t="b">
        <f ca="1">IF(TODAY()-Table_Query_from_A_Readiness45[[#This Row],[PER_DATE]]&gt;=0,TRUE, FALSE)</f>
        <v>0</v>
      </c>
    </row>
    <row r="94" spans="1:13">
      <c r="A94">
        <v>42139</v>
      </c>
      <c r="B94" t="s">
        <v>332</v>
      </c>
      <c r="C94" t="s">
        <v>163</v>
      </c>
      <c r="D94" s="133">
        <v>12</v>
      </c>
      <c r="E94" s="133">
        <v>24</v>
      </c>
      <c r="F94" s="133">
        <v>0</v>
      </c>
      <c r="G94" s="133">
        <v>0</v>
      </c>
      <c r="H94" s="133">
        <v>0</v>
      </c>
      <c r="I94" s="133">
        <v>0</v>
      </c>
      <c r="J94" s="133">
        <v>0</v>
      </c>
      <c r="K94">
        <v>42136</v>
      </c>
      <c r="L94" s="133">
        <v>0</v>
      </c>
      <c r="M94" t="b">
        <f ca="1">IF(TODAY()-Table_Query_from_A_Readiness45[[#This Row],[PER_DATE]]&gt;=0,TRUE, FALSE)</f>
        <v>0</v>
      </c>
    </row>
    <row r="95" spans="1:13">
      <c r="A95">
        <v>42139</v>
      </c>
      <c r="B95" t="s">
        <v>332</v>
      </c>
      <c r="C95" t="s">
        <v>150</v>
      </c>
      <c r="D95" s="133">
        <v>12</v>
      </c>
      <c r="E95" s="133">
        <v>24</v>
      </c>
      <c r="F95" s="133">
        <v>0</v>
      </c>
      <c r="G95" s="133">
        <v>0</v>
      </c>
      <c r="H95" s="133">
        <v>0</v>
      </c>
      <c r="I95" s="133">
        <v>0</v>
      </c>
      <c r="J95" s="133">
        <v>0</v>
      </c>
      <c r="K95">
        <v>42136</v>
      </c>
      <c r="L95" s="133">
        <v>0</v>
      </c>
      <c r="M95" t="b">
        <f ca="1">IF(TODAY()-Table_Query_from_A_Readiness45[[#This Row],[PER_DATE]]&gt;=0,TRUE, FALSE)</f>
        <v>0</v>
      </c>
    </row>
    <row r="96" spans="1:13">
      <c r="A96">
        <v>42139</v>
      </c>
      <c r="B96" t="s">
        <v>332</v>
      </c>
      <c r="C96" t="s">
        <v>145</v>
      </c>
      <c r="D96" s="133">
        <v>12</v>
      </c>
      <c r="E96" s="133">
        <v>24</v>
      </c>
      <c r="F96" s="133">
        <v>0</v>
      </c>
      <c r="G96" s="133">
        <v>0</v>
      </c>
      <c r="H96" s="133">
        <v>0</v>
      </c>
      <c r="I96" s="133">
        <v>0</v>
      </c>
      <c r="J96" s="133">
        <v>0</v>
      </c>
      <c r="K96">
        <v>42136</v>
      </c>
      <c r="L96" s="133">
        <v>0</v>
      </c>
      <c r="M96" t="b">
        <f ca="1">IF(TODAY()-Table_Query_from_A_Readiness45[[#This Row],[PER_DATE]]&gt;=0,TRUE, FALSE)</f>
        <v>0</v>
      </c>
    </row>
    <row r="97" spans="1:13">
      <c r="A97">
        <v>42139</v>
      </c>
      <c r="B97" t="s">
        <v>332</v>
      </c>
      <c r="C97" t="s">
        <v>170</v>
      </c>
      <c r="D97" s="133">
        <v>12</v>
      </c>
      <c r="E97" s="133">
        <v>24</v>
      </c>
      <c r="F97" s="133">
        <v>0</v>
      </c>
      <c r="G97" s="133">
        <v>0</v>
      </c>
      <c r="H97" s="133">
        <v>0</v>
      </c>
      <c r="I97" s="133">
        <v>0</v>
      </c>
      <c r="J97" s="133">
        <v>0</v>
      </c>
      <c r="K97">
        <v>42136</v>
      </c>
      <c r="L97" s="133">
        <v>0</v>
      </c>
      <c r="M97" t="b">
        <f ca="1">IF(TODAY()-Table_Query_from_A_Readiness45[[#This Row],[PER_DATE]]&gt;=0,TRUE, FALSE)</f>
        <v>0</v>
      </c>
    </row>
    <row r="98" spans="1:13">
      <c r="A98">
        <v>42139</v>
      </c>
      <c r="B98" t="s">
        <v>332</v>
      </c>
      <c r="C98" t="s">
        <v>164</v>
      </c>
      <c r="D98" s="133">
        <v>13</v>
      </c>
      <c r="E98" s="133">
        <v>24</v>
      </c>
      <c r="F98" s="133">
        <v>0</v>
      </c>
      <c r="G98" s="133">
        <v>0</v>
      </c>
      <c r="H98" s="133">
        <v>0</v>
      </c>
      <c r="I98" s="133">
        <v>0</v>
      </c>
      <c r="J98" s="133">
        <v>0</v>
      </c>
      <c r="K98">
        <v>42137</v>
      </c>
      <c r="L98" s="133">
        <v>0</v>
      </c>
      <c r="M98" t="b">
        <f ca="1">IF(TODAY()-Table_Query_from_A_Readiness45[[#This Row],[PER_DATE]]&gt;=0,TRUE, FALSE)</f>
        <v>0</v>
      </c>
    </row>
    <row r="99" spans="1:13">
      <c r="A99">
        <v>42139</v>
      </c>
      <c r="B99" t="s">
        <v>332</v>
      </c>
      <c r="C99" t="s">
        <v>161</v>
      </c>
      <c r="D99" s="133">
        <v>13</v>
      </c>
      <c r="E99" s="133">
        <v>0</v>
      </c>
      <c r="F99" s="133">
        <v>0</v>
      </c>
      <c r="G99" s="133">
        <v>0</v>
      </c>
      <c r="H99" s="133">
        <v>0</v>
      </c>
      <c r="I99" s="133">
        <v>0</v>
      </c>
      <c r="J99" s="133">
        <v>0</v>
      </c>
      <c r="K99">
        <v>42137</v>
      </c>
      <c r="L99" s="133">
        <v>24</v>
      </c>
      <c r="M99" t="b">
        <f ca="1">IF(TODAY()-Table_Query_from_A_Readiness45[[#This Row],[PER_DATE]]&gt;=0,TRUE, FALSE)</f>
        <v>0</v>
      </c>
    </row>
    <row r="100" spans="1:13">
      <c r="A100">
        <v>42139</v>
      </c>
      <c r="B100" t="s">
        <v>332</v>
      </c>
      <c r="C100" t="s">
        <v>165</v>
      </c>
      <c r="D100" s="133">
        <v>13</v>
      </c>
      <c r="E100" s="133">
        <v>24</v>
      </c>
      <c r="F100" s="133">
        <v>0</v>
      </c>
      <c r="G100" s="133">
        <v>0</v>
      </c>
      <c r="H100" s="133">
        <v>0</v>
      </c>
      <c r="I100" s="133">
        <v>0</v>
      </c>
      <c r="J100" s="133">
        <v>0</v>
      </c>
      <c r="K100">
        <v>42137</v>
      </c>
      <c r="L100" s="133">
        <v>0</v>
      </c>
      <c r="M100" t="b">
        <f ca="1">IF(TODAY()-Table_Query_from_A_Readiness45[[#This Row],[PER_DATE]]&gt;=0,TRUE, FALSE)</f>
        <v>0</v>
      </c>
    </row>
    <row r="101" spans="1:13">
      <c r="A101">
        <v>42139</v>
      </c>
      <c r="B101" t="s">
        <v>332</v>
      </c>
      <c r="C101" t="s">
        <v>162</v>
      </c>
      <c r="D101" s="133">
        <v>13</v>
      </c>
      <c r="E101" s="133">
        <v>24</v>
      </c>
      <c r="F101" s="133">
        <v>0</v>
      </c>
      <c r="G101" s="133">
        <v>0</v>
      </c>
      <c r="H101" s="133">
        <v>0</v>
      </c>
      <c r="I101" s="133">
        <v>0</v>
      </c>
      <c r="J101" s="133">
        <v>0</v>
      </c>
      <c r="K101">
        <v>42137</v>
      </c>
      <c r="L101" s="133">
        <v>0</v>
      </c>
      <c r="M101" t="b">
        <f ca="1">IF(TODAY()-Table_Query_from_A_Readiness45[[#This Row],[PER_DATE]]&gt;=0,TRUE, FALSE)</f>
        <v>0</v>
      </c>
    </row>
    <row r="102" spans="1:13">
      <c r="A102">
        <v>42139</v>
      </c>
      <c r="B102" t="s">
        <v>332</v>
      </c>
      <c r="C102" t="s">
        <v>163</v>
      </c>
      <c r="D102" s="133">
        <v>13</v>
      </c>
      <c r="E102" s="133">
        <v>24</v>
      </c>
      <c r="F102" s="133">
        <v>0</v>
      </c>
      <c r="G102" s="133">
        <v>0</v>
      </c>
      <c r="H102" s="133">
        <v>0</v>
      </c>
      <c r="I102" s="133">
        <v>0</v>
      </c>
      <c r="J102" s="133">
        <v>0</v>
      </c>
      <c r="K102">
        <v>42137</v>
      </c>
      <c r="L102" s="133">
        <v>0</v>
      </c>
      <c r="M102" t="b">
        <f ca="1">IF(TODAY()-Table_Query_from_A_Readiness45[[#This Row],[PER_DATE]]&gt;=0,TRUE, FALSE)</f>
        <v>0</v>
      </c>
    </row>
    <row r="103" spans="1:13">
      <c r="A103">
        <v>42139</v>
      </c>
      <c r="B103" t="s">
        <v>332</v>
      </c>
      <c r="C103" t="s">
        <v>150</v>
      </c>
      <c r="D103" s="133">
        <v>13</v>
      </c>
      <c r="E103" s="133">
        <v>24</v>
      </c>
      <c r="F103" s="133">
        <v>0</v>
      </c>
      <c r="G103" s="133">
        <v>0</v>
      </c>
      <c r="H103" s="133">
        <v>0</v>
      </c>
      <c r="I103" s="133">
        <v>0</v>
      </c>
      <c r="J103" s="133">
        <v>0</v>
      </c>
      <c r="K103">
        <v>42137</v>
      </c>
      <c r="L103" s="133">
        <v>0</v>
      </c>
      <c r="M103" t="b">
        <f ca="1">IF(TODAY()-Table_Query_from_A_Readiness45[[#This Row],[PER_DATE]]&gt;=0,TRUE, FALSE)</f>
        <v>0</v>
      </c>
    </row>
    <row r="104" spans="1:13">
      <c r="A104">
        <v>42139</v>
      </c>
      <c r="B104" t="s">
        <v>332</v>
      </c>
      <c r="C104" t="s">
        <v>145</v>
      </c>
      <c r="D104" s="133">
        <v>13</v>
      </c>
      <c r="E104" s="133">
        <v>24</v>
      </c>
      <c r="F104" s="133">
        <v>0</v>
      </c>
      <c r="G104" s="133">
        <v>0</v>
      </c>
      <c r="H104" s="133">
        <v>0</v>
      </c>
      <c r="I104" s="133">
        <v>0</v>
      </c>
      <c r="J104" s="133">
        <v>0</v>
      </c>
      <c r="K104">
        <v>42137</v>
      </c>
      <c r="L104" s="133">
        <v>0</v>
      </c>
      <c r="M104" t="b">
        <f ca="1">IF(TODAY()-Table_Query_from_A_Readiness45[[#This Row],[PER_DATE]]&gt;=0,TRUE, FALSE)</f>
        <v>0</v>
      </c>
    </row>
    <row r="105" spans="1:13">
      <c r="A105">
        <v>42139</v>
      </c>
      <c r="B105" t="s">
        <v>332</v>
      </c>
      <c r="C105" t="s">
        <v>170</v>
      </c>
      <c r="D105" s="133">
        <v>13</v>
      </c>
      <c r="E105" s="133">
        <v>24</v>
      </c>
      <c r="F105" s="133">
        <v>0</v>
      </c>
      <c r="G105" s="133">
        <v>0</v>
      </c>
      <c r="H105" s="133">
        <v>0</v>
      </c>
      <c r="I105" s="133">
        <v>0</v>
      </c>
      <c r="J105" s="133">
        <v>0</v>
      </c>
      <c r="K105">
        <v>42137</v>
      </c>
      <c r="L105" s="133">
        <v>0</v>
      </c>
      <c r="M105" t="b">
        <f ca="1">IF(TODAY()-Table_Query_from_A_Readiness45[[#This Row],[PER_DATE]]&gt;=0,TRUE, FALSE)</f>
        <v>0</v>
      </c>
    </row>
    <row r="106" spans="1:13">
      <c r="A106">
        <v>42139</v>
      </c>
      <c r="B106" t="s">
        <v>332</v>
      </c>
      <c r="C106" t="s">
        <v>164</v>
      </c>
      <c r="D106" s="133">
        <v>14</v>
      </c>
      <c r="E106" s="133">
        <v>24</v>
      </c>
      <c r="F106" s="133">
        <v>0</v>
      </c>
      <c r="G106" s="133">
        <v>0</v>
      </c>
      <c r="H106" s="133">
        <v>0</v>
      </c>
      <c r="I106" s="133">
        <v>0</v>
      </c>
      <c r="J106" s="133">
        <v>0</v>
      </c>
      <c r="K106">
        <v>42138</v>
      </c>
      <c r="L106" s="133">
        <v>0</v>
      </c>
      <c r="M106" t="b">
        <f ca="1">IF(TODAY()-Table_Query_from_A_Readiness45[[#This Row],[PER_DATE]]&gt;=0,TRUE, FALSE)</f>
        <v>0</v>
      </c>
    </row>
    <row r="107" spans="1:13">
      <c r="A107">
        <v>42139</v>
      </c>
      <c r="B107" t="s">
        <v>332</v>
      </c>
      <c r="C107" t="s">
        <v>161</v>
      </c>
      <c r="D107" s="133">
        <v>14</v>
      </c>
      <c r="E107" s="133">
        <v>0</v>
      </c>
      <c r="F107" s="133">
        <v>0</v>
      </c>
      <c r="G107" s="133">
        <v>0</v>
      </c>
      <c r="H107" s="133">
        <v>0</v>
      </c>
      <c r="I107" s="133">
        <v>0</v>
      </c>
      <c r="J107" s="133">
        <v>0</v>
      </c>
      <c r="K107">
        <v>42138</v>
      </c>
      <c r="L107" s="133">
        <v>24</v>
      </c>
      <c r="M107" t="b">
        <f ca="1">IF(TODAY()-Table_Query_from_A_Readiness45[[#This Row],[PER_DATE]]&gt;=0,TRUE, FALSE)</f>
        <v>0</v>
      </c>
    </row>
    <row r="108" spans="1:13">
      <c r="A108">
        <v>42139</v>
      </c>
      <c r="B108" t="s">
        <v>332</v>
      </c>
      <c r="C108" t="s">
        <v>165</v>
      </c>
      <c r="D108" s="133">
        <v>14</v>
      </c>
      <c r="E108" s="133">
        <v>24</v>
      </c>
      <c r="F108" s="133">
        <v>0</v>
      </c>
      <c r="G108" s="133">
        <v>0</v>
      </c>
      <c r="H108" s="133">
        <v>0</v>
      </c>
      <c r="I108" s="133">
        <v>0</v>
      </c>
      <c r="J108" s="133">
        <v>0</v>
      </c>
      <c r="K108">
        <v>42138</v>
      </c>
      <c r="L108" s="133">
        <v>0</v>
      </c>
      <c r="M108" t="b">
        <f ca="1">IF(TODAY()-Table_Query_from_A_Readiness45[[#This Row],[PER_DATE]]&gt;=0,TRUE, FALSE)</f>
        <v>0</v>
      </c>
    </row>
    <row r="109" spans="1:13">
      <c r="A109">
        <v>42139</v>
      </c>
      <c r="B109" t="s">
        <v>332</v>
      </c>
      <c r="C109" t="s">
        <v>162</v>
      </c>
      <c r="D109" s="133">
        <v>14</v>
      </c>
      <c r="E109" s="133">
        <v>24</v>
      </c>
      <c r="F109" s="133">
        <v>0</v>
      </c>
      <c r="G109" s="133">
        <v>0</v>
      </c>
      <c r="H109" s="133">
        <v>0</v>
      </c>
      <c r="I109" s="133">
        <v>0</v>
      </c>
      <c r="J109" s="133">
        <v>0</v>
      </c>
      <c r="K109">
        <v>42138</v>
      </c>
      <c r="L109" s="133">
        <v>0</v>
      </c>
      <c r="M109" t="b">
        <f ca="1">IF(TODAY()-Table_Query_from_A_Readiness45[[#This Row],[PER_DATE]]&gt;=0,TRUE, FALSE)</f>
        <v>0</v>
      </c>
    </row>
    <row r="110" spans="1:13">
      <c r="A110">
        <v>42139</v>
      </c>
      <c r="B110" t="s">
        <v>332</v>
      </c>
      <c r="C110" t="s">
        <v>163</v>
      </c>
      <c r="D110" s="133">
        <v>14</v>
      </c>
      <c r="E110" s="133">
        <v>24</v>
      </c>
      <c r="F110" s="133">
        <v>0</v>
      </c>
      <c r="G110" s="133">
        <v>0</v>
      </c>
      <c r="H110" s="133">
        <v>0</v>
      </c>
      <c r="I110" s="133">
        <v>0</v>
      </c>
      <c r="J110" s="133">
        <v>0</v>
      </c>
      <c r="K110">
        <v>42138</v>
      </c>
      <c r="L110" s="133">
        <v>0</v>
      </c>
      <c r="M110" t="b">
        <f ca="1">IF(TODAY()-Table_Query_from_A_Readiness45[[#This Row],[PER_DATE]]&gt;=0,TRUE, FALSE)</f>
        <v>0</v>
      </c>
    </row>
    <row r="111" spans="1:13">
      <c r="A111">
        <v>42139</v>
      </c>
      <c r="B111" t="s">
        <v>332</v>
      </c>
      <c r="C111" t="s">
        <v>150</v>
      </c>
      <c r="D111" s="133">
        <v>14</v>
      </c>
      <c r="E111" s="133">
        <v>24</v>
      </c>
      <c r="F111" s="133">
        <v>0</v>
      </c>
      <c r="G111" s="133">
        <v>0</v>
      </c>
      <c r="H111" s="133">
        <v>0</v>
      </c>
      <c r="I111" s="133">
        <v>0</v>
      </c>
      <c r="J111" s="133">
        <v>0</v>
      </c>
      <c r="K111">
        <v>42138</v>
      </c>
      <c r="L111" s="133">
        <v>0</v>
      </c>
      <c r="M111" t="b">
        <f ca="1">IF(TODAY()-Table_Query_from_A_Readiness45[[#This Row],[PER_DATE]]&gt;=0,TRUE, FALSE)</f>
        <v>0</v>
      </c>
    </row>
    <row r="112" spans="1:13">
      <c r="A112">
        <v>42139</v>
      </c>
      <c r="B112" t="s">
        <v>332</v>
      </c>
      <c r="C112" t="s">
        <v>145</v>
      </c>
      <c r="D112" s="133">
        <v>14</v>
      </c>
      <c r="E112" s="133">
        <v>24</v>
      </c>
      <c r="F112" s="133">
        <v>0</v>
      </c>
      <c r="G112" s="133">
        <v>0</v>
      </c>
      <c r="H112" s="133">
        <v>0</v>
      </c>
      <c r="I112" s="133">
        <v>0</v>
      </c>
      <c r="J112" s="133">
        <v>0</v>
      </c>
      <c r="K112">
        <v>42138</v>
      </c>
      <c r="L112" s="133">
        <v>0</v>
      </c>
      <c r="M112" t="b">
        <f ca="1">IF(TODAY()-Table_Query_from_A_Readiness45[[#This Row],[PER_DATE]]&gt;=0,TRUE, FALSE)</f>
        <v>0</v>
      </c>
    </row>
    <row r="113" spans="1:13">
      <c r="A113">
        <v>42139</v>
      </c>
      <c r="B113" t="s">
        <v>332</v>
      </c>
      <c r="C113" t="s">
        <v>170</v>
      </c>
      <c r="D113" s="133">
        <v>14</v>
      </c>
      <c r="E113" s="133">
        <v>24</v>
      </c>
      <c r="F113" s="133">
        <v>0</v>
      </c>
      <c r="G113" s="133">
        <v>0</v>
      </c>
      <c r="H113" s="133">
        <v>0</v>
      </c>
      <c r="I113" s="133">
        <v>0</v>
      </c>
      <c r="J113" s="133">
        <v>0</v>
      </c>
      <c r="K113">
        <v>42138</v>
      </c>
      <c r="L113" s="133">
        <v>0</v>
      </c>
      <c r="M113" t="b">
        <f ca="1">IF(TODAY()-Table_Query_from_A_Readiness45[[#This Row],[PER_DATE]]&gt;=0,TRUE, FALSE)</f>
        <v>0</v>
      </c>
    </row>
    <row r="114" spans="1:13">
      <c r="A114">
        <v>42139</v>
      </c>
      <c r="B114" t="s">
        <v>332</v>
      </c>
      <c r="C114" t="s">
        <v>164</v>
      </c>
      <c r="D114" s="133">
        <v>15</v>
      </c>
      <c r="E114" s="133">
        <v>24</v>
      </c>
      <c r="F114" s="133">
        <v>0</v>
      </c>
      <c r="G114" s="133">
        <v>0</v>
      </c>
      <c r="H114" s="133">
        <v>0</v>
      </c>
      <c r="I114" s="133">
        <v>0</v>
      </c>
      <c r="J114" s="133">
        <v>0</v>
      </c>
      <c r="K114">
        <v>42139</v>
      </c>
      <c r="L114" s="133">
        <v>0</v>
      </c>
      <c r="M114" t="b">
        <f ca="1">IF(TODAY()-Table_Query_from_A_Readiness45[[#This Row],[PER_DATE]]&gt;=0,TRUE, FALSE)</f>
        <v>0</v>
      </c>
    </row>
    <row r="115" spans="1:13">
      <c r="A115">
        <v>42139</v>
      </c>
      <c r="B115" t="s">
        <v>332</v>
      </c>
      <c r="C115" t="s">
        <v>161</v>
      </c>
      <c r="D115" s="133">
        <v>15</v>
      </c>
      <c r="E115" s="133">
        <v>0</v>
      </c>
      <c r="F115" s="133">
        <v>0</v>
      </c>
      <c r="G115" s="133">
        <v>0</v>
      </c>
      <c r="H115" s="133">
        <v>0</v>
      </c>
      <c r="I115" s="133">
        <v>0</v>
      </c>
      <c r="J115" s="133">
        <v>0</v>
      </c>
      <c r="K115">
        <v>42139</v>
      </c>
      <c r="L115" s="133">
        <v>24</v>
      </c>
      <c r="M115" t="b">
        <f ca="1">IF(TODAY()-Table_Query_from_A_Readiness45[[#This Row],[PER_DATE]]&gt;=0,TRUE, FALSE)</f>
        <v>0</v>
      </c>
    </row>
    <row r="116" spans="1:13">
      <c r="A116">
        <v>42139</v>
      </c>
      <c r="B116" t="s">
        <v>332</v>
      </c>
      <c r="C116" t="s">
        <v>165</v>
      </c>
      <c r="D116" s="133">
        <v>15</v>
      </c>
      <c r="E116" s="133">
        <v>24</v>
      </c>
      <c r="F116" s="133">
        <v>0</v>
      </c>
      <c r="G116" s="133">
        <v>0</v>
      </c>
      <c r="H116" s="133">
        <v>0</v>
      </c>
      <c r="I116" s="133">
        <v>0</v>
      </c>
      <c r="J116" s="133">
        <v>0</v>
      </c>
      <c r="K116">
        <v>42139</v>
      </c>
      <c r="L116" s="133">
        <v>0</v>
      </c>
      <c r="M116" t="b">
        <f ca="1">IF(TODAY()-Table_Query_from_A_Readiness45[[#This Row],[PER_DATE]]&gt;=0,TRUE, FALSE)</f>
        <v>0</v>
      </c>
    </row>
    <row r="117" spans="1:13">
      <c r="A117">
        <v>42139</v>
      </c>
      <c r="B117" t="s">
        <v>332</v>
      </c>
      <c r="C117" t="s">
        <v>162</v>
      </c>
      <c r="D117" s="133">
        <v>15</v>
      </c>
      <c r="E117" s="133">
        <v>24</v>
      </c>
      <c r="F117" s="133">
        <v>0</v>
      </c>
      <c r="G117" s="133">
        <v>0</v>
      </c>
      <c r="H117" s="133">
        <v>0</v>
      </c>
      <c r="I117" s="133">
        <v>0</v>
      </c>
      <c r="J117" s="133">
        <v>0</v>
      </c>
      <c r="K117">
        <v>42139</v>
      </c>
      <c r="L117" s="133">
        <v>0</v>
      </c>
      <c r="M117" t="b">
        <f ca="1">IF(TODAY()-Table_Query_from_A_Readiness45[[#This Row],[PER_DATE]]&gt;=0,TRUE, FALSE)</f>
        <v>0</v>
      </c>
    </row>
    <row r="118" spans="1:13">
      <c r="A118">
        <v>42139</v>
      </c>
      <c r="B118" t="s">
        <v>332</v>
      </c>
      <c r="C118" t="s">
        <v>163</v>
      </c>
      <c r="D118" s="133">
        <v>15</v>
      </c>
      <c r="E118" s="133">
        <v>24</v>
      </c>
      <c r="F118" s="133">
        <v>0</v>
      </c>
      <c r="G118" s="133">
        <v>0</v>
      </c>
      <c r="H118" s="133">
        <v>0</v>
      </c>
      <c r="I118" s="133">
        <v>0</v>
      </c>
      <c r="J118" s="133">
        <v>0</v>
      </c>
      <c r="K118">
        <v>42139</v>
      </c>
      <c r="L118" s="133">
        <v>0</v>
      </c>
      <c r="M118" t="b">
        <f ca="1">IF(TODAY()-Table_Query_from_A_Readiness45[[#This Row],[PER_DATE]]&gt;=0,TRUE, FALSE)</f>
        <v>0</v>
      </c>
    </row>
    <row r="119" spans="1:13">
      <c r="A119">
        <v>42139</v>
      </c>
      <c r="B119" t="s">
        <v>332</v>
      </c>
      <c r="C119" t="s">
        <v>150</v>
      </c>
      <c r="D119" s="133">
        <v>15</v>
      </c>
      <c r="E119" s="133">
        <v>24</v>
      </c>
      <c r="F119" s="133">
        <v>0</v>
      </c>
      <c r="G119" s="133">
        <v>0</v>
      </c>
      <c r="H119" s="133">
        <v>0</v>
      </c>
      <c r="I119" s="133">
        <v>0</v>
      </c>
      <c r="J119" s="133">
        <v>0</v>
      </c>
      <c r="K119">
        <v>42139</v>
      </c>
      <c r="L119" s="133">
        <v>0</v>
      </c>
      <c r="M119" t="b">
        <f ca="1">IF(TODAY()-Table_Query_from_A_Readiness45[[#This Row],[PER_DATE]]&gt;=0,TRUE, FALSE)</f>
        <v>0</v>
      </c>
    </row>
    <row r="120" spans="1:13">
      <c r="A120">
        <v>42139</v>
      </c>
      <c r="B120" t="s">
        <v>332</v>
      </c>
      <c r="C120" t="s">
        <v>145</v>
      </c>
      <c r="D120" s="133">
        <v>15</v>
      </c>
      <c r="E120" s="133">
        <v>24</v>
      </c>
      <c r="F120" s="133">
        <v>0</v>
      </c>
      <c r="G120" s="133">
        <v>0</v>
      </c>
      <c r="H120" s="133">
        <v>0</v>
      </c>
      <c r="I120" s="133">
        <v>0</v>
      </c>
      <c r="J120" s="133">
        <v>0</v>
      </c>
      <c r="K120">
        <v>42139</v>
      </c>
      <c r="L120" s="133">
        <v>0</v>
      </c>
      <c r="M120" t="b">
        <f ca="1">IF(TODAY()-Table_Query_from_A_Readiness45[[#This Row],[PER_DATE]]&gt;=0,TRUE, FALSE)</f>
        <v>0</v>
      </c>
    </row>
    <row r="121" spans="1:13">
      <c r="A121">
        <v>42139</v>
      </c>
      <c r="B121" t="s">
        <v>332</v>
      </c>
      <c r="C121" t="s">
        <v>170</v>
      </c>
      <c r="D121" s="133">
        <v>15</v>
      </c>
      <c r="E121" s="133">
        <v>24</v>
      </c>
      <c r="F121" s="133">
        <v>0</v>
      </c>
      <c r="G121" s="133">
        <v>0</v>
      </c>
      <c r="H121" s="133">
        <v>0</v>
      </c>
      <c r="I121" s="133">
        <v>0</v>
      </c>
      <c r="J121" s="133">
        <v>0</v>
      </c>
      <c r="K121">
        <v>42139</v>
      </c>
      <c r="L121" s="133">
        <v>0</v>
      </c>
      <c r="M121" t="b">
        <f ca="1">IF(TODAY()-Table_Query_from_A_Readiness45[[#This Row],[PER_DATE]]&gt;=0,TRUE, FALSE)</f>
        <v>0</v>
      </c>
    </row>
    <row r="122" spans="1:13">
      <c r="A122">
        <v>42139</v>
      </c>
      <c r="B122" t="s">
        <v>332</v>
      </c>
      <c r="C122" t="s">
        <v>164</v>
      </c>
      <c r="D122" s="133">
        <v>16</v>
      </c>
      <c r="E122" s="133">
        <v>0</v>
      </c>
      <c r="F122" s="133">
        <v>1.2</v>
      </c>
      <c r="G122" s="133">
        <v>0</v>
      </c>
      <c r="H122" s="133">
        <v>0</v>
      </c>
      <c r="I122" s="133">
        <v>22.8</v>
      </c>
      <c r="J122" s="133">
        <v>0</v>
      </c>
      <c r="K122">
        <v>42110</v>
      </c>
      <c r="L122" s="133">
        <v>0</v>
      </c>
      <c r="M122" t="b">
        <f ca="1">IF(TODAY()-Table_Query_from_A_Readiness45[[#This Row],[PER_DATE]]&gt;=0,TRUE, FALSE)</f>
        <v>1</v>
      </c>
    </row>
    <row r="123" spans="1:13">
      <c r="A123">
        <v>42139</v>
      </c>
      <c r="B123" t="s">
        <v>332</v>
      </c>
      <c r="C123" t="s">
        <v>161</v>
      </c>
      <c r="D123" s="133">
        <v>16</v>
      </c>
      <c r="E123" s="133">
        <v>0</v>
      </c>
      <c r="F123" s="133">
        <v>0</v>
      </c>
      <c r="G123" s="133">
        <v>0</v>
      </c>
      <c r="H123" s="133">
        <v>0</v>
      </c>
      <c r="I123" s="133">
        <v>0</v>
      </c>
      <c r="J123" s="133">
        <v>0</v>
      </c>
      <c r="K123">
        <v>42110</v>
      </c>
      <c r="L123" s="133">
        <v>24</v>
      </c>
      <c r="M123" t="b">
        <f ca="1">IF(TODAY()-Table_Query_from_A_Readiness45[[#This Row],[PER_DATE]]&gt;=0,TRUE, FALSE)</f>
        <v>1</v>
      </c>
    </row>
    <row r="124" spans="1:13">
      <c r="A124">
        <v>42139</v>
      </c>
      <c r="B124" t="s">
        <v>332</v>
      </c>
      <c r="C124" t="s">
        <v>165</v>
      </c>
      <c r="D124" s="133">
        <v>16</v>
      </c>
      <c r="E124" s="133">
        <v>0</v>
      </c>
      <c r="F124" s="133">
        <v>12.4</v>
      </c>
      <c r="G124" s="133">
        <v>0</v>
      </c>
      <c r="H124" s="133">
        <v>11.6</v>
      </c>
      <c r="I124" s="133">
        <v>0</v>
      </c>
      <c r="J124" s="133">
        <v>0</v>
      </c>
      <c r="K124">
        <v>42110</v>
      </c>
      <c r="L124" s="133">
        <v>0</v>
      </c>
      <c r="M124" t="b">
        <f ca="1">IF(TODAY()-Table_Query_from_A_Readiness45[[#This Row],[PER_DATE]]&gt;=0,TRUE, FALSE)</f>
        <v>1</v>
      </c>
    </row>
    <row r="125" spans="1:13">
      <c r="A125">
        <v>42139</v>
      </c>
      <c r="B125" t="s">
        <v>332</v>
      </c>
      <c r="C125" t="s">
        <v>162</v>
      </c>
      <c r="D125" s="133">
        <v>16</v>
      </c>
      <c r="E125" s="133">
        <v>0</v>
      </c>
      <c r="F125" s="133">
        <v>24</v>
      </c>
      <c r="G125" s="133">
        <v>0</v>
      </c>
      <c r="H125" s="133">
        <v>0</v>
      </c>
      <c r="I125" s="133">
        <v>0</v>
      </c>
      <c r="J125" s="133">
        <v>0</v>
      </c>
      <c r="K125">
        <v>42110</v>
      </c>
      <c r="L125" s="133">
        <v>0</v>
      </c>
      <c r="M125" t="b">
        <f ca="1">IF(TODAY()-Table_Query_from_A_Readiness45[[#This Row],[PER_DATE]]&gt;=0,TRUE, FALSE)</f>
        <v>1</v>
      </c>
    </row>
    <row r="126" spans="1:13">
      <c r="A126">
        <v>42139</v>
      </c>
      <c r="B126" t="s">
        <v>332</v>
      </c>
      <c r="C126" t="s">
        <v>163</v>
      </c>
      <c r="D126" s="133">
        <v>16</v>
      </c>
      <c r="E126" s="133">
        <v>0</v>
      </c>
      <c r="F126" s="133">
        <v>24</v>
      </c>
      <c r="G126" s="133">
        <v>0</v>
      </c>
      <c r="H126" s="133">
        <v>0</v>
      </c>
      <c r="I126" s="133">
        <v>0</v>
      </c>
      <c r="J126" s="133">
        <v>0</v>
      </c>
      <c r="K126">
        <v>42110</v>
      </c>
      <c r="L126" s="133">
        <v>0</v>
      </c>
      <c r="M126" t="b">
        <f ca="1">IF(TODAY()-Table_Query_from_A_Readiness45[[#This Row],[PER_DATE]]&gt;=0,TRUE, FALSE)</f>
        <v>1</v>
      </c>
    </row>
    <row r="127" spans="1:13">
      <c r="A127">
        <v>42139</v>
      </c>
      <c r="B127" t="s">
        <v>332</v>
      </c>
      <c r="C127" t="s">
        <v>150</v>
      </c>
      <c r="D127" s="133">
        <v>16</v>
      </c>
      <c r="E127" s="133">
        <v>0</v>
      </c>
      <c r="F127" s="133">
        <v>24</v>
      </c>
      <c r="G127" s="133">
        <v>0</v>
      </c>
      <c r="H127" s="133">
        <v>0</v>
      </c>
      <c r="I127" s="133">
        <v>0</v>
      </c>
      <c r="J127" s="133">
        <v>0</v>
      </c>
      <c r="K127">
        <v>42110</v>
      </c>
      <c r="L127" s="133">
        <v>0</v>
      </c>
      <c r="M127" t="b">
        <f ca="1">IF(TODAY()-Table_Query_from_A_Readiness45[[#This Row],[PER_DATE]]&gt;=0,TRUE, FALSE)</f>
        <v>1</v>
      </c>
    </row>
    <row r="128" spans="1:13">
      <c r="A128">
        <v>42139</v>
      </c>
      <c r="B128" t="s">
        <v>332</v>
      </c>
      <c r="C128" t="s">
        <v>145</v>
      </c>
      <c r="D128" s="133">
        <v>16</v>
      </c>
      <c r="E128" s="133">
        <v>0</v>
      </c>
      <c r="F128" s="133">
        <v>0</v>
      </c>
      <c r="G128" s="133">
        <v>0</v>
      </c>
      <c r="H128" s="133">
        <v>0</v>
      </c>
      <c r="I128" s="133">
        <v>24</v>
      </c>
      <c r="J128" s="133">
        <v>0</v>
      </c>
      <c r="K128">
        <v>42110</v>
      </c>
      <c r="L128" s="133">
        <v>0</v>
      </c>
      <c r="M128" t="b">
        <f ca="1">IF(TODAY()-Table_Query_from_A_Readiness45[[#This Row],[PER_DATE]]&gt;=0,TRUE, FALSE)</f>
        <v>1</v>
      </c>
    </row>
    <row r="129" spans="1:13">
      <c r="A129">
        <v>42139</v>
      </c>
      <c r="B129" t="s">
        <v>332</v>
      </c>
      <c r="C129" t="s">
        <v>170</v>
      </c>
      <c r="D129" s="133">
        <v>16</v>
      </c>
      <c r="E129" s="133">
        <v>0</v>
      </c>
      <c r="F129" s="133">
        <v>0</v>
      </c>
      <c r="G129" s="133">
        <v>0</v>
      </c>
      <c r="H129" s="133">
        <v>24</v>
      </c>
      <c r="I129" s="133">
        <v>0</v>
      </c>
      <c r="J129" s="133">
        <v>0</v>
      </c>
      <c r="K129">
        <v>42110</v>
      </c>
      <c r="L129" s="133">
        <v>0</v>
      </c>
      <c r="M129" t="b">
        <f ca="1">IF(TODAY()-Table_Query_from_A_Readiness45[[#This Row],[PER_DATE]]&gt;=0,TRUE, FALSE)</f>
        <v>1</v>
      </c>
    </row>
    <row r="130" spans="1:13">
      <c r="A130">
        <v>42139</v>
      </c>
      <c r="B130" t="s">
        <v>332</v>
      </c>
      <c r="C130" t="s">
        <v>164</v>
      </c>
      <c r="D130" s="133">
        <v>17</v>
      </c>
      <c r="E130" s="133">
        <v>0</v>
      </c>
      <c r="F130" s="133">
        <v>24</v>
      </c>
      <c r="G130" s="133">
        <v>0</v>
      </c>
      <c r="H130" s="133">
        <v>0</v>
      </c>
      <c r="I130" s="133">
        <v>0</v>
      </c>
      <c r="J130" s="133">
        <v>0</v>
      </c>
      <c r="K130">
        <v>42111</v>
      </c>
      <c r="L130" s="133">
        <v>0</v>
      </c>
      <c r="M130" t="b">
        <f ca="1">IF(TODAY()-Table_Query_from_A_Readiness45[[#This Row],[PER_DATE]]&gt;=0,TRUE, FALSE)</f>
        <v>1</v>
      </c>
    </row>
    <row r="131" spans="1:13">
      <c r="A131">
        <v>42139</v>
      </c>
      <c r="B131" t="s">
        <v>332</v>
      </c>
      <c r="C131" t="s">
        <v>161</v>
      </c>
      <c r="D131" s="133">
        <v>17</v>
      </c>
      <c r="E131" s="133">
        <v>0</v>
      </c>
      <c r="F131" s="133">
        <v>0</v>
      </c>
      <c r="G131" s="133">
        <v>0</v>
      </c>
      <c r="H131" s="133">
        <v>0</v>
      </c>
      <c r="I131" s="133">
        <v>0</v>
      </c>
      <c r="J131" s="133">
        <v>0</v>
      </c>
      <c r="K131">
        <v>42111</v>
      </c>
      <c r="L131" s="133">
        <v>24</v>
      </c>
      <c r="M131" t="b">
        <f ca="1">IF(TODAY()-Table_Query_from_A_Readiness45[[#This Row],[PER_DATE]]&gt;=0,TRUE, FALSE)</f>
        <v>1</v>
      </c>
    </row>
    <row r="132" spans="1:13">
      <c r="A132">
        <v>42139</v>
      </c>
      <c r="B132" t="s">
        <v>332</v>
      </c>
      <c r="C132" t="s">
        <v>165</v>
      </c>
      <c r="D132" s="133">
        <v>17</v>
      </c>
      <c r="E132" s="133">
        <v>0</v>
      </c>
      <c r="F132" s="133">
        <v>24</v>
      </c>
      <c r="G132" s="133">
        <v>0</v>
      </c>
      <c r="H132" s="133">
        <v>0</v>
      </c>
      <c r="I132" s="133">
        <v>0</v>
      </c>
      <c r="J132" s="133">
        <v>0</v>
      </c>
      <c r="K132">
        <v>42111</v>
      </c>
      <c r="L132" s="133">
        <v>0</v>
      </c>
      <c r="M132" t="b">
        <f ca="1">IF(TODAY()-Table_Query_from_A_Readiness45[[#This Row],[PER_DATE]]&gt;=0,TRUE, FALSE)</f>
        <v>1</v>
      </c>
    </row>
    <row r="133" spans="1:13">
      <c r="A133">
        <v>42139</v>
      </c>
      <c r="B133" t="s">
        <v>332</v>
      </c>
      <c r="C133" t="s">
        <v>162</v>
      </c>
      <c r="D133" s="133">
        <v>17</v>
      </c>
      <c r="E133" s="133">
        <v>0</v>
      </c>
      <c r="F133" s="133">
        <v>24</v>
      </c>
      <c r="G133" s="133">
        <v>0</v>
      </c>
      <c r="H133" s="133">
        <v>0</v>
      </c>
      <c r="I133" s="133">
        <v>0</v>
      </c>
      <c r="J133" s="133">
        <v>0</v>
      </c>
      <c r="K133">
        <v>42111</v>
      </c>
      <c r="L133" s="133">
        <v>0</v>
      </c>
      <c r="M133" t="b">
        <f ca="1">IF(TODAY()-Table_Query_from_A_Readiness45[[#This Row],[PER_DATE]]&gt;=0,TRUE, FALSE)</f>
        <v>1</v>
      </c>
    </row>
    <row r="134" spans="1:13">
      <c r="A134">
        <v>42139</v>
      </c>
      <c r="B134" t="s">
        <v>332</v>
      </c>
      <c r="C134" t="s">
        <v>163</v>
      </c>
      <c r="D134" s="133">
        <v>17</v>
      </c>
      <c r="E134" s="133">
        <v>0</v>
      </c>
      <c r="F134" s="133">
        <v>24</v>
      </c>
      <c r="G134" s="133">
        <v>0</v>
      </c>
      <c r="H134" s="133">
        <v>0</v>
      </c>
      <c r="I134" s="133">
        <v>0</v>
      </c>
      <c r="J134" s="133">
        <v>0</v>
      </c>
      <c r="K134">
        <v>42111</v>
      </c>
      <c r="L134" s="133">
        <v>0</v>
      </c>
      <c r="M134" t="b">
        <f ca="1">IF(TODAY()-Table_Query_from_A_Readiness45[[#This Row],[PER_DATE]]&gt;=0,TRUE, FALSE)</f>
        <v>1</v>
      </c>
    </row>
    <row r="135" spans="1:13">
      <c r="A135">
        <v>42139</v>
      </c>
      <c r="B135" t="s">
        <v>332</v>
      </c>
      <c r="C135" t="s">
        <v>150</v>
      </c>
      <c r="D135" s="133">
        <v>17</v>
      </c>
      <c r="E135" s="133">
        <v>0</v>
      </c>
      <c r="F135" s="133">
        <v>24</v>
      </c>
      <c r="G135" s="133">
        <v>0</v>
      </c>
      <c r="H135" s="133">
        <v>0</v>
      </c>
      <c r="I135" s="133">
        <v>0</v>
      </c>
      <c r="J135" s="133">
        <v>0</v>
      </c>
      <c r="K135">
        <v>42111</v>
      </c>
      <c r="L135" s="133">
        <v>0</v>
      </c>
      <c r="M135" t="b">
        <f ca="1">IF(TODAY()-Table_Query_from_A_Readiness45[[#This Row],[PER_DATE]]&gt;=0,TRUE, FALSE)</f>
        <v>1</v>
      </c>
    </row>
    <row r="136" spans="1:13">
      <c r="A136">
        <v>42139</v>
      </c>
      <c r="B136" t="s">
        <v>332</v>
      </c>
      <c r="C136" t="s">
        <v>145</v>
      </c>
      <c r="D136" s="133">
        <v>17</v>
      </c>
      <c r="E136" s="133">
        <v>0</v>
      </c>
      <c r="F136" s="133">
        <v>0</v>
      </c>
      <c r="G136" s="133">
        <v>0</v>
      </c>
      <c r="H136" s="133">
        <v>0</v>
      </c>
      <c r="I136" s="133">
        <v>24</v>
      </c>
      <c r="J136" s="133">
        <v>0</v>
      </c>
      <c r="K136">
        <v>42111</v>
      </c>
      <c r="L136" s="133">
        <v>0</v>
      </c>
      <c r="M136" t="b">
        <f ca="1">IF(TODAY()-Table_Query_from_A_Readiness45[[#This Row],[PER_DATE]]&gt;=0,TRUE, FALSE)</f>
        <v>1</v>
      </c>
    </row>
    <row r="137" spans="1:13">
      <c r="A137">
        <v>42139</v>
      </c>
      <c r="B137" t="s">
        <v>332</v>
      </c>
      <c r="C137" t="s">
        <v>170</v>
      </c>
      <c r="D137" s="133">
        <v>17</v>
      </c>
      <c r="E137" s="133">
        <v>0</v>
      </c>
      <c r="F137" s="133">
        <v>0</v>
      </c>
      <c r="G137" s="133">
        <v>0</v>
      </c>
      <c r="H137" s="133">
        <v>24</v>
      </c>
      <c r="I137" s="133">
        <v>0</v>
      </c>
      <c r="J137" s="133">
        <v>0</v>
      </c>
      <c r="K137">
        <v>42111</v>
      </c>
      <c r="L137" s="133">
        <v>0</v>
      </c>
      <c r="M137" t="b">
        <f ca="1">IF(TODAY()-Table_Query_from_A_Readiness45[[#This Row],[PER_DATE]]&gt;=0,TRUE, FALSE)</f>
        <v>1</v>
      </c>
    </row>
    <row r="138" spans="1:13">
      <c r="A138">
        <v>42139</v>
      </c>
      <c r="B138" t="s">
        <v>332</v>
      </c>
      <c r="C138" t="s">
        <v>164</v>
      </c>
      <c r="D138" s="133">
        <v>18</v>
      </c>
      <c r="E138" s="133">
        <v>0</v>
      </c>
      <c r="F138" s="133">
        <v>24</v>
      </c>
      <c r="G138" s="133">
        <v>0</v>
      </c>
      <c r="H138" s="133">
        <v>0</v>
      </c>
      <c r="I138" s="133">
        <v>0</v>
      </c>
      <c r="J138" s="133">
        <v>0</v>
      </c>
      <c r="K138">
        <v>42112</v>
      </c>
      <c r="L138" s="133">
        <v>0</v>
      </c>
      <c r="M138" t="b">
        <f ca="1">IF(TODAY()-Table_Query_from_A_Readiness45[[#This Row],[PER_DATE]]&gt;=0,TRUE, FALSE)</f>
        <v>1</v>
      </c>
    </row>
    <row r="139" spans="1:13">
      <c r="A139">
        <v>42139</v>
      </c>
      <c r="B139" t="s">
        <v>332</v>
      </c>
      <c r="C139" t="s">
        <v>161</v>
      </c>
      <c r="D139" s="133">
        <v>18</v>
      </c>
      <c r="E139" s="133">
        <v>0</v>
      </c>
      <c r="F139" s="133">
        <v>0</v>
      </c>
      <c r="G139" s="133">
        <v>0</v>
      </c>
      <c r="H139" s="133">
        <v>0</v>
      </c>
      <c r="I139" s="133">
        <v>0</v>
      </c>
      <c r="J139" s="133">
        <v>0</v>
      </c>
      <c r="K139">
        <v>42112</v>
      </c>
      <c r="L139" s="133">
        <v>24</v>
      </c>
      <c r="M139" t="b">
        <f ca="1">IF(TODAY()-Table_Query_from_A_Readiness45[[#This Row],[PER_DATE]]&gt;=0,TRUE, FALSE)</f>
        <v>1</v>
      </c>
    </row>
    <row r="140" spans="1:13">
      <c r="A140">
        <v>42139</v>
      </c>
      <c r="B140" t="s">
        <v>332</v>
      </c>
      <c r="C140" t="s">
        <v>165</v>
      </c>
      <c r="D140" s="133">
        <v>18</v>
      </c>
      <c r="E140" s="133">
        <v>0</v>
      </c>
      <c r="F140" s="133">
        <v>24</v>
      </c>
      <c r="G140" s="133">
        <v>0</v>
      </c>
      <c r="H140" s="133">
        <v>0</v>
      </c>
      <c r="I140" s="133">
        <v>0</v>
      </c>
      <c r="J140" s="133">
        <v>0</v>
      </c>
      <c r="K140">
        <v>42112</v>
      </c>
      <c r="L140" s="133">
        <v>0</v>
      </c>
      <c r="M140" t="b">
        <f ca="1">IF(TODAY()-Table_Query_from_A_Readiness45[[#This Row],[PER_DATE]]&gt;=0,TRUE, FALSE)</f>
        <v>1</v>
      </c>
    </row>
    <row r="141" spans="1:13">
      <c r="A141">
        <v>42139</v>
      </c>
      <c r="B141" t="s">
        <v>332</v>
      </c>
      <c r="C141" t="s">
        <v>162</v>
      </c>
      <c r="D141" s="133">
        <v>18</v>
      </c>
      <c r="E141" s="133">
        <v>0</v>
      </c>
      <c r="F141" s="133">
        <v>24</v>
      </c>
      <c r="G141" s="133">
        <v>0</v>
      </c>
      <c r="H141" s="133">
        <v>0</v>
      </c>
      <c r="I141" s="133">
        <v>0</v>
      </c>
      <c r="J141" s="133">
        <v>0</v>
      </c>
      <c r="K141">
        <v>42112</v>
      </c>
      <c r="L141" s="133">
        <v>0</v>
      </c>
      <c r="M141" t="b">
        <f ca="1">IF(TODAY()-Table_Query_from_A_Readiness45[[#This Row],[PER_DATE]]&gt;=0,TRUE, FALSE)</f>
        <v>1</v>
      </c>
    </row>
    <row r="142" spans="1:13">
      <c r="A142">
        <v>42139</v>
      </c>
      <c r="B142" t="s">
        <v>332</v>
      </c>
      <c r="C142" t="s">
        <v>163</v>
      </c>
      <c r="D142" s="133">
        <v>18</v>
      </c>
      <c r="E142" s="133">
        <v>0</v>
      </c>
      <c r="F142" s="133">
        <v>24</v>
      </c>
      <c r="G142" s="133">
        <v>0</v>
      </c>
      <c r="H142" s="133">
        <v>0</v>
      </c>
      <c r="I142" s="133">
        <v>0</v>
      </c>
      <c r="J142" s="133">
        <v>0</v>
      </c>
      <c r="K142">
        <v>42112</v>
      </c>
      <c r="L142" s="133">
        <v>0</v>
      </c>
      <c r="M142" t="b">
        <f ca="1">IF(TODAY()-Table_Query_from_A_Readiness45[[#This Row],[PER_DATE]]&gt;=0,TRUE, FALSE)</f>
        <v>1</v>
      </c>
    </row>
    <row r="143" spans="1:13">
      <c r="A143">
        <v>42139</v>
      </c>
      <c r="B143" t="s">
        <v>332</v>
      </c>
      <c r="C143" t="s">
        <v>150</v>
      </c>
      <c r="D143" s="133">
        <v>18</v>
      </c>
      <c r="E143" s="133">
        <v>0</v>
      </c>
      <c r="F143" s="133">
        <v>24</v>
      </c>
      <c r="G143" s="133">
        <v>0</v>
      </c>
      <c r="H143" s="133">
        <v>0</v>
      </c>
      <c r="I143" s="133">
        <v>0</v>
      </c>
      <c r="J143" s="133">
        <v>0</v>
      </c>
      <c r="K143">
        <v>42112</v>
      </c>
      <c r="L143" s="133">
        <v>0</v>
      </c>
      <c r="M143" t="b">
        <f ca="1">IF(TODAY()-Table_Query_from_A_Readiness45[[#This Row],[PER_DATE]]&gt;=0,TRUE, FALSE)</f>
        <v>1</v>
      </c>
    </row>
    <row r="144" spans="1:13">
      <c r="A144">
        <v>42139</v>
      </c>
      <c r="B144" t="s">
        <v>332</v>
      </c>
      <c r="C144" t="s">
        <v>145</v>
      </c>
      <c r="D144" s="133">
        <v>18</v>
      </c>
      <c r="E144" s="133">
        <v>0</v>
      </c>
      <c r="F144" s="133">
        <v>0</v>
      </c>
      <c r="G144" s="133">
        <v>0</v>
      </c>
      <c r="H144" s="133">
        <v>0</v>
      </c>
      <c r="I144" s="133">
        <v>24</v>
      </c>
      <c r="J144" s="133">
        <v>0</v>
      </c>
      <c r="K144">
        <v>42112</v>
      </c>
      <c r="L144" s="133">
        <v>0</v>
      </c>
      <c r="M144" t="b">
        <f ca="1">IF(TODAY()-Table_Query_from_A_Readiness45[[#This Row],[PER_DATE]]&gt;=0,TRUE, FALSE)</f>
        <v>1</v>
      </c>
    </row>
    <row r="145" spans="1:13">
      <c r="A145">
        <v>42139</v>
      </c>
      <c r="B145" t="s">
        <v>332</v>
      </c>
      <c r="C145" t="s">
        <v>170</v>
      </c>
      <c r="D145" s="133">
        <v>18</v>
      </c>
      <c r="E145" s="133">
        <v>0</v>
      </c>
      <c r="F145" s="133">
        <v>0</v>
      </c>
      <c r="G145" s="133">
        <v>0</v>
      </c>
      <c r="H145" s="133">
        <v>24</v>
      </c>
      <c r="I145" s="133">
        <v>0</v>
      </c>
      <c r="J145" s="133">
        <v>0</v>
      </c>
      <c r="K145">
        <v>42112</v>
      </c>
      <c r="L145" s="133">
        <v>0</v>
      </c>
      <c r="M145" t="b">
        <f ca="1">IF(TODAY()-Table_Query_from_A_Readiness45[[#This Row],[PER_DATE]]&gt;=0,TRUE, FALSE)</f>
        <v>1</v>
      </c>
    </row>
    <row r="146" spans="1:13">
      <c r="A146">
        <v>42139</v>
      </c>
      <c r="B146" t="s">
        <v>332</v>
      </c>
      <c r="C146" t="s">
        <v>164</v>
      </c>
      <c r="D146" s="133">
        <v>19</v>
      </c>
      <c r="E146" s="133">
        <v>0</v>
      </c>
      <c r="F146" s="133">
        <v>24</v>
      </c>
      <c r="G146" s="133">
        <v>0</v>
      </c>
      <c r="H146" s="133">
        <v>0</v>
      </c>
      <c r="I146" s="133">
        <v>0</v>
      </c>
      <c r="J146" s="133">
        <v>0</v>
      </c>
      <c r="K146">
        <v>42113</v>
      </c>
      <c r="L146" s="133">
        <v>0</v>
      </c>
      <c r="M146" t="b">
        <f ca="1">IF(TODAY()-Table_Query_from_A_Readiness45[[#This Row],[PER_DATE]]&gt;=0,TRUE, FALSE)</f>
        <v>1</v>
      </c>
    </row>
    <row r="147" spans="1:13">
      <c r="A147">
        <v>42139</v>
      </c>
      <c r="B147" t="s">
        <v>332</v>
      </c>
      <c r="C147" t="s">
        <v>161</v>
      </c>
      <c r="D147" s="133">
        <v>19</v>
      </c>
      <c r="E147" s="133">
        <v>0</v>
      </c>
      <c r="F147" s="133">
        <v>0</v>
      </c>
      <c r="G147" s="133">
        <v>0</v>
      </c>
      <c r="H147" s="133">
        <v>0</v>
      </c>
      <c r="I147" s="133">
        <v>0</v>
      </c>
      <c r="J147" s="133">
        <v>0</v>
      </c>
      <c r="K147">
        <v>42113</v>
      </c>
      <c r="L147" s="133">
        <v>24</v>
      </c>
      <c r="M147" t="b">
        <f ca="1">IF(TODAY()-Table_Query_from_A_Readiness45[[#This Row],[PER_DATE]]&gt;=0,TRUE, FALSE)</f>
        <v>1</v>
      </c>
    </row>
    <row r="148" spans="1:13">
      <c r="A148">
        <v>42139</v>
      </c>
      <c r="B148" t="s">
        <v>332</v>
      </c>
      <c r="C148" t="s">
        <v>165</v>
      </c>
      <c r="D148" s="133">
        <v>19</v>
      </c>
      <c r="E148" s="133">
        <v>0</v>
      </c>
      <c r="F148" s="133">
        <v>24</v>
      </c>
      <c r="G148" s="133">
        <v>0</v>
      </c>
      <c r="H148" s="133">
        <v>0</v>
      </c>
      <c r="I148" s="133">
        <v>0</v>
      </c>
      <c r="J148" s="133">
        <v>0</v>
      </c>
      <c r="K148">
        <v>42113</v>
      </c>
      <c r="L148" s="133">
        <v>0</v>
      </c>
      <c r="M148" t="b">
        <f ca="1">IF(TODAY()-Table_Query_from_A_Readiness45[[#This Row],[PER_DATE]]&gt;=0,TRUE, FALSE)</f>
        <v>1</v>
      </c>
    </row>
    <row r="149" spans="1:13">
      <c r="A149">
        <v>42139</v>
      </c>
      <c r="B149" t="s">
        <v>332</v>
      </c>
      <c r="C149" t="s">
        <v>162</v>
      </c>
      <c r="D149" s="133">
        <v>19</v>
      </c>
      <c r="E149" s="133">
        <v>0</v>
      </c>
      <c r="F149" s="133">
        <v>24</v>
      </c>
      <c r="G149" s="133">
        <v>0</v>
      </c>
      <c r="H149" s="133">
        <v>0</v>
      </c>
      <c r="I149" s="133">
        <v>0</v>
      </c>
      <c r="J149" s="133">
        <v>0</v>
      </c>
      <c r="K149">
        <v>42113</v>
      </c>
      <c r="L149" s="133">
        <v>0</v>
      </c>
      <c r="M149" t="b">
        <f ca="1">IF(TODAY()-Table_Query_from_A_Readiness45[[#This Row],[PER_DATE]]&gt;=0,TRUE, FALSE)</f>
        <v>1</v>
      </c>
    </row>
    <row r="150" spans="1:13">
      <c r="A150">
        <v>42139</v>
      </c>
      <c r="B150" t="s">
        <v>332</v>
      </c>
      <c r="C150" t="s">
        <v>163</v>
      </c>
      <c r="D150" s="133">
        <v>19</v>
      </c>
      <c r="E150" s="133">
        <v>0</v>
      </c>
      <c r="F150" s="133">
        <v>24</v>
      </c>
      <c r="G150" s="133">
        <v>0</v>
      </c>
      <c r="H150" s="133">
        <v>0</v>
      </c>
      <c r="I150" s="133">
        <v>0</v>
      </c>
      <c r="J150" s="133">
        <v>0</v>
      </c>
      <c r="K150">
        <v>42113</v>
      </c>
      <c r="L150" s="133">
        <v>0</v>
      </c>
      <c r="M150" t="b">
        <f ca="1">IF(TODAY()-Table_Query_from_A_Readiness45[[#This Row],[PER_DATE]]&gt;=0,TRUE, FALSE)</f>
        <v>1</v>
      </c>
    </row>
    <row r="151" spans="1:13">
      <c r="A151">
        <v>42139</v>
      </c>
      <c r="B151" t="s">
        <v>332</v>
      </c>
      <c r="C151" t="s">
        <v>150</v>
      </c>
      <c r="D151" s="133">
        <v>19</v>
      </c>
      <c r="E151" s="133">
        <v>0</v>
      </c>
      <c r="F151" s="133">
        <v>24</v>
      </c>
      <c r="G151" s="133">
        <v>0</v>
      </c>
      <c r="H151" s="133">
        <v>0</v>
      </c>
      <c r="I151" s="133">
        <v>0</v>
      </c>
      <c r="J151" s="133">
        <v>0</v>
      </c>
      <c r="K151">
        <v>42113</v>
      </c>
      <c r="L151" s="133">
        <v>0</v>
      </c>
      <c r="M151" t="b">
        <f ca="1">IF(TODAY()-Table_Query_from_A_Readiness45[[#This Row],[PER_DATE]]&gt;=0,TRUE, FALSE)</f>
        <v>1</v>
      </c>
    </row>
    <row r="152" spans="1:13">
      <c r="A152">
        <v>42139</v>
      </c>
      <c r="B152" t="s">
        <v>332</v>
      </c>
      <c r="C152" t="s">
        <v>145</v>
      </c>
      <c r="D152" s="133">
        <v>19</v>
      </c>
      <c r="E152" s="133">
        <v>0</v>
      </c>
      <c r="F152" s="133">
        <v>0</v>
      </c>
      <c r="G152" s="133">
        <v>0</v>
      </c>
      <c r="H152" s="133">
        <v>0</v>
      </c>
      <c r="I152" s="133">
        <v>24</v>
      </c>
      <c r="J152" s="133">
        <v>0</v>
      </c>
      <c r="K152">
        <v>42113</v>
      </c>
      <c r="L152" s="133">
        <v>0</v>
      </c>
      <c r="M152" t="b">
        <f ca="1">IF(TODAY()-Table_Query_from_A_Readiness45[[#This Row],[PER_DATE]]&gt;=0,TRUE, FALSE)</f>
        <v>1</v>
      </c>
    </row>
    <row r="153" spans="1:13">
      <c r="A153">
        <v>42139</v>
      </c>
      <c r="B153" t="s">
        <v>332</v>
      </c>
      <c r="C153" t="s">
        <v>170</v>
      </c>
      <c r="D153" s="133">
        <v>19</v>
      </c>
      <c r="E153" s="133">
        <v>0</v>
      </c>
      <c r="F153" s="133">
        <v>0</v>
      </c>
      <c r="G153" s="133">
        <v>0</v>
      </c>
      <c r="H153" s="133">
        <v>24</v>
      </c>
      <c r="I153" s="133">
        <v>0</v>
      </c>
      <c r="J153" s="133">
        <v>0</v>
      </c>
      <c r="K153">
        <v>42113</v>
      </c>
      <c r="L153" s="133">
        <v>0</v>
      </c>
      <c r="M153" t="b">
        <f ca="1">IF(TODAY()-Table_Query_from_A_Readiness45[[#This Row],[PER_DATE]]&gt;=0,TRUE, FALSE)</f>
        <v>1</v>
      </c>
    </row>
    <row r="154" spans="1:13">
      <c r="A154">
        <v>42139</v>
      </c>
      <c r="B154" t="s">
        <v>332</v>
      </c>
      <c r="C154" t="s">
        <v>164</v>
      </c>
      <c r="D154" s="133">
        <v>20</v>
      </c>
      <c r="E154" s="133">
        <v>0</v>
      </c>
      <c r="F154" s="133">
        <v>24</v>
      </c>
      <c r="G154" s="133">
        <v>0</v>
      </c>
      <c r="H154" s="133">
        <v>0</v>
      </c>
      <c r="I154" s="133">
        <v>0</v>
      </c>
      <c r="J154" s="133">
        <v>0</v>
      </c>
      <c r="K154">
        <v>42114</v>
      </c>
      <c r="L154" s="133">
        <v>0</v>
      </c>
      <c r="M154" t="b">
        <f ca="1">IF(TODAY()-Table_Query_from_A_Readiness45[[#This Row],[PER_DATE]]&gt;=0,TRUE, FALSE)</f>
        <v>1</v>
      </c>
    </row>
    <row r="155" spans="1:13">
      <c r="A155">
        <v>42139</v>
      </c>
      <c r="B155" t="s">
        <v>332</v>
      </c>
      <c r="C155" t="s">
        <v>161</v>
      </c>
      <c r="D155" s="133">
        <v>20</v>
      </c>
      <c r="E155" s="133">
        <v>0</v>
      </c>
      <c r="F155" s="133">
        <v>0</v>
      </c>
      <c r="G155" s="133">
        <v>0</v>
      </c>
      <c r="H155" s="133">
        <v>0</v>
      </c>
      <c r="I155" s="133">
        <v>0</v>
      </c>
      <c r="J155" s="133">
        <v>0</v>
      </c>
      <c r="K155">
        <v>42114</v>
      </c>
      <c r="L155" s="133">
        <v>24</v>
      </c>
      <c r="M155" t="b">
        <f ca="1">IF(TODAY()-Table_Query_from_A_Readiness45[[#This Row],[PER_DATE]]&gt;=0,TRUE, FALSE)</f>
        <v>1</v>
      </c>
    </row>
    <row r="156" spans="1:13">
      <c r="A156">
        <v>42139</v>
      </c>
      <c r="B156" t="s">
        <v>332</v>
      </c>
      <c r="C156" t="s">
        <v>165</v>
      </c>
      <c r="D156" s="133">
        <v>20</v>
      </c>
      <c r="E156" s="133">
        <v>0</v>
      </c>
      <c r="F156" s="133">
        <v>24</v>
      </c>
      <c r="G156" s="133">
        <v>0</v>
      </c>
      <c r="H156" s="133">
        <v>0</v>
      </c>
      <c r="I156" s="133">
        <v>0</v>
      </c>
      <c r="J156" s="133">
        <v>1</v>
      </c>
      <c r="K156">
        <v>42114</v>
      </c>
      <c r="L156" s="133">
        <v>0</v>
      </c>
      <c r="M156" t="b">
        <f ca="1">IF(TODAY()-Table_Query_from_A_Readiness45[[#This Row],[PER_DATE]]&gt;=0,TRUE, FALSE)</f>
        <v>1</v>
      </c>
    </row>
    <row r="157" spans="1:13">
      <c r="A157">
        <v>42139</v>
      </c>
      <c r="B157" t="s">
        <v>332</v>
      </c>
      <c r="C157" t="s">
        <v>162</v>
      </c>
      <c r="D157" s="133">
        <v>20</v>
      </c>
      <c r="E157" s="133">
        <v>0</v>
      </c>
      <c r="F157" s="133">
        <v>24</v>
      </c>
      <c r="G157" s="133">
        <v>0</v>
      </c>
      <c r="H157" s="133">
        <v>0</v>
      </c>
      <c r="I157" s="133">
        <v>0</v>
      </c>
      <c r="J157" s="133">
        <v>0</v>
      </c>
      <c r="K157">
        <v>42114</v>
      </c>
      <c r="L157" s="133">
        <v>0</v>
      </c>
      <c r="M157" t="b">
        <f ca="1">IF(TODAY()-Table_Query_from_A_Readiness45[[#This Row],[PER_DATE]]&gt;=0,TRUE, FALSE)</f>
        <v>1</v>
      </c>
    </row>
    <row r="158" spans="1:13">
      <c r="A158">
        <v>42139</v>
      </c>
      <c r="B158" t="s">
        <v>332</v>
      </c>
      <c r="C158" t="s">
        <v>163</v>
      </c>
      <c r="D158" s="133">
        <v>20</v>
      </c>
      <c r="E158" s="133">
        <v>0</v>
      </c>
      <c r="F158" s="133">
        <v>24</v>
      </c>
      <c r="G158" s="133">
        <v>0</v>
      </c>
      <c r="H158" s="133">
        <v>0</v>
      </c>
      <c r="I158" s="133">
        <v>0</v>
      </c>
      <c r="J158" s="133">
        <v>0</v>
      </c>
      <c r="K158">
        <v>42114</v>
      </c>
      <c r="L158" s="133">
        <v>0</v>
      </c>
      <c r="M158" t="b">
        <f ca="1">IF(TODAY()-Table_Query_from_A_Readiness45[[#This Row],[PER_DATE]]&gt;=0,TRUE, FALSE)</f>
        <v>1</v>
      </c>
    </row>
    <row r="159" spans="1:13">
      <c r="A159">
        <v>42139</v>
      </c>
      <c r="B159" t="s">
        <v>332</v>
      </c>
      <c r="C159" t="s">
        <v>150</v>
      </c>
      <c r="D159" s="133">
        <v>20</v>
      </c>
      <c r="E159" s="133">
        <v>0</v>
      </c>
      <c r="F159" s="133">
        <v>24</v>
      </c>
      <c r="G159" s="133">
        <v>0</v>
      </c>
      <c r="H159" s="133">
        <v>0</v>
      </c>
      <c r="I159" s="133">
        <v>0</v>
      </c>
      <c r="J159" s="133">
        <v>0</v>
      </c>
      <c r="K159">
        <v>42114</v>
      </c>
      <c r="L159" s="133">
        <v>0</v>
      </c>
      <c r="M159" t="b">
        <f ca="1">IF(TODAY()-Table_Query_from_A_Readiness45[[#This Row],[PER_DATE]]&gt;=0,TRUE, FALSE)</f>
        <v>1</v>
      </c>
    </row>
    <row r="160" spans="1:13">
      <c r="A160">
        <v>42139</v>
      </c>
      <c r="B160" t="s">
        <v>332</v>
      </c>
      <c r="C160" t="s">
        <v>145</v>
      </c>
      <c r="D160" s="133">
        <v>20</v>
      </c>
      <c r="E160" s="133">
        <v>0</v>
      </c>
      <c r="F160" s="133">
        <v>0</v>
      </c>
      <c r="G160" s="133">
        <v>0</v>
      </c>
      <c r="H160" s="133">
        <v>0</v>
      </c>
      <c r="I160" s="133">
        <v>24</v>
      </c>
      <c r="J160" s="133">
        <v>0</v>
      </c>
      <c r="K160">
        <v>42114</v>
      </c>
      <c r="L160" s="133">
        <v>0</v>
      </c>
      <c r="M160" t="b">
        <f ca="1">IF(TODAY()-Table_Query_from_A_Readiness45[[#This Row],[PER_DATE]]&gt;=0,TRUE, FALSE)</f>
        <v>1</v>
      </c>
    </row>
    <row r="161" spans="1:13">
      <c r="A161">
        <v>42139</v>
      </c>
      <c r="B161" t="s">
        <v>332</v>
      </c>
      <c r="C161" t="s">
        <v>170</v>
      </c>
      <c r="D161" s="133">
        <v>20</v>
      </c>
      <c r="E161" s="133">
        <v>0</v>
      </c>
      <c r="F161" s="133">
        <v>0</v>
      </c>
      <c r="G161" s="133">
        <v>0</v>
      </c>
      <c r="H161" s="133">
        <v>24</v>
      </c>
      <c r="I161" s="133">
        <v>0</v>
      </c>
      <c r="J161" s="133">
        <v>0</v>
      </c>
      <c r="K161">
        <v>42114</v>
      </c>
      <c r="L161" s="133">
        <v>0</v>
      </c>
      <c r="M161" t="b">
        <f ca="1">IF(TODAY()-Table_Query_from_A_Readiness45[[#This Row],[PER_DATE]]&gt;=0,TRUE, FALSE)</f>
        <v>1</v>
      </c>
    </row>
    <row r="162" spans="1:13">
      <c r="A162">
        <v>42139</v>
      </c>
      <c r="B162" t="s">
        <v>332</v>
      </c>
      <c r="C162" t="s">
        <v>164</v>
      </c>
      <c r="D162" s="133">
        <v>21</v>
      </c>
      <c r="E162" s="133">
        <v>0</v>
      </c>
      <c r="F162" s="133">
        <v>24</v>
      </c>
      <c r="G162" s="133">
        <v>0</v>
      </c>
      <c r="H162" s="133">
        <v>0</v>
      </c>
      <c r="I162" s="133">
        <v>0</v>
      </c>
      <c r="J162" s="133">
        <v>0</v>
      </c>
      <c r="K162">
        <v>42115</v>
      </c>
      <c r="L162" s="133">
        <v>0</v>
      </c>
      <c r="M162" t="b">
        <f ca="1">IF(TODAY()-Table_Query_from_A_Readiness45[[#This Row],[PER_DATE]]&gt;=0,TRUE, FALSE)</f>
        <v>0</v>
      </c>
    </row>
    <row r="163" spans="1:13">
      <c r="A163">
        <v>42139</v>
      </c>
      <c r="B163" t="s">
        <v>332</v>
      </c>
      <c r="C163" t="s">
        <v>161</v>
      </c>
      <c r="D163" s="133">
        <v>21</v>
      </c>
      <c r="E163" s="133">
        <v>0</v>
      </c>
      <c r="F163" s="133">
        <v>0</v>
      </c>
      <c r="G163" s="133">
        <v>0</v>
      </c>
      <c r="H163" s="133">
        <v>0</v>
      </c>
      <c r="I163" s="133">
        <v>0</v>
      </c>
      <c r="J163" s="133">
        <v>0</v>
      </c>
      <c r="K163">
        <v>42115</v>
      </c>
      <c r="L163" s="133">
        <v>24</v>
      </c>
      <c r="M163" t="b">
        <f ca="1">IF(TODAY()-Table_Query_from_A_Readiness45[[#This Row],[PER_DATE]]&gt;=0,TRUE, FALSE)</f>
        <v>0</v>
      </c>
    </row>
    <row r="164" spans="1:13">
      <c r="A164">
        <v>42139</v>
      </c>
      <c r="B164" t="s">
        <v>332</v>
      </c>
      <c r="C164" t="s">
        <v>165</v>
      </c>
      <c r="D164" s="133">
        <v>21</v>
      </c>
      <c r="E164" s="133">
        <v>0</v>
      </c>
      <c r="F164" s="133">
        <v>24</v>
      </c>
      <c r="G164" s="133">
        <v>0</v>
      </c>
      <c r="H164" s="133">
        <v>0</v>
      </c>
      <c r="I164" s="133">
        <v>0</v>
      </c>
      <c r="J164" s="133">
        <v>0</v>
      </c>
      <c r="K164">
        <v>42115</v>
      </c>
      <c r="L164" s="133">
        <v>0</v>
      </c>
      <c r="M164" t="b">
        <f ca="1">IF(TODAY()-Table_Query_from_A_Readiness45[[#This Row],[PER_DATE]]&gt;=0,TRUE, FALSE)</f>
        <v>0</v>
      </c>
    </row>
    <row r="165" spans="1:13">
      <c r="A165">
        <v>42139</v>
      </c>
      <c r="B165" t="s">
        <v>332</v>
      </c>
      <c r="C165" t="s">
        <v>162</v>
      </c>
      <c r="D165" s="133">
        <v>21</v>
      </c>
      <c r="E165" s="133">
        <v>0</v>
      </c>
      <c r="F165" s="133">
        <v>24</v>
      </c>
      <c r="G165" s="133">
        <v>0</v>
      </c>
      <c r="H165" s="133">
        <v>0</v>
      </c>
      <c r="I165" s="133">
        <v>0</v>
      </c>
      <c r="J165" s="133">
        <v>0</v>
      </c>
      <c r="K165">
        <v>42115</v>
      </c>
      <c r="L165" s="133">
        <v>0</v>
      </c>
      <c r="M165" t="b">
        <f ca="1">IF(TODAY()-Table_Query_from_A_Readiness45[[#This Row],[PER_DATE]]&gt;=0,TRUE, FALSE)</f>
        <v>0</v>
      </c>
    </row>
    <row r="166" spans="1:13">
      <c r="A166">
        <v>42139</v>
      </c>
      <c r="B166" t="s">
        <v>332</v>
      </c>
      <c r="C166" t="s">
        <v>163</v>
      </c>
      <c r="D166" s="133">
        <v>21</v>
      </c>
      <c r="E166" s="133">
        <v>0</v>
      </c>
      <c r="F166" s="133">
        <v>24</v>
      </c>
      <c r="G166" s="133">
        <v>0</v>
      </c>
      <c r="H166" s="133">
        <v>0</v>
      </c>
      <c r="I166" s="133">
        <v>0</v>
      </c>
      <c r="J166" s="133">
        <v>0</v>
      </c>
      <c r="K166">
        <v>42115</v>
      </c>
      <c r="L166" s="133">
        <v>0</v>
      </c>
      <c r="M166" t="b">
        <f ca="1">IF(TODAY()-Table_Query_from_A_Readiness45[[#This Row],[PER_DATE]]&gt;=0,TRUE, FALSE)</f>
        <v>0</v>
      </c>
    </row>
    <row r="167" spans="1:13">
      <c r="A167">
        <v>42139</v>
      </c>
      <c r="B167" t="s">
        <v>332</v>
      </c>
      <c r="C167" t="s">
        <v>150</v>
      </c>
      <c r="D167" s="133">
        <v>21</v>
      </c>
      <c r="E167" s="133">
        <v>0</v>
      </c>
      <c r="F167" s="133">
        <v>24</v>
      </c>
      <c r="G167" s="133">
        <v>0</v>
      </c>
      <c r="H167" s="133">
        <v>0</v>
      </c>
      <c r="I167" s="133">
        <v>0</v>
      </c>
      <c r="J167" s="133">
        <v>0</v>
      </c>
      <c r="K167">
        <v>42115</v>
      </c>
      <c r="L167" s="133">
        <v>0</v>
      </c>
      <c r="M167" t="b">
        <f ca="1">IF(TODAY()-Table_Query_from_A_Readiness45[[#This Row],[PER_DATE]]&gt;=0,TRUE, FALSE)</f>
        <v>0</v>
      </c>
    </row>
    <row r="168" spans="1:13">
      <c r="A168">
        <v>42139</v>
      </c>
      <c r="B168" t="s">
        <v>332</v>
      </c>
      <c r="C168" t="s">
        <v>145</v>
      </c>
      <c r="D168" s="133">
        <v>21</v>
      </c>
      <c r="E168" s="133">
        <v>0</v>
      </c>
      <c r="F168" s="133">
        <v>0</v>
      </c>
      <c r="G168" s="133">
        <v>0</v>
      </c>
      <c r="H168" s="133">
        <v>0</v>
      </c>
      <c r="I168" s="133">
        <v>24</v>
      </c>
      <c r="J168" s="133">
        <v>0</v>
      </c>
      <c r="K168">
        <v>42115</v>
      </c>
      <c r="L168" s="133">
        <v>0</v>
      </c>
      <c r="M168" t="b">
        <f ca="1">IF(TODAY()-Table_Query_from_A_Readiness45[[#This Row],[PER_DATE]]&gt;=0,TRUE, FALSE)</f>
        <v>0</v>
      </c>
    </row>
    <row r="169" spans="1:13">
      <c r="A169">
        <v>42139</v>
      </c>
      <c r="B169" t="s">
        <v>332</v>
      </c>
      <c r="C169" t="s">
        <v>170</v>
      </c>
      <c r="D169" s="133">
        <v>21</v>
      </c>
      <c r="E169" s="133">
        <v>0</v>
      </c>
      <c r="F169" s="133">
        <v>0</v>
      </c>
      <c r="G169" s="133">
        <v>0</v>
      </c>
      <c r="H169" s="133">
        <v>24</v>
      </c>
      <c r="I169" s="133">
        <v>0</v>
      </c>
      <c r="J169" s="133">
        <v>0</v>
      </c>
      <c r="K169">
        <v>42115</v>
      </c>
      <c r="L169" s="133">
        <v>0</v>
      </c>
      <c r="M169" t="b">
        <f ca="1">IF(TODAY()-Table_Query_from_A_Readiness45[[#This Row],[PER_DATE]]&gt;=0,TRUE, FALSE)</f>
        <v>0</v>
      </c>
    </row>
    <row r="170" spans="1:13">
      <c r="A170">
        <v>42139</v>
      </c>
      <c r="B170" t="s">
        <v>332</v>
      </c>
      <c r="C170" t="s">
        <v>164</v>
      </c>
      <c r="D170" s="133">
        <v>22</v>
      </c>
      <c r="E170" s="133">
        <v>0</v>
      </c>
      <c r="F170" s="133">
        <v>24</v>
      </c>
      <c r="G170" s="133">
        <v>0</v>
      </c>
      <c r="H170" s="133">
        <v>0</v>
      </c>
      <c r="I170" s="133">
        <v>0</v>
      </c>
      <c r="J170" s="133">
        <v>0</v>
      </c>
      <c r="K170">
        <v>42116</v>
      </c>
      <c r="L170" s="133">
        <v>0</v>
      </c>
      <c r="M170" t="b">
        <f ca="1">IF(TODAY()-Table_Query_from_A_Readiness45[[#This Row],[PER_DATE]]&gt;=0,TRUE, FALSE)</f>
        <v>0</v>
      </c>
    </row>
    <row r="171" spans="1:13">
      <c r="A171">
        <v>42139</v>
      </c>
      <c r="B171" t="s">
        <v>332</v>
      </c>
      <c r="C171" t="s">
        <v>161</v>
      </c>
      <c r="D171" s="133">
        <v>22</v>
      </c>
      <c r="E171" s="133">
        <v>0</v>
      </c>
      <c r="F171" s="133">
        <v>0</v>
      </c>
      <c r="G171" s="133">
        <v>0</v>
      </c>
      <c r="H171" s="133">
        <v>0</v>
      </c>
      <c r="I171" s="133">
        <v>0</v>
      </c>
      <c r="J171" s="133">
        <v>0</v>
      </c>
      <c r="K171">
        <v>42116</v>
      </c>
      <c r="L171" s="133">
        <v>24</v>
      </c>
      <c r="M171" t="b">
        <f ca="1">IF(TODAY()-Table_Query_from_A_Readiness45[[#This Row],[PER_DATE]]&gt;=0,TRUE, FALSE)</f>
        <v>0</v>
      </c>
    </row>
    <row r="172" spans="1:13">
      <c r="A172">
        <v>42139</v>
      </c>
      <c r="B172" t="s">
        <v>332</v>
      </c>
      <c r="C172" t="s">
        <v>165</v>
      </c>
      <c r="D172" s="133">
        <v>22</v>
      </c>
      <c r="E172" s="133">
        <v>0</v>
      </c>
      <c r="F172" s="133">
        <v>24</v>
      </c>
      <c r="G172" s="133">
        <v>0</v>
      </c>
      <c r="H172" s="133">
        <v>0</v>
      </c>
      <c r="I172" s="133">
        <v>0</v>
      </c>
      <c r="J172" s="133">
        <v>0</v>
      </c>
      <c r="K172">
        <v>42116</v>
      </c>
      <c r="L172" s="133">
        <v>0</v>
      </c>
      <c r="M172" t="b">
        <f ca="1">IF(TODAY()-Table_Query_from_A_Readiness45[[#This Row],[PER_DATE]]&gt;=0,TRUE, FALSE)</f>
        <v>0</v>
      </c>
    </row>
    <row r="173" spans="1:13">
      <c r="A173">
        <v>42139</v>
      </c>
      <c r="B173" t="s">
        <v>332</v>
      </c>
      <c r="C173" t="s">
        <v>162</v>
      </c>
      <c r="D173" s="133">
        <v>22</v>
      </c>
      <c r="E173" s="133">
        <v>0</v>
      </c>
      <c r="F173" s="133">
        <v>24</v>
      </c>
      <c r="G173" s="133">
        <v>0</v>
      </c>
      <c r="H173" s="133">
        <v>0</v>
      </c>
      <c r="I173" s="133">
        <v>0</v>
      </c>
      <c r="J173" s="133">
        <v>0</v>
      </c>
      <c r="K173">
        <v>42116</v>
      </c>
      <c r="L173" s="133">
        <v>0</v>
      </c>
      <c r="M173" t="b">
        <f ca="1">IF(TODAY()-Table_Query_from_A_Readiness45[[#This Row],[PER_DATE]]&gt;=0,TRUE, FALSE)</f>
        <v>0</v>
      </c>
    </row>
    <row r="174" spans="1:13">
      <c r="A174">
        <v>42139</v>
      </c>
      <c r="B174" t="s">
        <v>332</v>
      </c>
      <c r="C174" t="s">
        <v>163</v>
      </c>
      <c r="D174" s="133">
        <v>22</v>
      </c>
      <c r="E174" s="133">
        <v>24</v>
      </c>
      <c r="F174" s="133">
        <v>0</v>
      </c>
      <c r="G174" s="133">
        <v>0</v>
      </c>
      <c r="H174" s="133">
        <v>0</v>
      </c>
      <c r="I174" s="133">
        <v>0</v>
      </c>
      <c r="J174" s="133">
        <v>0</v>
      </c>
      <c r="K174">
        <v>42116</v>
      </c>
      <c r="L174" s="133">
        <v>0</v>
      </c>
      <c r="M174" t="b">
        <f ca="1">IF(TODAY()-Table_Query_from_A_Readiness45[[#This Row],[PER_DATE]]&gt;=0,TRUE, FALSE)</f>
        <v>0</v>
      </c>
    </row>
    <row r="175" spans="1:13">
      <c r="A175">
        <v>42139</v>
      </c>
      <c r="B175" t="s">
        <v>332</v>
      </c>
      <c r="C175" t="s">
        <v>150</v>
      </c>
      <c r="D175" s="133">
        <v>22</v>
      </c>
      <c r="E175" s="133">
        <v>24</v>
      </c>
      <c r="F175" s="133">
        <v>0</v>
      </c>
      <c r="G175" s="133">
        <v>0</v>
      </c>
      <c r="H175" s="133">
        <v>0</v>
      </c>
      <c r="I175" s="133">
        <v>0</v>
      </c>
      <c r="J175" s="133">
        <v>0</v>
      </c>
      <c r="K175">
        <v>42116</v>
      </c>
      <c r="L175" s="133">
        <v>0</v>
      </c>
      <c r="M175" t="b">
        <f ca="1">IF(TODAY()-Table_Query_from_A_Readiness45[[#This Row],[PER_DATE]]&gt;=0,TRUE, FALSE)</f>
        <v>0</v>
      </c>
    </row>
    <row r="176" spans="1:13">
      <c r="A176">
        <v>42139</v>
      </c>
      <c r="B176" t="s">
        <v>332</v>
      </c>
      <c r="C176" t="s">
        <v>145</v>
      </c>
      <c r="D176" s="133">
        <v>22</v>
      </c>
      <c r="E176" s="133">
        <v>0</v>
      </c>
      <c r="F176" s="133">
        <v>0</v>
      </c>
      <c r="G176" s="133">
        <v>0</v>
      </c>
      <c r="H176" s="133">
        <v>0</v>
      </c>
      <c r="I176" s="133">
        <v>24</v>
      </c>
      <c r="J176" s="133">
        <v>0</v>
      </c>
      <c r="K176">
        <v>42116</v>
      </c>
      <c r="L176" s="133">
        <v>0</v>
      </c>
      <c r="M176" t="b">
        <f ca="1">IF(TODAY()-Table_Query_from_A_Readiness45[[#This Row],[PER_DATE]]&gt;=0,TRUE, FALSE)</f>
        <v>0</v>
      </c>
    </row>
    <row r="177" spans="1:13">
      <c r="A177">
        <v>42139</v>
      </c>
      <c r="B177" t="s">
        <v>332</v>
      </c>
      <c r="C177" t="s">
        <v>170</v>
      </c>
      <c r="D177" s="133">
        <v>22</v>
      </c>
      <c r="E177" s="133">
        <v>0</v>
      </c>
      <c r="F177" s="133">
        <v>0</v>
      </c>
      <c r="G177" s="133">
        <v>0</v>
      </c>
      <c r="H177" s="133">
        <v>24</v>
      </c>
      <c r="I177" s="133">
        <v>0</v>
      </c>
      <c r="J177" s="133">
        <v>0</v>
      </c>
      <c r="K177">
        <v>42116</v>
      </c>
      <c r="L177" s="133">
        <v>0</v>
      </c>
      <c r="M177" t="b">
        <f ca="1">IF(TODAY()-Table_Query_from_A_Readiness45[[#This Row],[PER_DATE]]&gt;=0,TRUE, FALSE)</f>
        <v>0</v>
      </c>
    </row>
    <row r="178" spans="1:13">
      <c r="A178">
        <v>42139</v>
      </c>
      <c r="B178" t="s">
        <v>332</v>
      </c>
      <c r="C178" t="s">
        <v>164</v>
      </c>
      <c r="D178" s="133">
        <v>23</v>
      </c>
      <c r="E178" s="133">
        <v>0</v>
      </c>
      <c r="F178" s="133">
        <v>24</v>
      </c>
      <c r="G178" s="133">
        <v>0</v>
      </c>
      <c r="H178" s="133">
        <v>0</v>
      </c>
      <c r="I178" s="133">
        <v>0</v>
      </c>
      <c r="J178" s="133">
        <v>0</v>
      </c>
      <c r="K178">
        <v>42117</v>
      </c>
      <c r="L178" s="133">
        <v>0</v>
      </c>
      <c r="M178" t="b">
        <f ca="1">IF(TODAY()-Table_Query_from_A_Readiness45[[#This Row],[PER_DATE]]&gt;=0,TRUE, FALSE)</f>
        <v>0</v>
      </c>
    </row>
    <row r="179" spans="1:13">
      <c r="A179">
        <v>42139</v>
      </c>
      <c r="B179" t="s">
        <v>332</v>
      </c>
      <c r="C179" t="s">
        <v>161</v>
      </c>
      <c r="D179" s="133">
        <v>23</v>
      </c>
      <c r="E179" s="133">
        <v>0</v>
      </c>
      <c r="F179" s="133">
        <v>0</v>
      </c>
      <c r="G179" s="133">
        <v>0</v>
      </c>
      <c r="H179" s="133">
        <v>0</v>
      </c>
      <c r="I179" s="133">
        <v>0</v>
      </c>
      <c r="J179" s="133">
        <v>0</v>
      </c>
      <c r="K179">
        <v>42117</v>
      </c>
      <c r="L179" s="133">
        <v>24</v>
      </c>
      <c r="M179" t="b">
        <f ca="1">IF(TODAY()-Table_Query_from_A_Readiness45[[#This Row],[PER_DATE]]&gt;=0,TRUE, FALSE)</f>
        <v>0</v>
      </c>
    </row>
    <row r="180" spans="1:13">
      <c r="A180">
        <v>42139</v>
      </c>
      <c r="B180" t="s">
        <v>332</v>
      </c>
      <c r="C180" t="s">
        <v>165</v>
      </c>
      <c r="D180" s="133">
        <v>23</v>
      </c>
      <c r="E180" s="133">
        <v>0</v>
      </c>
      <c r="F180" s="133">
        <v>24</v>
      </c>
      <c r="G180" s="133">
        <v>0</v>
      </c>
      <c r="H180" s="133">
        <v>0</v>
      </c>
      <c r="I180" s="133">
        <v>0</v>
      </c>
      <c r="J180" s="133">
        <v>0</v>
      </c>
      <c r="K180">
        <v>42117</v>
      </c>
      <c r="L180" s="133">
        <v>0</v>
      </c>
      <c r="M180" t="b">
        <f ca="1">IF(TODAY()-Table_Query_from_A_Readiness45[[#This Row],[PER_DATE]]&gt;=0,TRUE, FALSE)</f>
        <v>0</v>
      </c>
    </row>
    <row r="181" spans="1:13">
      <c r="A181">
        <v>42139</v>
      </c>
      <c r="B181" t="s">
        <v>332</v>
      </c>
      <c r="C181" t="s">
        <v>162</v>
      </c>
      <c r="D181" s="133">
        <v>23</v>
      </c>
      <c r="E181" s="133">
        <v>0</v>
      </c>
      <c r="F181" s="133">
        <v>24</v>
      </c>
      <c r="G181" s="133">
        <v>0</v>
      </c>
      <c r="H181" s="133">
        <v>0</v>
      </c>
      <c r="I181" s="133">
        <v>0</v>
      </c>
      <c r="J181" s="133">
        <v>0</v>
      </c>
      <c r="K181">
        <v>42117</v>
      </c>
      <c r="L181" s="133">
        <v>0</v>
      </c>
      <c r="M181" t="b">
        <f ca="1">IF(TODAY()-Table_Query_from_A_Readiness45[[#This Row],[PER_DATE]]&gt;=0,TRUE, FALSE)</f>
        <v>0</v>
      </c>
    </row>
    <row r="182" spans="1:13">
      <c r="A182">
        <v>42139</v>
      </c>
      <c r="B182" t="s">
        <v>332</v>
      </c>
      <c r="C182" t="s">
        <v>163</v>
      </c>
      <c r="D182" s="133">
        <v>23</v>
      </c>
      <c r="E182" s="133">
        <v>24</v>
      </c>
      <c r="F182" s="133">
        <v>0</v>
      </c>
      <c r="G182" s="133">
        <v>0</v>
      </c>
      <c r="H182" s="133">
        <v>0</v>
      </c>
      <c r="I182" s="133">
        <v>0</v>
      </c>
      <c r="J182" s="133">
        <v>0</v>
      </c>
      <c r="K182">
        <v>42117</v>
      </c>
      <c r="L182" s="133">
        <v>0</v>
      </c>
      <c r="M182" t="b">
        <f ca="1">IF(TODAY()-Table_Query_from_A_Readiness45[[#This Row],[PER_DATE]]&gt;=0,TRUE, FALSE)</f>
        <v>0</v>
      </c>
    </row>
    <row r="183" spans="1:13">
      <c r="A183">
        <v>42139</v>
      </c>
      <c r="B183" t="s">
        <v>332</v>
      </c>
      <c r="C183" t="s">
        <v>150</v>
      </c>
      <c r="D183" s="133">
        <v>23</v>
      </c>
      <c r="E183" s="133">
        <v>24</v>
      </c>
      <c r="F183" s="133">
        <v>0</v>
      </c>
      <c r="G183" s="133">
        <v>0</v>
      </c>
      <c r="H183" s="133">
        <v>0</v>
      </c>
      <c r="I183" s="133">
        <v>0</v>
      </c>
      <c r="J183" s="133">
        <v>0</v>
      </c>
      <c r="K183">
        <v>42117</v>
      </c>
      <c r="L183" s="133">
        <v>0</v>
      </c>
      <c r="M183" t="b">
        <f ca="1">IF(TODAY()-Table_Query_from_A_Readiness45[[#This Row],[PER_DATE]]&gt;=0,TRUE, FALSE)</f>
        <v>0</v>
      </c>
    </row>
    <row r="184" spans="1:13">
      <c r="A184">
        <v>42139</v>
      </c>
      <c r="B184" t="s">
        <v>332</v>
      </c>
      <c r="C184" t="s">
        <v>145</v>
      </c>
      <c r="D184" s="133">
        <v>23</v>
      </c>
      <c r="E184" s="133">
        <v>0</v>
      </c>
      <c r="F184" s="133">
        <v>0</v>
      </c>
      <c r="G184" s="133">
        <v>0</v>
      </c>
      <c r="H184" s="133">
        <v>0</v>
      </c>
      <c r="I184" s="133">
        <v>24</v>
      </c>
      <c r="J184" s="133">
        <v>0</v>
      </c>
      <c r="K184">
        <v>42117</v>
      </c>
      <c r="L184" s="133">
        <v>0</v>
      </c>
      <c r="M184" t="b">
        <f ca="1">IF(TODAY()-Table_Query_from_A_Readiness45[[#This Row],[PER_DATE]]&gt;=0,TRUE, FALSE)</f>
        <v>0</v>
      </c>
    </row>
    <row r="185" spans="1:13">
      <c r="A185">
        <v>42139</v>
      </c>
      <c r="B185" t="s">
        <v>332</v>
      </c>
      <c r="C185" t="s">
        <v>170</v>
      </c>
      <c r="D185" s="133">
        <v>23</v>
      </c>
      <c r="E185" s="133">
        <v>0</v>
      </c>
      <c r="F185" s="133">
        <v>0</v>
      </c>
      <c r="G185" s="133">
        <v>0</v>
      </c>
      <c r="H185" s="133">
        <v>24</v>
      </c>
      <c r="I185" s="133">
        <v>0</v>
      </c>
      <c r="J185" s="133">
        <v>0</v>
      </c>
      <c r="K185">
        <v>42117</v>
      </c>
      <c r="L185" s="133">
        <v>0</v>
      </c>
      <c r="M185" t="b">
        <f ca="1">IF(TODAY()-Table_Query_from_A_Readiness45[[#This Row],[PER_DATE]]&gt;=0,TRUE, FALSE)</f>
        <v>0</v>
      </c>
    </row>
    <row r="186" spans="1:13">
      <c r="A186">
        <v>42139</v>
      </c>
      <c r="B186" t="s">
        <v>332</v>
      </c>
      <c r="C186" t="s">
        <v>164</v>
      </c>
      <c r="D186" s="133">
        <v>24</v>
      </c>
      <c r="E186" s="133">
        <v>0</v>
      </c>
      <c r="F186" s="133">
        <v>24</v>
      </c>
      <c r="G186" s="133">
        <v>0</v>
      </c>
      <c r="H186" s="133">
        <v>0</v>
      </c>
      <c r="I186" s="133">
        <v>0</v>
      </c>
      <c r="J186" s="133">
        <v>0</v>
      </c>
      <c r="K186">
        <v>42118</v>
      </c>
      <c r="L186" s="133">
        <v>0</v>
      </c>
      <c r="M186" t="b">
        <f ca="1">IF(TODAY()-Table_Query_from_A_Readiness45[[#This Row],[PER_DATE]]&gt;=0,TRUE, FALSE)</f>
        <v>0</v>
      </c>
    </row>
    <row r="187" spans="1:13">
      <c r="A187">
        <v>42139</v>
      </c>
      <c r="B187" t="s">
        <v>332</v>
      </c>
      <c r="C187" t="s">
        <v>161</v>
      </c>
      <c r="D187" s="133">
        <v>24</v>
      </c>
      <c r="E187" s="133">
        <v>0</v>
      </c>
      <c r="F187" s="133">
        <v>0</v>
      </c>
      <c r="G187" s="133">
        <v>0</v>
      </c>
      <c r="H187" s="133">
        <v>0</v>
      </c>
      <c r="I187" s="133">
        <v>0</v>
      </c>
      <c r="J187" s="133">
        <v>0</v>
      </c>
      <c r="K187">
        <v>42118</v>
      </c>
      <c r="L187" s="133">
        <v>24</v>
      </c>
      <c r="M187" t="b">
        <f ca="1">IF(TODAY()-Table_Query_from_A_Readiness45[[#This Row],[PER_DATE]]&gt;=0,TRUE, FALSE)</f>
        <v>0</v>
      </c>
    </row>
    <row r="188" spans="1:13">
      <c r="A188">
        <v>42139</v>
      </c>
      <c r="B188" t="s">
        <v>332</v>
      </c>
      <c r="C188" t="s">
        <v>165</v>
      </c>
      <c r="D188" s="133">
        <v>24</v>
      </c>
      <c r="E188" s="133">
        <v>0</v>
      </c>
      <c r="F188" s="133">
        <v>24</v>
      </c>
      <c r="G188" s="133">
        <v>0</v>
      </c>
      <c r="H188" s="133">
        <v>0</v>
      </c>
      <c r="I188" s="133">
        <v>0</v>
      </c>
      <c r="J188" s="133">
        <v>0</v>
      </c>
      <c r="K188">
        <v>42118</v>
      </c>
      <c r="L188" s="133">
        <v>0</v>
      </c>
      <c r="M188" t="b">
        <f ca="1">IF(TODAY()-Table_Query_from_A_Readiness45[[#This Row],[PER_DATE]]&gt;=0,TRUE, FALSE)</f>
        <v>0</v>
      </c>
    </row>
    <row r="189" spans="1:13">
      <c r="A189">
        <v>42139</v>
      </c>
      <c r="B189" t="s">
        <v>332</v>
      </c>
      <c r="C189" t="s">
        <v>162</v>
      </c>
      <c r="D189" s="133">
        <v>24</v>
      </c>
      <c r="E189" s="133">
        <v>0</v>
      </c>
      <c r="F189" s="133">
        <v>24</v>
      </c>
      <c r="G189" s="133">
        <v>0</v>
      </c>
      <c r="H189" s="133">
        <v>0</v>
      </c>
      <c r="I189" s="133">
        <v>0</v>
      </c>
      <c r="J189" s="133">
        <v>0</v>
      </c>
      <c r="K189">
        <v>42118</v>
      </c>
      <c r="L189" s="133">
        <v>0</v>
      </c>
      <c r="M189" t="b">
        <f ca="1">IF(TODAY()-Table_Query_from_A_Readiness45[[#This Row],[PER_DATE]]&gt;=0,TRUE, FALSE)</f>
        <v>0</v>
      </c>
    </row>
    <row r="190" spans="1:13">
      <c r="A190">
        <v>42139</v>
      </c>
      <c r="B190" t="s">
        <v>332</v>
      </c>
      <c r="C190" t="s">
        <v>163</v>
      </c>
      <c r="D190" s="133">
        <v>24</v>
      </c>
      <c r="E190" s="133">
        <v>24</v>
      </c>
      <c r="F190" s="133">
        <v>0</v>
      </c>
      <c r="G190" s="133">
        <v>0</v>
      </c>
      <c r="H190" s="133">
        <v>0</v>
      </c>
      <c r="I190" s="133">
        <v>0</v>
      </c>
      <c r="J190" s="133">
        <v>0</v>
      </c>
      <c r="K190">
        <v>42118</v>
      </c>
      <c r="L190" s="133">
        <v>0</v>
      </c>
      <c r="M190" t="b">
        <f ca="1">IF(TODAY()-Table_Query_from_A_Readiness45[[#This Row],[PER_DATE]]&gt;=0,TRUE, FALSE)</f>
        <v>0</v>
      </c>
    </row>
    <row r="191" spans="1:13">
      <c r="A191">
        <v>42139</v>
      </c>
      <c r="B191" t="s">
        <v>332</v>
      </c>
      <c r="C191" t="s">
        <v>150</v>
      </c>
      <c r="D191" s="133">
        <v>24</v>
      </c>
      <c r="E191" s="133">
        <v>24</v>
      </c>
      <c r="F191" s="133">
        <v>0</v>
      </c>
      <c r="G191" s="133">
        <v>0</v>
      </c>
      <c r="H191" s="133">
        <v>0</v>
      </c>
      <c r="I191" s="133">
        <v>0</v>
      </c>
      <c r="J191" s="133">
        <v>0</v>
      </c>
      <c r="K191">
        <v>42118</v>
      </c>
      <c r="L191" s="133">
        <v>0</v>
      </c>
      <c r="M191" t="b">
        <f ca="1">IF(TODAY()-Table_Query_from_A_Readiness45[[#This Row],[PER_DATE]]&gt;=0,TRUE, FALSE)</f>
        <v>0</v>
      </c>
    </row>
    <row r="192" spans="1:13">
      <c r="A192">
        <v>42139</v>
      </c>
      <c r="B192" t="s">
        <v>332</v>
      </c>
      <c r="C192" t="s">
        <v>145</v>
      </c>
      <c r="D192" s="133">
        <v>24</v>
      </c>
      <c r="E192" s="133">
        <v>0</v>
      </c>
      <c r="F192" s="133">
        <v>0</v>
      </c>
      <c r="G192" s="133">
        <v>0</v>
      </c>
      <c r="H192" s="133">
        <v>0</v>
      </c>
      <c r="I192" s="133">
        <v>24</v>
      </c>
      <c r="J192" s="133">
        <v>0</v>
      </c>
      <c r="K192">
        <v>42118</v>
      </c>
      <c r="L192" s="133">
        <v>0</v>
      </c>
      <c r="M192" t="b">
        <f ca="1">IF(TODAY()-Table_Query_from_A_Readiness45[[#This Row],[PER_DATE]]&gt;=0,TRUE, FALSE)</f>
        <v>0</v>
      </c>
    </row>
    <row r="193" spans="1:13">
      <c r="A193">
        <v>42139</v>
      </c>
      <c r="B193" t="s">
        <v>332</v>
      </c>
      <c r="C193" t="s">
        <v>170</v>
      </c>
      <c r="D193" s="133">
        <v>24</v>
      </c>
      <c r="E193" s="133">
        <v>0</v>
      </c>
      <c r="F193" s="133">
        <v>0</v>
      </c>
      <c r="G193" s="133">
        <v>0</v>
      </c>
      <c r="H193" s="133">
        <v>24</v>
      </c>
      <c r="I193" s="133">
        <v>0</v>
      </c>
      <c r="J193" s="133">
        <v>0</v>
      </c>
      <c r="K193">
        <v>42118</v>
      </c>
      <c r="L193" s="133">
        <v>0</v>
      </c>
      <c r="M193" t="b">
        <f ca="1">IF(TODAY()-Table_Query_from_A_Readiness45[[#This Row],[PER_DATE]]&gt;=0,TRUE, FALSE)</f>
        <v>0</v>
      </c>
    </row>
    <row r="194" spans="1:13">
      <c r="A194">
        <v>42139</v>
      </c>
      <c r="B194" t="s">
        <v>332</v>
      </c>
      <c r="C194" t="s">
        <v>164</v>
      </c>
      <c r="D194" s="133">
        <v>25</v>
      </c>
      <c r="E194" s="133">
        <v>0</v>
      </c>
      <c r="F194" s="133">
        <v>24</v>
      </c>
      <c r="G194" s="133">
        <v>0</v>
      </c>
      <c r="H194" s="133">
        <v>0</v>
      </c>
      <c r="I194" s="133">
        <v>0</v>
      </c>
      <c r="J194" s="133">
        <v>0</v>
      </c>
      <c r="K194">
        <v>42119</v>
      </c>
      <c r="L194" s="133">
        <v>0</v>
      </c>
      <c r="M194" t="b">
        <f ca="1">IF(TODAY()-Table_Query_from_A_Readiness45[[#This Row],[PER_DATE]]&gt;=0,TRUE, FALSE)</f>
        <v>0</v>
      </c>
    </row>
    <row r="195" spans="1:13">
      <c r="A195">
        <v>42139</v>
      </c>
      <c r="B195" t="s">
        <v>332</v>
      </c>
      <c r="C195" t="s">
        <v>161</v>
      </c>
      <c r="D195" s="133">
        <v>25</v>
      </c>
      <c r="E195" s="133">
        <v>0</v>
      </c>
      <c r="F195" s="133">
        <v>0</v>
      </c>
      <c r="G195" s="133">
        <v>0</v>
      </c>
      <c r="H195" s="133">
        <v>0</v>
      </c>
      <c r="I195" s="133">
        <v>0</v>
      </c>
      <c r="J195" s="133">
        <v>0</v>
      </c>
      <c r="K195">
        <v>42119</v>
      </c>
      <c r="L195" s="133">
        <v>24</v>
      </c>
      <c r="M195" t="b">
        <f ca="1">IF(TODAY()-Table_Query_from_A_Readiness45[[#This Row],[PER_DATE]]&gt;=0,TRUE, FALSE)</f>
        <v>0</v>
      </c>
    </row>
    <row r="196" spans="1:13">
      <c r="A196">
        <v>42139</v>
      </c>
      <c r="B196" t="s">
        <v>332</v>
      </c>
      <c r="C196" t="s">
        <v>165</v>
      </c>
      <c r="D196" s="133">
        <v>25</v>
      </c>
      <c r="E196" s="133">
        <v>0</v>
      </c>
      <c r="F196" s="133">
        <v>24</v>
      </c>
      <c r="G196" s="133">
        <v>0</v>
      </c>
      <c r="H196" s="133">
        <v>0</v>
      </c>
      <c r="I196" s="133">
        <v>0</v>
      </c>
      <c r="J196" s="133">
        <v>0</v>
      </c>
      <c r="K196">
        <v>42119</v>
      </c>
      <c r="L196" s="133">
        <v>0</v>
      </c>
      <c r="M196" t="b">
        <f ca="1">IF(TODAY()-Table_Query_from_A_Readiness45[[#This Row],[PER_DATE]]&gt;=0,TRUE, FALSE)</f>
        <v>0</v>
      </c>
    </row>
    <row r="197" spans="1:13">
      <c r="A197">
        <v>42139</v>
      </c>
      <c r="B197" t="s">
        <v>332</v>
      </c>
      <c r="C197" t="s">
        <v>162</v>
      </c>
      <c r="D197" s="133">
        <v>25</v>
      </c>
      <c r="E197" s="133">
        <v>0</v>
      </c>
      <c r="F197" s="133">
        <v>24</v>
      </c>
      <c r="G197" s="133">
        <v>0</v>
      </c>
      <c r="H197" s="133">
        <v>0</v>
      </c>
      <c r="I197" s="133">
        <v>0</v>
      </c>
      <c r="J197" s="133">
        <v>0</v>
      </c>
      <c r="K197">
        <v>42119</v>
      </c>
      <c r="L197" s="133">
        <v>0</v>
      </c>
      <c r="M197" t="b">
        <f ca="1">IF(TODAY()-Table_Query_from_A_Readiness45[[#This Row],[PER_DATE]]&gt;=0,TRUE, FALSE)</f>
        <v>0</v>
      </c>
    </row>
    <row r="198" spans="1:13">
      <c r="A198">
        <v>42139</v>
      </c>
      <c r="B198" t="s">
        <v>332</v>
      </c>
      <c r="C198" t="s">
        <v>163</v>
      </c>
      <c r="D198" s="133">
        <v>25</v>
      </c>
      <c r="E198" s="133">
        <v>24</v>
      </c>
      <c r="F198" s="133">
        <v>0</v>
      </c>
      <c r="G198" s="133">
        <v>0</v>
      </c>
      <c r="H198" s="133">
        <v>0</v>
      </c>
      <c r="I198" s="133">
        <v>0</v>
      </c>
      <c r="J198" s="133">
        <v>0</v>
      </c>
      <c r="K198">
        <v>42119</v>
      </c>
      <c r="L198" s="133">
        <v>0</v>
      </c>
      <c r="M198" t="b">
        <f ca="1">IF(TODAY()-Table_Query_from_A_Readiness45[[#This Row],[PER_DATE]]&gt;=0,TRUE, FALSE)</f>
        <v>0</v>
      </c>
    </row>
    <row r="199" spans="1:13">
      <c r="A199">
        <v>42139</v>
      </c>
      <c r="B199" t="s">
        <v>332</v>
      </c>
      <c r="C199" t="s">
        <v>150</v>
      </c>
      <c r="D199" s="133">
        <v>25</v>
      </c>
      <c r="E199" s="133">
        <v>24</v>
      </c>
      <c r="F199" s="133">
        <v>0</v>
      </c>
      <c r="G199" s="133">
        <v>0</v>
      </c>
      <c r="H199" s="133">
        <v>0</v>
      </c>
      <c r="I199" s="133">
        <v>0</v>
      </c>
      <c r="J199" s="133">
        <v>0</v>
      </c>
      <c r="K199">
        <v>42119</v>
      </c>
      <c r="L199" s="133">
        <v>0</v>
      </c>
      <c r="M199" t="b">
        <f ca="1">IF(TODAY()-Table_Query_from_A_Readiness45[[#This Row],[PER_DATE]]&gt;=0,TRUE, FALSE)</f>
        <v>0</v>
      </c>
    </row>
    <row r="200" spans="1:13">
      <c r="A200">
        <v>42139</v>
      </c>
      <c r="B200" t="s">
        <v>332</v>
      </c>
      <c r="C200" t="s">
        <v>145</v>
      </c>
      <c r="D200" s="133">
        <v>25</v>
      </c>
      <c r="E200" s="133">
        <v>0</v>
      </c>
      <c r="F200" s="133">
        <v>0</v>
      </c>
      <c r="G200" s="133">
        <v>0</v>
      </c>
      <c r="H200" s="133">
        <v>0</v>
      </c>
      <c r="I200" s="133">
        <v>24</v>
      </c>
      <c r="J200" s="133">
        <v>0</v>
      </c>
      <c r="K200">
        <v>42119</v>
      </c>
      <c r="L200" s="133">
        <v>0</v>
      </c>
      <c r="M200" t="b">
        <f ca="1">IF(TODAY()-Table_Query_from_A_Readiness45[[#This Row],[PER_DATE]]&gt;=0,TRUE, FALSE)</f>
        <v>0</v>
      </c>
    </row>
    <row r="201" spans="1:13">
      <c r="A201">
        <v>42139</v>
      </c>
      <c r="B201" t="s">
        <v>332</v>
      </c>
      <c r="C201" t="s">
        <v>170</v>
      </c>
      <c r="D201" s="133">
        <v>25</v>
      </c>
      <c r="E201" s="133">
        <v>0</v>
      </c>
      <c r="F201" s="133">
        <v>0</v>
      </c>
      <c r="G201" s="133">
        <v>0</v>
      </c>
      <c r="H201" s="133">
        <v>24</v>
      </c>
      <c r="I201" s="133">
        <v>0</v>
      </c>
      <c r="J201" s="133">
        <v>0</v>
      </c>
      <c r="K201">
        <v>42119</v>
      </c>
      <c r="L201" s="133">
        <v>0</v>
      </c>
      <c r="M201" t="b">
        <f ca="1">IF(TODAY()-Table_Query_from_A_Readiness45[[#This Row],[PER_DATE]]&gt;=0,TRUE, FALSE)</f>
        <v>0</v>
      </c>
    </row>
    <row r="202" spans="1:13">
      <c r="A202">
        <v>42139</v>
      </c>
      <c r="B202" t="s">
        <v>332</v>
      </c>
      <c r="C202" t="s">
        <v>164</v>
      </c>
      <c r="D202" s="133">
        <v>26</v>
      </c>
      <c r="E202" s="133">
        <v>0</v>
      </c>
      <c r="F202" s="133">
        <v>24</v>
      </c>
      <c r="G202" s="133">
        <v>0</v>
      </c>
      <c r="H202" s="133">
        <v>0</v>
      </c>
      <c r="I202" s="133">
        <v>0</v>
      </c>
      <c r="J202" s="133">
        <v>0</v>
      </c>
      <c r="K202">
        <v>42120</v>
      </c>
      <c r="L202" s="133">
        <v>0</v>
      </c>
      <c r="M202" t="b">
        <f ca="1">IF(TODAY()-Table_Query_from_A_Readiness45[[#This Row],[PER_DATE]]&gt;=0,TRUE, FALSE)</f>
        <v>0</v>
      </c>
    </row>
    <row r="203" spans="1:13">
      <c r="A203">
        <v>42139</v>
      </c>
      <c r="B203" t="s">
        <v>332</v>
      </c>
      <c r="C203" t="s">
        <v>161</v>
      </c>
      <c r="D203" s="133">
        <v>26</v>
      </c>
      <c r="E203" s="133">
        <v>0</v>
      </c>
      <c r="F203" s="133">
        <v>0</v>
      </c>
      <c r="G203" s="133">
        <v>0</v>
      </c>
      <c r="H203" s="133">
        <v>0</v>
      </c>
      <c r="I203" s="133">
        <v>0</v>
      </c>
      <c r="J203" s="133">
        <v>0</v>
      </c>
      <c r="K203">
        <v>42120</v>
      </c>
      <c r="L203" s="133">
        <v>24</v>
      </c>
      <c r="M203" t="b">
        <f ca="1">IF(TODAY()-Table_Query_from_A_Readiness45[[#This Row],[PER_DATE]]&gt;=0,TRUE, FALSE)</f>
        <v>0</v>
      </c>
    </row>
    <row r="204" spans="1:13">
      <c r="A204">
        <v>42139</v>
      </c>
      <c r="B204" t="s">
        <v>332</v>
      </c>
      <c r="C204" t="s">
        <v>165</v>
      </c>
      <c r="D204" s="133">
        <v>26</v>
      </c>
      <c r="E204" s="133">
        <v>0</v>
      </c>
      <c r="F204" s="133">
        <v>24</v>
      </c>
      <c r="G204" s="133">
        <v>0</v>
      </c>
      <c r="H204" s="133">
        <v>0</v>
      </c>
      <c r="I204" s="133">
        <v>0</v>
      </c>
      <c r="J204" s="133">
        <v>0</v>
      </c>
      <c r="K204">
        <v>42120</v>
      </c>
      <c r="L204" s="133">
        <v>0</v>
      </c>
      <c r="M204" t="b">
        <f ca="1">IF(TODAY()-Table_Query_from_A_Readiness45[[#This Row],[PER_DATE]]&gt;=0,TRUE, FALSE)</f>
        <v>0</v>
      </c>
    </row>
    <row r="205" spans="1:13">
      <c r="A205">
        <v>42139</v>
      </c>
      <c r="B205" t="s">
        <v>332</v>
      </c>
      <c r="C205" t="s">
        <v>162</v>
      </c>
      <c r="D205" s="133">
        <v>26</v>
      </c>
      <c r="E205" s="133">
        <v>0</v>
      </c>
      <c r="F205" s="133">
        <v>24</v>
      </c>
      <c r="G205" s="133">
        <v>0</v>
      </c>
      <c r="H205" s="133">
        <v>0</v>
      </c>
      <c r="I205" s="133">
        <v>0</v>
      </c>
      <c r="J205" s="133">
        <v>0</v>
      </c>
      <c r="K205">
        <v>42120</v>
      </c>
      <c r="L205" s="133">
        <v>0</v>
      </c>
      <c r="M205" t="b">
        <f ca="1">IF(TODAY()-Table_Query_from_A_Readiness45[[#This Row],[PER_DATE]]&gt;=0,TRUE, FALSE)</f>
        <v>0</v>
      </c>
    </row>
    <row r="206" spans="1:13">
      <c r="A206">
        <v>42139</v>
      </c>
      <c r="B206" t="s">
        <v>332</v>
      </c>
      <c r="C206" t="s">
        <v>163</v>
      </c>
      <c r="D206" s="133">
        <v>26</v>
      </c>
      <c r="E206" s="133">
        <v>24</v>
      </c>
      <c r="F206" s="133">
        <v>0</v>
      </c>
      <c r="G206" s="133">
        <v>0</v>
      </c>
      <c r="H206" s="133">
        <v>0</v>
      </c>
      <c r="I206" s="133">
        <v>0</v>
      </c>
      <c r="J206" s="133">
        <v>0</v>
      </c>
      <c r="K206">
        <v>42120</v>
      </c>
      <c r="L206" s="133">
        <v>0</v>
      </c>
      <c r="M206" t="b">
        <f ca="1">IF(TODAY()-Table_Query_from_A_Readiness45[[#This Row],[PER_DATE]]&gt;=0,TRUE, FALSE)</f>
        <v>0</v>
      </c>
    </row>
    <row r="207" spans="1:13">
      <c r="A207">
        <v>42139</v>
      </c>
      <c r="B207" t="s">
        <v>332</v>
      </c>
      <c r="C207" t="s">
        <v>150</v>
      </c>
      <c r="D207" s="133">
        <v>26</v>
      </c>
      <c r="E207" s="133">
        <v>24</v>
      </c>
      <c r="F207" s="133">
        <v>0</v>
      </c>
      <c r="G207" s="133">
        <v>0</v>
      </c>
      <c r="H207" s="133">
        <v>0</v>
      </c>
      <c r="I207" s="133">
        <v>0</v>
      </c>
      <c r="J207" s="133">
        <v>0</v>
      </c>
      <c r="K207">
        <v>42120</v>
      </c>
      <c r="L207" s="133">
        <v>0</v>
      </c>
      <c r="M207" t="b">
        <f ca="1">IF(TODAY()-Table_Query_from_A_Readiness45[[#This Row],[PER_DATE]]&gt;=0,TRUE, FALSE)</f>
        <v>0</v>
      </c>
    </row>
    <row r="208" spans="1:13">
      <c r="A208">
        <v>42139</v>
      </c>
      <c r="B208" t="s">
        <v>332</v>
      </c>
      <c r="C208" t="s">
        <v>145</v>
      </c>
      <c r="D208" s="133">
        <v>26</v>
      </c>
      <c r="E208" s="133">
        <v>0</v>
      </c>
      <c r="F208" s="133">
        <v>0</v>
      </c>
      <c r="G208" s="133">
        <v>0</v>
      </c>
      <c r="H208" s="133">
        <v>0</v>
      </c>
      <c r="I208" s="133">
        <v>24</v>
      </c>
      <c r="J208" s="133">
        <v>0</v>
      </c>
      <c r="K208">
        <v>42120</v>
      </c>
      <c r="L208" s="133">
        <v>0</v>
      </c>
      <c r="M208" t="b">
        <f ca="1">IF(TODAY()-Table_Query_from_A_Readiness45[[#This Row],[PER_DATE]]&gt;=0,TRUE, FALSE)</f>
        <v>0</v>
      </c>
    </row>
    <row r="209" spans="1:13">
      <c r="A209">
        <v>42139</v>
      </c>
      <c r="B209" t="s">
        <v>332</v>
      </c>
      <c r="C209" t="s">
        <v>170</v>
      </c>
      <c r="D209" s="133">
        <v>26</v>
      </c>
      <c r="E209" s="133">
        <v>0</v>
      </c>
      <c r="F209" s="133">
        <v>0</v>
      </c>
      <c r="G209" s="133">
        <v>0</v>
      </c>
      <c r="H209" s="133">
        <v>24</v>
      </c>
      <c r="I209" s="133">
        <v>0</v>
      </c>
      <c r="J209" s="133">
        <v>0</v>
      </c>
      <c r="K209">
        <v>42120</v>
      </c>
      <c r="L209" s="133">
        <v>0</v>
      </c>
      <c r="M209" t="b">
        <f ca="1">IF(TODAY()-Table_Query_from_A_Readiness45[[#This Row],[PER_DATE]]&gt;=0,TRUE, FALSE)</f>
        <v>0</v>
      </c>
    </row>
    <row r="210" spans="1:13">
      <c r="A210">
        <v>42139</v>
      </c>
      <c r="B210" t="s">
        <v>332</v>
      </c>
      <c r="C210" t="s">
        <v>164</v>
      </c>
      <c r="D210" s="133">
        <v>27</v>
      </c>
      <c r="E210" s="133">
        <v>0</v>
      </c>
      <c r="F210" s="133">
        <v>24</v>
      </c>
      <c r="G210" s="133">
        <v>0</v>
      </c>
      <c r="H210" s="133">
        <v>0</v>
      </c>
      <c r="I210" s="133">
        <v>0</v>
      </c>
      <c r="J210" s="133">
        <v>0</v>
      </c>
      <c r="K210">
        <v>42121</v>
      </c>
      <c r="L210" s="133">
        <v>0</v>
      </c>
      <c r="M210" t="b">
        <f ca="1">IF(TODAY()-Table_Query_from_A_Readiness45[[#This Row],[PER_DATE]]&gt;=0,TRUE, FALSE)</f>
        <v>0</v>
      </c>
    </row>
    <row r="211" spans="1:13">
      <c r="A211">
        <v>42139</v>
      </c>
      <c r="B211" t="s">
        <v>332</v>
      </c>
      <c r="C211" t="s">
        <v>161</v>
      </c>
      <c r="D211" s="133">
        <v>27</v>
      </c>
      <c r="E211" s="133">
        <v>0</v>
      </c>
      <c r="F211" s="133">
        <v>0</v>
      </c>
      <c r="G211" s="133">
        <v>0</v>
      </c>
      <c r="H211" s="133">
        <v>0</v>
      </c>
      <c r="I211" s="133">
        <v>0</v>
      </c>
      <c r="J211" s="133">
        <v>0</v>
      </c>
      <c r="K211">
        <v>42121</v>
      </c>
      <c r="L211" s="133">
        <v>24</v>
      </c>
      <c r="M211" t="b">
        <f ca="1">IF(TODAY()-Table_Query_from_A_Readiness45[[#This Row],[PER_DATE]]&gt;=0,TRUE, FALSE)</f>
        <v>0</v>
      </c>
    </row>
    <row r="212" spans="1:13">
      <c r="A212">
        <v>42139</v>
      </c>
      <c r="B212" t="s">
        <v>332</v>
      </c>
      <c r="C212" t="s">
        <v>165</v>
      </c>
      <c r="D212" s="133">
        <v>27</v>
      </c>
      <c r="E212" s="133">
        <v>0</v>
      </c>
      <c r="F212" s="133">
        <v>24</v>
      </c>
      <c r="G212" s="133">
        <v>0</v>
      </c>
      <c r="H212" s="133">
        <v>0</v>
      </c>
      <c r="I212" s="133">
        <v>0</v>
      </c>
      <c r="J212" s="133">
        <v>0</v>
      </c>
      <c r="K212">
        <v>42121</v>
      </c>
      <c r="L212" s="133">
        <v>0</v>
      </c>
      <c r="M212" t="b">
        <f ca="1">IF(TODAY()-Table_Query_from_A_Readiness45[[#This Row],[PER_DATE]]&gt;=0,TRUE, FALSE)</f>
        <v>0</v>
      </c>
    </row>
    <row r="213" spans="1:13">
      <c r="A213">
        <v>42139</v>
      </c>
      <c r="B213" t="s">
        <v>332</v>
      </c>
      <c r="C213" t="s">
        <v>162</v>
      </c>
      <c r="D213" s="133">
        <v>27</v>
      </c>
      <c r="E213" s="133">
        <v>0</v>
      </c>
      <c r="F213" s="133">
        <v>24</v>
      </c>
      <c r="G213" s="133">
        <v>0</v>
      </c>
      <c r="H213" s="133">
        <v>0</v>
      </c>
      <c r="I213" s="133">
        <v>0</v>
      </c>
      <c r="J213" s="133">
        <v>0</v>
      </c>
      <c r="K213">
        <v>42121</v>
      </c>
      <c r="L213" s="133">
        <v>0</v>
      </c>
      <c r="M213" t="b">
        <f ca="1">IF(TODAY()-Table_Query_from_A_Readiness45[[#This Row],[PER_DATE]]&gt;=0,TRUE, FALSE)</f>
        <v>0</v>
      </c>
    </row>
    <row r="214" spans="1:13">
      <c r="A214">
        <v>42139</v>
      </c>
      <c r="B214" t="s">
        <v>332</v>
      </c>
      <c r="C214" t="s">
        <v>163</v>
      </c>
      <c r="D214" s="133">
        <v>27</v>
      </c>
      <c r="E214" s="133">
        <v>24</v>
      </c>
      <c r="F214" s="133">
        <v>0</v>
      </c>
      <c r="G214" s="133">
        <v>0</v>
      </c>
      <c r="H214" s="133">
        <v>0</v>
      </c>
      <c r="I214" s="133">
        <v>0</v>
      </c>
      <c r="J214" s="133">
        <v>0</v>
      </c>
      <c r="K214">
        <v>42121</v>
      </c>
      <c r="L214" s="133">
        <v>0</v>
      </c>
      <c r="M214" t="b">
        <f ca="1">IF(TODAY()-Table_Query_from_A_Readiness45[[#This Row],[PER_DATE]]&gt;=0,TRUE, FALSE)</f>
        <v>0</v>
      </c>
    </row>
    <row r="215" spans="1:13">
      <c r="A215">
        <v>42139</v>
      </c>
      <c r="B215" t="s">
        <v>332</v>
      </c>
      <c r="C215" t="s">
        <v>150</v>
      </c>
      <c r="D215" s="133">
        <v>27</v>
      </c>
      <c r="E215" s="133">
        <v>24</v>
      </c>
      <c r="F215" s="133">
        <v>0</v>
      </c>
      <c r="G215" s="133">
        <v>0</v>
      </c>
      <c r="H215" s="133">
        <v>0</v>
      </c>
      <c r="I215" s="133">
        <v>0</v>
      </c>
      <c r="J215" s="133">
        <v>0</v>
      </c>
      <c r="K215">
        <v>42121</v>
      </c>
      <c r="L215" s="133">
        <v>0</v>
      </c>
      <c r="M215" t="b">
        <f ca="1">IF(TODAY()-Table_Query_from_A_Readiness45[[#This Row],[PER_DATE]]&gt;=0,TRUE, FALSE)</f>
        <v>0</v>
      </c>
    </row>
    <row r="216" spans="1:13">
      <c r="A216">
        <v>42139</v>
      </c>
      <c r="B216" t="s">
        <v>332</v>
      </c>
      <c r="C216" t="s">
        <v>145</v>
      </c>
      <c r="D216" s="133">
        <v>27</v>
      </c>
      <c r="E216" s="133">
        <v>0</v>
      </c>
      <c r="F216" s="133">
        <v>0</v>
      </c>
      <c r="G216" s="133">
        <v>0</v>
      </c>
      <c r="H216" s="133">
        <v>0</v>
      </c>
      <c r="I216" s="133">
        <v>24</v>
      </c>
      <c r="J216" s="133">
        <v>0</v>
      </c>
      <c r="K216">
        <v>42121</v>
      </c>
      <c r="L216" s="133">
        <v>0</v>
      </c>
      <c r="M216" t="b">
        <f ca="1">IF(TODAY()-Table_Query_from_A_Readiness45[[#This Row],[PER_DATE]]&gt;=0,TRUE, FALSE)</f>
        <v>0</v>
      </c>
    </row>
    <row r="217" spans="1:13">
      <c r="A217">
        <v>42139</v>
      </c>
      <c r="B217" t="s">
        <v>332</v>
      </c>
      <c r="C217" t="s">
        <v>170</v>
      </c>
      <c r="D217" s="133">
        <v>27</v>
      </c>
      <c r="E217" s="133">
        <v>0</v>
      </c>
      <c r="F217" s="133">
        <v>0</v>
      </c>
      <c r="G217" s="133">
        <v>0</v>
      </c>
      <c r="H217" s="133">
        <v>24</v>
      </c>
      <c r="I217" s="133">
        <v>0</v>
      </c>
      <c r="J217" s="133">
        <v>0</v>
      </c>
      <c r="K217">
        <v>42121</v>
      </c>
      <c r="L217" s="133">
        <v>0</v>
      </c>
      <c r="M217" t="b">
        <f ca="1">IF(TODAY()-Table_Query_from_A_Readiness45[[#This Row],[PER_DATE]]&gt;=0,TRUE, FALSE)</f>
        <v>0</v>
      </c>
    </row>
    <row r="218" spans="1:13">
      <c r="A218">
        <v>42139</v>
      </c>
      <c r="B218" t="s">
        <v>332</v>
      </c>
      <c r="C218" t="s">
        <v>164</v>
      </c>
      <c r="D218" s="133">
        <v>28</v>
      </c>
      <c r="E218" s="133">
        <v>0</v>
      </c>
      <c r="F218" s="133">
        <v>24</v>
      </c>
      <c r="G218" s="133">
        <v>0</v>
      </c>
      <c r="H218" s="133">
        <v>0</v>
      </c>
      <c r="I218" s="133">
        <v>0</v>
      </c>
      <c r="J218" s="133">
        <v>0</v>
      </c>
      <c r="K218">
        <v>42122</v>
      </c>
      <c r="L218" s="133">
        <v>0</v>
      </c>
      <c r="M218" t="b">
        <f ca="1">IF(TODAY()-Table_Query_from_A_Readiness45[[#This Row],[PER_DATE]]&gt;=0,TRUE, FALSE)</f>
        <v>0</v>
      </c>
    </row>
    <row r="219" spans="1:13">
      <c r="A219">
        <v>42139</v>
      </c>
      <c r="B219" t="s">
        <v>332</v>
      </c>
      <c r="C219" t="s">
        <v>161</v>
      </c>
      <c r="D219" s="133">
        <v>28</v>
      </c>
      <c r="E219" s="133">
        <v>0</v>
      </c>
      <c r="F219" s="133">
        <v>0</v>
      </c>
      <c r="G219" s="133">
        <v>0</v>
      </c>
      <c r="H219" s="133">
        <v>0</v>
      </c>
      <c r="I219" s="133">
        <v>0</v>
      </c>
      <c r="J219" s="133">
        <v>0</v>
      </c>
      <c r="K219">
        <v>42122</v>
      </c>
      <c r="L219" s="133">
        <v>24</v>
      </c>
      <c r="M219" t="b">
        <f ca="1">IF(TODAY()-Table_Query_from_A_Readiness45[[#This Row],[PER_DATE]]&gt;=0,TRUE, FALSE)</f>
        <v>0</v>
      </c>
    </row>
    <row r="220" spans="1:13">
      <c r="A220">
        <v>42139</v>
      </c>
      <c r="B220" t="s">
        <v>332</v>
      </c>
      <c r="C220" t="s">
        <v>165</v>
      </c>
      <c r="D220" s="133">
        <v>28</v>
      </c>
      <c r="E220" s="133">
        <v>0</v>
      </c>
      <c r="F220" s="133">
        <v>24</v>
      </c>
      <c r="G220" s="133">
        <v>0</v>
      </c>
      <c r="H220" s="133">
        <v>0</v>
      </c>
      <c r="I220" s="133">
        <v>0</v>
      </c>
      <c r="J220" s="133">
        <v>0</v>
      </c>
      <c r="K220">
        <v>42122</v>
      </c>
      <c r="L220" s="133">
        <v>0</v>
      </c>
      <c r="M220" t="b">
        <f ca="1">IF(TODAY()-Table_Query_from_A_Readiness45[[#This Row],[PER_DATE]]&gt;=0,TRUE, FALSE)</f>
        <v>0</v>
      </c>
    </row>
    <row r="221" spans="1:13">
      <c r="A221">
        <v>42139</v>
      </c>
      <c r="B221" t="s">
        <v>332</v>
      </c>
      <c r="C221" t="s">
        <v>162</v>
      </c>
      <c r="D221" s="133">
        <v>28</v>
      </c>
      <c r="E221" s="133">
        <v>0</v>
      </c>
      <c r="F221" s="133">
        <v>24</v>
      </c>
      <c r="G221" s="133">
        <v>0</v>
      </c>
      <c r="H221" s="133">
        <v>0</v>
      </c>
      <c r="I221" s="133">
        <v>0</v>
      </c>
      <c r="J221" s="133">
        <v>0</v>
      </c>
      <c r="K221">
        <v>42122</v>
      </c>
      <c r="L221" s="133">
        <v>0</v>
      </c>
      <c r="M221" t="b">
        <f ca="1">IF(TODAY()-Table_Query_from_A_Readiness45[[#This Row],[PER_DATE]]&gt;=0,TRUE, FALSE)</f>
        <v>0</v>
      </c>
    </row>
    <row r="222" spans="1:13">
      <c r="A222">
        <v>42139</v>
      </c>
      <c r="B222" t="s">
        <v>332</v>
      </c>
      <c r="C222" t="s">
        <v>163</v>
      </c>
      <c r="D222" s="133">
        <v>28</v>
      </c>
      <c r="E222" s="133">
        <v>24</v>
      </c>
      <c r="F222" s="133">
        <v>0</v>
      </c>
      <c r="G222" s="133">
        <v>0</v>
      </c>
      <c r="H222" s="133">
        <v>0</v>
      </c>
      <c r="I222" s="133">
        <v>0</v>
      </c>
      <c r="J222" s="133">
        <v>0</v>
      </c>
      <c r="K222">
        <v>42122</v>
      </c>
      <c r="L222" s="133">
        <v>0</v>
      </c>
      <c r="M222" t="b">
        <f ca="1">IF(TODAY()-Table_Query_from_A_Readiness45[[#This Row],[PER_DATE]]&gt;=0,TRUE, FALSE)</f>
        <v>0</v>
      </c>
    </row>
    <row r="223" spans="1:13">
      <c r="A223">
        <v>42139</v>
      </c>
      <c r="B223" t="s">
        <v>332</v>
      </c>
      <c r="C223" t="s">
        <v>150</v>
      </c>
      <c r="D223" s="133">
        <v>28</v>
      </c>
      <c r="E223" s="133">
        <v>24</v>
      </c>
      <c r="F223" s="133">
        <v>0</v>
      </c>
      <c r="G223" s="133">
        <v>0</v>
      </c>
      <c r="H223" s="133">
        <v>0</v>
      </c>
      <c r="I223" s="133">
        <v>0</v>
      </c>
      <c r="J223" s="133">
        <v>0</v>
      </c>
      <c r="K223">
        <v>42122</v>
      </c>
      <c r="L223" s="133">
        <v>0</v>
      </c>
      <c r="M223" t="b">
        <f ca="1">IF(TODAY()-Table_Query_from_A_Readiness45[[#This Row],[PER_DATE]]&gt;=0,TRUE, FALSE)</f>
        <v>0</v>
      </c>
    </row>
    <row r="224" spans="1:13">
      <c r="A224">
        <v>42139</v>
      </c>
      <c r="B224" t="s">
        <v>332</v>
      </c>
      <c r="C224" t="s">
        <v>145</v>
      </c>
      <c r="D224" s="133">
        <v>28</v>
      </c>
      <c r="E224" s="133">
        <v>0</v>
      </c>
      <c r="F224" s="133">
        <v>0</v>
      </c>
      <c r="G224" s="133">
        <v>0</v>
      </c>
      <c r="H224" s="133">
        <v>0</v>
      </c>
      <c r="I224" s="133">
        <v>24</v>
      </c>
      <c r="J224" s="133">
        <v>0</v>
      </c>
      <c r="K224">
        <v>42122</v>
      </c>
      <c r="L224" s="133">
        <v>0</v>
      </c>
      <c r="M224" t="b">
        <f ca="1">IF(TODAY()-Table_Query_from_A_Readiness45[[#This Row],[PER_DATE]]&gt;=0,TRUE, FALSE)</f>
        <v>0</v>
      </c>
    </row>
    <row r="225" spans="1:13">
      <c r="A225">
        <v>42139</v>
      </c>
      <c r="B225" t="s">
        <v>332</v>
      </c>
      <c r="C225" t="s">
        <v>170</v>
      </c>
      <c r="D225" s="133">
        <v>28</v>
      </c>
      <c r="E225" s="133">
        <v>0</v>
      </c>
      <c r="F225" s="133">
        <v>0</v>
      </c>
      <c r="G225" s="133">
        <v>0</v>
      </c>
      <c r="H225" s="133">
        <v>24</v>
      </c>
      <c r="I225" s="133">
        <v>0</v>
      </c>
      <c r="J225" s="133">
        <v>0</v>
      </c>
      <c r="K225">
        <v>42122</v>
      </c>
      <c r="L225" s="133">
        <v>0</v>
      </c>
      <c r="M225" t="b">
        <f ca="1">IF(TODAY()-Table_Query_from_A_Readiness45[[#This Row],[PER_DATE]]&gt;=0,TRUE, FALSE)</f>
        <v>0</v>
      </c>
    </row>
    <row r="226" spans="1:13">
      <c r="A226">
        <v>42139</v>
      </c>
      <c r="B226" t="s">
        <v>332</v>
      </c>
      <c r="C226" t="s">
        <v>164</v>
      </c>
      <c r="D226" s="133">
        <v>29</v>
      </c>
      <c r="E226" s="133">
        <v>0</v>
      </c>
      <c r="F226" s="133">
        <v>24</v>
      </c>
      <c r="G226" s="133">
        <v>0</v>
      </c>
      <c r="H226" s="133">
        <v>0</v>
      </c>
      <c r="I226" s="133">
        <v>0</v>
      </c>
      <c r="J226" s="133">
        <v>0</v>
      </c>
      <c r="K226">
        <v>42123</v>
      </c>
      <c r="L226" s="133">
        <v>0</v>
      </c>
      <c r="M226" t="b">
        <f ca="1">IF(TODAY()-Table_Query_from_A_Readiness45[[#This Row],[PER_DATE]]&gt;=0,TRUE, FALSE)</f>
        <v>0</v>
      </c>
    </row>
    <row r="227" spans="1:13">
      <c r="A227">
        <v>42139</v>
      </c>
      <c r="B227" t="s">
        <v>332</v>
      </c>
      <c r="C227" t="s">
        <v>161</v>
      </c>
      <c r="D227" s="133">
        <v>29</v>
      </c>
      <c r="E227" s="133">
        <v>0</v>
      </c>
      <c r="F227" s="133">
        <v>0</v>
      </c>
      <c r="G227" s="133">
        <v>0</v>
      </c>
      <c r="H227" s="133">
        <v>0</v>
      </c>
      <c r="I227" s="133">
        <v>0</v>
      </c>
      <c r="J227" s="133">
        <v>0</v>
      </c>
      <c r="K227">
        <v>42123</v>
      </c>
      <c r="L227" s="133">
        <v>24</v>
      </c>
      <c r="M227" t="b">
        <f ca="1">IF(TODAY()-Table_Query_from_A_Readiness45[[#This Row],[PER_DATE]]&gt;=0,TRUE, FALSE)</f>
        <v>0</v>
      </c>
    </row>
    <row r="228" spans="1:13">
      <c r="A228">
        <v>42139</v>
      </c>
      <c r="B228" t="s">
        <v>332</v>
      </c>
      <c r="C228" t="s">
        <v>165</v>
      </c>
      <c r="D228" s="133">
        <v>29</v>
      </c>
      <c r="E228" s="133">
        <v>24</v>
      </c>
      <c r="F228" s="133">
        <v>0</v>
      </c>
      <c r="G228" s="133">
        <v>0</v>
      </c>
      <c r="H228" s="133">
        <v>0</v>
      </c>
      <c r="I228" s="133">
        <v>0</v>
      </c>
      <c r="J228" s="133">
        <v>0</v>
      </c>
      <c r="K228">
        <v>42123</v>
      </c>
      <c r="L228" s="133">
        <v>0</v>
      </c>
      <c r="M228" t="b">
        <f ca="1">IF(TODAY()-Table_Query_from_A_Readiness45[[#This Row],[PER_DATE]]&gt;=0,TRUE, FALSE)</f>
        <v>0</v>
      </c>
    </row>
    <row r="229" spans="1:13">
      <c r="A229">
        <v>42139</v>
      </c>
      <c r="B229" t="s">
        <v>332</v>
      </c>
      <c r="C229" t="s">
        <v>162</v>
      </c>
      <c r="D229" s="133">
        <v>29</v>
      </c>
      <c r="E229" s="133">
        <v>0</v>
      </c>
      <c r="F229" s="133">
        <v>24</v>
      </c>
      <c r="G229" s="133">
        <v>0</v>
      </c>
      <c r="H229" s="133">
        <v>0</v>
      </c>
      <c r="I229" s="133">
        <v>0</v>
      </c>
      <c r="J229" s="133">
        <v>0</v>
      </c>
      <c r="K229">
        <v>42123</v>
      </c>
      <c r="L229" s="133">
        <v>0</v>
      </c>
      <c r="M229" t="b">
        <f ca="1">IF(TODAY()-Table_Query_from_A_Readiness45[[#This Row],[PER_DATE]]&gt;=0,TRUE, FALSE)</f>
        <v>0</v>
      </c>
    </row>
    <row r="230" spans="1:13">
      <c r="A230">
        <v>42139</v>
      </c>
      <c r="B230" t="s">
        <v>332</v>
      </c>
      <c r="C230" t="s">
        <v>163</v>
      </c>
      <c r="D230" s="133">
        <v>29</v>
      </c>
      <c r="E230" s="133">
        <v>24</v>
      </c>
      <c r="F230" s="133">
        <v>0</v>
      </c>
      <c r="G230" s="133">
        <v>0</v>
      </c>
      <c r="H230" s="133">
        <v>0</v>
      </c>
      <c r="I230" s="133">
        <v>0</v>
      </c>
      <c r="J230" s="133">
        <v>0</v>
      </c>
      <c r="K230">
        <v>42123</v>
      </c>
      <c r="L230" s="133">
        <v>0</v>
      </c>
      <c r="M230" t="b">
        <f ca="1">IF(TODAY()-Table_Query_from_A_Readiness45[[#This Row],[PER_DATE]]&gt;=0,TRUE, FALSE)</f>
        <v>0</v>
      </c>
    </row>
    <row r="231" spans="1:13">
      <c r="A231">
        <v>42139</v>
      </c>
      <c r="B231" t="s">
        <v>332</v>
      </c>
      <c r="C231" t="s">
        <v>150</v>
      </c>
      <c r="D231" s="133">
        <v>29</v>
      </c>
      <c r="E231" s="133">
        <v>24</v>
      </c>
      <c r="F231" s="133">
        <v>0</v>
      </c>
      <c r="G231" s="133">
        <v>0</v>
      </c>
      <c r="H231" s="133">
        <v>0</v>
      </c>
      <c r="I231" s="133">
        <v>0</v>
      </c>
      <c r="J231" s="133">
        <v>0</v>
      </c>
      <c r="K231">
        <v>42123</v>
      </c>
      <c r="L231" s="133">
        <v>0</v>
      </c>
      <c r="M231" t="b">
        <f ca="1">IF(TODAY()-Table_Query_from_A_Readiness45[[#This Row],[PER_DATE]]&gt;=0,TRUE, FALSE)</f>
        <v>0</v>
      </c>
    </row>
    <row r="232" spans="1:13">
      <c r="A232">
        <v>42139</v>
      </c>
      <c r="B232" t="s">
        <v>332</v>
      </c>
      <c r="C232" t="s">
        <v>145</v>
      </c>
      <c r="D232" s="133">
        <v>29</v>
      </c>
      <c r="E232" s="133">
        <v>24</v>
      </c>
      <c r="F232" s="133">
        <v>0</v>
      </c>
      <c r="G232" s="133">
        <v>0</v>
      </c>
      <c r="H232" s="133">
        <v>0</v>
      </c>
      <c r="I232" s="133">
        <v>0</v>
      </c>
      <c r="J232" s="133">
        <v>0</v>
      </c>
      <c r="K232">
        <v>42123</v>
      </c>
      <c r="L232" s="133">
        <v>0</v>
      </c>
      <c r="M232" t="b">
        <f ca="1">IF(TODAY()-Table_Query_from_A_Readiness45[[#This Row],[PER_DATE]]&gt;=0,TRUE, FALSE)</f>
        <v>0</v>
      </c>
    </row>
    <row r="233" spans="1:13">
      <c r="A233">
        <v>42139</v>
      </c>
      <c r="B233" t="s">
        <v>332</v>
      </c>
      <c r="C233" t="s">
        <v>170</v>
      </c>
      <c r="D233" s="133">
        <v>29</v>
      </c>
      <c r="E233" s="133">
        <v>24</v>
      </c>
      <c r="F233" s="133">
        <v>0</v>
      </c>
      <c r="G233" s="133">
        <v>0</v>
      </c>
      <c r="H233" s="133">
        <v>0</v>
      </c>
      <c r="I233" s="133">
        <v>0</v>
      </c>
      <c r="J233" s="133">
        <v>0</v>
      </c>
      <c r="K233">
        <v>42123</v>
      </c>
      <c r="L233" s="133">
        <v>0</v>
      </c>
      <c r="M233" t="b">
        <f ca="1">IF(TODAY()-Table_Query_from_A_Readiness45[[#This Row],[PER_DATE]]&gt;=0,TRUE, FALSE)</f>
        <v>0</v>
      </c>
    </row>
    <row r="234" spans="1:13">
      <c r="A234">
        <v>42139</v>
      </c>
      <c r="B234" t="s">
        <v>332</v>
      </c>
      <c r="C234" t="s">
        <v>164</v>
      </c>
      <c r="D234" s="133">
        <v>30</v>
      </c>
      <c r="E234" s="133">
        <v>0</v>
      </c>
      <c r="F234" s="133">
        <v>24</v>
      </c>
      <c r="G234" s="133">
        <v>0</v>
      </c>
      <c r="H234" s="133">
        <v>0</v>
      </c>
      <c r="I234" s="133">
        <v>0</v>
      </c>
      <c r="J234" s="133">
        <v>0</v>
      </c>
      <c r="K234">
        <v>42124</v>
      </c>
      <c r="L234" s="133">
        <v>0</v>
      </c>
      <c r="M234" t="b">
        <f ca="1">IF(TODAY()-Table_Query_from_A_Readiness45[[#This Row],[PER_DATE]]&gt;=0,TRUE, FALSE)</f>
        <v>0</v>
      </c>
    </row>
    <row r="235" spans="1:13">
      <c r="A235">
        <v>42139</v>
      </c>
      <c r="B235" t="s">
        <v>332</v>
      </c>
      <c r="C235" t="s">
        <v>161</v>
      </c>
      <c r="D235" s="133">
        <v>30</v>
      </c>
      <c r="E235" s="133">
        <v>0</v>
      </c>
      <c r="F235" s="133">
        <v>0</v>
      </c>
      <c r="G235" s="133">
        <v>0</v>
      </c>
      <c r="H235" s="133">
        <v>0</v>
      </c>
      <c r="I235" s="133">
        <v>0</v>
      </c>
      <c r="J235" s="133">
        <v>0</v>
      </c>
      <c r="K235">
        <v>42124</v>
      </c>
      <c r="L235" s="133">
        <v>24</v>
      </c>
      <c r="M235" t="b">
        <f ca="1">IF(TODAY()-Table_Query_from_A_Readiness45[[#This Row],[PER_DATE]]&gt;=0,TRUE, FALSE)</f>
        <v>0</v>
      </c>
    </row>
    <row r="236" spans="1:13">
      <c r="A236">
        <v>42139</v>
      </c>
      <c r="B236" t="s">
        <v>332</v>
      </c>
      <c r="C236" t="s">
        <v>165</v>
      </c>
      <c r="D236" s="133">
        <v>30</v>
      </c>
      <c r="E236" s="133">
        <v>24</v>
      </c>
      <c r="F236" s="133">
        <v>0</v>
      </c>
      <c r="G236" s="133">
        <v>0</v>
      </c>
      <c r="H236" s="133">
        <v>0</v>
      </c>
      <c r="I236" s="133">
        <v>0</v>
      </c>
      <c r="J236" s="133">
        <v>0</v>
      </c>
      <c r="K236">
        <v>42124</v>
      </c>
      <c r="L236" s="133">
        <v>0</v>
      </c>
      <c r="M236" t="b">
        <f ca="1">IF(TODAY()-Table_Query_from_A_Readiness45[[#This Row],[PER_DATE]]&gt;=0,TRUE, FALSE)</f>
        <v>0</v>
      </c>
    </row>
    <row r="237" spans="1:13">
      <c r="A237">
        <v>42139</v>
      </c>
      <c r="B237" t="s">
        <v>332</v>
      </c>
      <c r="C237" t="s">
        <v>162</v>
      </c>
      <c r="D237" s="133">
        <v>30</v>
      </c>
      <c r="E237" s="133">
        <v>0</v>
      </c>
      <c r="F237" s="133">
        <v>24</v>
      </c>
      <c r="G237" s="133">
        <v>0</v>
      </c>
      <c r="H237" s="133">
        <v>0</v>
      </c>
      <c r="I237" s="133">
        <v>0</v>
      </c>
      <c r="J237" s="133">
        <v>0</v>
      </c>
      <c r="K237">
        <v>42124</v>
      </c>
      <c r="L237" s="133">
        <v>0</v>
      </c>
      <c r="M237" t="b">
        <f ca="1">IF(TODAY()-Table_Query_from_A_Readiness45[[#This Row],[PER_DATE]]&gt;=0,TRUE, FALSE)</f>
        <v>0</v>
      </c>
    </row>
    <row r="238" spans="1:13">
      <c r="A238">
        <v>42139</v>
      </c>
      <c r="B238" t="s">
        <v>332</v>
      </c>
      <c r="C238" t="s">
        <v>163</v>
      </c>
      <c r="D238" s="133">
        <v>30</v>
      </c>
      <c r="E238" s="133">
        <v>24</v>
      </c>
      <c r="F238" s="133">
        <v>0</v>
      </c>
      <c r="G238" s="133">
        <v>0</v>
      </c>
      <c r="H238" s="133">
        <v>0</v>
      </c>
      <c r="I238" s="133">
        <v>0</v>
      </c>
      <c r="J238" s="133">
        <v>0</v>
      </c>
      <c r="K238">
        <v>42124</v>
      </c>
      <c r="L238" s="133">
        <v>0</v>
      </c>
      <c r="M238" t="b">
        <f ca="1">IF(TODAY()-Table_Query_from_A_Readiness45[[#This Row],[PER_DATE]]&gt;=0,TRUE, FALSE)</f>
        <v>0</v>
      </c>
    </row>
    <row r="239" spans="1:13">
      <c r="A239">
        <v>42139</v>
      </c>
      <c r="B239" t="s">
        <v>332</v>
      </c>
      <c r="C239" t="s">
        <v>150</v>
      </c>
      <c r="D239" s="133">
        <v>30</v>
      </c>
      <c r="E239" s="133">
        <v>24</v>
      </c>
      <c r="F239" s="133">
        <v>0</v>
      </c>
      <c r="G239" s="133">
        <v>0</v>
      </c>
      <c r="H239" s="133">
        <v>0</v>
      </c>
      <c r="I239" s="133">
        <v>0</v>
      </c>
      <c r="J239" s="133">
        <v>0</v>
      </c>
      <c r="K239">
        <v>42124</v>
      </c>
      <c r="L239" s="133">
        <v>0</v>
      </c>
      <c r="M239" t="b">
        <f ca="1">IF(TODAY()-Table_Query_from_A_Readiness45[[#This Row],[PER_DATE]]&gt;=0,TRUE, FALSE)</f>
        <v>0</v>
      </c>
    </row>
    <row r="240" spans="1:13">
      <c r="A240">
        <v>42139</v>
      </c>
      <c r="B240" t="s">
        <v>332</v>
      </c>
      <c r="C240" t="s">
        <v>145</v>
      </c>
      <c r="D240" s="133">
        <v>30</v>
      </c>
      <c r="E240" s="133">
        <v>24</v>
      </c>
      <c r="F240" s="133">
        <v>0</v>
      </c>
      <c r="G240" s="133">
        <v>0</v>
      </c>
      <c r="H240" s="133">
        <v>0</v>
      </c>
      <c r="I240" s="133">
        <v>0</v>
      </c>
      <c r="J240" s="133">
        <v>0</v>
      </c>
      <c r="K240">
        <v>42124</v>
      </c>
      <c r="L240" s="133">
        <v>0</v>
      </c>
      <c r="M240" t="b">
        <f ca="1">IF(TODAY()-Table_Query_from_A_Readiness45[[#This Row],[PER_DATE]]&gt;=0,TRUE, FALSE)</f>
        <v>0</v>
      </c>
    </row>
    <row r="241" spans="1:13">
      <c r="A241">
        <v>42139</v>
      </c>
      <c r="B241" t="s">
        <v>332</v>
      </c>
      <c r="C241" t="s">
        <v>170</v>
      </c>
      <c r="D241" s="133">
        <v>30</v>
      </c>
      <c r="E241" s="133">
        <v>24</v>
      </c>
      <c r="F241" s="133">
        <v>0</v>
      </c>
      <c r="G241" s="133">
        <v>0</v>
      </c>
      <c r="H241" s="133">
        <v>0</v>
      </c>
      <c r="I241" s="133">
        <v>0</v>
      </c>
      <c r="J241" s="133">
        <v>0</v>
      </c>
      <c r="K241">
        <v>42124</v>
      </c>
      <c r="L241" s="133">
        <v>0</v>
      </c>
      <c r="M241" t="b">
        <f ca="1">IF(TODAY()-Table_Query_from_A_Readiness45[[#This Row],[PER_DATE]]&gt;=0,TRUE, FALSE)</f>
        <v>0</v>
      </c>
    </row>
    <row r="244" spans="1:13">
      <c r="E244" s="133">
        <f ca="1">SUMIF(Table_Query_from_A_Readiness45[[#All],[Past]],TRUE,Table_Query_from_A_Readiness45[[#All],[FMC]])</f>
        <v>0</v>
      </c>
      <c r="F244" s="133">
        <f ca="1">SUMIF(Table_Query_from_A_Readiness45[[#All],[Past]],TRUE,Table_Query_from_A_Readiness45[[#All],[PMCS]])</f>
        <v>565.6</v>
      </c>
      <c r="G244" s="133">
        <f ca="1">SUMIF(Table_Query_from_A_Readiness45[[#All],[Past]],TRUE,Table_Query_from_A_Readiness45[[#All],[PMCM]])</f>
        <v>0</v>
      </c>
      <c r="H244" s="133">
        <f ca="1">SUMIF(Table_Query_from_A_Readiness45[[#All],[Past]], TRUE, Table_Query_from_A_Readiness45[[#All],[NMCS]])</f>
        <v>131.6</v>
      </c>
      <c r="I244" s="133">
        <f ca="1">SUMIF(Table_Query_from_A_Readiness45[[#All],[Past]],TRUE,Table_Query_from_A_Readiness45[[#All],[NMCM_UNIT]])</f>
        <v>142.80000000000001</v>
      </c>
      <c r="J244" s="133">
        <f>SUM(Table_Query_from_A_Readiness45[[#All],[FLY_HOURS]])</f>
        <v>1</v>
      </c>
      <c r="L244" s="133">
        <f ca="1">SUMIF(Table_Query_from_A_Readiness45[[#All],[Past]],TRUE,Table_Query_from_A_Readiness45[[#All],[NMCM_DEP]])</f>
        <v>120</v>
      </c>
    </row>
    <row r="246" spans="1:13">
      <c r="E246" s="133">
        <f ca="1">SUM(E244:I244,L244)</f>
        <v>960</v>
      </c>
    </row>
  </sheetData>
  <pageMargins left="0.7" right="0.7" top="0.75" bottom="0.75" header="0.3" footer="0.3"/>
  <tableParts count="1">
    <tablePart r:id="rId1"/>
  </tableParts>
</worksheet>
</file>

<file path=xl/worksheets/sheet15.xml><?xml version="1.0" encoding="utf-8"?>
<worksheet xmlns="http://schemas.openxmlformats.org/spreadsheetml/2006/main" xmlns:r="http://schemas.openxmlformats.org/officeDocument/2006/relationships">
  <sheetPr codeName="Sheet15"/>
  <dimension ref="A1:G25"/>
  <sheetViews>
    <sheetView workbookViewId="0">
      <selection activeCell="M13" sqref="M13"/>
    </sheetView>
  </sheetViews>
  <sheetFormatPr defaultRowHeight="15"/>
  <cols>
    <col min="2" max="2" width="9.140625" style="249"/>
  </cols>
  <sheetData>
    <row r="1" spans="1:7">
      <c r="E1" s="375">
        <v>50</v>
      </c>
      <c r="F1" s="375">
        <v>55</v>
      </c>
      <c r="G1" s="375">
        <v>60</v>
      </c>
    </row>
    <row r="2" spans="1:7" ht="15" customHeight="1">
      <c r="A2" t="str">
        <f>RIGHT(Status!A13,3)</f>
        <v>042</v>
      </c>
      <c r="B2" s="377">
        <v>500</v>
      </c>
      <c r="E2" s="376">
        <v>500</v>
      </c>
      <c r="F2" s="376">
        <v>500</v>
      </c>
      <c r="G2" s="376">
        <v>500</v>
      </c>
    </row>
    <row r="3" spans="1:7" ht="15" customHeight="1">
      <c r="A3" t="str">
        <f>RIGHT(Status!A28,3)</f>
        <v>613</v>
      </c>
      <c r="B3" s="377">
        <v>500</v>
      </c>
      <c r="E3" s="376">
        <f t="shared" ref="E3:E24" si="0">E2-21.7</f>
        <v>478.3</v>
      </c>
      <c r="F3" s="376">
        <v>483.2</v>
      </c>
      <c r="G3" s="376">
        <v>488.1</v>
      </c>
    </row>
    <row r="4" spans="1:7" ht="15" customHeight="1">
      <c r="A4" t="str">
        <f>RIGHT(Status!A10,3)</f>
        <v>036</v>
      </c>
      <c r="B4" s="377">
        <v>500</v>
      </c>
      <c r="E4" s="376">
        <f t="shared" si="0"/>
        <v>456.6</v>
      </c>
      <c r="F4" s="376">
        <v>466.4</v>
      </c>
      <c r="G4" s="376">
        <v>476.2</v>
      </c>
    </row>
    <row r="5" spans="1:7" ht="15" customHeight="1">
      <c r="A5" t="str">
        <f>RIGHT(Status!A60,3)</f>
        <v>365</v>
      </c>
      <c r="B5" s="377">
        <v>500</v>
      </c>
      <c r="E5" s="376">
        <f t="shared" si="0"/>
        <v>434.9</v>
      </c>
      <c r="F5" s="376">
        <v>449.6</v>
      </c>
      <c r="G5" s="376">
        <v>464.3</v>
      </c>
    </row>
    <row r="6" spans="1:7" ht="15" customHeight="1">
      <c r="A6" t="str">
        <f>RIGHT(Status!A53,3)</f>
        <v>626</v>
      </c>
      <c r="B6" s="249">
        <f>Status!L53</f>
        <v>436</v>
      </c>
      <c r="E6" s="376">
        <f t="shared" si="0"/>
        <v>413.2</v>
      </c>
      <c r="F6" s="376">
        <v>432.8</v>
      </c>
      <c r="G6" s="376">
        <v>452.4</v>
      </c>
    </row>
    <row r="7" spans="1:7" ht="15" customHeight="1">
      <c r="A7" t="str">
        <f>RIGHT(Status!A35,3)</f>
        <v>037</v>
      </c>
      <c r="B7" s="249">
        <f>Status!L35</f>
        <v>424</v>
      </c>
      <c r="E7" s="376">
        <f t="shared" si="0"/>
        <v>391.5</v>
      </c>
      <c r="F7" s="376">
        <v>416</v>
      </c>
      <c r="G7" s="376">
        <v>440.5</v>
      </c>
    </row>
    <row r="8" spans="1:7" ht="15" customHeight="1">
      <c r="A8" t="str">
        <f>RIGHT(Status!A22,3)</f>
        <v>583</v>
      </c>
      <c r="B8" s="249">
        <f>Status!L22</f>
        <v>420</v>
      </c>
      <c r="E8" s="376">
        <f t="shared" si="0"/>
        <v>369.8</v>
      </c>
      <c r="F8" s="376">
        <v>399.2</v>
      </c>
      <c r="G8" s="376">
        <v>428.6</v>
      </c>
    </row>
    <row r="9" spans="1:7" ht="15" customHeight="1">
      <c r="A9" t="str">
        <f>RIGHT(Status!A44,3)</f>
        <v>595</v>
      </c>
      <c r="B9" s="249">
        <f>Status!L44</f>
        <v>408</v>
      </c>
      <c r="E9" s="376">
        <f t="shared" si="0"/>
        <v>348.1</v>
      </c>
      <c r="F9" s="376">
        <v>382.4</v>
      </c>
      <c r="G9" s="376">
        <v>416.7</v>
      </c>
    </row>
    <row r="10" spans="1:7" ht="15" customHeight="1">
      <c r="A10" t="str">
        <f>RIGHT(Status!A75,3)</f>
        <v>008</v>
      </c>
      <c r="B10" s="249">
        <f>Status!L75</f>
        <v>401</v>
      </c>
      <c r="E10" s="376">
        <f t="shared" si="0"/>
        <v>326.39999999999998</v>
      </c>
      <c r="F10" s="376">
        <v>365.6</v>
      </c>
      <c r="G10" s="376">
        <v>404.8</v>
      </c>
    </row>
    <row r="11" spans="1:7" ht="15" customHeight="1">
      <c r="A11" t="str">
        <f>RIGHT(Status!A66,3)</f>
        <v>039</v>
      </c>
      <c r="B11" s="249">
        <f>Status!L66</f>
        <v>379</v>
      </c>
      <c r="E11" s="376">
        <f t="shared" si="0"/>
        <v>304.7</v>
      </c>
      <c r="F11" s="376">
        <v>348.8</v>
      </c>
      <c r="G11" s="376">
        <v>392.9</v>
      </c>
    </row>
    <row r="12" spans="1:7" ht="15" customHeight="1">
      <c r="A12" t="str">
        <f>RIGHT(Status!A41,3)</f>
        <v>044</v>
      </c>
      <c r="B12" s="249">
        <f>Status!L41</f>
        <v>335</v>
      </c>
      <c r="E12" s="376">
        <f t="shared" si="0"/>
        <v>283</v>
      </c>
      <c r="F12" s="376">
        <v>332</v>
      </c>
      <c r="G12" s="376">
        <v>381</v>
      </c>
    </row>
    <row r="13" spans="1:7" ht="15" customHeight="1">
      <c r="A13" t="str">
        <f>RIGHT(Status!A47,3)</f>
        <v>598</v>
      </c>
      <c r="B13" s="249">
        <f>Status!L47</f>
        <v>289</v>
      </c>
      <c r="E13" s="376">
        <f t="shared" si="0"/>
        <v>261.3</v>
      </c>
      <c r="F13" s="376">
        <v>315.2</v>
      </c>
      <c r="G13" s="376">
        <v>369.1</v>
      </c>
    </row>
    <row r="14" spans="1:7" ht="15" customHeight="1">
      <c r="A14" t="str">
        <f>RIGHT(Status!A69,3)</f>
        <v>052</v>
      </c>
      <c r="B14" s="249">
        <f>Status!L69</f>
        <v>295</v>
      </c>
      <c r="E14" s="376">
        <f t="shared" si="0"/>
        <v>239.6</v>
      </c>
      <c r="F14" s="376">
        <v>293.5</v>
      </c>
      <c r="G14" s="376">
        <v>347.4</v>
      </c>
    </row>
    <row r="15" spans="1:7" ht="15" customHeight="1">
      <c r="A15" t="str">
        <f>RIGHT(Status!A57,3)</f>
        <v>187</v>
      </c>
      <c r="B15" s="249">
        <f>Status!L57</f>
        <v>294</v>
      </c>
      <c r="E15" s="376">
        <f t="shared" si="0"/>
        <v>217.9</v>
      </c>
      <c r="F15" s="376">
        <v>266.89999999999998</v>
      </c>
      <c r="G15" s="376">
        <v>315.89999999999998</v>
      </c>
    </row>
    <row r="16" spans="1:7" ht="15" customHeight="1">
      <c r="A16" t="str">
        <f>RIGHT(Status!A78,3)</f>
        <v>141</v>
      </c>
      <c r="B16" s="249">
        <f>Status!L78</f>
        <v>255</v>
      </c>
      <c r="E16" s="376">
        <f t="shared" si="0"/>
        <v>196.2</v>
      </c>
      <c r="F16" s="376">
        <v>240.3</v>
      </c>
      <c r="G16" s="376">
        <v>284.39999999999998</v>
      </c>
    </row>
    <row r="17" spans="1:7" ht="15" customHeight="1">
      <c r="A17" t="str">
        <f>RIGHT(Status!A7,3)</f>
        <v>298</v>
      </c>
      <c r="B17" s="423">
        <f>Status!L7</f>
        <v>189</v>
      </c>
      <c r="E17" s="376">
        <f t="shared" si="0"/>
        <v>174.5</v>
      </c>
      <c r="F17" s="376">
        <v>213.7</v>
      </c>
      <c r="G17" s="376">
        <v>252.9</v>
      </c>
    </row>
    <row r="18" spans="1:7" ht="15" customHeight="1">
      <c r="A18" t="str">
        <f>RIGHT(Status!A50,3)</f>
        <v>615</v>
      </c>
      <c r="B18" s="249">
        <f>Status!L50</f>
        <v>170</v>
      </c>
      <c r="E18" s="376">
        <f t="shared" si="0"/>
        <v>152.80000000000001</v>
      </c>
      <c r="F18" s="376">
        <v>187.1</v>
      </c>
      <c r="G18" s="376">
        <v>221.4</v>
      </c>
    </row>
    <row r="19" spans="1:7" ht="15" customHeight="1">
      <c r="A19" t="str">
        <f>RIGHT(Status!A72,3)</f>
        <v>575</v>
      </c>
      <c r="B19" s="249">
        <f>Status!L72</f>
        <v>169</v>
      </c>
      <c r="E19" s="376">
        <f t="shared" si="0"/>
        <v>131.1</v>
      </c>
      <c r="F19" s="376">
        <v>160.5</v>
      </c>
      <c r="G19" s="376">
        <v>189.9</v>
      </c>
    </row>
    <row r="20" spans="1:7" ht="15" customHeight="1">
      <c r="A20" t="str">
        <f>RIGHT(Status!A63,3)</f>
        <v>383</v>
      </c>
      <c r="B20" s="249">
        <f>Status!L63</f>
        <v>148</v>
      </c>
      <c r="E20" s="376">
        <f t="shared" si="0"/>
        <v>109.4</v>
      </c>
      <c r="F20" s="376">
        <v>133.9</v>
      </c>
      <c r="G20" s="376">
        <v>158.4</v>
      </c>
    </row>
    <row r="21" spans="1:7" ht="15" customHeight="1">
      <c r="A21" t="str">
        <f>RIGHT(Status!A16,3)</f>
        <v>051</v>
      </c>
      <c r="B21" s="249">
        <f>Status!L16</f>
        <v>146</v>
      </c>
      <c r="E21" s="376">
        <f t="shared" si="0"/>
        <v>87.7</v>
      </c>
      <c r="F21" s="376">
        <v>107.3</v>
      </c>
      <c r="G21" s="376">
        <v>126.9</v>
      </c>
    </row>
    <row r="22" spans="1:7" ht="15" customHeight="1">
      <c r="A22" t="str">
        <f>RIGHT(Status!A19,3)</f>
        <v>582</v>
      </c>
      <c r="B22" s="249">
        <f>Status!L19</f>
        <v>73</v>
      </c>
      <c r="E22" s="376">
        <f t="shared" si="0"/>
        <v>66</v>
      </c>
      <c r="F22" s="376">
        <v>80.700000000000202</v>
      </c>
      <c r="G22" s="376">
        <v>95.400000000000205</v>
      </c>
    </row>
    <row r="23" spans="1:7" ht="15" customHeight="1">
      <c r="A23" t="str">
        <f>RIGHT(Status!A38,3)</f>
        <v>041</v>
      </c>
      <c r="B23" s="249">
        <f>Status!L38</f>
        <v>74</v>
      </c>
      <c r="E23" s="376">
        <f t="shared" si="0"/>
        <v>44.3</v>
      </c>
      <c r="F23" s="376">
        <v>54.1000000000002</v>
      </c>
      <c r="G23" s="376">
        <v>63.900000000000198</v>
      </c>
    </row>
    <row r="24" spans="1:7" ht="15" customHeight="1">
      <c r="A24" t="str">
        <f>RIGHT(Status!A32,3)</f>
        <v>524</v>
      </c>
      <c r="B24" s="249">
        <f>Status!L32</f>
        <v>50</v>
      </c>
      <c r="E24" s="376">
        <f t="shared" si="0"/>
        <v>22.6</v>
      </c>
      <c r="F24" s="376">
        <v>27.500000000000199</v>
      </c>
      <c r="G24" s="376">
        <v>32.400000000000198</v>
      </c>
    </row>
    <row r="25" spans="1:7" ht="15" customHeight="1">
      <c r="A25" t="str">
        <f>RIGHT(Status!A25,3)</f>
        <v>585</v>
      </c>
      <c r="B25" s="249">
        <f>Status!L25</f>
        <v>27</v>
      </c>
      <c r="E25" s="376">
        <v>0</v>
      </c>
      <c r="F25" s="376">
        <v>0</v>
      </c>
      <c r="G25" s="376">
        <v>0</v>
      </c>
    </row>
  </sheetData>
  <sortState ref="A2:B25">
    <sortCondition descending="1" ref="B2:B25"/>
  </sortState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>
  <sheetPr codeName="Sheet16"/>
  <dimension ref="A1:P21"/>
  <sheetViews>
    <sheetView workbookViewId="0">
      <selection activeCell="D9" sqref="D9"/>
    </sheetView>
  </sheetViews>
  <sheetFormatPr defaultRowHeight="15"/>
  <cols>
    <col min="1" max="1" width="10.42578125" bestFit="1" customWidth="1"/>
    <col min="2" max="2" width="13.85546875" bestFit="1" customWidth="1"/>
    <col min="4" max="4" width="10.140625" bestFit="1" customWidth="1"/>
    <col min="5" max="5" width="14.5703125" bestFit="1" customWidth="1"/>
    <col min="7" max="7" width="10.140625" bestFit="1" customWidth="1"/>
    <col min="8" max="8" width="13.5703125" bestFit="1" customWidth="1"/>
    <col min="11" max="11" width="14.5703125" bestFit="1" customWidth="1"/>
    <col min="13" max="13" width="10.140625" bestFit="1" customWidth="1"/>
    <col min="14" max="14" width="12.7109375" bestFit="1" customWidth="1"/>
  </cols>
  <sheetData>
    <row r="1" spans="1:16" s="248" customFormat="1" ht="30" customHeight="1" thickTop="1" thickBot="1">
      <c r="A1" s="442"/>
      <c r="B1" s="858" t="s">
        <v>448</v>
      </c>
      <c r="C1" s="859"/>
      <c r="D1" s="860"/>
      <c r="E1" s="859" t="s">
        <v>445</v>
      </c>
      <c r="F1" s="859"/>
      <c r="G1" s="860"/>
      <c r="H1" s="861" t="s">
        <v>446</v>
      </c>
      <c r="I1" s="862"/>
      <c r="J1" s="863"/>
      <c r="K1" s="858" t="s">
        <v>447</v>
      </c>
      <c r="L1" s="859"/>
      <c r="M1" s="860"/>
      <c r="N1" s="858" t="s">
        <v>449</v>
      </c>
      <c r="O1" s="859"/>
      <c r="P1" s="860"/>
    </row>
    <row r="2" spans="1:16" s="248" customFormat="1" ht="46.5" thickTop="1" thickBot="1">
      <c r="A2" s="442"/>
      <c r="B2" s="443" t="s">
        <v>442</v>
      </c>
      <c r="C2" s="444" t="s">
        <v>443</v>
      </c>
      <c r="D2" s="445" t="s">
        <v>444</v>
      </c>
      <c r="E2" s="443" t="s">
        <v>442</v>
      </c>
      <c r="F2" s="444" t="s">
        <v>443</v>
      </c>
      <c r="G2" s="445" t="s">
        <v>444</v>
      </c>
      <c r="H2" s="446" t="s">
        <v>442</v>
      </c>
      <c r="I2" s="447" t="s">
        <v>443</v>
      </c>
      <c r="J2" s="448" t="s">
        <v>444</v>
      </c>
      <c r="K2" s="443" t="s">
        <v>442</v>
      </c>
      <c r="L2" s="444" t="s">
        <v>443</v>
      </c>
      <c r="M2" s="445" t="s">
        <v>444</v>
      </c>
      <c r="N2" s="443" t="s">
        <v>442</v>
      </c>
      <c r="O2" s="444" t="s">
        <v>443</v>
      </c>
      <c r="P2" s="445" t="s">
        <v>444</v>
      </c>
    </row>
    <row r="3" spans="1:16" ht="15.75" thickTop="1">
      <c r="A3" s="449" t="s">
        <v>431</v>
      </c>
      <c r="B3" s="450">
        <v>331204.25</v>
      </c>
      <c r="C3" s="451">
        <v>219.3</v>
      </c>
      <c r="D3" s="452">
        <f>B3/C3</f>
        <v>1510.28</v>
      </c>
      <c r="E3" s="450">
        <v>1989695.34</v>
      </c>
      <c r="F3" s="451">
        <v>346.2</v>
      </c>
      <c r="G3" s="452">
        <f>E3/F3</f>
        <v>5747.24</v>
      </c>
      <c r="H3" s="450">
        <v>316982.48</v>
      </c>
      <c r="I3" s="451">
        <v>296.3</v>
      </c>
      <c r="J3" s="452">
        <f>H3/I3</f>
        <v>1069.8</v>
      </c>
      <c r="K3" s="450">
        <v>1141801.3600000001</v>
      </c>
      <c r="L3" s="451">
        <v>114.4</v>
      </c>
      <c r="M3" s="452">
        <f>K3/L3</f>
        <v>9980.7800000000007</v>
      </c>
      <c r="N3" s="450">
        <v>596519.47</v>
      </c>
      <c r="O3" s="453" t="s">
        <v>290</v>
      </c>
      <c r="P3" s="454" t="s">
        <v>290</v>
      </c>
    </row>
    <row r="4" spans="1:16">
      <c r="A4" s="455" t="s">
        <v>432</v>
      </c>
      <c r="B4" s="456">
        <v>633543.73</v>
      </c>
      <c r="C4" s="457">
        <v>120.3</v>
      </c>
      <c r="D4" s="458">
        <f t="shared" ref="D4:D13" si="0">B4/C4</f>
        <v>5266.37</v>
      </c>
      <c r="E4" s="456">
        <v>602170.34</v>
      </c>
      <c r="F4" s="457">
        <v>506.4</v>
      </c>
      <c r="G4" s="458">
        <f t="shared" ref="G4:G13" si="1">E4/F4</f>
        <v>1189.1199999999999</v>
      </c>
      <c r="H4" s="456">
        <v>871138.84</v>
      </c>
      <c r="I4" s="457">
        <v>322.3</v>
      </c>
      <c r="J4" s="458">
        <f t="shared" ref="J4:J13" si="2">H4/I4</f>
        <v>2702.88</v>
      </c>
      <c r="K4" s="456">
        <v>1954498.43</v>
      </c>
      <c r="L4" s="457">
        <v>229.4</v>
      </c>
      <c r="M4" s="458">
        <f t="shared" ref="M4:M13" si="3">K4/L4</f>
        <v>8520.0499999999993</v>
      </c>
      <c r="N4" s="456">
        <v>271068.14</v>
      </c>
      <c r="O4" s="459" t="s">
        <v>290</v>
      </c>
      <c r="P4" s="460" t="s">
        <v>290</v>
      </c>
    </row>
    <row r="5" spans="1:16">
      <c r="A5" s="455" t="s">
        <v>433</v>
      </c>
      <c r="B5" s="456">
        <v>2321932.14</v>
      </c>
      <c r="C5" s="457">
        <v>294.3</v>
      </c>
      <c r="D5" s="458">
        <f t="shared" si="0"/>
        <v>7889.68</v>
      </c>
      <c r="E5" s="456">
        <v>525229.39</v>
      </c>
      <c r="F5" s="457">
        <v>610.79999999999995</v>
      </c>
      <c r="G5" s="458">
        <f t="shared" si="1"/>
        <v>859.9</v>
      </c>
      <c r="H5" s="456">
        <v>82784.28</v>
      </c>
      <c r="I5" s="457">
        <v>391.1</v>
      </c>
      <c r="J5" s="458">
        <f t="shared" si="2"/>
        <v>211.67</v>
      </c>
      <c r="K5" s="456">
        <v>1185290.77</v>
      </c>
      <c r="L5" s="457">
        <v>300.10000000000002</v>
      </c>
      <c r="M5" s="458">
        <f t="shared" si="3"/>
        <v>3949.65</v>
      </c>
      <c r="N5" s="456">
        <v>143093.64000000001</v>
      </c>
      <c r="O5" s="459" t="s">
        <v>290</v>
      </c>
      <c r="P5" s="460" t="s">
        <v>290</v>
      </c>
    </row>
    <row r="6" spans="1:16">
      <c r="A6" s="455" t="s">
        <v>434</v>
      </c>
      <c r="B6" s="456">
        <v>381292.17</v>
      </c>
      <c r="C6" s="457">
        <v>199</v>
      </c>
      <c r="D6" s="458">
        <f t="shared" si="0"/>
        <v>1916.04</v>
      </c>
      <c r="E6" s="456">
        <v>4665280.1100000003</v>
      </c>
      <c r="F6" s="457">
        <v>312.2</v>
      </c>
      <c r="G6" s="458">
        <f t="shared" si="1"/>
        <v>14943.24</v>
      </c>
      <c r="H6" s="456">
        <v>1502770.19</v>
      </c>
      <c r="I6" s="457">
        <v>214.5</v>
      </c>
      <c r="J6" s="458">
        <f t="shared" si="2"/>
        <v>7005.92</v>
      </c>
      <c r="K6" s="456">
        <v>2843732.12</v>
      </c>
      <c r="L6" s="457">
        <v>164.4</v>
      </c>
      <c r="M6" s="458">
        <f t="shared" si="3"/>
        <v>17297.64</v>
      </c>
      <c r="N6" s="456">
        <v>520557.83</v>
      </c>
      <c r="O6" s="459" t="s">
        <v>290</v>
      </c>
      <c r="P6" s="460" t="s">
        <v>290</v>
      </c>
    </row>
    <row r="7" spans="1:16">
      <c r="A7" s="455" t="s">
        <v>436</v>
      </c>
      <c r="B7" s="456">
        <v>3018416.16</v>
      </c>
      <c r="C7" s="457">
        <v>701.9</v>
      </c>
      <c r="D7" s="458">
        <f t="shared" si="0"/>
        <v>4300.3500000000004</v>
      </c>
      <c r="E7" s="456">
        <v>2321983.61</v>
      </c>
      <c r="F7" s="457">
        <v>784.2</v>
      </c>
      <c r="G7" s="458">
        <f t="shared" si="1"/>
        <v>2960.96</v>
      </c>
      <c r="H7" s="456">
        <v>2792541.32</v>
      </c>
      <c r="I7" s="457">
        <v>567</v>
      </c>
      <c r="J7" s="458">
        <f t="shared" si="2"/>
        <v>4925.12</v>
      </c>
      <c r="K7" s="456">
        <v>4653050.08</v>
      </c>
      <c r="L7" s="457">
        <v>260.3</v>
      </c>
      <c r="M7" s="458">
        <f t="shared" si="3"/>
        <v>17875.72</v>
      </c>
      <c r="N7" s="456">
        <v>472450.07</v>
      </c>
      <c r="O7" s="459" t="s">
        <v>290</v>
      </c>
      <c r="P7" s="460" t="s">
        <v>290</v>
      </c>
    </row>
    <row r="8" spans="1:16">
      <c r="A8" s="455" t="s">
        <v>435</v>
      </c>
      <c r="B8" s="456">
        <v>2160571.4700000002</v>
      </c>
      <c r="C8" s="457">
        <v>155.4</v>
      </c>
      <c r="D8" s="458">
        <f t="shared" si="0"/>
        <v>13903.29</v>
      </c>
      <c r="E8" s="456">
        <v>1122800.93</v>
      </c>
      <c r="F8" s="457">
        <v>379.8</v>
      </c>
      <c r="G8" s="458">
        <f t="shared" si="1"/>
        <v>2956.3</v>
      </c>
      <c r="H8" s="456">
        <v>1274382.5900000001</v>
      </c>
      <c r="I8" s="457">
        <v>402.6</v>
      </c>
      <c r="J8" s="458">
        <f t="shared" si="2"/>
        <v>3165.38</v>
      </c>
      <c r="K8" s="456">
        <v>2374114.84</v>
      </c>
      <c r="L8" s="457">
        <v>344</v>
      </c>
      <c r="M8" s="458">
        <f t="shared" si="3"/>
        <v>6901.5</v>
      </c>
      <c r="N8" s="456">
        <v>855378.07</v>
      </c>
      <c r="O8" s="459" t="s">
        <v>290</v>
      </c>
      <c r="P8" s="460" t="s">
        <v>290</v>
      </c>
    </row>
    <row r="9" spans="1:16">
      <c r="A9" s="455" t="s">
        <v>437</v>
      </c>
      <c r="B9" s="456">
        <v>832365.41</v>
      </c>
      <c r="C9" s="457">
        <f>Status!Z83</f>
        <v>518.1</v>
      </c>
      <c r="D9" s="458">
        <f t="shared" si="0"/>
        <v>1606.57</v>
      </c>
      <c r="E9" s="456">
        <v>39961.71</v>
      </c>
      <c r="F9" s="457"/>
      <c r="G9" s="458" t="e">
        <f t="shared" si="1"/>
        <v>#DIV/0!</v>
      </c>
      <c r="H9" s="456">
        <v>109203.57</v>
      </c>
      <c r="I9" s="457"/>
      <c r="J9" s="458" t="e">
        <f t="shared" si="2"/>
        <v>#DIV/0!</v>
      </c>
      <c r="K9" s="456">
        <v>216049.97</v>
      </c>
      <c r="L9" s="457"/>
      <c r="M9" s="458" t="e">
        <f t="shared" si="3"/>
        <v>#DIV/0!</v>
      </c>
      <c r="N9" s="456">
        <v>122816.9</v>
      </c>
      <c r="O9" s="459" t="s">
        <v>290</v>
      </c>
      <c r="P9" s="460" t="s">
        <v>290</v>
      </c>
    </row>
    <row r="10" spans="1:16">
      <c r="A10" s="455" t="s">
        <v>438</v>
      </c>
      <c r="B10" s="456"/>
      <c r="C10" s="457"/>
      <c r="D10" s="458" t="e">
        <f t="shared" si="0"/>
        <v>#DIV/0!</v>
      </c>
      <c r="E10" s="456"/>
      <c r="F10" s="457"/>
      <c r="G10" s="458" t="e">
        <f t="shared" si="1"/>
        <v>#DIV/0!</v>
      </c>
      <c r="H10" s="456"/>
      <c r="I10" s="457"/>
      <c r="J10" s="458" t="e">
        <f t="shared" si="2"/>
        <v>#DIV/0!</v>
      </c>
      <c r="K10" s="456"/>
      <c r="L10" s="457"/>
      <c r="M10" s="458" t="e">
        <f t="shared" si="3"/>
        <v>#DIV/0!</v>
      </c>
      <c r="N10" s="456"/>
      <c r="O10" s="459"/>
      <c r="P10" s="460"/>
    </row>
    <row r="11" spans="1:16">
      <c r="A11" s="455" t="s">
        <v>440</v>
      </c>
      <c r="B11" s="456"/>
      <c r="C11" s="457"/>
      <c r="D11" s="458" t="e">
        <f t="shared" si="0"/>
        <v>#DIV/0!</v>
      </c>
      <c r="E11" s="456"/>
      <c r="F11" s="457"/>
      <c r="G11" s="458" t="e">
        <f t="shared" si="1"/>
        <v>#DIV/0!</v>
      </c>
      <c r="H11" s="456"/>
      <c r="I11" s="457"/>
      <c r="J11" s="458" t="e">
        <f t="shared" si="2"/>
        <v>#DIV/0!</v>
      </c>
      <c r="K11" s="456"/>
      <c r="L11" s="457"/>
      <c r="M11" s="458" t="e">
        <f t="shared" si="3"/>
        <v>#DIV/0!</v>
      </c>
      <c r="N11" s="456"/>
      <c r="O11" s="459"/>
      <c r="P11" s="460"/>
    </row>
    <row r="12" spans="1:16">
      <c r="A12" s="455" t="s">
        <v>439</v>
      </c>
      <c r="B12" s="456"/>
      <c r="C12" s="457"/>
      <c r="D12" s="458" t="e">
        <f t="shared" si="0"/>
        <v>#DIV/0!</v>
      </c>
      <c r="E12" s="456"/>
      <c r="F12" s="457"/>
      <c r="G12" s="458" t="e">
        <f t="shared" si="1"/>
        <v>#DIV/0!</v>
      </c>
      <c r="H12" s="456"/>
      <c r="I12" s="457"/>
      <c r="J12" s="458" t="e">
        <f t="shared" si="2"/>
        <v>#DIV/0!</v>
      </c>
      <c r="K12" s="456"/>
      <c r="L12" s="457"/>
      <c r="M12" s="458" t="e">
        <f t="shared" si="3"/>
        <v>#DIV/0!</v>
      </c>
      <c r="N12" s="456"/>
      <c r="O12" s="459"/>
      <c r="P12" s="460"/>
    </row>
    <row r="13" spans="1:16" ht="15.75" thickBot="1">
      <c r="A13" s="461" t="s">
        <v>441</v>
      </c>
      <c r="B13" s="462"/>
      <c r="C13" s="463"/>
      <c r="D13" s="464" t="e">
        <f t="shared" si="0"/>
        <v>#DIV/0!</v>
      </c>
      <c r="E13" s="462"/>
      <c r="F13" s="463"/>
      <c r="G13" s="464" t="e">
        <f t="shared" si="1"/>
        <v>#DIV/0!</v>
      </c>
      <c r="H13" s="462"/>
      <c r="I13" s="463"/>
      <c r="J13" s="464" t="e">
        <f t="shared" si="2"/>
        <v>#DIV/0!</v>
      </c>
      <c r="K13" s="462"/>
      <c r="L13" s="463"/>
      <c r="M13" s="464" t="e">
        <f t="shared" si="3"/>
        <v>#DIV/0!</v>
      </c>
      <c r="N13" s="462"/>
      <c r="O13" s="465"/>
      <c r="P13" s="466"/>
    </row>
    <row r="14" spans="1:16" ht="16.5" thickTop="1" thickBot="1">
      <c r="A14" s="467"/>
      <c r="B14" s="468"/>
      <c r="C14" s="469"/>
      <c r="D14" s="470"/>
      <c r="E14" s="468"/>
      <c r="F14" s="469"/>
      <c r="G14" s="471"/>
      <c r="H14" s="468"/>
      <c r="I14" s="469"/>
      <c r="J14" s="471"/>
      <c r="K14" s="468"/>
      <c r="L14" s="469"/>
      <c r="M14" s="471"/>
      <c r="N14" s="468"/>
      <c r="O14" s="469"/>
      <c r="P14" s="471"/>
    </row>
    <row r="15" spans="1:16" ht="31.5" thickTop="1" thickBot="1">
      <c r="A15" s="472" t="s">
        <v>450</v>
      </c>
      <c r="B15" s="473">
        <f>SUM(B3:B13)</f>
        <v>9679325.3300000001</v>
      </c>
      <c r="C15" s="474">
        <f>SUM(C3:C13)</f>
        <v>2208.3000000000002</v>
      </c>
      <c r="D15" s="475">
        <f>B15/C15</f>
        <v>4383.16</v>
      </c>
      <c r="E15" s="473">
        <f>SUM(E3:E13)</f>
        <v>11267121.43</v>
      </c>
      <c r="F15" s="474">
        <f>SUM(F3:F13)</f>
        <v>2939.6</v>
      </c>
      <c r="G15" s="475">
        <f>E15/F15</f>
        <v>3832.88</v>
      </c>
      <c r="H15" s="473">
        <f>SUM(H3:H13)</f>
        <v>6949803.2699999996</v>
      </c>
      <c r="I15" s="474">
        <f>SUM(I3:I13)</f>
        <v>2193.8000000000002</v>
      </c>
      <c r="J15" s="475">
        <f>H15/I15</f>
        <v>3167.93</v>
      </c>
      <c r="K15" s="473">
        <f>SUM(K3:K13)</f>
        <v>14368537.57</v>
      </c>
      <c r="L15" s="474">
        <f>SUM(L3:L13)</f>
        <v>1412.6</v>
      </c>
      <c r="M15" s="475">
        <f>K15/L15</f>
        <v>10171.700000000001</v>
      </c>
      <c r="N15" s="476">
        <f>SUM(N3:N13)</f>
        <v>2981884.12</v>
      </c>
      <c r="O15" s="477" t="s">
        <v>290</v>
      </c>
      <c r="P15" s="478" t="s">
        <v>290</v>
      </c>
    </row>
    <row r="16" spans="1:16" ht="15.75" thickTop="1">
      <c r="A16" s="855" t="s">
        <v>451</v>
      </c>
      <c r="B16" s="849">
        <f>C16*D16</f>
        <v>25478880.960000001</v>
      </c>
      <c r="C16" s="852">
        <v>5664</v>
      </c>
      <c r="D16" s="846">
        <v>4498.3900000000003</v>
      </c>
      <c r="E16" s="482">
        <f>F16*G16</f>
        <v>5006528.6399999997</v>
      </c>
      <c r="F16" s="483">
        <v>2196</v>
      </c>
      <c r="G16" s="484">
        <v>2279.84</v>
      </c>
      <c r="H16" s="849">
        <f>I16*J16</f>
        <v>15509751.52</v>
      </c>
      <c r="I16" s="852">
        <v>6803</v>
      </c>
      <c r="J16" s="846">
        <v>2279.84</v>
      </c>
      <c r="K16" s="849">
        <f>L16*M16</f>
        <v>25775774.699999999</v>
      </c>
      <c r="L16" s="852">
        <v>5730</v>
      </c>
      <c r="M16" s="846">
        <v>4498.3900000000003</v>
      </c>
      <c r="N16" s="467"/>
      <c r="O16" s="467"/>
      <c r="P16" s="467"/>
    </row>
    <row r="17" spans="1:16">
      <c r="A17" s="856"/>
      <c r="B17" s="850"/>
      <c r="C17" s="853"/>
      <c r="D17" s="847"/>
      <c r="E17" s="485">
        <f>F17*G17</f>
        <v>14731845.439999999</v>
      </c>
      <c r="F17" s="486">
        <v>2444</v>
      </c>
      <c r="G17" s="487">
        <v>6027.76</v>
      </c>
      <c r="H17" s="850"/>
      <c r="I17" s="853"/>
      <c r="J17" s="847"/>
      <c r="K17" s="850"/>
      <c r="L17" s="853"/>
      <c r="M17" s="847"/>
      <c r="N17" s="467"/>
      <c r="O17" s="467"/>
      <c r="P17" s="467"/>
    </row>
    <row r="18" spans="1:16" ht="15.75" thickBot="1">
      <c r="A18" s="857"/>
      <c r="B18" s="851"/>
      <c r="C18" s="854"/>
      <c r="D18" s="848"/>
      <c r="E18" s="488">
        <f>F18*G18</f>
        <v>11196276</v>
      </c>
      <c r="F18" s="489">
        <v>2730</v>
      </c>
      <c r="G18" s="490">
        <v>4101.2</v>
      </c>
      <c r="H18" s="851"/>
      <c r="I18" s="854"/>
      <c r="J18" s="848"/>
      <c r="K18" s="851"/>
      <c r="L18" s="854"/>
      <c r="M18" s="848"/>
      <c r="N18" s="467"/>
      <c r="O18" s="467"/>
      <c r="P18" s="467"/>
    </row>
    <row r="19" spans="1:16" ht="16.5" thickTop="1" thickBot="1">
      <c r="A19" s="479" t="s">
        <v>453</v>
      </c>
      <c r="B19" s="480">
        <f>B16</f>
        <v>25478880.960000001</v>
      </c>
      <c r="C19" s="481">
        <f>C16</f>
        <v>5664</v>
      </c>
      <c r="D19" s="491"/>
      <c r="E19" s="480">
        <f>SUM(E16:E18)</f>
        <v>30934650.079999998</v>
      </c>
      <c r="F19" s="481">
        <f>SUM(F16:F18)</f>
        <v>7370</v>
      </c>
      <c r="G19" s="491"/>
      <c r="H19" s="480">
        <f>H16</f>
        <v>15509751.52</v>
      </c>
      <c r="I19" s="481">
        <f>I16</f>
        <v>6803</v>
      </c>
      <c r="J19" s="491"/>
      <c r="K19" s="480">
        <f>K16</f>
        <v>25775774.699999999</v>
      </c>
      <c r="L19" s="481">
        <f>L16</f>
        <v>5730</v>
      </c>
      <c r="M19" s="492"/>
      <c r="N19" s="467"/>
      <c r="O19" s="467"/>
      <c r="P19" s="467"/>
    </row>
    <row r="20" spans="1:16" ht="16.5" thickTop="1" thickBot="1">
      <c r="A20" s="479" t="s">
        <v>452</v>
      </c>
      <c r="B20" s="493">
        <f>B16-B15</f>
        <v>15799555.630000001</v>
      </c>
      <c r="C20" s="494">
        <f>C19-C15</f>
        <v>3455.7</v>
      </c>
      <c r="D20" s="492"/>
      <c r="E20" s="493">
        <f>E19-E15</f>
        <v>19667528.649999999</v>
      </c>
      <c r="F20" s="494">
        <f>F19-F15</f>
        <v>4430.3999999999996</v>
      </c>
      <c r="G20" s="492"/>
      <c r="H20" s="493">
        <f>H19-H15</f>
        <v>8559948.25</v>
      </c>
      <c r="I20" s="494">
        <f>I16-I15</f>
        <v>4609.2</v>
      </c>
      <c r="J20" s="492"/>
      <c r="K20" s="493">
        <f>K19-K15</f>
        <v>11407237.130000001</v>
      </c>
      <c r="L20" s="494">
        <f>L16-L15</f>
        <v>4317.3999999999996</v>
      </c>
      <c r="M20" s="495"/>
      <c r="N20" s="467"/>
      <c r="O20" s="467"/>
      <c r="P20" s="467"/>
    </row>
    <row r="21" spans="1:16" ht="15.75" thickTop="1"/>
  </sheetData>
  <mergeCells count="15">
    <mergeCell ref="N1:P1"/>
    <mergeCell ref="K1:M1"/>
    <mergeCell ref="H1:J1"/>
    <mergeCell ref="E1:G1"/>
    <mergeCell ref="B1:D1"/>
    <mergeCell ref="J16:J18"/>
    <mergeCell ref="K16:K18"/>
    <mergeCell ref="L16:L18"/>
    <mergeCell ref="M16:M18"/>
    <mergeCell ref="A16:A18"/>
    <mergeCell ref="B16:B18"/>
    <mergeCell ref="C16:C18"/>
    <mergeCell ref="D16:D18"/>
    <mergeCell ref="H16:H18"/>
    <mergeCell ref="I16:I18"/>
  </mergeCells>
  <conditionalFormatting sqref="D3:D13">
    <cfRule type="expression" dxfId="44" priority="2">
      <formula>IF(ISERROR(D3),TRUE, FALSE)</formula>
    </cfRule>
  </conditionalFormatting>
  <conditionalFormatting sqref="G3:G13 J3:J13 M3:M13">
    <cfRule type="expression" dxfId="43" priority="1">
      <formula>IF(ISERROR(G3),TRUE, FALSE)</formula>
    </cfRule>
  </conditionalFormatting>
  <pageMargins left="0.7" right="0.7" top="0.75" bottom="0.75" header="0.3" footer="0.3"/>
  <ignoredErrors>
    <ignoredError sqref="D10:D13 G9:G13 J9:J13 M9:M13" evalError="1"/>
    <ignoredError sqref="D15 M15 J15 G15" formula="1"/>
  </ignoredErrors>
</worksheet>
</file>

<file path=xl/worksheets/sheet17.xml><?xml version="1.0" encoding="utf-8"?>
<worksheet xmlns="http://schemas.openxmlformats.org/spreadsheetml/2006/main" xmlns:r="http://schemas.openxmlformats.org/officeDocument/2006/relationships">
  <dimension ref="A1"/>
  <sheetViews>
    <sheetView workbookViewId="0"/>
  </sheetViews>
  <sheetFormatPr defaultRowHeight="1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17</vt:i4>
      </vt:variant>
      <vt:variant>
        <vt:lpstr>Named Ranges</vt:lpstr>
      </vt:variant>
      <vt:variant>
        <vt:i4>4</vt:i4>
      </vt:variant>
    </vt:vector>
  </HeadingPairs>
  <TitlesOfParts>
    <vt:vector size="21" baseType="lpstr">
      <vt:lpstr>Status</vt:lpstr>
      <vt:lpstr>UAS Status</vt:lpstr>
      <vt:lpstr>1-4 ARB</vt:lpstr>
      <vt:lpstr>1-4 ARB Orig</vt:lpstr>
      <vt:lpstr>AH InspectionSQL</vt:lpstr>
      <vt:lpstr>AH H_Pivot</vt:lpstr>
      <vt:lpstr>AH D_Pivot</vt:lpstr>
      <vt:lpstr>AH Readiness</vt:lpstr>
      <vt:lpstr>Closeout</vt:lpstr>
      <vt:lpstr>Sheet1</vt:lpstr>
      <vt:lpstr>A Co Readiness</vt:lpstr>
      <vt:lpstr>BN Readiness</vt:lpstr>
      <vt:lpstr>B Co Readiness</vt:lpstr>
      <vt:lpstr>C Co Readiness</vt:lpstr>
      <vt:lpstr>Flow</vt:lpstr>
      <vt:lpstr>4 CAB Spending</vt:lpstr>
      <vt:lpstr>Sheet2</vt:lpstr>
      <vt:lpstr>'1-4 ARB'!Print_Area</vt:lpstr>
      <vt:lpstr>Sheet1!Print_Area</vt:lpstr>
      <vt:lpstr>Status!Print_Area</vt:lpstr>
      <vt:lpstr>'UAS Status'!Print_Area</vt:lpstr>
    </vt:vector>
  </TitlesOfParts>
  <Company>U.S. Army</Company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AGM</dc:creator>
  <cp:lastModifiedBy>AGM</cp:lastModifiedBy>
  <cp:lastPrinted>2015-04-17T22:51:21Z</cp:lastPrinted>
  <dcterms:created xsi:type="dcterms:W3CDTF">2015-03-02T16:03:24Z</dcterms:created>
  <dcterms:modified xsi:type="dcterms:W3CDTF">2015-04-20T23:46:58Z</dcterms:modified>
</cp:coreProperties>
</file>